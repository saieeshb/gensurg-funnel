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ME &amp; SHAME" sheetId="1" r:id="rId4"/>
    <sheet state="visible" name="IV IMPRESSIONS" sheetId="2" r:id="rId5"/>
    <sheet state="visible" name="HomeAway Student Impressions 25" sheetId="3" r:id="rId6"/>
    <sheet state="visible" name="CHAT GENERAL" sheetId="4" r:id="rId7"/>
    <sheet state="visible" name="Sheet2499" sheetId="5" r:id="rId8"/>
    <sheet state="visible" name="NAME &amp; FAME" sheetId="6" r:id="rId9"/>
    <sheet state="visible" name="A vs B" sheetId="7" r:id="rId10"/>
    <sheet state="visible" name="APPLICANT INFO" sheetId="8" r:id="rId11"/>
    <sheet state="visible" name="PCPD Q&amp;A" sheetId="9" r:id="rId12"/>
    <sheet state="visible" name="OVERVIEW" sheetId="10" r:id="rId13"/>
    <sheet state="visible" name="Second Look" sheetId="11" r:id="rId14"/>
    <sheet state="visible" name="Program Details" sheetId="12" r:id="rId15"/>
    <sheet state="visible" name="Prelim Chat" sheetId="13" r:id="rId16"/>
    <sheet state="visible" name="Sheet2497" sheetId="14" r:id="rId17"/>
    <sheet state="visible" name="Sheet2494" sheetId="15" r:id="rId18"/>
    <sheet state="visible" name="Post II Comms" sheetId="16" r:id="rId19"/>
    <sheet state="visible" name="IMG Chat" sheetId="17" r:id="rId20"/>
    <sheet state="visible" name="prelim RANK SPOTS" sheetId="18" r:id="rId21"/>
    <sheet state="visible" name="RANK SPOTS" sheetId="19" r:id="rId22"/>
  </sheets>
  <definedNames>
    <definedName name="colorado">#REF!</definedName>
    <definedName name="slu">#REF!</definedName>
    <definedName hidden="1" localSheetId="1" name="_xlnm._FilterDatabase">'IV IMPRESSIONS'!$F$210</definedName>
    <definedName hidden="1" localSheetId="2" name="_xlnm._FilterDatabase">'HomeAway Student Impressions 25'!$E$124</definedName>
    <definedName hidden="1" localSheetId="11" name="_xlnm._FilterDatabase">'Program Details'!$A$3:$J$102</definedName>
    <definedName hidden="1" localSheetId="16" name="_xlnm._FilterDatabase">'IMG Chat'!$A$9:$G$105</definedName>
    <definedName hidden="1" localSheetId="17" name="_xlnm._FilterDatabase">'prelim RANK SPOTS'!$A$1:$Y$1</definedName>
    <definedName hidden="1" localSheetId="18" name="_xlnm._FilterDatabase">'RANK SPOTS'!$A$1:$Y$348</definedName>
    <definedName hidden="1" localSheetId="7" name="Z_E0C371E4_27D6_40E5_BF94_8AE9D307DDDB_.wvu.FilterData">'APPLICANT INFO'!$A$9:$P$132</definedName>
    <definedName hidden="1" localSheetId="17" name="Z_E0C371E4_27D6_40E5_BF94_8AE9D307DDDB_.wvu.FilterData">'prelim RANK SPOTS'!$E$126:$J$132</definedName>
    <definedName hidden="1" localSheetId="18" name="Z_E0C371E4_27D6_40E5_BF94_8AE9D307DDDB_.wvu.FilterData">'RANK SPOTS'!$E$133:$J$140</definedName>
  </definedNames>
  <calcPr/>
  <customWorkbookViews>
    <customWorkbookView activeSheetId="0" maximized="1" windowHeight="0" windowWidth="0" guid="{E0C371E4-27D6-40E5-BF94-8AE9D307DDDB}"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tc={0de0cc89-4f63-44d8-9672-254858bfc8f4}</author>
    <author>tc={2b581b92-d97b-46d9-b3f4-f7ae1b5c4614}</author>
    <author>tc={30112604-e04a-4615-8387-5f151c91ef7b}</author>
    <author>tc={46fd11c3-507c-4e29-8927-0527dc3ec5c5}</author>
    <author>tc={5dc41647-34c3-49f2-84e0-adac8f7b5c2c}</author>
    <author>tc={5e855c41-ba95-4a38-9e7e-df591814d1f0}</author>
    <author>tc={e519488d-0653-49a1-99ce-da056127e857}</author>
  </authors>
  <commentList>
    <comment authorId="0" xr:uid="{0de0cc89-4f63-44d8-9672-254858bfc8f4}" ref="A1">
      <text>
        <t xml:space="preserve">[Threaded comment]
 Your version of Excel allows you to read this threaded comment; however, any edits to it will get removed if the file is opened in a newer version of Excel. Learn more: https://go.microsoft.com/fwlink/?linkid=870924
Comment:
	Thanksgiving is the 28th?
</t>
      </text>
    </comment>
    <comment authorId="1" xr:uid="{2b581b92-d97b-46d9-b3f4-f7ae1b5c4614}" ref="A1">
      <text>
        <t xml:space="preserve">[Threaded comment]
 Your version of Excel allows you to read this threaded comment; however, any edits to it will get removed if the file is opened in a newer version of Excel. Learn more: https://go.microsoft.com/fwlink/?linkid=870924
Comment:
	Charleston area medical center 
(,,+signal,+geo, usimg , 24x)
Reply:
	Marked as resolved
Reply:
	Re-opened
Reply:
	Marked as resolved
Reply:
	Re-opened
</t>
      </text>
    </comment>
    <comment authorId="2" xr:uid="{30112604-e04a-4615-8387-5f151c91ef7b}" ref="A1">
      <text>
        <t xml:space="preserve">[Threaded comment]
 Your version of Excel allows you to read this threaded comment; however, any edits to it will get removed if the file is opened in a newer version of Excel. Learn more: https://go.microsoft.com/fwlink/?linkid=870924
Comment:
	Any spots left over for Inova?
</t>
      </text>
    </comment>
    <comment authorId="3" xr:uid="{46fd11c3-507c-4e29-8927-0527dc3ec5c5}" ref="A1">
      <text>
        <t xml:space="preserve">[Threaded comment]
 Your version of Excel allows you to read this threaded comment; however, any edits to it will get removed if the file is opened in a newer version of Excel. Learn more: https://go.microsoft.com/fwlink/?linkid=870924
Comment:
	Kern
</t>
      </text>
    </comment>
    <comment authorId="4" xr:uid="{5dc41647-34c3-49f2-84e0-adac8f7b5c2c}" ref="A1">
      <text>
        <t xml:space="preserve">[Threaded comment]
 Your version of Excel allows you to read this threaded comment; however, any edits to it will get removed if the file is opened in a newer version of Excel. Learn more: https://go.microsoft.com/fwlink/?linkid=870924
Comment:
	10/23 1500
</t>
      </text>
    </comment>
    <comment authorId="5" xr:uid="{5e855c41-ba95-4a38-9e7e-df591814d1f0}" ref="A1">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6" xr:uid="{e519488d-0653-49a1-99ce-da056127e857}" ref="A1">
      <text>
        <t xml:space="preserve">[Threaded comment]
 Your version of Excel allows you to read this threaded comment; however, any edits to it will get removed if the file is opened in a newer version of Excel. Learn more: https://go.microsoft.com/fwlink/?linkid=870924
Comment:
	Can someone bring back the version history to before whoever deleted 10/23?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tc={a915442f-4b01-46f6-956e-9833d7af7e98}</author>
  </authors>
  <commentList>
    <comment authorId="0" xr:uid="{a915442f-4b01-46f6-956e-9833d7af7e98}" ref="C573">
      <text>
        <t xml:space="preserve">[Threaded comment]
 Your version of Excel allows you to read this threaded comment; however, any edits to it will get removed if the file is opened in a newer version of Excel. Learn more: https://go.microsoft.com/fwlink/?linkid=870924
Comment:
	Got and OU tulsa IV today
Reply:
	Marked as resolved
Reply:
	Re-opened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tc={70112eb6-bd78-45aa-ac5f-38a1f7fa4ee9}</author>
  </authors>
  <commentList>
    <comment authorId="0" xr:uid="{70112eb6-bd78-45aa-ac5f-38a1f7fa4ee9}" ref="S31">
      <text>
        <t xml:space="preserve">[Threaded comment]
 Your version of Excel allows you to read this threaded comment; however, any edits to it will get removed if the file is opened in a newer version of Excel. Learn more: https://go.microsoft.com/fwlink/?linkid=870924
Comment:
	7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tc={3f304826-7630-4949-8264-6dae2af4e90c}</author>
  </authors>
  <commentList>
    <comment authorId="0" xr:uid="{3f304826-7630-4949-8264-6dae2af4e90c}" ref="B6">
      <text>
        <t xml:space="preserve">[Threaded comment]
 Your version of Excel allows you to read this threaded comment; however, any edits to it will get removed if the file is opened in a newer version of Excel. Learn more: https://go.microsoft.com/fwlink/?linkid=870924
Comment:
	I'm so sorry. I accidentally deleted this question. I tried to undo but it didn't work. This is my first time on here. My apologies!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tc={56fcada4-19d0-464c-9077-87d2105c7f71}</author>
  </authors>
  <commentList>
    <comment authorId="0" xr:uid="{56fcada4-19d0-464c-9077-87d2105c7f71}" ref="F75">
      <text>
        <t xml:space="preserve">[Threaded comment]
 Your version of Excel allows you to read this threaded comment; however, any edits to it will get removed if the file is opened in a newer version of Excel. Learn more: https://go.microsoft.com/fwlink/?linkid=870924
Comment:
	Stony brook
</t>
      </text>
    </comment>
  </commentList>
</comments>
</file>

<file path=xl/sharedStrings.xml><?xml version="1.0" encoding="utf-8"?>
<sst xmlns="http://schemas.openxmlformats.org/spreadsheetml/2006/main" count="14358" uniqueCount="7567">
  <si>
    <t>F</t>
  </si>
  <si>
    <t xml:space="preserve"> </t>
  </si>
  <si>
    <t>🥼 INTERVIEW IMPRESSIONS 🥼</t>
  </si>
  <si>
    <t>x</t>
  </si>
  <si>
    <t>I am scared and nervous &lt;&lt; and yet still excited for the possibility of matching #1 tomorrow (top 3 at most) +1</t>
  </si>
  <si>
    <t>Program Names</t>
  </si>
  <si>
    <t>Follow-Up</t>
  </si>
  <si>
    <t>WIO[3]\42M</t>
  </si>
  <si>
    <t>Positive</t>
  </si>
  <si>
    <t>Negative</t>
  </si>
  <si>
    <t>Comments</t>
  </si>
  <si>
    <t xml:space="preserve">Stress Rating </t>
  </si>
  <si>
    <t>Call Schedule/Night Float</t>
  </si>
  <si>
    <t>Source</t>
  </si>
  <si>
    <t>EMR(s)</t>
  </si>
  <si>
    <t>Food stipend</t>
  </si>
  <si>
    <t>Parking</t>
  </si>
  <si>
    <t>Other Benefits/Support</t>
  </si>
  <si>
    <t>ALABAMA</t>
  </si>
  <si>
    <t>City</t>
  </si>
  <si>
    <t>`10/29</t>
  </si>
  <si>
    <t>The Tea 🍵</t>
  </si>
  <si>
    <t>Is it wise to apply for more prelims?</t>
  </si>
  <si>
    <t>Comment</t>
  </si>
  <si>
    <t>i feel like its too late tbh waste of money</t>
  </si>
  <si>
    <t>State</t>
  </si>
  <si>
    <t>POS</t>
  </si>
  <si>
    <t>University of Vermont</t>
  </si>
  <si>
    <t>NEGATIVE</t>
  </si>
  <si>
    <t>Resident</t>
  </si>
  <si>
    <t>did ukmc and cornell send prelim?</t>
  </si>
  <si>
    <t>UAB</t>
  </si>
  <si>
    <t>UVM residents unionized in 2022 with needed pay raises for cost of living, appropriate parental leave etc. During the same time UVM gen surg was persistently in the lowest quartile on national surveys for all things mental health related/whether residents would choose the program again even suicidality. Multiple times the chair has publicly blamed the residents themselves for this rather than addressing or even acknowledging their concerns. This was part of why the prior exceptional PD a major resident advocate recently suddenly left. There are some really great things about this program but I do not recommend it until there is new department leadership.</t>
  </si>
  <si>
    <t>Birmingham</t>
  </si>
  <si>
    <t>AL</t>
  </si>
  <si>
    <r>
      <rPr>
        <color rgb="FF1155CC"/>
        <u/>
      </rPr>
      <t>accreditation status</t>
    </r>
    <r>
      <rPr/>
      <t xml:space="preserve"> past 2 years they have been on a warning... maybe this is why</t>
    </r>
  </si>
  <si>
    <t xml:space="preserve">did my away as an IMG didnt feel welcome at all by the attendings they barley acknowledged me in clinic and OR really struggled to finish the month there excpet 1 attending that was really nice, resdients were more welcoming but one ghosted my thank you text i sent on the last day which felt weird since we spent a month working together and they replied multiple times a day when it was work related. Honestly wont reccomend this place for an IMG. Also didnt feel very safe residents i was working with kept warning me about walking back to my drom even in daylight &gt;&gt;&gt;&gt;&gt;.    Thank god I removed my signal! </t>
  </si>
  <si>
    <t>Brookwood Baptist Health</t>
  </si>
  <si>
    <t xml:space="preserve">IMG, can ++ this. Oddly my attendings were nice albeit cold &amp; at times distant, but the residents on service hardly cared about me. I tried my best stg, but somehow still ended up not learning much and had the weird vibes the entire month. </t>
  </si>
  <si>
    <t>Anyone else having trouble scheduling for Penn? Not seeing it on Thalamus</t>
  </si>
  <si>
    <t>Also not showing up for me (using mobile app)</t>
  </si>
  <si>
    <t>Worst experience ever as an IMG. The residents and fellows were great but the faculty doesn't acknowledge you or appreciates any of your efforts. they are not interested in teaching and overall a waste of money and time</t>
  </si>
  <si>
    <t>nope &lt;&lt; as in not having trouble or not seeing it</t>
  </si>
  <si>
    <t>UPenn or Penn State? &lt;&lt;UPenn! Just showed up for me!</t>
  </si>
  <si>
    <t xml:space="preserve">its up now </t>
  </si>
  <si>
    <t>any openings?</t>
  </si>
  <si>
    <t>Mobile</t>
  </si>
  <si>
    <t>Brookwood Baptist</t>
  </si>
  <si>
    <t xml:space="preserve">AL </t>
  </si>
  <si>
    <r>
      <rPr>
        <rFont val="arial,sans,sans-serif"/>
        <color rgb="FF1155CC"/>
        <sz val="10.0"/>
        <u/>
      </rPr>
      <t xml:space="preserve">Link </t>
    </r>
    <r>
      <rPr>
        <rFont val="arial,sans,sans-serif"/>
        <sz val="10.0"/>
      </rPr>
      <t>for 25-26 Sheet</t>
    </r>
  </si>
  <si>
    <t xml:space="preserve">Hospital also doing bad including complete loss of the transplant program </t>
  </si>
  <si>
    <t>USA Health</t>
  </si>
  <si>
    <t>University of Arkansas</t>
  </si>
  <si>
    <t>Little Rock</t>
  </si>
  <si>
    <t>AR</t>
  </si>
  <si>
    <t>Dignity/East Valley</t>
  </si>
  <si>
    <t>Chandler</t>
  </si>
  <si>
    <t>AZ</t>
  </si>
  <si>
    <t>3 categorical residents switched to anesthesia last year. Yes 3 in 1 year and its a small program. 1 intern 1 PGY2 1 PGY3 &lt;source?</t>
  </si>
  <si>
    <t>Midwestern/Mountain Vista</t>
  </si>
  <si>
    <t>even my interviews felt off here... it felt like everyone was trying their best not to smile or something,, it was weird &lt;I personally did not get those vibes at all!</t>
  </si>
  <si>
    <t>Mesa</t>
  </si>
  <si>
    <t>Go to the overview tab and open the supplemental link, the tab is on there</t>
  </si>
  <si>
    <t>University of Maryland</t>
  </si>
  <si>
    <t>Abrazo Health Network Program</t>
  </si>
  <si>
    <t>Night float</t>
  </si>
  <si>
    <t>Cerner</t>
  </si>
  <si>
    <t>$20/day</t>
  </si>
  <si>
    <t>Prefer not to answer</t>
  </si>
  <si>
    <t>Free</t>
  </si>
  <si>
    <t xml:space="preserve">Toxic culture. Not a very supportive nor collabortive enviornment. Unfortuantely had very negative interactions with the residents. Heavy fellow presence. </t>
  </si>
  <si>
    <t>4 weeks vacation + either christmas or new years off</t>
  </si>
  <si>
    <t>UAB (Birmingham)</t>
  </si>
  <si>
    <t xml:space="preserve">As someone who did an away rotation there, I'd disagree with everything you said. While you may have your own opinions, the heavy fellow presence is just factually wrong, they only have a few sub specialty fellows (trauma, bariatric, transplant) that function more as attendings </t>
  </si>
  <si>
    <t>HonorHealth Program</t>
  </si>
  <si>
    <t xml:space="preserve">Faculty were very welcoming and PD has been around for a while and was a previous resident of the program. Seems like a work hard, play hard culture, but the residents don't seem burnt out in the slightest. Very friendly all around, and interview day was structured very well with some more standardized questions and informal follow-up questions. </t>
  </si>
  <si>
    <t>Official 2025-2026 Gen Surgery Spreadsheet</t>
  </si>
  <si>
    <t>Phoenix</t>
  </si>
  <si>
    <t>Residents seemed farily competitive with one another, seemed like the faculty cared more about research and rankings more than gaining good opertative/clinical expeirence</t>
  </si>
  <si>
    <t xml:space="preserve">multiple residents have quit over last couple of years, look at their class sizes. two interns quit last year and went to no surgical programs.  </t>
  </si>
  <si>
    <t>Loved my interview here. Everyone was super nice. The residents seem happy and actually friends.</t>
  </si>
  <si>
    <t>Maine</t>
  </si>
  <si>
    <t>There is a reason so many residents have left the program. This place breaks residents. Definitely malignant. Residents do go over hours regularly</t>
  </si>
  <si>
    <t>Residents regularly go over 100+ hours/week. Culture of "I" over "team" mentality. 
On just pure vibes (and histrical data) PGY1 and 2's are looking for opportunities to transfer or switch specialities altogether.</t>
  </si>
  <si>
    <t>Interview</t>
  </si>
  <si>
    <t>Mayo (Arizona)</t>
  </si>
  <si>
    <t>During interview PD asked me why I honored my surgical rotation but only passed IM, and told me he questioned whether I was ready for the rigors of their residency program...then why did you interview me? Also, emphasized recruiting residents who were interested in research, but then couldn't guarantee funding or spots for every interested resident. Bad vibes. +1</t>
  </si>
  <si>
    <t>new sheet link?</t>
  </si>
  <si>
    <t xml:space="preserve">Had a similar experience about Step scores despite having an average score.  Made it seem like he had concerns about it, but then did not ask me a direct question about it. </t>
  </si>
  <si>
    <t>Night float w/ mix of call in peds, colorectal, and MIS</t>
  </si>
  <si>
    <t>&gt;&gt;&gt;???</t>
  </si>
  <si>
    <t xml:space="preserve">have spoken with multuple other applicants who had a similar experience (me included). i think it is a "how will they react" type of question </t>
  </si>
  <si>
    <t>75% off food in cafeteria</t>
  </si>
  <si>
    <t xml:space="preserve">home student persepctive- really nice and happy residents that seem to get along well with each other. Also seems like fairly good work life balance and supportive program compared to some away rotations I've been on </t>
  </si>
  <si>
    <t>ARKANSAS</t>
  </si>
  <si>
    <t>University of Arizona (Phoenix)</t>
  </si>
  <si>
    <t>St Agnes MD</t>
  </si>
  <si>
    <t>If anyone is interested in helping me set up / moderate the web version of the spreadsheet for next cycle, message me on Reddit /u/Haunting_Welder</t>
  </si>
  <si>
    <t>new sheet?</t>
  </si>
  <si>
    <t>is this what we are using for the 2025-2026 application? Has anyone seen a speadsheet like this one?</t>
  </si>
  <si>
    <t xml:space="preserve">University of Arizona( Tucson) </t>
  </si>
  <si>
    <t>Thoughts on doing an away SICU rotation when applying to General Surgery?</t>
  </si>
  <si>
    <t>Tucson</t>
  </si>
  <si>
    <t>extensive working hours 90/hrs a week. Prelim residents do not get interviews from other programs.</t>
  </si>
  <si>
    <t>Program genuinely does "walk the walk" when it comes to diversity in their attendings and experiences. There really are no subspecialties that are lacking in their training since hiring more over the last few years. You get exposed to so many different practice environments so you can make your own decision about where/how you want to practice. Attendings will go to bat for you with your career ambitions. Call schedule is very reasonable and residents support one another. Great trauma training.</t>
  </si>
  <si>
    <t>I have heard bad stuff about the program, toxic AF.</t>
  </si>
  <si>
    <t>what do you mean prelim residents do not get interviews from other programs?</t>
  </si>
  <si>
    <t xml:space="preserve">The PD said that they are true to the 80 hours and was going agaisnt older surgeons who beleived we should be staying longer. Idk how true this is </t>
  </si>
  <si>
    <t>Ask the PD why doesnt his IMGs dont match elsewhere. The only publications they do is in cureus and they give you 8$ for meals daily.</t>
  </si>
  <si>
    <t>Desert Regional</t>
  </si>
  <si>
    <t>I did it as an elective and thought it was great. I wouldn't do it over another actual surgery elective, but I learned a lot, brushed up on a lot of medicine, and feel like it'll help me in my ICU rotations (which all gen surg programs have)</t>
  </si>
  <si>
    <t>Palm Springs</t>
  </si>
  <si>
    <t xml:space="preserve">&lt;&lt; +1, also did an away SICU rotation and thought it was valuable. One thing I will say is it gives a mixed and maybe not best perspective on the program you're visiting. Even though we'll all do SICU rotations, they're not quite the same as an actual surgery elective. Residents for me were a mix of ortho, obgyn, EM, anesthesia, and gen surg. Attendings were a mix of trauma surgeons, anesthesia, and 1 EM doc. So I didn't feel like I got the best view of the culture of the program, but it was a great learning experience overall &lt;&lt; agree! Probably better to do as a home elective than away rotation </t>
  </si>
  <si>
    <t>Univ Buffalo</t>
  </si>
  <si>
    <t>CA</t>
  </si>
  <si>
    <t>UHS/SW Healthcare</t>
  </si>
  <si>
    <t>Wildomar</t>
  </si>
  <si>
    <t xml:space="preserve">UAMS </t>
  </si>
  <si>
    <t>Kern</t>
  </si>
  <si>
    <t>all very friendly and kind, however the interview day was a bit disorganized. There was a lot of dead time sitting with the same set of residents (&gt;1 hour total including the socail the night before)</t>
  </si>
  <si>
    <t>"Has anyone started to hear back from away programs from Boston?"</t>
  </si>
  <si>
    <t>Bakersfield</t>
  </si>
  <si>
    <t>Whoever posted that is not a surgery resident. The surgery residents still have their GME funding on top of the $2000. &lt;- What the post illustrates is that none of the GME funding for ancillary things is in the contract. While the GS residents have it now, there is 0 guarantee it will stay and relies solely on the good graces of the department to continue</t>
  </si>
  <si>
    <t>&lt;---- nope, not even for July</t>
  </si>
  <si>
    <t>AHN Mercer</t>
  </si>
  <si>
    <t>Interview day was complicated by last minute changes including to PDs schedule. It did not seem like the PD had reviewed my application and spent most of the time telling me things I should consider when picking a program vs asking me qustions.</t>
  </si>
  <si>
    <t>HCA Los Robles</t>
  </si>
  <si>
    <t>Thousand Oaks</t>
  </si>
  <si>
    <t>ARIZONA</t>
  </si>
  <si>
    <t>gds</t>
  </si>
  <si>
    <t>Cedars-Sinai/Huntington</t>
  </si>
  <si>
    <t xml:space="preserve">do we have a chat for ppl who matched that are open to volunteer in reading personal statements, match applications, etc.  also what resources did yall use to determine your chances of matching example step score, img friendly etc. </t>
  </si>
  <si>
    <t>Icahn Mt Sinai</t>
  </si>
  <si>
    <t>Pasadena</t>
  </si>
  <si>
    <t>TexasStar database and AAMC published stats were helpful</t>
  </si>
  <si>
    <t>Rotation</t>
  </si>
  <si>
    <t>Residents were mostly awesome friendly ppl, but yes the PD is a nightmare who treats prelims and away students like trash. She will refuse to meet with any sub-Is or prelims. One prelim told me after she tried to schedule a meeting with the PD, she was emailed by an assistant to stop contacting the PD (!!) and she has never even spoken to her yet +1</t>
  </si>
  <si>
    <t>Harbor-UCLA Medical Center Program</t>
  </si>
  <si>
    <t>Torrance</t>
  </si>
  <si>
    <t>is Beth israel actually closing? what happens to the people who matched there?</t>
  </si>
  <si>
    <t>also they are just not good at operating (+1 saw a PGY4 not able to do proper colonoscopy) (+2)</t>
  </si>
  <si>
    <t>you mean mount sinai beth israel in manhattan?</t>
  </si>
  <si>
    <t>PD hand picks her own students to be in the OR (3rd year students over visiting students), and will refuse having other students and away students in her OR. She also gives a child-like fit when something doesn't go her way. I would definitely avoid doing an away here until a new PD is established. Seems to be engrained in her character.</t>
  </si>
  <si>
    <t>Residents were nice but definitely overworked, hospital is under construction but parking is not an issue like it was in the past, free food for sub-i and residents</t>
  </si>
  <si>
    <t xml:space="preserve">DO NOT COME HERE!!! Faculty and leadership will be friendly to your face, but have heard some be terrible behind your back. </t>
  </si>
  <si>
    <t>Honor Health JLC</t>
  </si>
  <si>
    <t xml:space="preserve">The PD and Chair seem very nice on the outside. However, don't be fooled. They both lie about how they will rank you. My friend applied here, literally was given heavy praise on his application, including that they would really hope he would come to their program next year. He enjoyed the interview and ranked them #1, but ended up not matching here despite the PD's seeming praise. He emailed the PD after, and was ghosted. Never heard back from the program. I told him he dodged a bullet, but this experience is just a reflection about how their faculty deceive applicants. This is NOT a program that you would want to go given his experience. The program was also on probation on the orthopaedic surgery side because of inappropraite behavior from one of the surgeons. AVOID AVOID. </t>
  </si>
  <si>
    <t>Abrazo Health</t>
  </si>
  <si>
    <t>Place is malignant AF. Ever seen a 5 get absolute canned by a PD even when it's nothing to do with the 5's action? Ever seen a 5 barely competent with in the OR? The hospital's surgery is run by a private practice so you can believe the attends will rather put resident's learn in the backseat so they don't get sued. Minimal operating time. Go here if you have no where else to go to be a "surgeon" but best believe you'll be miserable. They're missing 2 residents in 4's and 3's for a reason.</t>
  </si>
  <si>
    <t xml:space="preserve">Home student. Do not come here!! It is not publicized, but many residents have left in recent years. They are incredibly overworked. Interns cover 100+ patients a night in addition to responding to traumas, and are often expected to do tasks such as bring patients down for imaging and get their patients up to walk on top of that. There is absolutely no program for wellness in place either. Program leadership will be supportive to your face if you go to them for help but then use the information they learned against you later. You will get good operative experience in the later years of residency, but this is true of many programs. Find one that will value you as a person instead of a workhorse. </t>
  </si>
  <si>
    <t xml:space="preserve">Auditioned at JCL, can't speak for the other campuses/attendings. Regularly goes over 80 hour work week, only graduated 50% of class of 2024 due to extreme burnout and holding one of their residents back, true of prior classes and current classes. obviously these are huge red flags. learning environment is primarily pimping which may not work for everyone. hard on residents in M&amp;Ms and expect a lot of learning outside of the hours in the hospital which is unrealistic when there is barely time to eat/sleep already in residency especially this one. cases often taken from residents if not showing competency but also do not give the opportunity to improve and it shows in the OR at each level of resident. </t>
  </si>
  <si>
    <t>Was asked illegal and innapropriate questions by an interviewer (not the PD)&lt;&lt; like what +1&lt;&lt;age, financial questions&lt;&lt; not the OP but also interviewed there, they extensively asked about other programs I was applying to and if I was applying to a surgical sub which is heavily represented in my app &lt;&lt; thank you</t>
  </si>
  <si>
    <t>is there a sheet yet for this year's cycle? &lt;&lt; you mean for the cycle that will start this fall? the spreadsheet typically doesn't come out until late summer/early september. &lt;&lt; thanks</t>
  </si>
  <si>
    <t>Completely agree with comments posted. The worst part is when they're aware of their reputation from residents, attendings, and coordinators, and yet they are completely delusional and deny they have a problem. Sure guys, the problem isn't you, it's everyone else that's wrong.</t>
  </si>
  <si>
    <t>Creighton University/Maricopa</t>
  </si>
  <si>
    <t>Super friendly and warm community of residents and faculty. They did ask a few odd questions (I was asked to tell them both my prepared answer and my real honest answer about how i feel about working 80 hours?) but I didn't get anything I would consider illegal or inappropriate. PD was very approachable and honest when describing the strengths and weaknesses of the program and interview with him was conversational and smooth</t>
  </si>
  <si>
    <t>Huntington Memorial</t>
  </si>
  <si>
    <t>Stanford</t>
  </si>
  <si>
    <t>Re-applicants, how was your experience like? Especially if you were a prelim resident. Any advice? (particularly for IMGs). Thanks!+1</t>
  </si>
  <si>
    <t xml:space="preserve">Any updates from non-US IMGs who matched prelim last year? please and thank you! kind of scared for what's to come </t>
  </si>
  <si>
    <t>Kaiser Permanente</t>
  </si>
  <si>
    <t>Los Angeles</t>
  </si>
  <si>
    <t>I matched at an upper midtier academic program. Not happy with the results but have to move on.&lt;&lt; how many ivs did u get &lt;&lt; 23 with a broad mix of academic and community programs &lt;&lt; USMD with research-heavy CV switched specialties to gen surg. Got 18 IVs and matched at my #3 a mid-tier academic program to where I did not signal/had no connection. Had an even mix of academic, community, and new programs. Really excited to start my new program and thankful things worked out</t>
  </si>
  <si>
    <t>PD might tell you you're ranked to match, but I personally have known 3 folks who were told that and did not match in prior years. How cruel. &lt;- Well RTM means on average they are in a spot that would match; it's not a guarantee. &lt; - This is not a common understanding among all applicants, and is misleading &lt;- That's certainly your opinion &lt;- seems like they mostly take away rotators from what I have heard and observed +++++++100</t>
  </si>
  <si>
    <t>As a US-IMG prelim matched a categorical spot far down on my list at a small town program. Had 7 IVs total &lt;&lt; i'll be in your shoes next year any tips? how useful were signals thank u</t>
  </si>
  <si>
    <t>Spent a month as a sub-i, pretty much regret it except for the letter. Small program meant bad vibes of resident leadership affect everyone. One chief was boomer-level racist, and another was so mean and talked shit (e.g. he went home early or kissed ass with attendings rather than help a struggling new intern).  Unsure if the program bred their attitudes or revealed them, but tread carefully.</t>
  </si>
  <si>
    <t>Has anyone heard this for this season? &lt;&lt; No &lt; I heard this for CT surgery but not for general surgery</t>
  </si>
  <si>
    <t>Dignity Health East Valley</t>
  </si>
  <si>
    <t>Heard very bad things about their CT chair Dr. Woo (from a med student there and away rotators). Also heard that some of the other CT surgeons are very nice and not happy with how Dr Woo carries himself but that there's nothing they can do</t>
  </si>
  <si>
    <t>Kaweah Delta (KDHCD)</t>
  </si>
  <si>
    <t>&lt; Yeah I've heard only bad things about Stanford CT</t>
  </si>
  <si>
    <t>Visalia</t>
  </si>
  <si>
    <t>Stanford as a whole is a place to avoid. The PD has questionable motives and ethics. Last cycle, took only female medical students. This cycle lied about who he would rank and what the program can do for residents. You should avoid this program at all costs. &lt; the first part is not true (you can google it). While predominately female, there were three men. But to be fair, a lot of gen surg programs these days have incoming classes that are mostly women. Also not sure how that specifically is a reason to not want to go there.</t>
  </si>
  <si>
    <t xml:space="preserve">UMass chan baystate </t>
  </si>
  <si>
    <t>Loma Linda University</t>
  </si>
  <si>
    <t>Loma Linda</t>
  </si>
  <si>
    <t>did anyone else get extremely screwed w the match</t>
  </si>
  <si>
    <t>Yep</t>
  </si>
  <si>
    <t>Everything about this interview was lovely EXCEPT the one or two residents that went on a crazy tangent when someone asked about having kids. Said something along the lines of "you signed up to work, not take vacation" as if being pregnant and having an infant is vacation (he was a man obviously). "We support you because you're family, but you have to consider that you're making your co-residents' lives way harder" etc etc just very old school takes from someone who will probably eventually want his wife to do all this labor so he can have a kid  &lt;&lt; and the fact that no one else in the room said anything about it after that, and they all just moved on &lt; +1</t>
  </si>
  <si>
    <t>How bad y'all talking about???</t>
  </si>
  <si>
    <t>Honor Health</t>
  </si>
  <si>
    <t>"HORRIFIC experience... attending literally told me during feedback "we did not know you were even on our team until the day you arrived"..... they also had me waiting for two hours at some random office after orientation until they matched me with some prelim to do clinic with, then I was given poor feedback for not having prepped patients.. without EPIC access???? I never gained badge access which made it dificult to round on my patients and no EPIC access until last day of week 1 &lt;3. I was given conflicting advice from residents (go to every OR case, pritotize OR over clinic, etc) just to then be told by the attending that I was not supposed to be doing any of that LOL... I was also told that I was expected to go on weekends even though their coordinator told me that medical students are NOT allowed to go on weekends or do call. The attendings also talk shit about other teams and residents during cases which I found bizzarre.... Theyre supposed to be a religious organization but act in such a heinous way lmfao. They also hate anything and anyone who isnt SDA, so I would stay away from this place. Their match rate is really horrifying which is why they only accept their own most of the time. Residents and students are unhappy AF and they just lost a bunch of general surgeons to Riverside and other community hospitals. Save yourself from this trash institution. &lt;yeah for the weekend thing home subIs have to do weekends but home elective students and rotators that are doing elective rotations dont have to do weekends, it's kind of unclear to supervisors which type of credit students signed up for so they could communicate that better. but it is an unfortunate fact of subIs that you look better if you do extra i.e do some weekends. while rotating didn't meet many SDA residents or even attendings so not sure where the "hate non SDA" thing is coming from. also not sure what is meant by horrifying match rate, i guess the prelim went unfilled a few years ago? fellowship matches seem decent&lt;&lt; i met an attedning who literally left the program because he was being discrimintted against bc he wasnt SDA lmao.. the APD is SDA and was the one who was saying all this crazy shit. They need to do better with coordinating their students becdasue they can't tell you one thing and then expect you to do another. that isnt fair. in terms of bad matching: they do a shit ton of inbreeding.. &lt; true they take multiple home students most years but not sure how that correlates with horrible match rate unless you're saying home students can't match anywhere else…""</t>
  </si>
  <si>
    <t xml:space="preserve">Every single interviewer was 20-45minutes late. It felt super disorganized and like they didn't really respect the applicants time. &lt;&lt;&lt;- just wanted to add that I rotated here in a surg subspecialty &amp; every case started at least 30 mins late, 1.5 hours at times. attendings would be late to the rounds/meetings *they* scheduled &amp; then get mad at others about not having time to finish. I think it's baked into the culture. was super irritating &amp; put me off Honor (among other things) </t>
  </si>
  <si>
    <t>met with the PD and he quoted the bible to me......YIKES!!!</t>
  </si>
  <si>
    <t xml:space="preserve">Henry Ford </t>
  </si>
  <si>
    <t xml:space="preserve">The PS straight up lied to me. Also this program should be shut down. </t>
  </si>
  <si>
    <t xml:space="preserve">&lt;lol pretty sure some of this is fake&lt;&lt; i have receipts if you want &lt;3!!!!!!!!!&lt;&lt; BAHAHAH "pretty sure that's fake".. me when im trying to convince everyone that I am not LLU PD LMFAO&lt;lol my b we just had diff experiences i guess </t>
  </si>
  <si>
    <t>Student</t>
  </si>
  <si>
    <t xml:space="preserve">Malignant &lt; can u elaborate plz </t>
  </si>
  <si>
    <t xml:space="preserve">From a home student perspective some rotators are actually crap bc they come from big UC schools, treat LLU as a backup option, and overall come off as rude and self aggrandizing. Being on the service, SDA residents tend to be nice but less than 25% of the programs surgeons and residents are SDA so not sure where the feedback prior came from. Overall extremely intense imenvironment with a normal share of toxic surgeons. One peds attending and a surgical oncologist attending come to mind that are old school douche bags. However this is generally known in the program. Fellow residents, and residents from other services tend to be extremely nice and inviting. Case volume is massive. Easy to find mentors that suit your needs whether it be plastics, CT, oncology, peds, or more — there are world class attendings in CT specifically and the other programs tend to be very approachable. Is it the greatest program — no. Is it as bad as it's made out to be in the first comment — no. </t>
  </si>
  <si>
    <t>My mentor advised not to rank</t>
  </si>
  <si>
    <t>OPTI West/Community Memorial Hospital Program</t>
  </si>
  <si>
    <t>q3-q5</t>
  </si>
  <si>
    <t>didn't like interview. dropped to bottom of my list tbh</t>
  </si>
  <si>
    <t>Ventura</t>
  </si>
  <si>
    <t>Epic</t>
  </si>
  <si>
    <t>I didn't rank</t>
  </si>
  <si>
    <t>Depends on location</t>
  </si>
  <si>
    <t>DO NOT ROTATE THERE</t>
  </si>
  <si>
    <t>Brookdale</t>
  </si>
  <si>
    <t xml:space="preserve"> Community Hospital HCA</t>
  </si>
  <si>
    <t>Creighton- Phoenix</t>
  </si>
  <si>
    <t>Riverside</t>
  </si>
  <si>
    <t>University of Minnesota filed today for a union</t>
  </si>
  <si>
    <t xml:space="preserve">aside from being an atroscious program, the PD called me a few weeks ago and asked me where I put them on my rank list. Aside from making me very uncomfortable, that is a match violation! &lt; should tell them you "ranked them to match" </t>
  </si>
  <si>
    <t>Strictly for their PRELIM interview. It wasn't even an interview, they just presented a quick slide and made it into a Q/A with PD for like 30 candidates. Honestly a scam.</t>
  </si>
  <si>
    <t xml:space="preserve">did not match there thank god </t>
  </si>
  <si>
    <t>Riverside Health - UCR</t>
  </si>
  <si>
    <t>Lots of behavioral/situational questions and overall did not feel personal. Residents were very kind. +1 &lt; additionally had some questions that required clinical knowledge although about bread/butter general surgery did not appreciate this being incorporated into an interview, the sim center activity was very cool though</t>
  </si>
  <si>
    <t>Moreno Valley</t>
  </si>
  <si>
    <t xml:space="preserve">Stop deleting the Name and Shame posts. This whole process is ridiculous and we need more transparency about what programs are like. </t>
  </si>
  <si>
    <t>San Joaquin</t>
  </si>
  <si>
    <t>French Camp</t>
  </si>
  <si>
    <r>
      <t xml:space="preserve">Can everyone try to be more respectful when commenting on the quality of resident skills - keep in mind that people just matched there AND who are we to judge what we haven't learned yet &lt;&lt; really it's just freedom to share your experience and assesment of a program. </t>
    </r>
    <r>
      <rPr>
        <rFont val="arial,sans,sans-serif"/>
        <b/>
        <sz val="10.0"/>
      </rPr>
      <t>It's not personal. We are about to enter surgical residency and better expect worse criticism/ feedback than what we are reading on this sheet lol</t>
    </r>
  </si>
  <si>
    <t>Midwestern University/Mountain Vista</t>
  </si>
  <si>
    <t>Santa Barbara Cottage</t>
  </si>
  <si>
    <t>Freedom of speech still exists +1</t>
  </si>
  <si>
    <t>Santa Barbara</t>
  </si>
  <si>
    <t xml:space="preserve">everyone was nice there was a hospital tour Q&amp;A and interviews with PD and residents </t>
  </si>
  <si>
    <t>Florida Atlantic University</t>
  </si>
  <si>
    <t>interview was ok but during the Q&amp;A residents brought up many red flags &lt;&lt;&lt; like what?+1</t>
  </si>
  <si>
    <t>Stanford University</t>
  </si>
  <si>
    <t>APD Eileen de Grandis was probably the rudest person ive ever met in my medical career thus far- rude comments, weird facial expressions during the interview, dismissive in tone, and kind of argumentative. Did not rank this program as a result. If you can't hide that during the interview, imagine working in the OR with her......"</t>
  </si>
  <si>
    <t>Great program with lots of resources. Great culture/they want to train kind and thoughtful surgeons. Only downside is if you do a sub-I here, the expectations are very high and you will work extremely hard to meet or exceed expectations. Seems like they also have a preference for choosing away rotators in the match (only ~2 interns didn't do an away there).</t>
  </si>
  <si>
    <t>&lt; Agreed. Such an incredibly unpleasant interview with Dr. de Grandis. First, she said she couldnt meet during the regular interview day so she scheduled a random date/time to meet without any concern for our own schedule. Then, kept saying during the interview how "stupid and boring" questions were when most of the interview was structured where we were the one asking her questions. This, doubled with the PD interview where he asked "Did you interview at program X? Yes or no?" made me rank them dead last, almost DNR</t>
  </si>
  <si>
    <t xml:space="preserve">Great culture and wellness resources. Way too many fellows, APPS in the OR, and two attending cases. You will technically get your required cases, but even as a senior will often be 4th or 5th scrub and uninvolved. </t>
  </si>
  <si>
    <t>Anyone know of the rankings for surgery programs?   +1 would like to know</t>
  </si>
  <si>
    <t>where you matched is #1 and everyone else is the worst &lt; +1</t>
  </si>
  <si>
    <t>&lt; he asked me who i voted for in the 2024 presidential election lol   &lt;&lt;&lt; immediate DNR</t>
  </si>
  <si>
    <t>Sutter Health</t>
  </si>
  <si>
    <t>DNR-ed them cause like wth</t>
  </si>
  <si>
    <t>Roseville</t>
  </si>
  <si>
    <t xml:space="preserve">I also got off-putting vibes from Eileen de Grandis. Chair asked illegal questions. Immediate DNR from me as well </t>
  </si>
  <si>
    <t xml:space="preserve">I did not DNR this program and thankfully matched above it but honestly I should have, if that is how you act when trying to make a good impression on an interview I can't imagine what your true colors are at work </t>
  </si>
  <si>
    <t>Mayo AZ</t>
  </si>
  <si>
    <r>
      <rPr>
        <rFont val="Varela Round"/>
        <b/>
        <sz val="12.0"/>
      </rPr>
      <t xml:space="preserve">Programs that send surveys to applicants after interviewing
</t>
    </r>
    <r>
      <rPr>
        <rFont val="Varela Round"/>
        <b/>
        <sz val="10.0"/>
      </rPr>
      <t xml:space="preserve">WashU
</t>
    </r>
    <r>
      <rPr>
        <rFont val="Varela Round"/>
        <b/>
        <sz val="12.0"/>
      </rPr>
      <t>Duke
UCSD</t>
    </r>
  </si>
  <si>
    <t>UC (San Francisco)/Fresno Program</t>
  </si>
  <si>
    <t>Fresno</t>
  </si>
  <si>
    <t>Fuck +1</t>
  </si>
  <si>
    <t xml:space="preserve">super positive impression. PD really seems solid. lots of experiency and autonomy for senior residents was my impression. </t>
  </si>
  <si>
    <t xml:space="preserve">&lt;&lt; why is this a bad thing? &lt; using us for our data, also not compensated &lt; Reaching for something to whine about </t>
  </si>
  <si>
    <t xml:space="preserve">Fuck all of this.. lets see some additions to the Name &amp; Shame </t>
  </si>
  <si>
    <t>&lt; i put mine lets see moreeeee</t>
  </si>
  <si>
    <t>UC Davis</t>
  </si>
  <si>
    <t>Sacramento</t>
  </si>
  <si>
    <t>Very much enjoyed my time here. Worked closely with the interns who really welcomed me on board. Chief residents were all friendly and worked hard to integrate me into the team. Program Director is incredibly sweet. Hospital has nice enough facilities, but you are in Sacramento which is HOT. I would go for the program but not for the specific location. &lt; but whats HOT to you lmao</t>
  </si>
  <si>
    <t xml:space="preserve">Really awesome residents and approachable and kind faculty. They definitely want you to have a good experience with their program as an away rotator. </t>
  </si>
  <si>
    <t>U Arizona - Phoenix</t>
  </si>
  <si>
    <t>UC IRVINE</t>
  </si>
  <si>
    <t>UC Irvine</t>
  </si>
  <si>
    <t>Orange</t>
  </si>
  <si>
    <t xml:space="preserve">Enjoyed my time here on a busy service. Non-malignant program overall. Residents seem to mesh well together and were very friendly. Seems like faculty care a lot about resident education. Great clean and organized facility with a great cafeteria. Anaheim is okay, great food but not many things to do tbh. </t>
  </si>
  <si>
    <t>IMGs, please share the list of programs you applied to+1</t>
  </si>
  <si>
    <t>Did not sense comradery during my away rotation, trying to set up a meeting with PD is strange and he makes you meet him in the OR hallways before/after cases, worked near 80 hours/week as an away rotater and received positive feedback from faculty/residents yet did not get an interview despite +signal and +geo signal with regional ties, - was a total waste of an away rotation and would NOT recommend doing an away here! overall seems like a mid program with nothing special going for it</t>
  </si>
  <si>
    <r>
      <rPr>
        <rFont val="Varela Round"/>
        <b/>
        <sz val="9.0"/>
      </rPr>
      <t>Could not disagree more with the comment re lack of camaraderie. Also it's quite common to work close to 80 hrs / week as a sub-I away rotator at</t>
    </r>
    <r>
      <rPr>
        <rFont val="Varela Round"/>
        <b/>
        <i/>
        <sz val="9.0"/>
      </rPr>
      <t xml:space="preserve"> any</t>
    </r>
    <r>
      <rPr>
        <rFont val="Varela Round"/>
        <b/>
        <sz val="9.0"/>
      </rPr>
      <t xml:space="preserve"> institution. It sounds like there could have been more transparency in the evaluations, but there is nothing mid about this program - evidence is in where alumni have matched for fellowship, among other metrics </t>
    </r>
  </si>
  <si>
    <t>UC San Diego</t>
  </si>
  <si>
    <t xml:space="preserve">Somehow my comment got deleted... I did an away rotation here as a DO and felt two ways - on one hand, I felt very respected by my chief on service and on the other hand, I felt very disrespected by the interns and the juniors and even the fellow. I felt like there was very little patience for teaching, even though I paid thousands of dollars to be there that month. I feel like if they like you there, they like you and if they don't like you - they act like you don't even exist. I think this translates well to the residents as well. </t>
  </si>
  <si>
    <t>San Diego</t>
  </si>
  <si>
    <t xml:space="preserve">I agree with the points above. Overall, people seem friendly, but there is a reason the program has come under investigation regarding duty hours. It does not appear to be universal across the program; rather, a subset of residents seems to be working disproportionately long hours.
At the same time, many residents appear to have significant flexibility, with frequent travel and attendance at events that most general surgery residents typically would not have time for. The social dynamic felt somewhat unusual—at times reminiscent of a high-school environment—with clear in-groups and others who seemed marginalized. A few interactions gave an impression of immaturity and cliquishness that came across as exclusionary rather than collegial. It is obvious that there are favorites who get better schedules and others who get completely screwed over. </t>
  </si>
  <si>
    <t xml:space="preserve">Away rotation at Jacobs Medical Center. Very academic services with multiple tumor boards/dedicated teaching rounds/dedicated education sessions. Was very much treated as an intern when it came to pre-rounding and afternoon floor work although was pretty much in OR all day, every day. Attendings were very interested in teaching but also getting to know me; they all understood I was there for an audition to residency, gave feedback accordingly and wanted to see me succeed. Residents also were very into teaching, honest and transparent about program pros/cons, very friendly and introduced me to many other residents on other services. Chair rounds with chair 1-2 during the rotation, somewhat pointless pimping on history of surgery but interesting nontheless. Most away rotators go shadow clinic mornings w PD and have a psuedo interview/get to know you session. All in all reflecting after two other away rotations, UCSD gave the best insight to what it would look like ot be a resident and also gave the most oppurtunities and care to impress those around me. </t>
  </si>
  <si>
    <t>U Arizona - Tucson</t>
  </si>
  <si>
    <t>non visa requiring if i go to a prelim pgy2 can i still apply for cat pgy1 the next year?</t>
  </si>
  <si>
    <t xml:space="preserve">UC San Francisco (East Bay) </t>
  </si>
  <si>
    <t>Oakland</t>
  </si>
  <si>
    <t>you certainly can, however programs may be reticent to take you.</t>
  </si>
  <si>
    <t>Everyone was very kind and had clearly looked through my application</t>
  </si>
  <si>
    <t>Why negative? +9 &gt;&gt; nothing major just a multiple changes in the interview schedule a few times during the day d/t emergencies</t>
  </si>
  <si>
    <t xml:space="preserve">Away rotation in SICU, super super nice residents, attendings all love to teach and involve everyone in didactics, residents get$30/day meal stipend, parking at the hospital is $10/day unless you park further away and take hospital shuttle </t>
  </si>
  <si>
    <t>Did an elective rotation as an IMG and the attendings excpet one were very unwelcoming and acted like i wasnt even there there are also multiple similar complaints on the home away review sheet</t>
  </si>
  <si>
    <t>thoughtful interviews, seems like a good culture.</t>
  </si>
  <si>
    <t>&lt;&lt; Can this person talk about their experience in SICU? I am going to start an away rotation there and I would love to have more information about this. I can give phone # if you want</t>
  </si>
  <si>
    <t>really great culture + diversity of staff and residents. great vibes all around</t>
  </si>
  <si>
    <t>UCLA Medical Center Program</t>
  </si>
  <si>
    <t>Henry Ford - Jackson</t>
  </si>
  <si>
    <t>night float</t>
  </si>
  <si>
    <t>Depends on location, cerner for most</t>
  </si>
  <si>
    <t>What are the 4 unfilled categorical positions?</t>
  </si>
  <si>
    <t>Will give you auditions with no intention of interviewing. Got to my audition and was told I would not be invited to interview and this was determined prior to my audition starting+1</t>
  </si>
  <si>
    <t>Truth should come out when NRMP publishes all data. Comments on the program were nasty and current residents also gave similar feedback; glad I ranked them way low, hoping I didn't match here but higher on my list</t>
  </si>
  <si>
    <t>decided before your rotation???? If someone told me that at the start of my rotation, I would consider just going home and not wasting my time</t>
  </si>
  <si>
    <t>CALIFORNIA</t>
  </si>
  <si>
    <t>It's against the NRMP rules to share unfilled programs iirc &lt;&lt;&lt; can at least share location &lt;&lt; but why are you curious? those who haven't matched will have this info. those who have matched don't need it. you will find out on friday where people end up. "</t>
  </si>
  <si>
    <t>they told me on after i got there that they gave me an audition but would not be invited to interview</t>
  </si>
  <si>
    <t>Replaced: "UTSW has 1 open iykyk &lt; really?? +1 &lt;&lt;&lt;&lt; Lol fuck UTSW&lt; why&lt;&lt; what the hell I didn't get to second round I consolded myself may be they got more fit candidates, this was 20 minutes near my parents place, would have been my number one.... hurts to see &lt;&lt; feel like this isn't even true though?" with "this spreadsheet doesn't include everyone and yet it shows 13 people ranked UTSW #1, for 13 spots.... Another two ranked it #2. This report of them having an unfilled categorical spot feels hard to believe. Is it true?"</t>
  </si>
  <si>
    <t>Nasty how ?</t>
  </si>
  <si>
    <t>doubtful they had an unfilled spot  &lt; I can tell you for sure they didnt</t>
  </si>
  <si>
    <t>Rush Chicago</t>
  </si>
  <si>
    <t>Toxic</t>
  </si>
  <si>
    <t>current prelims who matched cat any advice?</t>
  </si>
  <si>
    <t xml:space="preserve">they dont care about their residents at all. They had a resident suicide a few years back and their program is still toxic. </t>
  </si>
  <si>
    <t xml:space="preserve">Easy answer is be a US-IMG and do alright because that will exponentially increase your chances. Otherwise work hard at the prelim program so that they give you great recommendations and will go to bat for you during next match season. Also ask for help and to get recommended to programs they have ties with. Advice I got when I matched prelim last year which I think is pretty accurate was: You can't just be the best out of the prelims, you have to be the best out of your whole class </t>
  </si>
  <si>
    <t>What advice do you have to be the best out of your entire class? can i send you a message?</t>
  </si>
  <si>
    <t>Fuck this program</t>
  </si>
  <si>
    <t>UCSF</t>
  </si>
  <si>
    <t>San Francisco</t>
  </si>
  <si>
    <t>Warm, welcoming, with amazing opportunities (Away rotation)</t>
  </si>
  <si>
    <t>Arrowhead</t>
  </si>
  <si>
    <t>what rank do you all think we'll match at? :-)</t>
  </si>
  <si>
    <r>
      <rPr>
        <rFont val="Varela Round"/>
        <b/>
        <sz val="9.0"/>
      </rPr>
      <t>Such SHITTY training here. The residents suck at operating. The faculty are toxic and you get no OR time until your year 3 and even then shitty training.  The residents have no autonomy.</t>
    </r>
    <r>
      <rPr>
        <rFont val="Varela Round"/>
        <b/>
        <sz val="9.0"/>
        <u/>
      </rPr>
      <t xml:space="preserve"> Shitty research opportunities despite their advertisement of research. Shouldn't be an academic center. </t>
    </r>
  </si>
  <si>
    <t>University of Southern California/LAC+USC Medical Center Program</t>
  </si>
  <si>
    <t xml:space="preserve">#1 obviously :) </t>
  </si>
  <si>
    <t>during second look, a resident told us that interns hardly get in the OR</t>
  </si>
  <si>
    <t xml:space="preserve">Residents seemed beat down here. </t>
  </si>
  <si>
    <t>Residents seem tight knit and are friends outside of work. Very high trauma volume, q4 call on ACS service. PD and APDs seem to really care about the community. All expereince from LA General side, not sure how it is at Keck</t>
  </si>
  <si>
    <t>Arrowhead Regional</t>
  </si>
  <si>
    <t>LSU (New Orleans)</t>
  </si>
  <si>
    <t>Colton</t>
  </si>
  <si>
    <t>Pleasantly surprised by how capable and kind the residents are - high trauma volume and seniors completely run the services. Work horse vibes at arrowhead, but seems balanced out with half Kaiser rotations.  Busy service, occasional malignant seniors but seems to be change of culture / they're graduating this yr</t>
  </si>
  <si>
    <t>&lt;&lt;PD is leaving, but APD taking over seems v personable and teaching-oriented</t>
  </si>
  <si>
    <t>when will be able to acess the data about unfilled spots statisitics like last years pdf</t>
  </si>
  <si>
    <t>&lt;&lt;Any info?</t>
  </si>
  <si>
    <t>In my first interview of the day, I was GRILLED on my research, then the ENTIRE last 5 minutes of the interview ended with "So I see that big rock on your hand - married? Engaged?" followed up by 5 more illegal questions about everything from what does he do to is he going to move with you. Nothing in my app or interview discussed my relationship status so it was Very illegal. I sent an email to the PD the next week saying I respected the program and him and wanted to let him know "hey this happened and I just want to let you know because I am worried it could impact my interviewer's perception of me." He said "sorry that happened, it wont affect anything" and never recognized it was illegal/inappropriate questions nor asked for any info to ensure that those interview scores were fair (obviously no interviewer is going to say outright shes getting married, so i think she will be less dedicated BUT could affect their judgements of everything else). So I felt like the whole experience was brushed off and not addressed at all. Ended up not ranking them.</t>
  </si>
  <si>
    <t>what will we get out of this? &lt;&lt; matched prelim want to see cat unfilled programs for next year&lt; data should be in residency explorer and NRMP bit later</t>
  </si>
  <si>
    <t>Cedars-Sinai</t>
  </si>
  <si>
    <t>HCA Swedish Englewood</t>
  </si>
  <si>
    <t>Englewood</t>
  </si>
  <si>
    <t>CO</t>
  </si>
  <si>
    <t>anything?</t>
  </si>
  <si>
    <t>interviewed here, can say that they do a lot of trauma. it did not wow me. they use meditech for their EMR which looks like ass</t>
  </si>
  <si>
    <t>Everyone was very nice, had clearly read my app, and discussed opportunities for personal career goals. Very MIS-heavy program</t>
  </si>
  <si>
    <t>RMOPTI/Sky Ridge Medical Center - Surgery-General Residency</t>
  </si>
  <si>
    <t>Lone Tree</t>
  </si>
  <si>
    <t>interviewed there. call schedule is really chill and they rotate at a few different sites. can't say i loved it but it seems like a good enough place to train</t>
  </si>
  <si>
    <t xml:space="preserve">U Tennessee Memphis </t>
  </si>
  <si>
    <t>this program is known as one of the more weak programs compared to other programs in Colorado</t>
  </si>
  <si>
    <t>So how's everyone doing?</t>
  </si>
  <si>
    <t>Saint Anthony/KCU-GME</t>
  </si>
  <si>
    <t>nervous..confidence is one but not knowing which one will be match. not sure what to do, I haven't slept in days &lt;&lt; ur ready for gen surg then &gt; LMAO</t>
  </si>
  <si>
    <t>Community Memorial (Ventura)</t>
  </si>
  <si>
    <t>Lakewood</t>
  </si>
  <si>
    <t>nervyyyyy! gonna try to not be disappointed if its not near the top of the ROL :)</t>
  </si>
  <si>
    <t>PD seemed old-school vibes. Overall I liked a lot about the program but it does seem like they work the residents hard hard. There were a few weird comments that were off-putting and I am literally quoting what he said because I wrote it down in my notes since it took me by surprise - 0 electives allowed as a resident because "we are spread thin throughout the city so if you want a thoracic rotation because you want to go to thoracic fellowship then you would screw over your co-resident leaving them alone" later when discussing vacay etc "[4 or 6 i forget)] weeks paternity leave and thats SUPER generous (actually thats standard).... but I do want to point out that is in conflict with the ACGME requirements for graduation year 4 and 5... so.... just wanted to say that now..." guess you can count on not having a kid as a PGY4 or PGY5. Then he made a comment in reply to an applicant's best piece of advice that the PD had asked multiple applicants while in the waiting room. She had something about its a misconception to be well rounded is the best thing you can do because what programs actually want is a wellrounded class so dont have any deficiencies but also focus on developing something important to you and go a mile deep with that rather than doing a little of everything. His reply was that "oh I thought you were going to say the thing they say about that managers/bosses not wanting the smartest person but what they really want is an employee who [something along the lines of sits down does their work and shuts up]"       just weird vibes man - did not rank after that.</t>
  </si>
  <si>
    <t>Saint Joseph Program</t>
  </si>
  <si>
    <t>Denver</t>
  </si>
  <si>
    <t xml:space="preserve">PD is leaving postion to become c-suite during interview season. Intermountain Health is splitting up with Kaiser, which is 50% of the surgeons and operative volume the program gets, so the future of this program is uncertain as there is going to be a lot less surgical volume available for St. Joseph's residents. The program does not have clear solution to this problem and is actually asking residents to find rotations and cases to meet their number. If you want to be in Denver for residency, your better choice is to go to University of Colorado, St Anthony, or the other smaller programs in the city. </t>
  </si>
  <si>
    <t>I was at this interview day and didn't get that vibe. The PD had a bit of weird/more silent vibes, but I heard the elective comment and tbh lots of programs don't have electives for the same reason as what he said… so this doesn't seem too odd to me. Idk if you've had the opportunity to visit Memphis, but it's a large city w/ high crime, so I imagine the residents on most services are super busy and I'm not shocked that doing an elective rotation would make it difficult for the rest of the teams to handle patient-load. The parental leave policy and the comment the PD made is unfortunate and I must have missed him saying that so I appreciate you adding that info so people are aware bc they should be more accommodating. Also you already complained about most of this in the "interview impressions" tab, so it's interesting that you're commenting again. I matched above this program on my list, but honestly would've been happy if I ended up there bc I know they're competent surgeons despite caseload concerns.  &lt; yes I matched to my #2  and am very very happy where I ended up. And yes I did put this under the interview impressions because the day caught me so off guard. The no electives doesn't throw me - it's the comment he added of being spread so thin and screwing over your co residents. I added it here because when I was looking at past years I didn't go to every interview impression and would skim name and shame to see if anything was a red flag - obviously everyone has different red flags so people can judge on their own accord. But the three of these things were enough for me to DNR due to concern of the culture</t>
  </si>
  <si>
    <t>Did everyone get the survey yesterday from UCSD?</t>
  </si>
  <si>
    <r>
      <rPr>
        <rFont val="Varela Round"/>
      </rPr>
      <t xml:space="preserve">&lt;---  </t>
    </r>
    <r>
      <rPr>
        <rFont val="Varela Round"/>
        <color rgb="FF1155CC"/>
        <u/>
      </rPr>
      <t>https://www.denverpost.com/2024/09/18/kaiser-permanente-intermountain-health-separation-colorado-commonspirit/</t>
    </r>
  </si>
  <si>
    <t xml:space="preserve">&lt;&lt; echoing that sentiment. The PD is a bit awkward but he had ice breaker prompts and was trying to engage us by responding to answers. It's pretty subjective and (coming from an old school program perspective) I don't think it's old school vibes at ALL. The parental leave policy I'm pretty sure he was talking about how you have to work 48 weeks (outside of the prescribed vacation/sick days) during chief year which is ACGME mandated. It's a busy city and residents are spread thin but the comraderie they had is more important than that considering you're gonna be busy in residency regardless...I didn't see any glaring red flags at any part of the interview tbh. Definitely not on the level of DNR considering other programs out there and ones I interviewed at. </t>
  </si>
  <si>
    <t>no? 2+</t>
  </si>
  <si>
    <t>Yes +1</t>
  </si>
  <si>
    <t>Harbor-UCLA/County</t>
  </si>
  <si>
    <t>&lt;oh 100% that's what he was referencing with the AGME work week requirements but hundreds of programs across the country make it work… you stay one extra week after residency or so… I think bringing it up to applicants 4 years away from that shows that there is clearly a culture of no family planning during later residency  &lt; this just goes with best fit then because they have at least seven residents with kids (reference: social), you can still take that 6 weeks for leave, and some people don't plan on having kids during residency anyways or even in chief year so honoring transparency 4 years in advance for a busy af program isn't a shame-able thing. kinda seems exactly like the definition of family planning albeit not as accomodating as everyone would want.</t>
  </si>
  <si>
    <t>WASHU</t>
  </si>
  <si>
    <t xml:space="preserve">My first interview was super off putting with questions that put you on the defense like "I saw you honors-ed all but surgery - how did that make you feel (I high passed and did great on the shelf and had wonderful comments on my MSPE and got a letter of rec from a Top 5 gen surg away program and honorsed all of my surgery rotations after my core); Are you happy with your step score (slightly above average), "tell me about a time you had to give ACTUAL bad news to the patient or family like telling them the team made a medical error, that the surgery/outcome is looking poor, that their family member died and give me a real answer not a small mistake" with all due respect sir I am a medical student - we aren't allowed to do that. The whole interview just felt very interrogative and like they wanted to hear about the "red flags" on my app despite having a high 25x, honors-ing all of my rotations in ALL of medical school except 2 high passes, good quality/quantity research, and great letters. </t>
  </si>
  <si>
    <t>Can anyone set up a data sheet for interview release for SOAP? So we know which programs are extending offers and when? Or is that illegal to share which programs are in SOAP rn haha</t>
  </si>
  <si>
    <t xml:space="preserve">Several microaggressions during the Chair interview... </t>
  </si>
  <si>
    <t xml:space="preserve">  It says multiple times on this page that it is a match violation to share which programs are in soap &lt; peep the fm spreadsheet then lol </t>
  </si>
  <si>
    <t>OHSU</t>
  </si>
  <si>
    <t>PD is leaving as mentioned, but the new PD is quite lovely. the residents are very happy but there definitely is some anxiety about the Kaiser divorce. theres free food. The residents operate a ton, and as a home student from CU, it is well known that the Joes residents are better operatively than their counterparts at CU (at least until R4/5 year). BUT no one knows has that will change with Kaiser leaving, etc</t>
  </si>
  <si>
    <t xml:space="preserve">Will give you auditions with no intention of interviewing. </t>
  </si>
  <si>
    <t>why negative?</t>
  </si>
  <si>
    <t>This happened to me as well. Plus I was given a scholarship to do the away rotation. Honestly, was the heartbreaker of the season for me.</t>
  </si>
  <si>
    <t>University of Colorado</t>
  </si>
  <si>
    <t>Aurora</t>
  </si>
  <si>
    <t>Congrats! Imgs please update applicant info for all of us applying again next year</t>
  </si>
  <si>
    <t>Away rotator. Everyone is super happy to be there, even transfers from other categorical programs. Leadership is kind, including chiefs and attendings. Culture of understanding and devotion to seeing everyone succeed, including prelims. They give you training from before you arrive on EMR and access so you can prepare ahead of time, which I did and was able to assist and close from day 1 in the OR. Mid-level residents always looked out for how they could include you, teach you, and help you prepare. Did not personally experience malignancy from faculty, residents, APP's or even ancillary staff at any time.</t>
  </si>
  <si>
    <t>Everyone was nice enough and liked the program enough, but I talked to very few residents that LOVED it there. Residents said it was no-longer malignant, but was only a handful of years ago - to me, it didn't feel like it had fully made the shift into "supportive" just kinda non-malignant. My experience as an away student was good not great</t>
  </si>
  <si>
    <t>Home student here. This is a very operative heavy program even for junior residents. Chiefs this year graduating with average of 1300 cases and essentially run the services and ORs especially on TACS services. Chiefs are walking junior residents through mroe complicated cases like colectomies with attendings just in the room not scrubbed. Good atmosphere and relationships between residents and students as well. Lots of teaching from all levels. Residents seem to love the program and the program leadership</t>
  </si>
  <si>
    <t xml:space="preserve">Home student here as well. I really investigated the 'malignant' thing. I asked every single resident i worked with, I asked faculty I was close to, I asked everyone. From my investigations I can conclude this: this program is not malignant and is in fact delightful for categoricals. For prelims, it can be a nightmare. they take a lot of their open spots from johns hopkins so a lot of times the prelims who have been working their ass off in the program dont get a categorical spot. but, like I said, for categoricals, its great. they pay pretty well, you get to work at a few different hospitals, and the call is not bad. the PD is one of hte longest serving PDs in the nation and is legitimately awesome! </t>
  </si>
  <si>
    <t xml:space="preserve">Matched prelim why does it say soap eligible </t>
  </si>
  <si>
    <t>"Very friendly residents, willing to go the extra mile to guide and support all students. Attendings ask reasonable questions and tell you how to review for cases. Interns seem happy, though services are busy. Night float only, no call."</t>
  </si>
  <si>
    <t>Kaiser LA</t>
  </si>
  <si>
    <t>you would be eligible to soap into advanced spots, though not sure how common that is in gen surg - i think majority do the prelim and reapply into pgy-1 spots. but for example, you would technically be eligible to soap into anesthesia advanced spots (or other specialties that generally require a prelim year)</t>
  </si>
  <si>
    <t>Danbury</t>
  </si>
  <si>
    <t>ohh thanks! im just gonna apply nect year</t>
  </si>
  <si>
    <t>CT</t>
  </si>
  <si>
    <t>Abrazo</t>
  </si>
  <si>
    <t>partial negative because one of my interviewers said he doesnt read anyones app at all but the convo flowed easily and we had a good connection... but i feel like if they had read my app it wouldve been more helpful</t>
  </si>
  <si>
    <t>Faculties asked illegal questions: what other programs in the area are you interviewing with or applied to? where are you planning on ranking us?</t>
  </si>
  <si>
    <t>St. Mary's Hospital (Trinity Health)</t>
  </si>
  <si>
    <t>Waterbury</t>
  </si>
  <si>
    <t>how do we find the list of programs that don't participate in soap/match? ones we can apply to if soaping</t>
  </si>
  <si>
    <t>Stamford Hospital/Columbia</t>
  </si>
  <si>
    <t>Stamford</t>
  </si>
  <si>
    <t>in the unmached email</t>
  </si>
  <si>
    <t>Kern Bakersfield</t>
  </si>
  <si>
    <t>Loyola</t>
  </si>
  <si>
    <t>University of Connecticut</t>
  </si>
  <si>
    <t>Farmington</t>
  </si>
  <si>
    <t xml:space="preserve">PD is very excited about this program and getting it up and running. Really in need population to work with and felt they were truly passionate about the commmunity. </t>
  </si>
  <si>
    <t>Will give you auditions with no intention of interviewing.</t>
  </si>
  <si>
    <t>Residents seem happy if a bit overworked. Call every 3-5 days on busier services.</t>
  </si>
  <si>
    <t>New PD is very welcoming, appears to genuinely care about residents.</t>
  </si>
  <si>
    <t>Heard they were toxic  +1</t>
  </si>
  <si>
    <t>is there a discord for SOAP?+1</t>
  </si>
  <si>
    <t>Kaweah</t>
  </si>
  <si>
    <t>Waterbury Hospital Program</t>
  </si>
  <si>
    <t>there's a soaphope discord channel linked on reddit - has a surgery channel on it</t>
  </si>
  <si>
    <t>Brown</t>
  </si>
  <si>
    <t>Yale</t>
  </si>
  <si>
    <t>New Haven</t>
  </si>
  <si>
    <t>malignant program with malignant attendings. The yale medical students hate rotating on the gen surg services (particularly trauma lol)</t>
  </si>
  <si>
    <t xml:space="preserve">&lt;- I rotated in trauma and my experience was exact opposite of malignant, and even had some Yale M3s w me that were really enjoying their time. </t>
  </si>
  <si>
    <t xml:space="preserve">APD was rude throughout my interview and entire time felt like she was picking apart my application and trying to find any flaws when talking to me. Very interrogative and dismissive. </t>
  </si>
  <si>
    <t>Congratulations all! How many positions are available in in prelim &amp; categorical in SOAP?</t>
  </si>
  <si>
    <t>yeah what are the 4 categorical postions that are available?----!!!!</t>
  </si>
  <si>
    <t>&lt; had the same experience! SUPER rude about my med school (cuz it's no name basically). everyone else was nice so has to be the same APD</t>
  </si>
  <si>
    <t>George Washington University</t>
  </si>
  <si>
    <t>Washington</t>
  </si>
  <si>
    <t>&lt; same! I thought it was just me or potentially a bad APD interview. Left feeling not so great. Otherwise, everyone was very nice</t>
  </si>
  <si>
    <t xml:space="preserve">561 unfilled PGY1 slots per NRMP report </t>
  </si>
  <si>
    <t>DC</t>
  </si>
  <si>
    <t>Are there any cat unfilled? 4 unfilled &lt; matched prelim but im curious what programs</t>
  </si>
  <si>
    <t>Away rotator... felt residents really care about one another, felt like a family/they genuinely like eachother and hang out after work. Other than one really aggressive attending, attendings were very invested in teaching and approachable</t>
  </si>
  <si>
    <t>All faculty and PD were incredibly warm. Overall got very positive vibes from this interview as an away rotator.</t>
  </si>
  <si>
    <t>Absolutely loved the residents, so honest and down to earth!!!+1</t>
  </si>
  <si>
    <t>UTHouston</t>
  </si>
  <si>
    <t>home student here: this program is malignant as hell. So much so, that I went to another program in the west coast and an ATTENDING there was like "oh your program is very malignant, and I can say that because I trained in Boston" ........ Residents are super duper fake with the students and many have been reported by students for bullying lmao. also the attendings quite literally do not care about you. only the the trauma surgeons are the ones worth working with.</t>
  </si>
  <si>
    <t>Howard University Program</t>
  </si>
  <si>
    <t>My interviewers were switched without me knowing so it was very off putting - multiple of my interviewers showed up mid interview while I was already responding to questions from the other interviewer which was also distracting - overall it seemed like the interviewers were uninterested and made up their mind about rankings prior to interviews</t>
  </si>
  <si>
    <t xml:space="preserve">PC from another program - I have had to switch interviewers from time to time at the last minute. It sucks, but sometimes it is out of our control. Usually, it is due to unexpected clinical schedule conflicts - last-minute case, covering for a sick peer, a critical patient, transplant, etc. Also, I try to do group faculty for interviews because sometimes one interviewer is late due to something clinical. The faculty interviewing are usually managing a lot of responsibilies while interviewing. </t>
  </si>
  <si>
    <t xml:space="preserve">All the best guys! You are the most talented and hardworking people I've seen. </t>
  </si>
  <si>
    <t>Hope the Match gods agree with you</t>
  </si>
  <si>
    <t>UTMB</t>
  </si>
  <si>
    <t>Medstar/Georgetown Health Program</t>
  </si>
  <si>
    <t xml:space="preserve">Interviewer asked, more so said: you're applying surgery at your age? </t>
  </si>
  <si>
    <t>HCA Healthcare/Los Robles</t>
  </si>
  <si>
    <t>PC was essentially unresponsive around getting out interview day details. +4
I cancelled my interview because of this, of course i got an immediate reply to that... then still got sent an itenerary the week of the interview I cancelled. Had to call the PC by telephone to remind them that I had cancelled because they didn't write it down. Unfortunate that someone missed an opportunity for another interview because of that</t>
  </si>
  <si>
    <t>Heard through grapevine PD (Jackson) may be stepping down</t>
  </si>
  <si>
    <t xml:space="preserve">interim chair said residents should work over 80 hours, PD rolled his eyes when asked about it. seems like things are in transition but not in a good way. </t>
  </si>
  <si>
    <t>&lt;-- He did for personal reasons. Entire department was very supportive of the decision and the residents love the new PD (prior APD for Georgetown for many years)</t>
  </si>
  <si>
    <t>Held 2-day in person interviews then matched 5/6 home students...seems like a slap in the face to all those who paid to travel</t>
  </si>
  <si>
    <t xml:space="preserve">the PD and all the attending were genuinely interested learning about the applicant and make sure it is the right fit. </t>
  </si>
  <si>
    <t xml:space="preserve">Imgs currently doing prelim how many cat invites did u get this cycle? </t>
  </si>
  <si>
    <t>My mentor said if you want to have confidence to do surgery to private practice don't go to UTMB; I ranked this last</t>
  </si>
  <si>
    <t>Why negative?</t>
  </si>
  <si>
    <t>Bayhealth Medical Center Program</t>
  </si>
  <si>
    <t xml:space="preserve">Please so any of us who match prelim know what to expect </t>
  </si>
  <si>
    <t>Dover</t>
  </si>
  <si>
    <t>Matched categorical and had 7 including the place I'm currently a prelim at (US-IMG)</t>
  </si>
  <si>
    <t>DE</t>
  </si>
  <si>
    <t>This program is not worth the two day in person interview. SMFH</t>
  </si>
  <si>
    <t xml:space="preserve">community program but with a lot of autonomy. I rotated at one of their campuses down south recently and my senior was a second year resident,  despite being an img she ran the service flawlessly,  was operating like a 4th year. I was very impressed despite being biased initially </t>
  </si>
  <si>
    <t>Valley Health vegas</t>
  </si>
  <si>
    <t xml:space="preserve">I agree, this program has a very good potential of outshining other community programs. Not at all malignant </t>
  </si>
  <si>
    <t>Meditech</t>
  </si>
  <si>
    <t>ChristianaCare</t>
  </si>
  <si>
    <t>Newark</t>
  </si>
  <si>
    <t>free</t>
  </si>
  <si>
    <t xml:space="preserve">interviewer made a disparaging comment about my husband's job implying that he was working for the 'man' and that we are somehow pure and selfless by choosing surgery. furthermore, they explained why they are on probation but the story didn't add up. if your prelim intern didnt feel comfortable telling their PD or chief that OR staff made a racial slur- perhaps the program created a culture of that. PD made it seem like the chief resident was to blame for reporting to ACGME instead of PD.  DNR this program. Resident interviewers didnt even read my app. </t>
  </si>
  <si>
    <t xml:space="preserve">where is the interview invite tab? </t>
  </si>
  <si>
    <t>HCA Healthcare Riverside</t>
  </si>
  <si>
    <t>AdventHealth Tampa</t>
  </si>
  <si>
    <t>supplemental sheet in overview</t>
  </si>
  <si>
    <t>Tampa</t>
  </si>
  <si>
    <t>FL</t>
  </si>
  <si>
    <t>AdventHealth Orlando</t>
  </si>
  <si>
    <t>orlando</t>
  </si>
  <si>
    <t>University of Chicago</t>
  </si>
  <si>
    <t>Brandon Regional</t>
  </si>
  <si>
    <t>Brandon</t>
  </si>
  <si>
    <t>Did not match in 2024. SOAP'd into gen surg prelim. Worked worked worked, very hard, believe I did a great job. Loved being a surgical intern. Worst year of my life nonetheless knowing it could all fall apart. Match/no-match email very soon. Feel very sick.</t>
  </si>
  <si>
    <t>Good luck!!!!!! hey can someone help with SOAP questions ?</t>
  </si>
  <si>
    <t xml:space="preserve">PD straight up told me they are looking to match students more diverse students than I am. When I asked what she meant by that she stated people of color and who have overcome more adversity. Look I am all about diversity in training programs but this interaction gave me weird vibes. </t>
  </si>
  <si>
    <t>you got this!!! Update us ❤️&lt; I did not match +1 &lt; what are your options now?</t>
  </si>
  <si>
    <t>good luck! +1</t>
  </si>
  <si>
    <t>Naval Medical Center (San Diego)</t>
  </si>
  <si>
    <t xml:space="preserve">Good luck!! You got this </t>
  </si>
  <si>
    <t>Broward Health Program</t>
  </si>
  <si>
    <t>Fort Lauderdale</t>
  </si>
  <si>
    <t>Lakeland Regional Health Program</t>
  </si>
  <si>
    <t>&lt; I don’t have anythin to add just wanna say this is crazy and you lucked out not matching there lol &lt; they gave you an interview so you had a shot &lt; This sort of thing is true at all the big academic centers. Truth is, if you want to match namebrand gen surg as a white male, you have to be an all star. Plenty of guys at my ~T50 school went AOA, step 2 &gt; 265, couple of pubs, and still wound up at T100 residencies in undesirable locations.</t>
  </si>
  <si>
    <t>They take only applicants who are unrepresented.&lt;&lt; I don't think this is true but can see more of an emphasis given their patient population. Can agree to argue whether that is better than places with similar populations but no urms in their matched pics &lt;&lt; at least half of their class was ethnic minority with only 2 males. I think there is a broad trend to include more DEI in surgery programs which includes applicants of color and females</t>
  </si>
  <si>
    <t>Cleveland Clinic Florida</t>
  </si>
  <si>
    <t xml:space="preserve">The program director is kinda not cool &lt; details? </t>
  </si>
  <si>
    <t>Weston</t>
  </si>
  <si>
    <t>Good luck this week, fam. Y'all deserve good things after all this! +4</t>
  </si>
  <si>
    <t>Riverside University Health</t>
  </si>
  <si>
    <t xml:space="preserve">FAU </t>
  </si>
  <si>
    <t>Boca Raton</t>
  </si>
  <si>
    <t>Cousin's wife's brother's neighbor</t>
  </si>
  <si>
    <t>&lt; can you expand on the positive?</t>
  </si>
  <si>
    <t>Interview was overall positive</t>
  </si>
  <si>
    <t>very positive and very informal. they had "themes" with each interviewer and one of them pimped me on surgical steps hahahah but it was very chill otherwise</t>
  </si>
  <si>
    <t>FSU</t>
  </si>
  <si>
    <t>Tallahassee</t>
  </si>
  <si>
    <t>ascension st vincent</t>
  </si>
  <si>
    <t>What are the statistics for surgery matching top choice or top 5 choice?</t>
  </si>
  <si>
    <t>where is this data from? &lt; unclear, looking at last years's sheet, over 40% of people who shared data matched to their #1 and like 87% matched in their top 5. Biased sample but does line up with overall NRMP data</t>
  </si>
  <si>
    <t>The realistic rate for matching into your top choice or top 5 for general surgery is roughly 50% - most sources say that in reality only 40-45% of GS applicants match into their top choice. Ppl are also not entirely truthful with this/self reported data &lt;&lt; where are you getting this info? I doubt that only 50% get in their top 5 for GS when 80% for all specialties get within top 4&gt; this is for US MD cat gen surg spots, for applicants that arent US MD its even lower...</t>
  </si>
  <si>
    <t>HCA West Florida GME Consortium/Bayonet Point Program</t>
  </si>
  <si>
    <t>night float, no 24h call as interns</t>
  </si>
  <si>
    <t>Hudson</t>
  </si>
  <si>
    <t>gotta assume this is top choice or top 5 from places that actually interviewed you, which is probably different from top / top 5 when submitting applications &lt; OP: top 5 from ROL</t>
  </si>
  <si>
    <t>exactly. there is so much misinformation circulating about everything. this is just people guessing. there is no reliable source that is specialty specific (that I know of at least)</t>
  </si>
  <si>
    <t>HCA West Florida GME Consortium/Brandon Regional Hospital Program</t>
  </si>
  <si>
    <t>Univ Illinois Chicago</t>
  </si>
  <si>
    <t>San Joaquin Hospital</t>
  </si>
  <si>
    <t>pimped during interview on the steps of a surgery. Program has a union which is a plus but they rotate at 5-8 sites all over Chicago so you are driving all over during residency. Advocate Christ was one of their main sites but it just started their own residency so they lost that site and now are scrambling</t>
  </si>
  <si>
    <t>HCA Westside</t>
  </si>
  <si>
    <t>Plantation</t>
  </si>
  <si>
    <t>Who else didn't receive the survey email?</t>
  </si>
  <si>
    <t>stop… the survery is not an indication .. going to cause panic for no reason</t>
  </si>
  <si>
    <t>on reddit they are saying only those who matched got the e-mail  &lt; thats stupid tbh &lt; i assume that was a joke lol</t>
  </si>
  <si>
    <t>well, see you next year on this sheet then</t>
  </si>
  <si>
    <t>A survey was sent out today from the NRMP?</t>
  </si>
  <si>
    <t>i contacted nrmp- its either in junk or got filtered out. they sent it to everyone but if u didnt get it dont freak out</t>
  </si>
  <si>
    <t>Kendall Regional</t>
  </si>
  <si>
    <t>Miami</t>
  </si>
  <si>
    <t>Santa Barbara Cottage Hospital</t>
  </si>
  <si>
    <t xml:space="preserve">Program itself is great but there are a lot of hospital-level issues. The hospital was bought by UHS which has made a lot of changes to "save money." The hospital is understaffed with a rotating door of nursing staff. Residents and medical students are relied upon to do floor tasks such as taking the patient to imaging or have to constantly chase down labs and to get meds on board. The residents unionized last year and in response, the number of residency spots got cut in IM and anesthesia to "save money." During my interview, I was told that its a good place to train because you learn to do more with less. The resident panel also talked about how they have to chase down staff to get tasks done. </t>
  </si>
  <si>
    <t>LECOMT/Larkin Community Hospital - Surgery-General Residency</t>
  </si>
  <si>
    <t>South Beach, Miami</t>
  </si>
  <si>
    <t>Did anyone else feel like the PD was "testing" them to see how they respond under stress?</t>
  </si>
  <si>
    <t>Hennepin in minnesota is unionizing - check out CIRSEIU instagram</t>
  </si>
  <si>
    <t>&lt;&lt; yes. he was very fixated on work experience and how he "doesn't like when applicants go straight through school and have never worked a real job" &lt; As someone who came with a lot of work experience, he clearly valued that a lot during our interview</t>
  </si>
  <si>
    <t>&lt;&lt; agreed. my interview with him was horrible as he was essentially insulting my home state and talking about stereotypes. It could have been a "test" to how i react under stress but either way, it was not okay</t>
  </si>
  <si>
    <t>Brigham and Women's</t>
  </si>
  <si>
    <t>Mayo (Jax)</t>
  </si>
  <si>
    <t>Jacksonville</t>
  </si>
  <si>
    <t xml:space="preserve">i talked to some of the residents and they said that it is his interview persona. insisted that he is not like that in person and they're not sure why he does it during interviews.. but probably to test us under stress. still, quite harsh :/ </t>
  </si>
  <si>
    <t xml:space="preserve">&lt;&lt; I liked my interview with him. Sure, he definitely pushed a little to drill down on what types of past work experience I have, but he said himself afterwards that it's really important to know that people have been able to work hard outside of academia ("everyone thinks they'll be able to work 80 hour weeks during residency, but a lot of applicants have never even had a job"). He also said it's a point in the interview where he can add a little bit of stress, but it's not about anything that deep, so he feels that people should be able to handle that. I don't think he's really wrong on either front - and otherwise honestly I found him really kind and approachable.
Overall, it seems like a program with great training and a good culture. They take a lot of pride in their program and actually do have some resources for research - and definitely good network for people wanting to do fellowship - even though it's a community program </t>
  </si>
  <si>
    <t>Memorial Healthcare System, Hollywood, Florida Program</t>
  </si>
  <si>
    <t>Pembroke Pines</t>
  </si>
  <si>
    <t>Brutal rotation with relatively little educational value compared to many of my other rotations/experiences at similarly prestigious hospitals. Several instances that could be considered "hazing." About half the residents were really fantastic, but half were almost comically horrible (talking shit about other sub-Is, talking shit about certain chiefs, yelling at nurses, snide comments left and right). Classic gunner personalities abound (brown nose attendings, shit on everyone below them). Residents are in a seemingly all out war with nursing. Chiefs were routinely putting in 100 hour weeks while rarely actually taking the lead on cases. Very poor robotic experience, with multiple chiefs admitting they would go into fellowship with a poor skillset there. Great cases on the surg onc service, but it seems Boston is crowded in general and they were lacking in many areas. Trauma was basically busy babysitting. Overall plenty of internal panic about the merger and the DFCI situation (which a faculty member at BIDMC told me is 40% of their total surgical volume). Went from one of my top choices to barely top 10 on my list after this rotation.</t>
  </si>
  <si>
    <t>Honestly who keeps messing with the ROL? Just let the admins take care of it. All you have to do is put in your ranks. Don't change the table structure +2</t>
  </si>
  <si>
    <t>I second this. Absolutely arrogant attendings who think they own the world but barely have any competency</t>
  </si>
  <si>
    <t>Mount Sinai Miami Medical Center</t>
  </si>
  <si>
    <t>Miami Beach</t>
  </si>
  <si>
    <t>henry ford</t>
  </si>
  <si>
    <t>PD is one of the smartest/talented surgeon, trained at Cincinnati with many esteemed now-academic program Chairs, you get a great operative experience with diversity of cases and really great volume, can't say much about work-life balance or culture among residents</t>
  </si>
  <si>
    <t>Excellent communication prior to the interview day about the program and advice to find our perfect fit, even if it is not Stanford. Residents were all uniquely talented and impressive and clearly enjoyed spending time together. Interviews were well-structured and each interviewer had read my application and asked questions about it. Overall wonderful experience and wowed by the opportunities they have to offer.</t>
  </si>
  <si>
    <t xml:space="preserve">Will also add, residents were all eating and hanging out together on camera. Really looked like they got along. </t>
  </si>
  <si>
    <t>Orange Park</t>
  </si>
  <si>
    <t>terrible</t>
  </si>
  <si>
    <t>Positive interview day but a few interactions rubbed me the wrong way. One faculty interviewer talked down to me and was pretentious about being at Stanford.</t>
  </si>
  <si>
    <t>Would be cool to get as many ROLs as possible on the excel sheet. Whoever hasn't yet please add yours to the excel sheet+2</t>
  </si>
  <si>
    <t>The interview day is too long. After a presentation from the chair, a presentation from the PD, and a resident social hour the night prior, you have 5 interviews the following day, plus about 5 different presentations from residents throughout the day, plus a general resident breakout room in between those presentations/interviews. Was really nice of them to give Doordash gift cards, though. +3</t>
  </si>
  <si>
    <t>Prelim is useful for imgs too</t>
  </si>
  <si>
    <t>also a bunch got deleted when it was restored if you added it within the last couple of days check</t>
  </si>
  <si>
    <t>Orlando Health Program</t>
  </si>
  <si>
    <t>Orlando</t>
  </si>
  <si>
    <t>Henry Ford - wyandotte</t>
  </si>
  <si>
    <t>honestly what is the point of this? how does it help current or future applicants?  &lt;&lt; good to know how popular a program is when signlaing for future applicants strategizing signals DNRs are pretty important too &lt;&lt;&lt; Does this google sheet really tell you what programs are popular though? Id advise against anyone using this as resource to make any decision based on biases from anonomyous/ low reporting &lt;&lt; yeah but like why not just log them in theres no harm &lt;&lt;&lt; but there's also little benefit, which is why users may not feel like doing it &lt;&lt; i just wanna see how many ppl ranked my #1 lol &lt;&lt;&lt;look at how many ranks "top" programs have versus come community (generally less competitive) ones. can't imagine this sample is representative. even if it was, it only gives quantitative comparisons when applicants at different programs are certainly different qualitatively, again complicating anyone's ability to gain insight on their chances of being RTM from this</t>
  </si>
  <si>
    <t>why do people care so much either way? if it matters to you, fill it out and hope others do too. if it doesn't matter to you, you can just ignore it. its not that big of a deal +1 &lt;well said</t>
  </si>
  <si>
    <t xml:space="preserve">PD and APDs were super nice, interested in getting to know me and my goals. They read my application and it showed in our conversations </t>
  </si>
  <si>
    <t>Sunrise Health GME Consortium</t>
  </si>
  <si>
    <t xml:space="preserve">the PD &amp; assistant PD straight up just disrespectful and shady during interviews. The PD said some very shady things during the welcome night. The assistant PD waisted everyone but 1 persons time during our 10 minute interview and only tried to provoke us without asking any real questions. </t>
  </si>
  <si>
    <t>UCF HCA</t>
  </si>
  <si>
    <t>The faculty and PD/APDs emphasized the growth and soon to escalate from Level II to Level I trauma center, huge opportunities for residents to have direct impact on the trajectory of the program and influence on the structure and curriculum, which is why they are looking for aspiring leaders - everyone was so kind and welcoming, and really invested energy into knowing and understanding our personal and professional goals so that they could gauge whether Sutter Roseville could be a launchpad for residents who want to rise to the top while also uplifting and supporting their fellow co-residents to do the same - super wholesome and healthy vibes all around, and encouraging the second look visit</t>
  </si>
  <si>
    <t xml:space="preserve">It was the only interview I had where they had the coordinator of the program join the PD for interviews, because they said it is truly a team and everyone should have a say. That was awesome. </t>
  </si>
  <si>
    <t>UCF Ocala</t>
  </si>
  <si>
    <t>Ocala</t>
  </si>
  <si>
    <t>Did everyone just get the NRMP email about SOAP?</t>
  </si>
  <si>
    <t>PC - They send that email every year. Don't read into it. &lt;&lt; thanks!</t>
  </si>
  <si>
    <t>UF Jax</t>
  </si>
  <si>
    <t>very positive experience, high volume trauma center with lots of blunt and penetrating injuries, great culture amongst the residents, attendings are approachable and enjoy teaching, nice call room, meal stipend. Interns get plenty of OR time. Night float system. Optional research year(s).</t>
  </si>
  <si>
    <t xml:space="preserve">University of Florida  </t>
  </si>
  <si>
    <t>PD, Chair, and faculty all incredibly kind and want the best for their interviewees. Seems like excellent trainign plus solid QOL for residents</t>
  </si>
  <si>
    <t>Gainesville</t>
  </si>
  <si>
    <t>Agree with left comment, just want to add that it seems as though the residents aren't close (all different rooms during the social, and they said they don't hangout that much). There are a lot of rotations at different sites. Seems as though there is a hierarchical relationship/some toxicity in a few departments. overall they were nice and kind but i think some subtle red flags +2</t>
  </si>
  <si>
    <t xml:space="preserve">As someone who did an away at Davis, can comment that residents do get along and that they were the nicest to each other and the med students than in a lot of other places. I agree that was not translated well during the social, but I think they were probably just sparing residents for having to log in and spend time outside of work recruiting people. </t>
  </si>
  <si>
    <t>will the matched reuslt show on the website too on the 17th or only on the email</t>
  </si>
  <si>
    <t>University of Miami</t>
  </si>
  <si>
    <t>Email and nrmp website  &lt;&lt; ty</t>
  </si>
  <si>
    <t>28h Call</t>
  </si>
  <si>
    <t>$2400 annual</t>
  </si>
  <si>
    <t>University of Miami Hospital and Clinics Program</t>
  </si>
  <si>
    <t>$40/month</t>
  </si>
  <si>
    <t>Anyone checking the source code?</t>
  </si>
  <si>
    <t>$1000 annual education fund</t>
  </si>
  <si>
    <t xml:space="preserve">Why lol you find something?&lt;&lt;&lt; I've been browsing through the code, but I'm not really sure.  </t>
  </si>
  <si>
    <t>Source code of what &lt;&lt; back in 2014 after the initial "match or no match" day, some people found out that you could see where you matched early by inspecting the HTML code of the NRMP website. pretty sure they patched it in the past 11 years lol</t>
  </si>
  <si>
    <t>They are currently on probation for violating the 80 hours &lt;&lt; how do you see whos on probation?&lt;&lt; it will be on ACGME site programs on probation</t>
  </si>
  <si>
    <t>The faculty were incredibly nice. Had read my application through and through. Dr. Smith highlights all the areas of growth and how the program is making strides to improve. Excellent interview day. +1</t>
  </si>
  <si>
    <t>Ft. Lauderdale</t>
  </si>
  <si>
    <t>I loved this interview I was really surprised at how kind and cool everyone was, faculty/leadership included. PD was straightforward which I liked and dedicated to his role.</t>
  </si>
  <si>
    <t xml:space="preserve">People seemed very cool but also a little bit immature, in my opinion. I didn't feel like some of these people were soon-to-be surgeons and leaders in the field. I felt like they focused too much on fun (which is fine, but not the point of residency). I hear they are very well trained and Dr. Smith seems extremely kind and concerned about his residents - which is a huge plus. But I didn't like the social dynamics when I interviewed to be honest. </t>
  </si>
  <si>
    <t>University of Miami/JFK Medical Center</t>
  </si>
  <si>
    <t xml:space="preserve">Atlantis </t>
  </si>
  <si>
    <r>
      <rPr>
        <rFont val="arial,sans,sans-serif"/>
        <color rgb="FF1155CC"/>
        <sz val="10.0"/>
        <u/>
      </rPr>
      <t xml:space="preserve">https://redcap.ctsi.psu.edu/surveys/?s=8M38RJD7KHDMLJY7 </t>
    </r>
    <r>
      <rPr>
        <rFont val="arial,sans,sans-serif"/>
        <sz val="10.0"/>
      </rPr>
      <t xml:space="preserve">
For those who applied this cycle, please consider participating in this survey regarding handedness in surgical training! Participation involves completing a one-time, anonymous online survey that will take ~10 minutes. No personal identifiers will be collected and your responses will remain confidential. If you have any concerns or questions, please contact Emily Milarachi at emilarachi@pennstatehealth.psu.edu. Good luck everyone!
PI: Neerav Goyal MD, MPH (ngoyal1@pennstatehealth.psu.edu) 
Penn State Health Department of Otolaryngology
500 University Drive, Box H095
Hershey, PA 17033 
717-531-8945
This projected was deemed exempt by the Penn State University IRB Study#00026346
</t>
    </r>
  </si>
  <si>
    <t>Yes</t>
  </si>
  <si>
    <t>University of South Florida Morsani (USF)</t>
  </si>
  <si>
    <t>$75/month</t>
  </si>
  <si>
    <t>Education stipend</t>
  </si>
  <si>
    <t>UCLA</t>
  </si>
  <si>
    <t>Atlanta Medical Center (Wellstar)</t>
  </si>
  <si>
    <t>Atlanta</t>
  </si>
  <si>
    <t>GA</t>
  </si>
  <si>
    <t>Residents all seem to enjoy their QOL and the program. Faculty seemed genuinely interested in getting to know me during the interview and one even reached out via email after to answer a question they were unable to during our meeting.</t>
  </si>
  <si>
    <t>&lt;why negative? + 1</t>
  </si>
  <si>
    <t>LAC-Harbor UCLA</t>
  </si>
  <si>
    <t>Faculty were all very nice during the interview. All embody the mission of serving the underserved</t>
  </si>
  <si>
    <t>&lt;&lt; yes and when i pushed them on their whole 'we really get a fair amount of social work training through this' schtick, it seemed pretty standard if you have worked in a county hospital? i asked what specifically they meant by their comments and it mostly boiled down to having to ask the social workers and case managers to stay on top of things. not exactly the superhuman feat they were selling it as</t>
  </si>
  <si>
    <t>Atrium Health Navicent The Medical Center (of Central Georgia)/Mercer University</t>
  </si>
  <si>
    <t>MOD can you restore the rank spots before it was messed up</t>
  </si>
  <si>
    <t>Macon</t>
  </si>
  <si>
    <t>somebody else did!</t>
  </si>
  <si>
    <t xml:space="preserve">Emory University </t>
  </si>
  <si>
    <t>UCSD</t>
  </si>
  <si>
    <t>please explain +2 &lt;- they're gatekeeping, Emory is a great program</t>
  </si>
  <si>
    <t>Really disorganized and uber eats giftcard expired if you didn't use over 2 days</t>
  </si>
  <si>
    <t xml:space="preserve">Medical College of Georgia </t>
  </si>
  <si>
    <t>Augusta</t>
  </si>
  <si>
    <t>longest two weeks ever</t>
  </si>
  <si>
    <t>great experience, but 1 particular female trauma surgeon was obnoxiously rude, constantly berating students &amp; residents, even bad-talked other faculty in the middle of her cases. talked to some home students and they said she is almost universally despised by all students. talked with residents, 7 of the 9 i worked with all had similar distasteful reaction when her name was brought up--in big picture, 1 out of the whole faculty isn't bad, but i'd hate to learn from her</t>
  </si>
  <si>
    <t>https://www.youtube.com/watch?v=KUPSTQSGb50</t>
  </si>
  <si>
    <t>PD, APD, majority of faculty super chill, approachable, enthusiastic when interacting with residents in OR, ICU, clinic. PD very straightforward about prospects, areas program is trying to improve</t>
  </si>
  <si>
    <t xml:space="preserve">HS; some senior residents require a lot of assist from attentings even a month away from graduation. Interns rarely in OR. Have yet to see a pregnant resident. Hosp got really broke and got bought out by Wellstar so it's richer now and going through changes. Area sucks, hours suck, parking sucks. cafeteria food sucks and only overnight gets stipend. But good people, good fellowship matches, good exposure to different specialties, decent research, supportive overall. New PD and chair since 2023 but great. Chair planning to add integrated vascular and plastics programs. </t>
  </si>
  <si>
    <t>One month rotation in surgery. The program definitely isn't malignant, and the residents seem pretty chill. Coming from the north, I realized I don't really like the Southern vibe so maybe that's probably why I thought everyone was quite boring. Surgeons are decent from what I can see, but the amount of teaching + resident scrubbing in varies between each surgeon. I heard the vascular surgery department is insane and have a crazy number of cases each day. Everying else seems fine.</t>
  </si>
  <si>
    <t>UCSF/East Bay</t>
  </si>
  <si>
    <t>Memorial Health-University Medical Center/Mercer University School of Medicine (Savannah) Program</t>
  </si>
  <si>
    <t>Overall really positive experience, felt like interviewers really knew my app. Getting pulled out of zoom breakout rooms was kind of jarring and cut off good convos, but it happened to everyone</t>
  </si>
  <si>
    <t>^^" Blind IV for prelims</t>
  </si>
  <si>
    <r>
      <t>It really is. I want to ask my doctor for an anxiolytic &lt; what? Imagine going into surgery and needing drugs to calm you down xD&lt;&lt;&lt;</t>
    </r>
    <r>
      <rPr>
        <rFont val="arial,sans,sans-serif"/>
        <b/>
        <sz val="10.0"/>
      </rPr>
      <t>stfu.</t>
    </r>
    <r>
      <rPr>
        <rFont val="arial,sans,sans-serif"/>
        <sz val="10.0"/>
      </rPr>
      <t xml:space="preserve"> A drug to relax would be nice. </t>
    </r>
    <r>
      <rPr>
        <rFont val="arial,sans,sans-serif"/>
        <b/>
        <sz val="10.0"/>
      </rPr>
      <t>No need to be an asshol</t>
    </r>
    <r>
      <rPr>
        <rFont val="arial,sans,sans-serif"/>
        <sz val="10.0"/>
      </rPr>
      <t>e&lt;&lt;&lt;&lt; also I know a lot of surgeons who take propranolol to calm nerves or tremor</t>
    </r>
  </si>
  <si>
    <t>&lt; tons of residents develop anxiety related disorders in residency, no shame in treating this</t>
  </si>
  <si>
    <t>&lt; SNL came out with something to help&lt;instructions incredibly unclear. Currently using my one phone call to make this post</t>
  </si>
  <si>
    <t>Savannah</t>
  </si>
  <si>
    <t>Morehouse</t>
  </si>
  <si>
    <t>UCSF/Fresno</t>
  </si>
  <si>
    <t xml:space="preserve">Northeast Georgia Medical Center Program </t>
  </si>
  <si>
    <t>So honest and thoughtful. Very genuine and care about the community they serve. +3</t>
  </si>
  <si>
    <t>University of Hawaii</t>
  </si>
  <si>
    <t>Sent us a welcome package individually but had various packets of nuts from Fresno without asking us about allergies</t>
  </si>
  <si>
    <t>Honolulu</t>
  </si>
  <si>
    <t>HI</t>
  </si>
  <si>
    <t>All interviewers asked me the same questions... just felt weird being asked repetitive questions by 4 interviewers</t>
  </si>
  <si>
    <t>So does the algorithm know and the people who run the algorithm know?</t>
  </si>
  <si>
    <t>i think it gave me the opportunity to really talk about what seemed important to them (what do you anticipate as a weakness etc) PD really cares about the residents</t>
  </si>
  <si>
    <t>most likely. ive read it takes less than a minute to run the match. the 2 weeks are reportedly for quality control</t>
  </si>
  <si>
    <t xml:space="preserve">&lt;&lt; Why 4 negatives?? </t>
  </si>
  <si>
    <t>Fresno is not a great place to live.</t>
  </si>
  <si>
    <t>UCSF/SF General</t>
  </si>
  <si>
    <t>name and shame time+4</t>
  </si>
  <si>
    <t>Central Iowa Health System (Iowa Methodist Medical Center) Program</t>
  </si>
  <si>
    <t>Des Moines</t>
  </si>
  <si>
    <t>IA</t>
  </si>
  <si>
    <t>UHS So Cal MEC</t>
  </si>
  <si>
    <t>Add your rank orders for prelim and cat :)</t>
  </si>
  <si>
    <t>No, its done. Go enjoy your life. &lt;&lt; its helpful for nexr years applicants &lt; wait how would seeing how ppl ranked program x last year be helpful? were people doing that this cycle? &lt;&lt; probably not actually helpful but I did go back to last year's and look - more out of curiosity and anxiety realistically</t>
  </si>
  <si>
    <t>You can see how competitive a program is i guess and like maybe not signal the most popular ones/ divide ur signals between popular and lower tire ones &lt; fair but at the same time you hhave no way of knowing how the program ranked ppl</t>
  </si>
  <si>
    <t>MercyOne</t>
  </si>
  <si>
    <t>USC</t>
  </si>
  <si>
    <t>anyone else internally panicking??</t>
  </si>
  <si>
    <t>Yes +2</t>
  </si>
  <si>
    <t>I'm externally panicking +2</t>
  </si>
  <si>
    <t>$36/ day</t>
  </si>
  <si>
    <t>COLORADO</t>
  </si>
  <si>
    <t>PC here: best wishes, all! I know this whole process is extremely complicated, frustrating, and stressful, but I hope you all are able to take a moment this weekend to celebrate all of your accomplishments that have gotten you this far! Now I guess we all just anxiously wait?? &lt;&lt; thank you!!!!</t>
  </si>
  <si>
    <t>Thank you, really appreciate the supportive words and validation :). Thank you also for all the work you put in this cycle!! You are appreciated!!</t>
  </si>
  <si>
    <t xml:space="preserve">Shoutout to the NRMP algorithm that will match us within 1 hour of the rank list deadline… but yet we have to wait &gt;2 weeks to know if/where we match </t>
  </si>
  <si>
    <t>I would not recommend this program. Everybody seems miserable.</t>
  </si>
  <si>
    <t>HealthONE Swedish</t>
  </si>
  <si>
    <t>Good luck everyone!</t>
  </si>
  <si>
    <t xml:space="preserve">Good luck everyone congrats on surviving </t>
  </si>
  <si>
    <t>University of Iowa</t>
  </si>
  <si>
    <t>Iowa City</t>
  </si>
  <si>
    <t>HealthONE SkyRidge</t>
  </si>
  <si>
    <t xml:space="preserve">It is overwhelming feeling to see how something I worked 9 years is out of my control on waiting game for next 16days. </t>
  </si>
  <si>
    <t>I'm currently crying. It feels like I'm going to cry until I find out if I matched &lt;&lt; +1</t>
  </si>
  <si>
    <t>overall the SkyRidge program seems like a fine place for residency. small program, faculty seem supportive</t>
  </si>
  <si>
    <t>&lt;&lt;agree. They were a little disorganized and didn't feel super personal, but got an overall good impression. Residents seem to think they're gettting excellent training and they definitely like each other +1</t>
  </si>
  <si>
    <t>good opportunities in the program for robot training, everyone seemed super nice and welcoming</t>
  </si>
  <si>
    <t xml:space="preserve">
AMITA Health/Saint Joseph Hospital (Chicago) Program</t>
  </si>
  <si>
    <t>Chicago</t>
  </si>
  <si>
    <t>IL</t>
  </si>
  <si>
    <t>so if it says paid certified and verified in green thats it? good to go?</t>
  </si>
  <si>
    <t>start praying</t>
  </si>
  <si>
    <t>ya</t>
  </si>
  <si>
    <t>KC GME Consortium/St. Anthony</t>
  </si>
  <si>
    <t>&lt;3</t>
  </si>
  <si>
    <t>Franciscan Health Olympia Fields</t>
  </si>
  <si>
    <t>Olympia Fields</t>
  </si>
  <si>
    <t>very very last minute... does anyone know if research years at UNC are funded (if we choose to do that)? or would we have to find our own funding</t>
  </si>
  <si>
    <t>You have to apply for funding!</t>
  </si>
  <si>
    <t>thanks!</t>
  </si>
  <si>
    <t>St Joseph Hospital</t>
  </si>
  <si>
    <t>This program is malignant. The residents seemed tired, overworked and unhappy and the PD was incredibly unprofessional on many fronts</t>
  </si>
  <si>
    <t xml:space="preserve">all the interviewers were kind and wanted to delve into different parts of my app. some behavioral questions but mostly conversational. the residents didnt really care to get to know me at all - not sure if they had my app or not but that was the only "off" part of the day. maybe they were just there to answer questions, not sure, they just seemed apathetic.  each faculty member was fantastic. </t>
  </si>
  <si>
    <t>Advocate Medical Center</t>
  </si>
  <si>
    <t>If a resident tells me im not ranked high should i take that into consideration</t>
  </si>
  <si>
    <t xml:space="preserve">Yeah they are in some programs </t>
  </si>
  <si>
    <t>No! Still just rank your preference. Don't try to play games with the match, you should *only* rank your preference, there is no disadvantage in doing so &lt; +1 not sure why they would even say that, as residents typically aren't privy to the final rank submission</t>
  </si>
  <si>
    <t>Park Ridge</t>
  </si>
  <si>
    <t>arent some residents involved in final rank meetings (Depending on program)- basically got a text saying ya youre not ranked high enough to match lol&gt;&gt; they are expected to keep in confidential!!!!</t>
  </si>
  <si>
    <t>U Colorado</t>
  </si>
  <si>
    <t xml:space="preserve">home program
- community setting, excellent resources (home)
- offers 1 resident a research year, no prelims, ~6 cats per year </t>
  </si>
  <si>
    <t xml:space="preserve"> University </t>
  </si>
  <si>
    <t>Do you guys think that we can trust Doximity reviews on residency programs?</t>
  </si>
  <si>
    <t>Maywood</t>
  </si>
  <si>
    <t>They are a useful metric, if you keep their methodology in mind. It's entirely self-reported amongst doximity users - even their publication metric is limited only to doximity users. So, amongst people that use doximity AND respond to email surveys, these are the programs considered to be the "best." I would also say that if you have a fellowship in mind from the get go the doximity rankings aren't going to be as applicable.</t>
  </si>
  <si>
    <t>CONNECTICUT</t>
  </si>
  <si>
    <t>McGaw Medical Center of Northwestern University Program</t>
  </si>
  <si>
    <t>Which prelim is better for a non-US IMG hoping to stay there for match next year? University of Rochester, Duke, Tulane, Georgetown, UTSW?</t>
  </si>
  <si>
    <t>Duke they took an IMG as a categorical before &lt; Tulane is better in this aspect</t>
  </si>
  <si>
    <t>Utsw didnt have great iv impressions on the other sheet the others seem equal &lt;&lt; and on the a vs b sheet &lt;&lt; that might have been just one person though from reading through it all?</t>
  </si>
  <si>
    <t xml:space="preserve">Carle foundation hospital </t>
  </si>
  <si>
    <t>Urbana</t>
  </si>
  <si>
    <t>What do you guys think of Saint Agnes in Baltimore? in terms of fellowship match?</t>
  </si>
  <si>
    <t>residents seem happy</t>
  </si>
  <si>
    <t>PD asked some borderline illegal questions, and not just match illegal but like protected class illegal.</t>
  </si>
  <si>
    <t>Rush University</t>
  </si>
  <si>
    <t>is it ok if i ranked a prelim spot in a place where i interviewed categorical just in case they ranked me? if they havent ranked me will it cancel my rsnk list or something?</t>
  </si>
  <si>
    <t>not sure but i think if your not on their prelim rank list it wont work anyway unless they told you they are ranking your for both &lt; I just don't want to ask but I'm not sure if they ranked me prelim</t>
  </si>
  <si>
    <t>Quinnipiac</t>
  </si>
  <si>
    <t>home program. would recommend to anyone looking for a fantastic hybrid program as you spend 50% of your time at Cook County.</t>
  </si>
  <si>
    <t>If they didn't rank you prelim, it would just skip over that rank on your list.  It shouldn't affect your other ranks or the categorical rank at that institution. &lt; perfect okay thank you so much</t>
  </si>
  <si>
    <t xml:space="preserve">Shitty training. The residents get no autonomy and suck at operating &gt; somewhat second, you will mostly be a floor monkey for your first 2 years. You do not finally start consistently hitting the OR until your 3rd year  and you are seemingly deemed technically incompetent until being a senior by faculty. Core academic faculty at Rush are great but alot of the other faculty have some rough personalities/ can be pretty awful to work with. Culture among faculty is pretty subspecialty dependent at Rush with the program culture overall being OK/good learning environment  but at County it is still pretty old school toxic where attendings will unnecessarily scream at the residents/have hissy fits over the smallest things. though the trade off is the County attendings will offer you alot of autonomy on the floors and OR and cook county is such a diverse, high volume place to train at </t>
  </si>
  <si>
    <t xml:space="preserve"> why 4 negative?</t>
  </si>
  <si>
    <t>Springfield</t>
  </si>
  <si>
    <t>St. Mary's</t>
  </si>
  <si>
    <t>Are you guys getting many RTM calls or emails? I got a "great fit" call from somewhere near the bottom of my list and a "we'd be happy to have you" from a place I did a second look, but otherwise radio silence. Nice to know somewhere probably ranked me highly, but both locations would probably put my marriage in jeopardy lol.</t>
  </si>
  <si>
    <t>rank them low even they sent that</t>
  </si>
  <si>
    <t xml:space="preserve">UIC (Metropolitan Group) </t>
  </si>
  <si>
    <t>Of course</t>
  </si>
  <si>
    <t>UIC (Mt Sinai)</t>
  </si>
  <si>
    <t>Considering ranking a more prestigious NYC program over a smaller midwest academic program, but just need to confirm--is the culture still as malignant as everyone says it is?</t>
  </si>
  <si>
    <t xml:space="preserve">"malignant" means different things to different people. you know yourself best. </t>
  </si>
  <si>
    <t>Residents very friendly during social, interviewers were also really friendly with some standard questions</t>
  </si>
  <si>
    <t>Depends on which program theres a wide range in Nyc</t>
  </si>
  <si>
    <t>UIC (Peoria)</t>
  </si>
  <si>
    <t>Peoria</t>
  </si>
  <si>
    <t>UConn</t>
  </si>
  <si>
    <t>Do we need to do anything else after certifying rank list?</t>
  </si>
  <si>
    <t>UIC COM</t>
  </si>
  <si>
    <t>It's too quiet. I hate it</t>
  </si>
  <si>
    <t>no</t>
  </si>
  <si>
    <r>
      <rPr>
        <rFont val="arial,sans,sans-serif"/>
        <b/>
      </rPr>
      <t>Cry</t>
    </r>
    <r>
      <rPr>
        <rFont val="arial,sans,sans-serif"/>
      </rPr>
      <t xml:space="preserve"> +3 &lt;hahahha</t>
    </r>
  </si>
  <si>
    <t>Social/info session and interview day were far too long, however I will admit they were well organized. Only 5 minute break between interviews, no other breaks for the entire 3 hours. Interview vibes were a bit intense. At the social, a resident seemed a bit too excited about taking 28-30 hour call, otherwise the residents seemed nice.</t>
  </si>
  <si>
    <t xml:space="preserve">Currently crying </t>
  </si>
  <si>
    <t xml:space="preserve">&lt;agree with this. I got wonderful vibes from my faculty interviewers, but there were a few offputting things (one being the resident obsessed with being in the hospital). I felt like PD and faculty have genuine interest in residents + have a lot of passion for the program, but it did feel slightly intense. +1 &lt;&lt; as someone who has done sub-I here, can confirm some residents are very intense </t>
  </si>
  <si>
    <t>Didn't get intense vibes in my experience, agree that PD and faculty are invested in resident success! +1</t>
  </si>
  <si>
    <t xml:space="preserve">Weird resident vibes, didn't seem to actually believe anything they were saying </t>
  </si>
  <si>
    <t>How are people ranking St Elizabeth? Not sure how to feel after they recently were bought by BMC, feels like there's a lot of unknown, and I don't know much about the culture there</t>
  </si>
  <si>
    <r>
      <rPr>
        <rFont val="Varela Round"/>
        <color rgb="FF000000"/>
        <sz val="10.0"/>
      </rPr>
      <t xml:space="preserve">interviewee. really liked the program, seemed generally very supportive of all their residents and their trauma is one of one. residents seemed happy, maybe a little into the heirarchy they had established though that could have been just a bad read. good mix of community with their partnership at northshore. long commutes though &lt;&lt;&lt; there def is a hierarchy/weird vibes between resident classes &lt; </t>
    </r>
    <r>
      <rPr>
        <rFont val="Varela Round"/>
        <b/>
        <color rgb="FF000000"/>
        <sz val="10.0"/>
      </rPr>
      <t>details?</t>
    </r>
  </si>
  <si>
    <t xml:space="preserve">&lt; Should be a last ditch effort to match in Boston if life requires it. Consensus among students in Boston who rotate there for other specialties is that it's a mess and patients have bad outcomes for no reason. None of the general surgeons working at BMC that I've spoken to want to go over there to operate. BMC buying it doesn't mean much, imo. BMC is already overstretched and, frankly, poorly run from an administrative perspective. I don't see how they would turn things around without lots of money, which is something BMC will never have. </t>
  </si>
  <si>
    <t>I would stay far away from here, the residents think they are above you because they can say that they are a resident at UChicago, they are not interested in teaching, they just try and quiz you on things they say you should no and make you feel bad about yourself if you don't. they are very controlling and never offer and explanation or reasoning behind anything, they get off on forcing you to do what they say no questions asked. They often make you do tasks that they feel they are above and so they can focus on "more important things" which is understandable to an extent but they make you feel bad about it and make you feel inferior and do not take opportunities to teach. Even the Chief resident who started out great, refused to make eye contact with me or address me directly after 2 weeks, said in the beginning that I should go to the OR as much as possible told me to stop coming to the OR and go to clinic after 2 weeks. There were definitely times I did not know things they asked of me (and like i said that's what they wanted, they were not asking because they wanted to teach) but there were instances when they did not know things and they had no self-awareness of it and this place is NOT a safe place where you can ever know something they do not. For one example, one of the residents did not know how to put in a foley and he was a second or third year resident (he said he only ever put it in a male, not a female). I tried telling him the steps because I did not want the patient to get an infection as a result of him not knowing but he would not listen to the steps. </t>
  </si>
  <si>
    <t>q4-q5 28-hour call</t>
  </si>
  <si>
    <t>&lt; ??? OP, if there are unknowns and you aren't certain, don't rank it highly. but also be mindful of anyone making blanket statements about boston as a whole and "general bad patient outcomes." remember you are asking other medical students who only have anecdotal evidence and sometimes misinformed</t>
  </si>
  <si>
    <t>Thank you all &lt;3</t>
  </si>
  <si>
    <t>EPIC but slightly different at all the sites</t>
  </si>
  <si>
    <t>Ascension St Vincent Hospital Indianapolis Program</t>
  </si>
  <si>
    <t>$15 per call shift &gt;14h</t>
  </si>
  <si>
    <t>Indianapolis</t>
  </si>
  <si>
    <t>IN</t>
  </si>
  <si>
    <t>Free parking</t>
  </si>
  <si>
    <t>$2,000 research travel stipend, 1 week off for conference in addition to 4 weeks' vacation, annual book allowance, free score/truelearn</t>
  </si>
  <si>
    <t xml:space="preserve">Indiana University </t>
  </si>
  <si>
    <t xml:space="preserve">Very standardized and formal. They email you questions to prepare a few days before your interview. I was asked to answer only those questions during the interview. Residents are very nice during their in-person social events. They seem to all get along and have a lot of support from the program and each other.  </t>
  </si>
  <si>
    <t>log in your prelim rank spot on the other sheet not the main one</t>
  </si>
  <si>
    <t>My most formal interview yet, but great resident vibes in the social +2</t>
  </si>
  <si>
    <t>Interim PD got on my case about some demographics related things. Felt a little antagonistic. Some residents at the social were awesome, but others felt off. Residents made comments like, "oh yeah you didn't get any of the really mean attendings."</t>
  </si>
  <si>
    <t>What were these standardized questions? (Just doing some R &amp; R for next year)</t>
  </si>
  <si>
    <t>HCA Menorah</t>
  </si>
  <si>
    <t>What's the best thing to help me sleep for the next two nights?</t>
  </si>
  <si>
    <t>Melatonin</t>
  </si>
  <si>
    <t>Overland Park</t>
  </si>
  <si>
    <t>why 2 tho why not 14 :(+1</t>
  </si>
  <si>
    <t>EPIC</t>
  </si>
  <si>
    <t>KS</t>
  </si>
  <si>
    <t>$60/month but taken out of salary</t>
  </si>
  <si>
    <t xml:space="preserve">All research conducted at Yale but fully funded </t>
  </si>
  <si>
    <t>University of Kansas (Kansas City)</t>
  </si>
  <si>
    <t xml:space="preserve">Hi how do you respond to a RTM email? </t>
  </si>
  <si>
    <t xml:space="preserve">you dont +1. </t>
  </si>
  <si>
    <t>Say thank you +1</t>
  </si>
  <si>
    <t>Kansas City</t>
  </si>
  <si>
    <t xml:space="preserve">  </t>
  </si>
  <si>
    <t>Did anyone go to the Minnesota second look? If so, how was it?</t>
  </si>
  <si>
    <t xml:space="preserve">It was really nice! Well organized, PD and residents were all really nice, they went over some of the various research opportunities, etc </t>
  </si>
  <si>
    <t xml:space="preserve">University of Kansas (Wichita) </t>
  </si>
  <si>
    <t>Wichita</t>
  </si>
  <si>
    <t>George Washington</t>
  </si>
  <si>
    <t>How does one respond to these "highly ranked" emails from the PD? Do we say that we are also ranking them highly? or just leave it at a thank you and reasons you like the program</t>
  </si>
  <si>
    <t>what programs are sending these lol</t>
  </si>
  <si>
    <t>Read 2/13 PC/PD comment for answer to this question</t>
  </si>
  <si>
    <t>University of Kentucky</t>
  </si>
  <si>
    <t>Lexington</t>
  </si>
  <si>
    <t xml:space="preserve">Anyone go to OHSU second look? How was it? </t>
  </si>
  <si>
    <t>KY</t>
  </si>
  <si>
    <t>neutral, social was held during lunch so it's really hard to get a feel for residents and given the issues with unionizing I would have liked to get their take but otherwise everyone seemed supportive</t>
  </si>
  <si>
    <t>It was lovely but at times felt more a tour of how beautiful the hospital campus is than a true second look of the program! &lt;&lt; Was also wondering the same thing! Was there anything specific you liked about it? &lt;&lt; Was mostly driven by the residents who were all laid back, open, and honest about the program's strengths and drawbacks. They took us for a tour, a ride on the tram, and then there were a couple of presentations on the resident council and initiatives for promoting community. It made me bump them up a couple spots on my rank list! &lt; agree with all the above, was nice but casual</t>
  </si>
  <si>
    <t>Residents clearly are very close and support each other.</t>
  </si>
  <si>
    <t xml:space="preserve">&lt;&lt;Home student here. Program is on a warning due to protected education time violations. New PD has completly changed the eduaction structure and will personally call attendings and tell them to get their residents to confrence if they try to keep them. Program offers a good amount of vacation and all the residents i spoke to don't feel overworked. New PD is changing the culture drastically for the better.  </t>
  </si>
  <si>
    <t>why negative? &lt;&lt; None of my interviewers knew my app/letters, all of them were what questions do you have for me, didn't learn anything about the program even at the lunch social, felt like a very impersonal day &lt;&lt;&lt; just to contrast, I had the opposite experience with most of my interviews being about stuff from my app. I felt like they'd read it extensively. Only one of them was mostly "what questions do you have"</t>
  </si>
  <si>
    <t>&lt;&lt; residents definitely report feeling overworked, have no idea who you are talking to. have you ever asked any of them their SICU experience?.. the program is literally on probation..</t>
  </si>
  <si>
    <t>&lt;&lt; the program is not on probation, the program is on 
“Continued Accreditation with Warning” meaning they show 
improvement/changes or get put on probation, hence the drastic
educational changes that have been implemented. Who knows how 
that will shake out but at this point they are not on probation. Can’t 
speak as much on residents opinion of workload but I do know with 
all the recent changes, multiple waves of APP hires have occurred in 
attempt to help with workload and secure meaningful protected 
education time.</t>
  </si>
  <si>
    <t xml:space="preserve">Rotated on SICU recently. Great program with great people. </t>
  </si>
  <si>
    <t>mem</t>
  </si>
  <si>
    <t xml:space="preserve">Bowling Green </t>
  </si>
  <si>
    <t>Happy March. How is everyone calming their nerves/ anxiety this month? How is everyone sleeping? I have been sleeping like shit this last week with weird vivid match related dreams.</t>
  </si>
  <si>
    <t xml:space="preserve">&lt; also been having crazy dreams! and its so stressful to see ppl getting RTM stuff from programs that you love :( </t>
  </si>
  <si>
    <t xml:space="preserve">University of Louisville </t>
  </si>
  <si>
    <t>Louisville</t>
  </si>
  <si>
    <t>Georgetown</t>
  </si>
  <si>
    <t>elaborate pls+2 &lt;&lt; I liked their hospital system. They have one academic medical center in a more affluent area and another safety-net hospital with a high trauma burden, so there's a very diverse patient population and great trauma exposure. Optional research. Residents were nice and had good vibes. Interviewers were nice too. They also have a lot of built in elective time to help prepare you for fellowship/whatever you want to do as a PGY5.</t>
  </si>
  <si>
    <t>Louisiana State University (Shreveport)</t>
  </si>
  <si>
    <t>Could we add to the IV Impressions a second look impressions column? Would be helpful for the people who couldn't attend an in person second look!</t>
  </si>
  <si>
    <t>Shreveport</t>
  </si>
  <si>
    <t>why negative??+1</t>
  </si>
  <si>
    <t>could probs just put these same impressions in the IV impressions columns</t>
  </si>
  <si>
    <t>LA</t>
  </si>
  <si>
    <t>tulsa</t>
  </si>
  <si>
    <t>New Orleans</t>
  </si>
  <si>
    <t>Agree with the post about the home/away tab</t>
  </si>
  <si>
    <t>EPIC/Cerner</t>
  </si>
  <si>
    <t xml:space="preserve">in-person interviews were revealing. Home students were cliquey and arrogant. Seems like a program that is at the beginning of trying to become academic. Having to change cities on a whim for different rotations (and moving cities each time!) seems like a big hassle. Faculty and residents themselves were very nice. </t>
  </si>
  <si>
    <t>Ochsner Clinic Foundation</t>
  </si>
  <si>
    <t>why negative? +1</t>
  </si>
  <si>
    <t>CAN PEOPLE PLEASE FILL OUT THE HOME/AWAY STUDENT TAB!!!!!!!</t>
  </si>
  <si>
    <t xml:space="preserve">great program! had a great time on away rotation. Residents were all very friendly, worked well together both in and out of the hospital. Seems like they have alot of autonomy and match into great fellowships. All the attendings were very nice as well and eager to teach. </t>
  </si>
  <si>
    <t>I agree- would be helpful if people filled out home/away tabs before ranks are due!!! +2</t>
  </si>
  <si>
    <t>Awesome PD! Loved it here!</t>
  </si>
  <si>
    <t>Howard</t>
  </si>
  <si>
    <t>Tulane University</t>
  </si>
  <si>
    <t>residents were incredibly down to earth and seem genuinely connected to other residents in all years</t>
  </si>
  <si>
    <t xml:space="preserve">home program. residents work together. culture is positive. </t>
  </si>
  <si>
    <t xml:space="preserve">Thoughts on term "highly ranked?" Does this mean ranked to match or nah </t>
  </si>
  <si>
    <t>Willis Knighton</t>
  </si>
  <si>
    <t>Berkshire Medical Center</t>
  </si>
  <si>
    <t>Pittsfield</t>
  </si>
  <si>
    <t>MA</t>
  </si>
  <si>
    <t>Do programs rank all applicants that they interviewed?</t>
  </si>
  <si>
    <t>DELAWARE</t>
  </si>
  <si>
    <t>Beth Israel</t>
  </si>
  <si>
    <t>Boston</t>
  </si>
  <si>
    <t xml:space="preserve">Is it a bad sign if no one has reached out to me regarding being a good fit/ ranked to match, etc.? </t>
  </si>
  <si>
    <t>SubI - residents were so nice and seemed very happy. Attendings were also great. PD was very sweet</t>
  </si>
  <si>
    <t>&lt; nope, the majority won't get any correspondance!</t>
  </si>
  <si>
    <t>Boston University</t>
  </si>
  <si>
    <t xml:space="preserve">By when should i certify my rank list to make sure i'm on time for the deadline? </t>
  </si>
  <si>
    <t>Home student- Great program with great people. Just be wary that BMC will not make your life easy. Living in the area is very expensive, and parking in Boston is a constant stressor, but the program requires a car.  No reliable public transit runs by the hospital (unlike all other major Boston programs).The patients are amazing, but the population can be incredibly challenging. The ORs are rarely running on time, and attendings are often stressed as a result, which can lead to a less "student/resident-friendly" environment (i.e., rushing through cases). Overall, I just felt beat down at the end of my sub-Is for mostly the wrong reasons.</t>
  </si>
  <si>
    <t>&lt; now. you can always edit it up until deadline. &lt; +2</t>
  </si>
  <si>
    <t xml:space="preserve">ANy info? &lt; Wish I could say I loved it here. Definitely a rough experience. Day to day there's little support. Very little done to make resident lives easier. At times I definitely felt hazed. Residents were a mix. Certain chiefs were universally hated and interns/PAs were frequently talking shit about other people in the workroom, which felt like more than friendly banter. One of the interns was, no lie, insane. Like, screams at  Frequent 100+ hour weeks as a sub-I. Chief was pissed at interns for giving sub-Is the day off. </t>
  </si>
  <si>
    <t xml:space="preserve">If you forget to certify rank list, does that mean you still won't match anywhere? Has this ever happened in the past? </t>
  </si>
  <si>
    <t xml:space="preserve">Yeah you can soap </t>
  </si>
  <si>
    <t>PC here: if you don't certify, it doesn't submit. I would certify every time you make any adjustments. you can always uncertify! this is what i do because i have panic dreams about forgetting! &lt; a PC with panic dreams? you're one of us &lt;3 &lt;&lt; OMG so many panic dreams - ones about forgetting to send out schedules, scheduling the wrong applicant, no one show up... ones about forgetting to submit the rank list, dreams about matching an applicant we didn't interview and who didn't apply to us... haha &lt; thank you for all that you do!!!</t>
  </si>
  <si>
    <t>Christiana</t>
  </si>
  <si>
    <t>Lahey Clinic</t>
  </si>
  <si>
    <t>Burlington</t>
  </si>
  <si>
    <t>social was fun, residents are social, program valued applicants (+1)</t>
  </si>
  <si>
    <t xml:space="preserve">excellent intraresident culture. New PD who is very pro resident and is receptive to resident feedback. A couple very intense attendings and it can sometimes feel a bit like an ~old boys club~, but overall attendings are good teachers. residents seem happy and well trained. </t>
  </si>
  <si>
    <t xml:space="preserve">How are people determining "prestige" when resources like Doximity change so much? </t>
  </si>
  <si>
    <t>Prestige is a fallacy; talk to your mentors</t>
  </si>
  <si>
    <t>Massachusetts General</t>
  </si>
  <si>
    <t>fellows took over resident OR cases. otherwise, great program.</t>
  </si>
  <si>
    <t>&lt;curious how you got this impression. away rotation, residents did all of the operating, did not see any fellows.</t>
  </si>
  <si>
    <t>montefiore vs. westchester . mainly confused because goal is from preliminary surgery to categorical surgery</t>
  </si>
  <si>
    <t>St Elizabeth's Medical Center</t>
  </si>
  <si>
    <t>Bayhealth Medical Center</t>
  </si>
  <si>
    <t>Update applicant information!</t>
  </si>
  <si>
    <t xml:space="preserve">The social the previous evening was very helpful. I learned a lot about the program. The interview was very good. The PD was very warm and kind. I definitely plan to rank high. </t>
  </si>
  <si>
    <t>Tufts Medical Center</t>
  </si>
  <si>
    <t>Why? What does this do for anyone? How is it helpful? &lt; for next years appolicants</t>
  </si>
  <si>
    <t xml:space="preserve">good program, affiliated with jefferson for rotations it seems. I lowkey have a crush on their pgy2 img , smart pretty and exceptionally competent </t>
  </si>
  <si>
    <t>loved the place attendings and residents were super nice during my observership</t>
  </si>
  <si>
    <t>UMMS-Baystate</t>
  </si>
  <si>
    <t>cant seem to find the code for danbury hospital prelim surgery. the code on ERAS doesnt work. can somebody please help me? &lt; think it might be 4400813428 &gt; yeah its named under nuvance</t>
  </si>
  <si>
    <t xml:space="preserve">University of Massachusetts </t>
  </si>
  <si>
    <t>Worcester</t>
  </si>
  <si>
    <t>FLORIDA</t>
  </si>
  <si>
    <t>new community categorical position (started 3 years ago) vs. prelim academic?</t>
  </si>
  <si>
    <t>Always categorial &gt; prelim for the guarantee. No categorical training is going to be worse than being unmatched next year. &lt;&lt; +5</t>
  </si>
  <si>
    <t xml:space="preserve"> imo do not make the mistake of going for prestige versus securing a 5 year categorical spots. i know several people who went for prelims at big academic places and ended up having less IV than before let alone being overworked. Program prestige does not matter at all if it's prelim.</t>
  </si>
  <si>
    <t>Anne Arundel Medical Center</t>
  </si>
  <si>
    <t>Annapolis</t>
  </si>
  <si>
    <t>MD</t>
  </si>
  <si>
    <t xml:space="preserve">have people heard post-interview comm from Brigham? someone added it to the tab but there's no date/details </t>
  </si>
  <si>
    <t>It's disappointing but probably if someone posted on the tab they received communication. May not want to add too much detail for anonymity</t>
  </si>
  <si>
    <t>Johns Hopkins University</t>
  </si>
  <si>
    <t>if true it probably went to &lt;10 people and not all of them would be active here</t>
  </si>
  <si>
    <t>Baltimore</t>
  </si>
  <si>
    <t>MedStar Health (Baltimore) Program</t>
  </si>
  <si>
    <t>Is Montefiore Gen Surg a good program?  +2</t>
  </si>
  <si>
    <t>Yes, excellent training and very diverse patient population. would be an honor to join their team.</t>
  </si>
  <si>
    <t>Aventura</t>
  </si>
  <si>
    <t>Sinai Hospital of Baltimore</t>
  </si>
  <si>
    <t xml:space="preserve">Hopkins prelim versus categorical at community program (Lahey clinic, NYP-queens) </t>
  </si>
  <si>
    <t>A mediocre community cat program is way superior than any prelim. This should not even be a point of discussion +5</t>
  </si>
  <si>
    <t>pls share negatives if youre gunna write neg</t>
  </si>
  <si>
    <t xml:space="preserve">Though decision struggling with a similar one </t>
  </si>
  <si>
    <t xml:space="preserve">I would definitely go with the certainty of categorical. You could end up doing a year at Hopkins and then still not match the year after or end up matching at a community program, which you could've already been settled into at that point. </t>
  </si>
  <si>
    <t>Lahey clinic is a good community program. +1 &lt; really strong reputation and fellowship matches &lt;&lt; so is NYPQ, they match well into fellowships and a lot of residents have strong connections for research</t>
  </si>
  <si>
    <t>St Agnes HealthCare</t>
  </si>
  <si>
    <t>imo do not make the mistake of going for prestige versus securing a 5 year categorical spots. i know several people who went for prelims at big places (not necessarily JHU) and ended up having less IV than before let alone being overworked. Program prestige does not matter at all if it's prelim. best of luck</t>
  </si>
  <si>
    <t>but don't they end up matching later on if they do a prelim at a place like Hopkins? &lt; at some prelim programs your chance is higher to match categorical, but no prelim has 100% match rate so why to prefer prelim over categoircal to struggle again. Another thing is, if the program is not going to take you (which only takes only one of its prelims at best bet), you will probably match to a community program after a prelim if you are lucky. So…</t>
  </si>
  <si>
    <t>Are we suppose to reply to emails that say "you are ranked competitively, no response is needed"</t>
  </si>
  <si>
    <t>Broward</t>
  </si>
  <si>
    <t>Who said that? +1 pls add to Post II Comms tab. if they said no response needed I wouldn't reply</t>
  </si>
  <si>
    <t>THE IMG FROM THIS PROGRAM DONT MATCH ANYWHERE</t>
  </si>
  <si>
    <t>working hours are more close to 90/week</t>
  </si>
  <si>
    <t>The PD writes a generic LOR.</t>
  </si>
  <si>
    <t>racism amongst residents</t>
  </si>
  <si>
    <t>illegal Qs</t>
  </si>
  <si>
    <t>$58,000 in SoFlo is ridiculous. I was also asked illegal Qs.+1</t>
  </si>
  <si>
    <t>Is Saint Agnes really that toxic/malignant??</t>
  </si>
  <si>
    <t>Maine Medical Center</t>
  </si>
  <si>
    <t>Portland</t>
  </si>
  <si>
    <t>ME</t>
  </si>
  <si>
    <t xml:space="preserve">PD is very approachable, residents really get along and have eachother's backs; excellent teaching and feedback culture. Night float system. Good case volume. Attendings are generally great, many are alums of the program </t>
  </si>
  <si>
    <t>Cornell prelim V/s Cleveland prelim V/s Mayo prelim? Would really appreciate inputs, regarding higher chances of categorical?</t>
  </si>
  <si>
    <t>Mayo +3</t>
  </si>
  <si>
    <t>Ascension Genesys Hospital Program</t>
  </si>
  <si>
    <t>Grand Blanc</t>
  </si>
  <si>
    <t>MI</t>
  </si>
  <si>
    <t>Cleveland Clinic</t>
  </si>
  <si>
    <t xml:space="preserve">Residents did not make an effort to get to know or involve medical students. Only time you would interact with them was in the OR. The residents did not seem like they really went well together. They would be in the resident room and wouldn't speak to each other. cafteria sucks and they get like no money for food. small hospital. small resident room. PD is very nice. lots of cases. </t>
  </si>
  <si>
    <t>What programs are known to screen out prelims when giving out interviews?</t>
  </si>
  <si>
    <t>Ascension Macomb-Oakland Hospital Program</t>
  </si>
  <si>
    <t>Warren</t>
  </si>
  <si>
    <t>How much do programs really edit their rank list between "certifying" and the march 5th deadline? What are some common reasons programs will edit an applicants spot on the rank list? (either up or down)</t>
  </si>
  <si>
    <t>Ascension Providence/MSUCHM Program</t>
  </si>
  <si>
    <t>Southfield</t>
  </si>
  <si>
    <t xml:space="preserve">Florida Atlantic University </t>
  </si>
  <si>
    <t>Ascension St John Hospital Program</t>
  </si>
  <si>
    <t>Detroit</t>
  </si>
  <si>
    <t>How important is it to have attendings call programs on your behalf? Typically is this only for your #1 program or top 5? Is it worth to ask people to make calls to programs at this point?</t>
  </si>
  <si>
    <t xml:space="preserve">Residents are happy and seem to get along well. The PD truly cares about the program and helps residents achieve their career goals. </t>
  </si>
  <si>
    <t xml:space="preserve">PC - Not important at all. This doesn't really happen much.  </t>
  </si>
  <si>
    <t>illegal qs/violations +7 &lt;&lt; Like whatttttt??? elaborate!</t>
  </si>
  <si>
    <t>Now called Henry Ford St. John- Multiple residents said it was extremely malignant. PD fired multiple residents for made up  reasons in the past year alone, program documented lies to kick the residents out if they don't like you. Do NOT trust the PD!! Beware!.</t>
  </si>
  <si>
    <t>Home student - 3/5 of the PGY-2 residents will have been kicked out or encouraged to resign by the end of this academic year for mostly personality issues. PD is extremely malignant and chooses favorites and those to target, will find reasons to get rid of you if he doesnt like you. Strong avoid if possible.</t>
  </si>
  <si>
    <t xml:space="preserve">&lt; PD listed a lot of other programs and asked directly if I had received an interview from them +4, other sketchy comments / questions too &lt;&lt;&lt; WAIT TEAAAAA &lt;&lt; ok hold on he did this to me :/ hate that &lt;&lt;&lt; I had some sketchy comments/questions from faculty </t>
  </si>
  <si>
    <t>He asked me how many interviews I had and then said good luck matching +1</t>
  </si>
  <si>
    <t>Home student; core rotation- I found this program fairly neutral, at least one of the residents who was kicked out 100% deserved it (creepy towards med students generally, lied to attending about reading imaging resulting in a near miss M&amp;M, the sniffing incident, etc.) I dont doubt that PD choses favorites, just didnt personally observe the targeting. Program is definitely based on heiarchy, med students are told not to talk to chiefs (one was yelled at for doing so), mostly depends on the cheif though. one was very nice and helpful, another let me use the bovie but that was the only time they spoke to me, another barely acknowledged me. No one went out of their way to be mean. Bottom line- wouldnt be my first choice to end up here but wouldnt mind if I did.</t>
  </si>
  <si>
    <t xml:space="preserve">APD Eileen de Grandis was probably the rudest person ive ever met in my medical career thus far- rude comments, weird facial expressions during the interview, dismissive in tone, and kind of argumentative. Did not rank this program as a result. </t>
  </si>
  <si>
    <t>Beaumont Health (Farmington Hills) Program</t>
  </si>
  <si>
    <t>Farmington Hills</t>
  </si>
  <si>
    <t xml:space="preserve">Sounds like a stupid question but did anyone consider hospital facility when choosing ranks?  like picking a very good program (structure and people), but the hospital building itself feels like its about to collapse/old compared with picking an average program but with nice infrastructure and facilities? </t>
  </si>
  <si>
    <t>Yes, tried to ask this in virtual social events &gt;&gt; Yes, I did. It is not stupid to factor this in. Go with your gut.</t>
  </si>
  <si>
    <t xml:space="preserve">asked me who I voted since my interview was the day before election day lol &lt; these are both such insane things to say </t>
  </si>
  <si>
    <t>Beaumont Health (Trenton and Dearborn) Program</t>
  </si>
  <si>
    <t>Dearborn</t>
  </si>
  <si>
    <t>Anyone else super excited for the tea post ROL submission? 👀</t>
  </si>
  <si>
    <t>Florida Hospital (now AdventHealth)</t>
  </si>
  <si>
    <t>already waiting to post mine ;) &lt;&lt; ;) &lt;&lt; Ready for it.</t>
  </si>
  <si>
    <t>home program. honestly, can't say enough positive things about this place. the residents are really good at operating (honestly even better than the one's I saw on my SubI at UMich). the culture is really great, there are a few seniors that are nasty/rude but they're heading out. i had a great time on this rotation, i will say the trauma volume isn't that high in the area if that's something you're interested in. program also does give you opportunities to rotate at other institutions since their program doesn't have transplant center, children's hospital, etc. very diverse patient population too (this is coming from someone that's URiM).</t>
  </si>
  <si>
    <t xml:space="preserve">residents are hit or miss, very arrogant attitudes. </t>
  </si>
  <si>
    <t>a lil toxic &lt;- can you elaborate pls</t>
  </si>
  <si>
    <t>Beaumont Health (Royal Oak) Program aka Corewell Health East</t>
  </si>
  <si>
    <t>&lt; This is only for the orlando location - the interview started at 6:30am that includes a BRUTAL M&amp;M, and an overview. The faculty interview was alright and definitely blunt, but the PD seemed condescending, made fun of other specialities, pimped residents during M&amp;M, etc. Overall, vibe was a lil off, residents definitely work super hard, but this culture isn't for everyone</t>
  </si>
  <si>
    <t>Royal Oak</t>
  </si>
  <si>
    <t>is it really that hard to get interviews next year if you match into a prelim position? even if it's a good program? +2</t>
  </si>
  <si>
    <t>PD comes off as a major jerk in interviews. Instead of a true program overview, he went on about "excellence' and what makes a good resident. He also kept referring to the residents as "my residents" or "my interns" which I found to be a bit odd. Tempting to DNR +1 &lt; DNR for this reason, he gave off toxic vibes</t>
  </si>
  <si>
    <t>no, it will work out for you. plenty of prelims find categorical spots. but don't worry about things you can't control right now!</t>
  </si>
  <si>
    <t>Now known as Corewell Health East to further jumble up all of the Beaumont/Corewell programs in Michigan. This is the most solid Corewell Health in metro-Detroit by far (don't know much about the Grand Rapids - now also Corewell - one). Teaching hospital with top notch faculty that are probably attracted to the area due to Bloomfield Hills (rich suburb of Detroit). Good fellowship matches. Not malignant. Low/mediocre research opportunities here, though they have a paid research year after PGY3 and the opportunity to complete an ICU fellowship during that time. Honestly a hidden gem -home student</t>
  </si>
  <si>
    <t>Central Michigan University College of Medicine Program</t>
  </si>
  <si>
    <t>Saginaw</t>
  </si>
  <si>
    <t>please respond to A vs B sheet</t>
  </si>
  <si>
    <t>DMC/Wayne</t>
  </si>
  <si>
    <t>&lt; I think you are better off consulting trusted mentors, family, peers. I think that AvB sheet is not great in making such a personal decision. Anonymous replies, very few responses, landmine of biases ...etc etc  +3</t>
  </si>
  <si>
    <t>Garden City Hospital</t>
  </si>
  <si>
    <t>Garden City</t>
  </si>
  <si>
    <t>Westchester vs. Montefiore for Prelim??</t>
  </si>
  <si>
    <t>Henry Ford Allegiance</t>
  </si>
  <si>
    <t>Jackson</t>
  </si>
  <si>
    <t>please don't waste your time here. was not a real sub-I, more of a shadowing thing... not allowed to even speak to patients without a resident present. was basically ignored by PD. none of the residents I spoke to had auditioned there, most were from way across the country or GS was their backup, which is a big red flag to me. female resident expressed issues with having almost all male attendings (basically that male residents got more grace &amp; room for errors than female residents). no resident workroom, just shared PACU space, pretty sure no meal stipends. hours on ResidencyExplorer are wrong, interns work minimum 60 hrs/wk, up to 84 hrs if on for a weekend (which is every 2-3 wks)</t>
  </si>
  <si>
    <t>HCA FL/UMiami</t>
  </si>
  <si>
    <t>Is it too late to have an attending reach out to the PD of a program you are planning to rank #1?</t>
  </si>
  <si>
    <t xml:space="preserve">Deleted: No, I did last Thursday &gt; PC - Sure. Nothing to lose. </t>
  </si>
  <si>
    <t>No harm in trying!</t>
  </si>
  <si>
    <t>Henry Ford Macomb Hospital Program</t>
  </si>
  <si>
    <t>Clinton Township</t>
  </si>
  <si>
    <t>Very close and connected group of residents. Did well to make sure med students were able to learn without judgement. Lots of surgeries. Residents get to do alot including interns scrubbing into cases or even having their own cases</t>
  </si>
  <si>
    <t>Loved my sub-I, the interns did a good job trying to teach med students. There was alot of operative experiance early on!</t>
  </si>
  <si>
    <t>Henry Ford Wyandotte Hospital</t>
  </si>
  <si>
    <t>Wyandotte</t>
  </si>
  <si>
    <t>Did most programs already interview prelims? Or are some saving spots for SOAP? Also curious what programs help with matching catg next cycle</t>
  </si>
  <si>
    <t>50% interview 50% soap</t>
  </si>
  <si>
    <t>residents were super friendly and eager to teach me during ORs and rounds,lots of OR exposure.</t>
  </si>
  <si>
    <t>intern  mentioned having great support from PD after unexpected personal issue, said he was treated like family</t>
  </si>
  <si>
    <t>Henry Ford/Wayne State</t>
  </si>
  <si>
    <t>USF Morsani</t>
  </si>
  <si>
    <t>people who are not from indiana how are you ranking programs there not sure how to factor in the location in my list</t>
  </si>
  <si>
    <t>weird vibes, PD had very short worded answers, didnt engage in any conversation, only left the time to ask questions without asking for me, residents seemed uninterested and unapproachable</t>
  </si>
  <si>
    <t>Q2 call on ACS for multiple weeks as an intern, interns not allowed in resident work room</t>
  </si>
  <si>
    <t>Oh I mean yeah I would never wanna live but there Iwould rather live there than not match so low</t>
  </si>
  <si>
    <t>what wrongs w Indiana I don’t get it</t>
  </si>
  <si>
    <t>&lt;&lt; can confirm, horrible culture during my sub-i</t>
  </si>
  <si>
    <t xml:space="preserve">Not as diverse red state not much to do on the IM website they say the dating scene is bad as well </t>
  </si>
  <si>
    <t>&lt;--- Not sure if this was from this year or just carried over from previous but this year the PD was super nice and took the time to chat with me about personal life and being a surgeon. Was very welcoming and even offered to talk on phone and discuss the lifestyle and such of the program since the interviews were only 10 minutes long. +1</t>
  </si>
  <si>
    <t>i saw this rank list on twitter or reddit that it was in the top 10 most boring cities lol</t>
  </si>
  <si>
    <t>If you're talking about Indianapolis, for residency it is like any other Midwest state capital - good food options, short drives to state parks/kayaking/skiing. For the amount of free time you will have in residency, it will satisfy most needs. Dating in the Midwest unfortunately sucks in general 🙃</t>
  </si>
  <si>
    <t>McLaren Health Care/Macomb/MSU Program</t>
  </si>
  <si>
    <t xml:space="preserve">Mount Clemens </t>
  </si>
  <si>
    <t>Duke prelim or Georgetown prelim or Tulane prelim? As in who's gonna take me as cat later on/ my chances of staying or matching elsewhere?</t>
  </si>
  <si>
    <t>McLaren Health Care/Greater Lansing/MSU Program</t>
  </si>
  <si>
    <t>Did you already interiew for GT prelim?</t>
  </si>
  <si>
    <t>Lansing</t>
  </si>
  <si>
    <t>Tulane has strong history of taking high achieving prelims  +1</t>
  </si>
  <si>
    <t>what about university of rochester prelim? and which would you choose/ rank?</t>
  </si>
  <si>
    <t>Yes!</t>
  </si>
  <si>
    <t>I thought GT doesn't interview for prelim positions?</t>
  </si>
  <si>
    <t>Thats what I thought, I am very confused</t>
  </si>
  <si>
    <t>HCA/Kendall Regional</t>
  </si>
  <si>
    <t>Michigan State University</t>
  </si>
  <si>
    <t xml:space="preserve"> Can a PD/PC from a community program tell us the average ranks per spot they get the average is 4.5 but do community programs have higher numbers? My top program has very little spots so im worried</t>
  </si>
  <si>
    <t>Bro it does not matter, rank your top program as your top. Spots does not matter. If you dont match there, your #2 is your new #1 in terms of the algorithm &lt;&lt; Great advice. I second this.</t>
  </si>
  <si>
    <t xml:space="preserve">University of Michigan Health West </t>
  </si>
  <si>
    <t>Wyoming</t>
  </si>
  <si>
    <t>Residents are very nice and work together. Q3-4 call for interns and juniors. Chiefs have their own service so are very competent. Community program with apprenticeship model and early operative experience. &lt; Agreem super awesome and kind people!!!</t>
  </si>
  <si>
    <t>chat just curious what (if any) responses you got from PDs/PCs after sending LOIs. sending u all the best vibes!</t>
  </si>
  <si>
    <t>no response</t>
  </si>
  <si>
    <t>None +8</t>
  </si>
  <si>
    <t>I got a positive response. Mine was something along the lines of the program saying "thank you so much for sending that over, and it'd be great to have you here." +2</t>
  </si>
  <si>
    <t>SCS/MSUCOM/Sinai Grace Hospital - Surgery-General Residency</t>
  </si>
  <si>
    <t>i got a positive response, was told I did well on my away and would be ranked "highly"</t>
  </si>
  <si>
    <t>HCA/Westside-Northwest</t>
  </si>
  <si>
    <t>Sparrow/MSU</t>
  </si>
  <si>
    <t xml:space="preserve">any comments on UIC COM's culture? It was kind of hard to get a read at the in person social because only talked to a few residents </t>
  </si>
  <si>
    <t>How is UIC's prelim program? +1</t>
  </si>
  <si>
    <t xml:space="preserve">Heard from someone who went to medschool there that it was malignant... which was disappointing as I wanted to go there. How was the social? I only got the prelim IV and only got to talk to one resident &lt; because of the set up being pretty informal I ended up talking mostly to other applicants (who were awesome) but the few residents that I talked to were nice too! just didn't get a great sense for the overall culture </t>
  </si>
  <si>
    <t>seemed nice when I was there. Did get pimped during the interview though lol but the guy was nice about it when I did not know an answer</t>
  </si>
  <si>
    <t>Spectrum Health/MSU</t>
  </si>
  <si>
    <t>Grand Rapids</t>
  </si>
  <si>
    <t>Does anyone remember if you can moonlight at UPMC (separate from call pool)</t>
  </si>
  <si>
    <t>Good culture, new buildings, residents get along really well</t>
  </si>
  <si>
    <t>If I remember correctly, they moonlight 4x per month and get to keep the money</t>
  </si>
  <si>
    <t>Yes you can</t>
  </si>
  <si>
    <t xml:space="preserve">I </t>
  </si>
  <si>
    <t>Pontiac</t>
  </si>
  <si>
    <t>NYP-Cornell v/s Duke prelim?? Any inputs?</t>
  </si>
  <si>
    <t xml:space="preserve">Cornell (they have good relationship with other programs in NY, higher chances for cat) +1 </t>
  </si>
  <si>
    <t>Ann Arbor</t>
  </si>
  <si>
    <t>Mayo FL</t>
  </si>
  <si>
    <t>University of Michigan</t>
  </si>
  <si>
    <t>PD just called me and told me they are ranking me high and asked where I am ranking them / interest. Isn't that a match violation to ask me????</t>
  </si>
  <si>
    <t>Amazing campus, everyone was nice and the day was well organized! Pretty laid back overall. The faculty actually read my application and had questions about it. The residents seemed to get along average</t>
  </si>
  <si>
    <t>is this an academic program in the southeast? &lt; No, northeast &lt; ty</t>
  </si>
  <si>
    <t xml:space="preserve">&lt; yes &lt; should I report? It's giving me icky vibes and put me in an uncomfortable situation I felt like   &lt; yes report!!! If you like the program you are able to report after rank lists are due! which is what i would do </t>
  </si>
  <si>
    <t xml:space="preserve">What program? </t>
  </si>
  <si>
    <t>Strong culture and top notch research powerhouse. +1 adding that the faculty and residents are really kind</t>
  </si>
  <si>
    <t>did a Sub-I here and it was absolutely amazing. the culture is outstanding. residents and attendings were super friendly and approachable. they truly do champion a culture of diversity, equity, and inclusion (across faculty and residents). not sure about operative experience of residents (they were just "eh" to me personally, i rotated at a community program and i felt like the residents there were better in the OR), but I heard they're working on this. lots of resources for residents and resident well-being. overall, seems like a very supportive environment</t>
  </si>
  <si>
    <t>Western Michigan Stryker</t>
  </si>
  <si>
    <t>Kalamazoo</t>
  </si>
  <si>
    <t>is there no way we can get back the IV by date tab :(</t>
  </si>
  <si>
    <t>why?</t>
  </si>
  <si>
    <t xml:space="preserve">You will work hard but will have the opportunity to join all the surgeries starting from intern year. </t>
  </si>
  <si>
    <t>Hennepin County Medical Center</t>
  </si>
  <si>
    <t>Minneapolis</t>
  </si>
  <si>
    <t>Memorial Healthcare System (Hollywood FL)</t>
  </si>
  <si>
    <t>MN</t>
  </si>
  <si>
    <t>interviewee. great culture between the residents, generally seemed like they were really good friends. very mission driven program, serious about providing care to vulnerable populations</t>
  </si>
  <si>
    <t xml:space="preserve">Are the last 3 dates for Stamford in January prelim interviews? I hate when programs do not specify in the invite </t>
  </si>
  <si>
    <t>not sure</t>
  </si>
  <si>
    <t>any more thoughts on mhs? couldnt make it to the social :( +1</t>
  </si>
  <si>
    <t>Mayo Clinic</t>
  </si>
  <si>
    <t>Rochester</t>
  </si>
  <si>
    <t>Home student. Pros: Excellent culture. Residents are very close and hang out together frequently outside of work. (Most) Attendings are supportive and enthusiastic about teaching - most are very humble and you wouldn't know you're talking with the chair of surgery or current/former president of X association. Very academic and hold high expectations clinically. Night float schedule for juniors. APPs (PA/NPs) will hold the pager for you on OR days so you don't have to scrub out of cases. Research years are optional but resources are available if you're interested. Strong match list (current class has 4 people going into surg onc). They also have a new PD as of last year and she is beloved by the residents. She's very supportive and has the trainees best interest in mind and talks through any potential changes with them. Checks in on PGY-2 residents applying for funding and offers where she can. Cons: Fellowship heavy program, clinic generally twice weekly (but if you're needed for cases, residents can often leave to scrub), some floor skills may be deficient in comparison to other programs because Mayo has a team for everything (PICC team, foley team, etc) but those teams are always willing to teach leaners interested iun developing those skills, little training in billables due to the nature of the payment structure in the hospital (overall better for patient care but you may not develop the 'skill' of competing with colleagues for cases while maintain collegiality since the hospital is not RVU based). Overall, great training program. As long as you put in the work, you will graduate feeling prepared to go directly into practice or for whatever fellowship you may be interested in.</t>
  </si>
  <si>
    <t>How are y'all communicating, if at all, to your not #1 programs?</t>
  </si>
  <si>
    <t>We're not x100</t>
  </si>
  <si>
    <t>Resident: Culture is great and attendings love to teach. Training in the OR is good but falls below other top tier programs in the country, particularly for prelims, because of the number of residents in PGY-1 and the nature of programs being fellow-heavy.</t>
  </si>
  <si>
    <r>
      <rPr>
        <b/>
      </rPr>
      <t>Memorial Healthcare Hollywood Forida
The program kicked off six years ago.</t>
    </r>
    <r>
      <rPr/>
      <t xml:space="preserve">
Reported Issues:
There’s a noticeable trend of axing male residents, highlighted by cases involving TERMINATION of a PGY-4 and a PGY-3 resident.
A female resident at the PGY-2 level had to redo her year due to poor performance.
The program appears to play favorites, typically selecting more females than males (4-5 females vs. 1-2 males), with all dismissed residents being male.
</t>
    </r>
    <r>
      <rPr>
        <b/>
      </rPr>
      <t>Specific Cases in last 5 years:</t>
    </r>
    <r>
      <rPr/>
      <t xml:space="preserve">
PGY-4 Resident, Gabriel Correa:
Booted for stuttering during presentations and subpar performance four years into the gig, throwing a wrench in his career path.
Heads up: The colorectal specialty is catching heat for consistently failing its male residents, signaling some deep-seated issues.
PGY-3 Resident, Dino Romero:
Kicked out after a messy breakup with a PGY-2 co-resident, while the female co-resident got a leg up. 
Complained by Colorectal Speciality as well
PGY-2 Resident, :
Had to repeat her year because she didn’t make the grade.
Academic Performance of Class of 2023:
</t>
    </r>
    <r>
      <rPr>
        <b/>
      </rPr>
      <t>2023 Graduate Class Five female residents stepped up to the plate.</t>
    </r>
    <r>
      <rPr/>
      <t xml:space="preserve">
Their scores on the recent ABS written board were:
One tanked with only 27% and failed.
The other four barely made it with scores ranging from 30.4-36.9%, which really raises some eyebrows about the program’s standards.
Additional Concerns for IMG’s and Individuals of Brown Skin: Despite several attempt no one came forward to talk. Word on the street is it’s rough sailing with routine put-downs and humiliations are just part of the daily grind.
You can bet all this info has been double-checked by reliable sources. However, welcome to confirm and update others.</t>
    </r>
  </si>
  <si>
    <t>University of Minnesota</t>
  </si>
  <si>
    <t xml:space="preserve">Wow just 5 years old program and 3 expelled, I heard two more resident left with excuse to change residency. &gt;&gt; Questions regarding Expelled residents                                                                                                                                                                             1-PGY-4 Resident, Gabriel Correa:
Booted for stuttering during presentations and subpar performance four years into the gig, throwing a wrench in his career path.
Heads up: The colorectal specialty is catching heat for consistently failing its male residents, signaling some deep-seated issues.
------If someone’s been stuttering since childhood, how did he get promoted all the way to PGY4? And how come he didn’t stutter during the interview?
2- PGY-3 Resident, Dino Romero:
Kicked out after a messy breakup with a PGY-2 co-resident, while the female co-resident got a leg up. 
Complained by Colorectal Speciality as well      &gt;&gt;&gt; eww -- We’re all adults, and relationships are consensual, so why was one person expelled while another was promoted? This seems like a completely one-sided, feminist approach. By the way, she’s had five relationships over the past three years, so this doesn’t seem like a reasonable justification to punish anyone.          </t>
  </si>
  <si>
    <t xml:space="preserve">Home student: Residents are really excited about the new PD Dr. Kendrick. He was previously a teacher before so will have a great impact on continuing to imporve resident education offerings. </t>
  </si>
  <si>
    <t>Anyone receive a prelim for St. Agnes just curious?</t>
  </si>
  <si>
    <t>Anyone know about their ACGME issue?</t>
  </si>
  <si>
    <t>Saint Louis University</t>
  </si>
  <si>
    <t>Saint Louis</t>
  </si>
  <si>
    <t>MO</t>
  </si>
  <si>
    <t>Does anyone know if CarePoint Health/Bayonne Medical Center Program offers a second look? Emailed and called the PC and never received any answer.</t>
  </si>
  <si>
    <t>No answer = answer</t>
  </si>
  <si>
    <t>Miami - Ft Lauderdale</t>
  </si>
  <si>
    <t xml:space="preserve">Home student. The culture is toxic. Attendings are known to wreck residents education and well-being. A resident is fired, leaves or is held back every year.  </t>
  </si>
  <si>
    <t>Saint Mary's/KCU-GME</t>
  </si>
  <si>
    <t>Any updates from Mayo prelims regarding ranking cat?</t>
  </si>
  <si>
    <t>Blue Springs</t>
  </si>
  <si>
    <t>I did not hear anything :&lt; was a long shot anyway</t>
  </si>
  <si>
    <t>University of Missouri-Columbia</t>
  </si>
  <si>
    <t>Columbia</t>
  </si>
  <si>
    <t>Has anyone received any communication or follow-up from Stamford PD after sending thank you notes or letters of intent? Would appreciate hearing about others' experiences</t>
  </si>
  <si>
    <t>Miami - Jackson</t>
  </si>
  <si>
    <t>University of Missouri-Kansas City</t>
  </si>
  <si>
    <t>explain?</t>
  </si>
  <si>
    <t>Any post interview comms from Hopkins, Brigham or Penn?</t>
  </si>
  <si>
    <t>I know someone that got emails from hopkins</t>
  </si>
  <si>
    <t xml:space="preserve">very inbred. each IV day is 30 applicants so it is bustling. social was basically a frat mixer. new chair since 2023 due to previous one being fired(?); she sued the hospital. PD and chair interview was together; PD was uninterested and chair clearly hadn't read my app. some faculty read apps, some didn't. The interviews were organized by last name, so some of the applicants had all their interviews in the morning and done after lunch and tour, while others sat around that whole time and started their interviews after lunch and finished after 4:30pm. took us on a 3,000 step, 1hr walking tour out on the streets lol. They told us to not book flights earlier than 7pm on IV day but didn't tell us our IV times until a day before, so even though I was done by 2pm I also sat around until my late evening flight&lt;&lt; same thing happened to me but I went to the airport right after my interviews ended at 2 pm and put myself on standby for the next flight out (free to do so) and got a seat! so no waiting and I got home earlier. </t>
  </si>
  <si>
    <t>&lt;Any idea what they were, who they were from etc</t>
  </si>
  <si>
    <t>Washington University/B-JH</t>
  </si>
  <si>
    <t>St Louis</t>
  </si>
  <si>
    <t>&lt;-Although most of this is true, I don't think it was as egregious as this sounds. the social was a social, they had great food and plenty of drinks if you want it, you could chat with the residents if you wanted but it wasn't forced, it actually was a bit hard to tell who was a resident since they were wearing normal clothes, name tags would have helped. the PD and chair interview was together and yes I could tell the PD was looking at my app during it, I know some people view this negatively but I just roll with it because if I had read 150 applications I would def forget things. Telling us the interview day ends at 5pm when some have it end earlier in the day and some have to wait most of the day to start actually was annoying, I fully agree. The tour did take us to 3 diff buildings, but the weather was nice and we weren't on the streets, it's a campus. Compared to what I'm reading about some of these other programs, I don't think it deserves a full mark in negative column  (+1)</t>
  </si>
  <si>
    <t>Did a sub-i there in a surgical subspecialty. was super toxic and an attending literally made me cry &amp; i don't usually cry. also heard from a resident that the program there is extremely malignant</t>
  </si>
  <si>
    <t xml:space="preserve">&lt;this is based on a subspecialty experience? Did you work with their gen surg program at all? </t>
  </si>
  <si>
    <t>&lt;could you leave during the break time if your interviews were all in the afternoon / what did you do during that time?&lt; You can definitely leave during break time and uber somewhere close by. A lot of people went to Wynwood &lt;&lt; I was one of those people who didnt start interviews till very late in the day and they have a break room with everyone and games so honestly it was kind of fun to chat and hang out with everyone lol</t>
  </si>
  <si>
    <t>&lt;&lt;ik what u mean on frat mixer vibes (i thought it was fun tho), but it was def hard to interact with residents because there were no name tags/hard to tell whos who. food was honestly fantastic at social. 
i thought the tour was worth it bc facilities were way better than i expected, particularly at jackson</t>
  </si>
  <si>
    <r>
      <rPr>
        <rFont val="Varela Round"/>
      </rPr>
      <t xml:space="preserve">Visiting student with general surgery. My impression was incredibly positive. PD is kind &amp; approachable, seems to be friendly with residents. Attendings excited to teach, and they chatted &amp; went out of their way to greet me in the halls. Residents (including interns) had scheduled cases each week. It varied based on attending, but residents seemed to have good operative autonomy. The WISE lab and didactic education is leagues above many other programs. Residents seemed happy to share operative experiences with me as a visiting medical student and they advocated for my involvement in cases. This is a program full of people with a genuine passion for teaching. &lt; </t>
    </r>
    <r>
      <rPr>
        <rFont val="Varela Round"/>
        <b/>
      </rPr>
      <t xml:space="preserve">This looks sus for a faculty member writing this. </t>
    </r>
    <r>
      <rPr>
        <rFont val="Varela Round"/>
      </rPr>
      <t xml:space="preserve">&lt; Hi, op here. Definitely not faculty at WashU (a girl can dream!), I just legitimately really loved my time there and think very highly of the program. </t>
    </r>
  </si>
  <si>
    <t xml:space="preserve">I cannot agree more or speak more highly of my experience. PD had set up to meet one and one and is just a fantastic person. My residents went above and beyond to ensure I had the best impression possible and even ensured I had one on one meetings with faculty members. They asked my subspeciality and research interests and connected me specifically to people within these realms. Invited to any events that were hosted by faculty as well. Phenomenal program with unreal mentorship. </t>
  </si>
  <si>
    <t xml:space="preserve">dissappointingly very impersonal quick 10 minute interviews, was overall chill and social was great </t>
  </si>
  <si>
    <t>Did UW send any post interview comms to anyone?</t>
  </si>
  <si>
    <t>University of Mississippi</t>
  </si>
  <si>
    <t>just the thank you notes from the residents</t>
  </si>
  <si>
    <t>MS</t>
  </si>
  <si>
    <t>Can't say enough great things about this program. Residents get so much autonomy for an academic program. They're revamping their research curriculum. And the operative volume is unmatched. Chiefs were the most competent that I worked with on any of my aways. Seems like a real hidden gem, will be ranking high</t>
  </si>
  <si>
    <t>Mount Sinai Florida</t>
  </si>
  <si>
    <t>Carolinas Medical Center</t>
  </si>
  <si>
    <t xml:space="preserve">Can a PD/PC from a community program tell us the average ranks per spot they get the average is 4.5 but do community programs have higher numbers? My top program has very little spots so im worried </t>
  </si>
  <si>
    <t xml:space="preserve">2, maybe 3 </t>
  </si>
  <si>
    <t>Charlotte</t>
  </si>
  <si>
    <t>went to my top 5</t>
  </si>
  <si>
    <t>NC</t>
  </si>
  <si>
    <t xml:space="preserve">No social event and only met 1 resident which was during interviews…. Just sat in zoom waiting room in silence until next interview. Usually there are residents in the break sessions to help answer questions so this was kind of weird to me. But overall chill </t>
  </si>
  <si>
    <t>obsessed. best operative experience, very nice and approachable attendings, cool residents on the whole +1</t>
  </si>
  <si>
    <t>Seems like a chill program but residents seemed burned out. Chair/PD is awesome and funny, enjoyed my convos with attendings</t>
  </si>
  <si>
    <t>Duke</t>
  </si>
  <si>
    <t xml:space="preserve">Literally put in the minimum amount of effort into the interview day. communication from the coordinator was severely lacking. no opportunity to speak with residents other than your interview with the chief. PD said some mildly problematic things. Overall red flags </t>
  </si>
  <si>
    <t>Durham</t>
  </si>
  <si>
    <t>Did hennepin send a post II communication?</t>
  </si>
  <si>
    <t xml:space="preserve">&lt;&lt;&lt; have to agree with previous OP. Many students missed their interviews becuase the coordinator said the interivew was at a certain time and because they were running early, the interviewer missed it because it was like 30 min before or something. Pretty unorganized and one resident even admitted that this program interviews mostly ortho/neurosurg applicants who want gen surg as their second choice.. weird </t>
  </si>
  <si>
    <t xml:space="preserve">Haven't gotten any updates </t>
  </si>
  <si>
    <t>Vidant/ Eastern Carolina Univeristy</t>
  </si>
  <si>
    <t>Greenville</t>
  </si>
  <si>
    <t xml:space="preserve">Imgs how many cat programs are u ranking </t>
  </si>
  <si>
    <t>4 you? 3 &lt; fingers crossed we got this</t>
  </si>
  <si>
    <t>Mountain Area Health Education Center</t>
  </si>
  <si>
    <t>Asheville</t>
  </si>
  <si>
    <t xml:space="preserve">super nice PD and residents. Didactics were actually educational. They did get impacted by the hurrican so it will be interesting to see how that goes. Nurses and staff were very welcoming and helpful. </t>
  </si>
  <si>
    <t>Technically what is the drawback of also ranking categoricals if I interviewed for prelim only? Does it affect my chances of matching?</t>
  </si>
  <si>
    <t>no drawback but might skew nrmp data for future applicants</t>
  </si>
  <si>
    <t>New Hanover Regional Medical Center</t>
  </si>
  <si>
    <t>Theres no point tho the program wont rank you as a cat if your not on their list</t>
  </si>
  <si>
    <t>Wilmington</t>
  </si>
  <si>
    <t>University of North Carolina Hospitals</t>
  </si>
  <si>
    <t>Orlando Health</t>
  </si>
  <si>
    <t>Chapel Hill</t>
  </si>
  <si>
    <t>How are people responding to post-II coms that say your a great fit, for programs you are ranking high but not number one? Is it okay to say I am ranking you high in this instance? Or should we still keep the language vague?&gt;&gt; I've heard to keep it vague, "your program has been top of mind" "honor to train with you"</t>
  </si>
  <si>
    <t>&lt; I got a RTM phone call from a program I ranked as my #1 and DID NOT match there. I also was the only resident in my cohort to *not* get any post II communication from my current program (I ranked as #2), and I matched there. Do not look into anytttthing too deeply.</t>
  </si>
  <si>
    <t>I think youre probably receiving post-II communication because the program already decided to rank you high. I am not sure if any response would really make them bump you either way (unless perhaps LOI for ranking #1)</t>
  </si>
  <si>
    <t>Again, should I be worried if I haven't received a RTM or "you're a good fit" email from any of my programs? Academic or not?  &lt;&lt; I think it's good to get them obviously but shouldnt read too much into not getting them</t>
  </si>
  <si>
    <t xml:space="preserve">Residents were all at a house together for social and seemed like they were good friends. PD and attendings were easy to talk to and whole vibe was friendly and positive. Also appreciated how organized the day was! </t>
  </si>
  <si>
    <t xml:space="preserve">&lt;thats kinda messed up you got a RTM phoe call and they didnt rank you to match &lt; worked out for the best, my current program is amazing and would never do something so shady! &lt;I am glad it worked out for you :) </t>
  </si>
  <si>
    <t xml:space="preserve">&lt;- can someone explain the negative votes?
the culture is off (residents made multiple comments about how everyone expects you to be perfect) and the PD seemed quite arrogant and not suportive </t>
  </si>
  <si>
    <t>Wake Forest</t>
  </si>
  <si>
    <t>Winston-Salem</t>
  </si>
  <si>
    <t>I don't get the downvotes honestly. I personally felt like the residents were very honest about challenges that anyone might experience during residency and mentioned how supportive and understanding everyone was, finding humor in the wildest situations. The PD was very kind with me and seemed to work super hard at expanding the opportunities for residents in terms of being prepared to practice independently or match into any fellowship. &lt;-- agreed!</t>
  </si>
  <si>
    <t>Very good vibes. The program went out of their way to make multiple social times in the same night so we could be in small groups. Green flag for me. Felt like everyone read my application</t>
  </si>
  <si>
    <t>opinions on NYP brooklyn methodist vs Tufts?</t>
  </si>
  <si>
    <t>I think it depends on what you're looking for/your goals &lt;&lt; +1 v different vibes, community program w/ academics or academics in boston? the cultures and opportunities are gonna be vastly different</t>
  </si>
  <si>
    <t>University of North Dakota</t>
  </si>
  <si>
    <t>Grand Forks</t>
  </si>
  <si>
    <t>Something was off in the PD interview. Didn't read my profile and asked very basic questions and seemed very tired at the end of day</t>
  </si>
  <si>
    <t>ND</t>
  </si>
  <si>
    <t>Creighton University</t>
  </si>
  <si>
    <t>Omaha</t>
  </si>
  <si>
    <t>due to weather, flight delays, etc, it seems like I am going to miss the in-person second look for my #1 program. Will this affect my rank? Should I email them to let them know I won't be making it since I said I was going to go?</t>
  </si>
  <si>
    <t>NE</t>
  </si>
  <si>
    <t>&lt; yeah email them for sure since you RSVP'ed. No chance they ding you for weather outside your control.</t>
  </si>
  <si>
    <t>when in doubt, treat this like you would a good friend in real life. since you RSVPed, would be courteous to let them know you cannot attend due to these circumstances but wish you could have. it will not affect your ranking - these second looks are for you, not the program.</t>
  </si>
  <si>
    <t>U Florida</t>
  </si>
  <si>
    <t>University of Nebraska Medical Center</t>
  </si>
  <si>
    <t>PD was v nice + funny, good vibes on interview day, residents love program. prelims were there for social and said they had a great intern year so far and would love to stay +1</t>
  </si>
  <si>
    <t>Program</t>
  </si>
  <si>
    <t xml:space="preserve">&lt;also, gorg campus. stacked cafeteria. </t>
  </si>
  <si>
    <t>For the IMGs that interviewed at Mayo (Rochester) did anyone hear back from the program to know if you are beign considered as a categorical?</t>
  </si>
  <si>
    <t>No I haven't. Did you? &gt;&gt; no, but I remembered they said they would let us know by mid Feb at the latest so idk…</t>
  </si>
  <si>
    <t>Do we know when?</t>
  </si>
  <si>
    <t>overall good experience as sub-i, surgeons all chill, great teachers, patient, and speak very highly about the residents. residents had really good things to say about faculty without them around
-1-2 residents per year allowed to take research yr, but research yr not required of all residents; huge academic center, lots of opportunities for research</t>
  </si>
  <si>
    <t>Dartmouth-Hitchcock Program/Mary Hitchcock Memorial Hospital</t>
  </si>
  <si>
    <t>Lebanon</t>
  </si>
  <si>
    <t>whichever place matches me</t>
  </si>
  <si>
    <t>NH</t>
  </si>
  <si>
    <t>is the case western/university hospitals second look + resident Q/A invite only?</t>
  </si>
  <si>
    <t>U Florida - Jacksonville</t>
  </si>
  <si>
    <t>Atlantic Health Morristown</t>
  </si>
  <si>
    <t>Morristown</t>
  </si>
  <si>
    <t>I just wanna be a surgeon :) +11</t>
  </si>
  <si>
    <t>NJ</t>
  </si>
  <si>
    <t>Do we rank both categorial and preliminary on the same list? What is the meaning of supplemental list?</t>
  </si>
  <si>
    <t>New PD is solid. Lots of historical issues with this program though. Be careful.</t>
  </si>
  <si>
    <t>I think supplemental is for specialties like IR and derm that require a separate prelim year. Otherwise rank categorical and prelim on the same list</t>
  </si>
  <si>
    <t>Dartmouth</t>
  </si>
  <si>
    <t>Cooper Medical School of Rowan University/Cooper University Hospital</t>
  </si>
  <si>
    <t>Camden</t>
  </si>
  <si>
    <t>does anyone know where I can find information on how low a specific program typically drops on their rank list?</t>
  </si>
  <si>
    <t>Program director and residents all went out of their way to be incredibly kind and supportive. Also the program director is so serious about avoiding the "games" of the match (they don't consider letters of intent, don't ever communicate with applicants about their rank, etc) and it's just so refreshing &lt; +1 agree good vibes</t>
  </si>
  <si>
    <t>U South Florida</t>
  </si>
  <si>
    <t>National avg is 5 ranks per matched position, so look at the number of res in a class and do some quick math. &lt;&lt;&lt; so if a class has 6 residents, the match rank list goes until 30? &lt;&lt; depends on how competitive/ highly sought out a program is</t>
  </si>
  <si>
    <t>Hackensack University Medical Center (Palisades) Program</t>
  </si>
  <si>
    <t>you need to ask a pc thats not public info</t>
  </si>
  <si>
    <t>North Bergen</t>
  </si>
  <si>
    <t>&lt; definitely don't ask this - bad vibes. it won't change anything anyway. +2</t>
  </si>
  <si>
    <t>up and coming type of place. robotics heavy. IV day is just back to back people flying between rooms. very inbred. good exposure across specialties; somewhat limited peds, CT, head/neck. also the PD couldn't make it lol no clue how we'll be ranked</t>
  </si>
  <si>
    <t>Emory</t>
  </si>
  <si>
    <t>loved all the attendings and could tell that they really read my app but the residents did not seem like they'd even looked at my app and could barely think of any questions to ask... &lt; they had 3 5th years interview us; they seemed tired asf +1 &lt; agreed I did not have an enjoyable interview experience because it felt faculty and residents were all very tired, not the best impression overall</t>
  </si>
  <si>
    <t xml:space="preserve">everyone was super friendly and you can tell the residents are close with one another </t>
  </si>
  <si>
    <t>Such a healthy program- PD is so supportive and cares about the residents opinions. It's a big program but it seemed like all of the residents knew each other well and had close friends within the program. Everyone (residents, PAs, attendings) were incredibly welcoming to me as a visiting MS4 and I honestly had such a great time. +1</t>
  </si>
  <si>
    <t>does anyone know if being invited to Lenox Hill second looks means you're ranked to match? I am unsure what historically this has meant since they only invite a small number of people</t>
  </si>
  <si>
    <t>Hackensack University Medical Center (seton hall)</t>
  </si>
  <si>
    <t>Hackensack</t>
  </si>
  <si>
    <t>Night float, 24h weekend coverage</t>
  </si>
  <si>
    <t>PD and all residents/attendings were so kind and supportive during interviews, they were so engaging during the socials, interviews, and at the second look. Overall this program really looks like it put in the work to tranform its culture completely from past allegations of malignancy. Great vibes with the residents and attendings I got to speak to throughout.</t>
  </si>
  <si>
    <t>Inspira Medical Center Woodbury</t>
  </si>
  <si>
    <t>Hello Everyone! Please can anyone explain how to enter programs into rank list and how does the ranking done, just the whole process. Would be super grateful</t>
  </si>
  <si>
    <t>Vineland</t>
  </si>
  <si>
    <t>THANK YOU SO MUCH!!!</t>
  </si>
  <si>
    <t>Click ROL. Click Find &amp; Add Programs. Find Program. Rank em. Certify when you're done.</t>
  </si>
  <si>
    <t>You are able to make changes to your list after certifying up until March 5th - just make sure to recertify :)</t>
  </si>
  <si>
    <t xml:space="preserve">loved this program, they were organized and thoughtful. Same for their second look. </t>
  </si>
  <si>
    <t>Residents spent hours with us answering every question under the sun silly or not and the PD though somewhat defensive about HCA in general seemed to be a very genuine person who is interested in being there for her residents both in and out of the hospital, great rotations and fellowship match, excellent benefits in particular for conferences and other supplies</t>
  </si>
  <si>
    <t>Jersey Shore</t>
  </si>
  <si>
    <t>Neptune</t>
  </si>
  <si>
    <t>is BIDMC a 2 year preliminary program? how does one confirm a question like this from other programs?</t>
  </si>
  <si>
    <t>Did an away rotation here and it was easily the best rotation of all of medical school. I was given a high degree of autonomy and the culture and learning environment of the program was absolutely unmatched. I felt like all of the residents, faculty and staff were invested in my learning and eager to give me new opportunities throughout the rotation. I felt very supported during my time here and could tell that an effort was made to ensure that I felt integrated into the team I was working with. The chief residents I interacted with were calm, competent and confident in their abilities and will all obviously make fantastic surgeons.</t>
  </si>
  <si>
    <t>Good variety of cases and volume. Residents took a while to warm up but were super cool after a week of getting to know you. Residents like to teach and treat you like part of the team.</t>
  </si>
  <si>
    <t>UIC-Peoria</t>
  </si>
  <si>
    <t>RowanSOM/OPTI/Inspira Health Network - Surgery-General Residency</t>
  </si>
  <si>
    <t xml:space="preserve">In person interviews are rough but this was so well organized.  They planned for everything from the hotel to transportation to dinner and even got us baked goods on a community tour. The interviews were all interesting and unique (i.e. describing how to build a lego sculpture to the resident) and all of the interviewers knew my application. Dr. Brown was so genuine and supportive. It was one of the best interviews I had. +1 </t>
  </si>
  <si>
    <t>&lt; I didn't like the interview format itself (formal situational/behavioral) but the PD is extremely impressive. a resident said- I'd follow her anywhere. I get it, i would too</t>
  </si>
  <si>
    <t>Lakeland Regional</t>
  </si>
  <si>
    <t>GEORGIA</t>
  </si>
  <si>
    <t>Very well organized interview- PD and APD were very invested. Called my letter writers and stated parts of my letters+2</t>
  </si>
  <si>
    <t>waiting to hear back for a 2nd look at Stamford in CT. Has the PC reached back out to anyone else?</t>
  </si>
  <si>
    <t>nope</t>
  </si>
  <si>
    <t>RowanSOM/OPTI/Jefferson Health/Virtua Our Lady of Lourdes - Surgery-General Residency</t>
  </si>
  <si>
    <t xml:space="preserve">UC Davis </t>
  </si>
  <si>
    <t>Stratford</t>
  </si>
  <si>
    <t xml:space="preserve">They did a really nice job facilitating the whole interview process in a way that made me feel really comfy as an applicant. They explained why they were doing their secondary survey and the questions were cute and thoughtful, they also paired everyone up with an applicant via email that we have at least one shared interest with to be a go-to contact during the process. Also the PD was so sweet during the interview </t>
  </si>
  <si>
    <t xml:space="preserve">Test </t>
  </si>
  <si>
    <t xml:space="preserve">can we rank as a couple even tho we didnt apply as one/ never metioned to the programs ? </t>
  </si>
  <si>
    <t>Rutgers Community Medical Center</t>
  </si>
  <si>
    <t>Yes, as long as you registered as a couple with NRMP</t>
  </si>
  <si>
    <t>Toms River</t>
  </si>
  <si>
    <t>also did a SICU rotation here. just as awesome in person</t>
  </si>
  <si>
    <t>Rutgers New Jersey Medical School</t>
  </si>
  <si>
    <t>Does anyone know if Northwestern is doing 2nd looks?</t>
  </si>
  <si>
    <t>I don't think so</t>
  </si>
  <si>
    <t>Really, really, really malignant place. This is as old school gross as it gets, people. Would not rank this place because of its terrible culture and poor outcomes.</t>
  </si>
  <si>
    <t xml:space="preserve">I agree with the first review. Very old school. The residents openly talk about how they have to suffer so students should suffer too to get a full surgical experience. Residents are miserable and take it out on students. Students are bombarded with scut. </t>
  </si>
  <si>
    <t>Dwight D Eisenhower</t>
  </si>
  <si>
    <t>Rutgers Robert Wood Johnson</t>
  </si>
  <si>
    <t xml:space="preserve">Loved this program, they were organized and thoughtful. Same for their second look. </t>
  </si>
  <si>
    <t>New Brunswick</t>
  </si>
  <si>
    <t>Any recent prelim invites? Respond here since II by date tab is gone!</t>
  </si>
  <si>
    <t>think its over by now &lt; i still have one &lt; where?</t>
  </si>
  <si>
    <t>Attendings care, residents get along well</t>
  </si>
  <si>
    <t>I received an invitation on 2/3 &lt; where</t>
  </si>
  <si>
    <t>good culture, PD is a fantastic educator, attendings are very hands on, very good about getting residents and students involved in research</t>
  </si>
  <si>
    <t>UNLV</t>
  </si>
  <si>
    <t xml:space="preserve">
St Joseph's University Medical Center Program</t>
  </si>
  <si>
    <t>Paterson</t>
  </si>
  <si>
    <t xml:space="preserve">Great questions that made it seem like they read my app and were thinking about us as human beings. </t>
  </si>
  <si>
    <t>For those interested in hands-on experience, the program offers great opportunities, such as performing sutures and using equipment like the LigaSure. While surgery is undoubtedly intense and not without its challenges, I found the environment supportive and the experience worthwhile. St. Joseph's commitment to charity care also contributes to a higher patient load, which adds to the learning experience. Overall, I thoroughly enjoyed my time there, learned a lot, and believe it’s important to review the program with an objective perspective.</t>
  </si>
  <si>
    <t>I did my surgery sub-I at St. Joseph's and I truly had a great experience. All of the residents and faculty were extremely welcoming and eager to teach. The sim lab was especially impressive. Out of all the hospitals I been to this one is the most organized and clean. Everything is set up in its respective station and makes it inviting and easy to use. The PD and attendings were great and very welcoming into their OR. They love to teach and challenge you to be at your best. This is a striving program and there was great volume during my time there. Everyone was truly so kind and I felt right at home. The residents get along well and I had great guidance from the seniors. This is a great place to do a sub-I if you want to be pushed and learn as much as you can.</t>
  </si>
  <si>
    <t xml:space="preserve">Their interview was the most engaging and enjoyable of all my interviews. I feel like we really got to know each other through the questions. Not to mention the Second look was SO much fun!! All around fantastic vibes. </t>
  </si>
  <si>
    <t xml:space="preserve">I did my core in Surgery at Saint Josephs and would say as a student my experience was excellent. The preceptors truly care that you got the most from the rotation and understood what you were doing. Dr. Yanagawa and Dr. Elsawy both make an effort to make sure you understand the fundamentals behind what you are learning so you remember it, not just memorize facts during a shelf exam. All the surgeons whom I worked with during my rotations were open to students coming into the OR and the residents did make a good effort to teach when rounding on patients. Overall, I had an excellent experience here. </t>
  </si>
  <si>
    <t>If I applied to both Cat and Prelim spot, do I rank the prelim spot too?</t>
  </si>
  <si>
    <t>I'm not 100% sure. How do I know which one I interviewed for?</t>
  </si>
  <si>
    <t xml:space="preserve">I completed a 12-week core surgery rotation at St. Joseph Medical Center, and I found the experience very rewarding. Dr. Yanagawa genuinely cares about student learning, going out of his way to ensure we gained valuable knowledge over the 12 weeks. Most attendings were supportive and helpful, with Dr. Yanagawa and Dr. Elsawy providing weekly lectures that integrated clinical knowledge with academic concepts relevant to the shelf exam. We had both a comprehensive mid-rotation and end-of-rotation evaluation, and the team was open to feedback to improve the program. For instance, I suggested implementing 2 sick days due to the intense daily schedule, which has now been incorporated for future students (Dr. Yanagawa gave 4 instead of 2 I suggested).
</t>
  </si>
  <si>
    <t>did they interview you for a prelim or cat?</t>
  </si>
  <si>
    <t>UT Austin</t>
  </si>
  <si>
    <t>yes &gt;&gt; u interviwed for both?</t>
  </si>
  <si>
    <t xml:space="preserve"> They deleted the last few comments. Clearly done by the attendings listed in the last few columns. If you want the honest truth look at the comments from last years sheet. Here were some of the comments they deleted from this sheet.
“Avoid at all costs. Place is a disaster from top to bottom.”
“Agree with previous comment. Apparently tor a few years in a row, interns have switched programs or changed fields all together. The program got so bad that the residents informed AAMC via annual survey and per several residents, nothing has changed. The current seniors are extremely lazy and dump all the work onto Interns and even though attendings are fully aware of it, they simply do not care. The culture is extremely really toxic--residents and attendings talk bad about one another. Just look at last vear's name and shame thread it you want more perspective.”
“As a female, I have to say males should not apply to this place lol. I heard 2 female surgery attendings there literally say disgusting things about male surgeons (and males in general. And it is said in front of residents and other attending. No one Dats an eye when it is said, but | have asked a couple of residents about this and it sounds like its just an everyday normal thing for them.”        </t>
  </si>
  <si>
    <t>I'm a resident here and I adore my program!! Wonderful autonomy and culture</t>
  </si>
  <si>
    <t>University of New Mexico</t>
  </si>
  <si>
    <t>Albuquerque</t>
  </si>
  <si>
    <t>Seems like incredible training and very caring PD. Interviewers had read my app quite thoroughly.</t>
  </si>
  <si>
    <t>NM</t>
  </si>
  <si>
    <t>was the interview structured or more conversational?</t>
  </si>
  <si>
    <t>PD really only cares about scores.</t>
  </si>
  <si>
    <t>&lt; conversational for the most part for me</t>
  </si>
  <si>
    <r>
      <rPr>
        <rFont val="Arial"/>
        <color rgb="FF000000"/>
      </rPr>
      <t xml:space="preserve">Be aware of some serious systemic issues </t>
    </r>
    <r>
      <rPr>
        <rFont val="Arial"/>
        <color rgb="FF1155CC"/>
        <u/>
      </rPr>
      <t>https://nmpoliticalreport.com/featured/unm-pays-800k-in-settlement-still-secretive-on-other-details/</t>
    </r>
    <r>
      <rPr>
        <rFont val="Arial"/>
        <color rgb="FF000000"/>
      </rPr>
      <t xml:space="preserve"> </t>
    </r>
    <r>
      <rPr>
        <rFont val="Arial"/>
        <color rgb="FF1155CC"/>
        <u/>
      </rPr>
      <t>https://www.krqe.com/news/albuquerque-metro/unmh-residents-protest-pay-and-work-conditions/</t>
    </r>
    <r>
      <rPr>
        <rFont val="Arial"/>
        <color rgb="FF000000"/>
      </rPr>
      <t xml:space="preserve"> </t>
    </r>
    <r>
      <rPr>
        <rFont val="Arial"/>
        <color rgb="FF1155CC"/>
        <u/>
      </rPr>
      <t>https://www.reddit.com/r/Residency/comments/vk8cwq/name_and_shame_university_of_new_mexico/Building</t>
    </r>
  </si>
  <si>
    <t>Is there any chance Second Look can hurt your rank position (even if program says they submit ROL before Second Look?) I'm afraid of getting pimped while shadowing lol</t>
  </si>
  <si>
    <t>&lt; It seems highly unlikely you will get pimped! You might hurt your rank position if you say something totally inappropriate/get wasted at a social event</t>
  </si>
  <si>
    <t xml:space="preserve">Good vibes overall! </t>
  </si>
  <si>
    <t>Does anyone know about parking situation at UW madison? And whether or not the benefits are good?</t>
  </si>
  <si>
    <t>HCA/Mercer/Memorial (Savannah)</t>
  </si>
  <si>
    <t>Residents pay for parking (about 100/month), no major benefits other than stipend</t>
  </si>
  <si>
    <t>For anyone who got invited to the Lenox Hill second look, what was the wording about fit/that they liked you?</t>
  </si>
  <si>
    <t>"After careful review of your application, our selection committee has looked upon your candidacy favorably, and we are excited to continue getting to know you."</t>
  </si>
  <si>
    <t>Las Vegas</t>
  </si>
  <si>
    <t>NV</t>
  </si>
  <si>
    <t>Medical College of Georiga</t>
  </si>
  <si>
    <t>Avoid if you don't want PTSD. Toxic as hell and PD does nothing but perpetuate this culture.</t>
  </si>
  <si>
    <t>University of Nevada Las Vegas (UNLV)</t>
  </si>
  <si>
    <t>very obvious none of them read my app. 2 behavioral/generic qs per attending, then endless "any questions for me" without asking about me as a person</t>
  </si>
  <si>
    <t>Did Baylor Houston ever send information about a second look?</t>
  </si>
  <si>
    <t>I never got it</t>
  </si>
  <si>
    <t>I feel somewhat similarly, APD and residents talked about routinely being at 100-120 hours some weeks, minimal benefits like loupes, paying for step 3, educational stipend</t>
  </si>
  <si>
    <t xml:space="preserve">If so, I never got it.    &lt;    home student - i heard through residents its planned for end of february somewhere like 25-28th I forget &lt; It was sent out yesterday (02/06). There will be another email to RSVP next week. Second look date is February 27th and 28th. </t>
  </si>
  <si>
    <t>No</t>
  </si>
  <si>
    <t>multiple late interviewers, more than 5 minutes late!</t>
  </si>
  <si>
    <t xml:space="preserve">Valley Health System </t>
  </si>
  <si>
    <t>made a prelim ran spots list if you know a program for a fact doesnt have prelim go ahead and delete the row</t>
  </si>
  <si>
    <t>deleted for AL AZ WV WI if anyone else would like to check any other states</t>
  </si>
  <si>
    <t>Albany Medical Center</t>
  </si>
  <si>
    <t>Albany</t>
  </si>
  <si>
    <t>Mercer Macon</t>
  </si>
  <si>
    <t>NY</t>
  </si>
  <si>
    <t>It's my home institution. overall, i love the gen surg department. Surg onc attendings are the best, they are so nice and fun. Good learning opportunities given to me as a third and fourth year. theyre trying to up the program with tons of research but not gonna lie research is real slow to start up and complete here. residents are chill af, get along well. Downside is the region if you're not a home body. Up side of region, adirondacks, Boston, and NYC very easy to get to.</t>
  </si>
  <si>
    <t>is there still ivs happenibng in feb for mayo arizona?</t>
  </si>
  <si>
    <t xml:space="preserve">&lt;&lt; +1! Also my home institution, and i love it here. great institution if you want to do trauma. the residents are a lot of fun. they work very hard. </t>
  </si>
  <si>
    <t>Yes &lt; prelim ? What dates?</t>
  </si>
  <si>
    <t>Bassett Medical Center</t>
  </si>
  <si>
    <t>Cooperstown</t>
  </si>
  <si>
    <t>Does everyone who interviewed at Lenox Hill get invited to their in person second look?</t>
  </si>
  <si>
    <t>I think only some people &lt; is this for prelim or cat?</t>
  </si>
  <si>
    <t>Bronxcare Hospital Center</t>
  </si>
  <si>
    <t>Bronx</t>
  </si>
  <si>
    <t>can we make a copy of the applicant info form imgs cus that avergae stats there dont apply to us +1 &lt;&lt; the data is all there if you want to make another sheet</t>
  </si>
  <si>
    <t>Brookdale University Hospital and Medical Center</t>
  </si>
  <si>
    <t>Brooklyn</t>
  </si>
  <si>
    <t>residents are close with each other but because of severe trauma bonding. u get heavily heavily worked here but on the + side the chiefs end up being very well trained</t>
  </si>
  <si>
    <t xml:space="preserve">&lt;&lt;&lt;&lt;&lt;&lt;How are the attendings?  &lt;&lt;&lt; combo of attendings that are approachable &amp; want to teach and then some that are your typical NYC surgeons and are more on the impatient/cranky </t>
  </si>
  <si>
    <t>Please advise: I applied for categorical spots at two programs and got interviewed, now I want to be considered for their prelim spot as well, as matching prelim is better than going unmatched. Is there anything I can do? I feel like explicitly requesting the program to consider me for a prelim spot will bring me down the cat rank list. In a real tight spot. Advice appreciated</t>
  </si>
  <si>
    <t>Brooklyn Hospital Center</t>
  </si>
  <si>
    <t>&lt;&lt; do they take imgs in soap?</t>
  </si>
  <si>
    <t xml:space="preserve">Same dilemma &gt; PC here - We SOAP for a lot of our prelims. We will first reach out to well-liked applicants that we interviewed for categorical and didn't match.  Our program tends to not go very low on the rank list, so we have had a few applicants that we ranked pretty high that didn't match. Usually, due to them doing a couples match or not applying to enough places. So I wouldn't stress too much about preliminary right now. There are usually a lot of open spots in SOAP. </t>
  </si>
  <si>
    <t>&lt;my gut feeling is to focus on matching at the programs categorical and then shift focus to SOAP if it dosnt work out. but i dont know what correct answer is</t>
  </si>
  <si>
    <t>As an IMG, a preliminary year is the best bet. If you have enough prelim ranks as backup, that's alright, or else, I'd let the program know that am happy to be considered for prelim year</t>
  </si>
  <si>
    <t>NGMC</t>
  </si>
  <si>
    <t>Not enough volume, you can see deficits in abilites of residents at all levels.</t>
  </si>
  <si>
    <t>PD is retiring, new PD starting soon. No one told the applicants</t>
  </si>
  <si>
    <t>Flushing Hospital Medical Center</t>
  </si>
  <si>
    <t>Imgs can you please update the applicant info!</t>
  </si>
  <si>
    <t>Flushing</t>
  </si>
  <si>
    <t>No updates ˙◠˙</t>
  </si>
  <si>
    <t>How many 'good fit' emails do you think programs send?</t>
  </si>
  <si>
    <t>&lt; can people include in post II comm tab if they are +2</t>
  </si>
  <si>
    <t>WellStar Atlanta</t>
  </si>
  <si>
    <t>Ppl ranked to match &lt; Probably more tbh</t>
  </si>
  <si>
    <t>Are a lot of people getting these RTM emails?</t>
  </si>
  <si>
    <t>I think people are putting these emails but not a lot of people are getting these. I think it definitely is being given to the "top" candidates whatever those candidates are &lt;&lt; hopefully they're also just becoming less common&gt;&gt;Seeing people getting them makes me want to reach out to programs but I know we arent supposed to unless #1 lol &lt;&lt; I don't think reaching out will change anything</t>
  </si>
  <si>
    <t>Harlem Hospital Center</t>
  </si>
  <si>
    <t>PD clearly did not want to be there, tried to put on a fake smile, and prefaced the intro by saying something to the effect of, "I'm going to give this presentation so that you guys don't keep asking me generic questions." Faculty had read my app and asked personalized questions but did not seem very interested in getting to know me. Residents also seemed nice at first but then lied about how time ran out and just ended the call early even though there was still a full minute and 30 seconds left</t>
  </si>
  <si>
    <t>New York</t>
  </si>
  <si>
    <t>Health Quest</t>
  </si>
  <si>
    <t>How many prelim spots and number of programs that were available in the soap last year</t>
  </si>
  <si>
    <t>Poughkeepsie</t>
  </si>
  <si>
    <t>https://www.reddit.com/r/medicalschool/comments/1bczf27/available_soap_positions_by_specialty_2023_vs_2024/</t>
  </si>
  <si>
    <t>HAWAII</t>
  </si>
  <si>
    <t>Hofstra Northwell</t>
  </si>
  <si>
    <t>New Hyde Park</t>
  </si>
  <si>
    <t>Hofstra Staten Island University Hospital</t>
  </si>
  <si>
    <t>Staten Island</t>
  </si>
  <si>
    <t xml:space="preserve">No. If wellness is important to you, I would look elsewhere. The most toxic group of people I've worked with. There are major issues that seem to stem from leadership. </t>
  </si>
  <si>
    <t>Hofstra/Zucker South Shore</t>
  </si>
  <si>
    <t>Bay Shore</t>
  </si>
  <si>
    <t>How are people already filling out the matched (categorical) and unmatched in the stats page?</t>
  </si>
  <si>
    <t xml:space="preserve">looks like ppl with 0 IIs putting unmatched and those with like 20+ IIs putting categorical for the most part. might have been whoever has been highlighting all the ones with &gt;20 interviews </t>
  </si>
  <si>
    <t>Lenox Hill</t>
  </si>
  <si>
    <t>Its dumb to do that before the final result</t>
  </si>
  <si>
    <t>Tripler AMC</t>
  </si>
  <si>
    <t>/</t>
  </si>
  <si>
    <t>Lincoln Medical and Mental Health Center</t>
  </si>
  <si>
    <t>https://www.thecity.nyc/2021/07/29/bronx-lincoln-hospital-doctor-trainees-toxic-culture-three-deaths/</t>
  </si>
  <si>
    <t>Anyone not sending an LOI or attending second looks (I aint got much money!)? +1</t>
  </si>
  <si>
    <t xml:space="preserve">Yep, not doimg any second looks. Just going off IV vibes. </t>
  </si>
  <si>
    <t>U Hawaii</t>
  </si>
  <si>
    <t>why neg?</t>
  </si>
  <si>
    <t xml:space="preserve">Did lenox hill send out 2nd look in person invites yet? </t>
  </si>
  <si>
    <t>Anyone actually rotated here?</t>
  </si>
  <si>
    <t>&lt; are they not sending to everyone who interviewed?</t>
  </si>
  <si>
    <t>are they having an in person second look?</t>
  </si>
  <si>
    <t>&lt; yes and yes</t>
  </si>
  <si>
    <t>Maimonides</t>
  </si>
  <si>
    <t>ILLINOIS</t>
  </si>
  <si>
    <t>Is there any list of programs that have sent misleading sent post II comms, such as "you're ranked to match" and it wasn't true?</t>
  </si>
  <si>
    <t>Montefiore Medical Center/Albert Einstein College of Medicine</t>
  </si>
  <si>
    <t>&lt;any elaboration on the negatives? - very toxic</t>
  </si>
  <si>
    <t>Mount Sinai NYC Main (Icahn)</t>
  </si>
  <si>
    <t>Manhattan</t>
  </si>
  <si>
    <t>If I'm sending a LOI to my top 1 should I specifically say I'm ranking them number one? I've received mixed advice would really appreciate feedback. Is this a match violation?</t>
  </si>
  <si>
    <t>Ok thanks friends</t>
  </si>
  <si>
    <t>Yes, definitely say this.</t>
  </si>
  <si>
    <t xml:space="preserve">Advocate HC </t>
  </si>
  <si>
    <t>Yeah there is no point in sending one if not</t>
  </si>
  <si>
    <t>Incredibly positive experience as an away rotator. Great teaching, very collegial and welcoming residents, integrate you as part of the team and encourage you to take full ownership of your patients, and look out for your well-being as a Sub-I.</t>
  </si>
  <si>
    <t>&lt; YES!</t>
  </si>
  <si>
    <t>The Icahn Sinai PD does not meet with Sub-I's or prelims, at all. This is NOT the norm, this is a Sinai-exclusive phenomenon. The PD at most other programs will gladly set aside time to meet with you. Do not settle for anything less. +1</t>
  </si>
  <si>
    <t>Attendings here do not like the program director &lt;&lt; second this; to the point where residents get BARELY any breast cases b/c apparently there's big beef between the PD and some of the breast surgeons. Residents told me not to come here if I'm interested in breast b/c of the extremely low breast case volume</t>
  </si>
  <si>
    <t>Anyone else not sending a LOI to any school? I'm not fully decided and don't want to send multiple, just wishing what I said in interviews was enough to show I'm interested. Am I only hurting myself or are others in the same boat? +2</t>
  </si>
  <si>
    <t>PD does not like working with visiting students and will refuse to meet with you. There will be a 30-min group meeting with APD at the end of rotation. No time for individual feedback/meeting. DO NOT DO PRELIM HERE. PD will not even meet with her own prelims and they have not matched their own prelim in over 15 years. PD also known to treat OR staff very poorly. On the positive side, the residents are very friendly and welcoming. +1</t>
  </si>
  <si>
    <t>worst sub-I experience, rt to the PD not meeting with you as a sub I and overall the vibe is that you're doing the rotation to learn and you will not match here so don't expect anything. Felt like a waste of time although the attendings and residents are nice enough. +1</t>
  </si>
  <si>
    <t>PC here: most of our applicants don't send a LOI and it doesn't impact their ranking. &lt;&lt; thank you!!</t>
  </si>
  <si>
    <t>Residents really nice, some don't seem like they know how to operate though. Saw a chief that couldn't work the robot for a hernia repair lol. PD will refuse to meet with SubIs. Attendings were really nice but seems like residents were just holding the camera for them, conversing with them or clearing the visual field. PAs and nurses are really helpful and nice. Residents are not overworked either so u guess that's a plus lol. Waste of a sub I smh</t>
  </si>
  <si>
    <t>Mount Sinai South Nassau (South Nassau Communities)</t>
  </si>
  <si>
    <t>South Nassau</t>
  </si>
  <si>
    <t xml:space="preserve">Ascension IL/ St. Joes </t>
  </si>
  <si>
    <t>Anyone get any "love letters" from programs?</t>
  </si>
  <si>
    <t>Nassau University Medical Center</t>
  </si>
  <si>
    <t>See "Post II Comms" tab</t>
  </si>
  <si>
    <t>East Meadow</t>
  </si>
  <si>
    <t>Thank you!</t>
  </si>
  <si>
    <t xml:space="preserve">Lots of dumb IMGs at this hospital &lt;- bro so rude  &lt; I mean first post is accurate, the residents here are mostly IMGs who couldn't match anywhere else </t>
  </si>
  <si>
    <t>New York Presbyterian Brooklyn Methodist Hospital</t>
  </si>
  <si>
    <t xml:space="preserve">Carle Foundation Hospital </t>
  </si>
  <si>
    <t>my #2 program basically said we need to send an email if we are interested and tell them the reasons why we like their program etc. Don't want to send them a formal Letter of Intent since they will be number 2 but also heard vague "one of my top program" emails are hurtful not helpful so not sure what to do</t>
  </si>
  <si>
    <t>if they told you to email them, dont overthink it and just email them with information requested. You can even preface it with "As requested by program in the second look, I am writing to provide..."</t>
  </si>
  <si>
    <t>How did they tell you that?</t>
  </si>
  <si>
    <t>Second look</t>
  </si>
  <si>
    <t>What program if you don't mind me asking? Unable to attend second looks and now anxious about missed insights +1</t>
  </si>
  <si>
    <t xml:space="preserve">Academic/community hospital. Quite busy. Residents are really fun to work with, very collegial environment, and willing to change. Interns get a lot of OR time as well. Ranges from simple to complex cases. Lvl 2 trauma center but it gets good amount of penetrating injuries and major traumas. </t>
  </si>
  <si>
    <t xml:space="preserve">New York Presbyterian Columbia </t>
  </si>
  <si>
    <t xml:space="preserve">Franciscan Health Olympia Fields </t>
  </si>
  <si>
    <t>whoever is ranking UB check reddit lol &lt; link?</t>
  </si>
  <si>
    <t>FYI... the gen surg program is not cutting any funding in light of this, Please don't believe everything you read on reddit. Each program at UB is different. We still have all our wellness funding in addition to the extra $2000</t>
  </si>
  <si>
    <t>in person, everyone was nice and residents seem close. Residents said it was workhorse program with lots of call</t>
  </si>
  <si>
    <t>https://www.reddit.com/r/medicalschool/comments/1iasaft/4th_years_beware_of_ub/?utm_source=share&amp;utm_medium=web3x&amp;utm_name=web3xcss&amp;utm_term=1&amp;utm_content=share_button</t>
  </si>
  <si>
    <t>completed my sub-i here with vasc sx team. the residents are so welcoming and fun. i got to know a good amount of the interns and i wasn't even on their service. also the program department seems to really care about their residents and bring free lunch for them Mon-Fri except Thurs (they hold Learn &amp; Lunch sessions so tech still give you free food). also get uber credit as a resident.</t>
  </si>
  <si>
    <t>24 hr</t>
  </si>
  <si>
    <t xml:space="preserve">epic </t>
  </si>
  <si>
    <t xml:space="preserve">no, $3,000 education stipend </t>
  </si>
  <si>
    <t>New York Presbyterian Queens</t>
  </si>
  <si>
    <t xml:space="preserve">Loyola </t>
  </si>
  <si>
    <t>very situational interview style so hard to tell the vibe of the program</t>
  </si>
  <si>
    <t>Speaking of UB, to those who interviewed with them - did you get a response to your "Thank you" email? This is one of the few I did not hear back from the PD</t>
  </si>
  <si>
    <t xml:space="preserve">Northwestern </t>
  </si>
  <si>
    <t>what do you guys say in a LOI? is there guide or example somewhere? &lt;&lt; just say explicitly ranking program #1 and keep it short and the rest probably dosnt matter too much</t>
  </si>
  <si>
    <t xml:space="preserve">ok thank u &lt;3 </t>
  </si>
  <si>
    <t xml:space="preserve">Did my sub-i here, honestly mixed feelings about this place. Seems like you don't get too much operative experience until like 3rd year. They say they have high case volume but it honestly didn't seem that way. There is a good mix of nice residents vs those with mixed personalities. This is a pretty cliquey program. They do push for research while in house but seems like most residents pursue research years, not covered by the program, you have to find it on your own. Some attendings are great at teaching, others pretend like you're not there. The food is terrible lol. </t>
  </si>
  <si>
    <t>Details?</t>
  </si>
  <si>
    <t>Focus on resident wellness and culture. Amazing research with funding. Mix of standardized questions. PD is laid back and cares about residents as people.</t>
  </si>
  <si>
    <t>New York Presbyterian Weill Cornell</t>
  </si>
  <si>
    <t>are you guys sending a LOI for ur 2nd or 3rd programs as well?</t>
  </si>
  <si>
    <t xml:space="preserve">Parkview </t>
  </si>
  <si>
    <t>no, I feel like telling a program you are just ranking them highly is not that valuable tbh. Number 1 means the most</t>
  </si>
  <si>
    <t xml:space="preserve">Completed an away here. Very traditional, top-down hierarchy. Most cases are performed by seniors with very little PGY1-2s experiencing real OR time. Some of the really toxic seniors had a "don't speak to me as a medical student" atmosphere. Most residents don't care about students until you show you are willing to work hard and follow commands promptly. There was also clearly some in-fighting between resident cliques and as a group it wasn't welcoming in the slightest. But on individual teams they were some of the best residents I worked with, clearly all of them worked very hard to get where they were and they all worked incredibly hard each day which I respected. Requires 2 research years. For a NY program they do offer a lot of benefits which make life in NY at least not unliveable, many of the residents seemed happy with the packages and pay. The hospital was great, the nurses and ancillary staff were some of the best I've ever worked with. I had some really high highs at this program and some really bad lows depending on the team and what seniors. Take from this review what you will. </t>
  </si>
  <si>
    <t>Have programs already made their rank lists? Does anyone know the rank list date?</t>
  </si>
  <si>
    <t xml:space="preserve">Home student- Similar to what previous person said. Very top heavy operating wise but if you're an efficient intern/pgy2 you can get decent OR time. I tend to think the residents are pretty tight knit, you just have to break through and show you're willing to work hard. Because of top heavy nature and extensive SICU experience, residents are super comfortable with floor management and high acuity patients. Research opportunities during 2 required research years are high quality with MSK/Rockefeller/WCM. For NYC benefits of NYP are unmatched. Starting salary with housing stipend is $100K. Good housing options. Lyft credits. In general people hate on NYC programs but after doing away rotations on west coast and in the midwest, all hospitals deal with the same issues imho. </t>
  </si>
  <si>
    <t xml:space="preserve">Rank list entry on the NRMP website doesn't open until Feb 3 @ noon ET </t>
  </si>
  <si>
    <t xml:space="preserve">Rush </t>
  </si>
  <si>
    <t xml:space="preserve">very nice group, PD is sarcastic and funny. The ID did, aptly, seem "rushed." There was no social the night prior and the day was over in about 2 hours without much fanfare or time for questions. </t>
  </si>
  <si>
    <t>&lt;&lt; honestly I kinda liked that. no frills. showed us why working there would be sick and then got straight into interviews. pretty good in my opinion</t>
  </si>
  <si>
    <t>NYMC Metropolitan Hospital</t>
  </si>
  <si>
    <t xml:space="preserve">vey shitty. they dont care about their residents at all. They had a resident suicide a few years back and their program is still toxic. </t>
  </si>
  <si>
    <t>If a PD sends his or her personal cell phone, what are you supposed to do?</t>
  </si>
  <si>
    <t>Call em up and ask how they are doing &lt;&lt; invite them to dinner where they pay for the entire meal, including drinks &lt;&lt; try calling practice consults in the middle of the night so they know you're dedicated &lt;&lt; put the number on craigslist &lt;&lt; text them "heyyy" @ 2am</t>
  </si>
  <si>
    <t>Southern Illinois</t>
  </si>
  <si>
    <t xml:space="preserve">why. super nice interviewers. seems social is super important as several interviewers asked me if i went. </t>
  </si>
  <si>
    <t xml:space="preserve">The interview went super great, it seems like a great program to be in </t>
  </si>
  <si>
    <t>NYMC Westchester Medical Center</t>
  </si>
  <si>
    <t>Any new prelim invites??+2</t>
  </si>
  <si>
    <t>Valhalla</t>
  </si>
  <si>
    <t xml:space="preserve">U Chicago </t>
  </si>
  <si>
    <t>all of the residents really like each other and the faculty seem very approachable. PD is awesome!</t>
  </si>
  <si>
    <t>NYU Brooklyn</t>
  </si>
  <si>
    <t>Interviewers clearly read our applications and asked specific questions. Residents seem happy with program and training.</t>
  </si>
  <si>
    <t>Does it make sense to have my chair call my top program to vouch for me? He has no ties to the program. Not sure how he'd get their number. I sent an LOI already, not sure if it's overkill</t>
  </si>
  <si>
    <t>2 of my interviewers asked me where I'm ranking highly... like bruh come onnn +2</t>
  </si>
  <si>
    <t>I went in person, room we were waiting had cracks in the wall and window panes dropping, building was smelly and very old.  &lt; Someone deleted my comment, but it should be said that the interview building is not where most of the residents work. New hospital is beautiful</t>
  </si>
  <si>
    <t xml:space="preserve">It can't hurt, may help &lt;&lt; PC here a call typically only helps when they have a relationship. &lt; PC - Agree, if they don't know the PD it probably wouldn't help as much. </t>
  </si>
  <si>
    <t>thank you PCs!!!</t>
  </si>
  <si>
    <t>&lt; Did you go on the hospital tour? Seemed remarkably beautiful, clean, amazing views of Chicago &lt;&lt; yeah they said Mitchell is not the actual hospital lol you will not do any clinical activities there it's mainly used for offices, but I do agree, it is old as heck</t>
  </si>
  <si>
    <t xml:space="preserve">U Illinois - Peoria </t>
  </si>
  <si>
    <t>Maybe a dumb question, but do all programs tell their top candidates they're ranked to match (i.e. if we dont get this call/reply to an LOI, should we assume we aren't?)</t>
  </si>
  <si>
    <t>&lt; Absolutely not lol "ranked to match" emails are a scam</t>
  </si>
  <si>
    <t>NYU Winthrop - Long Island</t>
  </si>
  <si>
    <t>&lt; that's a clear and egregious match violation, cant tell how many programs do it BTS but its not the norm for sure</t>
  </si>
  <si>
    <t>Mineola</t>
  </si>
  <si>
    <t xml:space="preserve">U Illinois - Mt Sinai </t>
  </si>
  <si>
    <t>St Barnabas Hospital</t>
  </si>
  <si>
    <t>a PD from one of my aways said they would get me schedueld
for an IV later in the cycle. Their last date is in 1.5-2 weeks and 
I still have not heard from them. I sent an LOI again, but no response.
I heard the coordinator is out sick. Any recommendations?</t>
  </si>
  <si>
    <t xml:space="preserve">did you send LOI to the PD or only the coordinator? I'd probably just email the PD directly if you haven't done so already but realistically chances are slim at this point.. sorry, even PDs make false promises. &lt;&lt; PC here - i just had to add someone onto our schedule and probably gave them 3 weeks notice. if you have communication with the PC about this, i'd respond to that email and cc the PD. Just say you wanted to follow-up on the conversation you had during your away. </t>
  </si>
  <si>
    <t>Stony Brook Medicine</t>
  </si>
  <si>
    <t>Stony Brook</t>
  </si>
  <si>
    <t xml:space="preserve">UIC </t>
  </si>
  <si>
    <t>got pimped on clinical questions and surgery steps during an interview +1</t>
  </si>
  <si>
    <t>Stony Brook Southampton Hospital</t>
  </si>
  <si>
    <t xml:space="preserve">&lt;- should I study before my interview lol </t>
  </si>
  <si>
    <t>Southampton</t>
  </si>
  <si>
    <t>did UT san antonio have any prelim ivs so far? or is the one in feb the only date?</t>
  </si>
  <si>
    <t>one in feb is the only date</t>
  </si>
  <si>
    <t>SUNY Downstate (Brooklyn)</t>
  </si>
  <si>
    <t xml:space="preserve">UIC - Metropolitan </t>
  </si>
  <si>
    <t>Residents are kind but the program is so disorganized. Residents told me not to come. Incredibly low pay for NYC.</t>
  </si>
  <si>
    <t>&lt;&lt;How the fuck do they expect people to survive in NYC on less than $70k? This is less than what someone earns straight out of undergrad.</t>
  </si>
  <si>
    <t>SUNY Upstate</t>
  </si>
  <si>
    <t>Syracuse</t>
  </si>
  <si>
    <t>why is the name and shame empty</t>
  </si>
  <si>
    <t xml:space="preserve">Because no one wants to put anything that could potentially be traced back to them and affect their Match. Even if you had a program you really disliked, it may be better than going un-Matched so why risk it until after Match. </t>
  </si>
  <si>
    <t xml:space="preserve">INDIANA  </t>
  </si>
  <si>
    <t>U Rochester</t>
  </si>
  <si>
    <t>did any IMG get caswestern prelim?</t>
  </si>
  <si>
    <t>University at Buffalo</t>
  </si>
  <si>
    <t>Buffalo</t>
  </si>
  <si>
    <t>Ascension St. Vincent</t>
  </si>
  <si>
    <t xml:space="preserve">The residents are not malignant. The majority of attendings are not malignant either. It is busy/workhorse. GME leadereship as a whole is the issue. But that is separate from the surgery residency. The PD is great. </t>
  </si>
  <si>
    <t>Wasn't this hospital on strike a couple of weeks ago ?</t>
  </si>
  <si>
    <t xml:space="preserve">sent letter of intent to my top program, no response. just sad. maybe it means nothing. </t>
  </si>
  <si>
    <t>&lt; it is</t>
  </si>
  <si>
    <t>&lt; I was told by a mentor that no response sometimes doesn't mean anything because PDs won't respond to make sure they're 1000% sure they're not violating NRMP rules by indicating anything about the match if that makes you feel better &lt;&lt; PC here - we never respond to LOIs at our program for this very reason! &lt; thank you!</t>
  </si>
  <si>
    <t xml:space="preserve">home program: excellent culture among residents, really have eachothers back-- not malignant IMO. definitely need to be paid more :-) strike was no joke </t>
  </si>
  <si>
    <t>Wyckoff Heights Medical Center</t>
  </si>
  <si>
    <t>Indiana U</t>
  </si>
  <si>
    <t>Do we trust when programs say you will be considered equally regardless of second look attendance, but dont say if the rank list will be finalized?</t>
  </si>
  <si>
    <t>St. Luke's Mohawk Valley</t>
  </si>
  <si>
    <t>no +2 &lt; if a program wont rank people who dont come to their second looks, their loss tbh +2</t>
  </si>
  <si>
    <t>Utica</t>
  </si>
  <si>
    <t>Parkview Health</t>
  </si>
  <si>
    <t>Akron General</t>
  </si>
  <si>
    <t>Akron</t>
  </si>
  <si>
    <t>The residents seem very friendly and fun. PD is very energetic and excited about the program. They are owning the fact it's a foundational program and are trying to push it to the finish line. overall great vibes. +1 &lt;&lt;&lt;Definitely seems like they'll devote serious resources to support your career goals, whatever they may be</t>
  </si>
  <si>
    <t>OH</t>
  </si>
  <si>
    <t>PD is stepping down &lt;&lt; real shame as it seemed like a lot of the program revolved around the PD/their connections &lt;&lt; how do you know PD is stepping down &lt;&lt; Email sent by PD to interviewees, see post IV comms tab</t>
  </si>
  <si>
    <t>for the virtual one. Is there gonna be an in person one? No second look invites for that</t>
  </si>
  <si>
    <t>Cleveland Clinic South Pointe</t>
  </si>
  <si>
    <t>Cleveland</t>
  </si>
  <si>
    <t>IOWA</t>
  </si>
  <si>
    <t>Hi! Does anyone happen to have any information as to why the following programs have "accreditation with warning"?
- UVM
- Montefiore
- Albany</t>
  </si>
  <si>
    <r>
      <rPr>
        <rFont val="arial,sans,sans-serif"/>
      </rPr>
      <t xml:space="preserve">want to know about this as well &gt; The new report just came out. It looks like Montefiore and UVM are back to continued accreditation. &lt; where can I find this report? Residency explorer is still listing them w/ a warning.  </t>
    </r>
    <r>
      <rPr>
        <rFont val="arial,sans,sans-serif"/>
        <b/>
      </rPr>
      <t>Where is the report?</t>
    </r>
  </si>
  <si>
    <t>did anyone get a cat invite in jan</t>
  </si>
  <si>
    <t>i got 2, took them both</t>
  </si>
  <si>
    <t>I did get one , it is this Friday. Thier last interview day. I didn't know I was waitlist. This was my Signal program, I am excited &lt;&lt; good luck! +1</t>
  </si>
  <si>
    <t>yeah I got one on 1/1 but declined it since I had another interview scheduled for their only day left and already had enough interviews imo</t>
  </si>
  <si>
    <t xml:space="preserve">Doctors Hospital/OhioHealth Program </t>
  </si>
  <si>
    <t>Central Iowa (Methodist Medical)</t>
  </si>
  <si>
    <t>Columbus</t>
  </si>
  <si>
    <t xml:space="preserve">Auditioned here and was placed on ACS at Grant Medical Center and spent no time at Doctors. GMC is a level 1 and residents are very proficient with trauma since they spend 50% of their time here. When not on ACS/Trauma services lifestyle seemed good and residents appeared much happier. Overall, residents and attendings were friendly.
</t>
  </si>
  <si>
    <t>Jewish Hospital of Cincinnati</t>
  </si>
  <si>
    <t>Cincinnati</t>
  </si>
  <si>
    <t>So my handwritten letter from the PD for Northwestern post IV comm had stuff we didn't talk about during my interview, did this happen to anyone else? Bigger picture I'm wondering with the amount of applicants leadership interviews, do details get mixed up between applications and does that end up impacting rankings in any way? Or should I stop overthinking this and just take the letter at face value</t>
  </si>
  <si>
    <t>never rotated there. tried to but when reaching out to coordinator i was told they don't take DOs for rotations</t>
  </si>
  <si>
    <t>Was it totally inaccurate?</t>
  </si>
  <si>
    <t>&lt; oof</t>
  </si>
  <si>
    <t>Mine was pretty accurate but very clearly came from a note she had jotted down while we were speaking (used my exact same language). I'd guess the notes got disorganized and she mismtached a name and a note. But since you interview with multiple people and there's so much more on your application to consider for ranking besides interviews, I would personally try to just take it at face value (for my own sanity) &gt; thanks!</t>
  </si>
  <si>
    <t xml:space="preserve">I am a DO and I had a rotation there . They only have one categorical spot open. small hospital, you do trauma elsewhere. attendings are not the most welcoming. education is resident led. you get a lot of operative experience, especially as an intern. no night float. I am pretty sure it was call like every 3 or 4 days if I remember. Some residents do hang out together. </t>
  </si>
  <si>
    <t>MercyOne North Iowa</t>
  </si>
  <si>
    <t>Mercy St Vincent Medical Center</t>
  </si>
  <si>
    <t>Toledo</t>
  </si>
  <si>
    <t xml:space="preserve">Should we expect a response to letter of intent? </t>
  </si>
  <si>
    <t>PC here: unlikely</t>
  </si>
  <si>
    <t>U Iowa Hospitals and Clinics Program</t>
  </si>
  <si>
    <t>MetroHealth Case Western Reserve</t>
  </si>
  <si>
    <t xml:space="preserve">Really good interview day. Very organized and strong communication. </t>
  </si>
  <si>
    <t>Mount Carmel Health System</t>
  </si>
  <si>
    <t>KANSAS</t>
  </si>
  <si>
    <t>New Entries at the Bottom, Please!</t>
  </si>
  <si>
    <t>OSU</t>
  </si>
  <si>
    <t>any iv impressons for UTSW prelim? &lt; v conversational</t>
  </si>
  <si>
    <t>Home: Faculty and residents are excited to involve trainees at all levels in patient care. Interns are encouraged to enter OR while also managing the floor. Great leadership that seek out and listen to feedback.</t>
  </si>
  <si>
    <t xml:space="preserve">Heavy emphasis on research, but operative experience seems to be weak. Too many fellows diluting experience of 4th &amp; 5th year gen surg residents. </t>
  </si>
  <si>
    <t>Riverside Methodist Hospitals (OhioHealth)</t>
  </si>
  <si>
    <t xml:space="preserve">Education/ didactic is not the best. a lot of cases but not very much trauma. attendings yell in the OR at scrub techs, residents, and med students. night float system. </t>
  </si>
  <si>
    <t>Hello everyone. Does anyone know the interview dates for University of Rochester PRELIM? If so, are there any available spots? Thanks!</t>
  </si>
  <si>
    <t xml:space="preserve">&lt;&lt;Not sure what this person is talking about. But rotated here as a 3rd year med student and as a 4th year sub-I. Had a great experience. Attendings are nice overall and OR staff treats residents respectfully. Surgery residents overall seem to have a great rep in the hospital. Residents do a ton of cases. 5th year residents do 3 months of clinic surgery service where they're independently performing operations and teaching younger residents during the case while attending is available. Lots of trauma, mostly blunt trauma more than penetrating trauma. Tons of robotic bariatric surgery experience and robotic colon cancer cases. 3 months of pediatric surgery and 1 month of transplant experience as well. 4th years can do 1 month elective at another institution if they have fellowship aspirations. $2500 every year education funds for every resident, including on research conference costs. All categorical residents get their surgical loupes during their intern year. Strong track record of matching prelim surgery interns into categorical spots. Strong track record of matching residents into plastics, cardiothoracic, surgical critical care, and HPB. Didactics/education definitely needs work, but residents and attending seem to be working hard to improve this. Not much emphasis on research, but opportunities available if desired. Night float schedule in place. Call shifts get incredibly busy here. I was with the intern and junior mostly and they seldom got an hour of sleep because they're constantly seeing consults in the ER or floor and putting out fires on the floor. </t>
  </si>
  <si>
    <t>Programs</t>
  </si>
  <si>
    <t>St Elizabeth Health Center/NEOMED</t>
  </si>
  <si>
    <t>Youngstown</t>
  </si>
  <si>
    <t>anyone knows if Boston Medical Center already sent prelims?</t>
  </si>
  <si>
    <t>Summa Health System/NEOMED</t>
  </si>
  <si>
    <t>HCA KC/Menorah</t>
  </si>
  <si>
    <t>Please+1 would like to know</t>
  </si>
  <si>
    <t>Voting
(by Others)</t>
  </si>
  <si>
    <t>Summa was purchased by VC firm General Catalyst and is going to be for-profit. Will end up becoming another Steward Health disaster in a few years.</t>
  </si>
  <si>
    <r>
      <rPr>
        <rFont val="Varela Round"/>
        <color rgb="FF000000"/>
        <sz val="11.0"/>
      </rPr>
      <t xml:space="preserve">can you expand on this? What are the cons of being for profit and will this affect the residency program education &lt;&lt;&lt; </t>
    </r>
    <r>
      <rPr>
        <rFont val="Varela Round"/>
        <color rgb="FF1155CC"/>
        <sz val="11.0"/>
        <u/>
      </rPr>
      <t>https://www.youtube.com/watch?v=MqYUFy87UMM</t>
    </r>
  </si>
  <si>
    <t>What programs still haven't sent Prelims that you know of?</t>
  </si>
  <si>
    <t>NYU I think? And BWH?</t>
  </si>
  <si>
    <t>anyone know whats going on with UC Davis' prelim?</t>
  </si>
  <si>
    <t>U Kansas Wichita</t>
  </si>
  <si>
    <t>How do you find out how many interviews are offered at these programs? What's a typical average # interviews given out by programs in gen surg?</t>
  </si>
  <si>
    <t>residency explorer</t>
  </si>
  <si>
    <t>Program A</t>
  </si>
  <si>
    <t>TriHealth Good Samaritan</t>
  </si>
  <si>
    <t>Program B</t>
  </si>
  <si>
    <t>PC here: A lot of LOI questions... please take a look at all of the answers we've already provided but TL;DR: LOIs are valued differently at each program. I wouldn't stress over them so much - if you feel compelled to send one, go for it! A LOI isn't going to impact you negatively. But if you decide to send them, keep them to your top couple programs and don't tell a program they're you're #1 if they aren't! Best of luck all! :)</t>
  </si>
  <si>
    <t>Thoughts / Reason for Comparison</t>
  </si>
  <si>
    <t>For A</t>
  </si>
  <si>
    <t>Sorry if this has been answered (I think it was for letter of interest but not letter of intent), but when is the best time to send a letter of intent? When do programs have to submit their rank lists? Thanks for all your input. (+1 cant find this answer in the PC/PD chat, pls help!) &lt;&lt; i believe i've answered this, but it's going to be program dependent on the best time to send. i'd send them sooner rather than later though. Programs have to submit their rank lists the same day as you.</t>
  </si>
  <si>
    <t>For B</t>
  </si>
  <si>
    <t>U Kansas</t>
  </si>
  <si>
    <t>Has anyone emailed community memorial pd/pc and heard back?</t>
  </si>
  <si>
    <t>Social the night before was held at a resident's house. The chiefs seemed confident and kept things on track while also being really fun and casual with the interns which was a good sign. Interview day was good with interviewers defintely having read my app fairly thoroughly.</t>
  </si>
  <si>
    <t xml:space="preserve">University of Cincinnati </t>
  </si>
  <si>
    <t>KENTUCKY</t>
  </si>
  <si>
    <t>UK Bowling Green</t>
  </si>
  <si>
    <t>need advice from a PD or PC: i told many faculty and the PD that i want to be at their program and idk if i need to send a letter of intent or not.... what would you advise?</t>
  </si>
  <si>
    <t>Great interview experience! Three 20 minute interviews with either two or three attendings present at each. All the residents at the social were very friendly with all the applicants and made it very apparent that they get along very well with one another. Their recent graduates finished with an insanely high number of cases. Overall, great experience!</t>
  </si>
  <si>
    <t>&lt;&lt;PC here, put this on the PC/PD tab - you'll probably get more responses there! // they probably have made a note, but you could send a LOI so they have something formal. I would only send it to the PC/PD though - don't include the faculty you've spoken with.</t>
  </si>
  <si>
    <t>University of Toledo</t>
  </si>
  <si>
    <t>Western Reserve Health Education/NEOMED Program</t>
  </si>
  <si>
    <t>U Kentucky</t>
  </si>
  <si>
    <t>Has VCU sent out prelim invites?</t>
  </si>
  <si>
    <t>20min with 3 attendings, 5min with PD lol. program got 6 citations + warning, not probation, per PD. Made a lot of changes in past year to protect residents. social was hosted at 2 houses, 4-5 residents each. not the boisterous type; many looked jaded</t>
  </si>
  <si>
    <t>QOL, operative autonomy, research</t>
  </si>
  <si>
    <t>&lt;&lt;&lt; agreed on this, PD seems awesome and it seems they really are making changes but I was really underwhelmed by the social aspect as it seemed collegial but not tight-knit. There was also random negativity comments made - like when an applicant asked who's your favorite attending to work with and the reply was "idk I really like a lot, but some are just terrible to work with and you hate scrubbing with just like any program but at least its far and few in between" which I appreciate honesty but just that a lot of the questions got a response that went in a negative way</t>
  </si>
  <si>
    <t>Kettering health</t>
  </si>
  <si>
    <t>Dayton</t>
  </si>
  <si>
    <t>Residents seem to get along really well. PD goes out of her way to listen to residents and address their feedback</t>
  </si>
  <si>
    <t>could people who got washU prelim lmk their stats</t>
  </si>
  <si>
    <t xml:space="preserve">  (-home, +away, +signal, +geo, US IMG, 25x)</t>
  </si>
  <si>
    <t>I will say that although they have "accreditation w/ warning" status on their most recent ACGME visit, I actually appreciated that the PD addressed their ACGME citations and told us exactly what the citations were for during the interview day powerpoint. At first when I was interviewing during the beginning of the cycle, it was very off-putting to hear Kentucky talk about it so openly, but now as I'm interviewing elsewhere, it's been so hard to ask about as an applicant. For example, there's other programs that have citations and are on warning status, and it's not even discussed... Also feels intimidating to bring it up during 1on1 interviews w/ faculty bc you want to keep the conversation lighthearted, but it's also super important to know what the citations were for and how they're fixing those issues as you're deciding where to spend the next 5-7 years of your life. So overall, I think looking back I really appreciated how transparent they were, which I haven't found in other programs. +2</t>
  </si>
  <si>
    <t xml:space="preserve">Very little volume even though they boast about having a lot of volume. Will frequently have 3-4 residents all scrubbed for a case. Some of the residents are nice and want to teach, but several are very rude or straight up ignore medical students. </t>
  </si>
  <si>
    <t xml:space="preserve">During the last week of the rotation they appear to invite 1 student they like to come back for another 2 week rotation to get facetime with attendings. The attendings do not seem to care for students during the 4 weeks. </t>
  </si>
  <si>
    <t xml:space="preserve">Malignant. Lots of busy work. </t>
  </si>
  <si>
    <t>why does someone keep deleting my comment about my good experience rotating here lol</t>
  </si>
  <si>
    <t>UMD</t>
  </si>
  <si>
    <t xml:space="preserve">Western Reserve Hospital Program </t>
  </si>
  <si>
    <t>UNC</t>
  </si>
  <si>
    <t xml:space="preserve">PD is incredible, she seems truly invested in residents and made such a good impression during interview, interactions I had with faculty/residents during IV were all enjoyable and it seems like PD has been successfully implementing positive change for the program, patient population is very sick, its a very big and high volume hospital, would be great for training </t>
  </si>
  <si>
    <t>Cuyahoga Falls</t>
  </si>
  <si>
    <t xml:space="preserve">Former resident was suspended after faking letters of recommendation (https://www.kentucky.com/news/local/counties/fayette-county/article265480376.html) &lt; google search brings up the court proceedings and it is a wild read though idk if that reflects on the program at all just because someone went rogue &lt; seems like that guy is also a different resident bc he applied to cardiothoracic with fake letters of rec, not surg onc </t>
  </si>
  <si>
    <t>peds surg vs plastics fellowship, comraderie, location</t>
  </si>
  <si>
    <t xml:space="preserve">I can't decide between 2 programs as my top choice to send LOI. what should i do T_T </t>
  </si>
  <si>
    <t xml:space="preserve">same and my interview for one of the top programs I am thinking isnt for &gt;1 week away so Im wondering if that will be too late for the other </t>
  </si>
  <si>
    <t>Send two LOIs no one will know lmao &lt;&lt; that behavior is why programs take LOIs with a grain of salt. sure no one will know, but it just lacks so much integrity and reflects on the kind of person you are &lt;&lt; programs are also playing games so the comment seem kinda harsh +1</t>
  </si>
  <si>
    <t>umd doesn't have peds surg fellows so lots of experience as senior. connections to hopkins. really great peds surg faculty. lots of plastics research opps</t>
  </si>
  <si>
    <t>U Louisville</t>
  </si>
  <si>
    <t xml:space="preserve">Wright State University </t>
  </si>
  <si>
    <t xml:space="preserve">Residents are super friendly and faculty seem to really care about training great surgeons whether you decide to pursue fellowship training or not. They support research time, but it's not mandated. The program will pay for you to get advanced degrees during research time (masters/PhDs) and will continue to pay your salary. Great funding for conference travel. No night float except on peds during PGY2, so interns take call shifts that average to Q3 shifts </t>
  </si>
  <si>
    <t>really great interview day - did it in person and they picked us up for the social in party buses LOL overall really seems like an excellent program that makes sure all of their residents can succeed in anything they want to +2 &lt; agreed, in person day far exceeded my expectations</t>
  </si>
  <si>
    <t>Western Mich Uni</t>
  </si>
  <si>
    <t xml:space="preserve">Arizona - Tucson </t>
  </si>
  <si>
    <t xml:space="preserve">&lt;-- agree. Plus, I was blown away with how supportive and kind the chair, Dr. McMasters, was. He made it clear that training the general surgery residents is the priority for his career right now, and was super proud of all his graduates. He sang the praises about a graduate who was practicing rural general surgery in south Kentucky, and another who is now a surgical oncologist in major academic center. </t>
  </si>
  <si>
    <t>When did brown send prelim? Can anyone share their stats</t>
  </si>
  <si>
    <t>Today &lt;&lt; any imgs? &lt; yes &lt;&lt; stats?</t>
  </si>
  <si>
    <t>Fellowships (not peds or surg onc) and culture</t>
  </si>
  <si>
    <t xml:space="preserve">Western Mich has fantastic surgeons/ teachers and very caring faculty. </t>
  </si>
  <si>
    <t>Oklahoma State University Center for Health Sciences Program</t>
  </si>
  <si>
    <t>Tuscan is bigger so more volume</t>
  </si>
  <si>
    <t>Tulsa</t>
  </si>
  <si>
    <t>Average of Q3 call as interns</t>
  </si>
  <si>
    <t>OK</t>
  </si>
  <si>
    <t>Mix of Cerner &amp; EPIC</t>
  </si>
  <si>
    <t xml:space="preserve">Meal cards for call shifts, and mix of physician lounge food at different hospitals. But no dedicated stipend. </t>
  </si>
  <si>
    <t>Bayhealth</t>
  </si>
  <si>
    <t xml:space="preserve">Free in garage connected to hospitals or adjacent parking lots </t>
  </si>
  <si>
    <t xml:space="preserve"> Dignity Health East Valley</t>
  </si>
  <si>
    <t>403b that isn't matched. Salaries paid throughout research time. They'll pay for any advanced degrees you get during research time (masters programs, PhDs)</t>
  </si>
  <si>
    <t>LOUISIANA</t>
  </si>
  <si>
    <t>Overall program comparision, culture and schedule</t>
  </si>
  <si>
    <t>Has MGH sent out prelim invites? &lt; yes &lt; any available spot on Thalamus? &lt; they sent invite via AAMC, sorry</t>
  </si>
  <si>
    <t>University of Oklahoma</t>
  </si>
  <si>
    <t>Oklahoma City</t>
  </si>
  <si>
    <t>Can u add to II by date tab please+1</t>
  </si>
  <si>
    <t>Had a phenomenal experience at this program. Residents were very excited to have students, teach, and involve us in and out of the OR. Attendings were supportive and were excellent teachers.</t>
  </si>
  <si>
    <t>residents seemed close but would not give students the light of day. would outright be ignored at times. seems hierachal. never once asked me about anything not involving medicine</t>
  </si>
  <si>
    <t>UT Houston (McGovern)</t>
  </si>
  <si>
    <t>UIC Chicago</t>
  </si>
  <si>
    <t>University of Oklahoma (Tulsa)</t>
  </si>
  <si>
    <t xml:space="preserve">Culture, </t>
  </si>
  <si>
    <t xml:space="preserve">Has anyones LOI worked this season out of curiosity </t>
  </si>
  <si>
    <t xml:space="preserve">I got one interview within a few hours of sending an email to PD </t>
  </si>
  <si>
    <t>What month did you send it &lt;&lt; PC here: a LOI to get an interview is likely not going to work at this point in the season</t>
  </si>
  <si>
    <t>LSU New Orleans</t>
  </si>
  <si>
    <t>OPTI-West/Good Samaritan Reg Med Ctr - Surgery-General Residency</t>
  </si>
  <si>
    <t>Lincoln Medical and Mental Health</t>
  </si>
  <si>
    <t>Corvallis</t>
  </si>
  <si>
    <t>OR</t>
  </si>
  <si>
    <t xml:space="preserve">could you guys update the cat interview calendar page for any invites you have for next week </t>
  </si>
  <si>
    <t>liked the program and the people. was asked illegal questions. didnt realize prior to the interview that they spend 3-6 months each year not in NOLA</t>
  </si>
  <si>
    <t>Oregon Health &amp; Science University</t>
  </si>
  <si>
    <t xml:space="preserve">The program has a lot of perks to help support residents-housing stipend, lyft stipend, good vacation schedule, etc. All of the residents were super cool and I felt like they were able to be themselves around not only their co-residents but also their attendings. &lt; +1, agree. Just finihsed a visiting SUB-I here and I really loved it. The residents were awesome and knew their attendings really well despite it being a big program. From what I was able to see, also really could autonomy in the operating room. </t>
  </si>
  <si>
    <t>Baylor (Houston)</t>
  </si>
  <si>
    <t xml:space="preserve">LSU Shreveport </t>
  </si>
  <si>
    <t>The housing stipend is about $90/mo &lt; lol &lt; $10k housing stipend per year is pretty standard &lt; 90/month is NOT 10k a year. It's $1080 a year &lt; Just finihsed interview and it is 3K per year or $250 per month.</t>
  </si>
  <si>
    <t>Should how we performed our interview impact our own rank list? For example if I love a program but I performed horribly. Should I rank it lower? Would that mean I would increase my chances with other programs I like?</t>
  </si>
  <si>
    <t>UIC</t>
  </si>
  <si>
    <t xml:space="preserve">No. Rank programs solely based off of where you want to go. There is absolutely no benefit to ranking a program you like lower and has no baring on how other programs will rank you.    &lt;&lt;    there is ZERO benefit of considering how the programs rank you for your own rank list. you could put MGH or Michigan or WASHU whatever else last on your list and if they ranked you at the top of their list, you will still match there if you dont match to one of your other programs you liked more </t>
  </si>
  <si>
    <t>9-15 min interviews with PD, chair, other faculty, residents. PD seems to really care about the program and promote wellness</t>
  </si>
  <si>
    <t>PC here: definitely no!</t>
  </si>
  <si>
    <t xml:space="preserve">Operative experience, culture, resident camaraderie </t>
  </si>
  <si>
    <t>Abington Memorial Hospital Program</t>
  </si>
  <si>
    <t>Super nice residents and PD. They have the means to get you into fellowship and were candid about saying if you want to do peds surg or surg onc, this program isn't the right fit for you, which I appreciated their honesty. the hospital is old af but well-taken care of</t>
  </si>
  <si>
    <t>Abington</t>
  </si>
  <si>
    <t>definitely A for culture</t>
  </si>
  <si>
    <t>PA</t>
  </si>
  <si>
    <t>Baylor only if you would like your soul to be crushed. &lt; why soul crushed? &lt; not OP but from what i know from a current resident - they work pretty hard there but they seem happy and really good friends with their co-residents and especially the trauma/general surgery attendings</t>
  </si>
  <si>
    <t>UMass</t>
  </si>
  <si>
    <t>3 just because of the # of interviews +1</t>
  </si>
  <si>
    <t>night float with around one 24h call shift a month for the transition</t>
  </si>
  <si>
    <t>anyone have the board pass rates pdf</t>
  </si>
  <si>
    <t>stipend + discount</t>
  </si>
  <si>
    <t xml:space="preserve">it's on the american board of surgery website!  </t>
  </si>
  <si>
    <t>free &amp; nearby the hospital</t>
  </si>
  <si>
    <t>thanks</t>
  </si>
  <si>
    <t xml:space="preserve">Ochsner </t>
  </si>
  <si>
    <t>LOVED, the program was super interesting and the residnets and attendings are chill AF</t>
  </si>
  <si>
    <t>why negative? :( +1</t>
  </si>
  <si>
    <t>illegal q's from former PD</t>
  </si>
  <si>
    <t>can you guys update if anyone gets the WashU prelim today</t>
  </si>
  <si>
    <t>&lt; just dropped today</t>
  </si>
  <si>
    <t>did anyone that didnt signal get this</t>
  </si>
  <si>
    <t>24hr, no night float</t>
  </si>
  <si>
    <t>operative experience, culture, surg onc vs plastics fellowship</t>
  </si>
  <si>
    <t xml:space="preserve">Tulane </t>
  </si>
  <si>
    <t>Very relaxed, loved the music and general NOLA culture that they incorporated into interview day</t>
  </si>
  <si>
    <t xml:space="preserve">Not sure how someone could have given this a negative. This was one of my favorite interviews. Residents were really down to earth and PD/Chair were awesome </t>
  </si>
  <si>
    <t>Absolutely the funnest interview. The attendings were so relaxed and friendly. Super easy to talk to! And the residents were really funny and all telling inside jokes. Could tell they really like each other!</t>
  </si>
  <si>
    <t>what questions to ask from PD if everything has been covered in the powerpoint. is it alright to say i dont have any questions</t>
  </si>
  <si>
    <t xml:space="preserve">night float </t>
  </si>
  <si>
    <t>stipend</t>
  </si>
  <si>
    <t>Absolutely not, would not recommend saying you have no questions. Come up with anything like "what is your favorite part about your city" "what do you look for in a resident" do not say you have no questions +1</t>
  </si>
  <si>
    <t>UMass Chan has one of the best cultures and QOL, Brown is also known for being chill, but I hear you don't get exposed to a lot of pathologies/cases as much.</t>
  </si>
  <si>
    <t xml:space="preserve">Willis Knighton-Louisiana </t>
  </si>
  <si>
    <t xml:space="preserve">Providence &gt; Worcester </t>
  </si>
  <si>
    <t xml:space="preserve">PD is a very nice person, everyone read my application, very friendly and warm welcoming. residents are cool too. generally enjoyed my interview day. Seems like they care about the operative exposure early on </t>
  </si>
  <si>
    <t>Albert Einstein Healthcare Network</t>
  </si>
  <si>
    <t>U. Rochester</t>
  </si>
  <si>
    <t>Philadelphia</t>
  </si>
  <si>
    <t>operative experience, culture, prestige, fellowship matches, and QOL</t>
  </si>
  <si>
    <t>can anyone find the UCSF-EB second look dates? they sent an invite that links to thalamus, but i don't see any options for the actual dates</t>
  </si>
  <si>
    <t xml:space="preserve">This is difficult.Albany has a better culture and more case volume. They don't have great thoracic and transplant experience. Their fellowship nmatches are nearly all to surgical critical care and MIS. U Rochester may have poorer operative eperience but overall has bteter fellowship matches to better places and more competitive fellowships like surg onco. </t>
  </si>
  <si>
    <t>they're working on fixing that &lt;&lt; they're up now</t>
  </si>
  <si>
    <t xml:space="preserve">Rochester's operative experience is very good, many residents go right into practice. </t>
  </si>
  <si>
    <t>not sure about albany, but rochester has a pretty good operative experience (as someone that did a sub I there)</t>
  </si>
  <si>
    <t>Just be aware that Albany's program is currently on probation</t>
  </si>
  <si>
    <t>what does it mean that they have 1 spot available for basically each day in Feb? are they doing individual tours or... lol</t>
  </si>
  <si>
    <t xml:space="preserve">meditech </t>
  </si>
  <si>
    <t>LSU NOLA</t>
  </si>
  <si>
    <t>OCHSNER NOLA</t>
  </si>
  <si>
    <t>free food</t>
  </si>
  <si>
    <t xml:space="preserve">operative experience, culture, resident camaraderie </t>
  </si>
  <si>
    <t>Allegheny Health Network</t>
  </si>
  <si>
    <t>"NOLA shares their stats of operative experience and they are in the top 20-30% of programs in most of the categories"</t>
  </si>
  <si>
    <t>gym access at all WK hospitals</t>
  </si>
  <si>
    <t>MASSACHUSETTS</t>
  </si>
  <si>
    <t xml:space="preserve">LSU shreveport </t>
  </si>
  <si>
    <r>
      <rPr>
        <rFont val="arial,sans,sans-serif"/>
        <b/>
      </rPr>
      <t>@mod</t>
    </r>
    <r>
      <rPr>
        <rFont val="arial,sans,sans-serif"/>
      </rPr>
      <t xml:space="preserve"> the suggestions/questions boxes aren't allowing edits... my request was going to be if you could please add a couple more columns to the IV impressions tab. I find it valuable and there are a couple places where I'd like to add my own comments but there's not really room</t>
    </r>
  </si>
  <si>
    <t>And the iv swap and openings tab could be removed to the other sheet</t>
  </si>
  <si>
    <t>Pittsburgh</t>
  </si>
  <si>
    <t>LSU for sure: amazing residents graduate from there - WK is a great organization but the residency is really new</t>
  </si>
  <si>
    <t>Rutgers RWJ</t>
  </si>
  <si>
    <t xml:space="preserve">Inova </t>
  </si>
  <si>
    <t>hey I see this!! let me fix questions/suggestions and then i'll do this</t>
  </si>
  <si>
    <t>UMiami</t>
  </si>
  <si>
    <t>Mayo Jacksonville</t>
  </si>
  <si>
    <t>Depends on what type of fellowship you are after. Mayo jax has no trauma. they send you out to uf for trauma. vs umiami is a level 1 trauma center. but mayo is known for being more academic. and has transplant</t>
  </si>
  <si>
    <t>Love this program. The attendings and residents were always very approachable and are always willing to teach. The vibe amongst the residents is very good and they all have great things to say about their program director who they say takes their feedback into account when planning program level changes. The learning environment, faculty and the overall health system are great.</t>
  </si>
  <si>
    <t xml:space="preserve">Berkshire </t>
  </si>
  <si>
    <t>Miami also has transplant - including intestinal transplantation?</t>
  </si>
  <si>
    <t>Can you guys add ur prelim invites to the calendar pls!</t>
  </si>
  <si>
    <t xml:space="preserve"> yeah cus the prelim by date is all messed up</t>
  </si>
  <si>
    <t>Conemaugh Memorial Medical Center</t>
  </si>
  <si>
    <t>Johnstown</t>
  </si>
  <si>
    <t>operative experience, culture, autonomy</t>
  </si>
  <si>
    <t>If you want a well-rounded experience, UMass. If you want trauma and excellent general operative skills, Boston. Boston suffers from the "Harvard vortex" where a lot of cases, particularly thoracic and surg onc, go to BWH, MGH, and BI. BMC has an awesome culture if you just want to operate, but isn't very academic compared to similarly ranked surgery programs. Can't speak to UMass culture, but recent grads speak highly of the program.</t>
  </si>
  <si>
    <t xml:space="preserve">low operative volume, some days had 1 case only. Resident culture is not great. Attendings did not teach very much here. Had concern for how much attendings let the chiefs do in the OR 
--&gt; review next cell seems accurate </t>
  </si>
  <si>
    <t>&lt;what about "prestige"/reputation (for fellowship matching purposes)?</t>
  </si>
  <si>
    <t>anyone dropping a prelim iv?</t>
  </si>
  <si>
    <t>UofA Tucson</t>
  </si>
  <si>
    <t>UofA Phoenix</t>
  </si>
  <si>
    <t>Not applying surgery, was just where I did my surgery rotation. The culture is horrible. It doesn't even seem like the residents like each other. No interest in teaching anyone. I learned more from a 4th year student auditioning then I did from any of the actual doctors. The attendings seem nice enough, though I never really worked with any of them one on one. Residents are also very catty and talk bad about students, other residents, attendings and other specialities. Just all felt very unprofessional and toxic, which is unfortunate as I enjoyed all the other rotations at Conemaugh and felt like everyone in the other specialities were open and receptive to teaching and questions</t>
  </si>
  <si>
    <t>Crozer-Chester</t>
  </si>
  <si>
    <t>Advent Health Orlando</t>
  </si>
  <si>
    <t>Upland</t>
  </si>
  <si>
    <t>Operative experience, culture, QOL</t>
  </si>
  <si>
    <t>Beth Israel/HMS</t>
  </si>
  <si>
    <t xml:space="preserve">when is the best time to send LOI? </t>
  </si>
  <si>
    <t>In terms of culture, it seems that orlando health has a slight advantage in that aspect compared to advent health. Have heard just very toxic things about the PD at advent health from previous students who did their sub-I there. Orlando health residents go to advent health for transplant and advent health residents go to orlando health for trauma. If you want a stronger trauma experience then go to orlando health but otherwise theyre both kinda the same in other aspects lol. Orlando health overall seems friendlier than Advent health imo.</t>
  </si>
  <si>
    <t>PC here: take a look at the PC/PD Q&amp;A tab... we've answered this a bunch over there!</t>
  </si>
  <si>
    <t>Why pos?</t>
  </si>
  <si>
    <t>PD is wonderful, residents come across as happy +1</t>
  </si>
  <si>
    <t>operative experience, culture, autonomy, QOL</t>
  </si>
  <si>
    <t xml:space="preserve">Geisinger Health System  </t>
  </si>
  <si>
    <t>QOL (outside the hospital) might be better in Brown just because it is less in the middle of nowhere &lt; thank you!</t>
  </si>
  <si>
    <t>Danville</t>
  </si>
  <si>
    <t>Mostly NF</t>
  </si>
  <si>
    <t>Any spots left from miami prelim?</t>
  </si>
  <si>
    <t xml:space="preserve">Stipend </t>
  </si>
  <si>
    <t>UF Gainesville</t>
  </si>
  <si>
    <t>operative experience, fellowship match, reputation</t>
  </si>
  <si>
    <t>70 per week</t>
  </si>
  <si>
    <t>Positive learning environment. Residents and attendings love to teach and involve the medical students. Early operative exposure and great resident culture" with "One of my dad’s favorite stories to tell about me is finding his youngest daughter at 3 years old, sitting by the mailbox at the end of our driveway, trying to nurse back to health a pigeon with an injured wing. My dad, who has been my biggest champion, often brings up this story to say that he always knew I would choose medicine. I came into medical school not knowing what career path I would pursue, but looking back at all the experiences that led me to my journey in medicine, perhaps I always knew.</t>
  </si>
  <si>
    <t>Beware UF requires two research years &lt; Thank you!</t>
  </si>
  <si>
    <t>Boston U</t>
  </si>
  <si>
    <t>Penn State</t>
  </si>
  <si>
    <t>Geisinger Health System (Wilkes Barre)</t>
  </si>
  <si>
    <t xml:space="preserve">The residents clearly enjoyed spending time together and were all hanging out during the resident social. Continuously highlighted how the residency was "like a family." Lots of focus on their mission of addressing health inequities in their diverse patient population. Each interviewer was familiar with my application and asked personalized questions. </t>
  </si>
  <si>
    <t>Wilkes Barre</t>
  </si>
  <si>
    <t>&lt;&lt;I second this. I thought the PD was especially sweet and had clearly read my application in detail. Residents seem like they geniunely liked each other, and not in a "forced" way for zoom.
^^ third this</t>
  </si>
  <si>
    <t>How did you guys receive 2nd look invites from Inova? Email? DYK if everyone gets them, I did not get one (yet?)...</t>
  </si>
  <si>
    <t>penn state does match well for fellowship but i think that autonomy is not great</t>
  </si>
  <si>
    <t xml:space="preserve">I remember it being sent as an attachment in their thank you email after the interview </t>
  </si>
  <si>
    <t>service dependent, no 24-hr shifts as intern, 2x golden weekends/month</t>
  </si>
  <si>
    <t>UF Jacksonville</t>
  </si>
  <si>
    <t>LECOM/UPMC Horizon - Shenango Valley</t>
  </si>
  <si>
    <t>Fellowship match are very good in UF</t>
  </si>
  <si>
    <t>included i think</t>
  </si>
  <si>
    <t>Farrell</t>
  </si>
  <si>
    <t>only 3/5 categoricals allowed to do research time</t>
  </si>
  <si>
    <t>Prisma Columbia</t>
  </si>
  <si>
    <t>Brigham &amp; Women's</t>
  </si>
  <si>
    <t>Western Michigan</t>
  </si>
  <si>
    <t>Kinda random but does anyone remember what the call looks like at BIDMC? Particularly what they do for weekends? I didn't take good notes on their call schedule lol.</t>
  </si>
  <si>
    <t>Why positive? +3</t>
  </si>
  <si>
    <t>Rush</t>
  </si>
  <si>
    <t>Fantastic interview day. Everyone had read my application and had tailored questions to my experiences and personal statement. PD and Chair interviews are short however 3, 20 minute interviews with pairs of faculty/residents. Residents come across as happy and like one another. +1</t>
  </si>
  <si>
    <t>UIC CHICAGO</t>
  </si>
  <si>
    <t>Lehigh Valley Hospital</t>
  </si>
  <si>
    <t>Allentown</t>
  </si>
  <si>
    <t>UIC is for underserve community and might be depressive day to day</t>
  </si>
  <si>
    <t>Very dated hospital with poor infrastructure &lt; which hospital? &lt; not OP but assuming UIC bc Rush hospital is great/newer</t>
  </si>
  <si>
    <t>Mix of night float (2 months as interns) and 24 hour call</t>
  </si>
  <si>
    <t>anyone hear anything from bayonne medical center/carepoint?</t>
  </si>
  <si>
    <t>Quality of life, operative autonomy, cases</t>
  </si>
  <si>
    <t>120/month :(</t>
  </si>
  <si>
    <t xml:space="preserve">$10k annual bonus for housing and other expenses </t>
  </si>
  <si>
    <t xml:space="preserve">Lahey Clinic </t>
  </si>
  <si>
    <t>good cameraderie, supportive environment. new pd, asked me why I signaled them lol...+1</t>
  </si>
  <si>
    <t>&lt; why?</t>
  </si>
  <si>
    <t>Awesome program. People seem down to earth. Great fellowship matches. Optional research time for 1-2 residents, with funding</t>
  </si>
  <si>
    <t xml:space="preserve">If a program's second look is in middle of February, are we truly believing it won't affect their rank list? (They said they submit rank list before second looks) </t>
  </si>
  <si>
    <t>limited exposure to peds and CT, no plastics rotation. off-site rotations at cape cod and baltimore which residents seemed ambivalent about</t>
  </si>
  <si>
    <t>Brigham and Womens</t>
  </si>
  <si>
    <t>schools are required to submit their rank list prior to hosting second look &lt; This is false, presently there is no official requirement, it's just a verbal promise. Starting next year it should be an ACGME requirement, but as of right now it is not enforceable and is solely in good faith</t>
  </si>
  <si>
    <t>great vibes, some clinical pimping in the interview but didn't throw off the experience</t>
  </si>
  <si>
    <t>Main Line Health System/Lankenau Medical Center</t>
  </si>
  <si>
    <t>Regardless they can ask you to RSVP before hosting which seems to me like it already works around the whole certify rank list before hosting issue... am I missing something?</t>
  </si>
  <si>
    <t>Wynnewood</t>
  </si>
  <si>
    <r>
      <rPr>
        <rFont val="Arial"/>
        <sz val="8.0"/>
      </rPr>
      <t xml:space="preserve">BWH is also quite weak in trauma volume. BMC gobbles up any real trauma in an already fairly safe city. I've heard from multiple residents who did sub-Is there and multiple HMS grads that BWH has a slightly malignant culture. Lots of duty hour violations (but logged at 80 h/week). Very intense personalities overall. It attracts a certain type. --&gt;  +1 from student who rotated there </t>
    </r>
    <r>
      <rPr>
        <rFont val="Arial"/>
        <b/>
        <sz val="8.0"/>
      </rPr>
      <t xml:space="preserve">&lt; Is MGH the same type? </t>
    </r>
    <r>
      <rPr>
        <rFont val="Arial"/>
        <sz val="8.0"/>
      </rPr>
      <t>&lt; Similar overall, but at least it's better/slightly more prestigious training. What I've heard is that both are workhorse programs, but MGH is much more well-rounded whereas BWH is cancer-forward (although that is in flux given that Dana Farber is moving to BI and building its own hospital/ORs).</t>
    </r>
  </si>
  <si>
    <t>bwh reputation &gt;&gt; stanford. both great fellowship matches - what does reputation even mean?</t>
  </si>
  <si>
    <t>University of Washington</t>
  </si>
  <si>
    <t>UT Southwestern</t>
  </si>
  <si>
    <t xml:space="preserve">Quality of life, culture, competitive fellowship match </t>
  </si>
  <si>
    <t>&lt; would love to know why +2</t>
  </si>
  <si>
    <t>Mass Gen Hospital</t>
  </si>
  <si>
    <t>UTSW is very big program and you will be lost if you don't stay focused &lt; big program doesnt scare me. I prefer a program 7-12</t>
  </si>
  <si>
    <t>Has BMC sent out prelim invites yet?</t>
  </si>
  <si>
    <t>Mercy Catholic Medical Center</t>
  </si>
  <si>
    <t>Cottage Hospital Santa Barbara</t>
  </si>
  <si>
    <t>what about Brown? &lt;yes brown prelim invites have been sent</t>
  </si>
  <si>
    <t>UCSF Fresno</t>
  </si>
  <si>
    <t>Darby</t>
  </si>
  <si>
    <t>Panel inverviews with clinical pimping questions</t>
  </si>
  <si>
    <t>santa barbara is sick and fresno sucks so much ass</t>
  </si>
  <si>
    <t>&lt;that's crazy +3</t>
  </si>
  <si>
    <t>Santa Barbara is definitely a better town, so if you're prioritizing lifestyle over training then I'd say there. But, I did a rotation in Fresno and I'll say this - it'd be a great place to learn surgery between the faculty, resident culture, and sick population you get to work with. Fresno also has neighborhoods that are more welcoming and the cost of living is a fraction by comparison. Do you want to buy a home during residency to start building some equity? Forget that idea if you go to SB.</t>
  </si>
  <si>
    <t xml:space="preserve">very traditional, hierachy program </t>
  </si>
  <si>
    <t>BMC</t>
  </si>
  <si>
    <t>quality of life, operative experience, fellowship match, reputation</t>
  </si>
  <si>
    <t>BMC has great culture and operative experience. I've heard USC has some odd cultural quirks in the OR which makes things very stiff, formal, and difficult to get good feedback. Forget exactly what was said, but this was from someone who had just finished a sub-I there.</t>
  </si>
  <si>
    <t>Nazareth Hospital</t>
  </si>
  <si>
    <t>Are most of the programs sent out prelim invites already? Having some anxiety of not having interview here LOL</t>
  </si>
  <si>
    <t>PC here: yes - likely that all invites have been sent with the exception of WL (if they utilize one)</t>
  </si>
  <si>
    <t>UNMC</t>
  </si>
  <si>
    <t>operative experience, fellowship, faculty, reputation</t>
  </si>
  <si>
    <t xml:space="preserve">St Elizabeths </t>
  </si>
  <si>
    <t>Pretty sure Steward Health is now bankrupt &lt;&lt; I think they're getting acquired by BMC but idk what that means for the residency - would be something to ask about &lt;&lt; it means that for-profit healthcare is awful</t>
  </si>
  <si>
    <t xml:space="preserve">Officially acquired by BMC, will be changing their name </t>
  </si>
  <si>
    <t>PCOM</t>
  </si>
  <si>
    <t xml:space="preserve">Did lenox hill send out 2nd look invites yet? </t>
  </si>
  <si>
    <t>Philly</t>
  </si>
  <si>
    <r>
      <rPr>
        <rFont val="arial,sans,sans-serif"/>
      </rPr>
      <t xml:space="preserve">yes &lt;—— in person? Or just the virtual zoom &lt; Did they send in person ones? </t>
    </r>
    <r>
      <rPr>
        <rFont val="arial,sans,sans-serif"/>
        <b/>
      </rPr>
      <t>can someone answer this pls lol</t>
    </r>
  </si>
  <si>
    <t>operative experience/volume, reputation, fellowship</t>
  </si>
  <si>
    <t>https://en.wikipedia.org/wiki/Steward_Health_Care</t>
  </si>
  <si>
    <t xml:space="preserve">Ended up switching specialties but did a sub-i at this program last year and I finally feel comfortable sharing this. I had completed 3 other surgery sub I's before this one where I ran the list, gave presentations on several patients each morning, and was able to assist a decent amount during surgery. I got honors in these previous rotations (just to give some context). Came into this rotation with no instruction on expectations/what to do, so I thought that meant I should go and round on patients where I was directly involved in thier care since this is what I have done on literally every other rotation in clinicals. Day 3 I was told I should hold off on patient presentations and just wait to round with the residents. Didn't see an OR for the first half of the rotation and when I was finally allowed in, I tried to help the PGY2 with one of his retractors since he was juggling three of them. The chief literally smacked my hand during surgery and told me not to touch a thing unless told to. The chief decided to give my mid-rotation feedback from across the resident room, which had other people working so it wasn't done privately. Said I was trying to be overly involved in the OR, did not present a single patient during rounds and should be presenting at least one per day (after I was told not to see or present patients without permission from the residents), and that I was being too pushy for opportunities (I'm assuming this is about me asking to help write notes once or twice because I literally wasn't allowed to do anything else). This was the same day I had a 24 hour call shift where I actually was there for 40 hours because an attending told me I should see a procurement that started the following morning at 5am and ended up being complicated and going until 11am. This ended up being pretty much my only hands on experience throughout this rotation - the transplant team who came in was super cool and let me do a lot. Anyway by the time I was out of surgery everyone was rounding again, I was questioned on where I was all morning, and it wasn't until after rounds where someone finally realized I was still there from the previous day and should go home. </t>
  </si>
  <si>
    <t>howard has a lower volume overall but they rotate at a few different sites to make numbers. they also have a pretty impressive fellowship match, including peds surg consistently. you will work very very hard here</t>
  </si>
  <si>
    <t>interview impression about Inspira in NJ?? please and thank you</t>
  </si>
  <si>
    <t>Hershey</t>
  </si>
  <si>
    <t>Program is trying really hard to be non-malignant after several bad years. Current PD is a senior surgeon who is really going to bat to protect the residents from abuse/scut. Some of the residents are very friendly and love to teach. Some don't really care. But downright toxic people/situations are few/far between. Same with the attendings. Biggest concerns for me are sometimes lack of resident autonomy in OR with some attendings and faculty turnover which go hand in hand. That being said I have gotten lots of wonderful teaching and graduated responsibility as a student and I truly have loved my time here. I really like the current intern class.</t>
  </si>
  <si>
    <t>Culture, QOL, reputation</t>
  </si>
  <si>
    <t xml:space="preserve">Anyone got a clue how much mobility there is on a school's rank list? I would like to think they wouldn't be interviewing ~10 people per spot if they never fall more than a few spots below their RTM list, but maybe that's just wishful thinking? </t>
  </si>
  <si>
    <t>yes</t>
  </si>
  <si>
    <t>Reading Hospital/Tower Health</t>
  </si>
  <si>
    <t>UTSW is very big program and you will be lost if you don't stay focused &lt; this person has a vendetta against UTSW lmaoooo</t>
  </si>
  <si>
    <t>UVM</t>
  </si>
  <si>
    <t>Reading</t>
  </si>
  <si>
    <t>prestige, culture, competitive fellowship match, QOL, operative experience, research</t>
  </si>
  <si>
    <t xml:space="preserve">Has Rush sent out prelim invites? </t>
  </si>
  <si>
    <t>Umich</t>
  </si>
  <si>
    <t>I believe they typically SOAP their prelims</t>
  </si>
  <si>
    <t>Robert Packer Hospital/Guthrie</t>
  </si>
  <si>
    <t>Why? Is umich that much more prestigious? &lt; I have heard Duke is malignant for culture.</t>
  </si>
  <si>
    <t xml:space="preserve">&lt;&lt; thanks!! </t>
  </si>
  <si>
    <t>Sayre</t>
  </si>
  <si>
    <t>Have heard from Duke students that Duke is known for a high divorce rate &lt; maybe a decade ago, not the case anymore. Tons of married residents balancing with kids and PD/faculty super supportive. Everyone typically matches top choice fellowship in CT, peds, surg onc at Duke.</t>
  </si>
  <si>
    <t>can anyone who interviewed here speak on what residents + faculty said about the acquisition?</t>
  </si>
  <si>
    <t>PD is brand new, right? &lt;&lt; yes but he was APD for several years before he became PD &lt;&lt; PD and VCE are new, chair of surgery planning to step down in June with no plan for replacement</t>
  </si>
  <si>
    <t>they said its a good thing, they're in a rebuilding phase and have a lot more support now that theyre part of BMC</t>
  </si>
  <si>
    <t>All of the residents and attendings were very nice, attentive and willing to teach. Did not expect any weekend or call shifts which was nice</t>
  </si>
  <si>
    <t>reputation, fellowship match, QOL, operative experience, research</t>
  </si>
  <si>
    <t>Providence &gt; New Haven</t>
  </si>
  <si>
    <t>New Haven over providence any day &lt; def depends on what you are looking for, new haven has some rough spots ,but overall is low COL and has a lot of fun things to do</t>
  </si>
  <si>
    <t>Sidney Kimmel/Thomas Jefferson</t>
  </si>
  <si>
    <t>Yale is without a doubt a more prestigious program and will set you up better for fellowship. Interview day at Yale vs. Brown was odd though. Brown was overall great. Residents were chill. Operative experience seemed a little light based on resident comments. Yale clearly had great operative experience, but residents were a mixed bag. One presenter commented he'd been up for 30 hours, and another resident told me it was a "workhorse program." &lt; did a sub I at Yale, resident culure is good, but they definitely work long hours</t>
  </si>
  <si>
    <t>Tufts</t>
  </si>
  <si>
    <t>UVA</t>
  </si>
  <si>
    <t>Has anyone heard from Mainline/Lankenau regarding this weeks upcoming interview?</t>
  </si>
  <si>
    <t>WHY</t>
  </si>
  <si>
    <t>Great IV experience here. Everyone was nice and friendly. +2</t>
  </si>
  <si>
    <t>&lt;- are they standardized or personalized questions? &lt;- mix of both :) &lt;- thank you!!</t>
  </si>
  <si>
    <t>why negative? &lt;- APD &amp; Chair didn't show. Long breaks in the day. No evidence anyone read my app. No meeting with PD. Residents were great. &lt;-  Home student here: APD was at the info session at the start of the day actually, and both chair + APD were interviewing people! The long breaks suck I agree</t>
  </si>
  <si>
    <t>Operative experience, QOL, Reputation, Culture, Autonomy</t>
  </si>
  <si>
    <t>Residents get along incredibly well and also with the other specialties they work with, spend time together outside of work, really varied clinical experience and diverse patient population, responsive admin</t>
  </si>
  <si>
    <t xml:space="preserve">where is the PD?? really wouldve love to meet the PD.... &lt;- PD was also one of the interviewers! idk why they set it up like that instead of having her having a short meeting with everyone though &lt;- PD presented in the beginning even with a cold. </t>
  </si>
  <si>
    <t>why?+1</t>
  </si>
  <si>
    <t>Community program</t>
  </si>
  <si>
    <t>St. Luke's University Hospital</t>
  </si>
  <si>
    <t>University Program</t>
  </si>
  <si>
    <t>Bethlehem</t>
  </si>
  <si>
    <t>Night Float</t>
  </si>
  <si>
    <t>Does prestige matter for fellowship placement? Assuming both are well-established programs with a history of matching good fellowships</t>
  </si>
  <si>
    <t>Anyone get anything today??</t>
  </si>
  <si>
    <t>university is generally better for fellowship placement (especially competitive specialties that will require some degree of research). Community probably better for true general surgery (no fellowship) or less competitive fellowships &lt;&lt; yeah it really depends on what specialty.. you can swing a trauma or mis fellowship anywhere, but good luch matching peds or surg onc at most community programs (unfortunately :/ ) &lt;&lt; tbf, a lot of academic places don't match peds or surg onc well either</t>
  </si>
  <si>
    <t>Also, take a look at their fellowship match list. You can gauge what people go into mostly. Trauma, vascular, MIS, breast, burn, plastics, colorectal are all incredibly doable from community programs. Peds/Surg onc is very hard to match regardless of where you go. If you know you want to do either of those thendefinitely academic center will give you the advantage of doing research years which you need for those 2 fellowships. Most people who go to community programs don't like the idea of dedicated research years but the advantage is that you get a lot more operative exposure (therefore highly skilled) since they don't have fellows and resident classes are typically smaller. Regardless, at the end of the day its what you make of it and the motivation you have. Both options are good for different reasons!</t>
  </si>
  <si>
    <t>UMass-Chan</t>
  </si>
  <si>
    <t>Temple University</t>
  </si>
  <si>
    <t>MGH</t>
  </si>
  <si>
    <t>Hopkins</t>
  </si>
  <si>
    <t>Why positive?</t>
  </si>
  <si>
    <t>QOL, culture, resident camaraderie</t>
  </si>
  <si>
    <t>PD was really in touch with her program. She read bits of personal statements out loud prior to interviews, connecting each to their program's values. Every interviewer had clearly reviewed my app in detail. Residents seem very happy and appear to like each other. Program was already high on my ROL and went up post-interview.</t>
  </si>
  <si>
    <t>MGH interviews having a panel to ask pimping questions was crazy</t>
  </si>
  <si>
    <t>&lt;- Agree. Great culture!
&lt;&lt; the personal statement part was so sweet. I loved it so much+3</t>
  </si>
  <si>
    <t xml:space="preserve">Ochsner Lafayette is missing from the rank spots sheet </t>
  </si>
  <si>
    <t>University of Pennsylvania</t>
  </si>
  <si>
    <t xml:space="preserve">Attending interviews were all great, during resident info session, one resident spoke about how even though they are friends, they reinforce the hierarchy of resident (ex. when asked to do something expected to say yes sir and do it), also one spoke strongly on importance of parents loading call to make sure they don't offload clinical duties during leave; unsure if just one person with strong opinions or if culture +5 &lt;&lt;I also heard two residents saying the same thing (specifically "yes sir"). The vibes seemed super collegial initially but then PGY1/2/3 were cut out of the convo and the 4 and 5 took over when they showed up. </t>
  </si>
  <si>
    <t>I know beth israel is a Harvard hospital, but can anyone speak to actual differences between these two boston programs</t>
  </si>
  <si>
    <t>IV format was series of 20m scheduled IVs with scheduled 5m breaks in between where all applicants and IVers were brought back to the main zoom room. Although PD seemed very nice, each time we were all put back in the main zoom room he said “alright, anybody need a break? No? let’s go right on to the next session then”. Obviously, no applicants asked to actually receive our scheduled break and consequently we got no time off camera for 3 hours to use the restroom/take a drink of water/eat a quick snack. +2</t>
  </si>
  <si>
    <t>why</t>
  </si>
  <si>
    <t>BMC captures most of the "good" trauma in Boston. BIDMC, Brigham, and MGH all get much less. If you're interested in training at the safety net hospital and interested in trauma, BMC. Otherwise, BIDMC is probably better for academic surgery vibes</t>
  </si>
  <si>
    <t>Brigham</t>
  </si>
  <si>
    <t>Can someone give some opinions/impressions on U maryland interview? Or things you've heard about them?</t>
  </si>
  <si>
    <r>
      <rPr/>
      <t xml:space="preserve">&lt; i had a scheduled break during my interview day where the program coordinator put me into a private zoom room to turn my camera off and decompress. the PD was asking if we wanted any </t>
    </r>
    <r>
      <rPr>
        <b/>
      </rPr>
      <t>additional</t>
    </r>
    <r>
      <rPr/>
      <t xml:space="preserve"> break time inbetween interviews, but we all had a scheduled break. </t>
    </r>
  </si>
  <si>
    <t xml:space="preserve">What are the major differences between these programs? Especially with merger to "MGB"? </t>
  </si>
  <si>
    <t>UPMC (Mercy)</t>
  </si>
  <si>
    <t>Why A?</t>
  </si>
  <si>
    <r>
      <rPr/>
      <t xml:space="preserve">&lt;- i am talking about the scheduled 5 minute breaks that were supposed to be between </t>
    </r>
    <r>
      <rPr>
        <b/>
      </rPr>
      <t>each</t>
    </r>
    <r>
      <rPr/>
      <t xml:space="preserve"> interview +1</t>
    </r>
  </si>
  <si>
    <t>MGH without a doubt. People think BWH is overall chiller while still having the Harvard name, but it's really not. I know several prelim interns who love it there. Attendings from both institutions advised me to go with MGH.</t>
  </si>
  <si>
    <t>bwh much chiller and just as good &lt;&lt; yah and MGH still has malignancy/toxic culture i hear, just look at how they had people ask pimping questions on panel interviews yikes &lt;&lt; FWIW I have a friend in prelim (categorical in another specialty) who says it's not toxic like that outside of the interview and that they have a much better trauma experience and overall more well-rounded training.</t>
  </si>
  <si>
    <t>UPMC Medical Education</t>
  </si>
  <si>
    <t>Fellowship match, culture, QOL</t>
  </si>
  <si>
    <t xml:space="preserve">&lt;&lt; lol, both are true. There was one longer scheduled break that everyone had but, yes, we skipped through the little 5-min breaks between interviews.   Generally, I had a good experienced and was impressed by the culture and opportunities. Agree, though, that there was one resident who spoke about parental leave in a way that was pretty concerning and old school. Saying things like "you signed up to do residency training, not have kids" and "you are sort of fucking over your co-residents, but we're a family so we help each other out" and implying that any missed call, etc should be exactly made up before or after leave. That said, the couple residents I spoke to that did actually have kids said they felt well supported </t>
  </si>
  <si>
    <t>Overall experience, but especially fellowship match, culture of residents &amp; culture of OR</t>
  </si>
  <si>
    <t>Many residents were unfriendly, and culture felt toxic. Not all-inclusive, but enough to make life miserable. Attendings I interacted with were very nice overall, and seemed to enjoy working with students. Felt odd that their main center doesn't do basic general surgery. On the flip side, they do have a very busy acute care surgery service which was clearly a great learning experience for all involved.</t>
  </si>
  <si>
    <t xml:space="preserve">Had a very different experience, residents were extremely kind and inclusive, always willing to teach and get me involved. Seemed like they got to operate a lot with a lot of autonomy. </t>
  </si>
  <si>
    <t>Someone pls drop wisconsin &lt; No</t>
  </si>
  <si>
    <t>heard of numerous student who will not rank this program (disappear mid rotation, decline interview, quietly not rank). Toxic culture (benched all resident's besides chiefs from doing surgeries)</t>
  </si>
  <si>
    <t xml:space="preserve">&lt; Details plz? </t>
  </si>
  <si>
    <t>operative experience, fellowship match, QOL, culture</t>
  </si>
  <si>
    <t>Begging for someone to drop an IV is crazy work &lt; Prob an IMG</t>
  </si>
  <si>
    <t>&lt; pls explain</t>
  </si>
  <si>
    <t>MARYLAND</t>
  </si>
  <si>
    <t>UPMC PinnacleHealth Community Osteopathic Hospital</t>
  </si>
  <si>
    <t xml:space="preserve">Harrisburg </t>
  </si>
  <si>
    <t xml:space="preserve">Residents and attendings love to teach. Most of the attendings are very kind, some are a little more strict, but not toxic. Residents really know how to operate and start very early in training. </t>
  </si>
  <si>
    <t>U Michigan</t>
  </si>
  <si>
    <t>operative experience, fellowship match, QOL</t>
  </si>
  <si>
    <t>York Hospital</t>
  </si>
  <si>
    <t>York</t>
  </si>
  <si>
    <t xml:space="preserve">curious as to the opposing votes on this one. anyone care to share their perspectives? &lt;&lt; I hear that most of the complex cases really go to swedish in Seattle rather than UW, UW rarely gets much trauma, Swedish is a very respected hospital in Seattle. --&gt; Swedish is a great program, but I think you are misinformed about UW and their trauma exposure. </t>
  </si>
  <si>
    <t>Culture, QOL, cost of living</t>
  </si>
  <si>
    <t>Harborview is a MAJOR trauma center that UW residents rotate through. It is very high volume. You'd get a ton of exposure there.</t>
  </si>
  <si>
    <t xml:space="preserve">Where have/are people staying for mayo clinic jax interview? Most my other places recommended hotels but this one didnt:( </t>
  </si>
  <si>
    <t>Swedish residents rotate at Harborview for their trauma experience as Swedish is not a trauma hospital...</t>
  </si>
  <si>
    <t>Harborview is literally called "Shock of the west coast", unsure where you heard UW doesn't have a good trauma experience. Michigan's trauma experience is pretty limited in penetrating trauma...it's Ann Arbor.</t>
  </si>
  <si>
    <t>Reach out to the coordinator! They may be able to give you recs</t>
  </si>
  <si>
    <t xml:space="preserve">I had an interview here and if you read at the bottom there were several hotels recommended within a few miles of the hospital. </t>
  </si>
  <si>
    <t>Tulane</t>
  </si>
  <si>
    <t>Hospital Episcopal San Lucas</t>
  </si>
  <si>
    <t>Ponce</t>
  </si>
  <si>
    <t xml:space="preserve">training, culture, fellowship match </t>
  </si>
  <si>
    <t>PR</t>
  </si>
  <si>
    <t>Tulane's fellowship match record is very good. Culture seems very chill.</t>
  </si>
  <si>
    <t>So when are people planning on sending letters to their top programs / how many / having faculty reach out on your behalf? What's the consensus???</t>
  </si>
  <si>
    <t>University of Puerto Rico</t>
  </si>
  <si>
    <t>letter of intent is meant to only be to your #1 program... so 1</t>
  </si>
  <si>
    <t>QOL, culture and operative experience</t>
  </si>
  <si>
    <t>San Juan</t>
  </si>
  <si>
    <t>UT houston kinda known for being toxica, regularly going over hours and old school attendings etc. houston med center could be a plus or minus depending on what you prefer, but it will be more expensive to live close to hospital&lt;&lt; +1 agree, even their home students gave same impression</t>
  </si>
  <si>
    <t>Home student at UTMB. Residents and faculty for the most part are chillers. People are human + early operative experience. Have heard of many interns being able to be primary surgeon on intern level cases within months of residency. downsides are living in galveston + harder working program. we have matched really great fellows in the last few years and PD is goated as a person</t>
  </si>
  <si>
    <t>U Miami - Jackson Health</t>
  </si>
  <si>
    <t>COL, operative experience, fellowship match, QOL, culture</t>
  </si>
  <si>
    <t>Great vibes +4</t>
  </si>
  <si>
    <t xml:space="preserve">any reason why? </t>
  </si>
  <si>
    <t>Brown University</t>
  </si>
  <si>
    <t>Also wondering why</t>
  </si>
  <si>
    <t>Providence</t>
  </si>
  <si>
    <t>RI</t>
  </si>
  <si>
    <t>Zucker, Long Island</t>
  </si>
  <si>
    <t>COL, Culture</t>
  </si>
  <si>
    <t xml:space="preserve">Is there a point of sending LOIs now? to the programs that i really like? </t>
  </si>
  <si>
    <t>I told my self it doesnt hurt! The worst that can happen is they continue to not give you an interview which is where you are at now so it wouldnt hurt!</t>
  </si>
  <si>
    <t xml:space="preserve">Prisma Health </t>
  </si>
  <si>
    <t>Robert Packers</t>
  </si>
  <si>
    <t xml:space="preserve">Johns Hopkins </t>
  </si>
  <si>
    <t>overall experience , resident culture</t>
  </si>
  <si>
    <t>SC</t>
  </si>
  <si>
    <t xml:space="preserve">Great vibes from residents and attendings. PD is really nice. All interviewers were familiar with application </t>
  </si>
  <si>
    <t>U Missouri</t>
  </si>
  <si>
    <t>U Arizona</t>
  </si>
  <si>
    <t>please add your dropped ivs !!!</t>
  </si>
  <si>
    <t>culture, fellowship match</t>
  </si>
  <si>
    <t>Grand Strand Regional</t>
  </si>
  <si>
    <t>Myrtle Beach</t>
  </si>
  <si>
    <t>Operative experience, QOL, Reputation, Culture, Autonomy, Prestige</t>
  </si>
  <si>
    <t>Medical University of South Carolina</t>
  </si>
  <si>
    <t>?</t>
  </si>
  <si>
    <t>Charleston</t>
  </si>
  <si>
    <t>For NYU long island second look, has anyone been aboe to sign up via thalamus? I don't see it.</t>
  </si>
  <si>
    <t>It should be in your calendar under the appropriate month. I would reach out to them if you don't see it</t>
  </si>
  <si>
    <t>URochester</t>
  </si>
  <si>
    <t>Allegheny Health</t>
  </si>
  <si>
    <t>culture, QoL</t>
  </si>
  <si>
    <t>&lt;why?</t>
  </si>
  <si>
    <t>National Capital Consortium</t>
  </si>
  <si>
    <t>Prisma Health/UofSC Columbia</t>
  </si>
  <si>
    <t xml:space="preserve">Montefiore Medical Center </t>
  </si>
  <si>
    <t>QOL at monte will be rough, its q3 call, limited operative experience intern year but great rep</t>
  </si>
  <si>
    <t>Anyone knows when Second Look is for BCM (Baylor) and if they reached out with info? +1</t>
  </si>
  <si>
    <t>Spartanburg Regional Healthcare System Program</t>
  </si>
  <si>
    <t>UPenn</t>
  </si>
  <si>
    <t>Spartanburg</t>
  </si>
  <si>
    <t>QOL, culture, fellowship match, reputation, trauma exposure</t>
  </si>
  <si>
    <t>MedStar Baltimore</t>
  </si>
  <si>
    <t>houston has great ppl</t>
  </si>
  <si>
    <r>
      <rPr>
        <rFont val="Arial"/>
        <sz val="8.0"/>
      </rPr>
      <t xml:space="preserve">There are 5 level I trauma centers in Boston, which has less than half the amount of people as Philadelphia and is already a pretty safe city. If trauma exposure is important to you, you'll get more at Penn Presby. &gt; Thanks, aside from trauma exposure, any insight on culture/QOL at each program? </t>
    </r>
    <r>
      <rPr>
        <rFont val="Arial"/>
        <b/>
        <sz val="10.0"/>
      </rPr>
      <t>+1</t>
    </r>
  </si>
  <si>
    <t>University of South Dakota</t>
  </si>
  <si>
    <t>Penn had amazing benefits, newly unionized so lots of protections for residents, residents seem very happy, super nice/chill, facilities are great, at least 1 golden weekend/mo as intern if i remember correctly. overall culture seems much improved from historically malignant reputation</t>
  </si>
  <si>
    <t>Sioux Falls</t>
  </si>
  <si>
    <t>SD</t>
  </si>
  <si>
    <t>QOL, operative experience, (houston is where family is), fellowship match but ready to practice by pgy5</t>
  </si>
  <si>
    <t>Can anyone share the times for UCSD's interview day, haven't gotten any info for January yet but wanna plan my day</t>
  </si>
  <si>
    <t>broken into am and pm sessions assigned the day prior</t>
  </si>
  <si>
    <t>Sinai Baltimore</t>
  </si>
  <si>
    <t>Baptist Memorial Medical Education Program</t>
  </si>
  <si>
    <t>Cornell</t>
  </si>
  <si>
    <t>Memphis</t>
  </si>
  <si>
    <t>TN</t>
  </si>
  <si>
    <t>Residents were so kind at social, drinking wine and laughing together. PD cares a lot abt program. Faculty and resident interviewers were pretty conversational. Was pleasantly surprised +1</t>
  </si>
  <si>
    <t>culture, operative experience, research</t>
  </si>
  <si>
    <t>Culture is outstanding at Columbia &lt; really?</t>
  </si>
  <si>
    <t>East Tennessee State University Program</t>
  </si>
  <si>
    <t>Johnson City</t>
  </si>
  <si>
    <t>fellowship match, culture, QOL</t>
  </si>
  <si>
    <t>did howard or ascention providence send prelim?</t>
  </si>
  <si>
    <t xml:space="preserve">Both are great, big difference is UVA really enforces the 2 years of research, which really matters to some. </t>
  </si>
  <si>
    <t>Level 1 trauma center. Very broad based general surgery. Resident very technically capable. Many go straight into practice. Great culture. Residents hang out outside of work</t>
  </si>
  <si>
    <t>Mt. Sinai</t>
  </si>
  <si>
    <t>St. Agnes</t>
  </si>
  <si>
    <t>culture, geography, QOL, plan to end up in trauma / crit care</t>
  </si>
  <si>
    <t>University of Tennessee (Chattanooga)</t>
  </si>
  <si>
    <t xml:space="preserve">Why? I got a great vibe from them, planning on ranking high. Just wondering others thoguhts and feelings </t>
  </si>
  <si>
    <t>Chattanooga</t>
  </si>
  <si>
    <t>Ohio State</t>
  </si>
  <si>
    <t>Rank them if you like 3 in 1 calls and they are toxic as hell</t>
  </si>
  <si>
    <t>OSU is also not great for trauma. Grant hospital in Columbus get most of the trauma patients. &lt; Mt. Sinai not great for trauma, and the patients tend to be wealthy (contrast to the majority of patients you will care for in trauma if you want to operate) &lt; mt sinai residents rotate at a level 1 and level 2 trauma center and spend a shit ton of time managing trauma. plus great trauma matches in past years, it's better for trauma than i think you realiz</t>
  </si>
  <si>
    <t>University of Tennessee (Knoxville)</t>
  </si>
  <si>
    <t>Can anyone provide insight into Mercer Macon as a residency program (i.e., gen surg), as well as safety of the area?</t>
  </si>
  <si>
    <t>Knoxville</t>
  </si>
  <si>
    <t>U Maryland</t>
  </si>
  <si>
    <t>QOL, reputation, autonomy, fellowship match</t>
  </si>
  <si>
    <t>elaborate?+2</t>
  </si>
  <si>
    <t>was super impressed by curriculum and educational opportunities offered here, be ready to talk in detail about any research you have published</t>
  </si>
  <si>
    <t>LSU - Shreveport</t>
  </si>
  <si>
    <t>University of Tennessee (Memphis)</t>
  </si>
  <si>
    <t>Creighton (Phx)</t>
  </si>
  <si>
    <t>QOL, culture, training</t>
  </si>
  <si>
    <t>U Arizona (Phx)</t>
  </si>
  <si>
    <t xml:space="preserve">QOL, culture, research, fellowship, operative experience </t>
  </si>
  <si>
    <t>MAINE</t>
  </si>
  <si>
    <t>University of Tennessee (Nashville)</t>
  </si>
  <si>
    <t>Nashville</t>
  </si>
  <si>
    <t>Did anyone get a confirmation when they accepted emory prelim invite?</t>
  </si>
  <si>
    <t>Zucker Staten Island</t>
  </si>
  <si>
    <t>NYP Queens</t>
  </si>
  <si>
    <t>Not yet</t>
  </si>
  <si>
    <t>Vanderbilt</t>
  </si>
  <si>
    <t>CAMC</t>
  </si>
  <si>
    <t>WVU</t>
  </si>
  <si>
    <t>QOL, culture, operative experience</t>
  </si>
  <si>
    <t>Maine MC - Rural Track</t>
  </si>
  <si>
    <t>Baylor College of Medicine</t>
  </si>
  <si>
    <t>Houston</t>
  </si>
  <si>
    <t>TX</t>
  </si>
  <si>
    <t>Does anyone know what prelim invites are still pending?</t>
  </si>
  <si>
    <t>"UCSF Fresno"</t>
  </si>
  <si>
    <t>Temple</t>
  </si>
  <si>
    <t>residents work hard but do really like each other and work together well. attendings were very willing to teach. GREAT PD</t>
  </si>
  <si>
    <t>QOL, culture, autonomy, career opportunities</t>
  </si>
  <si>
    <t>Baylor University Medical Center</t>
  </si>
  <si>
    <t>Dallas</t>
  </si>
  <si>
    <t>Ochsner</t>
  </si>
  <si>
    <t>residents are clearly good friends and the culture seems great. however, residents during the interview were strangely unresponsive? like very stone-faced which seemed off-brand</t>
  </si>
  <si>
    <t>QOL, culture, autonomy, fellowship matches</t>
  </si>
  <si>
    <t>Super laid-back interviews, some themed questions but mostly small-talk. Residents seemed to get along very well</t>
  </si>
  <si>
    <t xml:space="preserve">There were a few interviewers who were standoffish and clearly hadn't read my application. Residents all seemed very nice, but the attending interviewers soured the day a bit. Also, no formal program overview, it was just the PD talking at you--no powerpoint or presentation. </t>
  </si>
  <si>
    <t>&lt; ?</t>
  </si>
  <si>
    <t>QOL, culture, reputation, fellowship</t>
  </si>
  <si>
    <t>Familiar with both programs. I would rank UW first any day.</t>
  </si>
  <si>
    <t>Medical City Arlington</t>
  </si>
  <si>
    <t>If an attending is willing to call a PD but they don't have their phone number, how would you go about this? The PD doesn't seem to be responsive to or reads his emails</t>
  </si>
  <si>
    <t>Arlington</t>
  </si>
  <si>
    <t>Sidney Kimmel/Jeff</t>
  </si>
  <si>
    <t>QOL, culture, fellowship</t>
  </si>
  <si>
    <t>If the attending doesn't have the PD's phone number, would the attending's call even make a difference? +1 &lt;&lt; I figured hearing a direct positive recommendation would speak a lot. &lt;- I think that's what LORs are for. I thought calls are only helpful if the PD actually knows the attending personally, but I could be wrong</t>
  </si>
  <si>
    <t>Any more votes on this? &lt; both seem pretty similar with awesome training / culture</t>
  </si>
  <si>
    <t>Unclear</t>
  </si>
  <si>
    <t>RWJ culture is exceptional and they match well including peds and surg onc</t>
  </si>
  <si>
    <t>PC here: if they don't have the PD's number, I wouldn't go searching for it. Phone calls are really only helpful if they know each other personally.</t>
  </si>
  <si>
    <t>Free with shuttle</t>
  </si>
  <si>
    <t>MUSC</t>
  </si>
  <si>
    <t>Wellness days, free SCORE/TrueLearn</t>
  </si>
  <si>
    <t>Methodist Dallas</t>
  </si>
  <si>
    <t>QOL, operative experience, autonomy, culture, interested in education &amp; trauma/crit care vs. CT</t>
  </si>
  <si>
    <t>MICHIGAN</t>
  </si>
  <si>
    <t>I love MUSC but they seem weak on trauma, don't know about UC so not voting</t>
  </si>
  <si>
    <t>Michigan</t>
  </si>
  <si>
    <t>QOL, fellowship (peds), culture, operative experience, operative trauma</t>
  </si>
  <si>
    <t xml:space="preserve">Michigan probably not the best for trauma given it is in Ann Arbor </t>
  </si>
  <si>
    <t>UCSF peds surg is world renowned, Michigan not so much, both places i'd say has similar cultures, michigan is pretty chill. QOL wise, ann arbor is a college town so there's not much to do and it gets kinda old fast, can't imagine doing 7 years of surgical residency, also harder to date and outside of ann arbor its cornfields, you have detroit but thats still 45 min by car</t>
  </si>
  <si>
    <t>Plus side of U of M is that their general surgery residents/all resident are unionized - free healthcare, good pay, and other perks. Trauma will most likely be deflected to Detroit Medical Center/Detroit programs &lt; UCSF is unionized too!</t>
  </si>
  <si>
    <t>QoL Michigan &gt; UCSF; Trauma UCSF &gt; Michigan; Also consider the patient population. Very different (Midwestern imports vs. whatever is happening in SF)</t>
  </si>
  <si>
    <t xml:space="preserve">Anyone know the %tile for Michigan's operative trauma? </t>
  </si>
  <si>
    <t>Methodist Hospital (Houston)</t>
  </si>
  <si>
    <t>Ignoring UB's obvious salary issues... Culture, quality of training/research, fellowship opportunities, reputation, and life in the cities in general</t>
  </si>
  <si>
    <t>Anyone dropping Baycare Tampa in January? Received an invite, but no slots open</t>
  </si>
  <si>
    <t>Rochester better reputation &amp; culture. Many Buffalo med students come to Rochester for residency and describe training and culture as stronger at UR, generally stronger fellowship matches and research opportunities available. Could make an argument for Buffalo being a better city though, a little bigger, professional sports teams, closer to Toronto &lt;  I lived in Rochester for a bit, imo a better city than Buffalo. It has a lot of new work going on in the downtown, new parks, walkability, tearing out the highway, etc. Really nice culture and people. Buffalo is a bit more rust-belty imo, but Niagara falls is cool. They're only an hour apart so if you like the Bills then going to a game from Rochester is easy. Also also UR is in a great part of the city.</t>
  </si>
  <si>
    <t>Buffalo has good fellowship matches and great culture in the gen surg progam. Rochester is probably higher on the prestige side of things</t>
  </si>
  <si>
    <t>Rochester has good match statisitcs because of connections, opportunities for research, and operative experience that leads to reliable product. Salary to cost of living is great. Smaller city, entertainment and activities outside the hospital is less fun than buffalo, but face it, comapred to major metros they're comparable. Rochester is a 20 minute city and rotations are mainly in roc, the 1mo rotation at FF thompson is like 45 min commute.</t>
  </si>
  <si>
    <t xml:space="preserve">Away. Overall solid program at a very nice hospital. Residents were kind for the most part and had great surgical skills. Definitely not as academic at Baylor COM/UT but plenty of resources if you want to do research </t>
  </si>
  <si>
    <t>University of Utah</t>
  </si>
  <si>
    <t>During my rotation, I observed strong camaraderie and a supportive environment. Senior residents were eager to teach the intern and PGY2 resident, both in the OR and during rounds.  Attendings were also excellent teachers in the OR and during clinic. I felt very welcomed!</t>
  </si>
  <si>
    <t>QOL, operative experience, CULTURE, fellowship</t>
  </si>
  <si>
    <t xml:space="preserve">Ascension St. John </t>
  </si>
  <si>
    <t>St Davids Medical Center HCA</t>
  </si>
  <si>
    <t>VCU</t>
  </si>
  <si>
    <t xml:space="preserve">Wake Forest </t>
  </si>
  <si>
    <t>Austin</t>
  </si>
  <si>
    <t>Now called Henry Ford St. John- Multiple residents said it was extremely malignant. PD Fired multiple residents for made up  reasons in the past year alone, program documented lies to kick the residents out if they don't like you. Do NOT trust the PD!! Beware! +2</t>
  </si>
  <si>
    <t>Reputation, operative experience, fellowship match, culture</t>
  </si>
  <si>
    <t>PD doesn't tolerate sexual harrassment or HIPAA violations. A resident was removed this year for these reasons; great PD who cares very much about wellness and the safety of residents/med students.</t>
  </si>
  <si>
    <t>This is tough IMO. More in house fellowships at VCU. New Wake chair wants to make wake more prestigious, research. If transplant is your thing, note that Wake does not do liver transplants, just kidneys. Seems like good culture both places.</t>
  </si>
  <si>
    <t>Scott &amp; White - Baylor College of Medicine (Temple)</t>
  </si>
  <si>
    <t>Withdrew two interviews- hope it goes to someone soon&gt;&gt; also just dropped two!! Hope someone gets them :)</t>
  </si>
  <si>
    <t>Please add to dropped II!! Thank you!!</t>
  </si>
  <si>
    <t>Mayo Clinic FL</t>
  </si>
  <si>
    <t>QOL, culture, operative experience (not super interested in trauma since ik that mayo FL doesnt have trauma at their hospital), reputation, location</t>
  </si>
  <si>
    <t xml:space="preserve">Ascension Genesys </t>
  </si>
  <si>
    <t xml:space="preserve"> &lt; explain???</t>
  </si>
  <si>
    <t>Mayo Clinic MN</t>
  </si>
  <si>
    <t>Texas Health Resources</t>
  </si>
  <si>
    <t>QOL, culture, research, reputation, fellowship, operative experience</t>
  </si>
  <si>
    <t>Fort Worth</t>
  </si>
  <si>
    <t>please explain &lt;3 &lt;&lt; one is cold, the other is much colder  &lt; do you like being in the tundra for 4 months a year &lt;&lt; im done LOL</t>
  </si>
  <si>
    <t>Brig is a great program, but nothing beats the Mayo name. It will garner respect for the rest of your career. Huge asset in terms of fellowship match. Fantastic surgical training from basics to high level super specialized care that only gets done at Mayo. For surgery there's no question. Mayo is superior.</t>
  </si>
  <si>
    <t xml:space="preserve">Mayo and brigham are regarded equally </t>
  </si>
  <si>
    <t>SIU</t>
  </si>
  <si>
    <t>Bronxcare</t>
  </si>
  <si>
    <t xml:space="preserve">QOL, culture, research, reputation, fellowship, operative experience, autonomy, career opportunities </t>
  </si>
  <si>
    <t xml:space="preserve">Ascension Providence </t>
  </si>
  <si>
    <t>Texas Tech University Health</t>
  </si>
  <si>
    <t>Did anyone get a confirmation when they accepted emory prelim invite?+1</t>
  </si>
  <si>
    <t>El Paso</t>
  </si>
  <si>
    <t xml:space="preserve">UCLA- Harbor </t>
  </si>
  <si>
    <t>Can u share the iv dates ? Or add them to the calander &gt; its already added there</t>
  </si>
  <si>
    <t xml:space="preserve">PD genuinely wanted to know about me, while the other faculty asked some usual interview questions. </t>
  </si>
  <si>
    <t xml:space="preserve">explain please :) </t>
  </si>
  <si>
    <t>You'll rotate at Harbor as a UCLA resident. In terms of research, reputation, and fellowship matches, you'll have more doors open at UCLA. Harbor would be better if operative autonomy is important to you. Cost of living would be lower near Harbor as well. Culture is hard to compare -- both groups seem happy, but it depends whether you'd rather have the community flavor of Harbor.</t>
  </si>
  <si>
    <t xml:space="preserve">Texas Tech University Health Sciences Center at Lubbock Program                                                 </t>
  </si>
  <si>
    <t>plastics fellowship, res culture, QOL, op experience, attending culture</t>
  </si>
  <si>
    <t>Lubbock</t>
  </si>
  <si>
    <t>&lt; can you expand more pls</t>
  </si>
  <si>
    <t>UMaryland</t>
  </si>
  <si>
    <t>QOL, culture, research, fellowship opportunities, operative experience</t>
  </si>
  <si>
    <t xml:space="preserve">Ascension Macomb-Oakland </t>
  </si>
  <si>
    <t>&lt;explain pls? &lt; UMD has much better fellowship matches and operative experience, by a landslide. Also UMD has built in 2 years of required research</t>
  </si>
  <si>
    <t>No contest, UMD. They're on different levels in terms of prestige, look at the fellowship matches</t>
  </si>
  <si>
    <t>University of Texas Medical Branch Hospitals</t>
  </si>
  <si>
    <t xml:space="preserve">GWU </t>
  </si>
  <si>
    <t>Galveston</t>
  </si>
  <si>
    <t>&lt; explain please??</t>
  </si>
  <si>
    <t>the interview impressions tab is my favorite some of the impressions are so funny lol please people keep adding them +1</t>
  </si>
  <si>
    <t>GWU</t>
  </si>
  <si>
    <t xml:space="preserve">would love to see some about USC! </t>
  </si>
  <si>
    <t>INOVA</t>
  </si>
  <si>
    <t>Home student. Hidden gem of a program. early operative experience, residents generally are cool. Most attendings are cool. More laid back and chill. Upper residents tend to be rock stars in the operating room and on the floor given being very autonomous. have matched really good fellows in recent years + PD is a great person. Underrated program. Cons: less support financially (think food stipend, parking), living in galveston, + some residents can be dicks (typical for surgery). Overall, better than most programs QOL/culture-wise but the most competitive applicants can look elsewhere</t>
  </si>
  <si>
    <t xml:space="preserve">Hidden gem. Early OR expierence, attendings are super nice and welcoming. Residents were welcoming and willing to teach. Trauma and vascular service are busy. Agree with the other commenter that benefits could be better. Some unkowns with regime change with Chair stepping down and search for new leadership in the air. PD is a solid person who cares and is fucking fantastic operativley. Location could be better but if you live in League City, Webster, Clear Lake you get closer to houston. Honestly, if you are competitive you are clearly driven and can make it work where ever - so I would personally consider this program as fellowship match is great. </t>
  </si>
  <si>
    <t>Surrounding institutions in the area question their graduate ability to operate; DNR</t>
  </si>
  <si>
    <t>BIDMC</t>
  </si>
  <si>
    <t>UChicago</t>
  </si>
  <si>
    <t>DHR Health Program</t>
  </si>
  <si>
    <t>Edinburg</t>
  </si>
  <si>
    <t>&lt;please explain</t>
  </si>
  <si>
    <t xml:space="preserve">QOL, operative experience, culture, location </t>
  </si>
  <si>
    <t>University of Texas RGV (VBMC) Program</t>
  </si>
  <si>
    <t>Harlingen</t>
  </si>
  <si>
    <t xml:space="preserve">Yale </t>
  </si>
  <si>
    <t>UMaryland/UMD</t>
  </si>
  <si>
    <t>QOL, culture, research, operative experience, fellowship, location</t>
  </si>
  <si>
    <t>If you encounter any potential match violations or downright reportable behavior from a program, call the program coordinator to let them know what happened. Especially if you don't plan on ranking that program anyway.</t>
  </si>
  <si>
    <t>Town vs city so QOL depends on your vibe. I'd say UMD wins for culture, operative confidence and research</t>
  </si>
  <si>
    <t xml:space="preserve">Yale has great culture, top fellowship matches, more cases than residents can cover and more research funding </t>
  </si>
  <si>
    <t>Is there a storytime here? +1</t>
  </si>
  <si>
    <t>Maine Med</t>
  </si>
  <si>
    <t>University of Texas Tyler</t>
  </si>
  <si>
    <t>QOL you're much better off with Maine Med as Portland ME is a vibrant city while Dartmouth is in the middle of nowhere. Culture and operative experience are similar. You may have better career opportunities at Dartmouth but Maine Med does historically match very well, matching one of this year's chiefs to Peds Surg, which Dartmouth hasn't done in 4 years. I think you can't go wrong with either! It just depends on your values</t>
  </si>
  <si>
    <t>Tyler</t>
  </si>
  <si>
    <t>QOL, culture, career opportunities, location</t>
  </si>
  <si>
    <t xml:space="preserve">Went to med school at UVM, interviewed at both for residency. UVM experience and resources available far superior. </t>
  </si>
  <si>
    <t xml:space="preserve">Signaled my #1 of program and sent an LOI 2 months ago thoughts on replying to it in a small short msg like as I interview this season this program remains my top priority </t>
  </si>
  <si>
    <t>U Utah</t>
  </si>
  <si>
    <t xml:space="preserve">away student, loved my rotation experience. residents were very welcoming and personable. both residents and attendings were eager to teach. </t>
  </si>
  <si>
    <t xml:space="preserve">Maybe rather than sending another message, have a faculty member call on your behalf. But also, given we are in the depths of interview season, there maybe a good chance they have sent all the interview invites they've allocated. </t>
  </si>
  <si>
    <t>UT Houston</t>
  </si>
  <si>
    <t>Operative experience, overall training, fellowship match</t>
  </si>
  <si>
    <t>Can't tell if you've interviewed or not... if not, agree that having someone call might be the best step. If you're interviewing there, just wait until late January and send your letter of intent then. Sending too many emails can be a poor reflection on you.</t>
  </si>
  <si>
    <t>Bro... &lt; Utah barely even wins on skiing...</t>
  </si>
  <si>
    <t xml:space="preserve">Current residents have obtained positions by sleeping with the right people. Basically to get in here you either need a solid pedigree/great scores/publications, or if you can barely pass STEP then you just have to hook up with the PD's best friends. There are implications here for future coresidents because there is obvious personal faviouritism at play and if the PD is demonstating personal favouritsm with some crappy resident right from the start (ergo letting them in) and you then have interpersonal problems with that crappy resident you could be in a precarious position &lt;-- sir this is a wendy's &lt; its me, im the resident, it was worth it </t>
  </si>
  <si>
    <t>Operative experience, research, culture, trauma volumes</t>
  </si>
  <si>
    <t>Home student. Haven't heard anything about what was stated in review #1. Overall, I really love this program. It's high volume, with great exposure to trauma at memorial hermann, tons of clinical volume at LBJ (HarrisHealth safety net hospital) and opportunities to rotate at MD Anderson. Located in the TMC, there's access to literally anything you could be interested in. Attendings are approachable and I felt comfortable around them. (A disclaimer that attendings are still general surgeons and are therefore not likely to hold your hand, skip down the hallway with you, and be otherwise warm/cuddly teddy bears.) This is a program with the "best of both worlds": high clinical volume and the academic resources to get you where you need to go. Residents are kind, funny, and have good camaraderie. I have heard multiple residents refer to the PD as their "surgery mom". She's fantastic. &lt;&lt; are you on discord, can I dm you?</t>
  </si>
  <si>
    <t>UT San Antonio</t>
  </si>
  <si>
    <t>San Antonio</t>
  </si>
  <si>
    <t>Baylor College of Medicine (Houston)</t>
  </si>
  <si>
    <t>QOL, culture, operative experience (houston is where family is), fellowship</t>
  </si>
  <si>
    <t>why?    &lt;   cant underestimate having family nearby. BCM gives great exposure and matches extremely well in fellowships. residents love their attendings</t>
  </si>
  <si>
    <t>BCM for sure - in addition to your family: great program/culture/PD, tremendous operative autonomy and trauma experience at Ben Taub, residents are happy and have good relationships w attendings</t>
  </si>
  <si>
    <t xml:space="preserve"> I have enjoyed my time here, the residents are supportive of each other and like each other! and chiefs are supportive of their juniors. PD takes feedback from residents and implements. fantastic, 10/10 trauma training. trauma is god here. very much an academic program, we match to all fellowships even peds/surg onc/BMI. the call system kinda sucks though imho (interns do 24hr x1/week, and are assigned one weekend every 3 weeks so theyll work like 13 days straight and the last day is their 24 hr call day). hierarchical. chiefs OPERATE and they pretty much run their services. great robot training. BUT- the degree of hierarchy somewhat rubs me the wrong way. Fr example, the uppers/juniors sit on opposite sides of the room at didactic. In the SICU, The chiefs and interns sit in different workrooms despite there being 3 different teams. The arrangement actively makes communication more difficult between the team members. [home student]</t>
  </si>
  <si>
    <t>can you guys add ur jan ivs to the cat interview calendar so we know what programs are sill interviweing after the holidays</t>
  </si>
  <si>
    <t>&lt; depending on the call schedule and rotation, can work as much as q3 call, with call frequently lasting &gt;24 hrs
&lt;&lt;&lt;&lt;&lt; can confirm there is no regard for workload, as an away rotator the residents were very nice to me but they flat out told me they were working 100+ hour weeks on certain services</t>
  </si>
  <si>
    <t xml:space="preserve">and prelim calander </t>
  </si>
  <si>
    <t>&lt; Yeah it ends up averaging under 80h/week per 4 weeks but it's not uncommon to do 100h+. With some sneaky postcall and off day scheduling workarounds it gets averaged to under 80 but it's very close and it certainly feels like over 100. Also when you have a week off that month you will get shafted with q2-q3 call or working the rest of the 3 weeks almost straight to make up for the vacation. So you're both looking forward to your vacation but also dreading it because you will suffer the rest of the month</t>
  </si>
  <si>
    <t>QOL, operative experience, research, trauma, fellowship</t>
  </si>
  <si>
    <t>Providence &gt; New Brunswick</t>
  </si>
  <si>
    <t>U Toledo</t>
  </si>
  <si>
    <t>NYP Brooklyn</t>
  </si>
  <si>
    <t>Culture, operative experience, fellowship</t>
  </si>
  <si>
    <t>HCA Kingwood</t>
  </si>
  <si>
    <t>Kingwood</t>
  </si>
  <si>
    <t>Does everyone who interviewed get invited to second looks?</t>
  </si>
  <si>
    <t>Maine Med has no 24h call, residents are all such good friends with each other, Portland ME is gorgeous, very close to Boston. In terms of specifically the things you mentioned (QOL, culture, and location), I would have to go with Maine Med.</t>
  </si>
  <si>
    <t>yes (assuming the program offers one)</t>
  </si>
  <si>
    <t xml:space="preserve">QOL in rochester is excellent. Residents are in the top 10% of income of the city (which may be a poor reflection on the city, but high purchase power for residents for homes, groceries, experiences, etc.) 1 hour from buffalo, 3 hours from Toronto, easy access to all east coast cities. Very benign program that empowers residents to start families. </t>
  </si>
  <si>
    <t xml:space="preserve">Grew up in the area--generally was not impressed with the quality of care at this hospital when family or friends were there. </t>
  </si>
  <si>
    <t>&lt;&lt;&lt;It is HCA, or health care abandonment</t>
  </si>
  <si>
    <t>QOL, culture, fellowship match (vascular/CV), reputation</t>
  </si>
  <si>
    <t>Salt Lake City</t>
  </si>
  <si>
    <t>UT</t>
  </si>
  <si>
    <t>QOL, culture, fellowship match, reputation</t>
  </si>
  <si>
    <t xml:space="preserve">Beaumont (Trenton &amp; Dearborn) </t>
  </si>
  <si>
    <t>More operative experience / volume and autonomy at Emory</t>
  </si>
  <si>
    <t>There is a lot of tension surrounding the new med school curriculum and the direction the PD is taking the surgery program with the new 2yr research requirement. It will get worse before it gets better. A couple of bad egg attendings who will throw trainees under the bus to make a point and a couple others who will stand by and watch, but otherwise there are opportunities to pair with supportive and well-connected mentors. Well-resourced with few fellows, diverse training sites in the valley, early operative experience. Some grads match into fellowship while others go right into practice (latter will likely become less common). Apply here if you love hiking, skiing, snowboarding, etc. Do not apply here if you have any kind of pulm condition- the air quality can get very bad- or if you cannot live without a mimosa brunch (no alc in the AM until after 10 or 11a) &lt; i have to give up my boozy brunches? heck no</t>
  </si>
  <si>
    <t>RWJ</t>
  </si>
  <si>
    <t>Carilion Clinic-Virginia Tech</t>
  </si>
  <si>
    <t>Roanoke</t>
  </si>
  <si>
    <t>VA</t>
  </si>
  <si>
    <t xml:space="preserve">Thoughts on Mayo Clinic Rochester residency program ? Especially the prelim </t>
  </si>
  <si>
    <t xml:space="preserve">Last year's prelim class: 4 stayed, 1 matched OB at Mayo which was her hoped for outcome,  1 was already set to continue on at Mayo in Rads, 3 matched categorical elsewhere, 2 matched PGY-2 1-year spots elsewhere, 1 went IM. </t>
  </si>
  <si>
    <t>QOL, culture, operative experience, fellowship match</t>
  </si>
  <si>
    <t>Eastern Virginia</t>
  </si>
  <si>
    <t>Norfolk</t>
  </si>
  <si>
    <r>
      <rPr>
        <rFont val="arial,sans,sans-serif"/>
      </rPr>
      <t xml:space="preserve">they take a lot of prelims and never take them into cat so if u have other prelim options that take their prelims go with that &lt;&lt; they do sometimes take prelims into categorical! Have done it at least 2-3 times in the last few years &lt; but like thats what maybe 1/11 prelims &lt; eh idk, they treat their prelims well, you get a decent shot at staying at a prestigious program, and they help others find spots elsewhere </t>
    </r>
    <r>
      <rPr>
        <rFont val="arial,sans,sans-serif"/>
        <color rgb="FF1155CC"/>
        <u/>
      </rPr>
      <t>https://college.mayo.edu/academics/residencies-and-fellowships/preliminary-surgery-residency-minnesota/preliminary-outcomes/</t>
    </r>
  </si>
  <si>
    <t xml:space="preserve">Geisinger Central </t>
  </si>
  <si>
    <t>good learning opportunities but very passive aggressive</t>
  </si>
  <si>
    <t xml:space="preserve">I go here as a student. The residents are really hit or miss. Some have been nice but have experienced current seniors literally berating the junior residents at rounds and making fun of them. Just seems like a very toxic environment. Seniors are constantly talking bad about juniors. Residents seem like they all hate each other. Terrible schedule,  have seen as frequent as q2 call. On the plus, I did enjoy working with some of the attendings. </t>
  </si>
  <si>
    <t xml:space="preserve">Chattanooga </t>
  </si>
  <si>
    <t>Inova Fairfax Medical Campus</t>
  </si>
  <si>
    <t>Falls Church</t>
  </si>
  <si>
    <t xml:space="preserve">Louisville </t>
  </si>
  <si>
    <t>have heard good things otherwise but my friend from uva said cliquey and some were mean to her</t>
  </si>
  <si>
    <t>University of Virginia</t>
  </si>
  <si>
    <t>Oklahoma</t>
  </si>
  <si>
    <t>Charlottesville</t>
  </si>
  <si>
    <t>good resident culture, caring faculty, high standard for patient care. very strong focus on teaching. good case volume and complexity, operative autonomy.</t>
  </si>
  <si>
    <t>Virginia Commonwealth University</t>
  </si>
  <si>
    <t>Richmond</t>
  </si>
  <si>
    <t xml:space="preserve">Beaumont Royal Oak </t>
  </si>
  <si>
    <t>Excellent culture, residents are all friends and it's very evident they all work well togehter. Faculty are enthusiastic about education and teaching. Strong clinical training within the program</t>
  </si>
  <si>
    <t>Home student - wonderful program. The residents are very close, very supportive of each other. I have only interacted with very nice attendings. PD is amazing and really care about the students. I wasn't interested in surgery and this rotation during 3rd year was so great, here I am</t>
  </si>
  <si>
    <t>They take at least one for categorical each year, last year they took four.</t>
  </si>
  <si>
    <t>St. Joseph (NJ)</t>
  </si>
  <si>
    <t>Mercy One IOWA</t>
  </si>
  <si>
    <t>&lt;why the negative?</t>
  </si>
  <si>
    <t>VT</t>
  </si>
  <si>
    <t xml:space="preserve">Can we add a FAQ tab/section for the PC/PD Q&amp;A? </t>
  </si>
  <si>
    <t>i think its too late for that</t>
  </si>
  <si>
    <t>Virgina Mason Franciscan Health</t>
  </si>
  <si>
    <t>Tacoma</t>
  </si>
  <si>
    <t>QOL, culture, fellowship match, trauma exposure</t>
  </si>
  <si>
    <t>WA</t>
  </si>
  <si>
    <t>Why, pls expand? Understand trauma exp better in Philly, but anything about culture/QOL at these programs??</t>
  </si>
  <si>
    <t>Equal prestige/training, but Penn has an intense culture with an emphasis on self-learning (in comparison to Stanford). Some might consider that culture malignant, but that's in the eye of the beholder and way overused imo. Stanford has better support for academics in research years. &gt; what about the culture do some consider malignant? way people are treated, work hour violations, any way to elaborate on "intense"?</t>
  </si>
  <si>
    <t xml:space="preserve">Stanford is very "soft," more focused on academics than operative training. Trauma at Penn much much better </t>
  </si>
  <si>
    <t>Stanford culture and QOL was infinitely better imo but both are good programs</t>
  </si>
  <si>
    <t xml:space="preserve">Swedish Medical Center/First Hill </t>
  </si>
  <si>
    <t>Seattle</t>
  </si>
  <si>
    <t xml:space="preserve">anyone still thinking of dropping ivs after new years? or have you all finalized your schedule </t>
  </si>
  <si>
    <t>Why?</t>
  </si>
  <si>
    <t>Finalized  +4</t>
  </si>
  <si>
    <t>trauma in atlanta &gt;&gt; nashville &gt; any insight aside from trauma? Culture, COL, etc?</t>
  </si>
  <si>
    <t>Both great trauma exposure but Grady probably better &gt; excluding trauma, any sig differences?</t>
  </si>
  <si>
    <t>Both great trauma exposure</t>
  </si>
  <si>
    <t>U Wisconsin</t>
  </si>
  <si>
    <t xml:space="preserve">Culture, operative experience, prestige </t>
  </si>
  <si>
    <t xml:space="preserve">U Washington </t>
  </si>
  <si>
    <t>Very positive and welcoming environment from both attendings and residents. Everyone is willing to teach. It seems as though you operate more in the later years of the program. The first two years seem very geared towards education and learning medical management.[Away]</t>
  </si>
  <si>
    <t>Everyone genuinely seem glad to end up at the institution. The only thing I've heard from residents is that they would like more financial compensation for the purchase of loupes. They feel that they have good benefits and good mental health resources. The program emphasizes wellness.</t>
  </si>
  <si>
    <t>Away rotator- FANTASTIC residents, really integrated me in the team and my cheif even helped me with my personal statement. Seattle is awesome too if you're into outdoorsy stuff!</t>
  </si>
  <si>
    <t>UPMC</t>
  </si>
  <si>
    <t xml:space="preserve">50/50 - some residents are great, some are super toxic. There's a catty, gossippy mean girl vibe that's prevalent, so a lot of superficial fake nice. Operative skill and medical knowledge amongst senior residents is subpar compared to other programs I've seen, especially considering their reputation. </t>
  </si>
  <si>
    <t>QOL, culture, fellowship, trauma experience, reputation</t>
  </si>
  <si>
    <t>Virginia Mason Medical Center</t>
  </si>
  <si>
    <t>Similar reputation, but QOL better at UPMC (cheaper city, hospital system is loaded) and better trauma experience also. Pitt is a fun town where you will be able to buy a house as a resident.</t>
  </si>
  <si>
    <t>Has anyone recieved any information at Rush's second look day?</t>
  </si>
  <si>
    <t>Hennepin</t>
  </si>
  <si>
    <t>yes they sent an email</t>
  </si>
  <si>
    <t>Corewell Health William Beaumont</t>
  </si>
  <si>
    <t xml:space="preserve">Residents are kind people, actually friends, and have each others backs. In recruiting events they emphasize that they are "happy", and this is very true. Attendings are "open door", talented, and genuine.  </t>
  </si>
  <si>
    <t xml:space="preserve">Don't know anything about Hennepin but home student from Beaumont and literally love their program and can't speak highly enough about their culture, operative experience, excellent faculty (strangely academic faculty) and surprisingly not a bad place to live (metro Detroit not really stereotypical "midwest") </t>
  </si>
  <si>
    <t>Wes</t>
  </si>
  <si>
    <t>Sidney Kimmel/Jefferson</t>
  </si>
  <si>
    <t>La Crosse</t>
  </si>
  <si>
    <t>WI</t>
  </si>
  <si>
    <t>any specific thoughts re: culture/qol?</t>
  </si>
  <si>
    <t>both seem to have great culture. Yale is a more highly regarded program</t>
  </si>
  <si>
    <t>Very positive and welcoming environment from attendings and residents. Highly value early operative experience and autonomy. Residents seem overall very happy.</t>
  </si>
  <si>
    <t>Montefiore</t>
  </si>
  <si>
    <t>Wright State</t>
  </si>
  <si>
    <t xml:space="preserve">Beaumont (Farmington Hills) </t>
  </si>
  <si>
    <t>Subsidized housing for residents, away rotators get free housing.</t>
  </si>
  <si>
    <t>Is it wrong to tell interviewers that their program is your #1 choice? Having a hard time deciding on this</t>
  </si>
  <si>
    <t>Marshfield Clinic</t>
  </si>
  <si>
    <t xml:space="preserve">nonstop panel interview where they just grill you for 20 min, mostly behavioral questions </t>
  </si>
  <si>
    <t>St. Joseph NJ</t>
  </si>
  <si>
    <t>Marshfield</t>
  </si>
  <si>
    <t>MercyOne IOWA</t>
  </si>
  <si>
    <t>I don't think it's wrong. But I feel like interviewers might not value it as much because they might wonder how we could know that if we still have more interviews and haven't had a ton of time for reflection. Even if you know yourself well and know that your #1 won't change, I think that's how they might perceive it, which is why people usually wait until January to send an LOI. For programs I'm SUPER interested in, I feel like it comes through more in my "why this program" answer, and I've said things like I'm so impressed by your program, etc. I haven't told anyone theyre my #1 in an interview - just planning on saving that for an LOI. Curious what other people think though!</t>
  </si>
  <si>
    <t>Culture, operative experience, prestige</t>
  </si>
  <si>
    <t>id save it for the LOI +2</t>
  </si>
  <si>
    <t>Trinity Ann Arbor</t>
  </si>
  <si>
    <t xml:space="preserve">Central MI U </t>
  </si>
  <si>
    <t>CHWB 10000x more academic than THAA. THAA true community w/some ties to UMich (~15 minutes apart). CHWB own entity, academic faculty w/med school, well known locally in metro detroit as a tertiary care center. CHWB in suburbs of detroit (the nice suburbs). All suburban amenities with nearby going out scenes (royal oak, ferndale, detroit). THAA actually in Ypsi (small town), near to AA (small city), otherwise surrounded by farmland. Haven't experienced both from operative experience though! -local</t>
  </si>
  <si>
    <t>MCW</t>
  </si>
  <si>
    <t>Milwaukee</t>
  </si>
  <si>
    <t>QOL, reputation, fellowship match</t>
  </si>
  <si>
    <t>&lt;Why?Help. &lt; BU good for trauma, focus on clinical &gt; academic, good culture (with a typical mix of not-so-great folks, but most residents and faculty are great). BU lacking in thoracic and complexity of onc is lower because of MGH/Brigham/BI in close proximity. Brown much more academic and well-rounded, can't speak to the culture.</t>
  </si>
  <si>
    <t>Henry Ford</t>
  </si>
  <si>
    <t xml:space="preserve">Operative experience, fellowship, is HF malignant?? </t>
  </si>
  <si>
    <t>University of Wisconsin</t>
  </si>
  <si>
    <t>HF is v malignant (home student and rotated there and also heard horror stories) &lt; is it mostly the residents or are the faculty malignant?</t>
  </si>
  <si>
    <t>&lt; a little from faculty but mostly residents</t>
  </si>
  <si>
    <t>Madison</t>
  </si>
  <si>
    <t xml:space="preserve">Missing Kern in Bakersfield, CA. </t>
  </si>
  <si>
    <t>I got malignant vibes from the HF interview - at one point a faculty interviewer who trained at HF stated "our residency is HARD - not like how it is at Beaumont". I would go out on a limb and say both are well known locally but not nationally, one is not significantly more prestigious than the other so why go to the "harder" one ?</t>
  </si>
  <si>
    <t xml:space="preserve">&lt; 100% go with Beaumont (corewell) </t>
  </si>
  <si>
    <t xml:space="preserve">Detroit Medical Center </t>
  </si>
  <si>
    <t xml:space="preserve">HF has amazing training and you'd get high volume and high exposure to a large variety of cases among all kinds of services however it can come off as malignant because of some personalities among both residents and faculty as well as midlevels on some services </t>
  </si>
  <si>
    <t>Details? +2</t>
  </si>
  <si>
    <t>ut austin dell</t>
  </si>
  <si>
    <t>https://en.wikipedia.org/wiki/Tenet_Healthcare</t>
  </si>
  <si>
    <t>operative experience, fellowship, QOL, ability to manage complex pts</t>
  </si>
  <si>
    <t>The previous comment was suspiciously deleted, but it basically boiled down to a condescending PD and a toxic atmosphere that led to the residency program going downhill in the last few years. Also lack of financial support for additional degrees during the research years. There's some more info on last years spreadsheet.</t>
  </si>
  <si>
    <t>why? &lt; those priorities youre going to get better at UT houston but I know a home student and the culture is not to be desired and they regularly go over 80 and the attendings are not supportive at M&amp;M and leave you out to dry sometimes</t>
  </si>
  <si>
    <t>they have a lot of drama with their pd</t>
  </si>
  <si>
    <t xml:space="preserve">Details please? +1 </t>
  </si>
  <si>
    <t>PD lashed out residents in front of med students...such an awkward but revealing situation for everyone present"</t>
  </si>
  <si>
    <t>Operative experience, QoL, onc/thoughts on DFCI</t>
  </si>
  <si>
    <t>Charleston Area Medical Center/WVU</t>
  </si>
  <si>
    <t>WV</t>
  </si>
  <si>
    <t>Does anyone know if UCLA David Geffen has a social event? I dont have an invite in my email. Thanks!</t>
  </si>
  <si>
    <t>operative experience, fellowship, prestige, culture</t>
  </si>
  <si>
    <t xml:space="preserve">&lt; I emailed to confirm. They do not have a resident meet and greet/ social. </t>
  </si>
  <si>
    <t>&lt; mostly asking in terms of considering a split with dana farber and merger or MGH/BWH</t>
  </si>
  <si>
    <t>Lakeland</t>
  </si>
  <si>
    <t>Huntington</t>
  </si>
  <si>
    <t>&lt; can you explain? Ik they're both low-tier but Lakeland is only two years old while Broward just graduated their first batch of residents</t>
  </si>
  <si>
    <t>Anyone know what a chairman roundtable is ?</t>
  </si>
  <si>
    <t>The chair and vicechairs meet to talk? Just a guess</t>
  </si>
  <si>
    <t>West Virginia</t>
  </si>
  <si>
    <t xml:space="preserve">I've had this as a schedule item in multiple interviews, usually just means it's an opportunity for you and a few other applicants to ask questions about the dept </t>
  </si>
  <si>
    <t>Interested in CT. BUMC has 4+3 pathway but only takes 1 person. Louisville has higher prestige obv</t>
  </si>
  <si>
    <t>Morgantown</t>
  </si>
  <si>
    <t xml:space="preserve">DMC/Wayne State </t>
  </si>
  <si>
    <t xml:space="preserve">Depends on if you want academic or community program. BUMC is a great program with good operative experience, but it is certianly more community than academic </t>
  </si>
  <si>
    <t>not a lot of residents showed up for the social</t>
  </si>
  <si>
    <t>resident culture and QOL, trying to weigh prestige vs location, interested in competitive fellowship (peds)</t>
  </si>
  <si>
    <t>CORE/Grandview Hosp &amp; Med Ctr</t>
  </si>
  <si>
    <t>Anyone have any advice or just general vibe check on the MGH panel interviews? are they really pimping medical knowledge or more so asking a ton of questions about you and ethical scenarios?</t>
  </si>
  <si>
    <t xml:space="preserve">UC Irvine residents mostly rotate at the main hospital in Orange to my knowledge, you'd have to drive 15-30 min to get out of Orange and find things to do, Orange has great food but otherwise it's kind of bland with no culture - as an away rotator, I didn't get the sense that residents would hang out outside of work or had a close relationship with most faculty - if you're aiming for Peds or Surg Onc I'd highly recommend UofM as you'd have more opps for high impact research and mentorship </t>
  </si>
  <si>
    <t>lol this is crazyyy. I wonder if they care more about you getting it right vs. how you handle not knowing the answer. I feel like I'd be so thrown off if I knew nothing, especially if it's a subspecialty of general surgery I've never rotated through before &lt; totally wondering the same!!</t>
  </si>
  <si>
    <t xml:space="preserve">UofM is one of the strongest gen surg residency programs in the country. </t>
  </si>
  <si>
    <t>&lt; agree, I had a mix of pimping questions and personal questions about my app, no ethical scenarios</t>
  </si>
  <si>
    <t>Any advice on how to prepare some? (I know it's legit impossible to know what they'll ask but even to just make myself feel less anxious lol)</t>
  </si>
  <si>
    <t>Umiami</t>
  </si>
  <si>
    <t>There's no way to prepare. Just go in feeling confident</t>
  </si>
  <si>
    <t>resident culture, work hours (Miami??), operative experince, difference in prestige, is moving to middle of no where worth it?, no specific interest</t>
  </si>
  <si>
    <t xml:space="preserve">Garden City </t>
  </si>
  <si>
    <t>UF Gainesville requires two research years</t>
  </si>
  <si>
    <t>most of UM residents also do 2 years so theyre kinda the same in that aspect +1 &lt; would also say UF is slightly better prestige wise +1</t>
  </si>
  <si>
    <t>CORE/South Pointe Hosp</t>
  </si>
  <si>
    <t>Gainesville is the most boring place ever to live, Miami is way more fun even if you aren't big on partying</t>
  </si>
  <si>
    <t xml:space="preserve">NYU Brooklyn </t>
  </si>
  <si>
    <t xml:space="preserve">Westchester - NYMC </t>
  </si>
  <si>
    <t>Peds or plastics fellowship</t>
  </si>
  <si>
    <t>UCSF East Bay</t>
  </si>
  <si>
    <t>East Bay seems to have more trauma but also interested in surg onc, QOL, fellowship match</t>
  </si>
  <si>
    <t>are yall still sending thank you emails to each interviewier bc i am TIRED</t>
  </si>
  <si>
    <t xml:space="preserve">Henry Ford (Detroit) </t>
  </si>
  <si>
    <t>noo only if they interviewed me +1</t>
  </si>
  <si>
    <t>Icahn Mount Sinai</t>
  </si>
  <si>
    <t>yeah &lt; rip i hate this circle of hell &lt; same at least we are almost done with them &lt; really appreciated UTSW say "YOU DO NOT NEED TO SEND US ONE - we will not take it into consideration, we do not track them, please only send one if you have a question"</t>
  </si>
  <si>
    <t>Both seems great...At a lost, QOL, culture, fellowship match</t>
  </si>
  <si>
    <t>only standardized questions, didn't feel like they really wanted to get to know you as an applicant</t>
  </si>
  <si>
    <t>&lt; On this note, are you guys emailing the PD to say thank you even if you didn't interview with them? In most of my interviews, I did meet with the PD individually, but my last couple didn't include a 1-on-1 and I'm getting burnt out from emails.</t>
  </si>
  <si>
    <t>such different lifestyle just based on location, if they're dead even for you just go with where you want to live</t>
  </si>
  <si>
    <t>&lt;&lt;</t>
  </si>
  <si>
    <t xml:space="preserve">seriously how much do these matter because I dont think I can do it anymore lol &lt; lmao I got 3 IVs in before only sending them to the PC and PD only. I don't think they matter at all </t>
  </si>
  <si>
    <t>program malig+1</t>
  </si>
  <si>
    <t>PC here: overall, they don't matter as much as some people make it seem. HOWEVER some programs really value them. I doubt they will impact your rank in a signficant way, but if one applicant sends a bunch and also sends LOIs etc and another doesn't and they are ranked similarly, the TYs might bump that person up above the person who doesn't.</t>
  </si>
  <si>
    <t>i actually thought this place was pretty enjoyable, and the chair took time out of his schedule to meet with us individually since he couldnt make the interview day. residents seemed very normal. faculty arent like super rainbows and sunshine but i got a few laughs out of them.</t>
  </si>
  <si>
    <t xml:space="preserve">QOL, culture, location </t>
  </si>
  <si>
    <t xml:space="preserve">The commute from city of Chicago to Loyola vs NYC to Zucker is way shorter and more doable (trust me I do NYC to Zucker every day and it's awful NYC traffic sucks). Living in NYC very expensive and even if you live near Zucker out on Long Island it's expensive. </t>
  </si>
  <si>
    <t>interested in peds surgery, culture of both seem great, obviously both have great opportunities and resources</t>
  </si>
  <si>
    <t>BIDMC peds is strong</t>
  </si>
  <si>
    <t xml:space="preserve">Has BMC, VCU, cornell sent out prelim invites yet? </t>
  </si>
  <si>
    <t>UT Knoxville</t>
  </si>
  <si>
    <t>ETSU</t>
  </si>
  <si>
    <t>QOL, culture, reputation, location</t>
  </si>
  <si>
    <t xml:space="preserve">Henry Ford Macomb </t>
  </si>
  <si>
    <t>UTSW</t>
  </si>
  <si>
    <t>QOL, culture,operative experience,  transplant/trauma fellowship</t>
  </si>
  <si>
    <t>any opening for tulane a in jan</t>
  </si>
  <si>
    <t>no for Tulane &lt;&lt; thanks</t>
  </si>
  <si>
    <t>&lt; not OP but interested in why here +2 &lt; would love anyones comments here!</t>
  </si>
  <si>
    <t xml:space="preserve">&lt;&lt;for me, culture of BCM&gt;UTSW, and Texas Medical Center have way more opportunities in all subspecialties. both have good autonomy and trauma, but BCM transplant is one of the largest in US, adult and peds  </t>
  </si>
  <si>
    <t>Houston Methodist</t>
  </si>
  <si>
    <t>methodist- lacks autonomy</t>
  </si>
  <si>
    <t>both are toxic but UT houston will give you better training, agree that at methodist there is not a lot of autonomy.</t>
  </si>
  <si>
    <t>LSU-NOLA</t>
  </si>
  <si>
    <t>Tulane rotates mostly in NOLA - only 1 away site the whole 5 years. LSU-NOLA rotates a LOT outside of the city</t>
  </si>
  <si>
    <t>Methodist San Antonio</t>
  </si>
  <si>
    <t>St. David's in Austin, Tx</t>
  </si>
  <si>
    <t>QOL, COL, operative experience, fellowship match but ready to practice by pgy5, (my family and friends are in San Antonio)</t>
  </si>
  <si>
    <t xml:space="preserve">George Washington </t>
  </si>
  <si>
    <t xml:space="preserve">COL, operative experience, caliber of training, culture of programs (family and friends in htx, some friends in DC, like DC more than Houston) </t>
  </si>
  <si>
    <t>Can someone explain q4 24 hr call to me like I'm a 5 yr old pls. Also, how bad is this really?</t>
  </si>
  <si>
    <t>culture wise have heard there is a particular malignant attending at gw and UT houston more prestigious &lt; Houston is also known as malignant</t>
  </si>
  <si>
    <t xml:space="preserve">Kaiser LA </t>
  </si>
  <si>
    <t xml:space="preserve">Every 4 days, you'll have a call shift that's 24 hrs long &gt; yes, but how many shifts do you usually have in between  &lt;&lt; everyday i think &lt;&lt; every day with one day off if the program isn't counting post call as your day off. So example you would work Monday, Tuesday, Wednesday regularly. Thursday you would started work normally, stay the night, finish morning tasks and have Friday off as post call and return Saturday like normal. If it's "home call" you might not have post call day since technically you don't have to be in the hospital. </t>
  </si>
  <si>
    <t>QOL, COL, operative experience, reputation, culture</t>
  </si>
  <si>
    <t>Program dependent - they will usually say Q4 call or Q3 call. If its a smaller program its usually Q3 or Q4, additionally, this could only be for certain rotations. I would look into specifics of call schedule. On the opposite hand, night float: means a rotation on nights only, 5pm - 5 am for example for 1 month straight.</t>
  </si>
  <si>
    <t>Henry Ford Wyandotte</t>
  </si>
  <si>
    <t>based on meet and greet event, residents seem to be really close and friendly, intern mentioned good early surgical exposure and how much PD and co-residents are supportive and understanding whenever something happens. Interview was a mix of formal/clinical stuff and conversational dependng on attending</t>
  </si>
  <si>
    <t>Baylor Dallas</t>
  </si>
  <si>
    <t>NYP Brooklyn Methodist</t>
  </si>
  <si>
    <t>QOL, COL, operative experience, fellowship, culture</t>
  </si>
  <si>
    <t xml:space="preserve">Mclaren Greater Lansing </t>
  </si>
  <si>
    <t>can people stop voting on the a vs b and not explaining</t>
  </si>
  <si>
    <t>&lt;- give me both. I want my cake and I want to eat it too  &lt; llmaooo</t>
  </si>
  <si>
    <t>OU</t>
  </si>
  <si>
    <t>operative experience, culture, fellowship match</t>
  </si>
  <si>
    <t xml:space="preserve">Honestly can't go wrong with either - both are blue-blooded programs that will help you to get to where you want to go. Boils down to culture and location at this point. </t>
  </si>
  <si>
    <t xml:space="preserve">Mclaren Macomb </t>
  </si>
  <si>
    <t>QOL, operative experience, culture, fellowship, location</t>
  </si>
  <si>
    <t>what's last iv date at berkshire for prelim/categ?</t>
  </si>
  <si>
    <t>Inova</t>
  </si>
  <si>
    <t>northern VA is expensive but it's a diverse and nice area although traffic too</t>
  </si>
  <si>
    <t>f</t>
  </si>
  <si>
    <t>For what specifically? Temple for trauma, diverse patient population and high volume.</t>
  </si>
  <si>
    <t>culture, operative autonomy, mentorship, location</t>
  </si>
  <si>
    <t>Any programs thats till didnt send prelim?</t>
  </si>
  <si>
    <t>Seems to have a good culture and the interview itself was quite straightforward and easygoing. Residents and attendings all were very kind to applicants</t>
  </si>
  <si>
    <t>I think mt sinai sent today &lt;&lt; which one &lt;&lt; NYC</t>
  </si>
  <si>
    <t>can some one confrim and add on ii by date pls</t>
  </si>
  <si>
    <t>QOL, operative experience, life outside of OR, culture, prestige</t>
  </si>
  <si>
    <t>+1</t>
  </si>
  <si>
    <t xml:space="preserve">WHY?! &lt; someone just doesnt want you to rank </t>
  </si>
  <si>
    <t xml:space="preserve">MSU/Spectrum </t>
  </si>
  <si>
    <t>Any JH prelim openings?</t>
  </si>
  <si>
    <t xml:space="preserve">(Now corewell) Was pleasantly surprised by the program and culture. Seems like the get pretty excellent clinical training and operative experience, and everyone seems down to earth and like they genuinely like it there, like each other, and like the attendings. Also suprising amount of support for research and academic endeavors! </t>
  </si>
  <si>
    <t>Says on the other tab no</t>
  </si>
  <si>
    <t>QOL, location, culture, operative experience</t>
  </si>
  <si>
    <t>WHY?!</t>
  </si>
  <si>
    <t>Corewell Royal Oak</t>
  </si>
  <si>
    <t>St Joseph Mercy - Ann Arbor</t>
  </si>
  <si>
    <t>Can anyone comment on Wright State? The good, bad and the ugly?</t>
  </si>
  <si>
    <r>
      <rPr>
        <rFont val="Arial"/>
        <b/>
      </rPr>
      <t>QOL</t>
    </r>
    <r>
      <rPr>
        <rFont val="Arial"/>
      </rPr>
      <t xml:space="preserve"> and resident culture, operative experience, fellowship match, </t>
    </r>
    <r>
      <rPr>
        <rFont val="Arial"/>
        <b/>
      </rPr>
      <t>research opps</t>
    </r>
  </si>
  <si>
    <t>idk about Lenox Hill but Orlando Health is not very research-focused and there's no option to take research years &lt; Can take research year(s) at Lenox Hill &lt; but it's rare at Lenox. Chief currently is first one to ever take a research year. Need to pave your own path, no help</t>
  </si>
  <si>
    <t>thx!</t>
  </si>
  <si>
    <t xml:space="preserve">St Joseph Mercy - Oakland </t>
  </si>
  <si>
    <t>NYMC</t>
  </si>
  <si>
    <r>
      <rPr>
        <b/>
      </rPr>
      <t>QOL</t>
    </r>
    <r>
      <rPr/>
      <t xml:space="preserve"> and resident culture, operative experience, fellowship match, </t>
    </r>
    <r>
      <rPr>
        <b/>
      </rPr>
      <t>reputation</t>
    </r>
    <r>
      <rPr/>
      <t>, research opps</t>
    </r>
  </si>
  <si>
    <t>&lt;- explain reasoning pls!</t>
  </si>
  <si>
    <t>ive heard that the NYMC hospitals are terrible to work in</t>
  </si>
  <si>
    <t>USF</t>
  </si>
  <si>
    <t>Anyone gets random thoughts of not matching?</t>
  </si>
  <si>
    <t>QOL, resident culture, reputation, operative experience</t>
  </si>
  <si>
    <t>yuhhh</t>
  </si>
  <si>
    <t>Yess +1</t>
  </si>
  <si>
    <t xml:space="preserve">U of Michigan </t>
  </si>
  <si>
    <t>Masochist in me sometimes looks up reddit stories about how some people interviewed and ranked ~20 programs and still didn't match :')</t>
  </si>
  <si>
    <t>Seriously, i've heard stories of people interviewing at 15+ programs and ranked all 15 only to go prelim/SOAP. Like is that common!? How can I hope to make it if they can't?</t>
  </si>
  <si>
    <t xml:space="preserve">One of the friendliest programs out there. They really want you to feel ok and well to succeed in residency. </t>
  </si>
  <si>
    <t>Some standardized questions but conversational too. Exceptional training and research.</t>
  </si>
  <si>
    <t>why negative?+2</t>
  </si>
  <si>
    <t>&lt;not the person who voted negative, but to me, some standardized questions were way too niche/difficult and felt like a checkbox more than a fun conversation. the "everyone must answer 2 tell me about a times questions before chatting" was limiting and i didnt feel like there was much time to get to connect w them. 
i was really looking forward to meeting them bc of their super friendly reputation but it was hard to see that in the 1-on-1 IV format, which def dropped them in my ranking bc i felt i couldnt "connect" with some of them even though im sure i would in person</t>
  </si>
  <si>
    <t>QOL, culture, location, operative experience</t>
  </si>
  <si>
    <t>Honestly just didn't get the hype and was kind of let down by the IV. Overall people were friendly but academic development time seemed like a scam to get more pubs for the university and clinical volume/variety is better elsewhere. Don't get me wrong I think it's still a good program but felt like I interviewed at stronger programs that weren't ranked as highly on Doximity</t>
  </si>
  <si>
    <t>&lt;-- would love to know why! &lt; Academic vs community hospital, level I trauma center, center of whole hospital system, a lot more case variety/complexity</t>
  </si>
  <si>
    <t>&lt;- why??</t>
  </si>
  <si>
    <t xml:space="preserve">U Mich - West </t>
  </si>
  <si>
    <t>UPMC Mercy</t>
  </si>
  <si>
    <t>To anyone interviewing at BIDMC (Beth Israel) in Boston, have you heard anything about a social yet? I haven't heard from them and want to make sure I'm not missing anything.</t>
  </si>
  <si>
    <t>location, prestige</t>
  </si>
  <si>
    <t>They'll send it a couple days before (1-3 days before) &lt;&lt;&lt; Thank you!!</t>
  </si>
  <si>
    <t>Mayo MN</t>
  </si>
  <si>
    <t>UMich</t>
  </si>
  <si>
    <t>fellowship match (surg onc/breast), reputation, culture</t>
  </si>
  <si>
    <t>Both great options. Slightly different cultures between the two. Mayo slightly better overall surgical reputation, but more classic hierarchical energy. Ann arbor probably a better place to live than Rochester, but honestly both places are pretty similar, so wouldn't factor that into your decision too much here. If you really want surg onc, go to Mayo- no question there. +1</t>
  </si>
  <si>
    <t xml:space="preserve">ChristianaCare </t>
  </si>
  <si>
    <t xml:space="preserve">Morristown Medical Center </t>
  </si>
  <si>
    <t xml:space="preserve">Western Michigan U </t>
  </si>
  <si>
    <t>very kind and supportive</t>
  </si>
  <si>
    <t>PD mentioned that it is his goal to make excellent surgeons that are prepared for private pratice, rural, or fellowship</t>
  </si>
  <si>
    <t>3 IVs am I cooked?</t>
  </si>
  <si>
    <t xml:space="preserve">Einstein </t>
  </si>
  <si>
    <t>IMG?&lt;DO</t>
  </si>
  <si>
    <t>No one knows your application / your situation on here. All they can tell you is overall statisitcs (which may or may not be the same as last year with this year's signals). IMO, youre better off talking to attending or advisor that knows you. Perhaps you are really strong fit for those 3 programs that sent you invite and have good shot at matching there. Not all IVs are exactly the same (for instance, home programs may like taking their own/ strong subI away performance at place might tip the scale too). Best of luck ! &lt; solid advice, best of luck to you too!!</t>
  </si>
  <si>
    <t>Trinity Health Ann Arbor</t>
  </si>
  <si>
    <t>Resident vibes were great - and most of the attendings were super friendly. I kinda had a weird PD interview but I was also near the end of the day and he just seemd really tired.</t>
  </si>
  <si>
    <t>QOL, fellowship match, reputation, culture</t>
  </si>
  <si>
    <t>Minnesota</t>
  </si>
  <si>
    <t>Why did all the interview openings get deleted 😭😭😭😭</t>
  </si>
  <si>
    <t>they were all outdated from novmeber anyway the ones left are the recent ones updated in december</t>
  </si>
  <si>
    <t>WHY?? +1</t>
  </si>
  <si>
    <t>QOL, culture, operative experience, career oppportunity</t>
  </si>
  <si>
    <t>how many ivs do u guys still have anyoe almost done</t>
  </si>
  <si>
    <t>7...+1</t>
  </si>
  <si>
    <t>UT Southwestern (UTSW)</t>
  </si>
  <si>
    <t>Got 5 left +5</t>
  </si>
  <si>
    <t>culture, mentorship, career opportunity, trauma, colorectal</t>
  </si>
  <si>
    <t>2 left +1</t>
  </si>
  <si>
    <t>3 +1</t>
  </si>
  <si>
    <t>Well organized interview day, faculty and PD knew my application. Very lowkey questions like "why surgery" and "why this program". the residents were all together at someone's house during the social and were very enthusiastic &amp; seemed to like each other. However their rotation sch is kinda weird, they do color system where youll be 2+ elective services then every 4th day your team is on trauma call as well</t>
  </si>
  <si>
    <t>Culture I guess it depends on what you value, career wise just go to doximity and rank accordingly (UTSW is better known last time I checked) &lt;&lt; nothing beats being a Parkland trained trauma surgeon imo</t>
  </si>
  <si>
    <t>peole who have a bunch left any openings anywhere? &lt; GW has 2 on 12/18, Bama has 1 on 1/3, the rest of mine are internally scheduled or disappeared from thalamus &lt;&lt;Thanks!!</t>
  </si>
  <si>
    <t>yeah the q4 trauma call is a real concern if you arent into that kinda thing</t>
  </si>
  <si>
    <t>1 left</t>
  </si>
  <si>
    <t>UC San Diego (UCSD)</t>
  </si>
  <si>
    <t>culture and career opportunity</t>
  </si>
  <si>
    <t>q8 call as interns, q4 as pgy2 and up while on trauma blocks. SICU is night float</t>
  </si>
  <si>
    <t>about 3k per year, residents said its enough for most, plus free snacks/frozen foods in resident lounge</t>
  </si>
  <si>
    <t>mentorship, research</t>
  </si>
  <si>
    <t xml:space="preserve">If anyone still has access and sees any openings please update the openings tab </t>
  </si>
  <si>
    <t>free, very close with a tunnel so you dont have to walk outside in the winter</t>
  </si>
  <si>
    <t>loupes pgy2 year, 2 conferences paid for in your 5 years</t>
  </si>
  <si>
    <t>Mayo</t>
  </si>
  <si>
    <t>U Miami</t>
  </si>
  <si>
    <t>QOL, operative experience, culture, prestige, fellowship matches,</t>
  </si>
  <si>
    <t>why positive?</t>
  </si>
  <si>
    <t>Long day(s) but pretty organized and well structured. You're really not personally responsible for the actual interviews, which there were only 2 (maybe 3?) of and interviewers were quite nice. Basic questions with a couple easy behavioral-type qs &lt; like what please</t>
  </si>
  <si>
    <t xml:space="preserve">did u get a preinterview pack or instructions? &lt;&lt; no, just get schedule when you show up &lt;&lt; they do send pre-interview gift pack with materials for the hands on activities, a letter which also gives some instructions </t>
  </si>
  <si>
    <r>
      <rPr/>
      <t xml:space="preserve">operative experience, QOL, culture, fellowship match </t>
    </r>
    <r>
      <rPr>
        <i/>
      </rPr>
      <t>+1 for this comparison; will also add life outside hospital in Rochester vs. Providence</t>
    </r>
  </si>
  <si>
    <t>Could we please add the rank spots tab?</t>
  </si>
  <si>
    <t>operative experience, QOL, culture, fellowship match</t>
  </si>
  <si>
    <t>wdym "not personally responsible for actual interviews"? also, until what time +/- is interview day- sched said tentative 12:15pm but wanted to make sure &lt;&lt; as in, you do a lot of info sessions and activities but the only one that you're actually judged by is the interview bit. So it's a long day but you only need to "perform" for a little. End time was correct &lt; thx!!</t>
  </si>
  <si>
    <t>Cleveland Clinic FL</t>
  </si>
  <si>
    <t>QOL, culture, plastics match</t>
  </si>
  <si>
    <t>No 24 hour call as interns. 12 hour Night shifts or 12 hour day shifts if on a call based rotation.</t>
  </si>
  <si>
    <t xml:space="preserve">EPIC </t>
  </si>
  <si>
    <t>1700-2000 Depending on how much call you take. They have real meals in the resident lounge such as stir fry, pulled pork, assortment of sandwiches, mac and cheese, and other meals.</t>
  </si>
  <si>
    <t xml:space="preserve">FREE </t>
  </si>
  <si>
    <t>Loupes (PGY2), 2 Attendance trips in 5 years</t>
  </si>
  <si>
    <t>U Minnesota</t>
  </si>
  <si>
    <t>anyone getting interview burnout feels like a contstant playback</t>
  </si>
  <si>
    <t>every program feels the same at this point, people weren't joking about them blurring together  +2</t>
  </si>
  <si>
    <t>Very down to earth residents</t>
  </si>
  <si>
    <t>definitely+1</t>
  </si>
  <si>
    <t xml:space="preserve">Really disorganized. Interviewers were cold. PD looked unhappy to be there. </t>
  </si>
  <si>
    <t>&lt; I didn't have this experience. I thought the PD seemed warm. Enjoyed my interviews. Thought the resident Q&amp;A sessions (night before and day of) were great +1</t>
  </si>
  <si>
    <t>CCF prelim</t>
  </si>
  <si>
    <t>Montefiore prelim</t>
  </si>
  <si>
    <t>&lt; Did the PD write this? Lol. The interview experience was horrible. +3</t>
  </si>
  <si>
    <t>progression to categorical, competitive fellowship (plastics / breast), operative experience</t>
  </si>
  <si>
    <t>&lt;Agreed, had one interviewer who did not interact with me at all. Hard to talk to, overall not a great experience. PD seemed nice but no one on one time with him.</t>
  </si>
  <si>
    <t>Reputation, QOL, operative experience, fellowship match, culture</t>
  </si>
  <si>
    <t>Colorado</t>
  </si>
  <si>
    <t>Lifestyle, culture, operative exp</t>
  </si>
  <si>
    <t>MISSOURI</t>
  </si>
  <si>
    <t>Do programs leave spots open and not invite more ppl like hca kendall has 2 openings on Monday why would they not invite more people</t>
  </si>
  <si>
    <t>Thanks!</t>
  </si>
  <si>
    <t>Surg onc and research opportunities, qol, resident culture</t>
  </si>
  <si>
    <t xml:space="preserve">PC here: my assumption is that there is either no one on their WL or they had to adjust the interview days and those 2 spots are interviewing on another day. </t>
  </si>
  <si>
    <t xml:space="preserve">Rutgers </t>
  </si>
  <si>
    <t>In general, trauma, onc, QOL, name recoginition</t>
  </si>
  <si>
    <t>Mayo(preim)</t>
  </si>
  <si>
    <t>Cleveland(Prelim)</t>
  </si>
  <si>
    <t>In general, Transition to categorical</t>
  </si>
  <si>
    <t xml:space="preserve">Does anyone have any info on Mercy Catholic in Darby, PA? </t>
  </si>
  <si>
    <t>QOL, operative experience, reputation, culture, research</t>
  </si>
  <si>
    <t xml:space="preserve">Ochsner NOLA </t>
  </si>
  <si>
    <t>SLU</t>
  </si>
  <si>
    <t xml:space="preserve">Carolinas </t>
  </si>
  <si>
    <t xml:space="preserve">Super friendly, very familiar with my app - asked some specific questions about it but overall pretty casual and just talked about the culture of the program. </t>
  </si>
  <si>
    <t xml:space="preserve">QOL, culture, autonomy, operative experience </t>
  </si>
  <si>
    <t>&lt;pls tell me why, culture at CMC is the best ive seen, tons of trauma/lots of fellowships</t>
  </si>
  <si>
    <t>Icahn Mt. Sinai (NYC)</t>
  </si>
  <si>
    <t>When do second look invitations normally go out?</t>
  </si>
  <si>
    <t>NYMC (metropolitan)</t>
  </si>
  <si>
    <t>UTN-Nashville</t>
  </si>
  <si>
    <t xml:space="preserve">got a few this past week so they're probably starting to plan them now </t>
  </si>
  <si>
    <t>KC Uni GME Consortium/St. Mary's</t>
  </si>
  <si>
    <t>which NYMC? westchester or metropolitan&lt;metro</t>
  </si>
  <si>
    <t xml:space="preserve">fellowship match with goal of trauma / crit care, operative experience, reputation, access to outdoor rec, how close-knit the residents are </t>
  </si>
  <si>
    <t>both among the best trauma programs in the country. usc maybe slightly more connected. emory a better program overall</t>
  </si>
  <si>
    <t>Mayo MN (Prelim)</t>
  </si>
  <si>
    <t>Loma Linda University (Prelim)</t>
  </si>
  <si>
    <t>Does anyone else feel like no matter how much you prepare for questions you kind of just say things and hope that it made sense based off the interviewer’s response and then proceed to spiral about your interview answers for the next day or two?</t>
  </si>
  <si>
    <t>In general, categorical match</t>
  </si>
  <si>
    <t>always &lt;3</t>
  </si>
  <si>
    <t>Yes x1000 +2</t>
  </si>
  <si>
    <t>U Missouri - Kansas City</t>
  </si>
  <si>
    <t>Mayo- you get the same training as the categoricals and have a serious chance of staying.</t>
  </si>
  <si>
    <t>telling myself it sounds organic instead of the rambling it actually is</t>
  </si>
  <si>
    <t xml:space="preserve">Faculty and residents were all very warm and friendly. Clearly knew my application well and asked personalized questions along with a few standardized questions. </t>
  </si>
  <si>
    <t xml:space="preserve"> Colorado</t>
  </si>
  <si>
    <t>EVMS</t>
  </si>
  <si>
    <t>QOL, culture, fellowship match, prestige/reputation, trauma</t>
  </si>
  <si>
    <t>How do I find the email address of the interviwers? I emailed the coordinator but havent heard back from them yet :/</t>
  </si>
  <si>
    <t>sometimes you just can't find it. if you have friends at that medical school, you can ask them to look up the email for u</t>
  </si>
  <si>
    <t>if they have publications it could be there</t>
  </si>
  <si>
    <t>What's wrong w Monte? it's a mess rotating through many different campuses, so much scut work being in NY due to unionized nurses (you place a order, then you MUST f/u (call or chat) imaging, nursing, etc. to get things done - or you draw blood, run to the lab, etc instead of nursing staff), not the best culture (no family vibe, rather you're on your own) because the program is HUGE (10 cat, 20 prelim interns) and PD doesn't even know every cat residents (-Einstein student)</t>
  </si>
  <si>
    <t xml:space="preserve">How would the PD not know the cat residents </t>
  </si>
  <si>
    <t>U Missouri- Columbia</t>
  </si>
  <si>
    <t>ty &lt;3</t>
  </si>
  <si>
    <t>Mayo FL prelim</t>
  </si>
  <si>
    <t xml:space="preserve">progression to categorical,  competitive fellowship </t>
  </si>
  <si>
    <t>does anyone know the GW interview dates?</t>
  </si>
  <si>
    <t xml:space="preserve">Emory </t>
  </si>
  <si>
    <t>next wednesday and Jan 8th</t>
  </si>
  <si>
    <t>Mayo -  Rochester</t>
  </si>
  <si>
    <t>Culture, fellowship match, CT surgery, QOL</t>
  </si>
  <si>
    <t>There's one next Wednesday</t>
  </si>
  <si>
    <t>Brown Prelim</t>
  </si>
  <si>
    <t xml:space="preserve">UPenn Prelim </t>
  </si>
  <si>
    <t xml:space="preserve">Operative Experience, Chance of Categorical </t>
  </si>
  <si>
    <t>Wash U</t>
  </si>
  <si>
    <t>(initial virtual interview) PD and APD were warm and friendly. Had clearly read my application.</t>
  </si>
  <si>
    <t>did anyone get an invite from Wyckoff heights? i still havent gotten the zoom link and my interview is on the 16th of december</t>
  </si>
  <si>
    <t xml:space="preserve">Agree, PD is new and seems awesome. Cited my essays/application and cares deeply about the residency. </t>
  </si>
  <si>
    <t>Yes I felt very valued during these virtual interviews! For screening interviews in general though, I never feel like I get a good idea of what the residency is actually like &lt; +1 agreed! wonderful experience and loved the people but i had specific questions that my interviewer was unable to answer for me but I had already had my PD interview so there was no one to ask :/</t>
  </si>
  <si>
    <t>Any impressions from in person interview day?</t>
  </si>
  <si>
    <t>Culture, fellowship match (peds), QOL, prestige/reputation</t>
  </si>
  <si>
    <t>Blown away by the interview day. (+1)</t>
  </si>
  <si>
    <t>Fellowship match, CT surgery, prestige, culture, operative experience</t>
  </si>
  <si>
    <t>why??? &lt;+1</t>
  </si>
  <si>
    <t>when do programs submit their ranks?</t>
  </si>
  <si>
    <t>well some interviews end in December, when do they submit rank?</t>
  </si>
  <si>
    <t>QOL, culture, fellowship match, prestige/reputation, autonomy</t>
  </si>
  <si>
    <t>Just another applicant, but I have been told that programs submit at different times depending on when their interview season ends</t>
  </si>
  <si>
    <t>&lt; each program submits their ranks at different times... most submit them before second looks if they are hosting second looks</t>
  </si>
  <si>
    <t xml:space="preserve">some programs told me they are submitting at the beginning of Feb </t>
  </si>
  <si>
    <t>MISSISSIPPI</t>
  </si>
  <si>
    <t>Harbor-UCLA</t>
  </si>
  <si>
    <t>Henry Ford Providence</t>
  </si>
  <si>
    <t>U of Miami/Jackson</t>
  </si>
  <si>
    <t>supportive PD and good surgical skills and cv to match into a categorical GS position</t>
  </si>
  <si>
    <t xml:space="preserve">matching categorical next year, operative experience </t>
  </si>
  <si>
    <t>SOMEONE HELP PLEASE!!</t>
  </si>
  <si>
    <t xml:space="preserve">any programs that are known to send prelim ii that havent yet ? </t>
  </si>
  <si>
    <t>nyu?</t>
  </si>
  <si>
    <t>washu emory?</t>
  </si>
  <si>
    <t>BSW temple (TX)</t>
  </si>
  <si>
    <t xml:space="preserve">BUMC </t>
  </si>
  <si>
    <t xml:space="preserve">In general, QOL, culture, autonomy </t>
  </si>
  <si>
    <t>dalls is much better QOL than temple but be aware of the need to commute a lot for that program</t>
  </si>
  <si>
    <t>Keesler</t>
  </si>
  <si>
    <t>Einstein jefferson</t>
  </si>
  <si>
    <t xml:space="preserve">montefiore </t>
  </si>
  <si>
    <t xml:space="preserve">any spots at Mount Sinai Miami Beach </t>
  </si>
  <si>
    <t>no :( just interviewed with them and they said they have their last interview next saturday and its booked. unless someone drops it before then! hope someone does for your sake &lt;3</t>
  </si>
  <si>
    <t>they do it internally so no one knows how many spots they have</t>
  </si>
  <si>
    <t>Mayo florida</t>
  </si>
  <si>
    <t>can anyone comment on why georgetown over baylor?</t>
  </si>
  <si>
    <t>If a program invites you for a "second look" is this considered a second interview (ie if you do not attend you will not be considered for ranks) or is it truly so you have the opportunity to spend more time with the residents/get a feel for the program?</t>
  </si>
  <si>
    <t>U Mississippi</t>
  </si>
  <si>
    <t>PC here: unless they tell you it's mandatory, it really truly is for you to come see the location/program!</t>
  </si>
  <si>
    <t>It is usually after the program submits rank so it does not affect your ranking</t>
  </si>
  <si>
    <t xml:space="preserve">very young faculty, very large hospital in a very resource-limited area. huge transplant service surprisingly and great peds match. no breast surgeon, 1 colorectal surgeon. sounds very busy. felt like a hidden gem but might be biased bc it was in-person. </t>
  </si>
  <si>
    <t>&lt;= This</t>
  </si>
  <si>
    <t>NYU BK</t>
  </si>
  <si>
    <t>NYULI</t>
  </si>
  <si>
    <t>Fellowship match, QOL</t>
  </si>
  <si>
    <t>what is the vibe at creighton phoenix? idk if i can afford to fly there, dropping it would give me 14 programs to rank (1 of those seems like i may not rank it based on malignancy). i am tempted to drop creighton, help!</t>
  </si>
  <si>
    <t>QOL, operative experience, reputation, culture, research, fellowship match (surg onc)</t>
  </si>
  <si>
    <t xml:space="preserve">You could definitely drop 1. 14 is more than enough to match with </t>
  </si>
  <si>
    <t>why? &lt; yale for operative experience, CC for fellowship match/QOL/research</t>
  </si>
  <si>
    <t xml:space="preserve">I think 14 is a good number </t>
  </si>
  <si>
    <t>how about 13 ;/. anyone know much about this program re is it worth keeping?</t>
  </si>
  <si>
    <t>It's a good program within the area of PHX but if you cant afford or at a good number of interviews, it definitely not worth spending more money for the in person.</t>
  </si>
  <si>
    <t xml:space="preserve">i think you're in a good spot bro&lt;&lt; LMAO right?? like be so fucking fr and drop that shit </t>
  </si>
  <si>
    <t>U Miami / Jackson Health</t>
  </si>
  <si>
    <t>MONTANA</t>
  </si>
  <si>
    <t xml:space="preserve">Training, culture, fellowship match, operative experience </t>
  </si>
  <si>
    <t>LSU Shreveport</t>
  </si>
  <si>
    <t>UMKC</t>
  </si>
  <si>
    <t>Training, culture</t>
  </si>
  <si>
    <t>what are good questions to ask at interviews please help</t>
  </si>
  <si>
    <t>NYU</t>
  </si>
  <si>
    <t>Lehigh Valley</t>
  </si>
  <si>
    <t>reputation, Diversity in patient population, QOL</t>
  </si>
  <si>
    <t>Resident here who has done some interviews. First impressions matter to a stupid degree. Things I've heard attendings say based on a 20 minute interview (paraphrasing): she seems dull, he sounds like he rehearsed too much, she seems like she would cry in the OR. Godspeed to you all.</t>
  </si>
  <si>
    <t xml:space="preserve">Rochester has excellent fellowship match and well connected faculty. Patient diversity is what you would expect from a midsized former rust belt city - mixture of affluent and poor. Large black and latin population. Migrant care from farm towns in the finger lakes region, largest deaf population in the east coast. Excellent quality of life with high purchasing power for residents for homes, groceries, experiences, etc. </t>
  </si>
  <si>
    <t>Ouch</t>
  </si>
  <si>
    <t>U of Montana</t>
  </si>
  <si>
    <t xml:space="preserve">Lmao +3 </t>
  </si>
  <si>
    <t xml:space="preserve">Zucker Staten Island </t>
  </si>
  <si>
    <t>University of Rochester</t>
  </si>
  <si>
    <t xml:space="preserve">now having additional anxiety lol &lt; +2 so fuck me then </t>
  </si>
  <si>
    <t>prestige/reputation, Diversity in patient population, QOL, trauma exposure</t>
  </si>
  <si>
    <t xml:space="preserve">LMAO </t>
  </si>
  <si>
    <t>^^^</t>
  </si>
  <si>
    <t xml:space="preserve">&lt; name and shame pls &lt;3 </t>
  </si>
  <si>
    <t>well that made me s*icidal &lt;3   +1 spiraling</t>
  </si>
  <si>
    <t>^^^, lots of blunt and penetrating trauma and is the regions only L1 trauma center. Everything from guns/knives to snowmobiles and industrial accidents</t>
  </si>
  <si>
    <t>UConn in a better location IMO, diverse pt population in Hartford, and operating at HH is very high volume with lots of trauma</t>
  </si>
  <si>
    <t>Westchester Medical Center</t>
  </si>
  <si>
    <t>Allegheny</t>
  </si>
  <si>
    <t>Has anyone heard from UTMB regarding trivia night links and interview schedules? It said it was supposed to be sent out today.</t>
  </si>
  <si>
    <t>Alleghany has a really strong program, cost of living in the area is better too</t>
  </si>
  <si>
    <t>&lt;- your interview in January? I still haven't been notified about a confirmed interview date/: I asked for Jan, in-person</t>
  </si>
  <si>
    <t xml:space="preserve">Allegheny </t>
  </si>
  <si>
    <t>My interview is next month, but I called the coordinators office and they were able to help me pretty quickly</t>
  </si>
  <si>
    <t>UBuffalo</t>
  </si>
  <si>
    <t xml:space="preserve">&lt; honestly, I think the coordinators might be a lil behind on things. Lol when I called I got that kinda vibe from what they said to me </t>
  </si>
  <si>
    <t>NEBRASKA</t>
  </si>
  <si>
    <t>Vassar Brothers Medical</t>
  </si>
  <si>
    <t>Rotated at Vassar, they get no trauma</t>
  </si>
  <si>
    <t>How do you manage interviews that are just for candidates to ask questions?</t>
  </si>
  <si>
    <t>uh ask them questions &lt; ... thanks</t>
  </si>
  <si>
    <t>Northwestern</t>
  </si>
  <si>
    <t xml:space="preserve">is this common? +1 yes esp ones with PD and APD </t>
  </si>
  <si>
    <t>Operative autonomy &amp; volume, trauma experience, resident/faculty culture, QOL &amp; COL (LA vs Chicago), prestige/reputation, well-rounded training, goal fellowship trauma/SCC</t>
  </si>
  <si>
    <t>what is truly the purpose of this style of interview if it's solely to ask questions to faculty/residents rather than them asking you anything? We can ask them questions all day if we really want to because we have a big decision to make but on their end is this just an assumption that their rank lists are pretty much already made and they're just weeding out those uninterested/unprofessional/dull or are they just asking so they can make conversations as tangents of whatever we ask?</t>
  </si>
  <si>
    <t xml:space="preserve">Strong trauma program. Will train at LA General, one of the biggest county programs in the country. </t>
  </si>
  <si>
    <t>Trauma experience at LA General &gt;&gt;&gt;</t>
  </si>
  <si>
    <t>UCSF EB</t>
  </si>
  <si>
    <t xml:space="preserve">UCSD </t>
  </si>
  <si>
    <t xml:space="preserve">operative autonomy, culture categorical match </t>
  </si>
  <si>
    <t>Creighton</t>
  </si>
  <si>
    <t xml:space="preserve">INOVA </t>
  </si>
  <si>
    <t>any spots available at any program check from thalamus it usually shows?? pls update struggling here second match cycle</t>
  </si>
  <si>
    <t>Be w family! +1</t>
  </si>
  <si>
    <t xml:space="preserve">Please if you can check anywhere and update!! </t>
  </si>
  <si>
    <t xml:space="preserve">data is gonna be pretty spotty because once you complete an interview for a program in thalamus you can't see availability for it anymore, so the pool of people able to check is getting quite small now </t>
  </si>
  <si>
    <t>Corewell Grand Rapids</t>
  </si>
  <si>
    <t>Culture, friends in Grand Rapids, operative experience, operative autonomy, QOL</t>
  </si>
  <si>
    <t>GR-support system is important. Very new facilities. Adding residents to program for next year. Seems like always getting bigger and better.</t>
  </si>
  <si>
    <t xml:space="preserve">Be with friends and family. GR &gt; RO. </t>
  </si>
  <si>
    <t>Mayo Rochester</t>
  </si>
  <si>
    <t>any one that got off the ascention st vincent waitlist?</t>
  </si>
  <si>
    <t>Do you think there are still chances for drops</t>
  </si>
  <si>
    <t>Nah I guess too many people got WL.</t>
  </si>
  <si>
    <t>Maybe, but slim cause there's basically about 4.5 weeks in the interview cycle left</t>
  </si>
  <si>
    <t>U Nebraska</t>
  </si>
  <si>
    <t>Vassar brothers Medical</t>
  </si>
  <si>
    <t>dept chair made off color remarks about trans/genderfluid applicants</t>
  </si>
  <si>
    <t>&lt; this is good in terms of you knowing what the culture is like if this affects you</t>
  </si>
  <si>
    <t>interviewed with a surgeon that was on trial for manslaighter and just found guilty</t>
  </si>
  <si>
    <t>&lt;&lt; OMG, NO WAY!</t>
  </si>
  <si>
    <t>PD asked me why I applied to both their prelim and categorical and if I would do prelim there (during my categorical interview). Does this mean he just wants me to be a prelim instead?</t>
  </si>
  <si>
    <t>&lt; Probably curious why you didnt apply categorical only.</t>
  </si>
  <si>
    <t>seems like danbury</t>
  </si>
  <si>
    <t>Swedish</t>
  </si>
  <si>
    <t>does he not know we're all playing the game +2</t>
  </si>
  <si>
    <t>Virginia Mason</t>
  </si>
  <si>
    <t>There is a sense of desperation that can be given off by applying for both prelim and cat at the same program. Usually prelim spots go out in SOAP (not all of them, but a good portion of them). Some programs select candidates from their categorical interviews to consider for prelim positions.</t>
  </si>
  <si>
    <t>Interesting, didn't realize that was even a thing. Applied both since I want to end up in the region. I told him I obviously prefer categorical, but if I got prelim, I know the program would take prelims as categoricals in the future.</t>
  </si>
  <si>
    <t>Cottage SB</t>
  </si>
  <si>
    <t>NEVADA</t>
  </si>
  <si>
    <t>University of Washinton Seattle</t>
  </si>
  <si>
    <t>QoL, operative experience</t>
  </si>
  <si>
    <t xml:space="preserve"> why? just the name?</t>
  </si>
  <si>
    <t>anyone knows at what time is the NJMS social today? I have the zoom link but idk the time lol</t>
  </si>
  <si>
    <t>QoL, operative experience, fellowship match</t>
  </si>
  <si>
    <t>Has there ever been a situation where a prelim applicant is ever considered for categorical after a great interview? Or is this impossible lol (a girl can dream)</t>
  </si>
  <si>
    <t>&lt; a PC answered same question below and said "probably not"</t>
  </si>
  <si>
    <t>&lt; It can happen, this must come from the PD. You could ask something like "I saw this IV marked as prelim, but I applied to both tracks, should I rank both"?</t>
  </si>
  <si>
    <t>HCA-Sunrise</t>
  </si>
  <si>
    <t>The PD was nice, asked the right questions, and answered my questions. The folks were very engaging in the social. The Interviewers read the application and asked questions relevant to it.</t>
  </si>
  <si>
    <t>Mississippi</t>
  </si>
  <si>
    <t>Training, reputation, fellowship match, culture, operative autonomy and volume, trauma exposure</t>
  </si>
  <si>
    <t>Everyone who interviewed were Indian. Not that it matters but culture felt weird, not sure this is worth second look to rank. I need to access after all interviews</t>
  </si>
  <si>
    <t>Just look at the alum matches on the mississippi website. Consistently matching peds at big name programs. Seems like a lot of autonomy. Some residents graduating with over 2000 cases and over 30% penetrating trauma</t>
  </si>
  <si>
    <t>Mount Sinai</t>
  </si>
  <si>
    <t>QoL (NYC is too big city vs New Haven maybe too small city?), reputation, fellowship match, culture</t>
  </si>
  <si>
    <t xml:space="preserve">What programs have the best salary and benefits? </t>
  </si>
  <si>
    <t>&lt;Google</t>
  </si>
  <si>
    <t>New haven has more than enough to do on a resident schedule and if you're ever looking for more, NYC is an easy train ride away</t>
  </si>
  <si>
    <t>remember to take into account cost of living. Salary needed to live in the Bay Area or NYC would be different from the salary needed to live in the middle of nowhere</t>
  </si>
  <si>
    <t>Harvard, NYC and CA programs &gt; Yale is up there too</t>
  </si>
  <si>
    <t>UKY</t>
  </si>
  <si>
    <t>operative experience, fellowship match, reputation, culture</t>
  </si>
  <si>
    <t xml:space="preserve">trauma heavy. could be good but UNLV (the school) and their hospital (UMC) are different orgs and are fighting which is effecting the residency. ie they took away access to the status board for the residency so we couldnt even see when cases are going.  </t>
  </si>
  <si>
    <t>I saw UChicago sent a rejection wave and I didn't get a rejection-- does this mean I'm likely on some kind of internal waitlist? Would it be a good idea to send an LOI? I didn't signal them tho.</t>
  </si>
  <si>
    <t>&lt; years prior UChigago sent out multiple rounds of rejections. Howecer, LOI probably wouldnt hurt. You never know!</t>
  </si>
  <si>
    <t xml:space="preserve">pediatric surgery fellowship match, reputation, culture, location </t>
  </si>
  <si>
    <t>I'm from Boston/not sure that I'd enjoy living in 
Palo Alto but I'm also interested in peds surg 
and know stanford is probably stronger in this</t>
  </si>
  <si>
    <t>Valley Hospital Las Vegas</t>
  </si>
  <si>
    <t>Operative experience, program culture, QOL in Orange vs Providence (single, no kids, have nvr lived outside midwest), interested in trauma/crit care vs. CT and medical/surgical education</t>
  </si>
  <si>
    <t>does anyone know how long the mount sinai interview day is? trying to get train tickets sorted out lol</t>
  </si>
  <si>
    <t>it says we'll be done by 4p!  &lt; ty! hoping they send detailed sched sooner than EOD on the 12th lol</t>
  </si>
  <si>
    <t>cedars</t>
  </si>
  <si>
    <t>QOL/culture, op experience, match - interested in peds rn</t>
  </si>
  <si>
    <t xml:space="preserve">people are nice, but seems very low energy. very transparent about probation (seems like it was due to racial slurs targeted towards an intern by hospital staff) and they dealt with it and are making changes. i don't feel like it has the opportunities that larger community or academic program have. probably will not rank even though it seems like the residents are like family/have comraderie. </t>
  </si>
  <si>
    <t>weird vibes, im not sure if they read my app</t>
  </si>
  <si>
    <t>culture, QOL, mentorship, op experience</t>
  </si>
  <si>
    <t>I thought it wasn't true but programs can submit their rank list as early as first week of February?? Crazy.</t>
  </si>
  <si>
    <t>&lt;&lt; yes i think most programs submit their ranks before march</t>
  </si>
  <si>
    <t>Baylor College of Medicine (houston)</t>
  </si>
  <si>
    <t>QoL and culture, Prestige/Reputation</t>
  </si>
  <si>
    <t xml:space="preserve">some even finshed interviewing already </t>
  </si>
  <si>
    <t>https://www.nrmp.org/match-calendars/programs-institutions/</t>
  </si>
  <si>
    <t>Cooper University</t>
  </si>
  <si>
    <t>NEW HAMPSHIRE</t>
  </si>
  <si>
    <t>KU</t>
  </si>
  <si>
    <t>Nebraska</t>
  </si>
  <si>
    <t>QOL, culture, prestige, research</t>
  </si>
  <si>
    <t>QOL, culture, fellowship match, reputation, lifestyle</t>
  </si>
  <si>
    <t xml:space="preserve">Miami </t>
  </si>
  <si>
    <t>QOL, exposure, fellowship, in general, Prestige</t>
  </si>
  <si>
    <t>Medstar Baltimore</t>
  </si>
  <si>
    <t>They can always change their ranks even if they submitted right? Just as long it is before the due date. &lt;&lt; PC here - yes, we can change it up until the final date. but in my experience programs don't really do this unless something big comes up. i think that for most of us, once it's been submitted it's off our plate and we are focused on starting to prep for match day.</t>
  </si>
  <si>
    <t>Ascension/Saint Joseph</t>
  </si>
  <si>
    <t>Penn</t>
  </si>
  <si>
    <t>In the following order: QOL, Clinical training, Transplant exposure, research opportunities, life outside of the hospital,  dating</t>
  </si>
  <si>
    <t>&lt; Not sure why anyone would put Penn &gt; Vanderbilt for transplant exposure. Vandy the clear winner. &gt; Definitely not when thinking about whos running penn transplant now.</t>
  </si>
  <si>
    <t>Dartmouth-Hitchcock Medical Center</t>
  </si>
  <si>
    <t xml:space="preserve">could you guys update the cat interview calendar page for any invites you have for dec/jan </t>
  </si>
  <si>
    <t>So good. Everyone was so nice, PD is amazing. They know the applications so well :') +1</t>
  </si>
  <si>
    <t>&lt; 100% agree. PD clearly cares about residents. 1 hour talk about culture +2</t>
  </si>
  <si>
    <t>Small program but very close to each other</t>
  </si>
  <si>
    <t>PD is a gem +2</t>
  </si>
  <si>
    <t>QOL, culture, fellowship match (particularly CT), prestige/reputation, autonomy</t>
  </si>
  <si>
    <t>can anyone who interviewed at Abrzao Health in Glendale, AZ let me know what time the day ended please &amp; thank you!</t>
  </si>
  <si>
    <t>around 1 pm &lt;&lt; thank you!</t>
  </si>
  <si>
    <t>Vassar Brothers</t>
  </si>
  <si>
    <t>NEW JERSEY</t>
  </si>
  <si>
    <t>QOL, operative expereince, fellowship match(trauma, cardiac, surg onc), autonomy, supportive culture, dating, +/- reputation/prestige</t>
  </si>
  <si>
    <t>Bro is this even a question lol  &lt; why?? &lt; Cornell is leagues ahead of Brown, that's like comparing Harvard to BU or something</t>
  </si>
  <si>
    <t xml:space="preserve">NYU </t>
  </si>
  <si>
    <t>QOL, culture, fellowhip match (cardiac), reputation/national prestige(hope to move around nationally for fellowship/attendinghood), research</t>
  </si>
  <si>
    <t>Haven't heard good things about NYUs cardiac program</t>
  </si>
  <si>
    <t>Just out of curiosity, what programs have you interviewed with that you would rather SOAP than rank and end up matching into?</t>
  </si>
  <si>
    <t>The new york ones</t>
  </si>
  <si>
    <t>MAHEC</t>
  </si>
  <si>
    <t>QOL, fellowship match, family friendly area/community</t>
  </si>
  <si>
    <t>why&gt;&gt;not OP but likely because NY programs tend to me more malignant and overwork residents</t>
  </si>
  <si>
    <t>MAHEC is awesome</t>
  </si>
  <si>
    <t>QOL and resident culture, operative experience, fellowship match, reputation, research opps</t>
  </si>
  <si>
    <t>Memorial Healthcare Fl</t>
  </si>
  <si>
    <t>UTRGV and UT tyler iv impressions anyone? Hopkins interview experience?</t>
  </si>
  <si>
    <t>are there any openings at hopkins prelim</t>
  </si>
  <si>
    <t xml:space="preserve">Atlantic Health (Morristown) </t>
  </si>
  <si>
    <t>&lt;-why</t>
  </si>
  <si>
    <t xml:space="preserve">QOL and resident culture </t>
  </si>
  <si>
    <t xml:space="preserve">all the residents seem like they're friends. Faculty attentive to resident feedback.  &gt;&gt; there wasn't a meet and greet or a resident room?&gt; what? i had a resident room at the end of my interview day. </t>
  </si>
  <si>
    <t xml:space="preserve">Texas A&amp;M - Scott &amp; White </t>
  </si>
  <si>
    <t>Anyone able to switch Southwest consortium? I have 12/12 but can switch to 12/11 or 12/13. Thank you!</t>
  </si>
  <si>
    <t xml:space="preserve">NYMC (Metro) </t>
  </si>
  <si>
    <t>Training, culture, fellowship match, operative experience</t>
  </si>
  <si>
    <t xml:space="preserve">tread carefully. the private group (summit medical group) which is a significant amount of cases, uses us like PAs and nurses. just retract or bedside for all their cases. their thoracic service assaulted residents in the past. </t>
  </si>
  <si>
    <t>any one get anything today?</t>
  </si>
  <si>
    <t>Nope +1</t>
  </si>
  <si>
    <t>QOL, resident culture, research, surg onc exposure, fellowship match</t>
  </si>
  <si>
    <t xml:space="preserve">Cooper Med School Rowan </t>
  </si>
  <si>
    <t>Case Western/UH</t>
  </si>
  <si>
    <t>Very nice residents and even nicer attendings. They match competitively for fellowship. Lots of operative volume and huge emphasis on wellness</t>
  </si>
  <si>
    <t xml:space="preserve">Montefiore </t>
  </si>
  <si>
    <t xml:space="preserve">Jefferson Einstein </t>
  </si>
  <si>
    <t xml:space="preserve">Prelim to categorical position </t>
  </si>
  <si>
    <t>Prepare for these questions to be answered in less than 5 minutes: 
1. Give one word that explains you. 
2. If you admire one surgeon, who and why?. 
This was in the UAB interview today, and I am glad one resident mentioned this in social yesterday about 5 minutes Chief interview.</t>
  </si>
  <si>
    <t>Pitt</t>
  </si>
  <si>
    <t>QOL, culture/camaraderie, fellowship, reputation</t>
  </si>
  <si>
    <t xml:space="preserve">Hackensack University Medical Center </t>
  </si>
  <si>
    <t>Great program. State of the art technology and PD cares a lot about the residents.</t>
  </si>
  <si>
    <t>Have the newly accredited programs sent out IIs? I don't see all of them on the list</t>
  </si>
  <si>
    <t>QOL, resident culture, faculty mentorship, fellowship, operative experience</t>
  </si>
  <si>
    <t>any program with categorical spots left?? community/academic any....struggling here</t>
  </si>
  <si>
    <t>Same :(</t>
  </si>
  <si>
    <t>resident culture, operative experience, prelim chances to match categorical</t>
  </si>
  <si>
    <t>Hackensack UMC (Palisades)</t>
  </si>
  <si>
    <t>Cleveland Clinic Ohio</t>
  </si>
  <si>
    <t>Great questions. Could tell there was real iterest in getting to know the applicant</t>
  </si>
  <si>
    <t>Any reason why? Is Mayo Jax bad? Had heard CCF OR exp is not that good due to having too many fellows..</t>
  </si>
  <si>
    <t xml:space="preserve">Mayo Jax has an excellent operative experience. It also helps that there are no fellows stealing your cases. </t>
  </si>
  <si>
    <t>Does anyone know the II dates for NYMC please?</t>
  </si>
  <si>
    <t>12/14, 1/4, 1/11</t>
  </si>
  <si>
    <t>BMC/Boston University</t>
  </si>
  <si>
    <t xml:space="preserve">Hoboken  UMC </t>
  </si>
  <si>
    <t>patient populations, fellowship match, operative diversity/experience</t>
  </si>
  <si>
    <t>Louiville</t>
  </si>
  <si>
    <t>reputation, QOL</t>
  </si>
  <si>
    <t>what affects what spot they will rank you?</t>
  </si>
  <si>
    <t xml:space="preserve">Medstar (Baltimore) </t>
  </si>
  <si>
    <t xml:space="preserve">BSW (Temple, Tx) </t>
  </si>
  <si>
    <t>Everything in your app + interview day performance + if they know you</t>
  </si>
  <si>
    <t>Training, culture, fellowship match,
 operative experience</t>
  </si>
  <si>
    <t>UC Riverside</t>
  </si>
  <si>
    <t xml:space="preserve">Inspira, Vineland </t>
  </si>
  <si>
    <t>Westchester NYMC</t>
  </si>
  <si>
    <t>Prelim to categorical position , culture , faculty mentorship, support</t>
  </si>
  <si>
    <t>how much does an interview affect rank?</t>
  </si>
  <si>
    <t>50-70%</t>
  </si>
  <si>
    <t>Any reasons why?</t>
  </si>
  <si>
    <t>prelim to categorical, facultyy mentorship, culture</t>
  </si>
  <si>
    <t xml:space="preserve">Is it better to book the early or late iv dates if all are available pls urgent </t>
  </si>
  <si>
    <t xml:space="preserve">Jersey Shore University </t>
  </si>
  <si>
    <t>IMO good to aim for middle of your IV schedule (whatever that looks like). Programs themselves only have 4-5 IV days so it doubt it has an effect directly for them - rather what energy you have to bring to the interview by that point.</t>
  </si>
  <si>
    <t>Thank you for the reply dont really have a middle since they are 2 hahah</t>
  </si>
  <si>
    <t>Maybe prioritize the one you think looks like a better fit to be second? Best of luck!</t>
  </si>
  <si>
    <t>PC here: literally no difference to us when you interview (meaning interviewing later/earlier doesn't impact your rank)</t>
  </si>
  <si>
    <t>Thank u</t>
  </si>
  <si>
    <t xml:space="preserve">Rutgers Health/Community Medical Center Program, Toms River NJ </t>
  </si>
  <si>
    <t>Prelim to categorical conversion</t>
  </si>
  <si>
    <t>Please explain</t>
  </si>
  <si>
    <t>U of New Mexico</t>
  </si>
  <si>
    <t>Prelim to categorical conversion, have family in new york tho</t>
  </si>
  <si>
    <t xml:space="preserve">Training, culture, UCSD is closer to family </t>
  </si>
  <si>
    <t>did UTSW send prelim?</t>
  </si>
  <si>
    <t>Just now+1</t>
  </si>
  <si>
    <t>Cooper University Hospital</t>
  </si>
  <si>
    <t>hofstra northwell</t>
  </si>
  <si>
    <t xml:space="preserve">Rutgers NJMS </t>
  </si>
  <si>
    <t>One of the interviewing attendings gave bad, BAD vibes&lt;&lt; pls do share more detail in here or in the name and shame thread</t>
  </si>
  <si>
    <t>got more rejections than invites lol ++2</t>
  </si>
  <si>
    <t>): i'm sorry friend. sending all of the good vibes to you - it only takes one program ranking you #1 to be successful!! &lt;&lt; thank you for the kind words</t>
  </si>
  <si>
    <t>Jefferson Einstein (PA)</t>
  </si>
  <si>
    <t>&lt;&lt; Most people have more rejections than invites when include silent rejections. Even the best applicants are not great fits everywhere. +1</t>
  </si>
  <si>
    <t>Training, culture, prestige</t>
  </si>
  <si>
    <t>]\\\\\\\\\\\\</t>
  </si>
  <si>
    <t>Not sure how I did or am doing on these interview trails, and the thought of not matching due to performance or stats haunts me every night.</t>
  </si>
  <si>
    <t xml:space="preserve">Rutgers Robert Wood Johnson </t>
  </si>
  <si>
    <t>Same</t>
  </si>
  <si>
    <t>Mayo (Rochester)</t>
  </si>
  <si>
    <t>Blown away by their emphasis on healthy communication styles within teams and departments, driven by the PDs and senior faculty, each resident does a DiSC profile at the start of their residency which gives a report of their communication style, including comparison reports with other team members and attendings and notifies of potential clashes in communciation styles and ways to troubleshoot communicating in those instances - feels far more in tune with holistic development of excellent surgeons and openly addressing all contributing factors to that. Their emphasis on leadership development and mentorship was also notable - PDs and senior staff were incredibly kind and the supportive work culture among residents was palpable in both the residency mixer and on interview day in the breakout rooms... Far more impressed than I had expected to be in this program [everyone who interviewed me had also clearly read my application in depth which felt quite validating]</t>
  </si>
  <si>
    <t>QOL, resident culture, fellowship match, operative experience</t>
  </si>
  <si>
    <t>can anyone trade II with me for UPMC?? I have Jan 15th and need December 18th</t>
  </si>
  <si>
    <t>UPMC Main or UPMC Mercy?, I have UPMC mercy and would like to swap those days</t>
  </si>
  <si>
    <t>UPMC Mercy!! please drop your number and I will reach out:)!!!!!</t>
  </si>
  <si>
    <t>Can anyone explain why?</t>
  </si>
  <si>
    <t>Hey - I ended up dropping it, wishing you the best!</t>
  </si>
  <si>
    <t xml:space="preserve">St. Joseph, Paterson </t>
  </si>
  <si>
    <t>culture, reputation, fellowship match, QOL</t>
  </si>
  <si>
    <t>QOL, fellowship match, reputation</t>
  </si>
  <si>
    <t>Can someone add Lakeland Regional in Florida to IV impressions?</t>
  </si>
  <si>
    <t>Uconn</t>
  </si>
  <si>
    <t>QOL, fellowship match, research opportunities, resident culture</t>
  </si>
  <si>
    <t>Any openings for VCU? and have they released their prelim yet?</t>
  </si>
  <si>
    <t>no openings unfortunately.</t>
  </si>
  <si>
    <t>Holy Name</t>
  </si>
  <si>
    <t>Thank you for the update! I signalled the program, still didn't get an invite, even prelim:(</t>
  </si>
  <si>
    <t xml:space="preserve">Overall the interview went great , very conversational and they genuinely seem to want to teach and want to have an overall mentorship filled program </t>
  </si>
  <si>
    <t>IS ANYONE GOING TO DROP ECU 1/07/24??????</t>
  </si>
  <si>
    <t xml:space="preserve">Danbury </t>
  </si>
  <si>
    <t>Virtua Health</t>
  </si>
  <si>
    <t xml:space="preserve">Good ecperience. The social was very long (2 hrs) - I think 1 hr is more than enough to get a feel of the program. High case volume. The PD is trying to make his program more academic. Still a new program but I think has a great potential. </t>
  </si>
  <si>
    <t xml:space="preserve">Lenox Hill </t>
  </si>
  <si>
    <t xml:space="preserve">Overall </t>
  </si>
  <si>
    <t xml:space="preserve">Any openings at Danbury </t>
  </si>
  <si>
    <t>q3-q4</t>
  </si>
  <si>
    <t>NEW MEXICO</t>
  </si>
  <si>
    <t>Anyone have any info on the USF/HCA Brandon program? &lt; Same any info? The website is kida scarce</t>
  </si>
  <si>
    <t>Competitive fellowship match, prestige, research, resident culture</t>
  </si>
  <si>
    <t>UNM</t>
  </si>
  <si>
    <t>UMich by a mile</t>
  </si>
  <si>
    <t>Why? Is Umich a super prestigious program? &lt; yes very much so (i hope you're kidding by asking lol)</t>
  </si>
  <si>
    <t xml:space="preserve">Friendly environment and attendings. PD is really open and payed attention to having a good conversation. Residents seemed well taken care of and happy. </t>
  </si>
  <si>
    <t>training quality, competitive fellowship match, prestige, culture</t>
  </si>
  <si>
    <t>UNC by a mile</t>
  </si>
  <si>
    <t>Does anyone know anything about the "activity" session at MCLAREN GREATER LANSING?</t>
  </si>
  <si>
    <t>NEW YORK</t>
  </si>
  <si>
    <t>QOL, culture, fellowship, mentorship, operative experience</t>
  </si>
  <si>
    <t>ba</t>
  </si>
  <si>
    <t>&lt;-- me. One link was invalid and the other leads to a zoom room that hasnt started. I emailed the PC but havent heard back yet</t>
  </si>
  <si>
    <t>UMass Baystate</t>
  </si>
  <si>
    <t xml:space="preserve">Same! +3 Glad it isnt just me. </t>
  </si>
  <si>
    <t>QOL, fellowship match, resident culture, operative experience</t>
  </si>
  <si>
    <t>Just emailed the PC too. &lt;still nada for me, anyone else hear back? I'm in! &lt;Just got in!</t>
  </si>
  <si>
    <t xml:space="preserve">Albany Med Center </t>
  </si>
  <si>
    <t>QOL, culture, operative experience, prestige/reputation, fellowship match, family friendly</t>
  </si>
  <si>
    <t>Prisma Health Columbia</t>
  </si>
  <si>
    <t>What are the ii dates for UC Davis? pls!</t>
  </si>
  <si>
    <t>QOL, culture, operative experience, living in Knoxville vs Columbia, I have family in Columbia</t>
  </si>
  <si>
    <t>Resident Meet and Greet = Patryk and Gabe forever (you'll get it), great vibes, super friendly, really seemed like they liked each other. +1 I was there too at this social, and everyone was so friendly and joking around while eating pizza. great vibes</t>
  </si>
  <si>
    <t xml:space="preserve">The attendings I met were nice but my interviewing resident did not seem like she wanted to be there. It could be that she was just tired as it was one of the later interviews but that was my impression. I also didn't like that only half of the interviewees actually interviewed with the PD. </t>
  </si>
  <si>
    <t>operative experience at baystate is good, really caring PD and APD</t>
  </si>
  <si>
    <t>lahey</t>
  </si>
  <si>
    <t>inova</t>
  </si>
  <si>
    <t xml:space="preserve">general surgery, worklife balance, climate
</t>
  </si>
  <si>
    <t xml:space="preserve">Can anyone who interviewed at Midwestern University/Mountain Vista tell me if there is a dinner/social the night before the interview pls. Trying to book a flight accordingly </t>
  </si>
  <si>
    <t>No there wasn't just half a day &lt;&lt; thank you!</t>
  </si>
  <si>
    <t xml:space="preserve">Maryland matches better, residents seem to have a good culture and get huge operative experience with big open cases </t>
  </si>
  <si>
    <t xml:space="preserve">Bassett Med Center </t>
  </si>
  <si>
    <t xml:space="preserve">Genuinely kind people. Go explore Cooperstown if in person. It's stunning and the people in town also very kind. </t>
  </si>
  <si>
    <t xml:space="preserve">QOL, fellowship match, culture, operative experience </t>
  </si>
  <si>
    <t>Did Howard send prelim invites?</t>
  </si>
  <si>
    <t>&lt;-why?</t>
  </si>
  <si>
    <t xml:space="preserve">BronxCare Hospital </t>
  </si>
  <si>
    <t>SUNY Downstate</t>
  </si>
  <si>
    <t>BronxCare Hospital System - Wikipedia</t>
  </si>
  <si>
    <t>Corewell Health Beaumont</t>
  </si>
  <si>
    <t>St. Joe's (Denver)</t>
  </si>
  <si>
    <t>Out of curiosity did anyone send northshore-LIJ or NYU Long island letters of interest and hear anything back? Or get completely ghosted?</t>
  </si>
  <si>
    <t xml:space="preserve">Did you? &lt;&lt; sent to both and was ghosted by both :( </t>
  </si>
  <si>
    <t>Indiana University</t>
  </si>
  <si>
    <t>Competative fellowship match, reputation/ prestige, operative exerperience, research, culture, QOL</t>
  </si>
  <si>
    <t>Someone please give some advice!!!!</t>
  </si>
  <si>
    <t>Does anyone plan on dropping any more II? &lt;&lt; pls</t>
  </si>
  <si>
    <t>&lt;&lt;Seems unlikely at this point :(</t>
  </si>
  <si>
    <t>might drop st elizabeth's in boston today!</t>
  </si>
  <si>
    <t>Extremely malignant culture +5</t>
  </si>
  <si>
    <t>PC here - we see most of our drops after the new year! &lt;&lt; thank you! do u send invites to replace them all? &lt;&lt; we do! &lt; thank u!! Do u already have waitlists? Should we still be sending LOIs? Or is it useless &lt;&lt; we have a waitlist and notified the WL people that they were on a list. not all programs do that though. you can send a LOI, but don't expect a response of receipt.&lt;thank you so much</t>
  </si>
  <si>
    <t>The Bronx is generally unsafe, but the part of Grand Concourse around BronxCare is very safe. &lt;&lt;&lt; yeah that's definitely not true</t>
  </si>
  <si>
    <t>Does anyone know when WashU sent out the first round of waitlist invites? Also do we know if those who got a waitlist invite over the weekend still have a shot to make it out?</t>
  </si>
  <si>
    <t>Both dates are full on Thalamus (looked 12/2 afternoon)</t>
  </si>
  <si>
    <t>Downstate</t>
  </si>
  <si>
    <t>QOL, culture, trauma exposure, fellowship match, operatiee experience, prestige/reputation</t>
  </si>
  <si>
    <t>Does anyone know when to expect to hear more details for this Wednesday's Rush interview schedule?</t>
  </si>
  <si>
    <t>PC here (not Rush's) - i'd say by tomorrow morning/early afternoon. If you don't hear from them by 1pm, i'd reach out</t>
  </si>
  <si>
    <t>Umass Baystate</t>
  </si>
  <si>
    <t>NYU - manhattan</t>
  </si>
  <si>
    <t>Univ of Washington</t>
  </si>
  <si>
    <t>QOL, culture, trauma exposure, fellowship match, operative experience, prestige/reputation</t>
  </si>
  <si>
    <t xml:space="preserve">Stony Brook </t>
  </si>
  <si>
    <t>Henry Ford Detroit</t>
  </si>
  <si>
    <t>fellowship match, quality of training, location</t>
  </si>
  <si>
    <t>for anyone that got an invite from CCF, did it say categorical vs prelim? my email doesn't mention anything. &lt;&lt; idt florida has prelims or are you asking about ohio</t>
  </si>
  <si>
    <t>when did u get the email? &lt; 11/29</t>
  </si>
  <si>
    <t>Metrohealth Cleveland CWRU</t>
  </si>
  <si>
    <t>are there openings left? Thanks!</t>
  </si>
  <si>
    <t>research opportunities, competative fellowship match, quality of training, resident culture</t>
  </si>
  <si>
    <t>Hackensack Main</t>
  </si>
  <si>
    <t>resident culture, quality of training, faculty</t>
  </si>
  <si>
    <t xml:space="preserve">Brookdale U </t>
  </si>
  <si>
    <t>Riverside University Health System</t>
  </si>
  <si>
    <t>quality of training, breadth of cases, fellowship match</t>
  </si>
  <si>
    <t>Does anyone know when to expect to hear more details for this Wednesday's Rutgers RWJ interview schedule? +2</t>
  </si>
  <si>
    <t xml:space="preserve">whole interview day was unorganized, Q3 24 hour call lol </t>
  </si>
  <si>
    <t>Mine was okay actually in terms of organization but they definitely work hard there</t>
  </si>
  <si>
    <t>workhorse residency program</t>
  </si>
  <si>
    <t>QOL, operative experience, quality of training</t>
  </si>
  <si>
    <t>Baylor Univ (Dallas)</t>
  </si>
  <si>
    <t>U New Mexico</t>
  </si>
  <si>
    <t>QOL, culture, operative experience, quality of training, fellowship match</t>
  </si>
  <si>
    <t>When are nymc metropolitan interview dates? )</t>
  </si>
  <si>
    <t>culture, trauma exposure, cardiac exposure, quality of training</t>
  </si>
  <si>
    <t>WashU culture &gt;&gt;</t>
  </si>
  <si>
    <t xml:space="preserve">Brooklyn Hospital </t>
  </si>
  <si>
    <t>Both new spouse and my family are in NC, but Baylor was better fit; quality of training; fellowship match</t>
  </si>
  <si>
    <t>https://nypost.com/2019/04/13/new-york-surgeon-accused-of-sexual-harassment-leaves-another-hospital/</t>
  </si>
  <si>
    <t xml:space="preserve">Can someone add more to Hennepin iv impressions </t>
  </si>
  <si>
    <t>U of Arizona (PHX)</t>
  </si>
  <si>
    <t>Creighton (PHX)</t>
  </si>
  <si>
    <t>camraderie, fellowship match, QOLhierachy, autonomy</t>
  </si>
  <si>
    <t>UAMS</t>
  </si>
  <si>
    <t>camraderie, fellowship match, QOL, hierachy, autonomy</t>
  </si>
  <si>
    <t xml:space="preserve">QOL (major), operative experience, trauma research </t>
  </si>
  <si>
    <r>
      <rPr>
        <rFont val="Varela Round"/>
        <color rgb="FF000000"/>
      </rPr>
      <t>any one get anything from</t>
    </r>
    <r>
      <rPr>
        <rFont val="Varela Round"/>
        <color rgb="FF000000"/>
      </rPr>
      <t xml:space="preserve"> </t>
    </r>
    <r>
      <rPr>
        <rFont val="Varela Round"/>
        <color rgb="FF000000"/>
      </rPr>
      <t>mclaren lansing? or update on any openings left thanks</t>
    </r>
  </si>
  <si>
    <t>APD did not read my app, only one interview for the whole thing and didnt know who it would be with ahead of time, comments by resident made the program seem like workhorse culture, also seems like they have bad relationship with nursing staff +3</t>
  </si>
  <si>
    <t xml:space="preserve">Corewell Royal Oak </t>
  </si>
  <si>
    <t xml:space="preserve">QOL, Culture, Experience, Reputation </t>
  </si>
  <si>
    <t>Not well organized, straight asked me how many other interviews I had and from where. Did not like the vibe at all</t>
  </si>
  <si>
    <t>BUMC</t>
  </si>
  <si>
    <t>Dallas Methodist</t>
  </si>
  <si>
    <t>QOL, culture (heard about some bad experiences with some residents/attendings), reputation</t>
  </si>
  <si>
    <t>Cleveland Florida</t>
  </si>
  <si>
    <t>anyone intervieweing at lawnwood florida tomorrow got a zoom link yet?</t>
  </si>
  <si>
    <t>Academia, fellowship match (thoracic surgery)</t>
  </si>
  <si>
    <t>Columbia, New York Presbyterian</t>
  </si>
  <si>
    <t>UTSW (Prelim)</t>
  </si>
  <si>
    <t>Johns Hopkins (Prelim)</t>
  </si>
  <si>
    <t>Categorical match</t>
  </si>
  <si>
    <t>Emory (Prelim)</t>
  </si>
  <si>
    <t>NYU Manhattan (Prelim)</t>
  </si>
  <si>
    <t>Has anyone interviewing at Lenox Hill received any informations from PC?</t>
  </si>
  <si>
    <t>BIDMC (Prelim)</t>
  </si>
  <si>
    <t xml:space="preserve">Garnet Health </t>
  </si>
  <si>
    <t>can the schools i applied to please give me more interviews plz and thanks oh my lord. would be lovely to double the interview yield</t>
  </si>
  <si>
    <t>very small program, even smaller community. seem cordial; matches more DOs than MDs</t>
  </si>
  <si>
    <t xml:space="preserve">Has Uconn and emory sent out prelim invites? would really appreciate any info </t>
  </si>
  <si>
    <t>UConn has not &gt;&gt;&gt;&gt;&gt; thanks!</t>
  </si>
  <si>
    <t xml:space="preserve">Good Samaritan University </t>
  </si>
  <si>
    <t>can someone update CCF prelim pls+1</t>
  </si>
  <si>
    <t>all filled as of 12/1/24 7 pm est</t>
  </si>
  <si>
    <t xml:space="preserve">Harlem Hospital </t>
  </si>
  <si>
    <t>Just a kind reminder to add your dropped II &lt;3</t>
  </si>
  <si>
    <t xml:space="preserve">Please </t>
  </si>
  <si>
    <t>Can someone explain why it's important we know this info (I'm a confused significant other) &lt;&lt; if your on a waitlist and someone drops u might get that ii or you can send an LOI since they have an opening  &gt; thank you friend!</t>
  </si>
  <si>
    <t xml:space="preserve">Faxton-St. Lukes </t>
  </si>
  <si>
    <t>when are nymc ii?</t>
  </si>
  <si>
    <t>There have been several days with IIs so far in the II by date tab &lt; but what date are the interviews. They're not in II by program</t>
  </si>
  <si>
    <t>please</t>
  </si>
  <si>
    <t xml:space="preserve">Flushing </t>
  </si>
  <si>
    <t>PGY4 had nothing good to say about the program during meet &amp; greet</t>
  </si>
  <si>
    <t>any other US MD's with less than 5 categorical II? it's getting really dark in my head +3</t>
  </si>
  <si>
    <t>how many programs did u apply to &lt; 47</t>
  </si>
  <si>
    <t>Interviewers were really nice!</t>
  </si>
  <si>
    <t>academic or community?</t>
  </si>
  <si>
    <t>Has anyone interviewing at University of Florida (Gainesville) received details for next week (or for past dates)? Little worried with the rest of this week being a holiday</t>
  </si>
  <si>
    <t>I received my interview schedule the Friday before the Wednesday interview date</t>
  </si>
  <si>
    <t xml:space="preserve">Lincoln Medical &amp; Mental Health </t>
  </si>
  <si>
    <t>PC here: i promise that they will get you the schedule... generally if there's a delay it's because we're having to re-do the schedule for one reason or another. in the past, i've sometimes not been able to send the schedule out until the day before which is not ideal, but sometimes unavoidable. I'd give the PC until 9am the morning before the interview (so if you're interviewing tuesday, give them until monday morning) and then check in with them. trust me - we're probably panicking!</t>
  </si>
  <si>
    <t>We really appreciate all the effort that goes into the interview day prepration. You are amazing!!</t>
  </si>
  <si>
    <t>did u end up getting email? i got mine on 11/27!</t>
  </si>
  <si>
    <t>Out of curiosity, if you could go to any program in the country, what would it be any why?</t>
  </si>
  <si>
    <t>Program that serves underpriviledeged</t>
  </si>
  <si>
    <t>All of these stories relate to IM. Anyone got insight on gensurg culture? &lt;&lt;&lt; it's just as toxic +5</t>
  </si>
  <si>
    <t>Any openings for categorical invites for NYP Columbia?</t>
  </si>
  <si>
    <t>residents didn't seem much interested during the Q&amp;A sessions</t>
  </si>
  <si>
    <t>&lt;+1</t>
  </si>
  <si>
    <t>they sent out rejections today lol</t>
  </si>
  <si>
    <t xml:space="preserve">Maimonides </t>
  </si>
  <si>
    <t xml:space="preserve">Can someone explain academic vs community pros cons </t>
  </si>
  <si>
    <t>I think it comes down to what your career goals are - both produce great surgeons! Community pros: arguably more OR time/autonomy (depending on program) Academic pros: often more research opps, and competitive fellowship placement?</t>
  </si>
  <si>
    <t>Very disorganized interview day, running about an hour late on all zoom rooms by the end of the session +2</t>
  </si>
  <si>
    <t>PD and residents didn't seem the least bit interested in getting to know me. One of the interviewers was frowning the entire time, made very little eye contact, and did not seem to want to engage in conversation. Overall gave bad vibes</t>
  </si>
  <si>
    <t>!! Still stuck at zero !! Prelim is zero, for categorical I have lost all hope</t>
  </si>
  <si>
    <t>send loi for prelims</t>
  </si>
  <si>
    <t>ask mentors/letter writers (even if not super close) to help connect you, good luck!</t>
  </si>
  <si>
    <t>I am applying for the second year. I did zero interviews last cycle. But I changed the recommenders this year and I have 18 interviews. Sometimes we don't get what affects our interview possibilities.</t>
  </si>
  <si>
    <t xml:space="preserve">Montefiore/ Albert Einstein </t>
  </si>
  <si>
    <t>interview day was pretty disorganized +2</t>
  </si>
  <si>
    <t>All of my interviews were with faculty with whom I was not originally scheduled to interview with. I understand that there are last minute changes; however, other programs had given me a courtesy email of the change beforeheand or acknowledged. +1</t>
  </si>
  <si>
    <t>Can someone update northwell-LIJ openings please?</t>
  </si>
  <si>
    <t xml:space="preserve">done </t>
  </si>
  <si>
    <t>thank you. appreciate it</t>
  </si>
  <si>
    <t>I was asked if I did my application sleeping &lt;lol what??? +2 LOL what did you even say back to that?? +1</t>
  </si>
  <si>
    <t>Disorganized, PD was late. PD started interview with fake smile which she imediately wiped off to a flat face as she said hi - kind of captured the air of the rest o f the interview - it was hard to get a read on her... &lt;felt the same way so you're not the only one at least! In fairness it couldve been fatigue or a bad day, the residents were all super nice and personable as were the other faculty&lt;yeah I'm chalking it up to fatigue and time rpessure with the interview schedueld for 5 minutes, otherwise everyone else was lovely &lt;+1, felt the same way! PC actually told us the PD was likely to be late to our interviews so having a warning helped but still annoying waiting 20 minutes when you know a program wouldn't tolerate us being even 2 minutes late.</t>
  </si>
  <si>
    <t>Any Hopkins prelim openings??+1 &lt;&lt; no</t>
  </si>
  <si>
    <t>had 2 different resident salaries - one for Montefiore ~$73k and one for Jacobi? ~$68k for pgy-1 (where montefiore residents rotate).  We get paid one or the other depending on Jacobi's resident quota??? and we don't know which one we'll be paid until we match and are given the contract. once we're set on Jacobi salary, it's fixed for 5 yrs - which is ~4-5k lower than Montefiore salaries. They emphasized we would still be "Montefiore residents" and everything else would be the same but so odd that they normalize this type of contract and doesn't seem to know this is surprisingly unfair?!?!</t>
  </si>
  <si>
    <t>*be prepared for scut work if coming to NY (and to the Bronx) - so difficult to get things done on the floor because nursing / other ancillary staff are not so eager to do their job. once you place an imaging order, you have to call imaging to schedule it otherwise they ignore the order until the next day or two. you would also need to call/chat/track down the nurses for the order you placed because they don't check and they give you a hard time for simple nursing tasks. they would try their best not to do the bloodwork when phlebotomists are not around, so you would need to draw them and run to the lab. not all the nurses are like this, but generally that's the case (-Einstein student)+1 (rotator)</t>
  </si>
  <si>
    <t xml:space="preserve">Echoing disorganized, had schedule shifts even during the interview day. +1
program coordinator was annoyed when I asked if the interview was still happening when PD was &gt;1.5 hrs late to my interview lol </t>
  </si>
  <si>
    <t xml:space="preserve">Icahn Mount Sinai </t>
  </si>
  <si>
    <t>Has vanderbilt sent out prelim invites?</t>
  </si>
  <si>
    <r>
      <rPr>
        <color rgb="FF000000"/>
        <sz val="10.0"/>
      </rPr>
      <t xml:space="preserve">elaborate pls? +2 </t>
    </r>
    <r>
      <rPr>
        <b/>
        <color rgb="FF000000"/>
        <sz val="10.0"/>
      </rPr>
      <t>pretty pls &lt;3</t>
    </r>
  </si>
  <si>
    <t>y'all pls elaborate don't b fake pls i'm begging &lt; it's me, the op of this comment, i had a great experience. residents were v kind and clearly enjoy hanging out w/ each other, interviewers were v nice. asked some tougher questions but responded well to my answers. +1</t>
  </si>
  <si>
    <t>When you're cancelling interviews, are you giving any explanation? I need to cancel for a conflict but obviously that just sounds like I prioritized a different program over them...</t>
  </si>
  <si>
    <t xml:space="preserve">I did not, though it was well in advance. I just withdrew </t>
  </si>
  <si>
    <t xml:space="preserve">you are prioritizing another program over them, no need for an explanation </t>
  </si>
  <si>
    <t>I would say , send a "thank you for the opportunity" sort of email and send your regrets. No need for expalantion but its good form to not burn bridges. +1</t>
  </si>
  <si>
    <t>PC here: can confirm that reason does not matter, but please give the program as much notice as possible!</t>
  </si>
  <si>
    <t xml:space="preserve">thank you! </t>
  </si>
  <si>
    <t xml:space="preserve">can someone who interviewed at UIC give the tea on how the interview was / program seems </t>
  </si>
  <si>
    <t>what tea?? what happened lol</t>
  </si>
  <si>
    <t>like how the interview was and how the program was lmao &lt;&lt; lol thought something bad happened that I wasnt aware of lol. this is for LOYOLA NOT UIC: Attended social but did not interview yet. Residents seem super nice and close, can tell residents really love their PD (something I havent seen too often). They seem to imply there is more scut work than they'd like but the residents spun it as "prepares you well for the real world...if you end up at a hospital with limited support, you'd know what to do"</t>
  </si>
  <si>
    <t xml:space="preserve">Mount Sinai Morningside/West </t>
  </si>
  <si>
    <t>has anyone heard from WashU about in-person interviews? +2</t>
  </si>
  <si>
    <t>not yet here - In my interview last week the PD said "youll hear from us in 1-2 weeks"</t>
  </si>
  <si>
    <t>I was told week of 11/25 a while back &lt; if thats true then certainly it must be today-wednesday becasue no chance its during the holiday &lt; I sure hope so...I'd rather not wait</t>
  </si>
  <si>
    <t>Any word re: in person? +1</t>
  </si>
  <si>
    <t xml:space="preserve">Mount Sinai South Nassau </t>
  </si>
  <si>
    <t>Interviews are out!</t>
  </si>
  <si>
    <t>&lt;&lt; Are all of them out? Or are they slowly rolling out? &lt; seems weird to me that they wouldn't send a rejection email? &lt; Email said to schedule within 48 hours, after that they were extending offer to next candidate on the list &lt; is anyone even considering saying no to them though? &lt; I mean I guess they only have two interview dates so it's possible but unlikely - which is why I'm confused they didn't send reject emails to at least like 70 of the people? Like if they are going 150-&gt;60 no way 1/3 or more of the invites turn it down?? So let us know &lt;&lt; where does it say 150 -&gt;60 lol &lt; literally on their website</t>
  </si>
  <si>
    <t xml:space="preserve">&lt;&lt; Anybody heard from them yet? &lt; just got a waitlist invite, do we know how many of those they're sending out? </t>
  </si>
  <si>
    <t>Can someone update NYU Long Island II openings please
&gt;&gt; NYU Langone (Manhattan) program, too, please?</t>
  </si>
  <si>
    <t>0 openings for NYULI as of noon 11/25</t>
  </si>
  <si>
    <t xml:space="preserve">Nassau Uni Medical Ctr </t>
  </si>
  <si>
    <t>$58,000 as a PGY-1 in NYC is a huge red flag +5</t>
  </si>
  <si>
    <t>does anyone know if there are any open spots at bayhealth delaware program? thankss</t>
  </si>
  <si>
    <t>Residents are mostly IMGs who couldn't match anywhere else +6</t>
  </si>
  <si>
    <t>Bayhealth delaware currently has one spot on 1/17/25, i just checked thalamus (11/24)</t>
  </si>
  <si>
    <t>Is it okay to use the some of the same sentences in thank you emails for people at the same program</t>
  </si>
  <si>
    <t xml:space="preserve">New York Presbyterian Cornell Campus </t>
  </si>
  <si>
    <t>copy and paste lol</t>
  </si>
  <si>
    <t>&lt;FWIW PD at UT Houston said attendings forward all thank you emails to her so she can see who has copy pasted and who has personalized emails. I think it's ridiculous to expect personalized thank yous but I'm just the messenger   &lt;&lt; surely they are looking for if the WHOLE thing is copy pasted not like is your opening sentence the same and your closing remarks of why you liked the program or how you are grateful etc</t>
  </si>
  <si>
    <t>Is there a comprehensive resource on fellowship match data for programs? Having a hard time finding where the chiefs ended up on the website for</t>
  </si>
  <si>
    <t xml:space="preserve">New York Presbyterian Brooklyn </t>
  </si>
  <si>
    <t>Had an interview today (Friday), should I send thank you emails to interviewers tomorrow or wait until monday?</t>
  </si>
  <si>
    <t>monday</t>
  </si>
  <si>
    <t xml:space="preserve">New York Presbyterian Queens </t>
  </si>
  <si>
    <t>You only get 5 minutes with the chair and PD combined and the chair definitely made it known they were in a rush. We also sat for 40 minutes during the social watching the residents make jokes with each other, intermittently answering questions we sent in advance. They didn't seem to notice we were there.</t>
  </si>
  <si>
    <t>Residents seemed to get along very well, they seemed happy there. Interviewers were chill and nice</t>
  </si>
  <si>
    <t>Why negative? +1 yeah why</t>
  </si>
  <si>
    <t xml:space="preserve">US MD, how many IVs are u guys sitting at rn?   &lt;&lt; Just dont know how useful this is for anyone-- getting such a small data sample that probably isnt even representative. </t>
  </si>
  <si>
    <t>15 +1</t>
  </si>
  <si>
    <t>25 but dropped 3 &gt; come on....drop some, there is no way you are actually considering 22 or 25 &lt; I'll drop some more but won't go lower than 20… &lt;&lt; why? &lt;&lt; bc I "earned" them and I am not comfortable dropping below 20 &lt;&lt; Fair. Not asking you to drop any just wondering if there was a reason that could apply to the rest of us since this is a collaborative spreadsheet.
I think it is absolutely atrocious to tell people they need to drop interviews because they have "too many," you have no idea who this person is or anything about their application or their story. They received 25 interview offers and they can do all 25 if they would like. +1  &lt; Everyone relax and do what's best for you.
As someone with nowhere near as many-- everyone has a right to go on as many as they want.</t>
  </si>
  <si>
    <t>only 7 +3</t>
  </si>
  <si>
    <t>18, dropped 2, probably will drop 2 more</t>
  </si>
  <si>
    <t>$180/mo</t>
  </si>
  <si>
    <t>Lyft credits, educational allowance, partially subsidized TrueLearn</t>
  </si>
  <si>
    <t>Please please continue dropping if you're not seriously considering an interview spot and wouldn't be happy there!! I just got an IV invite from a program and it made my entire year! lol some of us are in really tough spots right now</t>
  </si>
  <si>
    <t xml:space="preserve">NYMC Metropolitan </t>
  </si>
  <si>
    <t>13 interviews, 14 ranks  &lt; how are ranks more than ivs &lt; some programs do not interview away students at all but rank them&lt; yeah exactly &lt; my friend has this and its wild to me because that would feel SO weird to me lol like i definitely would overthink it</t>
  </si>
  <si>
    <t>rotate at 8 hospitals all around NYC, LI, and westchester so lots of commuting</t>
  </si>
  <si>
    <t>Last year, of US MDs with at least 1 rank, ~34% had 0-9 interivews, ~31% had 10-15 interviews, and ~35% had 16+. Obviously the outcomes for the different groups are different. There might be small shift in data this year with new signaling system.</t>
  </si>
  <si>
    <t>man asked me if I wanted to have kids. when I said yes, he said then I should not go into trauma surg</t>
  </si>
  <si>
    <t xml:space="preserve">20 II but will only attend 18 - had to drop 2 because of scheduling conflicts </t>
  </si>
  <si>
    <t>&lt;- any more thoughts on nymc?</t>
  </si>
  <si>
    <t>Can you guys add ur dropped ones to the sheet</t>
  </si>
  <si>
    <t>PD and faculty were really nice. They stressed their relationship with MSK but you don't do much operating there until PGY4.</t>
  </si>
  <si>
    <t>12 but dropped one of them</t>
  </si>
  <si>
    <t>Why are some programs so slow to send out categorical invites? seems like most programs have already bulk released their invites but im sitting here waiting lol</t>
  </si>
  <si>
    <t xml:space="preserve">most have sent their categorical invites at this point unfortunately, except for a few straggler programs and random waitlist movement </t>
  </si>
  <si>
    <t>Any idea why nymc is so slow to release all of their invites? or are they just having WL movement now</t>
  </si>
  <si>
    <t>NYU Manhattan</t>
  </si>
  <si>
    <t>any comments?</t>
  </si>
  <si>
    <t xml:space="preserve">loved the Chair and PD/APDs, all were very personable and care about making their program the best. </t>
  </si>
  <si>
    <t xml:space="preserve">Any opening at GW prelim please </t>
  </si>
  <si>
    <t xml:space="preserve">Chiefs were friendly and had good answers on how to support future interns and the team as a whole. </t>
  </si>
  <si>
    <t>Does sending/not sending a thank you email after the interview affect ranking at all? Is it worth doing if you already said your thanks during the actual interview?</t>
  </si>
  <si>
    <t xml:space="preserve">this!!! i don't get the point of ty emails.
I have already told everyone thank you
during the interview, what is the point
of sending an email saying it again? 
</t>
  </si>
  <si>
    <t xml:space="preserve">NYU Long Island </t>
  </si>
  <si>
    <t>Are you guys getting the sense if a program likes you or not? Or is it more neutral? Kinda freaking out, felt I could've done better with responses and couldn't gauge program's opinion of me.</t>
  </si>
  <si>
    <t>5% of the interview.</t>
  </si>
  <si>
    <t xml:space="preserve">&lt; I'm not the OP but thank you for the response it makes me feel better after having some cold interviews despite me doing my best to be engaging lol. Also ruminating about how I could've answered some questions better. &lt; just remember - the people interviewing you are surgeons who were asked by education to do it. not formal job recruiters. they don't normally hire and fire people. interviewing is a skill, not everyone has it, and that's ok! similarly, those who do have it can make you feel really comfortable even if they are evaluating you differently. feel good about yourself if you think it went well. and if it didn't, don't perservate on what they're thinking. SHAKE IT OFF before the next question or interviewer! </t>
  </si>
  <si>
    <t xml:space="preserve">&lt; Yep, ive been told not to read into any communication unless youve been told explicitely that youve been ranked to match &lt;&lt; Not trying to be a Debbie downer but Trust No One. Even if they say that, words are words. Take the compliment and do what is best for you but trust no one. </t>
  </si>
  <si>
    <t xml:space="preserve">Nuvance </t>
  </si>
  <si>
    <t>I very much bombed an interview at one of my top choices, just to make people feel better. Luckily I have 8 other better programs I am willing to attend over this program. I consider it as a practice &lt;&lt; what makes you think you bombed it? (If you don't mind me asking) &lt;&lt; many curveball and behavioral questions which I was not prepared for. Some of my responses could have been stronger. no red flags but could have been better if I prepared &lt;&lt; totally feel you. I definitely have been thinking about questions where my brain just short circuited and I could've answered way better. Hopefully you were perceived better than you think (we are always hard on ourselves) but I'm sure you will find a program where you're happy no matter what :) &lt;&lt; many thanks and good luck to you!</t>
  </si>
  <si>
    <t>Ive never been told Im ranked to match :(  &lt;&lt; programs dont rank until 2025 and most programs wont tell applicants they are ranked to match because technically they are not suppose to lol</t>
  </si>
  <si>
    <t>Thank you so much everyone for your perspectives. It's just nerve-wrecking cause interviewing is so important for matching so the idea of not doing well sucks! However positive thoughts only.</t>
  </si>
  <si>
    <t>My initial interviews were not that polished, I am okay now, I wish 1-2 done in October I took later. I am done with 14 IIs and like only the five so far. I do have 12 more to go , hoping to find few more I would be ready to rank. Some interviewers are rigid and don't give out vibe to get feel of comfort to access, and definetely few don't like to go through these interviews , would rather prefer to be in the operation room. 3 folks said so</t>
  </si>
  <si>
    <t>WHAT IS A TERTIARY REFERRAL CENTER? and why is literally basically every program one?</t>
  </si>
  <si>
    <t>Respectfully, google +1 &lt; Hey OP, here an IMG telling you to do your research because trust me, you should know this ( I guess you are an IMG because that may justify why you do not know this ) &lt; IMG here and know this since early in medschool (international terminology)</t>
  </si>
  <si>
    <t xml:space="preserve">St. Barnabas </t>
  </si>
  <si>
    <t xml:space="preserve">Are there any fellows at rush / do they take over the surgeries / make there be less surgeries for residents </t>
  </si>
  <si>
    <t>good question for the resident social!</t>
  </si>
  <si>
    <t>They don't have one which is why I asked here</t>
  </si>
  <si>
    <t xml:space="preserve">St. John's Episcopal </t>
  </si>
  <si>
    <t>no body got anything today?</t>
  </si>
  <si>
    <t xml:space="preserve">&lt; only a small percentage of total applicants post on this document. </t>
  </si>
  <si>
    <t>I got an invite 12/2, so theyre still trickling</t>
  </si>
  <si>
    <t>should you expect e-mails back after sending thank-yous post interview?</t>
  </si>
  <si>
    <t>no, aside from the occasional one</t>
  </si>
  <si>
    <t>most emails back I get is from PCs tbh but they sure work hard so I'm glad they at least get/appreciate the TY emails</t>
  </si>
  <si>
    <t xml:space="preserve">I did get replies for few, I send personalized thank yous. </t>
  </si>
  <si>
    <t xml:space="preserve">Stony Brook Southampton </t>
  </si>
  <si>
    <t xml:space="preserve">SUNY Downstate </t>
  </si>
  <si>
    <t>any one get anything from mclaren lansing?</t>
  </si>
  <si>
    <t>Also waiting. Had letter from Alumni who swore they could get me an invite.</t>
  </si>
  <si>
    <t xml:space="preserve">new PD just started, seem to be hiring new surgeons &lt; +1 and old PDs are still around </t>
  </si>
  <si>
    <t>can we update each other if we got anything soon</t>
  </si>
  <si>
    <t>how come it shows as released on the by program page on 11/5, is this not accurate?</t>
  </si>
  <si>
    <t xml:space="preserve">SUNY Upstate </t>
  </si>
  <si>
    <t>do we think people will drop interviews? or no</t>
  </si>
  <si>
    <t>WashU's website says they only use ~5% of waitlist since interviews went virtual. So I am sure people do cancel, but it's not super common.</t>
  </si>
  <si>
    <t xml:space="preserve">dropped creighton omaha today. </t>
  </si>
  <si>
    <t>Residents all got together for the meet and greet and they seemed to really be friends outside of work. Good vibes all around</t>
  </si>
  <si>
    <t xml:space="preserve">dropped one today, i think more people will as the zoom fatigue sets in and date conflicts aren't resolved &lt; +1 zoom fatigue is real and I had not thought about this. good point. </t>
  </si>
  <si>
    <t xml:space="preserve">If you have 2 interviewers in the same room, would you send thank you letters individually to each, or can you send them to both in one email with the address "Hi Dr. and Dr." ? </t>
  </si>
  <si>
    <t xml:space="preserve">I would prefer to send them individually!! But I'm just an applicant like you, so your guess is as good as mine </t>
  </si>
  <si>
    <t xml:space="preserve">U at Buffalo </t>
  </si>
  <si>
    <t>&lt;Just an applicant here but I've been sending a joint one in those cases</t>
  </si>
  <si>
    <t>I'm going to send joint email in those cases</t>
  </si>
  <si>
    <t xml:space="preserve">A program, after my interview, sent me an "optional" in-person open house in December. Not very interested in that program. Is it really optional? </t>
  </si>
  <si>
    <t>If you aren't interested I wouldn't go&lt; +2 safe the money for the want you are really interested</t>
  </si>
  <si>
    <t>PC here: we have an in-person event and it really truly is optional for us!</t>
  </si>
  <si>
    <t>Night Float, ~q7 call</t>
  </si>
  <si>
    <t>Cerner, Meditech, Allscripts</t>
  </si>
  <si>
    <t>Free outdoor parking</t>
  </si>
  <si>
    <t>Non-US IMG here, I have not got a lot of invites as I expected. Should I honestly be expecting more..or not?</t>
  </si>
  <si>
    <t>Free TrueLearn/SCORE, 24/7 skills lab, annual education/wellness stipend</t>
  </si>
  <si>
    <t>Maybe focus on the ones u have and prep well how many did u get</t>
  </si>
  <si>
    <t xml:space="preserve">Thank you so much!! The programs I absolutely love and signalled did not send me an invite, so was a little bummed. But I guess I will just make the best out of what I have. Mostly prelims. </t>
  </si>
  <si>
    <t>good luck</t>
  </si>
  <si>
    <t xml:space="preserve">U Rochester </t>
  </si>
  <si>
    <r>
      <rPr/>
      <t xml:space="preserve">why positive? </t>
    </r>
    <r>
      <rPr>
        <b/>
      </rPr>
      <t>+1 why please?</t>
    </r>
  </si>
  <si>
    <t xml:space="preserve">&lt;Very laid back interview. I felt like the PD really took the time to KNOW my application. Interviews were blinded except personal statement, so there was tons of opportunity to talk about the best parts of your app in a new way that's not like reading it off your CV. In-person was surprisingly lower stress and they definitely made me feel welcome. They have a new chair coming next year from WashU who seems to really value Rochester's mission. I don't think the new chair will shake up too much in the department. </t>
  </si>
  <si>
    <t xml:space="preserve">I need some advice. There’s a program I really want to interview with, and I feel like it’s within my reach, but I haven’t heard back yet. I emailed the PD but forgot to cc the PC, and now I’m not sure what to do. Should I talk to my PD/APD to see if they can help, or should I send another LOI? I don’t want to give up on this </t>
  </si>
  <si>
    <t xml:space="preserve">Awesome interview day and nice program but I am wary of the expanding number of fellows and integrated program spots. hard to believe it won't dilute/impact gen surg training at some point. </t>
  </si>
  <si>
    <t>doubt it'll make much difference at this point (unless youre like top of their internal waitlist) but also at this point it doesn't hurt to keep trying i suppose</t>
  </si>
  <si>
    <t>Overall a positive experience, but the in-person interview component made it feel far too long. I was also not a fan of the small group interview. Lastly, the PD/chair interview felt far too rushed as well. As such, I give it a 0.5/0.5 +/-, both positive and negative parts.</t>
  </si>
  <si>
    <t>&lt; I think the safest/ strongest option is have someone make a call on your behalf +1</t>
  </si>
  <si>
    <t>Great interview, enjoyed the small group interview. However, wished i spent more time with the PD/Chair</t>
  </si>
  <si>
    <t>Based on call time</t>
  </si>
  <si>
    <t xml:space="preserve">$25/month and 10 min walk </t>
  </si>
  <si>
    <t>does anyone know if emory waits for you to do the away and then offers the interview? i have an away coming up and haven't gotten an interview yet</t>
  </si>
  <si>
    <t>&lt; i am not sure if you will be gauraunteed an invite doing an away this late in the season</t>
  </si>
  <si>
    <t xml:space="preserve">Westchester Med Ctr </t>
  </si>
  <si>
    <t>&lt;spoke directly to PD while scrubbed together when i rotated there adn she said aways are not guaranteed an interview after initial wave comes out unless they excel beyond the IVs they gave to aways already. accepting an away this late for one of your top choices was very risky...</t>
  </si>
  <si>
    <t>&lt; not risky, you will still learn a lot during your away and those skills will always help you in residency. &lt;&lt; Agree . Not risky. I am at an away as well and best thing next to learning is the connections. Do well so that either a) if they call to ask about you, they will vouch for you b) maybe someone will offer to put in a good word</t>
  </si>
  <si>
    <t>Lots of evidence that the attendings read the applicant package and were able to ask about my LOR, experiences, etc.</t>
  </si>
  <si>
    <t>Any idea on how many PRELIM interview spots Duke offered please?</t>
  </si>
  <si>
    <t>when I got the invite there was only one date with 10 spots</t>
  </si>
  <si>
    <t xml:space="preserve">Wyckoff Heights </t>
  </si>
  <si>
    <t>Seems like the program is super unorganized, from the PC sending us wrong dates with zoom links that dont work then insisting that they work when an applicant calls, to the PD starting the presentation with the faults the program has?</t>
  </si>
  <si>
    <t>Just had a prelim Il. Any possibility of the program offering a categorical spot after a prelim interview if it went really really well?</t>
  </si>
  <si>
    <t>PC here: probably not &lt;&lt; not OP but, what if you did not apply for Prelim, just Categ and you interviewed as prelim?</t>
  </si>
  <si>
    <t xml:space="preserve">Zucker SOM at Hofstra/Northwell </t>
  </si>
  <si>
    <t>Residents are clearly very close, PD is a gem. Very organized &lt;&lt; +1 loved the PD</t>
  </si>
  <si>
    <t>PD didn't ask me any questions. Was a group interview format</t>
  </si>
  <si>
    <t>absolutly nothing today?</t>
  </si>
  <si>
    <t>St Elizabeth in Boston came out today.</t>
  </si>
  <si>
    <t>See ya there friend!</t>
  </si>
  <si>
    <t xml:space="preserve">For those that interviewed already at Rutgers NJMS, how did it go? </t>
  </si>
  <si>
    <t>Yeah really need this information if anyone interviewed please let us know</t>
  </si>
  <si>
    <t xml:space="preserve">Zucker SOM/Hofstra Northwell at Lenox Hill </t>
  </si>
  <si>
    <t xml:space="preserve">PC here - Words of advice. Sign interview items promptly, it gives you a bit of a horn effect if we have to send you multiple reminders. These type of things may be noted by programs, as it may reflect on your professionalism.  Also, get on your interviews a few minutes early if virtual. </t>
  </si>
  <si>
    <t xml:space="preserve">Shoot, I missed sending interview items for one school. I got one reminder from the PC and I sent it promptly after that. She appreciated my timeliness. Would this look bad? &lt; Same PC - It's fine after 1 reminder. I have had some applicants where I have to send multiple reminders. We are not allowed to let people interview until they have signed certain forms. </t>
  </si>
  <si>
    <t>(different) PC here: i don't think so unless they are super rigid.</t>
  </si>
  <si>
    <t>Thank you PC's! &lt; Truly thankful to have y'all commenting on this page! +1</t>
  </si>
  <si>
    <t>For the people interviewing with Northwell on Friday, did anyone hear anything from the program?</t>
  </si>
  <si>
    <t>Nope not yet, was also going to ask the same thing! &lt;&lt; Sent!</t>
  </si>
  <si>
    <t xml:space="preserve">Zucker at Staten Island </t>
  </si>
  <si>
    <t>Deleted: "is it standard for a program that you interviewed at to invite you to join in and experience one of their lectures?"</t>
  </si>
  <si>
    <t xml:space="preserve">PD has done a lot to improve culture in last 3 years, residents praised him in social and interview, all attendings and residents seem to have good relationships. several attendings came back after fellowship to work there. only red flag for me is no night float. otherwise seems like a solid and supportive program that enjoys teaching. </t>
  </si>
  <si>
    <t>PC here: no&lt; so should this be seen as a positive thing?&lt;&lt; probably depends on the program imo &lt;&lt;PC here... i don't think a positive in terms of they like you more than another. I think each program designs their interview process differently and this is their way to give you a broader picture. We're not allowed to do second looks for individuals - it must be offered to all &lt;&lt; I did not know this. Thank you!</t>
  </si>
  <si>
    <t>i've seen this happen at a single program where they invite those who will interview to join (virtually) their grand rounds</t>
  </si>
  <si>
    <t xml:space="preserve">Gen surg residency at SIUH is plagued by serious issues, starting with a pervasive toxic culture that impacts not just the surgery dept but the entire hospital. One notoriously difficult resident is at the center of this hostile environment, and leadership has repeatedly failed to take meaningful action. If you’ve ever worked at SIUH, you know who this is. Wellness is clearly an afterthought...recently, the program director’s so-called “wellness” talk turned into a self-congratulatory monologue with little practical advice or genuine concern for residents. If you’re considering this program, seriously think twice, especially if you’re looking for a program that values its residents’ well-being. </t>
  </si>
  <si>
    <t xml:space="preserve">Some programs are mentioning second looks options available at the end of the interviews &lt;&lt; Yes. They are trying to do it AFTER programs match so it will not affect applicant, but can still help them decide. </t>
  </si>
  <si>
    <t>&lt;- So by your account, "one notoriously difficult resident" is responsible for your entire negative view of every single program at the entire hospital? Seems legit</t>
  </si>
  <si>
    <t>q3-q6</t>
  </si>
  <si>
    <t>Sunrise</t>
  </si>
  <si>
    <t>Re: Program Invite: Do we sign and send their recording and distribution agreement they've attached in the interview confirmation mail??</t>
  </si>
  <si>
    <t>$1800 housing stipend, $2500 conference stipend if presenting</t>
  </si>
  <si>
    <t>NORTH CAROLINA</t>
  </si>
  <si>
    <t>how does SOAP work for prelim can someone explain</t>
  </si>
  <si>
    <t>SOAP usually has mostly Prelim surgery spots, maybe less than 5 cat surgery spots. Can only select 45 program spots to apply too.</t>
  </si>
  <si>
    <t>45 out of how many usally?</t>
  </si>
  <si>
    <r>
      <rPr>
        <rFont val="arial,sans,sans-serif"/>
      </rPr>
      <t xml:space="preserve">Look up NRMP data on website: for Cat Gen Surgery PGY1 spots, there were 1,717 spots offered, only 5 spots unfilled. For Prelim Gen Surgery PGY1 spots, there were 1,152 spots offered, with 549 spots unfilled. Source: </t>
    </r>
    <r>
      <rPr>
        <rFont val="arial,sans,sans-serif"/>
        <color rgb="FF1155CC"/>
        <u/>
      </rPr>
      <t>https://www.nrmp.org/match-data/2024/06/results-and-data-2024-main-residency-match/.</t>
    </r>
    <r>
      <rPr>
        <rFont val="arial,sans,sans-serif"/>
      </rPr>
      <t xml:space="preserve"> If you have to SOAP, you will have 1 hour between being notified of not matching and when SOAP opens - programs with unfilled spots will be listed for every specialty. </t>
    </r>
  </si>
  <si>
    <t xml:space="preserve">Campbell </t>
  </si>
  <si>
    <t>&lt; I knew this is how it works but seeing it typed out still strikes a new level of fear into my heart</t>
  </si>
  <si>
    <t>PC - The one plus side is that it is quick and more direct. We can be like "we like you, here is a job" It's kinda like getting a job in the regular world.   &lt;   oh so those who SOAP know they match to a program at that time? they dont find out by surprise on match day? its like pre-matching during that week?</t>
  </si>
  <si>
    <t>One program as part of interview mentioned, apply to prelims , we pick you in case you get lost in ranking!!!. 
My mindvoice, if you didn't rank me high to pick I would rather go who rank me high than to take this prelim track!!!</t>
  </si>
  <si>
    <t xml:space="preserve">Carolinas Med center </t>
  </si>
  <si>
    <t>what are the ii dates for arizona Tucsons prelim? and any openings?</t>
  </si>
  <si>
    <t>residents were extremely nice and you could tell they spent time together and liked each other, felt like a very welcoming program; IV were a lot more standardized questions that were scenario based</t>
  </si>
  <si>
    <t>Is anyone sending thank you emails to interviewers and what are your guys' thoughts on this practice?+1</t>
  </si>
  <si>
    <t>And if you are... are you sending to all interviewers or just the PD?</t>
  </si>
  <si>
    <t>I am choosing to send to the PD (or APD if that is who I interviewed with) and cc'ing the PC. Some interview days are with far too many people to send individualized emails to each of them. This is just my personal decision however.</t>
  </si>
  <si>
    <t>$750/quarter</t>
  </si>
  <si>
    <t>sent none, was told they're annoying to get &lt;&lt; PC here: i wouldn't say they are annoying. Each program will take TY notes into consideration differently and definitely hold more weight with some programs. If you are sending them, i'd recommend sending a really short one (a few sentences) but make sure they aren't form TY notes... they usually get shared with the PD/PC so we'll end up reading them all. I would just say "Thank you for interviewing me today. I really enjoyed learning X. I think this would be a wonderful program to train at." or something along those lines.</t>
  </si>
  <si>
    <t>Free loupes, $1900/yr CME fund</t>
  </si>
  <si>
    <r>
      <rPr/>
      <t xml:space="preserve">&lt; </t>
    </r>
    <r>
      <rPr>
        <b/>
      </rPr>
      <t>Why positive?</t>
    </r>
  </si>
  <si>
    <t>Has anyone heard from UofA Tucson regarding interview schedules or links for upcoming interviews?</t>
  </si>
  <si>
    <t xml:space="preserve">They sent a nice handwritten note in the mail and matched me with a resident to chat before the interview date, which was nice. The entire day was very organized and everyone was friendly. PD had very clearly read my app. </t>
  </si>
  <si>
    <t xml:space="preserve">i have my IV on wednesday with them , 
but no zoom link
yet. i am freaking out too. I emailed &amp; left them 
a voicemail too. No reply </t>
  </si>
  <si>
    <t xml:space="preserve">Mixed impression. Amazing clinical training and research resources (although program only funds 50% of time, so either 1 year or 1/2 of funding for 2 years). Overall culture gives off elistist vibes. </t>
  </si>
  <si>
    <t>Okay makes me feel better that we are all on the same boat</t>
  </si>
  <si>
    <t>anyone thinking about dropping hopkins prelim?</t>
  </si>
  <si>
    <t>PLEASE</t>
  </si>
  <si>
    <t>East Carolina U</t>
  </si>
  <si>
    <t>What programs provide travel funding for research and how much?</t>
  </si>
  <si>
    <t>You have to ask the programs you interview at</t>
  </si>
  <si>
    <t>Well no duh. Just trying to get some information about other places to understand whats normal/competitive</t>
  </si>
  <si>
    <t>So you're limited by both funding and days allowed to take off for this. Some programs offer virtually unlimited travel funding for posters/presentations. Some it's 1-2 per year. In terms of amount of funding, I think many programs cap each conference at $1500-2000. Some provide an amount per year that you can use as you see fit, I've seen as low as $1000... some even make you take it out of your yearly education funding. Some programs provide just one conference per year for presentation/poster. Typically at least one conference per residency can be reimbursed without having to present anything. Some programs allow more than 1 per residency. In terms of days off it varies - some programs present like a 3-5 day cap per year on days for conferences - others express that basically we can figure it out within reason. Overall a lot of variation. Hope this helps.</t>
  </si>
  <si>
    <t>Anyone have any advice for MGH Panel Interview? Whats it like? +1</t>
  </si>
  <si>
    <t>Very pleasant + organized/efficient
IV. Almost entirely conversational 
with very few structured questions, 
felt like they wanted to get to know 
me and offered discussion with 
intent to truly help me decide if the 
program was a good fit for myself.</t>
  </si>
  <si>
    <t>Help re: Rush! Anyone know if they just don't do a social? I'm supposed to interview there 11/19 and can't find anything about a social the evening before (aka tonight!)</t>
  </si>
  <si>
    <t>They don't do a social - you spend a good amount of time in the resident breakout room during your interview day!</t>
  </si>
  <si>
    <t xml:space="preserve">Novant </t>
  </si>
  <si>
    <t>What are these pre-interview surveys on Thalamus, and do we have to complete them for each program?</t>
  </si>
  <si>
    <t>I haven't gotten one for every program…where would they be found? &lt;&lt; on thalamus at the bottom of main page &lt; I see the surveys but don't have any to complete. does every program do these?</t>
  </si>
  <si>
    <t xml:space="preserve">Pretty relaxed interview, very nice faculty and residents. I felt like at times they kinda brushed off some of my questions (moreso during resident social) about the facilities etc. </t>
  </si>
  <si>
    <t>Very open and conversational interviews, supportive faculty, good culture of resident group. Limited vacation and salary compared to other programs</t>
  </si>
  <si>
    <t>Why negative? &lt;benefits were not as impressive. No free parking, limited meal stipend. But mostly the residents felt disconnected and seemed very uninterested in answering questions honestly during the social</t>
  </si>
  <si>
    <t>I felt like the vibes during social were great - all of the categorical interns were at one of their houses hanging out and chatting. but agree about benefits. While faculty were nice, questions were not very personal (except from Dr. Reid)</t>
  </si>
  <si>
    <t>has anyone who interviewed at ohio state received the email with contact info for our interviewers?</t>
  </si>
  <si>
    <t>Most contact emails are firstname.lastname@osumc.edu</t>
  </si>
  <si>
    <t>$700/year stipend</t>
  </si>
  <si>
    <t>Factored into salary - fee per semester/year</t>
  </si>
  <si>
    <t>are people on iv swap plannig to drop if a swap doesnt work?</t>
  </si>
  <si>
    <t>PD &amp; APD super nice and chill in terms of IV style, mostly conversational, 6 IVs and all had clearly read my CV in depth, new chair this year (previous chair retired) but there is a push towards a more academic style institution, a resident mentioned there is talks of mandating research but no faculty spoke on this</t>
  </si>
  <si>
    <t>That probably depends on the person and their unique situation</t>
  </si>
  <si>
    <t>Good vibes, really liked the PD, he clearly read my whole app. Residents seemed tight knit. Emphasis on resident run services. New chair- wants leaders, vision, more research, more impact.</t>
  </si>
  <si>
    <t>not planning to drop mine, just a much less convenient day if i end up stuck with it</t>
  </si>
  <si>
    <t>&lt;&lt; this place is a "blue collar" place that doesn't treat you like shit and i think that comes through. the residents are great and messy/problematic ones are dealt with promptly. PD is great.</t>
  </si>
  <si>
    <t>On call stipend</t>
  </si>
  <si>
    <t>Has Nassau University sent out invites yet? Did not see anything on the II by program tab.</t>
  </si>
  <si>
    <t>Free loupes, 403b retirement match, each class has own work room/office</t>
  </si>
  <si>
    <t>Yes they have</t>
  </si>
  <si>
    <t xml:space="preserve">Womack Army MC </t>
  </si>
  <si>
    <t>Anyone see the II drops for places like WashU and Mayo and get sad that they're nowhere near being in a position to drop interviews, let alone at top 5's? &lt;&lt; I'm one of these people. Look I rather have 3 more interviews than have to waste 3 days for an in person interview;</t>
  </si>
  <si>
    <t>&lt; some of these only had like 2 interview dates so its possible its a forced drop because they already had interviews and prioritized that place over these</t>
  </si>
  <si>
    <t>&lt; also going to make yourself miserable comparing yourself to others +1</t>
  </si>
  <si>
    <t xml:space="preserve">Vidant </t>
  </si>
  <si>
    <t>Can people update Interview Openings as able?+1</t>
  </si>
  <si>
    <t>NORTH DAKOTA</t>
  </si>
  <si>
    <t xml:space="preserve">Anyone know anything about VMF-St. Joseph's program? Their website doesn't say much in terms of the kind of cases they get, where their residents end up going, etc.  There is no pre-interview social. No other information given. </t>
  </si>
  <si>
    <t xml:space="preserve">there was a meet and greet months ago posted on Reddit. seems like a very supportive place with good fellowship opportunities (even pediatric!). huge case load according to the residents spread across their 3 rotating hospitals </t>
  </si>
  <si>
    <t>Thanks! Is there a social held this cycle? What are the fellowship matches like?</t>
  </si>
  <si>
    <t>Why is UMiami in person interview from 6:45 am to 5 pm?? That's over 10 hours</t>
  </si>
  <si>
    <t>There are tons of faculty to interview with and its a huge campus to tour. Plus Miami is a hard working program.The interview selects for that mindset.</t>
  </si>
  <si>
    <t>U North Dakota</t>
  </si>
  <si>
    <t>Anyone know any info about Santa Barbara Cottage social? And was anyone able to get access to the preinterview lectures they wanted us to watch? Mine said my email didn't have access</t>
  </si>
  <si>
    <t>i also had an issue accessing the PPTs and sent veronica an email. havent heard back yet. glad to know it wasn't just me!</t>
  </si>
  <si>
    <t>I emailed her as well and hadn't heard back. Definitely glad we're in the same boat!</t>
  </si>
  <si>
    <t>OHIO</t>
  </si>
  <si>
    <t>Anyone still planning to drop ivs?</t>
  </si>
  <si>
    <t>Maybe Monday when ortho comes out &lt;&lt; is this the last sub that still didnt send ii? &lt; yes &lt; are there people dual applying that? seems like a much rarer combination considering you cant go GS to ortho fellowship as far as i am aware</t>
  </si>
  <si>
    <t>i will be dropping a few soon at the places where my couples match partner and i weren't able to both get interviews at</t>
  </si>
  <si>
    <t xml:space="preserve">Akron General </t>
  </si>
  <si>
    <t>I am a Non-US IMG, fresh graduate. I have not recieved a lot of categorical invites, but do have a couple prelims. Is it difficullt to match again from a prelim posistion?I have heard prelims have not recieved a lot of invites this year. And advice would be appreciated on whether i should consider doing a prelim, or reapply next year with more research experince/ better CV?</t>
  </si>
  <si>
    <t xml:space="preserve">how many cat do you have?&gt;&gt;2 &gt;&gt; how many prelim?&gt;&gt; I would rank the cat above the prelims in ROL.  As others mentioned,  prelim is better than research year.  Also, research years for most imgs are usually unpaid in big name institutions. So you gotta have very strong financial backup to survive 1-2 years on your own if you decide to do postdoc. </t>
  </si>
  <si>
    <t>Take the prelim for sure +2</t>
  </si>
  <si>
    <t>Should we read into it either way whether or not we get a response to emailed interview thank you note? Do most attendings not respond?</t>
  </si>
  <si>
    <t xml:space="preserve">Most attendings do not respond. Conversely, don't be deceived by positive responses which mean nothing &lt; +4  </t>
  </si>
  <si>
    <t>thanks !</t>
  </si>
  <si>
    <t>Should we be reaching out again if we get no response from LOIs?</t>
  </si>
  <si>
    <t>&lt; no +5</t>
  </si>
  <si>
    <t xml:space="preserve">Case Western MetroHealth </t>
  </si>
  <si>
    <t>Round after round of behavioral questions. Was pretty exhausting tbh. +emphasis on trauma.</t>
  </si>
  <si>
    <t>Most interviewers did not look at my application (by design) and it was exhausting trying to tell them extremely basic information about me for context and also answer their questions (i.e. "when I did x research project, listed as my most significant extracurricular--" "you did x research??")</t>
  </si>
  <si>
    <t>do anny surgery programs do prematch offers?</t>
  </si>
  <si>
    <t>isnt this illegal&lt; I'm curious. I know of 2 programs that pre match, neither of which are particularly good. they interview and then send contracts to those they want, ensuring that they pull out of the match &lt; 2 programs that are part of gen surg in ERAS? I thought ERAS participating programs are not allowed to do so</t>
  </si>
  <si>
    <t xml:space="preserve">Case Western UH </t>
  </si>
  <si>
    <t>UT tyler openings?</t>
  </si>
  <si>
    <t xml:space="preserve">I like a lot about the program, but multiple interviewers didn't seem at happy to be interviewing and not sure they really looked at my app. Mostly standard behavioral questions, many of which were repeated throughout the interiew day which feels silly. PD was friendly. </t>
  </si>
  <si>
    <t>The repeated behavioral questions were silly, agreed. Seemed to have strong support for those wanting to apply surg onc.</t>
  </si>
  <si>
    <t>anyone else at 1/15 signals</t>
  </si>
  <si>
    <t>LOL me</t>
  </si>
  <si>
    <t>2/15 for me rn lol +2</t>
  </si>
  <si>
    <t>Signals was joke, I had 3/15 interview but have 10+ from non signals.</t>
  </si>
  <si>
    <t xml:space="preserve">CCF South Pointe  </t>
  </si>
  <si>
    <r>
      <rPr>
        <rFont val="arial,sans,sans-serif"/>
      </rPr>
      <t>anyone know anything about</t>
    </r>
    <r>
      <rPr>
        <rFont val="arial,sans,sans-serif"/>
      </rPr>
      <t xml:space="preserve"> Midwestern University/Mountain Vista</t>
    </r>
    <r>
      <rPr>
        <rFont val="arial,sans,sans-serif"/>
      </rPr>
      <t xml:space="preserve"> as a program? cant find anything about it on this years sheet and all other years as well, any review would help thanks</t>
    </r>
  </si>
  <si>
    <t xml:space="preserve">also would like to know! </t>
  </si>
  <si>
    <t>Friendly resident social, people seem pretty happy, PD seems really tuned in to residents. Doesn't sound like peds/surg onc research opportunities are best though. +2</t>
  </si>
  <si>
    <t>For those who are adding prelim programs now, how are you deciding where to apply? I know it's crucial to find a program that has great placement rate for prelims but how do we figure that out?  +2</t>
  </si>
  <si>
    <t xml:space="preserve">Jewish Hosp Cincinnati Mercy </t>
  </si>
  <si>
    <t xml:space="preserve">How are you guys answering the questions like you need to place a chest tube but no one from ur seniors is answering </t>
  </si>
  <si>
    <t xml:space="preserve">Run it up the chain (aka fellow or attending) or ask for help from another specialty like EM or guidance from nursing staff </t>
  </si>
  <si>
    <t>Thank you</t>
  </si>
  <si>
    <t xml:space="preserve">Kettering Health </t>
  </si>
  <si>
    <t xml:space="preserve">Looking to swap interview dates for Henry Ford Macomb! Listed it in the IV swap tab </t>
  </si>
  <si>
    <t xml:space="preserve">Mercy St Vincent </t>
  </si>
  <si>
    <t>Has Lennox Hill sent prelim interviews?</t>
  </si>
  <si>
    <t>they have barely even answered anyone they offered a cat invite to about the date lol</t>
  </si>
  <si>
    <t>PC emailed today w my interview date (categorical)</t>
  </si>
  <si>
    <t>What time? Person or Virtual? &lt; all virtual</t>
  </si>
  <si>
    <t>What time did you hear back from pc</t>
  </si>
  <si>
    <t>&lt;11/14 @ 5:27pm CST</t>
  </si>
  <si>
    <t xml:space="preserve">Mount Carmel </t>
  </si>
  <si>
    <t>Are UT San Antonio Interviews virtual or in person?</t>
  </si>
  <si>
    <t>the social is through zoom so I was under the assumption the interview was also virtual since it didn't say otherwise</t>
  </si>
  <si>
    <t>Okay! thank you! I wanted to confirm because it didn't say anything about the interview</t>
  </si>
  <si>
    <t>For of those of y'all who have done an interview with UTMB already, what time were the interviews at on both days?</t>
  </si>
  <si>
    <t>&lt; in person or virtual? &lt;&lt; in person &lt; I don't know much about in person, sorry :( I did virtual</t>
  </si>
  <si>
    <t xml:space="preserve">Riverside Methodist (OhioHealth) </t>
  </si>
  <si>
    <t>Inperson midday 2-3 pm just 15 mts for each to meet Cheif, social was 6 pm and it was open for folks to join for drinks with residents. Interview was next day 9 - 2 pm.. They did say it will be two day to plan &lt;&lt; thank you!</t>
  </si>
  <si>
    <t>any one get prelim from UTSW</t>
  </si>
  <si>
    <t>not yet</t>
  </si>
  <si>
    <t xml:space="preserve">St Elizabeth/NEOMED </t>
  </si>
  <si>
    <t>img so not that familiar with COL but 58k is very low right ? its on the website for a program in Michigan</t>
  </si>
  <si>
    <t>58k is fine for most places outside of cities. I made 60k a year before medical school and was living very comfortably in a decently expensive city &lt;&lt; thanks</t>
  </si>
  <si>
    <t>Michigan's per capita personal income is $61k (median household income in Michigan is $78k). So 58k is pretty close to an average job</t>
  </si>
  <si>
    <t>You can just live with that, savings will be limited</t>
  </si>
  <si>
    <t xml:space="preserve">Summa Health System/NEOMED </t>
  </si>
  <si>
    <t>Summa Health was purchased by General Catalyst and is now a for-profit hospital. No more PSLF, and patient care is going downhill.</t>
  </si>
  <si>
    <t>https://en.wikipedia.org/wiki/General_Catalyst</t>
  </si>
  <si>
    <t>Do all programs have waitlists? Or do some programs just keep the applications available. I am a non-US IMG, but not on any waitlist, even at the programs I signaled or sent LOI to. Should I still continue to hope, or is it all done?</t>
  </si>
  <si>
    <t>some programs send out more when people cancel</t>
  </si>
  <si>
    <t>Thank you so much! I hope that next week will be better!</t>
  </si>
  <si>
    <t>i applied to over 100 places and have only seen a small number of confirmed rejections or waitlists or interviews; most of my applications are just radio silence right now. I think we should keep up hope for anywhere that hasn't sent us a rejection yet &lt;&lt; Hope is all we have left! &lt;3 Good luck everyone!</t>
  </si>
  <si>
    <t>Do you think it is still worthwhile to send LOIs? Also, is there a 'limit' to how many LOIs you can send?</t>
  </si>
  <si>
    <t>send to your signals thats the best shot</t>
  </si>
  <si>
    <t>There really isn't a limit though</t>
  </si>
  <si>
    <t xml:space="preserve">Great interview day. I enjoyed all of my conversations a lot. They asked very specific, personal questions which I really liked. </t>
  </si>
  <si>
    <t>A number of the faculty have left Summa as they no longer quality for PSLF.</t>
  </si>
  <si>
    <t>&lt;-this is just not accurate. -rotating student</t>
  </si>
  <si>
    <t>Has anyone heard from St. Elizabeth (Boston)?</t>
  </si>
  <si>
    <t>Not me&lt;&lt; Take this with grain of salt but heard the hospital is closing?</t>
  </si>
  <si>
    <t>Not closing affliated with bmc now</t>
  </si>
  <si>
    <t xml:space="preserve">OhioHealth/Doctors </t>
  </si>
  <si>
    <t>Explain pls?</t>
  </si>
  <si>
    <t>Laid back. Strong trauma program</t>
  </si>
  <si>
    <t>Is it inappropriate in any way during an interview to say that you talked with one of the current residents about this program because they came from your medical school? I talked with a resident about a program that I'm interviewing at and she said great things about it, but I wasn't sure if I avoid mentioning that during my interview.</t>
  </si>
  <si>
    <t>you can just say u heard good things about the porgram no need for how to be mentioned i think if they ask u can reply</t>
  </si>
  <si>
    <t>I mentioned about my senior and close friend working as resident in interview and didn't get second interview!!!</t>
  </si>
  <si>
    <t>PC here - it don't think it would make a difference unless that resident didn't have positive things to say about you. These kinds of connections happen every year and the resident will often bring it up at some point that they know you.</t>
  </si>
  <si>
    <t>You have to be careful with name dropping because you never know if perhaps they don't like your friend/peer or what not. So I say, just say you have heard great things and move on. Unless you know they get along well. &lt;&lt;+2</t>
  </si>
  <si>
    <t xml:space="preserve">OSU </t>
  </si>
  <si>
    <t>Is one brooklyn health/brookdale only pre-match?</t>
  </si>
  <si>
    <t xml:space="preserve">no </t>
  </si>
  <si>
    <t>Awesome research and clinical experiences. Seems heavy on fellows but program is making efforts to improve other site rotations. Robotic training is strength. Culture is a little off but might have been the small number of residents i interacted with</t>
  </si>
  <si>
    <t>What was off about culture?</t>
  </si>
  <si>
    <t xml:space="preserve">&lt; Chief resident gave a talk about how life is pain and suffering &lt;&lt; Interesting, I found that talk inspirational, relatable, and poetic. I think it goes to show different people vibe with different programs. It is worth going to interviews with open mind and judging for yourself! &lt; totally agree, the talk and overall IV day was very postitive imo </t>
  </si>
  <si>
    <t xml:space="preserve">seems like a few people put negative... was it just the chief talk or something else?  &lt; Seems very fellow heavy and residents talked about this throughout interview day &lt; PD seems excited about new Community and rural partnerships, but stated that she got push back from other faculty that letting residents operate with "lesser community surgeons" would tarnish the prestige of the program. That just didn't sit right with me. </t>
  </si>
  <si>
    <t>&lt;&lt; very elitist vibes. like who do you think you are? &lt; I mean they are a top 10 surgical program &lt; doximity ranks mean nothing lol &lt; they do if you want to go into academic surgery and a competitive fellowship after residency</t>
  </si>
  <si>
    <t xml:space="preserve">For USDO's how many interviews do y'all think is a safe number? Feel like interview numbers are especially down for us :/ </t>
  </si>
  <si>
    <t xml:space="preserve">&lt;yeah I am not sure, I am couples matching too so my case is a bit different. I was thinking 15 ? </t>
  </si>
  <si>
    <t xml:space="preserve">Last year, for the DO-matched applicant, they ranked 10.7 programs in general surgery. They say this year might be lower because of signals but who knows! </t>
  </si>
  <si>
    <r>
      <rPr>
        <rFont val="arial,sans,sans-serif"/>
        <b/>
      </rPr>
      <t xml:space="preserve">&lt; matched with 12 last year&lt; </t>
    </r>
    <r>
      <rPr>
        <rFont val="arial,sans,sans-serif"/>
        <b val="0"/>
      </rPr>
      <t>Thank you for this feedback!</t>
    </r>
  </si>
  <si>
    <t xml:space="preserve">TriHealth Good Samaritan </t>
  </si>
  <si>
    <t>Friendly, welcoming, residents seem happy.</t>
  </si>
  <si>
    <t>for LOI, do you have to send it to the PD as well? what if you don't have the email, is the PC enough? I just sent a bunch and didn't get any responses so not sure if they are receiving them or if they are going to the right person. I'm just sending to the emails listed on their webiste.</t>
  </si>
  <si>
    <t>I was told to send to PD and cc the PC since the PD is who ultimately makes the decision</t>
  </si>
  <si>
    <t>I sent to PC only if I could not find the email of the PD, otherwise I did both like cc PC and email PD</t>
  </si>
  <si>
    <t xml:space="preserve">U Cincinnati </t>
  </si>
  <si>
    <t>has anyone who received an interview at UIC Chicago also received an interview at UIC Sinai? +1</t>
  </si>
  <si>
    <t>No +1</t>
  </si>
  <si>
    <t xml:space="preserve">I had a great time on the interview day. All my interviewers were so chill and nice and had read my app (except maybe 1). I will say, though, they make you do 7 ppl interviews almost nonstop. Great research and clinical experiences. Residents were welcoming </t>
  </si>
  <si>
    <t xml:space="preserve">&lt;&lt;&lt; massively echoing that sans the cliquey feeling with the residents. It's clear the junior level vs senior levels are close because the mandatory 2 research years splits them from clinic for a while but they still seem pretty close. FANTASTIC experience. Also you get 2 breaks scheduled in throughout the day </t>
  </si>
  <si>
    <t xml:space="preserve">&lt;&lt; +1 to both; shot up in my ranks, was honestly very impressive IV </t>
  </si>
  <si>
    <t>do you send letter of interest to PD and PC and also APD? or leave out APD</t>
  </si>
  <si>
    <t>PC here: leave out APD unless the program tells you to include them</t>
  </si>
  <si>
    <t xml:space="preserve">U Toledo </t>
  </si>
  <si>
    <t>PD and all other faculty are very kind and welcoming, residents seem to really like each other and spend a good amount of time together outside of work</t>
  </si>
  <si>
    <t xml:space="preserve">Alright guys, this is a question that bothers me. One of the applicants has 20+ paper publications. I only have 3 publications. Yet we both got interviews at this top program. I don't understand how I got the interview, but now I am having doubts that the other applicant will be ranked higher than me regardless of how I interview. Should I give up on this program? Are all people who get an interview truly similar in terms of caliber? And is it the interview that truly matters after you get the interview? </t>
  </si>
  <si>
    <t>this is insane? since when are publications the only metric that matters. Maybe they have 20+ publications but not great LOR or lower step score. Regardless you earned the interview. Be yourself, be kind and smart and knock it out of the park
saying youre gonna give up before an interview because of less research is the exact attitude that is gonna make you perform poorly during an interview and be ranked lower  &lt;&lt; thanks homie, i needed to hear this. I am  going to try hard. &lt;&lt; you belong here!!</t>
  </si>
  <si>
    <t>good luck OP! &lt;&lt; &lt;3</t>
  </si>
  <si>
    <r>
      <rPr>
        <rFont val="arial,sans,sans-serif"/>
        <b/>
      </rPr>
      <t>PC here:</t>
    </r>
    <r>
      <rPr>
        <rFont val="arial,sans,sans-serif"/>
        <b val="0"/>
      </rPr>
      <t xml:space="preserve"> number of publications wouldn't have an impact for us. we're looking at all parts of your application and as someone else said, they might have a lot of publications but other aspects of their application might not be as strong as yours. </t>
    </r>
    <r>
      <rPr>
        <rFont val="arial,sans,sans-serif"/>
        <b val="0"/>
        <i/>
      </rPr>
      <t>My two cents: if you are doubting yourself, that will come across in your interview. That will have more of an impact on how you're ranked than how many publicatoins you have.</t>
    </r>
    <r>
      <rPr>
        <rFont val="arial,sans,sans-serif"/>
        <b val="0"/>
      </rPr>
      <t xml:space="preserve"> Keep in mind, the folks who invited you probably have a lot of experience in reviewing applications and you were chosen for a reason. Best of luck! &lt;&lt; Thank you very much, this is reassuring! I am going to focus on the positive aspects of my application :) </t>
    </r>
  </si>
  <si>
    <t xml:space="preserve">Western Reserve </t>
  </si>
  <si>
    <t>can someone update university of chicago openings please</t>
  </si>
  <si>
    <t>Updated</t>
  </si>
  <si>
    <t>anyone else think its hopeless to keep waiting for more ii at this point? I was hopeful for some movement after subspecialty drops but honestly I don't even know that many people who are dual applying these days... all I can do is keep blasting LOIs &lt; plastics applicants will likely find out tomorrow if they were able to schedule II that work with their schedule so I wouldn't expect to see movement/dropped gen surg interviews until the end of the week</t>
  </si>
  <si>
    <t xml:space="preserve">Western Reserve NEOMED </t>
  </si>
  <si>
    <t>If drops happening this week it may take a week for programs to re-review their waitlists/applicants to decide who to invite? Now is a good time to ask mentors to advocate for you</t>
  </si>
  <si>
    <t xml:space="preserve">The problem is that things have turned more virtual now. The top applicants (not me) are hoarding all the interviews so that the rest of the people don't get any interviews. It used to be that the top applicants (again not me, so don't blame me lol) would have to drop interviews to make all the in person ones. </t>
  </si>
  <si>
    <t>To be fair aren't a lot of the subspecialty interviews in person?</t>
  </si>
  <si>
    <t>&lt; Yes and they are in person for the purpose of forcing applicants to attend the interviews of the programs they're most interested in. Sometimes there are not flights available that make it possible to attend an interview at Progam X on Thursday and Program Y on Friday</t>
  </si>
  <si>
    <r>
      <rPr>
        <rFont val="arial,sans,sans-serif"/>
        <b val="0"/>
      </rPr>
      <t>I know someone who has 30 interviews and planning to keep, sometimes it is bad outliers that scares the people and as rightly said it is eaiser ot interview atleast 8 a week</t>
    </r>
    <r>
      <rPr>
        <rFont val="arial,sans,sans-serif"/>
        <b/>
      </rPr>
      <t xml:space="preserve"> </t>
    </r>
  </si>
  <si>
    <t xml:space="preserve">Not hopeless. I got 3 more interview invites this week. One of them said they had a spot open up suddenly so I assume I was on a waitlist. Don't lose hope. </t>
  </si>
  <si>
    <t xml:space="preserve">Please drop interview invites if you do not plan on going there. thanks! </t>
  </si>
  <si>
    <t>Anyone know anything about South Brooklyn Health/NYC Health &amp; Hospitals as a program?</t>
  </si>
  <si>
    <t>not good &lt;3  &lt; Can you please explain?</t>
  </si>
  <si>
    <t xml:space="preserve">Wright State </t>
  </si>
  <si>
    <t>Explain?</t>
  </si>
  <si>
    <t>Anyone apply to both prelim/categorical at Penn and only get rejection from one of them?</t>
  </si>
  <si>
    <t xml:space="preserve">got both but not the exact time +1&lt;&lt; thanks </t>
  </si>
  <si>
    <t>OKLAHOMA</t>
  </si>
  <si>
    <t>is anyone still waiting to hear about interview date from Lennox Hill??? please tell me I am not alone. Heard they would be finalized by the end of this week.</t>
  </si>
  <si>
    <t>Also have not heard yet +3</t>
  </si>
  <si>
    <t>gaslighting myself into thinking I hallucinated their II</t>
  </si>
  <si>
    <t>are Lennox Hill interviews in person?</t>
  </si>
  <si>
    <t>Should I be worried if I only have 10 IIs including one from my home institution?</t>
  </si>
  <si>
    <t>no &lt; do explain pls &lt; 10 is a strong number! &lt; OP: I am sorry if I sound neurotic but I was told by my college advisor that there is still a chance of not matching...not sure if they were just trying to manage expectations</t>
  </si>
  <si>
    <t>same my college advisor said 14 is safe number and advised o write LOIs for signal ones &lt; Same. Have you heard back from any of the LOIs?+1</t>
  </si>
  <si>
    <t>Oklahoma State</t>
  </si>
  <si>
    <t xml:space="preserve">Overall not a bad experience, just a wierd format. Weird interview format: 15 min with all the residents in the room and another 15 min with core faculty, APD, and PD. The interview with the residents was a bit odd, even got asked me the same question twice lol. Interview with the faculty mainly had one person asking the questions. </t>
  </si>
  <si>
    <t>Hey where can I find why a program received an accreditation with warning?</t>
  </si>
  <si>
    <t>I look on Residency explorer for each program. I don't know if there is a better way</t>
  </si>
  <si>
    <t>has st. elizabeth in boston sent out their invites yet?</t>
  </si>
  <si>
    <t xml:space="preserve">&lt; I have not heard anything from them </t>
  </si>
  <si>
    <t>U Oklahoma</t>
  </si>
  <si>
    <t>INterviewers had clearly read my application and interviews were all very conversational</t>
  </si>
  <si>
    <t>received call from resident the night before in lieu of social which was very helpful, could ask questions one-on-one</t>
  </si>
  <si>
    <t>has NYMC bulk dropped their ii? not sure if appropriate to send LOI atp since does not seem like they mass released the first wave.</t>
  </si>
  <si>
    <t>I think they mass released</t>
  </si>
  <si>
    <t>University of Oklahoma -Tulsa</t>
  </si>
  <si>
    <t>I sent a wrong response to an email I recieved from a PC, I did correct it in the next email. Is this something I should be worried about? I just retured from a shift and was super tired, read the email wrong from exhaustion..</t>
  </si>
  <si>
    <t>You can always unsend the porevious message</t>
  </si>
  <si>
    <t>PD is very nice and personable and wants the best for residents. supportive culture. 1 on 1 interviews with 1 resident interveiw</t>
  </si>
  <si>
    <t xml:space="preserve">I don't think PC's really care as long as you correct it in the next email and apologize. </t>
  </si>
  <si>
    <t>Yes, did that! Thank you so much, feel better.</t>
  </si>
  <si>
    <t>cerner</t>
  </si>
  <si>
    <t>Anyone hear back about the NYU pre-interview social for this week? I replied to the PC but haven't heard anything yet</t>
  </si>
  <si>
    <t>which campus? Interviewing at brooklyn Thursday and got it this afternoon</t>
  </si>
  <si>
    <t>OREGON</t>
  </si>
  <si>
    <t>The main one, grossman. Anyone heard back? Please, I need to know</t>
  </si>
  <si>
    <t>Replied to confirm attendance, but no response yet. I'm sure it'll be tomorrow. &lt;&lt; god bless, thank you!</t>
  </si>
  <si>
    <t>Anyone have an invalid Zoom link for the Baystate social that's supposed to be happening right now?</t>
  </si>
  <si>
    <t>update: emailed the PC and got emailed a new link. Think it happened to a lot of people because there's still peeps trickling in</t>
  </si>
  <si>
    <t>is there a social for St.Joseph's University tonight? for interview tomorrow 11/13</t>
  </si>
  <si>
    <t>Very nice, lots of cultural green flags. Interviews felt short (20 min) especially bc each interviewer had 3 questions that they all asked of the candidates? So that part felt a bit redundant and weird, and took away from the more normal personal interview portion &lt; +1 lots of green flags, residents were awesome, lots of great training opportunities. Seems like residents have great relationships with attendings despite being big program. Will likely be ranking highly. +1</t>
  </si>
  <si>
    <t>Deleted: "I felt same, all three interviewers asked same question, they did mentione they were given questions to ask and I will find repetitive. I guess some sort of structured interview. Residents were friendly and were open to answer questions. I didn't feel like I had room to present varied way, more cookie cutter interview "</t>
  </si>
  <si>
    <t>Structured questions to reduce bias, I guess ranking will be entirely on LORs and scores</t>
  </si>
  <si>
    <t xml:space="preserve">It was good but the interview day was WAY too long. It was one session after another and another. </t>
  </si>
  <si>
    <t>Anyone write down their call schedule?</t>
  </si>
  <si>
    <t>Any interview drops after plastics released today?+1</t>
  </si>
  <si>
    <t>Samaritan</t>
  </si>
  <si>
    <t>SOS did MUSC ever send out a separate zoom link for the social tonight or do we use the same one as tomorrow? the doc they sent out said they'd send a new link but I never got one lol</t>
  </si>
  <si>
    <t>&lt;didnt get on either, planning to hop on the interview link lol</t>
  </si>
  <si>
    <t>"Does SUNY downstate really only have two interviews, one w the chair and then another faculty member?"</t>
  </si>
  <si>
    <t>PENNSYLVANIA</t>
  </si>
  <si>
    <t xml:space="preserve">Whats wrong w that? I've had interviews where it's only 2/3 interviews. </t>
  </si>
  <si>
    <t xml:space="preserve">I have an interview with downstate and it is the chair and then individual interviews with three faculty members, four total </t>
  </si>
  <si>
    <t>im interviewing with downstate and i have 5 interviews total so who knows how they're doing it &lt;&lt; you sure you don't have SUNY Upstate? &lt;&lt; yes im sure lol</t>
  </si>
  <si>
    <t xml:space="preserve">I think you have 4-5 </t>
  </si>
  <si>
    <t>Does anyone know when WashU is releasing in person interviews? Do they help pay for travel costs? +1</t>
  </si>
  <si>
    <t xml:space="preserve">There's virtual interviews still next week so at least 1-2 weeks until in person. Help pay? Probably not, I have 3 in person including UTSW who did the same dual interview process and no one has subsidized rooming or travel  </t>
  </si>
  <si>
    <t xml:space="preserve">Albert Einstein </t>
  </si>
  <si>
    <t>Some programs are paying for hotel (Pitt, Mayo)</t>
  </si>
  <si>
    <t>WashU is paying for hotels</t>
  </si>
  <si>
    <t>Can anyone share if there is any available interview spots at NYP-Queens? Couldn't find it on the interview openings tab</t>
  </si>
  <si>
    <t xml:space="preserve">Abington Memorial </t>
  </si>
  <si>
    <t>Anyone have contact info for Texas Health Resources? Trying to send a LOI, but can't seem to find an active email anywhere.</t>
  </si>
  <si>
    <t>ernestoberumen@texashealth.org is the PC</t>
  </si>
  <si>
    <r>
      <rPr/>
      <t xml:space="preserve">Interviewers were curious about my experiences, knew and complimented details of my application. Very dedicated to training excellent </t>
    </r>
    <r>
      <rPr>
        <b/>
      </rPr>
      <t xml:space="preserve">general </t>
    </r>
    <r>
      <rPr/>
      <t xml:space="preserve">surgeons </t>
    </r>
  </si>
  <si>
    <t>Interviewers seemed to have read at least some of my application. Residents - some were a bit reserved, some seemed pretty intense, some were nice and asked good questions. I got the vibe they are worked hard but get to operate. Pros included multiple recent examples of adapting the schedule/rotations to ensure residents are getting appropriate education</t>
  </si>
  <si>
    <t xml:space="preserve">Conemaugh </t>
  </si>
  <si>
    <t>Fron edit history: "When looking at fellowship matches, are you only looking at the number of residents who matched at a specific fellowship (ie surg onc) or where they matched? "</t>
  </si>
  <si>
    <t>from edit history: "where. a resident who isn't "competitive" for surg onc will self-select out of the application pool so it doesn't truly represent how many *intended* to do that specialty. for example, residents don't tend to apply to the specialty for whatever reason (limited exposure, no mentors, etc), or applies and doesn't match, then matches a different program that has a later cycle i.e. acs/trauma or MIS. match rate will still be 100% for the cohort, but doesn't represent # of candidates who felt they couldn't apply or failed to match of that specific specialty. location of match at least represents the strength of the candidate based on their program. "</t>
  </si>
  <si>
    <t xml:space="preserve">&lt;this person knows whats up &lt; current resident here ;) happy to offer advice and transparency! &lt; OP, happy to hear your perspective. &lt; I (current resident) posted the comment in C7!  I'm from a strong academic program with 100% match rate - but we regularly don't match 1 candidate/year to their intended match &lt;&lt; hey I don't see your comment in C7, but would you say where residents match for fellowship, especially the competitive ones, is more important than matching into said fellowships? </t>
  </si>
  <si>
    <t>&lt;  &lt; yes, but it's not everything. fellowship match is the same as residency match in that you need research, good board scores, strong letters (which will go further from strong mentors at strong programs). of course you can get all of those things independently, but going to a program that has a pipeline of sending their residents to strong programs represents a place where (1) residents get good didactics, enough to score well on boards, OR they select for good test takers from those with high STEP scores during admissions, (2) they have research minded faculty and other residents also working towards research so getting your name on things is easier than starting from scratch, and (3) can give you the right mentorship to get your foot in the door at where you want to end up. so seeing a candidate match at a top program, which presumably gets a lot of top applicants, may be indicative of the aforementioned qualities of the program. that being said, there are many people who match extremely well coming from other programs, but there is NOT a lot of transparency on how that process works. i would favor trends more than anything. does this program have a home fellowship of the specialty you're interested in? that's a huge bonus. does the program tend to REPEATEDLY match residents into these fellowships? where people match is important, but if a program consistently is able to match residents, that's also a bonus. *especially* if they send multiple residents /year in a specific field. for example, if everyone wants to do cardiac surgery, and the program is able to match 3 of their own residents (who presumably have the same CV since they are frmo the same program with the same opportunities), that is a good indicator that they place residents well</t>
  </si>
  <si>
    <t xml:space="preserve">Crozer-Chester </t>
  </si>
  <si>
    <t xml:space="preserve">For anyone who received an invite from Abington Memorial, did it specify whether it was for prelim or categorical? </t>
  </si>
  <si>
    <t xml:space="preserve">--yes it did </t>
  </si>
  <si>
    <t>is it worthwhile to send prelim gen surg applications now if we are worried about the number of invites we have? +3</t>
  </si>
  <si>
    <t>what number should we start thinking about sending prelims</t>
  </si>
  <si>
    <t>&lt;&lt; that's what I'm wondering, if we apply to prelims at this point should we also send an email out to those programs to notify them that we have just applied??</t>
  </si>
  <si>
    <t xml:space="preserve">Geisinger </t>
  </si>
  <si>
    <t>&lt;&lt; idk if it helps but I have 5 and my school told me no to prelims sooo</t>
  </si>
  <si>
    <t>Residents were incredibly nice and excited about program, all hanging out together, def actually like each other. Interviewers/faculty also v nice and PD seems to really care about finding people who fit the vibes</t>
  </si>
  <si>
    <t>PD asked why I didn't signal them; I think its obvious why and didn't appreciate that question +1</t>
  </si>
  <si>
    <t>Random, but do surgical residency programs cover the cost for step 3 and study tools like UWorld, TruLearn etc?</t>
  </si>
  <si>
    <t>Depends on the program - I've found some list this information on their GME benefits page</t>
  </si>
  <si>
    <t xml:space="preserve">Most I saw cover this cost and this info is on the benefits page for the program you are applying for, </t>
  </si>
  <si>
    <t>Guthrie</t>
  </si>
  <si>
    <t>???</t>
  </si>
  <si>
    <t>Did anyone hear from UCSF about interview confirmation?</t>
  </si>
  <si>
    <t>no +1</t>
  </si>
  <si>
    <t xml:space="preserve">Geisenger - Wilkes Barre </t>
  </si>
  <si>
    <t>For Rutgers NJMS, does anyone know when the meet and greet actually starts tomorrow?</t>
  </si>
  <si>
    <t>is there one? how do you know?</t>
  </si>
  <si>
    <t>Everyone was very nice, the social the night before showed that the residents actually liked each other (all together on one screen, drinking wine/beer, real laughter) -- interviews themselves were fairly laid back</t>
  </si>
  <si>
    <t xml:space="preserve">&lt;&lt; it's mentioned in the invite (the event itself, not the time) </t>
  </si>
  <si>
    <t>Lankenau Medical Center</t>
  </si>
  <si>
    <t>why negative? I didn't like the PD. I didn't feel like he was listening to me and seemed annoyed when I asked questions about the program</t>
  </si>
  <si>
    <t>Fair, some of the residents were joking he should retire too when I rotated there in third year</t>
  </si>
  <si>
    <t xml:space="preserve">If folks could double check the IV swap page to help some of us out, it would be so appreciated! (I'm personally needing a Hopkins switch, but lots of unfilled requests across board) </t>
  </si>
  <si>
    <t xml:space="preserve">Lehigh Valley </t>
  </si>
  <si>
    <t>Having to decide what's most important prestige vs QOL is gonna be a hard decision to make come February.</t>
  </si>
  <si>
    <t xml:space="preserve">Why negative? </t>
  </si>
  <si>
    <t>qol dawg. it's always qol. &lt;&lt; +1!!!  &lt; but what about matching into competitive fellowships or even if not competitive fellowships, competitive programs? Wouldn't prestige help with that? &lt; sure, but what's the point if your soul is broken by then &lt;&lt; Couldn't agree more. And if that is the life you want.. go for it. But don't say we didn't warn you. &lt;&lt; I'm sorry guys, I can't resist. I will be going for prestigious programs first. &lt; can I ask why you are choosing prestige over QOL? &lt;&lt; I feel that there will be more opportunities that will open if I go to a prestigious program. It is prestigious for a reason. Having that name attached to it makes it easier to trust the ability for the program to offer great network/mentorship which will help down the line. There is no QoL if you cannot get the fellowship you want</t>
  </si>
  <si>
    <t>people come from the smallest community programs and match into fellowships, if there is a will there is a way - you don't want to be in a malignant program where you don't touch an OR until PGY2 just for the name (in my personal opinion)</t>
  </si>
  <si>
    <t>At the end of the day, all programs graduate trained surgeons (that meet GME guidelines) - who go on to work in many of the same places - life is too short to decide solely based on prestige+1</t>
  </si>
  <si>
    <t>Do you want to be able to tell your family/friends you matched at a prestigious program or do you want to see your family/friends? &lt; how often do any surgery resident of any program see their family/friends? &lt; it's nice to see the residents at my program have kids and advocate for work life balance :) they're still fantastic in the OR</t>
  </si>
  <si>
    <t xml:space="preserve">Honestly I feel just at the end of the day different people will have different values and no one should let what anyone's opinions are sway them either way. If you value and care about a name, and don't mind if your QOL isn't as good (which honeslty prob isn't the case for all prestigous programs), I think that's valid! Same in the reverse if you just want to train to be a good surgeon and have a bit of a better balance at a program that isn't as big of a name that's fine too! Diff things will be better and work better for diff people :) </t>
  </si>
  <si>
    <t xml:space="preserve">&lt;-- thank you kind human </t>
  </si>
  <si>
    <t xml:space="preserve">Main Line/Lankenau </t>
  </si>
  <si>
    <t>Last year I was someone who really wanted prestige.  I ranked and matched at a program that I think is right in the middle.  In the end I'm very happy I at least factored in QOL.  Intern year is HARD and I cannot imagine not being as supported as I am because even with all this support it is a struggle a times</t>
  </si>
  <si>
    <t>This is the same program as 2 boxes up just fyi</t>
  </si>
  <si>
    <t>is it true some programs may have us do a second or even third interview day after our main interview? wtf</t>
  </si>
  <si>
    <t>yes!!!</t>
  </si>
  <si>
    <t>can someone explain this? I know some programs have the "screening" virtual before in-person but is this something different?</t>
  </si>
  <si>
    <t>Where??</t>
  </si>
  <si>
    <t>t</t>
  </si>
  <si>
    <t xml:space="preserve">Mercy Catholic </t>
  </si>
  <si>
    <t>Can people with 20+ interviews start dropping some?? Would greatly appreciate it. Feeling like a rat scavenging for scraps now.</t>
  </si>
  <si>
    <t>How many you at fam?? &gt;&gt; i hope ur not at like 10 and writing that lol &lt;&lt; I hope you are not at 8 and writing that &lt;&lt; I hope you are not at 5 and writing that lmao &lt;&lt; God, I hope you are not at ZERO and writing this (trust me, that's where I am right now) SAME (at 0) &lt;&lt; OP: don't worry I am at less than 5 so I am asking for all of us:') &lt; love this for us :))))</t>
  </si>
  <si>
    <t>Canceling some today! &gt;&gt; hope u match at ur top choice &lt;&lt; I have 25 and will cancel some, but I didn't match last year so I won't be cancelling too many :( &gt;&gt; how many did u have last year &lt;&lt; I had 8 interviews but only ranked 7. I wish I had ranked all of them because I learned that the program I had no ranked actually ranked me to match. &gt;&gt; any tips on how u went from 8 to 25 &lt;&lt; I had a unique scenario. No red flags in my ERAS application, but I suspect it was the rec letter because I used new letters this time around. &lt;&lt; wow this makes me really nervous, did you feel like your interviews went well last year? &lt;&lt; I have been told that I am a really good interviewer but who knows, that could have been the reason to. Granted the interviews I got were all from top 20 places on Doximity. This time around, I have 6 toptier (top 30), 9 midtiers, and the rest lowtier, so definitely not the same lineup as last time in terms of quality. &lt;&lt; where does the midtier category begin and end? Like what number lol &lt;&lt; LOL 30-50ish. I feel like it doesn't matter the ranking in the end. You should go to a program where you are happy at and that can be due to family ties, location, mission, etc.  &lt;&lt;&lt; Can I ask why you decided not to rank that one program (even if it was last?) and howd you find out they ranked you to match? &lt;&lt; Didn't rank it because I got bad vibes on the interview day. I should have probably ranked it because not matching is by far so much more worse. I found out because the PD called me saying he found out that I didn't match and so he knew that I didn't rank him b/c he ranked me first. &lt;&lt; Gotcha, sorry to hear</t>
  </si>
  <si>
    <t>if someone drops an interview at UNC I will love you forever :')</t>
  </si>
  <si>
    <t>Dropping some in the next few days, just waiting to see if I can get some dates swapped</t>
  </si>
  <si>
    <t xml:space="preserve">Nazareth </t>
  </si>
  <si>
    <t>does anyone have a good resource for interview prep? trying to make sure I have good answers/know generally what to expect! +1</t>
  </si>
  <si>
    <t xml:space="preserve">&lt; honestly watch some youtube videos!! (https://www.youtube.com/watch?v=UudocuS-yjg) -- I'll come back if I find the other video I watched--I was nervous going into my first interview but hopefully you'll have a similar experience the questions weren't bad at all-- tell me about a time you had to overcome an obstacle, why this program, tell me about a time you have been dependable/reliable etc. </t>
  </si>
  <si>
    <t>- Practice with folks on :
1. why surgery? 
2. Tell me about yourself
3. is there something that is not highlighted in your application that I should know about?
4. Difficult patient you encountered?
5. how much location is important to you
6. IF you are given choice to change what will you change for residents?
7. Someone who inspired you, what are the traits you saw?
Practice to look at camera for vitual interviews , read about how to study body language and queues to read the room.
Read about how to listen to question - sometime we assume what the question is rather than just listening to question
There are some exercises to relax facial muscles , recommend looking up.
During breaks, walk away from interview inviorment and look at sky or get fresh air , quick walk etc.,
Smile, smile, smile... goes  long way to destress you
&lt;WOW thank you for this!!</t>
  </si>
  <si>
    <t xml:space="preserve">Philadelphia College of Osteopathic Med </t>
  </si>
  <si>
    <t>1 date left on Decemeber 6th just checked good luck&lt;&lt; thank you sm</t>
  </si>
  <si>
    <t>Only interacted with one resident, can't get a full scope of the program, interviewers seemed disinterested, many different rotating hospitals</t>
  </si>
  <si>
    <t>Multiple people in each interview zoom, felt rushed</t>
  </si>
  <si>
    <t>DNR this program. know a resident who transfered out of the program a few years ago and it sounds insanely malignant, dangerous overworking, and old-school scream at you kind of docs</t>
  </si>
  <si>
    <t>got the impression that your whole residency is rotating like a 4th year med student at different hospitals, and for the most part, not even the big names in the area, like CHOP or Penn. wtf am I going to do with pets I can't take with me to Lancaster for 8 months?!</t>
  </si>
  <si>
    <t>Any hopkins prelim openings left? please id really appreciate it</t>
  </si>
  <si>
    <t>No &gt; TY</t>
  </si>
  <si>
    <t>Penn State Hershey</t>
  </si>
  <si>
    <t>Negatives: program was on probation last year, abd transplant program permanently shut down recently (look at the news stories please), and a lot of faculty turnover over the past few years. (+1) Positives: attached children's hospital, good area to raise a family/LCOL, they match well for fellowship, the residents are pretty chill.</t>
  </si>
  <si>
    <t>do you guys think we will get more interviews? I feel like all the IV wave stopped and I really wanted an interview from OHSU but didnt get it. I already sent a LOI. dont know what else to do besides waiting:/</t>
  </si>
  <si>
    <t xml:space="preserve">Did you signal? If not, then you would probably get no interview. &lt;&lt;&lt; I did signal them and was plannign to do an away but had to cancel due to schedule conflict </t>
  </si>
  <si>
    <t>during my resident interview, he asked me if they had told us about the probation (they didnt), he bragged about breaking work hours, and said that a few years ago 2 interns quit because of the working conditions.....</t>
  </si>
  <si>
    <t>Pimped by an interviewer with clinical questions</t>
  </si>
  <si>
    <t xml:space="preserve">Sorry this process is very random homie. I'm sure you got some interviews that you are excited about? Even if not, just remember that ultimately it doesn't matter what program you go to but rather how passionate you are about what you are doing. Wish you the best!&lt;&lt; Thank you!!!:( </t>
  </si>
  <si>
    <t>asked illegal question by newer faculty; seems to have trouble getting cases if multiple people have to scub in for portions of a case</t>
  </si>
  <si>
    <t>Applicants will start to cancel in the next 2-3 weeks especially dual applicants and interview day conflicts (see tab for IV switch)</t>
  </si>
  <si>
    <t xml:space="preserve">St Luke's </t>
  </si>
  <si>
    <t>What would the algorithm result in? Say I rank 15 programs, and all 15 programs rank me 80th/80(assuming each program averages 8 spots and plans for 10 interviews or ranks per spot), would I still match</t>
  </si>
  <si>
    <t xml:space="preserve">&lt;&lt; if each program ranks you last, you probably wont match very </t>
  </si>
  <si>
    <t>A really strong hybrid program with a great PD. They have matched into the most competitive fellowships (Michigan cardiac surgery, surgical oncology, etc) withOUT dedicated research years. Chiefs run the services and are given full autonomy in the OR and are expected to not only do the cases without the attending scrubbed but walk the junior residents through the cases. They place a really strong emphasis on wellness and the residents seem to really enjoy their time there.</t>
  </si>
  <si>
    <t>But what is the likelihood of ranking that many programs and not matching, that would be crazy.</t>
  </si>
  <si>
    <t>the likelihood of 15/15 programs ranking you at the bottom of their list seems like it would be really, really low. There is data showing match likelihood compared to number of contiguous ranks (https://www.nrmp.org/wp-content/uploads/2024/08/Charting_Outcomes_MD_Seniors_2024-2.pdf). See page 81. It's about 94% chance to match at 15 ranked programs. But again, if you just go into the interview and give 15/15 programs a reason to rank you at the bottom of their list, well then you're probably going to be in at 6%.</t>
  </si>
  <si>
    <t>&lt;--Or ranking the top 15 academic ivory towers when you're the bottom of the bunch. Obviously a bad idea, but was wondering how bad and if there's any way to estimate that or if there's insight on the algorithm. I recently read the algorithm not only creates matches, but also creates tenative matches where you could actually match at an instituition in the firs step of processing but in later steps be unmatched - however I assume that means you're only unmatched if its favorable to you and the other applicant taking your "tentative" spot</t>
  </si>
  <si>
    <t>What do you do/say when they open the floor up to you to ask questions but you genuinely can't think of anything? Anyone got a list of questions they keep handy yo just kill time?</t>
  </si>
  <si>
    <t xml:space="preserve">Faculty: What is your approach to working with residents? Resident: What is a core trait you see amongst residents? </t>
  </si>
  <si>
    <t xml:space="preserve">Sidney Kimmel/Thomas Jefferson </t>
  </si>
  <si>
    <t>yeah I have a giant list I printed out and have nearby for virtual interviews. It is painfully awkward tho after you had your questions answered &lt;—- u wanna share it? &lt; please &lt; I'd be happy to share, just not sure the best way to do that while staying anonymous. I feel like a whole tab dedicated to good questions we can ask interviewers would be helpful and we can all add to it?</t>
  </si>
  <si>
    <t>the likelihood of 15/15 programs ranking you at the bottom of their list seems like it would be really, really low. There is data showing match likelihood compared to number of contiguous ranks (https://www.nrmp.org/wp-content/uploads/2024/08/Charting_Outcomes_MD_Seniors_2024-2.pdf). See page 81. It's about 94% chance to match at 15 ranked programs. But again, if you just go into the interview and give 15/15 programs a reason to rank you at the bottom of their list, well then you're probably going to be in at 6%.;</t>
  </si>
  <si>
    <t>I get the impression the program is not malignant and the residents seem close! 2nd RY is not always funded.</t>
  </si>
  <si>
    <t xml:space="preserve">Anyone heard from either Berkshire Medical Center or Michigan-West? </t>
  </si>
  <si>
    <t>&lt;&lt;I am also waiting on michigan west</t>
  </si>
  <si>
    <t xml:space="preserve">Temple U </t>
  </si>
  <si>
    <t xml:space="preserve">Can someone summarize their thoughts as to how many interview invites wee should have right now to be safe for matching? I see that the median is 9 currently. Is that enough? I thought historically the matching 'safely' threshold was 11+ interviews. </t>
  </si>
  <si>
    <t>Nobody knows how it will change with signals. Historically, 14 interviews has put you at a 90+% chance of matching. It's certainly possible that number is lower this year as candidates and programs were (theoretically) more selective about applications/interview invites. Maybe 10ish? There is genuinely no way to know, even programs don't know exactly how their match numbers will change</t>
  </si>
  <si>
    <t xml:space="preserve">&lt;&lt; all it takes is one program to rank you high enough! IMO those with 10+ interviews are typically strong candidates and, for that reason, they will likely be ranked high enough by at least one program to match. I dont think of the 10+ interview mark as a "safety net" as much as I think of it as one-of-many possible ways to assess the strength of a candidate. You can still be a strong candidate and be super appealing to a program with less than 10 interviews! </t>
  </si>
  <si>
    <t xml:space="preserve">Thought experiment: let’s say you have 5 interviews, which  if we assume numbers fall within ballpark 2024 (which is probably a faulty assumption but who knows), that is around 17 matching and 15 not matching.  How do you interpret that data? Was it a coin flip that decided which of those 32 matched and which didn’t? probably not. Those 17 that matched probably had significantly higher scores/ interviewed better/ higher publication count/ worked connections better etc etc. I’d take a look at the rest of the NRMP data to put your competitiveness into context. </t>
  </si>
  <si>
    <t>shortage of physicians of all kinds, especially surgeons, and not enough residency positions to train a ton of highly motivated and educated candidates.... wtf is wrong with this system</t>
  </si>
  <si>
    <t xml:space="preserve">Tower Health </t>
  </si>
  <si>
    <t>Those who were invited for a cat Interview at One Brooklyn Health, what is to be done of the acknowledgement form they have attached in the mail? Do we fill it right now, or after interview?</t>
  </si>
  <si>
    <t>are there openings left? No, not on thalamus</t>
  </si>
  <si>
    <t>Has anyone had their interview date confirmed for Vandy?</t>
  </si>
  <si>
    <t xml:space="preserve">U Penn </t>
  </si>
  <si>
    <t xml:space="preserve">Is the entry in II by date for UTSW second interview invites? they said results for 1st interview ill come 10th? seems too soon? Please comment, </t>
  </si>
  <si>
    <t>&lt; They already sent out invites for second (in person) round</t>
  </si>
  <si>
    <t>Any spots left on Thalamus? &lt; Updated 11/9 1700 EST on other sheet</t>
  </si>
  <si>
    <t xml:space="preserve">UPMC Harrisburg - Community </t>
  </si>
  <si>
    <t>did anyone interviewing at uconn actually get any of those documents that we have to certify we have received in the acknowledgement statement?</t>
  </si>
  <si>
    <t>My understanding is that it's on their GME website</t>
  </si>
  <si>
    <t xml:space="preserve">After an interview when do you guys think its best to send letters of INTENT (not interest)? Is it near jan/feb as we approach ranking day or weeks after the interview? Thanks. </t>
  </si>
  <si>
    <t>Later in the season imo – sends the message that you've done your due diligence and even after you've interviewed everywhere else they're still your #1... carries more weight</t>
  </si>
  <si>
    <t>makes sense. Thank you!</t>
  </si>
  <si>
    <t>UPMC Harrisburg</t>
  </si>
  <si>
    <t>PC called us if we weren't 20 mins early to the interview despite never asking us to be there 20 mins early. The PD was then late, because he scheduled a 7:30am OR case the day of our interview where he was supposed to be there for 8am. Interviews themselves included surgical clinical pimping scenarios. Also there was an awkward 1-2 hour break between each interview--and we had 4 total. Overall not the best interview experience sadly</t>
  </si>
  <si>
    <t xml:space="preserve">good experience but the pimping is very unnecessary juat do a normal interview. Also it was wierd not to interview with the PD or the APD </t>
  </si>
  <si>
    <t xml:space="preserve">If we didn't initially apply for preliminary spots is it too late to now? Or can we go back and add them on ERAS? I don't have nearly enough invites right now and I'm beyond panic mode </t>
  </si>
  <si>
    <t>how many do u have could be just overthinking &lt; literally only 4 so not overthinking at all :( &lt;&lt; I only have 5 and ive been WAITING for my advisor to email me back about if I have to apply prelim or not :/ &lt; Im planning to meet with mine next week ugh this is such a terrible feeling +1</t>
  </si>
  <si>
    <t xml:space="preserve">UPMC Farrel </t>
  </si>
  <si>
    <t>If anyone is planning to drop IV at Ascension St. Vincent PLEASE let me know - i'd be so grateful</t>
  </si>
  <si>
    <t>Md or img ? img</t>
  </si>
  <si>
    <t xml:space="preserve">UPMC Mercy </t>
  </si>
  <si>
    <t>Hey, has any one heard from UTMB yet regarding the interview confirmation email?</t>
  </si>
  <si>
    <t>Nope /: been wondering where they're at lol +1 &lt;&lt; Do you think calling the PC to ask is a good idea? &lt;&lt; maybe next week after the first set of interviews. I emailed both PC's 2 days ago to see if they received my date preferences and haven't heard back yet</t>
  </si>
  <si>
    <t>They are training good general surgeons. Many graduates go straight into practice. PD has been in the position for a long time and not sure when he is planning to retire...</t>
  </si>
  <si>
    <t>UTMB interview is today and tomorrow. it started. They had Trivia yesterday, small interview today and one more full day interview tomorrow</t>
  </si>
  <si>
    <t>why negative</t>
  </si>
  <si>
    <t>Yea but they have dates later on in January as well, since there are quite a few of us that havent heard back I'm thinking they'll confirm dates for the rest later +1</t>
  </si>
  <si>
    <t>&lt; For those that got the "received your dates" email like myself, did you also preference January dates?</t>
  </si>
  <si>
    <t>Got email this am confirming Jan interview through ERAS (11/15/24)</t>
  </si>
  <si>
    <t xml:space="preserve">UPMC Pittsburgh </t>
  </si>
  <si>
    <t>How many LOI's should one be sending, did not get an II from them &gt;&gt; isn't it too late to send them?</t>
  </si>
  <si>
    <t>I could not send them earlier, so sending them out now, do you think am too late?</t>
  </si>
  <si>
    <t xml:space="preserve">imo not too late as people will be dropping IIs and if you're on the "maybe" list, a LOI could push them over the edge? </t>
  </si>
  <si>
    <t>It didn't change my impression of the program overall, but one of my interviewers asked in detail about where else I'd interviewed at haha +1</t>
  </si>
  <si>
    <t>there doesn't seem to be any consistent advice regarding LOI's except for it can't hurt, probably</t>
  </si>
  <si>
    <t xml:space="preserve">ANNOUNCEMENTS: </t>
  </si>
  <si>
    <t>I sent an LOI on Sunday, got a response back on Monday saying if i could make their in person interview on Friday I was welcome, @ a small community program I had signaled</t>
  </si>
  <si>
    <t>The research resources are impressive. PD takes excellence of the program seriously. Liked a lot of the faculty I interviewed with. Residents - collegial, type A, focused. Many doing 3 years of research, really exciting basic science and translational opportunities. +1 the fact that they allow for you to moonlight at their institution during research years so you don't lose practice, start research in your first year, and get funding for a 3rd year is pretty wild</t>
  </si>
  <si>
    <t>Almost all programs allow you to moonlight?</t>
  </si>
  <si>
    <t>Very impressive in-person interview experience, really enjoyed it, PD is passionate about program and trainees and great resources overall (except i didnt understand why they took us on a tour of the city, which was lovely, but not the hospitals/campus?) &lt; Probably because most people haven't been to Pittsburgh</t>
  </si>
  <si>
    <t>&lt; this is not true in practice; &lt;Agree, not all programs actually have the ability to let you moonlight because of your schedule</t>
  </si>
  <si>
    <t>Please add your dropped II &lt;3</t>
  </si>
  <si>
    <t>tsaco-2025-001958</t>
  </si>
  <si>
    <t>- Please add your info below and update as we move forward in the app season (Tip: use your nickname here to identify yourself in the chats so we know who is talking/responding to who.)</t>
  </si>
  <si>
    <t>So its Jersey shore just not sending invites or does any one have an update on them?</t>
  </si>
  <si>
    <t>Wellspan York Hospital</t>
  </si>
  <si>
    <t>Got on last night at 11:58 pm lol</t>
  </si>
  <si>
    <t>Residents seemed close, fun. Great vibe from interns and seniors during interview day. PD was kinda intense but seemed supportive. The chair was very kind and welcoming. I like that they emphasized family friendliness in their intro. York is between Penn State Hershey and Baltimore centers so it has a good territory and they see a lot.</t>
  </si>
  <si>
    <t>I beg you please remove yourself from waitlist on thalamus if you don't need it anymore as some waitlists are ordered, specially for Robert Packer/Guthrie please  put &lt; no</t>
  </si>
  <si>
    <t>PUERTO RICO</t>
  </si>
  <si>
    <t>Anyone heard anything from Bronxcare? no</t>
  </si>
  <si>
    <t>INTERVIEW INFORMATION</t>
  </si>
  <si>
    <t>Anyone hear anything from UCSF to confirm interview date?</t>
  </si>
  <si>
    <t>POST-MATCH</t>
  </si>
  <si>
    <t>Nickname</t>
  </si>
  <si>
    <t>Degree</t>
  </si>
  <si>
    <t>I see Maryland on II by program, but not on II by date. Anyone have any info on this?</t>
  </si>
  <si>
    <t>Grad Year</t>
  </si>
  <si>
    <t>&lt; people have asked on this and someone answers everytime that it has so i guess it did and no one put it on the sheet</t>
  </si>
  <si>
    <t>Med School Region</t>
  </si>
  <si>
    <t>sad, here i was holding out &lt; i was too until end of last week haha</t>
  </si>
  <si>
    <t>U of Puerto Rico</t>
  </si>
  <si>
    <t>USMLE STEP 1 attempts</t>
  </si>
  <si>
    <t>USMLE STEP 2</t>
  </si>
  <si>
    <t>COMLEX Level 1 Score</t>
  </si>
  <si>
    <t>COMLEX Level 2 Score</t>
  </si>
  <si>
    <t>Class Quartile (1 is best)</t>
  </si>
  <si>
    <t>AOA?</t>
  </si>
  <si>
    <t>for those who got in person UTSW categorical invites, when did you do the virtual interview lol...wondering if it comes in waves or the invites that went out today was it</t>
  </si>
  <si>
    <t>GHHS?</t>
  </si>
  <si>
    <t>&lt; I interviewed today lol i was surprised it came out same day &lt;&lt; what dates were offered for in person interviews? same ones as on the website 11/20, 12/11, 12/18, 1/8</t>
  </si>
  <si>
    <t>RHODE ISLAND</t>
  </si>
  <si>
    <t>M3 Surgery Honors</t>
  </si>
  <si>
    <t>PC here... wait... you got an invite the same day as your interview?? or am i totally misunderstanding. &lt;&lt;Since UTSW does virtual interviews, then invites a select few who passed the initial virtual interview to an in person interview, I think OP means that they did their virtual interview today and a few hours later got the in person interview invite&lt;&lt; correct!  &lt;&lt; oh gotcha. i was like WHAT THE HECK.</t>
  </si>
  <si>
    <t># Honored M3 Rotations</t>
  </si>
  <si>
    <t>UTSW sent a mass email or was it individual right after? &lt;&lt; it wasn't right after, last virtual interviews were this morning. But the in person notification I think was mass because it was through thalamus &lt;&lt; interesting I feel like at this point i deserve at least a rejection +2</t>
  </si>
  <si>
    <t>Added a line in interview openings for in person UTSW; if someone has intel would really appreciate it</t>
  </si>
  <si>
    <t># Publications (ERAS)</t>
  </si>
  <si>
    <t>10 slots showing available on 11/20 on thalamus (11/7 at 11:38pm EST), but grain of salt as the invitations have only been out a few hours</t>
  </si>
  <si>
    <t># Experiences (ERAS)</t>
  </si>
  <si>
    <t xml:space="preserve">Any more info on in-person interviews? The fact that some ppl got it the same day as their virtual makes me wonder if these virtual interviews had any impact on whether or not you'd receive in-person interviews at all, kinda disappointed, thought virtual interview went very well &lt;&lt; same!! even told them they were one of my top programs (which is true!!)   </t>
  </si>
  <si>
    <t>just checked (2:38pm EST) and i'm seeing 8 slots open for 11/20, other dates all filled. Not sure what to make of the timing of things; I think most programs do their own version of "grading" or "ranking" interviewees immediately at the end of the interview day while everything is fresh</t>
  </si>
  <si>
    <t>Couples Match?</t>
  </si>
  <si>
    <t>Update? 6 slots open for 11/20 (as of 11/8 1921 EST)</t>
  </si>
  <si>
    <t># Applications</t>
  </si>
  <si>
    <t># Interview Invites</t>
  </si>
  <si>
    <t>YIELD %</t>
  </si>
  <si>
    <t>any idea when UTSW will send prelims +3</t>
  </si>
  <si>
    <t>late november</t>
  </si>
  <si>
    <t>Brown/RIH</t>
  </si>
  <si>
    <t>II by Signals x/15</t>
  </si>
  <si>
    <t>Invite Locations</t>
  </si>
  <si>
    <t># Attended</t>
  </si>
  <si>
    <t># Withdrew</t>
  </si>
  <si>
    <t># Rejections</t>
  </si>
  <si>
    <t># Waitlists</t>
  </si>
  <si>
    <t xml:space="preserve">Flexible program that allows you to pursue your interests while also having strong structure/curriculum with established research tracks for those that are interested. PD, Chair, and all faculty are very nice and encouraging. Residents were all very nice and helpful. Seems like a great culture. </t>
  </si>
  <si>
    <t>Match Status</t>
  </si>
  <si>
    <t>MEAN or MEDIAN</t>
  </si>
  <si>
    <t xml:space="preserve">I did not get any malignant or toxic vibes, so idk where those allegations are from. Residents truly seem to enjoy the program and the faculty were very easy to talk to. They brought up specific things from my application, so it was nice to see they actually paid attention.
&gt;APD butchered my medical school's name (not pronunciation, but just a completely different word) and asked if it was located in a location it is not at ... seems like something you just pretend to know or quickly google search if you truly want to know... overall made me feel bad for coming from a med school she never even heard of... :(  i could have maybe looked past this but she continued to be rude the rest of the interview? everyone else was great/able to be normal for 15 mintues </t>
  </si>
  <si>
    <t xml:space="preserve">Fantastic Interview experience. 
&lt;Overall, positive interview experience with great vibes from the PD and other faculty members; really felt like they had read my application and were excited to talk to me. However, I also had a challenging interview interaction with one interviewer who wasn't welcoming and was borderiline rude; she didn't answer some of my questions (which the PD and other faculty members had no issues answering), telling me that they were "too broad" and wasn't super interested in engaging in any conversation around my application. It seems like a little thing but felt kinda icky and is a bummer because I felt like the residents had such a wonderful camraderie and the chair and PD seem great. </t>
  </si>
  <si>
    <t xml:space="preserve">I haven't yet, sounded like it would be sometime this week but they weren't specific on date </t>
  </si>
  <si>
    <t xml:space="preserve">&lt;I think the malignant allegations are from years ago and they've made a lot of changes in leadership since then. i also had a fantastic interview      </t>
  </si>
  <si>
    <t>MBBS</t>
  </si>
  <si>
    <t xml:space="preserve">haven't received either! </t>
  </si>
  <si>
    <t>Just got confirmation!</t>
  </si>
  <si>
    <t>had a great interview. one of the older faculty mentioned that they have made an effort to stop recruiting future nobel laureates and are focusing on good people who can play nice in the sandbox. seems to have fixed the culture</t>
  </si>
  <si>
    <t>SOUTH CAROLINA</t>
  </si>
  <si>
    <t xml:space="preserve">If the email doesn't say prelim do I assume its categorical? </t>
  </si>
  <si>
    <t>I usually ask if I'm not sure</t>
  </si>
  <si>
    <t>Damn, LOIs work really well</t>
  </si>
  <si>
    <t xml:space="preserve">Prisma Greenville </t>
  </si>
  <si>
    <t xml:space="preserve">They cant be serious I have sent 10 and only gotten 1  back&gt; more than 10 and nothing &gt;&gt; 10 and nothing &gt;&gt; almost 20 and nothing &lt;&lt; 40 and nothing &lt;&lt; I actually sent 60 and I received 1 invite! They really do work! &lt; I sent 1 MILLION LOIs and received in response... 1 MILLION rejections &lt;&lt; LOL we are all clowns </t>
  </si>
  <si>
    <t>&lt;&lt; yall getting email responsesback or just ghosting?&lt;&lt; ghosting&lt;&lt;I've gotten some 2 rejections&lt;&lt; ghosted :(  &lt;&lt; actual rejections? &lt; ghostedddd&lt;&lt; rejections though?</t>
  </si>
  <si>
    <t>LOI reply from UCI today: "Thank you for your email and avid interest. Unfortunately, we have concluded selecting applicants to interview. Should anything change, we will re-review applicants and contact you." RIP &gt;&gt; got R from a big program after LOI as well lol</t>
  </si>
  <si>
    <t>How long until response ?</t>
  </si>
  <si>
    <t>can we all update openings for eveything we have the data is so old</t>
  </si>
  <si>
    <t>N</t>
  </si>
  <si>
    <t>&lt;&lt; looks like someone removed the green highlights for proframs with 7+ days .. idk why</t>
  </si>
  <si>
    <t>At this point in the process, I think it's pretty safe to assume that most programs have 0 openings unless they were really late to drop their invites. Most programs will only have openings if someone drops, and that's going to fill really quickly. There's really no way to keep the interview opening sheet updated. The "dropped IIs" sheet is probably the better source for interview openings now &lt;&lt; for most programs. However, some programs are holding onto like &gt;10 spots, apparently waiting for something</t>
  </si>
  <si>
    <t>Y</t>
  </si>
  <si>
    <t>makes sense &lt;&lt; I dont know if thats great advice. only small percentage of applicants post on here soo the interview drops might be useful in some cases, but surely that tab will only show a very small sample of interviews being dropped. &lt;&lt; true but...doesn't change the fact that most programs currently have 0 remaining interview spots, and it's unlikely that anyone is going to update the 1 interview opening from someone dropping in a reasonable timeframe. probs will be filled before anyone updates &lt;&lt; agreed, i think both points are true</t>
  </si>
  <si>
    <t>Organized and low stressed. Everyone was really friendly. Almost all questions were ethical/behavioral based</t>
  </si>
  <si>
    <t>PD and APD read apps and asked personalized qs, and others were blinded and asked structured qs, but some were fun like "what's your superpower". Very friendly, down-to-earth. lots of penetrating trauma, OR autonomy, cheap housing</t>
  </si>
  <si>
    <t xml:space="preserve">Everyone was very kind and seems like they are hiring more and more surgeons and operative volume is increasing. </t>
  </si>
  <si>
    <t>Hey, can someone pls update interview openings for GW, Rutgers NJMS, and Northwell LIJ. Thank you in advance. &lt;&lt; and minnesota pls</t>
  </si>
  <si>
    <t>&lt;&lt; I wonder why programs like cooper and NJMS are sitting on so many open spots +2</t>
  </si>
  <si>
    <t>Was thinking the same thing, very strange NJMS has so many interview spots open.</t>
  </si>
  <si>
    <t>probably waiting to see how the first wave goes then sending another one</t>
  </si>
  <si>
    <t>HCA/Trident</t>
  </si>
  <si>
    <t>I dropped Geisinger Central for 11/14, if someone wants to reach out for an interview</t>
  </si>
  <si>
    <t>u can add it to the iv drop sheet &lt; i did, but also wanted to say it here to let people know. thanks for that though.</t>
  </si>
  <si>
    <t>low stress, very friendly</t>
  </si>
  <si>
    <t xml:space="preserve">What time is the Bassett Med Center Interview tomrrow? 7:30 or 8:30 EST? Email and thalamus are conlficting.  </t>
  </si>
  <si>
    <t>Med U South Carolina</t>
  </si>
  <si>
    <t>Still no Microsoft Teams link for the 11/11 interview with UPMC Harrisburg/Pinnacle, anyone else in the same boat? Interview already confirmed on Thalamus</t>
  </si>
  <si>
    <t>lots of research and innovative opportunities, residents all gathered at one apartment for the social and seem like they get along really well. Enjoyed all of my interviews with attendings and residents</t>
  </si>
  <si>
    <t>Agree w/ all the positives but wanted to add that it was a bit unorganized which was slightly frustrating (didn't have the zoom link for the social until right beforehand, didn't even know what time the social was until last minute) +2</t>
  </si>
  <si>
    <t>Will UPMC be sending out more interviews?? it looks like there are openings still! +1</t>
  </si>
  <si>
    <t>Palmetto Health/USC</t>
  </si>
  <si>
    <t>Categorical</t>
  </si>
  <si>
    <t>STD DEV or IQR/2</t>
  </si>
  <si>
    <t>img</t>
  </si>
  <si>
    <t>Has anyone send a LOI to columbia and gotten a response of " thank you for your email,and good luck on this interview season" Is this a rejection lol</t>
  </si>
  <si>
    <t>&lt;&lt; NYP?</t>
  </si>
  <si>
    <t>yes, got the exact same response from the PC</t>
  </si>
  <si>
    <t>When did you guys send the LOI/receive that email? I ask because I sent last week and didn't get anything. &lt;&lt; sme here. they probably get so many emails so I doubt there is much reason behind why some get responses and others dont. it dosnt seem like the responses are that informative anyway</t>
  </si>
  <si>
    <t>Spartanburg Regional Healthcare System</t>
  </si>
  <si>
    <t>I asked ChatGPT what is the ideal number of ranks for a USMD applicant wanting to match categorical for general surgery and she (yes I've given it a gender) said around 10-12 ranks is generally considered ideal. So there it is.</t>
  </si>
  <si>
    <t>Did you ask the question with monthly subscription or without!!! &lt; would the information be different otherwise?</t>
  </si>
  <si>
    <t>SOUTH DAKOTA</t>
  </si>
  <si>
    <t>Has anyone gotten final confirmation from U washington after filling out the google form confirming accepting your assigned date? &lt; OP rescinds lol just got it!</t>
  </si>
  <si>
    <t xml:space="preserve">2 dates, 0 empty spots, unsure if they have more waves coming or not. </t>
  </si>
  <si>
    <t xml:space="preserve">I emailed the PD and she responded saying all the interview spots have been filled even prelim.   </t>
  </si>
  <si>
    <t>Hi everyone! When are the preliminary interview invitations typically sent out? Thank you!</t>
  </si>
  <si>
    <t xml:space="preserve">From nov till jan mostly </t>
  </si>
  <si>
    <t>Univ South Dakota</t>
  </si>
  <si>
    <t xml:space="preserve">Thank you. </t>
  </si>
  <si>
    <t>how are we feeling abt programs in the south (i'm looking at you, florida) after yesterday? as a woman who applied to some southern programs i'm a lil worried ngl</t>
  </si>
  <si>
    <t>feeling very very sad :( one of my top programs is in a southern state and I don't know if I'd feel safe being there long term &lt; if it helps at all, from a Texas med school and was on service last night and many attendings were expressing displeasure about the results coming in. I know my school has a lot of support surrounding marginalized populations and protecting the healthcare service to the public (including undocumented)</t>
  </si>
  <si>
    <t>i feel like it will def effect rank lists for many ppl +1</t>
  </si>
  <si>
    <t>11 of my interviews are in red+southern states and 2 in DC and I'm a black woman so nothing short of angry because that's just how the cookie crumbles and there's nothing to do about it but hope for the plethora of blue state programs I applied to offer II or take me off their waitlists&lt;&lt; good luck!!</t>
  </si>
  <si>
    <t>TENNESSEE</t>
  </si>
  <si>
    <t xml:space="preserve">good luck to all of you powerful ladies!! </t>
  </si>
  <si>
    <t>Upenn prelim opening??</t>
  </si>
  <si>
    <t>Wild Turkey</t>
  </si>
  <si>
    <t>South Atlantic</t>
  </si>
  <si>
    <t>Baptist Memorial</t>
  </si>
  <si>
    <t>Sent out two LOIs and have not heard back nor recieved an interview, however neither program has sent out invites since sending out, per ii by date. Ugh I hate waiting. +1</t>
  </si>
  <si>
    <t>Everyone seemed nice enough but the residents seem less than confident about any fellowship matches, they do almost no trauma, and M&amp;M was a bit rough to watch+2</t>
  </si>
  <si>
    <t>N/A</t>
  </si>
  <si>
    <t xml:space="preserve">&lt;don't give up hope. I got an interview from sending a letter for interview consideration </t>
  </si>
  <si>
    <t>The faculty essentially berated the presenting residents very harshly in front of all of us during the M&amp;M to the point where the residents were afraid to even make eye contact with anyone and could only say "Yes, sir" in response. It got so heated at one point that it even made all the applicants feel uncomfortable just watching +1</t>
  </si>
  <si>
    <t>Lack of cohesiveness among residents, disconnect between attendings and residents, interview day was unnecessairly stressful and rushed when they ask behavioral questions and are blind to the app. Says alot about program culture when they have to put other programs down to talk about their own strengths +3</t>
  </si>
  <si>
    <t>1st</t>
  </si>
  <si>
    <t>One of the APDs terrorizes the residents. Threatened to fire them based on ABSITE scores. Screams and hollers at conferences. One resident recently quit. &lt;&lt; can confirm +1</t>
  </si>
  <si>
    <t>red flags all around.  apparently pd and other staff were previously fired from another program for mistreating residents</t>
  </si>
  <si>
    <t>A clear "DO NOT RANK" if there ever was one +1</t>
  </si>
  <si>
    <t>Do not apply. Do not rank.</t>
  </si>
  <si>
    <t>Have yall gotten responses when you send a LOI? I just got a response saying they are looking forward to reveiwing my application from an LOI I sent last night and I am wondering if I can take it as a good sign or if this is common and doesn't mean anything?</t>
  </si>
  <si>
    <t>Home call</t>
  </si>
  <si>
    <t>&lt;&lt; I agree that sounds promising! I've sent a few and never heard anything back :(  +1</t>
  </si>
  <si>
    <t>I got one reply from program coordinator saying it was sent to PD, --&gt; got the II. Another one I got an II from. Otherwise silent</t>
  </si>
  <si>
    <t>lol was this uchicago bc if so I got the same message so might be standard &lt;&lt; shoot yes it was. these other responses were getting my hopes up lol. my fingers are crossed for us&lt;&lt; I sent to UChicago without a response so maybe good sign for you guys &lt;&lt; who did you send it to? Maybe got the wrong email? &lt;&lt; no i used ERAS. I got "out of office" respone (thise was late october)</t>
  </si>
  <si>
    <t>East Tenn State</t>
  </si>
  <si>
    <t>13/15</t>
  </si>
  <si>
    <t>I sent to UChicago with the same response and received a rejection the next day LOL &lt;&lt; well shit, when did the rejection come out?</t>
  </si>
  <si>
    <t>How long until you hear back</t>
  </si>
  <si>
    <t>Efficient and well organized IV day 
w/o long breaks. Short 30 min info 
session f/b 4 IVs (2 faculty &amp;
1 resident 20m each, 10m with
PD). 1 “structured” faculty IV with 
basic behavioral questions was a 
little stress provoking but otherwise 
casual and conversational feel. 
Everyone, including PD, was warm 
and friendly. &lt; can vouch for this</t>
  </si>
  <si>
    <t>&lt;&lt;100% most efficent interview day thus far. there is no reason for it to be longer than 5hrs</t>
  </si>
  <si>
    <t>M</t>
  </si>
  <si>
    <t>Non US -IMG</t>
  </si>
  <si>
    <t>Night float at JCMC,
call pool at other sites
mix of home call and
in house depending on
site, usually Q5 call</t>
  </si>
  <si>
    <t>epic, CPRS at VA</t>
  </si>
  <si>
    <t>Received an invite from Corewell for an interview, but there were no spots available so I signed up for the waitlist...was this actually supposed to be a waitlist invite?</t>
  </si>
  <si>
    <t>$15 a day. Resets every quarter. Does not roll over</t>
  </si>
  <si>
    <t>Which Corewell? &lt;&lt; MSU, and my home school confirmed it was a match violation</t>
  </si>
  <si>
    <t>free, option to pay for parking close to department on campus</t>
  </si>
  <si>
    <t>U Tennessee Chattanooga</t>
  </si>
  <si>
    <t>Green flags all around. The residents were nice and easy to talk to. The faculty were laid back and actually ready my application. It's obvious the PD is a nice guy who tried to make it a good atmosphere (funny videos about the program were a major plus). Potential drawback is the 6 year program, but they sold it hard about being small breaks in between general surgery hell which doesn't sound too bad actually</t>
  </si>
  <si>
    <t>NY,FL,AZ,MI,IL,PA</t>
  </si>
  <si>
    <t>U Tennessee Knoxville</t>
  </si>
  <si>
    <t>any update on Wright State release?</t>
  </si>
  <si>
    <t>Preliminary</t>
  </si>
  <si>
    <t>mdmxda</t>
  </si>
  <si>
    <t>great. felt like they just wanted to get to know me. esp loved the residents interview where they asked about specific things in my app</t>
  </si>
  <si>
    <t>Midwest</t>
  </si>
  <si>
    <t xml:space="preserve">&lt; agreed, one of my better interview experiences this cycle, they knew my app well and all residents and faculty were very sociable and chill, seemed like they genuinely just wanted to get to know me as a person to assess fit </t>
  </si>
  <si>
    <t>Night float w/ weekend 24h coverage</t>
  </si>
  <si>
    <t xml:space="preserve">Cerner/Power Chart </t>
  </si>
  <si>
    <t>Did Northwell LIJ send out interviews today? +1</t>
  </si>
  <si>
    <t>Is this the main Hofstra? &lt;&lt; yes &lt;&lt; im not sure but i can tell you spots left if you want &lt;&lt; yes pls. &lt;&lt; Updated</t>
  </si>
  <si>
    <t>Free in garage</t>
  </si>
  <si>
    <t>Free loupes, new textbooks, Step 3 reimbursement, 2 white coats w/ dry cleaning</t>
  </si>
  <si>
    <t>U Tennessee Memphis</t>
  </si>
  <si>
    <t>DLH</t>
  </si>
  <si>
    <t xml:space="preserve">US MD - Midwest </t>
  </si>
  <si>
    <t xml:space="preserve">Initially the PD was very low energy and logistically the interview schedule changed 3x (including once on day of interview). But overall faculty were very nice and welcoming and the program seems well-rounded. Had a good experience on interview day overall. </t>
  </si>
  <si>
    <t>PD seemed old-school vibes. Overall I liked a lot about the program but it does seem like they work the residents hard hard. There were a few weird comments that were off-putting - 0 electives allowed as a resident because "we are spread thin throughout the city so if you want a thoracic rotation because you want to go to thoracic fellowship then you would screw over your co-resident leaving them alone" later when discussing vacay etc "6 weeks paternity leave and thats SUPER generous (actually thats standard).... but I do want to point out that is in conflict with the ACGME requirements for graduation year 4 and 5... so.... just wanted to say that now..." guess you can count on not having a kid as a PGY4 or PGY5. Then he made a comment in reply to an applicant's best piece of advice that "oh I thought you were going to say that managers/bosses really just want an employee who [something along the lines of puts their head down and shuts up]"       just weird vibes man</t>
  </si>
  <si>
    <t>can someone uptdate UT tyler openings??</t>
  </si>
  <si>
    <t xml:space="preserve">&lt;- Resident here. We just don't have an elective rotation. It's not "screwing over your co-residents" so much as it is you just can't leave the rotation that you're on. 
The paternity comment was made in reference to cheif year. Per the ACGME, "the chief year for a general surgery residency must consist of a minimum of 48 weeks and a maximum of 52 weeks of clinical assignments". If you want your 6-weeks off, you can have it off. You just need to complete your 48 weeks of being a chief to graduate surgery residency, which may entail staying past June 30th. 
Our PD is great to work with. Extremely technically savvy and plays bangers in the OR.  
</t>
  </si>
  <si>
    <t>IL, IA, KY, PA, MN, WI</t>
  </si>
  <si>
    <t>J</t>
  </si>
  <si>
    <t>USMD - South</t>
  </si>
  <si>
    <t>Did Duke send out prelims? and what other big programs have sent out plsss</t>
  </si>
  <si>
    <t>check prelim or img tab theres a list</t>
  </si>
  <si>
    <t>Call - but unclear how often it is on average</t>
  </si>
  <si>
    <t>Cerner + EPIC + CPRS</t>
  </si>
  <si>
    <t>Physicians lounge/food stipend based on call shifts</t>
  </si>
  <si>
    <t>Free at every hospital</t>
  </si>
  <si>
    <t>-</t>
  </si>
  <si>
    <t>Conference support + research years funding if you stay in Memphis</t>
  </si>
  <si>
    <t>-%</t>
  </si>
  <si>
    <t>U Tennessee Nashville</t>
  </si>
  <si>
    <t>Dan</t>
  </si>
  <si>
    <t>UMiami waitlists appear to be blocked. Is this going to change once they schedule home program or something? Since there's no waitlisting and all slots are taken, are we able to switch interviews? (i.e. as of now if you drop an II, there's no other options for rescheduling, unless someone else also drops their II?)</t>
  </si>
  <si>
    <t>MD - S</t>
  </si>
  <si>
    <t>Home applicants had interview already</t>
  </si>
  <si>
    <t>Everyone was extremely nice and friendly. You can tell residents are very close.</t>
  </si>
  <si>
    <t>I couldn't get a spot and emailed but have not heard back, has anyone heard back?</t>
  </si>
  <si>
    <t>Note this is F2F interview and invites came last week</t>
  </si>
  <si>
    <t>2nd</t>
  </si>
  <si>
    <t xml:space="preserve">When it comes to LOIs to programs - how do you know where to send it? (for example on residency explorer it will show the names of the program director and program coordinator, but then under "email" it will list either of their emails or a generic edu inbox - Do i just email whatever is listed or do I keep trying to dig to find the email addresses of the PDs?) ALSO I have the email address of a PD because I did an away rotation, but her email isn't readily found online. Is it still okay for me to email her directly? </t>
  </si>
  <si>
    <r>
      <rPr>
        <rFont val="arial,sans,sans-serif"/>
      </rPr>
      <t xml:space="preserve">You can also find their emails on FREIDA. I always double check the program's website + residency explorer + FREIDA before sending out an email with a LOI. I do not see the issue about sending the LOI to her email, she knows you! &lt;&lt; Thank you so much!! Also... wtf is FREIDA? lol &lt; AMA residency database: </t>
    </r>
    <r>
      <rPr>
        <rFont val="arial,sans,sans-serif"/>
        <color rgb="FF1155CC"/>
        <u/>
      </rPr>
      <t>https://freida.ama-assn.org</t>
    </r>
    <r>
      <rPr>
        <rFont val="arial,sans,sans-serif"/>
      </rPr>
      <t xml:space="preserve"> &lt;&lt; you are an angel </t>
    </r>
  </si>
  <si>
    <t>Unmatched</t>
  </si>
  <si>
    <t>X</t>
  </si>
  <si>
    <t>US- West</t>
  </si>
  <si>
    <t>The residents are so nice and like each other. Faculty are approachable and asked me a good balance of behavioral and CV questions. Very strong clinical and academic program!</t>
  </si>
  <si>
    <t>one of the faculty interviewers was genuinely so rude and insufferable, that alone put me off the whole program because if thats the best IVer you can put forward, i dont even want to know what the general faculty are like day to day. plus minimal benefits or protections compared to other top programs</t>
  </si>
  <si>
    <t>CA, WA, TX, AZ, NV</t>
  </si>
  <si>
    <t>Rotation dependent</t>
  </si>
  <si>
    <t xml:space="preserve">Based on call #s </t>
  </si>
  <si>
    <t>free/included in salary</t>
  </si>
  <si>
    <t>T</t>
  </si>
  <si>
    <t>TEXAS</t>
  </si>
  <si>
    <t>3rd</t>
  </si>
  <si>
    <t>How do we know if the interview is for a categorical vs prelim spot? Will the thalamus email indicate?</t>
  </si>
  <si>
    <t>Sometimes they dont specify, best bet is to email PC</t>
  </si>
  <si>
    <t>GG</t>
  </si>
  <si>
    <t xml:space="preserve">Baylor College of Medicine </t>
  </si>
  <si>
    <t>Does anyone know if Maryland has sent out interview invites? I see it listed on Invites by Program but not Invites by Date so I'm confused</t>
  </si>
  <si>
    <t>yes, they did</t>
  </si>
  <si>
    <t>Overall great interview experience. Interviewers were conversational and seemed genuinely interested in getting to know you. Program leadership seem fantastic. Residents are collegial and seem to enjoy the program +1</t>
  </si>
  <si>
    <t>thank you!</t>
  </si>
  <si>
    <t>v</t>
  </si>
  <si>
    <t>Mixed 24h/night float</t>
  </si>
  <si>
    <t>is there a way to find out the programs that went unfillied last year or if anyone knows any drop some names</t>
  </si>
  <si>
    <t xml:space="preserve">Baylor University Medical Center (Dallas) </t>
  </si>
  <si>
    <t>This is technically illegal by NRMP standards. Only people who SOAP'ed last year have this information, but they are told specifically not to disclose this information to anyone.</t>
  </si>
  <si>
    <t>It usually ends up being only 1 or 2 spots max, usually in michigan</t>
  </si>
  <si>
    <t xml:space="preserve">Graduates are incredibly well trained, based on spread going into practice v fellowships, hospitals in town hire graduates bc of the great reputation they have, residents report of confidence in OR. Residents like each other. More of an apprenticeship model than hierarchical. Attendings teach because they are passionate about it. </t>
  </si>
  <si>
    <t>yoyo</t>
  </si>
  <si>
    <t>resident social was everyone at their own place/car/hospital, working or drinking alone. Apparently some of them have never met each other. Their least fave things about the program are the amount of driving required to commute between BUMC and JPS (plus 2 other community sites), high clinical volume, and residents being stretched thin. PD is a "back in my day" type of guy criticizing 80hr/week cap. Sure they all seem nice but honestly seems like they're worked like dogs +1
also kept emphasizing drinking lol like saying during the social, "everyone better be holding a drink", or "we work hard and play hard", or "there are a lot of great bars in dallas" +2 lol felt like this was oddly emphasized in this social +1</t>
  </si>
  <si>
    <t>What is with them expecting applicants to leave T-F 7 am -7pm available for 20 minute interviews? And only letting applicants know their interview slot 1-2 weeks ahead of time with absolutely no say in interivew time?&lt;&lt; nearly three days gone on the F2F interview, no respect to our time +2 &lt;&lt; some BS. Didnt realize til the week of that it was over 4-5 days
And after the scheduling nightmare, I still had 2 of my interviewers not show up to the scheduled interview time</t>
  </si>
  <si>
    <t>I had a wonderful IV experience, 
very organized and timely. Overall 
very casual interview with few 
structured questions. PD &amp; chair 
were very nice and transparent
about the program. Social was 
a little dispersed with residents 
being scattered but I got the feel 
they were all extremely close. 
Overall good/low stress experience. 
My scheduled interviews were all 
same day and I received that info 
well in advance so can’t complain 
about the schedule situation. &gt;&gt; I second this. Both the resident social and interviews were very low stress and enjoyable. Everyone was very kind and easy to talk to. Great experience overall!</t>
  </si>
  <si>
    <t>Anyone interviewing 11/8 @ Virginia Mason who also hasn't heard anything (who they're interviewing with, Zoom link, etc.?)</t>
  </si>
  <si>
    <t xml:space="preserve">&lt; just emailed the schedule today </t>
  </si>
  <si>
    <t>Interviewing week scheduling feels extremely disrespectful of applicant time. Program coordinator admitted thalamus told them they’re the most complicated scheduling in the country. Social for 2 hours was painful and also felt inconsiderate of applicant time. It felt like residents are worked like dogs. Half of the residents were still at work and seemed to be working on notes or driving home and not really engaged in the social - not a good look. Other half were at each others houses and were drinking - as an applicant it felt awkward/forced casual. Overall I felt that they were close to one another but I sensed some interactions were disingenuous or over inflated to appear closer/like a family for the social. One resident also said they spend 80-100 hours a week together which shows they probably go over duty hours. Social was 3 long blocks for breakout rooms with long breaks in between and after all that the program coordinator kept us waiting around at the end insisting must have more questions despite us exhausting all of them in the three breakout rooms for the past 1.5+ hrs. The interviews were overall not stressful aside from the scheduling, and everyone seemed to know my application well enough to conduct a good interview.</t>
  </si>
  <si>
    <t>who deleted this comment? it was good content &lt; re-added comment to the left since i had a suspicion it would get deleted
---------
I brought up during an interview with a faculty member that my parents come from Mexico and I was a first-generation American, the faculty member goes "Does that mean you'll be deported" and then started talking about immigration.... very weird vibes, he just went on and on and I didn't know what to say. Weird... otherwise, my other interviewers felt comparatively normal.   &lt; OOOF</t>
  </si>
  <si>
    <t>Q5-6 call (no night
float system), call
dependent upon
service (some home 
call)</t>
  </si>
  <si>
    <t>mwMD</t>
  </si>
  <si>
    <t>DO</t>
  </si>
  <si>
    <t>$200/month at BUMC
(rolls over &amp; 
accumulated while at
other sites)
$45/week at JPS</t>
  </si>
  <si>
    <t>US-IMG</t>
  </si>
  <si>
    <t>$750 per 6 week block gas
allowance when rotating away
from BUMC, yearly resident
retreat, $400/year education
allowance that rolls over</t>
  </si>
  <si>
    <t>US DOs, how many interviews do you have atm? I have 12 and only 1/3 academic</t>
  </si>
  <si>
    <t xml:space="preserve">Baylor All Saints </t>
  </si>
  <si>
    <t>16. Most are community hospitals but did land 11/15 of my signals</t>
  </si>
  <si>
    <t>31 but plan to drop some</t>
  </si>
  <si>
    <t xml:space="preserve">interview day was short. started at 9 am, had a very short presentation, then 15 min interviews x5. done by 10:45. it seemed like a very short time and barely had time to ask questions which I had a lot bc their presentation was very surface level. night before social, residents obviously get along very well. the facilities are very nice. despite not graduating a class yet, seem to do decently at supporting their residents who want to do fellowship - one of their 2's wants to do vascular, sent her to conference and are very supportive with getting her research etc </t>
  </si>
  <si>
    <t>FL, PA, TX, NC</t>
  </si>
  <si>
    <t>q3-4 24h call</t>
  </si>
  <si>
    <t>donut</t>
  </si>
  <si>
    <t>US MDs, how many interviews are you sitting at? Do you expect a trickle between now and EOM or only movement for WL applicants? I have 9 atm, feeling uneasy.</t>
  </si>
  <si>
    <t>stipend (? amount)+ discount + free food in lounge (food reportedly good and cheap plus full fledged starbucks in the hospital)</t>
  </si>
  <si>
    <t>10; I think how many you have at the end of the month will be a more accurate measure</t>
  </si>
  <si>
    <t>Looking at last year's spreadsheet, it looks like interview invites were occurring throughout November and December (trickles of course).</t>
  </si>
  <si>
    <t>sitting at 15 including home institution, i did send a few LOIs and got 2 IIs afterwards (correlation or causation? who's to say). also got an II from a program that seemed to be extended to me bc someone else dropped it. there's still hope for more!! &lt;&lt; congrats!! And yes, here's hoping for more!</t>
  </si>
  <si>
    <t>dollar-for-dollar match of 401k up to 5% eligible pay, $750 education stipend per year to spend however u want, $1500 x2 for conference travel</t>
  </si>
  <si>
    <t>15, personally i'm not really expecting more although i sent an LOI to a program i have connections to yesterday</t>
  </si>
  <si>
    <t>18. I wouldn't be shocked if a couple more come in, but definitely not expecting it. Sending 1-2 loi's to places I signaled and didn't get II, and planning to drop a couple interviews</t>
  </si>
  <si>
    <t>15+ interviews is impressive, are these mostly from signaled programs?? &lt;&lt; 10/18 are from signals for me, so yeah!   &lt;11/22 are signals for me</t>
  </si>
  <si>
    <t>13 but 2 are preliminary interview for the chance to interview so ranking could be only 11. however 7 are competitive academic programs so im nervous that it would be extremely easy to fall beyond matching on those</t>
  </si>
  <si>
    <t xml:space="preserve">Houston Health/University of Houston </t>
  </si>
  <si>
    <t>19, gave a few up and also sent a few LOI so we'll see how that works out!</t>
  </si>
  <si>
    <t>11, definitely slowly trickling in as people cancel interviews and second/third waves go out!</t>
  </si>
  <si>
    <t>can u ppl please start dropping some interviews :,)+5</t>
  </si>
  <si>
    <t>22, planning to drop several. not expecting more</t>
  </si>
  <si>
    <t xml:space="preserve">Interview was very relaxed and conversational. Residents seem to like each other and the program seems to prioritize resident health and happiness. Still fairly new program so there's changes still happening. They prioritize independence and surgical competency, research is self directed mostly. They assign mentors early on and you're required to meet with your mentors 2-4 times a year. </t>
  </si>
  <si>
    <t>24, 6/15 signals. Not dropping &gt;:P</t>
  </si>
  <si>
    <t>Had the opposite experience. Interview was standardized with 3-4 questions per interviewer, felt too formal and transactional, and 2-3 different interviewers asked me the exact same set of questions. Residents also didn't seem as enthusiastic as I thought they'd be</t>
  </si>
  <si>
    <t>15 II including home institution with all academic and then 2 waitlists. Not expecting any more so probably not dropping anytime soon.</t>
  </si>
  <si>
    <t xml:space="preserve">26 (12 academic, rest is community). I may drop some, not sure yet </t>
  </si>
  <si>
    <t>Behemoth</t>
  </si>
  <si>
    <t>you people are sick freaks +2</t>
  </si>
  <si>
    <t>reporting bias at all? cuz this makes me feel sick &lt;&lt; I hope so bc I'm about to lose it</t>
  </si>
  <si>
    <t>USMD - Midwest</t>
  </si>
  <si>
    <t>7 interviews. Tbh anyone with more than 15 needs to drop because you are going to match. +3 &lt; I don't think this rhetoric works. Personally I'm not holding on to a lot of interviews because I'm afraid that I won't match ... I want to figure out where I like the best ...</t>
  </si>
  <si>
    <t>10, only 3 from signals, another from home, waitlist for 1 and sent LOIs to the other 12 signals but not expecting any more</t>
  </si>
  <si>
    <t xml:space="preserve">Medical City Arlington </t>
  </si>
  <si>
    <t xml:space="preserve">is it worth it to send an LOI to a program I did not signal &lt; I imagine it would be tough to sell your interest without a signal, especially if they accept signals. However, you lose nothing from sending a LOI so I say shoot your shot and let the program decide. </t>
  </si>
  <si>
    <t>FL, MD, CO, NY, AZ</t>
  </si>
  <si>
    <t>Dives</t>
  </si>
  <si>
    <t xml:space="preserve">Methodist Dallas </t>
  </si>
  <si>
    <t>Loved my interview experience here. I truly felt the residents were happy and the faculty were so enthusiastic to get to know me.</t>
  </si>
  <si>
    <t>The residents seem happy and genuinely enjoy each other, the faculty was great and they showed the actual hospital/call rooms/facilities</t>
  </si>
  <si>
    <t xml:space="preserve">should I report a program who offered me an interview last week. Responded in less than an hour and was told by PC no spots are available. This is a mach violation -&gt; bro let me tell you … this process is wild .. legit applied only categorical was sent an invite , couldn't see the dates … reached out to the PD/PC both told me it was a preliminary invite and left it that…like some programs don't care unfortunately sorry this happen to you but I would definitely report them unless they told you were a waitlist candidate </t>
  </si>
  <si>
    <t>conversational and friendly people. Really enjoyed talking to everyone</t>
  </si>
  <si>
    <t xml:space="preserve">Wait. So if you apply Categorical ONLY and the program invites you as a Preliminary interview it is a match violation on their behalf?-&gt; I believe so because you legally didn't apply for the position </t>
  </si>
  <si>
    <t>@OP what program did this?</t>
  </si>
  <si>
    <t>24 hour call, 5-6x per month as intern and 4-5x as pgy2 and up</t>
  </si>
  <si>
    <t>Jelly</t>
  </si>
  <si>
    <t>$1500 per year + free snacks in physicians lounge</t>
  </si>
  <si>
    <t xml:space="preserve">Midwest </t>
  </si>
  <si>
    <t>free, garage</t>
  </si>
  <si>
    <t>free health insurance for you and dependents, low cost dental/vision $8/$2 per paycheck, $2k medical flex spending acc yearly, one time $400 for technology (tablet computer phone etc), $300 book per year, travel for conferences, free loupes, free TruLearn/step 3/board prep/board exam fees, free gym membership</t>
  </si>
  <si>
    <t xml:space="preserve">Methodist Houston </t>
  </si>
  <si>
    <t>supportive program, lots of money, impressive amenities and ways to improve skills, transplant service is busy</t>
  </si>
  <si>
    <t xml:space="preserve">Idk if I was unlucky with interviewers or what, but I was vibing with them until my actual interviews. Seems like a good place with really good operative experience. But one person hadn't  read my app at all, PD didn't like something I wrote in my personal statement and was noticeably angry... plus the resident interview was strange with the medical questions... only one interviewer was actually nice out of all of them. </t>
  </si>
  <si>
    <t>What does the "c" and "s" on the Thalamus calendar stand for?</t>
  </si>
  <si>
    <t>interview day was a shit show, was constantly put into wrong rooms, interviews felt rushed because of it. Faculty seemed nice, residents mentioned a lack of bread and butter cases but the program was working on fixing that. Decent program but seemed like it could be doing so much better given the quality of the hospital it is associated with</t>
  </si>
  <si>
    <t>cancellation interval, sign up interval. it's locked within a set timeframe so you can't add or drop that interview if it's coming up too soon.</t>
  </si>
  <si>
    <t>night float with 24h call 1-2x/month</t>
  </si>
  <si>
    <t>Leia</t>
  </si>
  <si>
    <t>20% discount, meal vouchers based on call</t>
  </si>
  <si>
    <t>no. garage attached to hospital  is $120/month.</t>
  </si>
  <si>
    <t>free health insurance for self, not for family. residents say theyre always getting bonuses, $200 for christmas plus away carry on luggage and dashpass. free metrorail pass. loupes are NOT paid for</t>
  </si>
  <si>
    <t xml:space="preserve">St. David's </t>
  </si>
  <si>
    <t>Anyone interviewing 11/11 at UPMC Harrisburg receive the WebEx link yet?</t>
  </si>
  <si>
    <t>Such a great experience and pretty low stress. The attendings and residents are personable! Residents have families and hangout outside of the hospital</t>
  </si>
  <si>
    <t>&lt;- do they have any openings? &lt;-no</t>
  </si>
  <si>
    <t>also had a great interview experience. everyone was very personable and really took time to try and get to know the applicants</t>
  </si>
  <si>
    <t xml:space="preserve">Had great conversations with residents and faculty. They tried to make it a back-and-forth question-answer session. Very relaxed but also a little like a marathon of back-to-back interviews until you're done, no breaks in between. </t>
  </si>
  <si>
    <t xml:space="preserve">Interview was great but couldnt get over the resident that said that wanting to rotate at a level 1 trauma center was a superficial thing to worry about when looking at residency programs &lt; I think that it depends where you are. Some Level 2 hosptials basically function like Level 1 hosptials and have the same acuity and high patient load. While some Level 1 hospitals may have low patient volumes due to competing trauma hospitals in the same area. I think that Austin has grown a lot, so it is possible that they see a lot of patients. </t>
  </si>
  <si>
    <t>Poot</t>
  </si>
  <si>
    <t>trauma nights + home call for other rotations</t>
  </si>
  <si>
    <t>can someone update stamford openings pls</t>
  </si>
  <si>
    <t>Mountain</t>
  </si>
  <si>
    <t>Free food/drinks at all hospitals, you get doctor's dining</t>
  </si>
  <si>
    <t xml:space="preserve">San Antonio Uniformed Services </t>
  </si>
  <si>
    <t>Anyone else get the UTSW contract email? was that sent out to everyone invited to the virtual interview?</t>
  </si>
  <si>
    <t>I got it, did virtual interview, not sure if this means anything? +1</t>
  </si>
  <si>
    <t>also interviewed and got it! &lt; have not interviewed yet and got it</t>
  </si>
  <si>
    <t>so do we have any idea if this is an indication of moving on to the second round interview? &lt;&lt; wondering the same but probs not, seems like it got sent to everyone who got the virtual II... idk if I were a program i'd probs wait and just send it to the in person interviewees but oh well &lt; NO because i have not interviewed yet and got it</t>
  </si>
  <si>
    <t>MI, NY, VA, TN, NC, CO, KY, AL, IN, IL, OH, FL, NE</t>
  </si>
  <si>
    <t>I interviewed but didn't get any</t>
  </si>
  <si>
    <t>second round interview invite came out</t>
  </si>
  <si>
    <t>fungi</t>
  </si>
  <si>
    <t>New England</t>
  </si>
  <si>
    <t xml:space="preserve">Texas A&amp;M - Temple </t>
  </si>
  <si>
    <t xml:space="preserve">Sending 2 LOIs 1 month apart? Is this okay? </t>
  </si>
  <si>
    <t>Conversational, relaxed environment, residents get along like family members, seems like good QOL and great training. Program is no longer TAMU affiliate, is still Scott&amp;White but now affiliate of BCM</t>
  </si>
  <si>
    <t xml:space="preserve">&lt;&lt; to same program? &lt;&lt; yeah lol, I'm desperate  &lt;&lt; hmm I am not an expert, but I think there is risk of annoying the program sending more than one email. Can you get one of your mentors to give em a call for youu? &lt;&lt; I would not do it. My advisor told me to avoid that. If you send itb twice it's like putting your app in risk </t>
  </si>
  <si>
    <t xml:space="preserve">Really awesome interview and program. Everyone was very down to earth and training seemed great. One of my top ranks </t>
  </si>
  <si>
    <t>P/F only</t>
  </si>
  <si>
    <t>IL, NY, MA, PA, VT, CT, RI</t>
  </si>
  <si>
    <t>Varies/month</t>
  </si>
  <si>
    <t>Did anyone get a confirmation email from UCSF today ab their interivew date?</t>
  </si>
  <si>
    <t>skid</t>
  </si>
  <si>
    <t>i didn't hear anything from them today &gt;&gt; thanks!! &gt;&gt; also haven't heard back yet</t>
  </si>
  <si>
    <t xml:space="preserve">Texas Health Harris Methodist, Fort Worth </t>
  </si>
  <si>
    <t>South</t>
  </si>
  <si>
    <t>Well organized. 5 interviews one being with a resident. Overall not too stressful</t>
  </si>
  <si>
    <t>Great program except the fact that they've had 3 PD's since theyve been open in 2021, have had a hard time recruiting a PD reportedly</t>
  </si>
  <si>
    <t xml:space="preserve">Has anyone heard from OHSU about a schedule for interview day on 11/7? </t>
  </si>
  <si>
    <t>night float (only cover trauma on nights, other services the attendings take call)</t>
  </si>
  <si>
    <t>yes     &lt;&lt;    really? I haven't for that date, other than the thalamus auto-generated confirmation +1</t>
  </si>
  <si>
    <t>14/15</t>
  </si>
  <si>
    <t>yes and interview invites came Friday</t>
  </si>
  <si>
    <t>100% free food, free snacks in dr's lounge. just have to pay for starbucks and stuff</t>
  </si>
  <si>
    <t>free health and dental for you and your family, plus vision at low cost (&lt;$10/mo), discounted gym ($11/mo), free loupes pgy-1, sponsered conference if presenting, 100% match on 401k up to 6% after one year</t>
  </si>
  <si>
    <t>TED</t>
  </si>
  <si>
    <t>Texas Tech</t>
  </si>
  <si>
    <t>For UTSW, is there an interview acknowledgement form to submit? Can't find any info</t>
  </si>
  <si>
    <t>Just in general do all programs require this? Haven't seen it from many yet</t>
  </si>
  <si>
    <t xml:space="preserve">What is this acknowledgment form people are talking about? &lt; *Some* programs have you sign an acknowledgement that you recieved stuff like the resident contract and/or that you agree to not record the interview or stuff like that, not all of them have it </t>
  </si>
  <si>
    <t xml:space="preserve">Texas Tech - Lubbock </t>
  </si>
  <si>
    <t>marceline</t>
  </si>
  <si>
    <t>Of the programs that advertise mandatory 2 years research, is there any that lets you take 1 yr if not pursuing competitive fellowship?</t>
  </si>
  <si>
    <t xml:space="preserve">&lt;im sure there's some but from what I've heard a lot of the required is to maintain coverage equally. But sometimes people trade aka at my program a 2 year research person chose trauma so they traded their 2nd year with a co resident who needed a 3rd research year </t>
  </si>
  <si>
    <t>3 years is crazy &lt; he's on that peds surg grind</t>
  </si>
  <si>
    <t>n</t>
  </si>
  <si>
    <t xml:space="preserve">Texas Tech - El Paso </t>
  </si>
  <si>
    <t>Are you guys sending thank you emails to interviewers? If yes, what's a good time frame to do so?</t>
  </si>
  <si>
    <t xml:space="preserve">I heard one of the residents say on social media that it is annoying to have their mailbox filled with everyone they interviewed. </t>
  </si>
  <si>
    <t>smaller academic program. I really enjoyed my interview. Program director is approachable and it seems like the resident feedback is well accepted</t>
  </si>
  <si>
    <t>I think some people might be annoyed, but it's not really harming us for them to delete it. For that one person who really cares about receiving a thank you, it would be better if we sent it...</t>
  </si>
  <si>
    <t xml:space="preserve">Nahhh </t>
  </si>
  <si>
    <t>advise was not to send</t>
  </si>
  <si>
    <t>I didn't see anything negative about the people or program when interviewing here</t>
  </si>
  <si>
    <t>PA, IL, LA, OK, WV, NC, CA</t>
  </si>
  <si>
    <t>worm</t>
  </si>
  <si>
    <t>if i add an attachment to an LOI does it go to junk? i added my application and im worried they didnt even get to see it should i send another one wihtout the attachment</t>
  </si>
  <si>
    <t xml:space="preserve">Texas Tech - Permian Basin </t>
  </si>
  <si>
    <t xml:space="preserve">If you sent an attachment to your email, it shouldn't go to the junk folder (some institutions have "filters" for external emails, but they show up in Inbox as "external". But I will avoid sending mutiple emails to the same person </t>
  </si>
  <si>
    <t>VEry new program, not much info available. interview was only 90 minutes. PD didn't interview</t>
  </si>
  <si>
    <t xml:space="preserve">If anyone is worried about lack of invites, stay positive! I've received 2 invites just today, so spots can/will open up! &lt; That's amazing! Congrats!!! </t>
  </si>
  <si>
    <t>congrats!! can u enter them on the by date pls &lt;&lt; Thank you!! I just entered them!</t>
  </si>
  <si>
    <t xml:space="preserve">UT Austin </t>
  </si>
  <si>
    <t xml:space="preserve">I interviewed on Monday (11/4) and the schedule with Zoom link and interviewers was posted to thalamus on Friday (1 business day before), so hopefully yours will be up by 11/7! &gt; Thank you so much! </t>
  </si>
  <si>
    <t>In-person interview. Really nice PD and faculty that interviewed us. Smaller program but residents seemed close. Overall one of the stronger programs I interviewed with</t>
  </si>
  <si>
    <t xml:space="preserve">Mamushi </t>
  </si>
  <si>
    <t>Can someone please update interview openings for Yale+ hopkins prelim. Would be super grateful..</t>
  </si>
  <si>
    <t>&lt;&lt; yes hopkins prelim pls</t>
  </si>
  <si>
    <t>18 with 1/3 academic as well &gt;&gt; 9 with 1/3 academic x2</t>
  </si>
  <si>
    <t xml:space="preserve">UT Houston </t>
  </si>
  <si>
    <t>Residents were vocal on hours exceeding, many were vocal on culture. Not good remards on PD, seems less freindly. definetly not ranking</t>
  </si>
  <si>
    <t>Workhorse program, residents seem to like it that way. you get good training but the intensity isn't for everyone.</t>
  </si>
  <si>
    <t>Residents didn't seem fully transparent in responses. One of the interviewers grilled me with unnecessary questions lol. PD seemed fine. Emphasized their autonomy in the program</t>
  </si>
  <si>
    <t>seemed like residents barely knew or liked each other at social, and definitely get the sense that they are working way more than they let on</t>
  </si>
  <si>
    <t>What number of interviews is good enough for likelihood of matching? Does this year's feel lower than previous years due to signaling? (as you can tell I am panicking lol)</t>
  </si>
  <si>
    <t>Ohio, MCW, Virgina Mason, Texas, Boston, Iowa</t>
  </si>
  <si>
    <t xml:space="preserve">Check row 13 for the picture </t>
  </si>
  <si>
    <t>I thought this program was great. Faculty and residents were cool and seemed happy. Yes residents mentioned that you don't really start to take the reins in the OR until third year but no one seemed upset about that. Lots of clinical exposure and good opportunities for research if you are into that. I think its reputation as a malignant program is old but still affects what people think about it. Ranked it highly</t>
  </si>
  <si>
    <t>&lt;&lt; To answer your orignal question though, there is chance the 15 signals brings a minor reduction in interviews but it is impossible to say for sure until new stats come out. I also would take those interview numbers in context of rest of data (STEP/ publications/ etc) because those that matched with small amount of ranks were probably strong applicants in spite of their low rank amount</t>
  </si>
  <si>
    <t>GS</t>
  </si>
  <si>
    <t xml:space="preserve">&lt;PD Here: any previous data is out the window. Program fundamentally changed how they select candidates to interview. Thus, we do not know what the yield from applications to interviews will be, how signaling will affect interview hoarding, and if the overall match rate will change due to signaling.  I suspect those numbers will be much like that pre-COVID when the time and $ it took to interview in person was equivalent to a signal. </t>
  </si>
  <si>
    <t xml:space="preserve">&lt;&lt; thank you very much for that insight! </t>
  </si>
  <si>
    <t>To answer the specific question, how many interviews are safe? I was given 14 be a safe one with at least five of those academics to be safer. Know this is old stats but till new stats come this is what is safe we know from statistics!!!!</t>
  </si>
  <si>
    <t xml:space="preserve">14 was the average for USMD. When we talk about safe I think 11 is a better number to shoot for since 92% matched with said number of ranks. But as someone said previously, &gt; 10 ranks is doing well. </t>
  </si>
  <si>
    <t xml:space="preserve">UT RGV </t>
  </si>
  <si>
    <t>I was interviewed by PAs (and actual MDs). While honestly I don't care and it makes sense (you will be working with them) I know that people care about stuff like this.</t>
  </si>
  <si>
    <t xml:space="preserve">PD seemed less than thrilled to be interviewing </t>
  </si>
  <si>
    <t>Can someone please update the interview openings for Methodist Dallas? Thank you so much in advance.</t>
  </si>
  <si>
    <t>done</t>
  </si>
  <si>
    <t>GA, KS, MD, MS, PA, WV, NC, OK, WI</t>
  </si>
  <si>
    <t>I think it has more to do with election day&lt;&lt; Sorry but what does this have to do with anything? &lt;&lt; there may be less staff meetings on election day&lt;&lt; Gotcha! Thanks</t>
  </si>
  <si>
    <t>vivjohnnie</t>
  </si>
  <si>
    <t>US West</t>
  </si>
  <si>
    <t>PD is down to earth. Residents seem to get along with each other. PC makes sure you're taken care of. APD was pretty stoic during interview.</t>
  </si>
  <si>
    <t>Does westchester have ii openings?</t>
  </si>
  <si>
    <t>Wash, FL, Ohio, CA, DC, NC, IL, OR</t>
  </si>
  <si>
    <t xml:space="preserve">UT San Antonio </t>
  </si>
  <si>
    <t>peachesncream</t>
  </si>
  <si>
    <t>what are peoples thoughts regarding invites in the coming weeks? do we think programs will continue to send invites out or invites will be rare? obviously I know we're guessing but asking on the off chance people have heard things from pds/mentors</t>
  </si>
  <si>
    <t>the trend already is slowing down id say a couple of programs a day only from last years sheet that what seemed to happen</t>
  </si>
  <si>
    <t>I got four invites today. It is still happening</t>
  </si>
  <si>
    <t>Mixed</t>
  </si>
  <si>
    <t xml:space="preserve">UT Southwestern </t>
  </si>
  <si>
    <t>When is appropriate to send letter of intent emails to programs you want an interview from? Dual applying to surgical subspecialty from prelim gen surg year, otherwise competitive applicant with very few gen surg invites</t>
  </si>
  <si>
    <t>As a follow up to this, should we be sending LOIs to program directors or the program coordinator? Its hard to find the PD emails often</t>
  </si>
  <si>
    <t>CA, WA, NV, AZ</t>
  </si>
  <si>
    <t>I was waiting to write this to give them benefit of the doubt, but like on last year's sheet you could totally tell from the virtual first round whether they intended to invite you for the in person IV. The attending was rather disengaged and seemed completely uninterested in interviewing me, and gave no indication of having read my application. Left a poor taste in my mouth about the program. +2 &lt;&lt;&lt; i disagree, I was invited to the virtual likely after a cancellation (i received mine after everyone else) and i was matched with a resident and attending that fit my profile and the attending was very enthusiastic and mentioned one of my letters so clearly read my app. &lt;&lt; glad you had a better experience! did you get a second round?  &lt;&lt; I did - however I definitely would say I don't think it was predetermined because again, I didn't get my invite with everyone else so wouldn't make sense that they would have already decided to take me</t>
  </si>
  <si>
    <t>When the PD email is unavailable, I've just been sending it to the PCs and asking them to also share it with the PD.</t>
  </si>
  <si>
    <t>I assume the email address they prefer us using is the one listed in ERAS?</t>
  </si>
  <si>
    <t xml:space="preserve">Same here, faculty who interviewed me was way off, not asking questiosn to get to know. Old school, didn't read application. He criticised a lot about how he doesn't beleive why they have two rounds of interview and wasting time.  It was clear he was pissed with multiple interviews that day and I was late in the day. My second interviewer was resident, joined meeting 10 miutes late and spent only five minutes and only question was tell me about yourself. All the time he was looking at his mobile and smiling, some lovely chat i guess!. Ofcourse I didn't get second interview, I got that sense even in the interview. This was really good program with changed PD etc but seems still faculties need refresh. Too bad , they are not lucky to have me! +2 &lt;&lt; well said my friend </t>
  </si>
  <si>
    <t>Found the resident I met with to be very enthusiastic and helpful, had great things to say about the program both training and QOL-wise. Faculty was harder to read but engaged and definitely interested in fit for the program. Faculty spoke highly of the program but was still honest about recent changes, areas that the program is improving.</t>
  </si>
  <si>
    <t>Mid Atlantic</t>
  </si>
  <si>
    <t>does anyone know how long UF interview day might be? trying to book flights &amp; want to make sure i book my return flight late enough in the day</t>
  </si>
  <si>
    <t>the invite email said from 7:30am and would last around 5 hours &lt;&lt; oops not sure how I missed that. thanks!!</t>
  </si>
  <si>
    <t>bax</t>
  </si>
  <si>
    <t xml:space="preserve">UT Tyler </t>
  </si>
  <si>
    <t>Why negative?&lt; Same why negative??</t>
  </si>
  <si>
    <t xml:space="preserve">All graduates from medical schools outside the USA must have completed a Fifth Pathway program provided by an LCME-accredited medical school …. Please what does this mean ?? Are they certain people from schools  who can and cannot apply ?? </t>
  </si>
  <si>
    <t>non-US IMG here: I believe this is the pathways that was needed to get the ECFMG certification, and they just explain one of the pathways here (eg with the pathway I needed to do, I had to give OET, so if you are non-US IMG as well, in order to get your ECFMG certification you must have gone through a similar experience! are you ECFMG certified? if you are, then no need to worry about this, otherwise check the pathway steps needed!</t>
  </si>
  <si>
    <t xml:space="preserve">UT Med Branch </t>
  </si>
  <si>
    <t>NeoFire</t>
  </si>
  <si>
    <t>lots of weird responses about chair stepping down, seems like there is a concern about faculty leaving.</t>
  </si>
  <si>
    <t xml:space="preserve">That's it? It's done :( I only have 7 interview invites. </t>
  </si>
  <si>
    <t xml:space="preserve">Most people match at their top 3 ranks. You have a very good chance of matching! &lt;&lt; THanks, is this really true? I thought general surgery is so competitive. Like how are we supposed to take 7 spots if 100 people are interviewed? </t>
  </si>
  <si>
    <t xml:space="preserve">William Beaumont </t>
  </si>
  <si>
    <t>&lt;&lt; 7 ranks puts you well over 50% chance of matching (see below)</t>
  </si>
  <si>
    <t xml:space="preserve">Also more can still come. I feel you can't say 7 total until the end of December. </t>
  </si>
  <si>
    <t>KD</t>
  </si>
  <si>
    <t>West</t>
  </si>
  <si>
    <t>How to find if there will be second wave for programs +1</t>
  </si>
  <si>
    <t>You wait&lt;&lt;+2</t>
  </si>
  <si>
    <t>P</t>
  </si>
  <si>
    <t>UTAH</t>
  </si>
  <si>
    <t>Non-US IMG, Have only 3 invites so far, 27x, I thought I had a strong app. Only one of my signals sent me an invite. Feeling discouraged. Woud be grateful for any advise</t>
  </si>
  <si>
    <t>ML</t>
  </si>
  <si>
    <t>Perlim or cat? Last years match data said 4 ranked was the average to match so technically u need 1 more &lt;&lt; can you please send link to this data +2&lt;&lt;Thank you so much for this! I was really worried!</t>
  </si>
  <si>
    <t>Its the official data they release every year i found the link on reddit if i come across it again i'll post it here!</t>
  </si>
  <si>
    <t>&lt;&lt; not to scare anyone, but the mean number of contiguous ranks by US MD seniors that matched was actually 14.1 in 2024 (https://www.nrmp.org/match-data/2024/08/charting-outcomes-characteristics-of-u-s-md-seniors-who-matched-to-their-preferred-specialty-2024-main-residency-match/); 5.6 for unmatched. That being said, there are some applicants with only 1-2 interviews and still match. &lt; It's less for Non-US IMGs Charting Outcomes™: Characteristics of International Medical Graduates Who Matched to Their Preferred Specialty: 2024 Main Residency Match® | NRMP~:text=Match%C2%AE%20%7C%20NRMP-,Charting%20Outcomes%E2%84%A2%3A%20Characteristics%20of%20International%20Medical%20Graduates%20Who%20Matched,2024%20Main%20Residency%20Match%C2%AE&amp;text=These%20biennial%20reports%20highlight%20how,as%20matching%20to%20preferred%20specialty.</t>
  </si>
  <si>
    <t xml:space="preserve">pretty meh across the board. one interviewer was super checked out and disinterested. split the interview day up oddly and had the info session the night before at 5pm instead of just during the interview day itself. </t>
  </si>
  <si>
    <t>waitwait</t>
  </si>
  <si>
    <t xml:space="preserve">Definitely there was one interviewer not interested at all. Other than that everything was good. They really seem to care about the residents. </t>
  </si>
  <si>
    <t>Northeast</t>
  </si>
  <si>
    <t>&lt;&lt;&lt; for US MD seniors who had 3 ranks, 9 matched and 29 did not match</t>
  </si>
  <si>
    <t>MI, MD, VT, DE, NY, PA, ME, CT</t>
  </si>
  <si>
    <t>VERMONT</t>
  </si>
  <si>
    <t xml:space="preserve"> ean was 3.7 for Non-US IMG&lt;&lt; yes, I was only posting data for US MD Seniors to the left&lt; thanks&lt;&lt; also, if you played around with data, I am sure you would see those that did match with ~3 contigious ranks had step2/strong app like yours. So there is more beneath each chart and have to view the data collectively. &lt; thanks helpful appreciate it"</t>
  </si>
  <si>
    <t>Does this inlcude prelim?  &lt;&lt; i dont think so</t>
  </si>
  <si>
    <t>Non-us IMG vs US MD would not be the comparison here. ie if a US MD "only" got 6-7 programs to rank, they were not a stellar applicant, on the other hand, if a non-us IMG ranked 6-7 programs, you bet they have 260+, 10+ actual pubs, etc</t>
  </si>
  <si>
    <t>www.www</t>
  </si>
  <si>
    <t>Southeast</t>
  </si>
  <si>
    <t>Did Beaumont Farmington Hills release IV? The sheet says 10/23 but there are no interview dates listed</t>
  </si>
  <si>
    <t>U Vermont</t>
  </si>
  <si>
    <t>decakey</t>
  </si>
  <si>
    <t>Great vibes from everyone all day. Super organized.</t>
  </si>
  <si>
    <t>3 categoricals left last year. Unclear why but seems like a lot given how small the program is.</t>
  </si>
  <si>
    <t>&lt;&lt;where did you see that 3 categoricals were left?</t>
  </si>
  <si>
    <t>&lt;&lt;&lt; also heard this directly from a resident.</t>
  </si>
  <si>
    <t>UT RGV valley baptist medical center ii opening?</t>
  </si>
  <si>
    <t>d</t>
  </si>
  <si>
    <t>and tyler</t>
  </si>
  <si>
    <t>and florida atlantic</t>
  </si>
  <si>
    <t xml:space="preserve">and minnesota </t>
  </si>
  <si>
    <t>VIRGINIA</t>
  </si>
  <si>
    <t>NY, MN, CA, SD, NV, OH, UT</t>
  </si>
  <si>
    <t>West South Central</t>
  </si>
  <si>
    <t>on their website WASHU said they are going to release their first round interviews by Nov 1 in accordance with the APDS guidelines....anyone heard anything from anyone?</t>
  </si>
  <si>
    <t>&lt;&lt; wondering this as well.. but there is still time left today for them to release &lt;&lt; nope havent heard anything from WashU yet &lt;released</t>
  </si>
  <si>
    <t>AZ, CA, KS, MN, TN, TX</t>
  </si>
  <si>
    <t>Same with Vanderbilt?+1 &lt;got vanderbilt</t>
  </si>
  <si>
    <t>just got invite from washU!+2 &lt;&lt; for those who got interviews did yall get STJ a while back &lt; I did +4 &lt; Ya me too. Anyone get an interview without STJ? Just testing a theory    &lt; on the email of the SJT it said "we are one of the programs requesting that applicants complete the SJT" so to me it sounded like they are asking those they were looking at interviewing</t>
  </si>
  <si>
    <t>&lt; I did not get SJT and got invite &lt;&lt; any spots left?  &lt;&lt; internal scheduling system so cant tell :(</t>
  </si>
  <si>
    <t>&lt; details pls</t>
  </si>
  <si>
    <t>Cheese</t>
  </si>
  <si>
    <t>US IMG</t>
  </si>
  <si>
    <t>To those that have recieved an II AFTER the program sent out most II, did you reached out or it just worked on its own? For example Hofstra, OHSU, etc have multiple entries in the II by Date tab+1   &lt; i think my mentor called for me on one and got me an interview. they never said what/how but asked for my AAMC id and then poof an hour later</t>
  </si>
  <si>
    <t>Did Prisma Health or UMiami/JK send invites yet? The "ii by program" is empty still.</t>
  </si>
  <si>
    <t>Got a random II from a program that had sent a few days before without anything on my part...assume I was on some sort of waitlist and someone dropped? no idea</t>
  </si>
  <si>
    <t>FL, GA, OH, NY, VT, LA, NJ</t>
  </si>
  <si>
    <t>Inova Fairfax</t>
  </si>
  <si>
    <t>cupcake</t>
  </si>
  <si>
    <t>extremely tight knit group of people that were super welcoming and the benefits were one of the best I have heard of, they are wanting to go more towards academia and build a bigger name for themselves but not there yet</t>
  </si>
  <si>
    <t>Can someone update any interview spots available at Temple?</t>
  </si>
  <si>
    <t>none sorry!</t>
  </si>
  <si>
    <t xml:space="preserve">supportive environment. honestly a great general program. research required during 5 yrs. you have to start 2 weeks before official start date for "orientation". somewhat limited transplant surg experience, and no liver transplants. people commute via public transport, DMV area in general is pretty populated and expensive </t>
  </si>
  <si>
    <t>hella expensive area to live in &lt;&lt; is this why the negative?</t>
  </si>
  <si>
    <t>still have not received confirmation that my dates were received from UTMB, should I email??</t>
  </si>
  <si>
    <t>University of Virginia (UVA)</t>
  </si>
  <si>
    <t>&lt;-- 11/15</t>
  </si>
  <si>
    <t>I haven't either. I think it'll be alright, just be patient! +2</t>
  </si>
  <si>
    <t>this feels bad, they gave us a deadline and a date of when to expect confirmation.</t>
  </si>
  <si>
    <t xml:space="preserve">Incredible focus on being a teaching institution and their residents win lots of awards for teaching. Leadership is really focused on making strong surgery residents. </t>
  </si>
  <si>
    <t>icee</t>
  </si>
  <si>
    <t xml:space="preserve">Epic </t>
  </si>
  <si>
    <t>Call dependent + coffee</t>
  </si>
  <si>
    <t>For BIDMC, how long did they give for invite response? How many spots left at this time? Thanks! +1</t>
  </si>
  <si>
    <t>Included/taken from salary but reimbursed if you dont want it</t>
  </si>
  <si>
    <t>It doesn't look like the thalamus invite has a timeframe to respond, but there's 11 spots left during the afternoon session on 1/8 +1 &gt;&gt; so i'm assuming they sent out all their invites today?</t>
  </si>
  <si>
    <t>Virginia Commonwealth</t>
  </si>
  <si>
    <t>do we think they sent out all invites today? &lt;&lt; that seems to be the theme with most programs, but I'm sure as the season goes on and people drop some will open up! I also sent a LOI and my home program's PD reached out to them which seems to have worked! &gt; did you have them reach out/send out LOI today? &lt; I sent my LOI 10/28 and my PD emailed this morning so not sure if that actually made a difference or if it was the LOI</t>
  </si>
  <si>
    <t>&lt;&lt; congrats guys! can you please update interview openings in like ~24 hours .. would be much appreciated</t>
  </si>
  <si>
    <t>Everyone seemed very kind, including PD and associate PD. Residents spoke highly of the PD and faculty in general - seems like a supportive program</t>
  </si>
  <si>
    <t>Well organized, 2 hours (4 interviews), a little less conversational than some but overall low stress</t>
  </si>
  <si>
    <t>brikk</t>
  </si>
  <si>
    <t>Pass</t>
  </si>
  <si>
    <t>anybody else sitting at 3 invites and completely spiraling? :( &lt;&lt; Go to those interviews and give them your all!! May not feel the best but I think there's still time for more to come in, if not it only takes 1 program. You got this! &lt;&lt; appreciate you!!</t>
  </si>
  <si>
    <t>yes and all 3 are from a while ago nothing this week</t>
  </si>
  <si>
    <t>thank you for sharing. i am rooting for us &lt;&lt; are u guys imgs &lt;&lt; no, US MD</t>
  </si>
  <si>
    <t>Does it feel like most of us are getting less interviews compared to ppl last year?</t>
  </si>
  <si>
    <t>Virginia Tech</t>
  </si>
  <si>
    <t>did cleveland florida send out anything ?</t>
  </si>
  <si>
    <t>&lt;&lt; no one cared to ask me about my CV or experiences. and if they did it was only research questions. felt odd. the behavioral questions werent conversational at all. most of the day felt like an interrogation. did not feel like they wanted to get to know me as a person.  +1 got pimped by the PD</t>
  </si>
  <si>
    <t>It doesn't look like it yet- they didn't send out II until 11/12 last year</t>
  </si>
  <si>
    <t xml:space="preserve">Had the opposite experience and felt very positive about my interview. It was clear the PD had read my app, and I was asked about my research and volunteerism in multiple interview sessions. I'm not from Virginia and have no ties to the area, so I did get somewhat questioned about my interest in the program, but everyone was very welcoming and residents were super friendly. </t>
  </si>
  <si>
    <t>Should we cc associate PDs in LOI?</t>
  </si>
  <si>
    <t>WASHINGTON</t>
  </si>
  <si>
    <t>I just sent it to the email address they provided in ERAS (but I don't know anything and always feel lost in this stuff)</t>
  </si>
  <si>
    <t>do u still say Dear "PD name"?</t>
  </si>
  <si>
    <t>PC here: no need to cc APDs, cc Program Coordinator, use the name of who you're addressing it to. &lt; Appreciate it thank you</t>
  </si>
  <si>
    <t>Stormi</t>
  </si>
  <si>
    <t>Does anyone know if programs have already sent out prelim interviews? Do we have a list of programs that already did?</t>
  </si>
  <si>
    <t>there is a new tab for this &lt;3 mod</t>
  </si>
  <si>
    <t>South East</t>
  </si>
  <si>
    <t>Virginia Mason Franciscan (Tacoma)</t>
  </si>
  <si>
    <t xml:space="preserve">Everyone was nice and seemed genuine in what I had to say. Read my app, complimented me about my personal statement. No illegal questions. Residents are friends with each other </t>
  </si>
  <si>
    <t>&lt;&lt; Late November</t>
  </si>
  <si>
    <t>Frappy</t>
  </si>
  <si>
    <t>Can someone update LSU please &lt;&lt; its internal no one knows what spots look like</t>
  </si>
  <si>
    <t>crambino</t>
  </si>
  <si>
    <t xml:space="preserve">Swedish Med Center </t>
  </si>
  <si>
    <t>elaborate pls</t>
  </si>
  <si>
    <t>culture, operative experience, fellowship/job outcomes</t>
  </si>
  <si>
    <t>Residents seem very happy and confident in their training, PD/APD were very easy to talk to and genuine</t>
  </si>
  <si>
    <t>I know it's super variable, but how high do you have to typically be ranked for the top 20 programs to match? Top 20? top 10? Ranked to match? +1</t>
  </si>
  <si>
    <t>Even the top programs don't get 100% yield from their "ranked to match" if that really means the same number of candidates as they have positions. But they won't fall too far below that number either...</t>
  </si>
  <si>
    <t>Mgh almost has never gone below 15. Usually less than 11-12.</t>
  </si>
  <si>
    <t>U Wash</t>
  </si>
  <si>
    <t>NY, NJ, OH, MI</t>
  </si>
  <si>
    <t>skipper</t>
  </si>
  <si>
    <t xml:space="preserve">favorite interview so far. only three attendings but each wanted to get to know me. both behavioral and situational but made it really conversational and fun. low stress and generally enjoyable. they are really looking for the right fit. </t>
  </si>
  <si>
    <t>Can someone pls update Northwell LIJ and NJMS?</t>
  </si>
  <si>
    <t>If you are asking for the main Northwell program here, then I can give you the number of spots &lt;&lt; yes pls &lt;&lt; updated. Sorry, I didn't apply to Rutgers NJMS &lt;&lt; thank you!</t>
  </si>
  <si>
    <t>macrophage</t>
  </si>
  <si>
    <t>WISCONSIN</t>
  </si>
  <si>
    <t>Can someone updaye UMass Baystate II opening pls</t>
  </si>
  <si>
    <t>&lt;-- on it, done - in tab &lt; thanks!! &lt; sad... are there many dates? &lt; a decent amount, the dates are on the "II by Program" tab</t>
  </si>
  <si>
    <t>CA, CT, KY, MI, NY, OH, OR, RI, SC</t>
  </si>
  <si>
    <t>anyone hear anything from new program Icahn/Mt Sinai at Valley Health? Or HCA Chippenham?</t>
  </si>
  <si>
    <t>chadafice</t>
  </si>
  <si>
    <t>No im also waiting for valley health but nothing</t>
  </si>
  <si>
    <t>Gundersen</t>
  </si>
  <si>
    <t>Great interview day. First half was us sitting in on a M&amp;M that was collegial and constructive. All of the interviewers had clearly read my application down to the details of the personal statement. Interview with the chiefs was laid back and personal.</t>
  </si>
  <si>
    <t xml:space="preserve">Warm and fuzzy residency program said PC. PD states they try to teach from a place of Love for residents and patients! I had a good time at this interview. </t>
  </si>
  <si>
    <t>Who is Duke's PD? AAMC says a different person than the Duke website, please help</t>
  </si>
  <si>
    <t xml:space="preserve">Kevin Shah is Duke PD &lt;&lt; this is the new PD now. </t>
  </si>
  <si>
    <t>Thank you so much!!</t>
  </si>
  <si>
    <t>SK</t>
  </si>
  <si>
    <t xml:space="preserve">I received an unexpected interview from a highly competitive program. I am not sure if this was a mistake or not. Even if it wasn't, do I still have a shot to match if my interviews go well? </t>
  </si>
  <si>
    <t>Why are you even questioning yourself? Go get it!!!! &lt;&lt; there are just so many talented candidates lol. it is so scary. I am a nobody &lt;&lt; you're going to become an excellent surgeon. You deserve to be there, wherever you land. You deserve good training and to be somewhere that makes you happy +1&lt;&lt; My dude/dudette. If you don't believe you deserve it bit, why should anybody else and how are you going to convince them?</t>
  </si>
  <si>
    <t>MK</t>
  </si>
  <si>
    <t>Awesome interview day. PD is the nicest and warmest person you will ever meet. Interviewers clearly had read my application and cited experiences. Remarkable training and chill resident group who seem to know and like each other.</t>
  </si>
  <si>
    <t>&lt; +1 agree people very kind and knew my application and my "Why"</t>
  </si>
  <si>
    <t>Why is this sheet so chaotic right now? Can you guys please get it together? If you add a cell but not a row, it makes everything weird. I'm sure y'all can figure it out. No need to stress us out more than we already are.</t>
  </si>
  <si>
    <t>TX, LA, AZ, AR, OK, CO</t>
  </si>
  <si>
    <t xml:space="preserve">Amazing research opportunities. Residents are warm. Interviewers clearly read my application and asked thoughtful questions about different components. </t>
  </si>
  <si>
    <t>Pretty meh</t>
  </si>
  <si>
    <t>momo</t>
  </si>
  <si>
    <t>what happened to the supplementals tab lol could be useful for next year....</t>
  </si>
  <si>
    <t>Mod--see announcements about the supplementary sheet on the overview page!</t>
  </si>
  <si>
    <t xml:space="preserve">Understood can you please share it back and just lock it or something? With UMiami just sending out their supp this week, might be helpful for us folks to reference. </t>
  </si>
  <si>
    <t>how did miami send supplemental? ERAS or email? and did u signal? :,) &lt;&lt; initially via email but then they sent an ERAS message when they realized we can't initiate messages on ERAS. I did not signal, but I did geo pref</t>
  </si>
  <si>
    <t>I did not get UMiami secondary, but got II</t>
  </si>
  <si>
    <t>WEST VIRGINIA</t>
  </si>
  <si>
    <t>MI, CA, NY, MA, RI, IL</t>
  </si>
  <si>
    <t>Can people please be careful with deleting contents of cells? Hit undo if you accidentally delete something or avoid clicking on cells with comments &lt;&lt;+1</t>
  </si>
  <si>
    <t>flameo</t>
  </si>
  <si>
    <t>Hey I am on my knees begging can you guys pls update the interview openings, it is hard to know where to send LOI if we don't know if there are slots left to advocate for. Pls and thank you :)</t>
  </si>
  <si>
    <t xml:space="preserve">I would not use that sheet for that purpose tbh! Programs will always have an evolving number of spots left as they schedule new interview dates or (more likely) as candidates cancel or switch dates. if you're really that interested, just send an LOI so they might consider you when a spot becomes open </t>
  </si>
  <si>
    <t>CA, AZ, PA, MA, NJ, DC</t>
  </si>
  <si>
    <t>CAMC/WVU</t>
  </si>
  <si>
    <t>jbeany</t>
  </si>
  <si>
    <t>Bruh where is WashU, UMiami, BIDC? WashU has this rigorous process of selecting candidates so it may take some time?</t>
  </si>
  <si>
    <t>Everyone clearly read my application. PD was so very kind, encouraging, and down to earth. Residents had very good vibes, were joking and laughing the whole social.</t>
  </si>
  <si>
    <t xml:space="preserve">&lt;&lt; hopefully tomorrow! </t>
  </si>
  <si>
    <t>&lt;&lt; Think WashU said "by Nov1" on website</t>
  </si>
  <si>
    <t>Marshall</t>
  </si>
  <si>
    <t>ulvamentor</t>
  </si>
  <si>
    <t>For those that received invites from Stamford (CT) how much time were you given to respond? I see there are still spots available but no updated invites since that first release date. Just wondering if they're planning to send out more invites at some point :/</t>
  </si>
  <si>
    <t>Everyone was very friendly from 
PD, APD to newer faculty and 
residents. Had clearly read my 
app and asked questions about 
hobbies/life experiences. Seems like 
a smaller program with great culture 
and clinical experience but limited in 
regards to competitive fellowships 
(PDS/SGO) which they were 
transparent about, they do have 
multiple residents pursing other 
fellowships (vascular, plastics, etc). 
Overall organized, low-stress, 
friendly IV experience.</t>
  </si>
  <si>
    <t xml:space="preserve">The invite didn't include how much time to respond &lt;&lt; ok thanks, hopefully they'll send out more invites at some point then </t>
  </si>
  <si>
    <t>could u update the openings?</t>
  </si>
  <si>
    <t>West Virginia U</t>
  </si>
  <si>
    <t>lildoc</t>
  </si>
  <si>
    <t xml:space="preserve">Interviewers clearly read details of my application. seemed like they are genuinely trying to find people who will fit their program. Everyone was down to earth </t>
  </si>
  <si>
    <t>"For sending LOIs, is it best to send an email to the PD and cc the PC? or is there a better way to do this?"</t>
  </si>
  <si>
    <t xml:space="preserve">I sent mine to both PD/PC </t>
  </si>
  <si>
    <t>NF</t>
  </si>
  <si>
    <t xml:space="preserve">Are you guys just sending an email or making a word doc letter and attaching to email? &gt;&gt; I sent an email with my Eras CV </t>
  </si>
  <si>
    <t xml:space="preserve">I only sent it to PC unless PD's email was on their website. Thought it would appear stalkly if I found their email on some random website on Google. </t>
  </si>
  <si>
    <t>NJ, PA, OH, MD, NY</t>
  </si>
  <si>
    <t>girly</t>
  </si>
  <si>
    <t>"Are we expecting another wave of II tommorow ?? +1"</t>
  </si>
  <si>
    <t>The first round of offers should be sent between Wednesday October 23, 2024, and November 1, 2024. Programs
should provide transparency to applicants if making interview offers outside of this window. Saw this on AAMC website as agreed by Association of PD for surgery</t>
  </si>
  <si>
    <t xml:space="preserve">Wait so, second round would be after? (Sounds like that is implied) , However, one of the programs I am most interested in had 2 rounds already. Am I going nuts or maybe following false guidance? &gt;&gt;&gt; if it makes you feel better , we are all going nuts </t>
  </si>
  <si>
    <t>APDS are guidelines, and voluntary, so there's going to be some differences between programs, as we're finding out</t>
  </si>
  <si>
    <t>themoshow</t>
  </si>
  <si>
    <t>CT, IA, IN, KS, KY, MA, MD, MI, MN, MO, OH, TN, VA, WI</t>
  </si>
  <si>
    <t>TheBioMan888</t>
  </si>
  <si>
    <t>Would sending LOIs after today make a difference for getting II since some programs' websites state they will send out II until 11/1?</t>
  </si>
  <si>
    <t xml:space="preserve">I feel like most people I've talked to said they are going to start sending LOIs over the weekend specifically because they don't want to annoy any programs that are sending things tomorrow </t>
  </si>
  <si>
    <t>IL, IN, CT, NY, MA, PA, NJ, MI</t>
  </si>
  <si>
    <t>&lt;&lt; I have sent out a few and have heard nothing back, but there have been other people here that mentioned it worked out for them! So I say try it out you never know &lt;&lt; I think it is worth to send out a few, we have to advocate for ourselves in this process +2</t>
  </si>
  <si>
    <t xml:space="preserve">Is LOI not supposed to be sent out before all interview slots are field ?? That is this period , because I don't understand the use of the LOI if all the IV spots are filled , or am I getting something wrong ?? +1 &lt;&lt;&lt; see 6 rows up </t>
  </si>
  <si>
    <t xml:space="preserve">Interviews will keep being released past this week. </t>
  </si>
  <si>
    <t>SOAP (Prelim)</t>
  </si>
  <si>
    <t>Dinky</t>
  </si>
  <si>
    <t>For sending LOIs, is it best to send an email to the PD and cc the PC? or is there a better way to do this?</t>
  </si>
  <si>
    <t>Are we expecting another wave of II tommorow ??  +2</t>
  </si>
  <si>
    <t>"&lt;&lt; I have sent out a few and have heard nothing back, but there have been other people here that mentioned it worked out for them! So I say try it out you never know &lt;&lt; I think it is worth to send out a few, we have to advocate for ourselves in this process +2"</t>
  </si>
  <si>
    <t xml:space="preserve">Sent one LOI yesterday to a community program, and got an interview invite today! +1 &lt;&lt; congrats did u have them signaled ? &lt;&lt; I did not signal them &lt;&lt; wow, great to know thanks!! </t>
  </si>
  <si>
    <t>anyone had any luck with sending LOI's to academic programs? do we think academic programs will continue to send out interviews or are they pretty much done? (georgetown, BMC, UPenn)&gt;&gt; honestly yes, I sent LOI's to almost all of my signals and got interviews the day of or after &lt;&lt; when did you send them?? &lt;&lt; did they acknowledge the loi or just sent a imvite? &lt;&lt; it was a mix! a few responded and some didn't but just sent an interivrew</t>
  </si>
  <si>
    <t>kddy</t>
  </si>
  <si>
    <t>what's this about miami putting out a secondary I see in the II by program? +2</t>
  </si>
  <si>
    <t>&lt;-- it may be the holy cross program, not the main one (Jackson) &lt;&lt;&lt; yes holy cross</t>
  </si>
  <si>
    <t>OH, IN, MI, WV, PA, MN, MO, KS, TN, AZ</t>
  </si>
  <si>
    <t>PringleOn</t>
  </si>
  <si>
    <t>West North Central</t>
  </si>
  <si>
    <t>Imgs applying prelim I was checking eras and i just noticed i didnt fill in the future speciality for pgy2 as gensurg and left it empty could that he a reason to not get prelim? Did anyone not do that and still get ii for prelim</t>
  </si>
  <si>
    <t>PC here: that shouldn't impact anything! A lot of people don't put anything down :) &lt;&lt; thank you!!</t>
  </si>
  <si>
    <t>MI, FL, OH, IN, MN, NC, AZ, MA, OR, TN, NE</t>
  </si>
  <si>
    <t>kkuromi</t>
  </si>
  <si>
    <t>Has anyone received interview date confirmation from UTMB yet?</t>
  </si>
  <si>
    <r>
      <rPr>
        <rFont val="Varela Round"/>
        <sz val="14.0"/>
      </rPr>
      <t xml:space="preserve">📮 Use this space to ask our </t>
    </r>
    <r>
      <rPr>
        <rFont val="Varela Round"/>
        <i/>
        <sz val="14.0"/>
      </rPr>
      <t>AMAZING PCs and PDs questions!</t>
    </r>
  </si>
  <si>
    <t xml:space="preserve">No :( &lt; ok must be all in same boat then? so hopefully will come out sooner rather than later &lt; yeah I've spoken to at least 3 people and none has gotten it&lt;&lt;  No+1. Sent my response 10/25 and have yet to get a confirmation from them &lt; I am a 4th person who also has not received a response. </t>
  </si>
  <si>
    <t>the PD and the whole team are super awesome - I know many ppl whose home program is UTMB. absolutely positive they'll send it out asap but they might be getting slower responses bc it was via email and not something like thalamus</t>
  </si>
  <si>
    <t>Update: I got confirmation via ERAS yesterday at 9:30pm CST, hopefully everyone else waiting for this did as well! &lt; I received an email from the coordinator 10/31 at 7:15AM CST that just said "received your dates". Anyone else get something similar?&lt;&lt; I have not&lt;&lt; I did</t>
  </si>
  <si>
    <t xml:space="preserve">Yeah, my email just says "recieved your dates". It does not specify which date Im scheduled for; i didnt get anything yet :/ </t>
  </si>
  <si>
    <t>Date</t>
  </si>
  <si>
    <t>yeehaw</t>
  </si>
  <si>
    <t>Question</t>
  </si>
  <si>
    <t xml:space="preserve">Wisconsin said they are sending out today at noon any IMG get anything </t>
  </si>
  <si>
    <t>I'm a non-US IMG and I just received an invite &lt;&lt; did u signal? &lt; no &lt;&lt; prelim or cat? &lt; cat</t>
  </si>
  <si>
    <t>Responses (PCs only)</t>
  </si>
  <si>
    <t>Could u enter ur stats on the ii bu date? +1</t>
  </si>
  <si>
    <t>Additional Comments</t>
  </si>
  <si>
    <t>Anyone who applied to the rural track hear anything?  No</t>
  </si>
  <si>
    <t>Where are the interviews brahahaha</t>
  </si>
  <si>
    <t>raspberry</t>
  </si>
  <si>
    <t>PC - I really think that geo preferences will hold less weight now that we have 15 signals. I think that programs will look more at signals and not really think much about geo preferences. If you really do seek a region due to family or other reasons, then put it. But I would stress about it less this year than previous years. We do know that there are some applicants that really don't have a preference and have lived in lots of places, and are priortizing fit.</t>
  </si>
  <si>
    <t xml:space="preserve">If a LOR is assigned later today, a few hours after when our ERAS applications becomes available to programs to view should we still email programs to update them? </t>
  </si>
  <si>
    <t>PC - It wouldn't hurt</t>
  </si>
  <si>
    <t xml:space="preserve">I applied to a ton of GS programs, pretty good application I think, 270, AOA, PKP, etc etc. I noticed yesterday I somehow forgot to assign my 3rd LOR to all of my programs and now am completely hopeless/panicking. I have gotten a few interviews but given that several of my signals and top programs have already sent out interviews, do you all think I am screwed? did I just ruin my life and waste all of my hardwork? SOS please someone help </t>
  </si>
  <si>
    <t xml:space="preserve">How do you perceive 'interest' emails? Especially if PD said we could email them during open house. </t>
  </si>
  <si>
    <t>Calm your nerves , panicking doesn't help , reassign them , and email or call the PD/PC of the programs you would like II from and inform them of this mistake and also use it as an opportunity to express your sincere interest in their program   &lt;&lt;    I think I would talk to your mentor / home PD / school first. If they think it really might have done you in, a phone call is going to be A LOT more effective than an email from an applicant during this time. Plus asking them this question makes it a lot easier/simpler/less awkward in requesting them to call a program for you rather than the cold email/convo to a mentor saying plz halp</t>
  </si>
  <si>
    <t>I'm so sorry this happened. I literally hate how ERAS makes you assign each individual document to all of your programs - it's crazy. I would do what the other responder said. You could also reach out to your dean. They may be able to get your home program PD or department chair to call some programs on your behalf as well.</t>
  </si>
  <si>
    <t>PC here: not all programs are going to do this, but when we reviewed applications this year there were a few who didn't have 3 letters and we still reviewed them. I just went back and checked for a 3rd periodically. again, this isn't going to be what every program does but hopefully this is helpful to know!</t>
  </si>
  <si>
    <t>PC - We get flooded with so many. They may hold more weight after an interview. &lt; Agree.</t>
  </si>
  <si>
    <t>sauce</t>
  </si>
  <si>
    <t>For IMGs, do you put weight on ECFMG certification status? The ECFMG are taking so long to issue my certificate despite meeting the criteria and being verified. I am anxious thinking I might be filtered because of this.      If it arrives by the end of the week should I email the PCs? or my application will not have been downloaded yet?</t>
  </si>
  <si>
    <t>PC - We review IMG's and then just check ECFMG before invites.  They have been slow the last few years so we try not to punish the IMGs for that.</t>
  </si>
  <si>
    <t>Pacific</t>
  </si>
  <si>
    <t>Would you recommend sending a letter of interest now as an IMG? Does this impact interview offers?</t>
  </si>
  <si>
    <t>For my swifties who are also unwell waiting for interview invites ~ I hate it here so I will go to lunar valleys in my mind &lt;3 ~ &lt;&lt; not a swiftie but am v unwell &lt;&lt; same</t>
  </si>
  <si>
    <t>PC- No So many emails.&lt; Agree, so many emails!</t>
  </si>
  <si>
    <t>When to send a LOI?</t>
  </si>
  <si>
    <t>PC - After a meet &amp; greet/open house, and definitely after an interview</t>
  </si>
  <si>
    <t>This is dumb but I totally spaced and didn’t realize we had to assign our photo to programs, didn’t do it until last night, will this impact anything?</t>
  </si>
  <si>
    <t>Not much. Our program actually turns off photos while we review them. +1</t>
  </si>
  <si>
    <t>MA, CA, IL, MN, PA, MI, WA</t>
  </si>
  <si>
    <t>If I haven't sent any yet should I send one right now or wait till after interviews?</t>
  </si>
  <si>
    <t>Did anyone hear from Columbia who is not a home student/did not do an away? Trying to figure out if they're doing waves because the only entry right now is from someone who did an away. +1</t>
  </si>
  <si>
    <t>It looks like it? weird</t>
  </si>
  <si>
    <t>Don't be sorry!! Thank u for answering and congrats!</t>
  </si>
  <si>
    <t>Is there any chance of getting an interview date that is not one of the scheduled dates? I am supposed to be going on a global surgery elective and will be overseas for 10 days in December, which is when both of the only interview dates are.</t>
  </si>
  <si>
    <t>yikes</t>
  </si>
  <si>
    <t xml:space="preserve">Hard to say, it would depend on the program. You could try reaching out to the program leadership and asking if they have an alternative date. We have fit in categoricals before on our prelim day if they were unable to make it due to a legitimate reason - funeral, sick, etc.. </t>
  </si>
  <si>
    <t>Would not recommend scheduling an international elective in the busiest month of residency interviewing, candidly. &lt;&lt; agree... we're not going to create an extra interview date for a situation like this.</t>
  </si>
  <si>
    <t xml:space="preserve">I have family or my fiance's family in locations that i didnt want to say was my hometown but I really would prefer those locations due to the social support there. I did put a sentence about it in my PS but of course who knows if that is actually read thoroughly enough to see it. how do i best get that across? </t>
  </si>
  <si>
    <t xml:space="preserve">That is fine. Many people are in the same boat, and we read the personal statement. That being said, location can be a little tricky. Our program is in a very desirable location, so we sometimes get applicants that keep stressing how much they want to come to our city but never mention anything about the program. They just keep going on and on about how they always wanted to live in our city. That is a huge turn off to our faculty. But if they were like "I am very interested in x about  your program, plus I have strong social support", then we would think more favorably about the applicant. &lt; thank you - I love the actual programs because they are exactly what I am looking for and the social support is just a HUGE bonus so I'll be sure to make sure I show that both are big reasons in my desire to attend one of the two programs. I appreciate your input! </t>
  </si>
  <si>
    <t>Did NYU Long Island cancel all their socials?</t>
  </si>
  <si>
    <t xml:space="preserve">I mistakenly did not assign my USMLE transcript to programs after authorizing it for release and did not realize this until today.  Should I email programs to let them know of the mistake and that it is now available? </t>
  </si>
  <si>
    <t>It should update in our queue if it meets our parameters. +1</t>
  </si>
  <si>
    <t>You should email them IMO as a lot of us have already downloaded applications</t>
  </si>
  <si>
    <t xml:space="preserve">How are programs using SJT? Determine interview? Rank list? </t>
  </si>
  <si>
    <t>CA, TX, MA, NH, CT, IN, VA</t>
  </si>
  <si>
    <r>
      <rPr>
        <rFont val="Varela Round"/>
        <sz val="9.0"/>
      </rPr>
      <t xml:space="preserve">If I knew what SJT was, then I could tell you. </t>
    </r>
    <r>
      <rPr>
        <rFont val="Varela Round"/>
        <b/>
        <sz val="9.0"/>
      </rPr>
      <t>Situational Judgment Test</t>
    </r>
  </si>
  <si>
    <t>If I submit my application in first week of november, what are the chances programs will review my application? Do programs review applications that are submitted late for atleast prelim spot? I'm not sure if I should take chance and apply in the hopes of matching prelim?</t>
  </si>
  <si>
    <t>For a Categorical position? unlikely but will depend on the program. We might look at your application for a preliminary spot if you send us an email and we have open interview spots.
Program Admin here: Likely not; most programs have application deadlines.</t>
  </si>
  <si>
    <t>bestie</t>
  </si>
  <si>
    <t>&lt;-- PC here -- apply next year. No one will review an application in November. Email may help, but unlikely.  +1</t>
  </si>
  <si>
    <t xml:space="preserve">When to send letters of INTEREST (not intent)? What's PDs' opinion on department chair reaching out to programs? </t>
  </si>
  <si>
    <t>Nobody here actually knows anything because ultimately it's up to the individual program. Some programs clearly give all out in one day, and remaining invites are just from drops. Other programs (ohsu for example) gave lots of invites out on consecutive days. Other programs have listed on their websites that they have 2-3 set release dates. You just need to do some digging if you're worried about specific programs</t>
  </si>
  <si>
    <t>Save the chair reach out until after interviews.</t>
  </si>
  <si>
    <t>After an interview</t>
  </si>
  <si>
    <t>If program has offered interviews (but not to you), when is it appropriate to reach out via email? Who should email go to? What should we say? +1</t>
  </si>
  <si>
    <t>Anytime. Express interest and make sure your signature has all your info. Just because some programs have sent out invites doesnt mean their dates will work for everyone so get your name out there bc you never know.</t>
  </si>
  <si>
    <t>Obviously nothing on the II by program or date yet but has OU Tulsa really not sent their stuff yet? Looks like they were early the last several years</t>
  </si>
  <si>
    <t>If I am couples matching and my partner has not received an interview invitation at a program I received an interview at, should I email the PC and PD to ask about reaching out to their department's PC and PD? Their interviews do not get released until 10/29 so we do not know if they will get an interview at the program or not until much later.</t>
  </si>
  <si>
    <t>sent this afternoon</t>
  </si>
  <si>
    <t>I would reach out to the program that offered you an interview letting them know your partner's info.</t>
  </si>
  <si>
    <t xml:space="preserve">My MSPE was uploaded late due(10/04) ot ECFMG having issues, my application however was in before the due date. Will programs still review my application. Should i email email all the concerned PCs? </t>
  </si>
  <si>
    <t xml:space="preserve">Always email PC's with any application update </t>
  </si>
  <si>
    <t>Is there a tier list for programs? Also, Is it possible to add a fellowship match tab for each program</t>
  </si>
  <si>
    <t>bigppmd</t>
  </si>
  <si>
    <t xml:space="preserve">I did not notice my USMLE transcripts were not assigned to programs until today when a program reached out. They were uploaded just not assigned. Does this hurt my chances of getting interviews with it being this late in the game? </t>
  </si>
  <si>
    <t xml:space="preserve">You may want to reach out to your signaled places, at least. </t>
  </si>
  <si>
    <t>Definitely reach out as a lot of programs have already downloaded applications and chosen the people they will be inviting</t>
  </si>
  <si>
    <t>Is anyone still waiting to hear back from Lenox Hill PC about interview date?</t>
  </si>
  <si>
    <t>&lt;yes +1</t>
  </si>
  <si>
    <t>what about ecfmg certification for current USIMG students who are applying this cycle? given that certification is not granted until after reciept of degree, does that mean that we are just simply ineligible to even apply to many programs?</t>
  </si>
  <si>
    <t>signaled lenox hill, still no Invite or rejection</t>
  </si>
  <si>
    <t xml:space="preserve">Hard to tell, some programs say must have valid certificate. I believe these programs are only considering IMG's that are already in prelim spots therefore have ECFMG cert. </t>
  </si>
  <si>
    <t>If I'm an IMG should I be trying to do Step 3 before start of residency to get an H1B? +1</t>
  </si>
  <si>
    <t>For the programs that just say on their website that they are accepting interviews until 11/1, is it safe to assume they will start sending IIs out after that date?</t>
  </si>
  <si>
    <t>I think yes.</t>
  </si>
  <si>
    <t>what are the other programs waiting for +2</t>
  </si>
  <si>
    <t>Programs have about 4 weeks to review applications and depending on their review process, it can be really time consuming. In addition to reviewing applicaitons, PDs and PAs also have their other work obligiations which for a lot of programs included attending ACS this past weekend. I can only imagine how nerve wracking it is to wait for invitiations, but I promise you we are doing our very best and appreciate your understanding!</t>
  </si>
  <si>
    <t>raccoon</t>
  </si>
  <si>
    <t>thank you +1</t>
  </si>
  <si>
    <t>If you got a Northwestern II yesterday, can you re-add it in interview by date? It got deleted</t>
  </si>
  <si>
    <t>&lt;&lt; any Northwestern openings on thalamus? &lt;&lt; I see 4 spots&lt;&lt; thank you!!</t>
  </si>
  <si>
    <t>Is this a good time to send letter of Interest or should I wait until the end of this week? +4</t>
  </si>
  <si>
    <t>same for Albany!!</t>
  </si>
  <si>
    <t>and NJMS and Northwell LIJ!! +1</t>
  </si>
  <si>
    <t>I think LOIs are typically more helpful with waitlists at this stage than securing an invitation.</t>
  </si>
  <si>
    <t>When should I / we start expecting rejection emails? &lt; &amp;do most programs send rejection emails? +1</t>
  </si>
  <si>
    <t xml:space="preserve">A lot of programs don't send rejections, unfortunately! &lt;OP here- thanks for letting me know. </t>
  </si>
  <si>
    <t xml:space="preserve">our program had 1300 applicants this year, and we are a relatively smaller program. It is unfortunately not a good use of our time to try and send out 1200 rejection emails or organize a massive mail merge email. Higher Ed. has staff dedicated to recruitment including sending rejections. Most residency programs have at best, a small team doing every administrative task &lt; OP: Thank you for your answer. &lt; PC - have you tried using ERAS program messages? We send out these type of emails them every year. You can send a mass message through ERAS, it takes like two minutes if you have your filters set up correctly. &lt; I have not, but we also wouldn't send out rejection letters until December, because candidates cancel interviews throughout the season and we always try to fill those spots with new candidates, so we wouldn't want to send rejections to someone we would later send an invite to. &lt;&lt; PC here, do you not use a WL? 
PC here. we do not send out rejection emails in case we do want to pull an applicants if our initial round did not have enough ranklable applicants for our program. </t>
  </si>
  <si>
    <t>Has anyone applied to the newly accredited programs from 2024-2025?</t>
  </si>
  <si>
    <t xml:space="preserve"> Yes I did </t>
  </si>
  <si>
    <t>Did they send ii?</t>
  </si>
  <si>
    <t>C</t>
  </si>
  <si>
    <t>what are some of them?</t>
  </si>
  <si>
    <t>Prior data suggested roughly 15 interviews were needed to have a 95% chance of matching. With the additional signals this year, do you expect that # interviews for a 95% match to change? I'd expect a left shift but would love PC/PD take on this! Thanks for your insight! +1</t>
  </si>
  <si>
    <t>I don't think so... I think there's still too much variance in how programs (and applicants) are using signals. I think that with 15 signals, some programs may have narrowed the group of applications they are reviewing, but interview numbers probably aren't changing.</t>
  </si>
  <si>
    <t xml:space="preserve">Looking at the spreadsheet here (and I get that this is a biased sample), the mean so far this year is 7. 10 is the top tertile. This makes me believe that despite the PC/PD's response just to the left, the data are trending otherwise. It is also worth mentioning that if you dig back through other specialties that have made the switch to higher signaling #'s (most recently OBGYN and anesthesiology), they saw similar trends: decreased total II's with unchanged match rates. So, based on all of this, I find it highly likely that the total # of interviews needed to feel confident in a match this year will be &lt;15 (ex. the 75% percentile right now is only at 12 II's. If 15 are needed to feel secure in a match, then over 75% of applicants have less than the suggested 15, and it'll be a disastrous match year!) Hope this helps everyone panicking about II #'s : ) </t>
  </si>
  <si>
    <t>For programs that mention doing a holistic review, is it truly reviewing each application that is sent or is there still a cutoff (I.e. min step score) and then those that meet that are "holistically" reviewed? Or is it truly holistic where you review each applicant as long as they passed step 1/2 etc.? +1</t>
  </si>
  <si>
    <t>Dependant on program and how many applications they receive. Depending on volume, it might be really hard for a program to look at every application and so end up using soome kind of filter but then are being holistic in reviewing the remaining applications.</t>
  </si>
  <si>
    <t>&lt; okay thank you!! Would you recommend sending a LOI to signaled programs just in case I'm filtered out for whatever criteria before my app could be reviewed? Or is it just a waste of time? &lt;&lt; i think it depends on what you think might filter you out.&lt;&lt; For me it is my Step 2 score of 23x, the rest of my app is VERY solid. Almost certain that is what has been filtering me out. Any advice? &lt; i'd talk to a mentor... they may be able to advocate for you if you have a top program or 2!</t>
  </si>
  <si>
    <t>I am currently an internal medicine PGY1 US-IMG 2024 grad, re-applying this cycle for surgery...I have 3 surgery LORs, scrub into cases on my days off, a good deal of clinical experience since I'm a resident right now, any idea how my status would affect how my application would be viewed? What can I do to get invites, I love surgery and really can't see myself doing anything else</t>
  </si>
  <si>
    <t>CT, NY, MA, RI, MD, DC, VT</t>
  </si>
  <si>
    <t>Being a current PGY1 could be something that filters you out for some programs. I would reach out to your mentor to get their thoughts. It's hard to give you other advice without seeing your application to see if there's anything else that might be of impact.</t>
  </si>
  <si>
    <t xml:space="preserve">Anyone able to schedule for an HonorHealth interview? All the slots are showing as 0 available. </t>
  </si>
  <si>
    <t>ts13</t>
  </si>
  <si>
    <t>Hello can someone provide insight on if its a good idea to send a LOI to a program i signaled could it boost me up their waitlist?</t>
  </si>
  <si>
    <t>Also showing 0 available on my end, program coordinator says she fixed the issue but I still can't sign up :(</t>
  </si>
  <si>
    <t>i think that if you got a WL notification from them, it wouldn't hurt. But you shouldn't rehash your applicaiton. Use it as an opportunity to further set yourself apart from other applicants!</t>
  </si>
  <si>
    <t>With an attempt in Step 1 but very good scores in Steps 2 and 3, and a strong overall CV, can I email a LOI to programs that mentioned they will not consider applications with attempt, asking them to reconsider my application?</t>
  </si>
  <si>
    <t>has the program already sent out invites and rejections? i think if they have, don't send one. I think if they haven't sent you a rejection or a WL invite, sure... but i would talk to your mentor/advisor before you do.</t>
  </si>
  <si>
    <t xml:space="preserve">In your opinon when do you think is the best time in the application season to send out LOI that might have an impact on the applicant getting an IV? </t>
  </si>
  <si>
    <t>i think if you got a WL offer then go ahead and send one. If not and the program has sent out invites, I don't think it'll necessarily help you. however - never say never!</t>
  </si>
  <si>
    <t>Can a LOI hurt an applicant chance of getting an IV, if so how?</t>
  </si>
  <si>
    <t>i don't think a LOI will hurt you, but i don't think it will necessarily help you get an invite.</t>
  </si>
  <si>
    <t>anyone know about BIDMC release? +1</t>
  </si>
  <si>
    <t xml:space="preserve">PCs here. LOI does not hurt your applications. However, i have only seen it rarely to get an invitation. However, I have seen it work for 2-3 applicants who have specifically tailored their LOI to our program and wrote about our program that's not easily seen. we can also very much tell LOI that are AI generated. </t>
  </si>
  <si>
    <t>&lt;&lt; last year was 11/1 I think but who knows</t>
  </si>
  <si>
    <t xml:space="preserve">whhat factors do you take when ranking an applicant? do you rank them immediately after th interview or after you have interviewed all the applicants then you rank ? </t>
  </si>
  <si>
    <t>nikkiminaj</t>
  </si>
  <si>
    <t>this will vary. some programs will do a review right after each interview and then another one at the end of the season. some programs wait until the end of the season. programs will look at the application as a whole, the interview, and any other information they receive (evals from subIs, comments from residents, etc). but each program is going to look a different combinations of facotrs as well as weight all of the data differently!</t>
  </si>
  <si>
    <t xml:space="preserve">PC here. yes we rank them immeadiately after interview and weed out who will not fit into our program. After all our interviews are completed; we have a cumulative rank list that is sent for match. </t>
  </si>
  <si>
    <t xml:space="preserve">does interviewing late in the season affect how an applicant is ranked?  E.g APPLICANTS interviewing in november vs january </t>
  </si>
  <si>
    <t>i would hope not. we have interviews throughout those months and view all applicants the same.</t>
  </si>
  <si>
    <t xml:space="preserve">PC here. Not for our program.  its all just schedule dependent. there's a positive and negative to both sides. interviewing too early on and the details get lost. interviewing too late and the interviewers are getting burntout by interviews. however, we do day of rank list and talk about interviews so that we never forget the big important details of who we like in the earlier interviews. the later ones always make a difference because we remember them freshly. but it is pretty easy to separate who would fit into our program and who will not and is not tied to when they did their interviews. </t>
  </si>
  <si>
    <t xml:space="preserve">After an interview, do you go back to read their CV to factor in how you rank or ranking in purely based on interview skills? </t>
  </si>
  <si>
    <t>see answer in C37. we personally take everything into consideration. some people don't interview as well but have wonderful interactions with faculty/residents outside of interview day.</t>
  </si>
  <si>
    <t xml:space="preserve">PC here. our programs read through every single applications that we interview.Interview skills are very important as communication skills are something that we will that needs to make a strong resident. There are other factors, but we do heavily weigh on interview skills to understand how you would thrive and contribute to our program. </t>
  </si>
  <si>
    <t>anyone have any insights into ucsf/ucsf east bay's release dates? +3 &lt;-- just got one through thalamus &lt;- for UCSF or UCSF east bay??? &lt;-- east bay</t>
  </si>
  <si>
    <t xml:space="preserve">in your opinion what are the factors that contributes to an applicant being on DNR or Ranking low </t>
  </si>
  <si>
    <t>Another day, another painful wait for UCSF, WashU and Wisconsin....</t>
  </si>
  <si>
    <t>a not great interview (we know some people don't interview well, but you can also tell when people aren't that interested, phoning it in, giving answers that don't feel genuine, etc.), looking at the whole picture (application, interview, other interactions), honestly sometimes a gut feeling - either about the person not being the best fit personality wise or knowing that the program can't give you the opportunities you want. obviously each program will have their own internal benchmarks, but i think these are generally universal ones.</t>
  </si>
  <si>
    <t xml:space="preserve">How about Columbia? &lt;&lt; tomorrow noon EST for columbia </t>
  </si>
  <si>
    <t xml:space="preserve">Not very often, but I have had a handful of applicants be rude to me (PC) or staff. That is a quick DNR, be nice to everyone that you encounter. I have seen DNRs for arrogance, fakeness, being really obnoxious, and seeming not interested in the program. Also, don't be late. If you have a tech issue logging in, then email the PC right away. Be on your interviews a few minutes early. &lt;&lt; yes, this too! professionalism counts and a lot of PAs are consulted after interviews and we've also had a handful folks get DRN'd because of how they treaed staff.
PC here. Yes if you are rude to PC or any staff (especially if the applicant did a sub-i rotation); then it is borderline DNR (dependent on other factors), but borderlines often just DNR'd because we have way too many applicants and we strive to ensure we do not plant seeds for a malignant program to grow. </t>
  </si>
  <si>
    <t>Update: I got confirmation via ERAS yesterday at 9:30pm CST. Hopefully, everyone else waiting for this did as well! &lt; I received an email from the coordinator 10/31 at 7:15AM CST that just said "received your dates". Anyone else get something similar?&lt; I got an email in eras on different dates than the email I got from the coordinator. It is blocking my four dates in the interview calendar. I will follow the first of the dates received and show up for the F2F Interview!!!. Why they don't use, thalamus surprises me!!!!</t>
  </si>
  <si>
    <t>WashU haven't sent them out yet? &lt;&lt; Idk has anyone gotten WashU? &lt; havent heard of anyone nor seen anywhere on the sheet</t>
  </si>
  <si>
    <t>if an applicant expresses serious ethusiasm and eagerness in an interview to join ut program , does it affect how you rank them?</t>
  </si>
  <si>
    <t>&lt;&lt; WashU I think was Nov9 last year. Hopefully not that late this year though lol  OOF that so late</t>
  </si>
  <si>
    <t>depends on the applicant and the whole picture.</t>
  </si>
  <si>
    <t>I don't think it will be that late because they are doing two rounds (virtual and IP) and need time to fit in all their virtual interviews before IP in Dec</t>
  </si>
  <si>
    <t>Depends on the rest of the other factors but it doesn't hurt!</t>
  </si>
  <si>
    <t>sg</t>
  </si>
  <si>
    <t xml:space="preserve">is it okay to smile continously throughout an IV while answering questions and to be comfortable or its better to be uptighht and proffessional at all times </t>
  </si>
  <si>
    <t>i think programs want to see YOU as a person shine through. but also don't smile so much that it starts to seem unnatural. like don't smile more than you would normally? but also don't be so rigid that people can't get a peek at your personality.</t>
  </si>
  <si>
    <t>BE YOU! Dress appropriately and have your camera centered. Enthusiasm is always appreciated but even if you smile continuously people can tell if its genuine or not so just be yourself.</t>
  </si>
  <si>
    <t>my third letter came in quite late because my writer had some personal things going on. I'm worried I may have been screened out due to an incomplete app and that's why I have so few interviews despite being pretty competitive. Should I reach out to programs and explain this?</t>
  </si>
  <si>
    <t>i think it might be a little late for this... but you could reach out to your top 10-15 and let them know!</t>
  </si>
  <si>
    <t>I'm assuming Indiana didn't release any new invites (yet) today?</t>
  </si>
  <si>
    <t>&lt;&lt; I wonder if they released all of them on 28th even though they said there would be some today too (since Thalamus is all booked as of yesterday)</t>
  </si>
  <si>
    <t>&lt;&lt; yeah that's what I'm thinking, I really wish these programs were better with communication it's so frustrating being left in the dark&lt;&lt; RT</t>
  </si>
  <si>
    <t xml:space="preserve">Do most programs actually review all applications that they received signals from? Or is there still a filter in placed and then you review the remaining signaled applications? Just wondering how that process works. </t>
  </si>
  <si>
    <t>this will be program dependent, but i answered this a bit above!</t>
  </si>
  <si>
    <t>FL, LA, OK, TX</t>
  </si>
  <si>
    <t>r3</t>
  </si>
  <si>
    <t>What do you mean when you say LOI might matter more for waitlists? Like if a program sent invites and I didn't get one should I send an LOI and hope to be put in their waitlist?</t>
  </si>
  <si>
    <t>I meant that if you got a WL invite I think a LOI is more impactful in getting you off the WL.</t>
  </si>
  <si>
    <t>dumb q should we be filling the acknowledgement form for all these programs if we get interviews?i</t>
  </si>
  <si>
    <t>Yes if they send you one &lt; what is that? x2</t>
  </si>
  <si>
    <t>i am looking for a research possition, incase i dont match, any tips on hhow i can score one, I have emailed alot of people, but nothing forthh coming &lt;&lt; check twitter, feb/march is when a lot of people leave their positions. do google search for research fellow positions too in surgery. a lot of university programs offer it.</t>
  </si>
  <si>
    <t>yes you need to send day before interview</t>
  </si>
  <si>
    <t>Do you think today is the last day of major interview release? Or will programs keep sending in the future?</t>
  </si>
  <si>
    <t>At this point - most programs will start reaching out to their waitlisted applicants to fill spots. There is a lot of movement and change in early November on the waitlist.</t>
  </si>
  <si>
    <t>Thanks for the response. So if I'm not on the waitlist that's it? &lt;&lt; maybe. some programs don't do a WL and so will reach out to applicants as they get cancellations, but if you aren't on a WL, there's a lower chance that a program will offer you an interview.</t>
  </si>
  <si>
    <t>When do prelim II invites get sent? Thank you!</t>
  </si>
  <si>
    <t>it'll vary but probably start sometime this month through january?</t>
  </si>
  <si>
    <t xml:space="preserve">How high do you have to be placed on the rank list to match at a top 20 program?  </t>
  </si>
  <si>
    <t>National average is 5 ranks per matched applicant. So any program with 6 spots should match in their top 30, 7 spots to 35, etc. Some programs do better, of course, but this is the data</t>
  </si>
  <si>
    <t>do we refrain from sending LOI to program that waitlisted us :?</t>
  </si>
  <si>
    <t>why refrain? if anything might help get off waitlist?</t>
  </si>
  <si>
    <t>Do we know which programs are releasing on a rolling basis? If so mention them in this thread plz</t>
  </si>
  <si>
    <t>PeauPeau</t>
  </si>
  <si>
    <t>1. do all programs let you know if you are on a WL? 2. in the next month or so, do you think programs will send out more invites? how much impact do you think a LOI will have at this point?</t>
  </si>
  <si>
    <t>1) No 2) No, i don't think programs will send out many invites over the next few months. Certainly no waves, but more likely as spots open up. I don't think a LOI will have that much impact unless you are on a WL, but you never know!</t>
  </si>
  <si>
    <t>I've only had one LOI automatically be filtered to my junk email, and I'm not sure why. It didn't have any attachments. Most LOIs with and without attachments hit my inbox just fine! How long ago did you send the LOI initially?</t>
  </si>
  <si>
    <t>almost 10 days ago :(</t>
  </si>
  <si>
    <t>If this is the paragraph written on a program's website, do you think they are referring to not contacting them in general, so no LOI?: The application process begins with the submission of an electronic application form (ERAS) and Thalamus. We require three letters of recommendation in addition to the Medical Student Performance Evaluation (Dean's Letter) from your medical school, current Curriculum Vitae, personal statement, medical school transcript, and USMLE score reports. Only electronic applications will be accepted for review. Please do not call, write, fax, or e-mail the Program Director or Coordinator.</t>
  </si>
  <si>
    <t xml:space="preserve">I have sent a few LOI, I have not heard back. Is it fair to assume that PDs have possibly reviewed and will either reach out if/when spots open or is there a possibility that they ignore the emails all together? I wish there was a way to know if the email was at least reviewed. </t>
  </si>
  <si>
    <t>Id err on the side of caution. If you have someone who would be willing to call the PD on your behalf that seems safer</t>
  </si>
  <si>
    <t>i always recommend cc'ing the program administrator because they are the ones organzing everything and can always flag them for the PDs. this is often the best way to ensure a PD sees it. second, a lot of programs aren't going to respond for a variety of reasons. reasons can include: sheer volume, not wanting be inequitable in responding (respond to some, not to others), the applicant isn't someone they've reviewed, etc.</t>
  </si>
  <si>
    <t xml:space="preserve">The majority of programs have a very similar line written somewhere on their website, and they are literally referencing application materials. That said, obviously be aware that schools are inundated with communications right now so it's impossible to know how they will feel about LOIs - it does seem like having a mentor reach out might be best, but an LOI probs can't hurt if you don't have another option </t>
  </si>
  <si>
    <t xml:space="preserve">&lt;&lt; okay that makes sense, thank you so much! </t>
  </si>
  <si>
    <t>I was wondering is it too late to apply to prelim programs?  &lt; how many II do you have to make you consider doing this? (its also on my mind)</t>
  </si>
  <si>
    <t>if a program hasn't sent out invites yet, maybe not!</t>
  </si>
  <si>
    <t>Are invites for IMG's sent in the same wave? or are those sent seperately? +1</t>
  </si>
  <si>
    <t>I don't think programs are sending out seperate invites to IMG applicants. If they are extending you an invite, I would assume they'd send that with the rest of their invites.</t>
  </si>
  <si>
    <t>Okay, Thank you so much!</t>
  </si>
  <si>
    <t>rycbar</t>
  </si>
  <si>
    <t>Do thank you letters/emails make any difference on how a program views an applicant after an interview?</t>
  </si>
  <si>
    <t>Why do most programs who have sent out interview invites have 4-5 spots left? What do they do with these remaining spots that are left, and who do they give them to? +1</t>
  </si>
  <si>
    <t xml:space="preserve">might be them just trying to help applicants with choosing preferred days to minimize cancellations </t>
  </si>
  <si>
    <t>How much they a difference is going to depend on the program, but a short and thougtful thank you will never hurt!</t>
  </si>
  <si>
    <t>also seems like they usually get filled in an additional ii wave</t>
  </si>
  <si>
    <t>How do program signals factor into rank lists? For example, I'm interviewing at a few programs I didn't signal. Is it fair to say I probably wouldn'y be ranked highly? And vice versa?</t>
  </si>
  <si>
    <t>I think if you interview well and folks feel like you'd be a great addition to the program, whether you signalled or not won't factor in that much. I think that if you're serious about a program that you didn't signal, there are ways for you to show your interest during the interview and after the interview.</t>
  </si>
  <si>
    <t xml:space="preserve">&lt;&lt; some programs even say that signals are only used in deciding interview invites and will not factor into ranking (e.g., Cedars-Sinai), but I'm sure that is not the case for all programs 
^ Echoing this answer. we do not factor it into ranking, but our program is only looking at applicants who signaled us. </t>
  </si>
  <si>
    <t>Time frame between interview and sending thank you cards/emails? When is it too soon/too far out? Is it best to do it closer to when programs are ranking applicants?</t>
  </si>
  <si>
    <t>I'd send them right after your interview (1-3 days). if you interview in december but then don't send until february, that feels like it's an afterthought. at that point, i'd recommend sending a LOI to your #1 program (if you are sure they are and you aren't going to change that).</t>
  </si>
  <si>
    <t>Is interviewing on the last day a negative thing</t>
  </si>
  <si>
    <t>Program Admin here: Not in our program!</t>
  </si>
  <si>
    <t>did anyone still not hear back from the lenox hill PC??? its stressing me out &gt; I have not and am also stressed lol &gt; ok this makes me feel a little better its not just me</t>
  </si>
  <si>
    <t>no! i think in some cases it's actually a benefit!! :)</t>
  </si>
  <si>
    <t>am considering sending a f/u email but not sure if this is appropriate??</t>
  </si>
  <si>
    <t>SharpShooter</t>
  </si>
  <si>
    <t>Is it too late to send LOIs to programs you did not receive IIs from? Would it help get an II or at least waitlisted?</t>
  </si>
  <si>
    <t>Eh... I think most programs already have their WL but it likely won't hurt you! Just keep in mind that you likely won't hear from them unless they decide to update your status (add you to a waitlist, extend you an invite) &lt;&lt; If you didn't hear from a program at all, does that mean I'm rejected?</t>
  </si>
  <si>
    <t>Unfortunately, probably. A lot of programs - for whatever reason - don't send rejection emails. I think not hearing is hearing.</t>
  </si>
  <si>
    <t>Does being invited off the waitlist to interview with a program directly impact chances of matching (if you do really well in the interview, etc)?</t>
  </si>
  <si>
    <t xml:space="preserve">No. I've been in my role for several years and each year we invite folks off the waitlist and i know we've matched folks who started off on the waitlist. I TRULY do not remember who those people are. we invited folks off our waitlist this year and to be honest, i'm not 100% confident i could tell you who even though it was recent. </t>
  </si>
  <si>
    <t>No one interviewing will know if you were on the waitlist or not.</t>
  </si>
  <si>
    <t>Do programs always tell you if you are on their WL, or do they have an internal WL?</t>
  </si>
  <si>
    <t>No.</t>
  </si>
  <si>
    <t>How did Brigham send out invites? Did they release all dates?</t>
  </si>
  <si>
    <t>Email link to survey asking about date preference. survey might be sent in waves but all dates were options on the survery, so that may be less likely</t>
  </si>
  <si>
    <t>How do you handle faculty who serve on interview team for multiple residency programs (same specialty, different hospitals in same city)? I had an interview and the faculty member made a comment like "i hope i don't see you at the other program I work at..." I looked up their affiliation after the interview and i have an interview with that program next week. Nervous that faculty member will also be interviewing me there. Ugh.</t>
  </si>
  <si>
    <t>Uhhhh... that seems like a conflict of interest. I've never heard of this before.</t>
  </si>
  <si>
    <t>b</t>
  </si>
  <si>
    <t>For those of us that took step 1 before it went pass/fail, are those scores used to decide invites and ranking?</t>
  </si>
  <si>
    <t>Not for us - we viewed it as a "pass"</t>
  </si>
  <si>
    <t>DramaLamb</t>
  </si>
  <si>
    <t xml:space="preserve">How do programs feel about being told they're an applicant's #1 choice during the interview? Needy and disingeniouous? </t>
  </si>
  <si>
    <t>I think most programs would say it's nice to hear but we don't put much weight on a comment like that because every year people will say that, they are ranked to match, and they ultimately match elsewhere. I would say don't tell a program they're your #1 unless you are 120% confident you will not change your mind.</t>
  </si>
  <si>
    <t>How do programs rank... like do they consider grades and stuff for final list or is it based on IV vibes more</t>
  </si>
  <si>
    <t>If I sent an email for letter of interest to programs for categorical interview, never heard back and just recently applied for preliminary spot at the same program and want them to be aware since it's now later on in the cycle is that annoying for the PD/PC to receive another email from me even though I just want to make them aware of my app again for a diff position?</t>
  </si>
  <si>
    <t>&lt;&lt; mix of both. interview very important because they want someone that fits into their program (spend countless hours w other residents and attendings)</t>
  </si>
  <si>
    <t>You can.</t>
  </si>
  <si>
    <t>I only applied for a categorical position but was offered a preliminary interview. Should I proceed to apply for the prelim position on ERAS so that I can put it on my rank list?</t>
  </si>
  <si>
    <t>ERAS and NRMP aren't linked... you don't have to apply via ERAS to rank on NRMP&lt; This is super helpful &lt;&lt; should add... make sure you let the program know at your interview or right after which tracks you're applying for so they know.</t>
  </si>
  <si>
    <t>I do not have a lot of categorical interviews. Since most of the programs have aleady sent out invites, should I still be waiting out for cat invites, or only prelim from now onwards?</t>
  </si>
  <si>
    <t>CO, CA, GA, NE, DC, MO</t>
  </si>
  <si>
    <t xml:space="preserve">Categorical invites that are sent out at this point are waitlist spots. </t>
  </si>
  <si>
    <t>I am so desperate. Should I send emails to programs? Has anyone had any luck with doing this? +2</t>
  </si>
  <si>
    <t>Hofstra Lennox hill just came out but did hofstra northwell LIJ?</t>
  </si>
  <si>
    <t xml:space="preserve">How did Lenox hill come out?? Thalamus or eras or email </t>
  </si>
  <si>
    <t>ERAS email said hofstra/northwell but if you look closely it says "LHH" aka lenox hill hospital it was very easy to confused with the new hyde park program</t>
  </si>
  <si>
    <t>SneakySphinx</t>
  </si>
  <si>
    <t>What is the consensus on sending interviewers thank you emails? Do we send them to PD and all the other interviewers or just the PD?</t>
  </si>
  <si>
    <t>So it's not the main Northwell LIJ program? &lt;&lt;waiting for an answer for this! &lt;&lt; seems like only LHH</t>
  </si>
  <si>
    <t>They never hurt! Just make sure they aren't a form email because these usually get share. It's worse to send the same email to everyone then not send one. I gave a brief templlate on the chat page.</t>
  </si>
  <si>
    <t xml:space="preserve">You're right thisbis so confusing </t>
  </si>
  <si>
    <t xml:space="preserve">Okay is if this guy gonna answer with what date we interview? Or what? It didn't even say to rank dates in the email I was confused </t>
  </si>
  <si>
    <t>&lt; is it bad to use the same template for the emails but obviously personalize parts to that person and what you talked about? &lt;&lt; i don't think anyone excpects you to have a totally unqiue email for each interviewer. but sending literally the same email to everyone isn't good. personalizing an email shows that you were paying attention/found something of value during your interview. there's only so many ways to format a thank you. but honestly - use your best judgement. don't overthink this.</t>
  </si>
  <si>
    <t>&lt;-- * Gal, and yes she responds with a confirmation</t>
  </si>
  <si>
    <t>how long did it take her to reply to you &lt; ~30 minutes, responded to the initial email immediately though so it could be a "first in, first out" situation</t>
  </si>
  <si>
    <t xml:space="preserve">Anyone still waiting on a response from her? &lt; yes, I responded an hour later and am still waiting on a response </t>
  </si>
  <si>
    <t>Do you take attendance or notes at the "meet the residents" link?</t>
  </si>
  <si>
    <t>LIJ now out</t>
  </si>
  <si>
    <t>We don't. &lt; Seconded. I just keep note to make sure the right people are joining/attending for that social event</t>
  </si>
  <si>
    <t>Applied categorical to around 50 programs. So far, I have only received 2 interviews. Should I email program directors or coordinators to ask them to consider me for an interview? Should I start applying prelim?</t>
  </si>
  <si>
    <t>I would have a discussion with a mentor and figure out what the 3 most realistic programs are and see if they'd be willing to reach out on your behalf. Honestly though, at this point in the season most programs aren't going to do a second look at an application unless someone they know and trust reaches out.</t>
  </si>
  <si>
    <t>do any surgery programs do prematch offers?</t>
  </si>
  <si>
    <t xml:space="preserve">absolutely not... that'd be a huge match violation </t>
  </si>
  <si>
    <t>how come its allowed for IM? &lt;&lt; it's an NRMP rule so if they are, I believe that's a match violation.</t>
  </si>
  <si>
    <t>Missing dates for interviews for Beaumont Farmington, Beaumont Dearborn/Trenton, and Henry Ford Wyandotte in the "By Date" tab, were they actually sent out?</t>
  </si>
  <si>
    <t>Dearborn/Trenton did at least, added dates &lt;&lt; they are under corewell on 10/28</t>
  </si>
  <si>
    <t>If I already applied to a program and haven't heard back, and am now interested in a prelim position, should I email the program to let them know? I have updated it on ERAS recently, but I know programs usually download apps on 9/25 so I'm not sure if they'll see it</t>
  </si>
  <si>
    <t>Sure, but i'd keep the email brief and not expect an answer (unless they want to interview you)</t>
  </si>
  <si>
    <t xml:space="preserve">Yeah, there are multiple corewells, and they will likely offer different interview dates. If you got an interview, can you add to the II by Program Tab? As well, HF Wyandotte is also missing. </t>
  </si>
  <si>
    <t>heyjude</t>
  </si>
  <si>
    <t>I need some advice. There’s a program I really want to interview with, and I feel like it’s within my reach, but I haven’t heard back yet. I emailed the PD but forgot to cc the PC, and now I’m not sure what to do. Should I talk to my PD/APD to see if they can help, or should I send another LOI? I don’t want to give up on this</t>
  </si>
  <si>
    <t>How can I know if the invitation is for the categorical track or the preliminary one? it was not specified in the invitation.</t>
  </si>
  <si>
    <t>Email and clarify</t>
  </si>
  <si>
    <t>GreenLeaf</t>
  </si>
  <si>
    <t xml:space="preserve">Has anyone else tried to contact Baylor Dallas to cancel their interview but hasn't heard back yet? I can't cancel on thalamus because there's a lock. Should I just withdraw? </t>
  </si>
  <si>
    <t xml:space="preserve">&lt;&lt; I was able to get ahold of them and was advised to withdraw. Hope the interview gets sent to someone else! </t>
  </si>
  <si>
    <t>PimPickle</t>
  </si>
  <si>
    <t>Are most programs really just going to ghost us and not send rejection emails, rather keep us in limbo (no invite, no waitlist, no rejection)? I've read mixed info on this.</t>
  </si>
  <si>
    <t xml:space="preserve">Yes, really. Most programs are gonna ghost. </t>
  </si>
  <si>
    <t xml:space="preserve">PC here: unfortunately yes! i find it so annoying because it's not that hard to send a message through ERAS! i'm sorry progams are doing this! &lt;&lt;&lt; well thank you at least for doing it! It's so much more respectful to applicants imo </t>
  </si>
  <si>
    <t>&lt;&lt; The excel from last year shows which programs sent R waves, but agree with everyone here, it's not enough programs that do it</t>
  </si>
  <si>
    <t>I think not hearing is hearing at this point. It sounds like you're a currentl prelim and it is harder to get interview spots. If you're currently in GS i would encourage to you to keep working with your program to find open PGY2 spots for next year. If you've already sent a LOI, I wouldn't send another. I think that if they're tracking LOIs, sending another sends the wrong message. If you truly think it's within reach, I would talk to your program/mentor to see if they agree and would be willing to advocate for you. You're more likely to see movement this way.</t>
  </si>
  <si>
    <t>WA, IN, NY, AL, NM, MA, MI, IA, VA, DE</t>
  </si>
  <si>
    <t>Does sending/not sending a thank you email after the interview affect ranking at all? Is it worth doing if you already said your thanks during the actual interview? +2</t>
  </si>
  <si>
    <t>I think it totally depends on the program and the interviewer. I don't think that it will have a great impact on the rank list, but receiving a note after shows that you've reflected after your interview and shows your continued interest (especially if you can point to something specific from the interview).</t>
  </si>
  <si>
    <t>coconut</t>
  </si>
  <si>
    <t>Should we be sending it to every single person who interviewed us or only specific faculty we have questions for. I also dont believe in sending random emails if it is just generic. &lt;&lt; i think that's up to you. a lot of folks have given input on thank you notes and i think some of the difference in opinion comes from a generational difference. If you don't see value in sending a TY, don't do it. If you do, send them to whomever you would like to connect with.</t>
  </si>
  <si>
    <t>US MD's- how many categorical interviews do y'all have at this point? And how many of them are safety programs that you most likely don't want to end up in?</t>
  </si>
  <si>
    <t>8 (edit, 9) right now, nothing feels like safety at this point and would be happy to end up at any of them</t>
  </si>
  <si>
    <t xml:space="preserve">As program directors and program coordinators, seeing that many of the interviews are going to a select few and they seem to be keeping 20+ does this impact how you expect ranking and matching might work out given the interviews might have not been spread as evenly as expected? </t>
  </si>
  <si>
    <t>This is how it's been for years. I think virtual played a role in people being able to interview at more places, but looking at our rank lists for when they were in person versus virtual, where we end up on list hasn't changed that much.</t>
  </si>
  <si>
    <t>21 with 2 safeties (feeling super grateful and lucky), will be declining a few this week and next week</t>
  </si>
  <si>
    <t>26 (15 academic, rest community). I didn't expect this many and am humbled by my situation. Will be dropping some, but not sure yet until this week pans out&lt;&lt; Congratulations on the hard work paying off. Can't wait to slide into one of those spots you drop ;) Blessings.</t>
  </si>
  <si>
    <t xml:space="preserve">16, planning to drop 2 "safeties", the rest are mostly signals so will keep and deliberate further if I happen to get more </t>
  </si>
  <si>
    <t xml:space="preserve">15 with one or two safeties and a waitlist (all academic). I'll think about dropping dependent on any rolling invites.  </t>
  </si>
  <si>
    <t>13, dropped one safety program</t>
  </si>
  <si>
    <t>Are you guys adding the ones ur gonna drop to the drop sheet &lt;&lt; I will once I actually do it!</t>
  </si>
  <si>
    <t>27( 12 academic, 4 new programs, rest community). I am meeting with my advisor today to define drops. I am thankful to all the mentors who have helped me build the foundations for my 10-year journey. I am still stressed and nervous on how this year journey will be, hoping to be in program where the culture align with my values.&lt; do you mind sharing the names of the new programs?</t>
  </si>
  <si>
    <t xml:space="preserve">4, all academic, all target or reach. I was advised by my PD that I had a great application and did not need to apply to many safeties. Definitely regretting listening to that advice now :( really getting stressed about how few I have </t>
  </si>
  <si>
    <t xml:space="preserve">19, applied to more safeties than I apparently needed because I didn't think this was going to go well for me- dropped 2 already, will probably drop a few more depending on how the rest of the week goes! </t>
  </si>
  <si>
    <t>1 :(. No idea what happened. I have a good app on paper and signalled safeties</t>
  </si>
  <si>
    <t xml:space="preserve">12 (4 academics, 8 community) Still not feeling secured. &lt;&lt; 12 all academic and 6 beings pretty good programs so I'm nervous that though I'm happy that it will be easy to fall low on any/all of their lists </t>
  </si>
  <si>
    <t>14 with maybe 4 safeties. feeling uneasy</t>
  </si>
  <si>
    <t>13, all academic. Dropped 1 d/t scheduling conflicts</t>
  </si>
  <si>
    <t>23 (21 academic, 2 community)</t>
  </si>
  <si>
    <t>9 invites, 8 interviews (dropped 1 due to scheduling conflicts)</t>
  </si>
  <si>
    <t>Can someone update ii opening for westchester pls+2</t>
  </si>
  <si>
    <t>And does OHSU actually have 0 now? &lt; yes</t>
  </si>
  <si>
    <t>Among those who received II from programs that also sent supplemental invites, how many received both vs. only the supplemental invite without an II?</t>
  </si>
  <si>
    <t xml:space="preserve">so far 0% (n=7) of places I submitted a supplemental have offered an interview  &lt;&lt;  1 out of ~5 supplementals got me an interview (though 1-2 haven't released yet) </t>
  </si>
  <si>
    <t>What do PC/PDs suggest for nrmp violations such as very inappropriate questions that were not prompted or referred to by the applicant at all (ie. An interviewer out of nowhere asking about family/sexual orientation/marital status/etc). I respect the program a lot and feel like it was likely a rogue interviewer so I to want to tell the PD because honestly concerned my answers may have hurt the interviewer's perception of me as less interested/reliable but also hate that doing it myself means 0 anonymity. Should I reach out or just eat the experience and not risk hurting myself? What is the view of this from your side of things, would people take offense to me emailing about this?</t>
  </si>
  <si>
    <t>Yum</t>
  </si>
  <si>
    <t>I've had an applicant reach out to let me know a interviewer asked them an inapproprite question and greatly appreciated it. It didn't impact how we viewed that applicant. We'd rather know than not! &lt; any advice on wording? Because I don't want to feel like a tattle or threatening but also I am concerned since he was kinda old school that he may have written me off in his eval of me because of it &lt;&lt; i just wanted to reach out as i think i experienced a NRMP violation during my interview. I was interviewing with X and they asked me Y. I'm not planning on reporting this to the NRMP as I believe this was likely an isolated experience limited to this interviewer. I truly respoect your program and wanted to share this with you. (and then find a way to end the email) &lt; TY</t>
  </si>
  <si>
    <t>Has anyone received an interview from Maryland? Saw on the list by program but not by date.</t>
  </si>
  <si>
    <t>You could always call the PC if you don't want a paper trail. I think that most of us would appreciate knowing so that we could educate our facutly. &lt;&lt;  I second this, if the faculty are not appropriate, I want to know.  If you are uncomfortable, wait until after Match lists are locked March 6th.</t>
  </si>
  <si>
    <t>&lt; i have not, nor heard anyone i talk to has</t>
  </si>
  <si>
    <t>What are the chances of getting off the WL, do you see it happening often?</t>
  </si>
  <si>
    <t>They sent invites on the 23rd through ERAS and said to email for preferred days, so we can't see how many openings are left</t>
  </si>
  <si>
    <t>It happens quite a bit but will depend on the program. I'd say we typically end up filling about 10% of our spots with WL people! And in terms of timing, I'd say I have more movement after the new year. &lt; TY +1</t>
  </si>
  <si>
    <t>How far down the list do most programs match applicants? How much of rank is "pre determined" prior to interview?</t>
  </si>
  <si>
    <t>zero is predetermined. see above for answer on ROL - this was answered before with data.</t>
  </si>
  <si>
    <t>Just wanted to say thank you to the amazing PC/PDs answering our questions and helping quell anxiety. Happy Thanksgiving! +2</t>
  </si>
  <si>
    <t>&lt;3 thanks - means a lot! hope you have a wonderful long weekend!</t>
  </si>
  <si>
    <t xml:space="preserve">What do you think about applicants calling instead of emailing? </t>
  </si>
  <si>
    <t>please don't call.</t>
  </si>
  <si>
    <t>There goes the UChicago boat and I'm not in it :'(    &lt;    damn did my thalamus shut down last week? is that why I havent gotten anything since Friday with like 10 programs having released lol</t>
  </si>
  <si>
    <t>PinkyToe</t>
  </si>
  <si>
    <t>no calls please lol</t>
  </si>
  <si>
    <t>still have open slots&lt;&lt; fwiw only one drop made the spreadsheet last year though</t>
  </si>
  <si>
    <t>What is the timing on sending a letter of intent? (after interviews are done but before rank list due, but when is that for programs?)</t>
  </si>
  <si>
    <t>How many interview slots do programs like UChicago have? &lt; a lot of the top tier programs say they interview anywhere from 75 to 140</t>
  </si>
  <si>
    <t>each program have their rank lists at different times so probably safest to send right after the interview. but each program is going to weigh a LOI differently.</t>
  </si>
  <si>
    <t>n/a</t>
  </si>
  <si>
    <t>If you send right after interview, how can you do that if you haven't interviewed at the rest of your residencies yet? &lt;&lt; in my experience, a lot of people have a top program and use the interview to confirm that. so obviously wo'nt work for everyone. but it's hard to answer these questions sometimes because things vary so greatly between programs. if you want to know when a good time would be, you could ask the program when they do their rank list so you can ensure you time your letter correctly.</t>
  </si>
  <si>
    <t xml:space="preserve">Do programs really look at all applications? Is there a filter by step scores? </t>
  </si>
  <si>
    <t>this has been answered above so please take a look at those responses. but long and short: the review process is going to vary per program.</t>
  </si>
  <si>
    <t xml:space="preserve">Thank you for all your help! Do you have any tips specific to in person interviews? </t>
  </si>
  <si>
    <t>Come prepared, look sharp, and be enthusiastic!</t>
  </si>
  <si>
    <t xml:space="preserve">What is the right number of interviews to hold until we start releasing the interviews for programs that don't appeal as I research? What is the top count of interviews to be safe? 15? </t>
  </si>
  <si>
    <t>historically the advice has been ~15 but the thought is that that number might go down if signals work the way they're supposed to. looking at the charting outcomes, the average number of ranks last year was 14 and there was 90% chance of matching at about 13 ranks</t>
  </si>
  <si>
    <t xml:space="preserve">It also depends on caliber of the program as well with academic programs I
imagine being harder to match into&lt; I'm struggling with only 5 interviews. I'm really hoping it's because of signaling, rather than because I'm not a good candidate. 3/15 signals responded though, so maybe it's a little of both&lt; just to give a ball park number, I would say 12 is prob an excellent number and 10 would be "safe" &lt;&lt; Statistics dont lie, but also there are so many factors at play. For instance, if home program loves an applicant, they might have pretty good shot at matching there even though total count is not too high &lt;&lt; Some programs don't offer interview to their medical students; some programs have reserved no of seats for their students. For example my home program will give only two of their seats to their med students ( 2 /18 applying) which makes the other 16 on limbo!!!
</t>
  </si>
  <si>
    <t>As someone who just got an invite from one of their top programs after sending in a LOI just yesterday, pls don't hesitate. &lt;&lt; congrats did u signal it as well?? &lt;&lt; tips on what to say in these LOIs? &lt;&lt; yes I signaled! It's a categorical interview invite.  &lt; was it a well-known program or a more affiliated/community program?</t>
  </si>
  <si>
    <t xml:space="preserve">Pad Thai </t>
  </si>
  <si>
    <t>If I can't make an in-person meet and greet would that impact my ability to match there? should I contact the program coordinator?</t>
  </si>
  <si>
    <t>N/a</t>
  </si>
  <si>
    <t>unless they tell you it's part of the formal interview process i would assume it wouldn't. yes, i'd just the PC know!</t>
  </si>
  <si>
    <t>LOI would benefit in this instance</t>
  </si>
  <si>
    <t xml:space="preserve">Is it better to book the early or late iv dates if all are available </t>
  </si>
  <si>
    <t xml:space="preserve">did anyone have any success or postitive repsonse to a LOI &lt;&lt; I sent a few out yesterday and will keep you updated here </t>
  </si>
  <si>
    <t>answered this on the main page but doesn't impact your rank for us - i don't think it generally makes much difference</t>
  </si>
  <si>
    <t xml:space="preserve">&lt;&lt; From program perspective, don't see the use of LOI when there are signals, but curious to see if I am wrong &lt;&lt; alot of my signals ghosted me so im considering sending and LOI idk whats the worst than can happen they already didnt send me an ii &lt;&lt; If you are waitlisted and already signaled, I would check with an advisor or another reliable source to see if sending a LOI is wise. It might be smarter to have an attending call on your behalf. </t>
  </si>
  <si>
    <t>I got a prelim interview after sending out an LOI &lt;&lt; that's awesome, congrats!! Did they reach out right away or was it a few days later?&lt;&lt; The next day in my case. And yes it was one of my signaled programs.</t>
  </si>
  <si>
    <t>how soon after the last date do the programs make their rank list? since some programs finished already</t>
  </si>
  <si>
    <t>&lt;&lt; did u signal it? congrats</t>
  </si>
  <si>
    <t>depends on the program. some do right after every interview. some wait until after their last.</t>
  </si>
  <si>
    <t>do they take into account the LOR and scores when ranking? or is it mostly about the Interview</t>
  </si>
  <si>
    <t>depends on the program.</t>
  </si>
  <si>
    <t>How much do PDs and PCs from other programs talk about specific applicants?</t>
  </si>
  <si>
    <t>i can't think of an instance when we have.</t>
  </si>
  <si>
    <t xml:space="preserve">If programs DNR you after interviews, do they ever spread around that they're DNR'ing you? Like tell other programs or make it known within the residency that you were DNR'ed and what it was for? </t>
  </si>
  <si>
    <t>i think there is a misconception that programs talk to each other a lot... this is not something we would share with a majority of our department let alone someone outside of our program.</t>
  </si>
  <si>
    <t>Is the tufts interview invite real? How many dates did they release and are there open spots because I'm gonna cry.</t>
  </si>
  <si>
    <t>why woudnt it be real &lt;&lt; it's just one of my top programs and I didn't get an invite so I'll be really sad :(  &lt;&lt; I am really sorry. I think it's real but they might have more releases after today.</t>
  </si>
  <si>
    <t xml:space="preserve">yes it is real :/ </t>
  </si>
  <si>
    <t>there are 12 spots open in Thalmus for tufts- 10/29 - which dates were offered? No one added it to the II tab</t>
  </si>
  <si>
    <t>How often do PD/PCs reach out to faculty at an applicant's institution after interviews to get more info?</t>
  </si>
  <si>
    <t>pumpkinszn</t>
  </si>
  <si>
    <t>very rarely. &lt;&lt; agree &lt;&lt; no time for this</t>
  </si>
  <si>
    <t>Do any programs view letter of intent negatively? I have heard that it can be viewed as not "playing the match fairly", even if you only send it to your true top 1</t>
  </si>
  <si>
    <t>II by program sheet: Why do some programs have "date/time II received" filled out but no II dates listed?</t>
  </si>
  <si>
    <t>This was misleading for me too. If there is date in "Date/Time II Received , assumption is someone got interivew. I still searched with name of program in the "II by date " tab to count program to have released II &gt;&gt; thank you!!</t>
  </si>
  <si>
    <t>this has kind of been asnwered already. I think a lot of programs don't put a ton of weight on LOIs because applicants will say a program is their #1, the program ranks them to match, and the applicant matches elsewhere. I think that they are great to show your interest, but i wouldn't say that programs view them as negatively, but rather read them with caution. I'm not sure why someone would say that sending one isn't playing the match fairly...?</t>
  </si>
  <si>
    <t>Have you ever heard of an applicant getting blacklisted across the specialty? If so, what for?</t>
  </si>
  <si>
    <t>no... again, i'm not sure why applicants think programs are all talking. i barely have time to manage our interview season plus the other aspects of my job let alone help get someone blacklisted. I think the only circumstance when i would reach out to someone about an applicant would be if they threatened someone during their interview and in that case i wouldn't reach out to other programs, i'd reach out to their school.</t>
  </si>
  <si>
    <t>Egregious behavior gets reported back to the school.  I don't know where esle folks are interviewing to "blacklist" anyone.  And egregious has to be pretty far out there.   It is however possible that someone who behaves rudely or unprofessionally and is moved low on the list behaves that way at multiple places...</t>
  </si>
  <si>
    <t xml:space="preserve">I've heard anecdotally that once late Feb rolls around, there may be some PDs or interviewers that give you a phone call to tell you that "You are ranked highly". Is that something that happens for general surgery? And what is typically the 'right' response to that phone call? </t>
  </si>
  <si>
    <t>that's a huge NRMP violation. I'm not familiar with any programs doing this. &lt;&lt;not a PC/PD but i've also heard this from current interns about certain gen surg programs</t>
  </si>
  <si>
    <t>William Halsted</t>
  </si>
  <si>
    <t>Was it clarified if UChicago released interviews yet??</t>
  </si>
  <si>
    <t>Nobody came forward saying they got an II here. It popped up on II by date but nobody put stats in</t>
  </si>
  <si>
    <t>Is it necessary (to be advantageous) to send a letter of intent?
My top 3 programs are hosting second looks but only after they finalize their rank lists. I understand they don't want the second look to influence their decision due to financial discrepancies amongst applicants, but it also makes it difficult for me to send an honest letter of intent prior to comparing these programs in person.  
+1</t>
  </si>
  <si>
    <t>Im gonna choose to believe it's not out yet &lt;&lt; me about colorado too lol &lt;&lt; lmao none of these are out yet</t>
  </si>
  <si>
    <t>Both are not released yet &lt;&lt; looks like Colorado just came out now</t>
  </si>
  <si>
    <t>yes and no. this has been answered some above. we take LOIs with a grain of salt. people will send us one, tell us we're their #1, are ranked to match, and then dont match with us. be as honest as you can in your letter and explain why you like the program with the information you have.</t>
  </si>
  <si>
    <t>still holding out hope for a chicago interview after missing out on this round of colorado</t>
  </si>
  <si>
    <t>its not out yet, i have direct connections &lt;&lt; looks like it's out now? &lt;&lt; yep released around 4:30 CST</t>
  </si>
  <si>
    <t>When should we send letters of intent and what should we include in them?</t>
  </si>
  <si>
    <t>this has been answered quite a few times above!</t>
  </si>
  <si>
    <t>Does attendance at second look really not matter?</t>
  </si>
  <si>
    <t>assuming they've submitted their rank list, no.</t>
  </si>
  <si>
    <t>It makes an impression but not a deal breaker if you dont come</t>
  </si>
  <si>
    <t>Is there Usally another round of invites after new years</t>
  </si>
  <si>
    <t>What is this baylor u schedule? every day for a week? does anyone know how much of that time is actual interview where we have to be online?</t>
  </si>
  <si>
    <t xml:space="preserve">It's a presentation from the PD and social that monday evening, then they can schedule you anytime that week for four 20 min interviews on any of the days </t>
  </si>
  <si>
    <t>no. i would say all invites have been sent with the exception of the handful of invites that will go out due to someone cancelling.</t>
  </si>
  <si>
    <t>&lt; well that's not very cool……</t>
  </si>
  <si>
    <t>Any programs that still didnt send prelim invites?</t>
  </si>
  <si>
    <t>you'd have to check with individual programs...</t>
  </si>
  <si>
    <t>Stitch</t>
  </si>
  <si>
    <t>did you interview with them? in that case i'd send a thank you after your interview. if you didn't get an interview, i wouldn't send a message.</t>
  </si>
  <si>
    <t xml:space="preserve">Thoughts on replying to an LOI i sent a couple months back to a program i signaled saying im also interested in prelim spots? </t>
  </si>
  <si>
    <t>you can, but i find that we don't typically offer these applicants a prelim interview spot. &lt;&lt; could you elaborate what do you mean these applicants? The programs im referring to take imgs as prelims</t>
  </si>
  <si>
    <t>&lt; not the PC, but I think "these applicants" is not referring to imgs but rather to applicants who initially applied for categorical spots (and didn't get an iv) who now want to switch to being considered for a prelim spot. a "categorical-to-prelim" applicant, as opposed to someone who just directly applied to a prelim spot in the first place &lt;&lt; PC who originally responded - i'm not sure what happened to my clarifying response, but yes. the criteria for a prelim is different than a categorical and there are a lot of factors that go into selecting folks to interview for these positions. one consideration is how hard or easy it would be to get them a PGY2 spot. it wasn't stated in your original  question that you are an IMG but my answer is still the same! &lt;&lt; thank you both</t>
  </si>
  <si>
    <t>Anyone get interview date confirmation yet for UCLA or UW?</t>
  </si>
  <si>
    <t>No for UCLA....+3 &gt;&gt; updated they just emailed with confirmed interview date +1</t>
  </si>
  <si>
    <t>Are ranking list due for applicants and programs both on the same day 3/5/25? At what time is it best to send a letter of intent in January?</t>
  </si>
  <si>
    <t>rank lists are due on the same day for programs and appicants, but each program will submit their rank lists at different times. I would find out when the program you want to send a letter to is submitting their RL so that you can time it.</t>
  </si>
  <si>
    <t>Nothing yet for UW +1 &gt;&gt; They sent confirmation with a form to accept/decline interview date 10/29</t>
  </si>
  <si>
    <t>&lt; What is the best way to find out when programs are submitting their RL? &lt; ask them &lt; fair enough, thank you!</t>
  </si>
  <si>
    <t>whats UW?? &gt;&gt; University of Washington</t>
  </si>
  <si>
    <t>Got a rejection from UW last week :/</t>
  </si>
  <si>
    <t xml:space="preserve">I was invited for an open house event to meet more residents, faculty, spouses, etc. Was told my presence will have no effect on rank list because rank will be submitted by program before the open house. My spouse is also allowed to join for dinner paid for by program. Is it safe to assume that if the program extends this invite to me to join them after they made their rank list, I would likely be ranked fairly high from them? It seems a little silly to invite me to meet so many people if I wasn't ranked high enough to surely match. It's my number 1 program. </t>
  </si>
  <si>
    <t>If the interviews were virtual, they're supposed to extend a second look to all applicants. Even if the interviews weren't virtual, I would not assume that you are highly ranked based on this invite and that they are inviting all applicants.</t>
  </si>
  <si>
    <t>I have heard that some programs request that applicants do not send letters of intent if the program is their first choice. If it is not mentioned on the website should we assume they are allowed?</t>
  </si>
  <si>
    <t>I've never heard of this - you'd need to ask the program.</t>
  </si>
  <si>
    <t>(Applicant here) I had a couple programs make this request during interview day as they said that they would not take letters into consideration, so they end up just being a waste of everyone's time. I doubt it's something they would list on their website so I'd just base it on whether you heard them say that on interview day</t>
  </si>
  <si>
    <t>DarkHorse</t>
  </si>
  <si>
    <t>Is it worth responding to a second look invite to share that you can't go due to other commitment (global rotation, family event, etc) but are very excited about their program?</t>
  </si>
  <si>
    <t>I would, yes.</t>
  </si>
  <si>
    <t>Yes it can't hurt</t>
  </si>
  <si>
    <t>can somone update ii opening for minnesota please</t>
  </si>
  <si>
    <t xml:space="preserve">I haven't heard back from many programs about second looks, even from the ones that mentioned a second look opportunity during the interview. Should this make me concnered at all about my interview performance or chance of matching?  </t>
  </si>
  <si>
    <t>and stamfrod</t>
  </si>
  <si>
    <t>no. i'd ask them.</t>
  </si>
  <si>
    <t xml:space="preserve">Is it helpful for applicants to send an LOI once they finish interviews? I know it used to be more of a rarity to send them, and now with online interviewing it's becoming commonplace to send them. Basically is it worthwhile to send one to my top program, or is it unlikely to help me much? </t>
  </si>
  <si>
    <t>you'll hate this answer, but it's truly program dependent!</t>
  </si>
  <si>
    <t xml:space="preserve">It doesn't hurt you to send them. </t>
  </si>
  <si>
    <t xml:space="preserve">I know that attending the second looks will not affect our ranking, but most programs have us RSVP for the second look by a deadline that is before the day the rank lists are due. How do we know that this process is fair and that program directors are not looking at the RSVP signups? </t>
  </si>
  <si>
    <t>the PC is likely collecting the RSVPs and based on my personal experience, i don't tell my PD about the RSVPs. I actually haven't even looked at ours yet and when i send out the invites, i won't tell my PD. I think you just have to have faith that the program is being honest - there's not much to be done in this scenario!</t>
  </si>
  <si>
    <t>Can you cancel an interview right now if 2 weeks in advance, or is it considered too late?</t>
  </si>
  <si>
    <t xml:space="preserve">i think it's ok up until a week before. </t>
  </si>
  <si>
    <t>Might have been covered but i haven't found an answer for this specifically. If sending an LOI after all interviews are done - could it be seen as a "red flag" to tell your top program that they are your #1 choice?</t>
  </si>
  <si>
    <t>Anyone who got an II from NYU Long Island know how to share your social media URL? I don't know my log in so can only access from my phone and google has not been very helpful</t>
  </si>
  <si>
    <t>we don't know who you're sending letters to so not sure how it would be seen as a red flag. the red flag would be telling a program they are your #1 if they in fact are not.</t>
  </si>
  <si>
    <t>Scrambled (Prelim)</t>
  </si>
  <si>
    <t xml:space="preserve">&lt;--Try searching on your home comuputer/browser where you've logged into instagram, facebook, twitter or other linked accounts. Based off your login/search history google should display your account as one of the top hits. Struggled to find my account via google search on public computers(I think bc its private?), but had little trouble searching on my laptop. </t>
  </si>
  <si>
    <t>Is there anywhere I can find past fellowship match lists for the programs I am interested in?</t>
  </si>
  <si>
    <t>beepboop</t>
  </si>
  <si>
    <t>Not a PC/PD but they usually put this on their website or in their interview day materials!</t>
  </si>
  <si>
    <t xml:space="preserve">Are we supposed to make our accounts public? </t>
  </si>
  <si>
    <t xml:space="preserve">Is it helpful to send an "I've ranked you very highly" email to some of your top programs that aren't your #1? Or is there a risk programs will interpret this as them not being ranked number 1 by you since it's not explicitly stated? Could it be best just to send the "I've ranked you highly" email to all your tops including #1 without specifying more? </t>
  </si>
  <si>
    <t>I would not advise doing this. LOI emails are only worth writing if you are indicating a program is number 1. &lt;&lt; What if we are deciding between 2 programs and are doing second looks? I feel like now is the time to send and LOI, but I don't want to be disengenuous and say a program is my absolute #1 when I probably won't know until after 2nd looks (but by that time they'll have submitted their rank list) +2. &lt;&lt; LOIs are confusing and we've talked about them a bunch above. there are letters of interest and letters of intent. if you have 2 programs you're highly interested in and KNOW they'll be your 1st and 2nd, send a letter of INTEREST. say you're highly interested, will be ranking them highly. looking forward to the visit. i wouldn't send these letters to more than 2 or 3 programs at most though. and we've said it above - each program will value these differently but all programs will take them with a grain of salt.</t>
  </si>
  <si>
    <t xml:space="preserve">Might be a dumb question, but why do programs care about LOIs? why do they influence their ranking? why do they rank people higher for them over a person maybe they want to come to the program more? What benefit is there for the program to match only their top 10 vs their top 20 applicants. </t>
  </si>
  <si>
    <t>A LOI confirms your interest and often will provide additional insight into why you're excited to train with us. It's unlikely a letter will bump you over someone else but rather confirm where we have you. Programs usually aren't matching in their top 10, either. At the end of the day, as we've said above, LOI's are weighted differently for programs. You have to decide if you think it's worth it, you'll regret not sending one, etc. Unless a progam tells you to send one or you know that a program weights them heavily, don't overthink it!</t>
  </si>
  <si>
    <t>How far down their rank lists do programs usually go</t>
  </si>
  <si>
    <t>depends on the program! some programs will stay in the top 10%, some in the top 25, some will dip below their top 50%...</t>
  </si>
  <si>
    <t>did those who got Abington II respond to the ERAS email they sent? Confused bc it said to send ERAS email to someone else but we can't initiate emails on ERAS - help &lt;-- I was thinking of just replying to the invitation to interview and addressing the PC &lt;-- guess my question got answered bc they sent out thalamus lol &lt;--- all dates are filled though? &lt;--- I emailed PC, she is enterring everythign manually right now and will keep us updated</t>
  </si>
  <si>
    <t xml:space="preserve">If we applied to prelim and categorical, when ranking time comes, will we know if we have been ranked prelim or categorical? Or is there no way to know? I don't want to rank categoricals if I'm not even being considered for them </t>
  </si>
  <si>
    <t>I emailed PC and replied to the ERAS message with my preferences. Just saw they released Interview dates with no spots available, I assume the PC will be putting us into thalamus spots based on preference but we'll see &lt;--- Can sign up for spots on thalamus now +1 &lt;— I saw, I assumed if theyd be asking for preferences theyd be putting it in lol but I signed up</t>
  </si>
  <si>
    <t>if they didn't interview you for a categorical position, they won't rank you for a categorical position. same with prelim spots.</t>
  </si>
  <si>
    <t xml:space="preserve">I already sent a thank you letter/expressed interest in a program last month after my interview, now I would like to follow up again closer to rank time and send letter of intent- should I specifically say "hi you're my number one" or just mention that I am still highly interested in joining their program? I'm assuming I need to be specific and say they're my top choice </t>
  </si>
  <si>
    <t>bobabae</t>
  </si>
  <si>
    <t xml:space="preserve">Do programs respond to letters of intent? </t>
  </si>
  <si>
    <t>Yes! &lt;- does a response to a LOI mean anything? &lt;&lt; i think it's program specific because we don't respond. I wouldn't read too much into a response though.</t>
  </si>
  <si>
    <t>Help from an IMG who doesn't have advisors/mentors. What needs to be done at this stage to increase our chances of matching at our top choices. Have someone we know call the program? Send an email saying they're my number 1? Thank you!! +3</t>
  </si>
  <si>
    <t xml:space="preserve">I had a prelim interview for a program early in the season bc I did not apply to categorical.. after the interview I asked the PD/APD if I could apply for categorical, and they said yes.. Should I consider ranking the program for a cat position even tho my IV was for prelim initially? Thanks. </t>
  </si>
  <si>
    <t>anyone get anything from rutgers community medical center</t>
  </si>
  <si>
    <t>&lt; they released invite to me today 10/31/24</t>
  </si>
  <si>
    <t xml:space="preserve">Ask them email </t>
  </si>
  <si>
    <t>i did some aways later on in the cycle and hadnt gotten an interview but recieved great remarks on my evals. is it worth sending an email to the pd/pc even though IIs are done?</t>
  </si>
  <si>
    <t>if they don't have any additional interview days i would say no. &gt; When I was a new PC, I had a sub-i reach out because they didn't receive an invite. I was new and didn't know that we even had sub-I's, because they are managed by a different department. We were able to add them into our interviews and they actually matched with us. They recently graduated, and were one of the best residents that we ever had. So I say, reach out. It could be an oversight.</t>
  </si>
  <si>
    <t xml:space="preserve">I have been emailing questions to PD's to learn more about a particular aspect of their program. However, some of them have not responded to my email. Does this indicate we are not ranked highly on their list? </t>
  </si>
  <si>
    <t>no - don't read into it. there are a lot of NRMP rules around communicating so some programs just don't respond to questions like these. I would recommend reaching out to a resident or the coordinator and if they think the PD should respond, they'll coordinate that. Please also keep in mind how many emails we get during this time of year. In addition to the applicants we interview, a lot of programs will continue to get inquiries from people not interviewing.</t>
  </si>
  <si>
    <t>Does it mean anything if the PD tells you to reach out if you have any more questions during your interview and then when you do they give you their cell number and then have a 30+ minute conversation with you, alluding to the fact they will be ranking you high?</t>
  </si>
  <si>
    <t>i would remain neutral about anything like this.</t>
  </si>
  <si>
    <t>deladela</t>
  </si>
  <si>
    <t>Anyone who dual applied ortho or plastics planning to drop II when specialty II come out?</t>
  </si>
  <si>
    <t>When do plastic II come out&lt;&lt; last yr 11/6 but nothing published for this yr</t>
  </si>
  <si>
    <t>When are rank meetings?</t>
  </si>
  <si>
    <t>I dual applied plastics and will drop gen surg II dependent on the results of release day on November 12th &lt;&lt; Thanks for this info</t>
  </si>
  <si>
    <t>some programs have them after each interview and some wait until all interviews are completed. we have to submit them the same day as you so programs could meet up until then. &lt; do programs change their list up until the end? what would move a student up or down on your list? &lt;&lt; varies per program. some people submit and lock and don't change it. other programs will change it up. a variety of things could contribute to someone going up or down a few spots: a LOI, additional feedback... it's unlikely that someone would go up signficatly but inappropriate behavior at an in-person event could definitely knock you down.</t>
  </si>
  <si>
    <t>Is it helpful to have your home program’s chief reach out to the PD at your #1 program to vouch for you? Or is it more likely to hurt your chances/drop your ranking at your home program by letting them know they aren’t your #1</t>
  </si>
  <si>
    <t xml:space="preserve">Chief of Surgery or Chief Resident? I'm assuming Chief of Surgery.... A call is really only helpful if the person calling the PD have a relationship/connection. </t>
  </si>
  <si>
    <t>I did an away rotation. I got Honors and outstanding comments written by me. Is it necessary to update the PD about my performance through email? Or will they just find out on their own?</t>
  </si>
  <si>
    <t xml:space="preserve">did you interview with them? have you sent them a thank you email or letter of intent? you could include this information in one of those emails. programs won't be notified about this. </t>
  </si>
  <si>
    <t xml:space="preserve">Match is a frustrating emotionally exhausting process. I hope y'all are hanging in there. For anyone who wants to give up, don't do that yet. Wait through the end of this week and then reevaluate. Signaling may be new this year, but I doubt it's drastically changed programs evaluation process and will severely cut down on average number of interview invites per applicant. </t>
  </si>
  <si>
    <t xml:space="preserve">Is it too late to send a letter of intent? And can a poorly written LOI hurt?(i.e. syas they're my number 1 but doesn't elaborate enough for them, or highights program aspects I like but maybe PDs don't care for). This is not to seem lazy, but a question of how much do I mull over this LOI- does it need to be a master piece, does it just need to be well written, or does it just need to get the job done considering programs will submit rank lists in the coming week. </t>
  </si>
  <si>
    <t>&lt;-wait you do or dont think it will cut down the # of invites &lt;&lt; Im not the author but I read this as signals not drastically changing either the review process or invite #'s. However, my own 2 cents, is that invite numbers may have small decrease  w new signal system (although I agree not drastically)</t>
  </si>
  <si>
    <t>you don't need to mull over it as much as you think you do. I would include WHY the program is your number 1 - i think it would be odd not to. But the email could be 3 sentences.</t>
  </si>
  <si>
    <t>I emailed the PC about a second look a few weeks ago, and they said they would get back to me. Yesterday, I heard that second-look invitations had already been sent. Does this mean I’m not among their top candidates? Should I follow up with the PC for an invite?</t>
  </si>
  <si>
    <t>email them. &lt;&lt; any updates if you did email them?</t>
  </si>
  <si>
    <t>I applied for categorical spots at two programs and got interviewed, now I want to be considered for their prelim spot as well, as matching prelim is better than going unmatched. Is there anything I can do? I feel like explicitly requesting the program to consider me for a prelim spot will bring me down the cat rank list.</t>
  </si>
  <si>
    <t>PD here- I do not think it will have an impact on your rank list, it may even make it feel like you're "all in"</t>
  </si>
  <si>
    <t>palmerspt</t>
  </si>
  <si>
    <t>Anyone has any idea when second waves are supposed to start going out? Like mid november? December?</t>
  </si>
  <si>
    <t>Do programs actually try to rank in order of their favorite applicants or is there gamesmanship? ie are they actually ranking based on who they think will match with them. Do they try and limit how far down their rank list they match for their own stats/maintain prestige?</t>
  </si>
  <si>
    <t>There's no waves, it's done. +1  &lt;  sadness</t>
  </si>
  <si>
    <t>We don't really take how far down our rank list we might go into consideration. We're more concerned about getting the applicants we think will thrive in and contribute to our program. &lt;&lt; totally agree</t>
  </si>
  <si>
    <t>No gamesmanship. We could care less how far we go down the list. We just want the top candidates. &lt;&lt; agree - i'm not sure where this idea came from!</t>
  </si>
  <si>
    <t>I don't think it's waves but rather rolling invites. Those that still have slots may send out more invites while those that don't won't.+1</t>
  </si>
  <si>
    <t xml:space="preserve">only one prelim invite so far, non us img, ,applied only cat, and only this program for prelim that invited me, p, 260+, post doc usa, a lot of research, only -0 cat, and only 1 prelim, I am giving up &lt; there are still many IMGs sitting at zero (including myself), believe me, you at least have one and you are still in the game. Do not lose hope and instead, try to kill that one interview you've already scheduled! Good luck! </t>
  </si>
  <si>
    <t>can programs see if we are couples matching?</t>
  </si>
  <si>
    <t xml:space="preserve">Yes, it is in the application with your partner's name and speciality. </t>
  </si>
  <si>
    <t>have most programs finalized their rank list (categorical) at this point?</t>
  </si>
  <si>
    <t>probably not</t>
  </si>
  <si>
    <t>yes, most are done by 1st week of feb</t>
  </si>
  <si>
    <t>My advisors asked if I received any positive feedback during or post interview that mentioned I was a "good fit" or I will be "ranked highly"; however, I did not. Is this a sign that I will not match?</t>
  </si>
  <si>
    <t>Is it actually a match violation for programs to tell you that you're ranked to match? Looking at the NRMP rules it seems like they just can't say that conditional on you saying you'll rank them first. Do programs sometimes just avoid this language to be safe?</t>
  </si>
  <si>
    <t>correct. &lt; I thought programs could tell you that you're ranked to match but they can't ask you if you're ranking them number 1&lt;&lt; that's exactly what OP said on left, to which PC said "correct" &lt;&lt; original PC responder: it is a violation for a program to tell you you are ranked to match. this doesn't mean that programs don't do this, but more often programs will avoid this language. they also cannot ask you about your rank list.</t>
  </si>
  <si>
    <t>Turtle</t>
  </si>
  <si>
    <t>How far down a rank list does a program like MGH go?</t>
  </si>
  <si>
    <t>Probably within 20 &lt;&lt; 20% or 20 ranks &lt;&lt; PC here: it's really going to depend on the year!</t>
  </si>
  <si>
    <t xml:space="preserve">Does couples match/family really boost your ranking? If you partner sibling etc is in the program </t>
  </si>
  <si>
    <t xml:space="preserve">Just for future reference: I did not receive a secondary from OHSU, but still received an II. I remember this being a discussion topic! +3 </t>
  </si>
  <si>
    <t>PD- couples match did not impact our rankings, however if the applicant had family ties to the area it was factored in positively to our rankings</t>
  </si>
  <si>
    <t>How many spots left? &lt;&lt; 54 &lt;&lt; how about now? not sure when this was written, like if it was right after they were sent &lt;&lt; oops, sorry. I should've specified time. Just checked again, 44 as of 10/29 6:03 am EST. I updated the interview openings page with exact dates ~  &lt;&lt;&lt; thanks you rock!</t>
  </si>
  <si>
    <t xml:space="preserve">Anyone know why they sent out secondaries then if most people who got interview didn't get one? </t>
  </si>
  <si>
    <t xml:space="preserve">Too late for letter of intent? When is too late? 2nd looks are coming up in the next week and that will determine my #1 rank. </t>
  </si>
  <si>
    <t>PD-depends on the program, some are done with the rank list, others probably very soon</t>
  </si>
  <si>
    <t>sillygoose</t>
  </si>
  <si>
    <t>southeast (FL)</t>
  </si>
  <si>
    <t>Am I supposed to respond when PDs send me emails that say I'm ranked favorably on their rank list? The emails are unprovoked and usually after the program has finalized their rank list and says something along the lines of "We think you would be a great fit and would love to have you here". Part of me wants to say thank you, but another part of me knows that what they're sending me is bordering on a match violation and maybe I should ignore the email... Plz help</t>
  </si>
  <si>
    <t xml:space="preserve">Does anyone know if our phone number is automaticallly listed on thalamus from ERAS? Had a program ask me to make sure my phone number is listed on my thalamus profile and not sure how to do this. </t>
  </si>
  <si>
    <r>
      <rPr>
        <rFont val="Varela Round"/>
        <sz val="10.0"/>
      </rPr>
      <t xml:space="preserve">I would just be flattered and say "thank you". This is not a Match violation, NRMP allows this per their policy - </t>
    </r>
    <r>
      <rPr>
        <rFont val="Varela Round"/>
        <i/>
        <sz val="10.0"/>
      </rPr>
      <t>A program may voluntarily communicate to an applicant that they are viewed favorably and will be ranked by the program; however, programs may not  solicit verbal or written statements from an applicant implying a commitment to rank the program</t>
    </r>
    <r>
      <rPr>
        <rFont val="Varela Round"/>
        <sz val="10.0"/>
      </rPr>
      <t xml:space="preserve">.  </t>
    </r>
  </si>
  <si>
    <t>You can login and change things but yes it should be copied over from your ERAS app</t>
  </si>
  <si>
    <t>4th</t>
  </si>
  <si>
    <t>&lt;-if this isn't a Match violation, why don't all programs do this? &lt; I don't know if there is a big upside to doing this.</t>
  </si>
  <si>
    <t>Are you all anxious?</t>
  </si>
  <si>
    <t>yeah, never felt this anxious ever</t>
  </si>
  <si>
    <t>YES. i've checked our lists 100 times today to make sure they're certified even though they were certifed weeks ago...</t>
  </si>
  <si>
    <t>do PDs and PCs every accidentally mess up a rank list like leaving someone off or something? Do you guys check it over 100 times like we do</t>
  </si>
  <si>
    <t>Yes - i just had my colleague double check that i had certified the list...</t>
  </si>
  <si>
    <t xml:space="preserve">I check mine many times. We used Thalamus for our rank list this year. We were able to easily upload all the ranked applicants to the NRMP list.  It took out a lot of the possible human error.  But I even took screenshots of my list saying "certified", just so I could look at it when I start worrying:) </t>
  </si>
  <si>
    <t>Did U of Colorado Drop back on the 24th? Someone put it in on II by program but not by date it looks like</t>
  </si>
  <si>
    <t>car</t>
  </si>
  <si>
    <t>people are thinking not but unclear - no one on the sheet has come out and said they or someone they know got it&lt; thanks</t>
  </si>
  <si>
    <t xml:space="preserve">Do PDs ever reach out after the rank list closes? Like would they reach out to tell a candidate that they're ranked to match or ranked highly after the rank list is locked in? My assumption would be no, but I'm curious because this doesn't seem like it'd be a match violation since everything is submitted by both the candidate and program. Mostly I'm just anxious that I have to sit in limbo for the next 2 weeks. </t>
  </si>
  <si>
    <t xml:space="preserve">probably not - not really beneficial to either party!  &gt; PC - The only time that I could see that happening is if you ran into them at a conference or meeting in the interim. There would be no upside doing this. </t>
  </si>
  <si>
    <t>&lt;&lt; There are a few programs that only had one or two respondents fill out stats on this google sheet. That makes me think that easily some programs could have 0 respondents on this google sheet even if they released invites already (leading to a "false negative"). Some people lurk and don't post. Really difficult to know unless program has release date on website that hasnt come yet.</t>
  </si>
  <si>
    <t>&lt; if ur lurking and have an invite to colorado give us a sign lol&lt;&lt; lol&lt;&lt; need a bat signal</t>
  </si>
  <si>
    <t>Thank you for all your help and support this cycle!</t>
  </si>
  <si>
    <t>You're welcome</t>
  </si>
  <si>
    <t>When do programs/PDs get their match results?</t>
  </si>
  <si>
    <t>monday we find out if we fill our spots, thursday we find out who</t>
  </si>
  <si>
    <t>&lt;why do programs find out a day before students? &lt; so we can prep everything to release on Match day. There's several hours of work that has to get completed so that we can announce. Same reason as to why school's find out.&lt;&lt; &lt;what kind of work?? &lt;&lt; prepping all of the announcements, getting welcome letters signed, packaging/mailing welcome gifts.</t>
  </si>
  <si>
    <t>Is there anything we need to do immediately after Match such as paperwork or fingerprinting? I will be out of the country :/</t>
  </si>
  <si>
    <t>You should be contacted by your new coordinator with details.  Make sure you let them know when you'll be gone and for how long.  Complete any paperwork they request as soon as possible.</t>
  </si>
  <si>
    <t>Anyone hear from Brigham or BIDMC or know when they plan send II?</t>
  </si>
  <si>
    <t>Can I ask the program I ranked #1 and who told me I had a spot there why I ended up not matching to them?</t>
  </si>
  <si>
    <t>have not heard yet</t>
  </si>
  <si>
    <t>I would not...</t>
  </si>
  <si>
    <t>Brigham website says after November 1</t>
  </si>
  <si>
    <t xml:space="preserve">"We interview approximately 75 candidates for the general surgery program each year. Although we receive applications from hundreds of well-qualified candidates, it is not possible to interview all who apply. All invitations are sent through email via ERAS after the November 1 deadline." &lt;&lt; Their website is unclear. In another spot it says "All invitations are sent through email via ERAS between Wednesday, October 23 and Tuesday, November 6, 2024" </t>
  </si>
  <si>
    <t>.. no Penn / Chicago either</t>
  </si>
  <si>
    <t>Happy</t>
  </si>
  <si>
    <t>Can anyone confirm whether there are dates left for Dartmouth?</t>
  </si>
  <si>
    <t>there are a few, check the interview openings tab</t>
  </si>
  <si>
    <t xml:space="preserve">Do programs have to fill up their interview slots? Is that required for them? &lt; probably they want to fill as many as possible, unless someone cancels last minute </t>
  </si>
  <si>
    <t>Susu</t>
  </si>
  <si>
    <t>Has anyone heard from Tufts / know if II were sent?</t>
  </si>
  <si>
    <t>Don't think so &lt;&lt; I did get secondary and no communication after that +1</t>
  </si>
  <si>
    <t>&lt;&lt; Was the secondary just the Surgwise or was there anything else after?</t>
  </si>
  <si>
    <t>Just surgwise as far as I know!</t>
  </si>
  <si>
    <t>Did U Rochester send out interview invites? I see info about dates on the II by Program but nothing in the II by Date tab?</t>
  </si>
  <si>
    <t xml:space="preserve">then prob they did &lt;&lt; I think someone just filled in their published dates. There isn't a date under the column for when they got sent out, so I don't think they've been sent yet </t>
  </si>
  <si>
    <t>&lt; they haven't sent yet +2
&lt; they were sent today at 3pm</t>
  </si>
  <si>
    <t>Chocoholic</t>
  </si>
  <si>
    <t xml:space="preserve">Anyone get that University of Miami supplemental? Did they send that to everyone &lt; I did, not even sure how to complete it since it's not appearing on Thalamus +1 &lt; It says to send through ERAS messaging but I dont think we're able to initiate messages </t>
  </si>
  <si>
    <t>&lt; No we cannot initiate ERAS messages and Thalamus doesn't allow us to answer. I guess we can email the coordinator to inform her...&lt; I mailed resonses to coordinator</t>
  </si>
  <si>
    <t>TX, TN, KY</t>
  </si>
  <si>
    <t>COME ON PLEASEEEEE</t>
  </si>
  <si>
    <t>Harley</t>
  </si>
  <si>
    <t xml:space="preserve">10/28 NON US VISA Requiring IMG, Applied for GS can someone confirm if wayne state , UND , upmc mercy sent out all the invites?? i am panicking nothing seems to be working out, haven't got anything i am almost 5 years out without anu research my step 2 261. I want some hope which programs are pending. &lt;&lt; if you go by "II by program" and scroll to the right, you'll see number of programs yet to release at the top. Or can look at individual programs you applied to. If blank, they probably haven't released interviews yet as people have been quite good at updating this tab when interviews come out </t>
  </si>
  <si>
    <t>Crickets… &lt;&lt; is there a second interview sent out on 10/26?</t>
  </si>
  <si>
    <t>can someone update on hopkins prelim ii spots</t>
  </si>
  <si>
    <t>tumbleweed</t>
  </si>
  <si>
    <t xml:space="preserve">Has anyone heard from Indiana? </t>
  </si>
  <si>
    <t>&lt;&lt; Interviews come out Monday 28th and Wednesday 30th&lt;&lt; thanks— was wondering if anyone had heard anything today &lt;&lt; I literally JUST got an invite from them</t>
  </si>
  <si>
    <t xml:space="preserve">  &lt;&lt; why do you say they come out today and wednesday?&lt;&lt; their insta mentions those dates </t>
  </si>
  <si>
    <t>scalpelpls</t>
  </si>
  <si>
    <t>For the University of Washington, did anyone apply to both clinical and clinical/research? Not sure which one I got an interview for  &lt;&lt; I did. Wasn't clear on the invite. May be like my home program where it's a general invite and then during the interview process you declare interest /non-interest &lt;&lt; thanks!!</t>
  </si>
  <si>
    <t>tonysimprano</t>
  </si>
  <si>
    <t>The silence is deafening….</t>
  </si>
  <si>
    <t>&lt;&lt; is everyone ok? no +12</t>
  </si>
  <si>
    <t xml:space="preserve">Yeah what is happening I feel like movement is so diff compared to last year &lt;&lt; agreed cause it's already 10am and only 2 interviews so far, weird.  &lt; 11 am and now only 3 wtf&lt;&lt; still only at 2 from last week this feels awful. Like what's the point of signaling :((( </t>
  </si>
  <si>
    <t>UPMC - how are people dealing with the fact that they only give us a hotel the night of Nov 7 but the interview ends on Nov 8 at 5:30 pm (essentially forcing us to get a flight no earlier than 7:30 pm which doesnt even exist for me....)   &lt;&lt; YOURE GETTING A PAID HOTEL? none of my in-person offer that! That's so nice</t>
  </si>
  <si>
    <t>Do they offer anything for the flight?</t>
  </si>
  <si>
    <t>spooky</t>
  </si>
  <si>
    <t>Are UPMC Sending out more ii?</t>
  </si>
  <si>
    <t>Has ascension-macomb sent out any II's?</t>
  </si>
  <si>
    <t>NO this is still pending</t>
  </si>
  <si>
    <t>CA, NY, MA, NJ, MD, PA</t>
  </si>
  <si>
    <t>Muffin</t>
  </si>
  <si>
    <t>I havent gotten any II's yet, am I toast? Should I be freaking out lol +1</t>
  </si>
  <si>
    <t>If you haven't gotten any yet you may still get some but I would start considering a back up plan and talking to your advisor</t>
  </si>
  <si>
    <t>I haven't gotten any IVs either. I don't want to be an insecure worry wart so I'll wait till the end of Nov to freak out, but DAYUM I'm getting stressed :/ My application isn't great but I didn't think it would suck this much either &gt;&gt; same+1 &lt;&lt; hoping things get better! I'm not in the best position at the moment either but I hope this week gets better for us &lt;3</t>
  </si>
  <si>
    <t>currybread</t>
  </si>
  <si>
    <t xml:space="preserve">I am sitting at 5 II. Should I be worried if 25 programs I applied to still haven't released interviews? My school is trying to force me to apply IM. &lt;&lt; to change your specialty midway is crazyyyyy. </t>
  </si>
  <si>
    <t xml:space="preserve">Id hang tight </t>
  </si>
  <si>
    <t>at 5 interviews your school is suggesting you change your entire life plan? wtf&gt;&gt;+7</t>
  </si>
  <si>
    <t>Let's all just sit tight and wait. I know this process sucks but it's just how this game is written. 5 is a pretty good spot given it's been only 3 days of release so far. I'd not heed your advisor's advice or backup plan, but keep in mind it's still early. I get how you're feeling but comments like that induce extra anxiety in other people… like most of us are sitting at below 10 I'm p sure!  &lt;&lt;  +2</t>
  </si>
  <si>
    <t xml:space="preserve">My advisor said they're seeing less interview invites with the signaling.... which was the point of the signaling. I'm at 6 and she said to not worry yet.... I'm still seriously not okay but trying to breathe through it. For what that's all worth. </t>
  </si>
  <si>
    <t>Did Wright state actually release II? I see a tentative release date of 10/25.</t>
  </si>
  <si>
    <t>Akainiu</t>
  </si>
  <si>
    <t>i didnt get one and signalled</t>
  </si>
  <si>
    <t>They did</t>
  </si>
  <si>
    <t>Has anyone gotten a interview date from UF yet after filling out the survey?</t>
  </si>
  <si>
    <t xml:space="preserve">&lt;--yes, on 10/25. Confirmed date + gave hotel options </t>
  </si>
  <si>
    <t>&lt; Have not heard back yet... +4</t>
  </si>
  <si>
    <t>FF</t>
  </si>
  <si>
    <t>What is the likelihood of getting off of a waitlist?</t>
  </si>
  <si>
    <t xml:space="preserve">probably depends on program and your priority on waitlist </t>
  </si>
  <si>
    <t>PC here: we typically have about 5-10 people come off our WL every year! :)</t>
  </si>
  <si>
    <t>nugget</t>
  </si>
  <si>
    <t>What are men wearing to interviews? I assume a full suit is required. Is a bowtie ok or is that too out there and should we stick to regular ties?</t>
  </si>
  <si>
    <t>What do people wear to socials (virtual and in-person)?</t>
  </si>
  <si>
    <t>id stick to regular ties tbh...</t>
  </si>
  <si>
    <t>also wondering the same thing for social- is it supposed to be dress shirt or more formal/less?</t>
  </si>
  <si>
    <t>I would say business casual for socials</t>
  </si>
  <si>
    <t>PC here: if a bowtie is your preference, wear a bowtie! I promised people won't judge you based on what neckwear you wear (in fact - we have a lot of faculty who prefer bow ties!). I'd say attire to the social will depend on the venue, but our residents have shown up in scrubs before so I wouldn't stress too much. Business casual is fine - no jacket necessary!</t>
  </si>
  <si>
    <t>CC</t>
  </si>
  <si>
    <t>Does anyone have any info about the Einstein socials that randomly popped up on thalamus?</t>
  </si>
  <si>
    <t>For Montefiore? I emailed, they said to disregard.</t>
  </si>
  <si>
    <t>So to confirm, there are no socials happening? I was waiting for a zoom/webex/teams link</t>
  </si>
  <si>
    <t>MAC</t>
  </si>
  <si>
    <t xml:space="preserve">New York </t>
  </si>
  <si>
    <t xml:space="preserve">For Duke interview, we have to complete this pre interview Qualtrics link. My interview is in January, but the link does not have the option to select a January date. Anyone have this problem?  &lt; It's a typo! Dec 11 (last option) = Jan 11. They just fixed it. &lt; not having received Duke by now means it is over right? &lt;&lt; there were a few spots the last time I checked </t>
  </si>
  <si>
    <t>Does anyone know if they are sending interviews in waves? Or have they sent all of them out?+1</t>
  </si>
  <si>
    <t xml:space="preserve">My program personally sent them all out at once </t>
  </si>
  <si>
    <t>I think programs do both. It's happened to me twice where I'll see that a program I applied to send out interviews on this sheet, and then receive an II hours later (so possibly in waves?) +1</t>
  </si>
  <si>
    <t>Milo</t>
  </si>
  <si>
    <t>MC</t>
  </si>
  <si>
    <t>Hi all, currently working on a research project looking at the impacts social media has on a med students chosen specialty. Would love some more responses from those interested in surgery! If you could complete our 5min survey we'd really appreciate it! https://bit.ly/3U9egs4</t>
  </si>
  <si>
    <t>2024 General Surgery Residency Application Spreadsheet</t>
  </si>
  <si>
    <t>DMO</t>
  </si>
  <si>
    <t>AZ, CA, FL, 
LA, NC, TN, TX</t>
  </si>
  <si>
    <t>Torax</t>
  </si>
  <si>
    <r>
      <rPr>
        <rFont val="arial,sans,sans-serif"/>
      </rPr>
      <t>Programs vary widely in how they interpret signals. This is a dumb process, because it would have been good to know if a program I was interested in actually consider signals beforehand instead of wasting them. Now I am sitting at 2 interview invites des</t>
    </r>
    <r>
      <rPr>
        <rFont val="arial,sans,sans-serif"/>
        <color rgb="FF1155CC"/>
        <u/>
      </rPr>
      <t xml:space="preserve">pite strong app :(  </t>
    </r>
  </si>
  <si>
    <t>ROL Submit Countdown</t>
  </si>
  <si>
    <t xml:space="preserve">&lt; it's difficult to make that statement without statistics backing it up, although I am sure there is some differences between institutions </t>
  </si>
  <si>
    <t>Did you send signals to your fav 15, or do some strategy like 5 top 20 programs, 5 "good," 5 safeties? &lt;&lt;&lt;split it 5,5,5</t>
  </si>
  <si>
    <t>&lt;&lt;yea I am curious what programs' thoughts are but sadly will take a cycle to pin down</t>
  </si>
  <si>
    <t>Square Knot</t>
  </si>
  <si>
    <t>What if I don't get a rejection, but neither an invite, and the program already sent out their interviews. What does this mean? Do I still have a chance?</t>
  </si>
  <si>
    <t xml:space="preserve">Hard to know if they sent out all interview invites. If they did, then unlikely you will get anymore. If they didn't, then they may release </t>
  </si>
  <si>
    <t>Thank you for your response! How do I know that they sent out all the invites?</t>
  </si>
  <si>
    <t>Many programs will ghost you and never send you an invite or rejection &lt;&lt; :'(</t>
  </si>
  <si>
    <t>IL, IA, TX, FL</t>
  </si>
  <si>
    <t>Is it too late to apply to preelim?</t>
  </si>
  <si>
    <t>not sure but mayo arizona and hopkins already sent prelim ii</t>
  </si>
  <si>
    <t xml:space="preserve">gubernaculum </t>
  </si>
  <si>
    <t>PC here: i would send an email to the program coordinator. We'll add prelim interviews in as the season goes so you never know!</t>
  </si>
  <si>
    <t>did cleveland clinic Florida send out? Not the main one, Florida &lt;&lt; i applied but nothing so far &lt;&lt;&lt; So they are not gone ? Spreadsheet said Cleveland Clinic but did not specific if Florida</t>
  </si>
  <si>
    <t>i believe the one in the sheet is the OH one. As someone who got an interview there.</t>
  </si>
  <si>
    <t>I applied categorical to CC Florida and I got an invite for prelim.  &lt;&lt; when?</t>
  </si>
  <si>
    <t>Match Week Countdown</t>
  </si>
  <si>
    <t xml:space="preserve">can someone update stamford ii opening please </t>
  </si>
  <si>
    <t>done &lt;&lt; thank you!!!</t>
  </si>
  <si>
    <t>HRK</t>
  </si>
  <si>
    <t>Is anyone at all happy with interviews? I know there's reporting bias but is it that bad for everyone?</t>
  </si>
  <si>
    <t>i wanted 2 more tbh &lt;&lt; semi-happy, but would prob feel better with 5 more &lt;&lt; have a target number in mind and nearly half way there.&lt;&lt;No I got 12 but most are out of state and 12 of TX programs I signaled I didn't get. I want to stay instate to help my single mom with my siblings. Not sure if I should do prelim as alternate, this is heartbreaking , smiling at interviews for programs out of state but sad inside to leave family and rank</t>
  </si>
  <si>
    <t>What is the target number yall are looking for? &lt;- My school recommends 12 &lt; My mentor said to keep 14-15 same as last year for safe side</t>
  </si>
  <si>
    <t>cheesy</t>
  </si>
  <si>
    <t>PGY-4 on research here. holy shit your guys' step scores are so much higher than they used to be, wtf happened &gt;&gt; OMG PGY1 here and yes &lt;&lt; its also biased for those who choose to post it on reddit... the annual stats haven't shown any differences</t>
  </si>
  <si>
    <t>Match Day Countdown</t>
  </si>
  <si>
    <t>ya so many ppl with scores above 260 its wild</t>
  </si>
  <si>
    <t>p, 260s, top EU graduated with post doc in the US and academic cv, it has become so brutally competetive, I know at least 7 US grads with science and nature papers. I got rejected by all my signals, from duke wash U to regular community programs, it is over &gt;&gt; rejected?? or haven't heard back?</t>
  </si>
  <si>
    <t>&lt; getting a nature/science paper is like a shoe-in for the most competitive fellowships (peds, surg onc) so idk how this is even possible. I imagine some of it is trickle down from surgical subs too, ppl applying gen surg as backup</t>
  </si>
  <si>
    <t>&lt; the issue is that it is over for me people like me, I am at 0 categorical ivs as non us img. even low tier programs did not invite me despite solid application and strong programs obviously no chance with such competetive US MDs. It is over &lt;&lt; hang in there it's not over yet, trust in the process and of all the work you've put in&lt;&lt; agreed. hang in there. did you apply to any new programs?&lt;&lt; agree, ones with 20+ interviews can't take that many interviews, they will free up. I saw yeserday two HCA opened slots and send II. &lt;&lt; As Non US IMG accepted that it is over for me , it is okay. I accepted my fate. I did my all, literally, by</t>
  </si>
  <si>
    <t>TX, FL, LA, NJ, OK, CA, NC</t>
  </si>
  <si>
    <t xml:space="preserve">Anyone hear from NYU Long Island </t>
  </si>
  <si>
    <t>SOS</t>
  </si>
  <si>
    <t>nope +1</t>
  </si>
  <si>
    <t>they came later last year</t>
  </si>
  <si>
    <t>RULES</t>
  </si>
  <si>
    <t>Week 1 is done, see y'all on Monday.</t>
  </si>
  <si>
    <t>Hooper</t>
  </si>
  <si>
    <t>&lt;is it safe to assume no movement on the weekend?</t>
  </si>
  <si>
    <t>Useful Links</t>
  </si>
  <si>
    <t xml:space="preserve">looks like very minimal movement on weekends from last year's spreadsheet </t>
  </si>
  <si>
    <t>Prior Year Spreadsheets</t>
  </si>
  <si>
    <t>FL, LA, TX, MA, SC, DC, GA, PA</t>
  </si>
  <si>
    <t>Has anyone who applied to UConn heard back, their website said interviews would be sent today?</t>
  </si>
  <si>
    <t>nope not yet</t>
  </si>
  <si>
    <t>Butcher</t>
  </si>
  <si>
    <t>they just sent them &lt;- yeah at 9pm on a Friday.... had to jump out of the shower to schedule on Thalamus lmaoooo</t>
  </si>
  <si>
    <t>1. Don't edit other people's cells.</t>
  </si>
  <si>
    <t xml:space="preserve">Has anyone heard back from the UCLA or USC coordinators about interview date confirmation? thanks!! </t>
  </si>
  <si>
    <t>SM</t>
  </si>
  <si>
    <t>No for UCLA
No for USC</t>
  </si>
  <si>
    <t>2025 Discord</t>
  </si>
  <si>
    <t>fyi heard from usc today, still nothing from ucla for me</t>
  </si>
  <si>
    <t>Non-US IMG here step 2ck 26x, 7 publications, 2 USCE, YOG 2023, postdoc in basic science…. none of my signals sent me Interviews. is there still a chance for me? only got 2 categorical from non-signals</t>
  </si>
  <si>
    <t xml:space="preserve">Bro congratulations on getting categorical. Non US IMG here. Step2 26x, 19 pubs, 2024 YOG. 2 prelim only. &lt;&lt; non US IMG 26x 1 prelim, 3 cat (community), 2 contacts 2 randoms, reach out to mentors </t>
  </si>
  <si>
    <t>AC</t>
  </si>
  <si>
    <t>congrats! if you dont mind what programs</t>
  </si>
  <si>
    <t>Thank you to whoever updated the interview openings.  &lt; it's so aesthetically satisfying now</t>
  </si>
  <si>
    <t>wish it was more active on there tho</t>
  </si>
  <si>
    <t>VioletCobalt</t>
  </si>
  <si>
    <t>2023-2024 Sheet</t>
  </si>
  <si>
    <t>What's happening with UWashington? I saw a bunch got rejections and their website says the notify all at the same time, but I have neither rejection nor interview invite??</t>
  </si>
  <si>
    <t>&lt; did you check ERAS &lt;waitlisted!</t>
  </si>
  <si>
    <t>&lt; interview invite sent at 1655 CST 10/25 via ERAS!</t>
  </si>
  <si>
    <t>Swedish/First Hill</t>
  </si>
  <si>
    <t>Ughhh</t>
  </si>
  <si>
    <t>Middle Atlantic</t>
  </si>
  <si>
    <t>so CC sent waitlists but not rejectioms? &lt; guess so - i applied and didnt get any correspondance</t>
  </si>
  <si>
    <t>Creesy</t>
  </si>
  <si>
    <t>Texas</t>
  </si>
  <si>
    <t>at least I know my app actually made it to programs now that I got my first and only rejection DX &lt; okay this made me lol, honestly respect to programs that dont keep us holding on&lt;&lt; rejection is protection, sounds cheesy but comforts me</t>
  </si>
  <si>
    <t>2. Be honest: don't add info that is untrue. If you troll, your comments will be deleted :)</t>
  </si>
  <si>
    <t>do schools really send ii in waves or not getting one means I'm essentially rejected/waitlist unless something opens up +1</t>
  </si>
  <si>
    <t>Kay</t>
  </si>
  <si>
    <t xml:space="preserve">&lt;- Every place is different. My home program does three waves of invites. However some programs are clearly sending one and then sending rejections. </t>
  </si>
  <si>
    <t>what programs that have not released do we know have release date of x</t>
  </si>
  <si>
    <t>TX, TN, KY, FL, LA, MN</t>
  </si>
  <si>
    <t xml:space="preserve">minisota 28 wisconsin 31 &lt; U of wisconsin or medical college wisconsin? &lt; u wisconsin i think the other one relased already i remember seeing it on the sheet </t>
  </si>
  <si>
    <t xml:space="preserve">U of Wisconsin hasn't released &lt;&lt; ik it says 31 on their webiste </t>
  </si>
  <si>
    <t>MCC</t>
  </si>
  <si>
    <t>2025 ERAS Residency Timeline</t>
  </si>
  <si>
    <t>how long are programs giving to respond to ii</t>
  </si>
  <si>
    <t>one of mine gave till 11/04</t>
  </si>
  <si>
    <t>PC here: it's been strongly encouraged (required?) that we give at least 48 hours! &lt; do you usally send more ii if they sports are not filled after 48 hrs? &lt;&lt; yes, but we utilize a WL</t>
  </si>
  <si>
    <t>Morehouse, Howard</t>
  </si>
  <si>
    <t>Tears</t>
  </si>
  <si>
    <t xml:space="preserve">I was advised not to waste signals on all of TX programs , they will interview any way since most are my target ones and use signal wisely. I used signals on only 6 of TX ones. only two honored the signal system. TX programs just took signal rule and messed state students!!      &lt;  i was told the same with my hometown area community programs but alas also didnt get invites. would igo back and change it idk but i mean programs get that luxury to choose what they want &lt;&lt; yep! </t>
  </si>
  <si>
    <t>I used 7/15 in TX programs and still waiting...  +1 same</t>
  </si>
  <si>
    <t xml:space="preserve">is uthouston going to do multiple waves :(  &lt; Did they already send invites?  &lt; yes my friend got one &lt; uhhh this just start looking really bad for me &lt; finally got one. &lt; Congrats!! :) </t>
  </si>
  <si>
    <t>wait really ? i didnt know this was a known thing about texas   &lt;  i wasnt told its a signal honor system or any promises but that its a trend that texas people tend to stay in texas and that they will more likely know you are interested and favor you ( i was the one who replied in the orginal comment)</t>
  </si>
  <si>
    <t>so disheartening. &lt; the whole week has felt like this</t>
  </si>
  <si>
    <t>stlbou</t>
  </si>
  <si>
    <t xml:space="preserve">What about UT San Antonio?? &lt; +1 hoping they send, got their supplemental a while back +1 &lt; was "told" that they're sending them out on Monday </t>
  </si>
  <si>
    <t>2022-2023 Sheet</t>
  </si>
  <si>
    <t>how many are cat?</t>
  </si>
  <si>
    <t>3 cat</t>
  </si>
  <si>
    <t>Did we ever figure out if UChicago sent out invites? (it was added and then deleted) &lt; it was thought that it was not real &lt; based on what though? &lt; no one ever filled it out as they got an invite &lt; ya but maybe they just forgot to &lt; okay then take it as they were sent out. take it however you want &lt; I am not "taking it" either way, but using this as oppoirtunity for others to comment if they know definitevely</t>
  </si>
  <si>
    <t>boviesmoke</t>
  </si>
  <si>
    <t>3. Be kind: this is a stressful process for everyone – let's make it through together!</t>
  </si>
  <si>
    <t>Why is it so sloooooooooow please +4  &lt; end my fear and anxiety one way or another plz &lt;&lt; should've applied to more programs is what I'm wondering now. +2</t>
  </si>
  <si>
    <t>2025 NRMP Match Calendar</t>
  </si>
  <si>
    <t>quesoooo88</t>
  </si>
  <si>
    <t>Southest</t>
  </si>
  <si>
    <t>anyone know how to schedule valley health IV?</t>
  </si>
  <si>
    <t>No idea, are we supposed to reply to the message in ERAS? I emailed the coordinator, will let y'all know &lt;&lt; They just sent a second email via Thalamus.</t>
  </si>
  <si>
    <t>is this program malignant? just wondering why i applied there and not knowing if i should schedule this IV&lt; Ive heard it's not great</t>
  </si>
  <si>
    <t>MMM</t>
  </si>
  <si>
    <t>2021-2022 Sheet</t>
  </si>
  <si>
    <t>Advent tampa how long did they give u to respond</t>
  </si>
  <si>
    <t>could someone update advent tampa on ii opening &lt;i got invites from them already, no opening currently</t>
  </si>
  <si>
    <t>How many interviews should we be getting to feel comfortable with matching? I only applied to categorical programs. (US MD)</t>
  </si>
  <si>
    <t xml:space="preserve">NRMP charting outcomes from last year had mean number of ranks of those who matched as 14. Hard to tell how this will change with signals though. </t>
  </si>
  <si>
    <t xml:space="preserve">&lt; This seems unrealistic this year because it would mean you need a really high yield on your signals and most likely some invites from places you didn't signal. Past years data shows that signals typically only increase your interview yield to 40-60%. So 14 interviews seems like a bit of a stretch this year.        &lt;     agreed because its kind of a double-whammy to us applicants.   less likely to get non-signaled  AND  your signals are hella diluted since the more common programs will likely be getting 3x the amount of signals if not more. </t>
  </si>
  <si>
    <t>ClubRat</t>
  </si>
  <si>
    <t>how does more signals mean less ii i dont get it &lt; see response in box &lt; look at it this way. If you don't signal a program, that program is gonna view it as they're currently number 16 or lower on your rank list. Why are they going to risk an interview spot on you if they can interview someone with similar stats who will ikely rank them 1-15 and will be more likely to match with them. While this helps a program suss out who's interested it's difficult for applicants because signals only increase their interview yield to 40-60% of the programs they signaled depending on their characteristics and that is only ~7 interviews.</t>
  </si>
  <si>
    <t xml:space="preserve">As of now, I am aiming for 10. Once that's been achieved I'll move the goal post.  &lt;&lt; do you think once we hit around 10 ii we can start declining interviews from safeties? &lt;&lt; I can't say, this is my first time applying. &lt;&lt; I would also say to go to as many as possible. Because everything is changing this year with virtual/in-person  and signals theres not a good way to make an evidence based decision &lt;&lt; sure but whats the max i think more than 15 isnt even possible realisticlly       &lt;&lt;    amount of interviews also just really depends on the person applying and what programs.   15 HCA and local community programs probably possible. &gt;15 larger academic programs? probably extremely unlikely.   REMEMBER THIS when you are comparing yourself on applicant info!! you have such a narrow amount of info. its almost impossible to make a fair comparison. Are their 18 interviews because they want to stay in their hometown and they signaled all the smaller community programs and they geo-ed? of course those programs take them more seriously. so don't go blind comparing yourself when you have such little info. it will only tear you up inside. </t>
  </si>
  <si>
    <t>PASS</t>
  </si>
  <si>
    <t>4. Don't change the order of the sheets for the love of god. Let's keep the clutter to a minimum.</t>
  </si>
  <si>
    <t>but i feel like ur goal should be  when u started dropping any more ii &lt;&lt; honestly if I end up with 10 or 11 interviews I don't see myself dropping any. Now if I got close to 20 perhaps but what is the likelihood of that ya know? &lt;&lt; yeah probably wont happen this year with how its going people are probbaly gonna drop only if there is a conflict and they have to chose one or if they skip an in perosn program</t>
  </si>
  <si>
    <t>Personally, I think I will start dropping definitely after 15, maybe even around 12-13. I think I will get burnt out from interviews and think I will be a pretty good interviewer, so would rather stay close to the 12-13 range and I think that's pretty safe (per the statistics, would put chances of matching at about 80% - but I think I'd be a bit higher than that) &lt;&lt; agreed. let's hope for the best</t>
  </si>
  <si>
    <t>My classmates and I were talking about dropping once we can't accomodate or have overlaps so probably 16-18 programs or so. Some of them have safeties they're not interested in and will drop them soon. Considering we're all but one out of rotations and have the time to grab which interviews we want as they come and so ya get a reference, rn I have 13 all academic places and haven't had scheduling conflicts and my December is pretty significantly open waiting for a few more programs to release their II but after that I'll probably start dropping some
&lt; feel free to start dropping some for the rest of us   &lt;3</t>
  </si>
  <si>
    <t>Sitting on 5 on day 3 trying to keep hope alive. &lt;&lt; it only takes 1! &lt; I'm at same amount and my attending mentor congratulated me saying that's a great start! So I really don't think we are in a bad spot, more will come &lt;&lt; thank you. hopefully more will come next week, but the fear still stands.</t>
  </si>
  <si>
    <t>Sam</t>
  </si>
  <si>
    <t>2020-2021 Sheet</t>
  </si>
  <si>
    <t>southeast</t>
  </si>
  <si>
    <t>Anyone else get an invite from Toledo, but the ONLY date on thalamus is full? Their site lists multiple interview dates so this is clearly not right. The invite email says to contact the coordinator with questions but there's no way to find their contact info? Whats the plan, fam, just wait and watch? &lt;.   On thalamus, click the "…" on the far right next to the program name -&gt; Click "view program" -&gt; find contact info -&gt; use info</t>
  </si>
  <si>
    <t>Thanks!!  &lt;  welcome! good luck!</t>
  </si>
  <si>
    <t>NY, PA, TN, DE, VA, NC, WV</t>
  </si>
  <si>
    <t>Clo</t>
  </si>
  <si>
    <t xml:space="preserve">Still sitting at 1 invite. Do I panic now? </t>
  </si>
  <si>
    <t xml:space="preserve">im sitting at zero youre still in a much better spot &lt;&lt; I have 3, I went ahead and emailed all my signals with intent and strategy I applied, doesn't hurt asking &lt; I already sent Interest Letters to most of my target programs, still nothing am i cooked?&lt;&lt; did you just send the LOI to the program directors? </t>
  </si>
  <si>
    <t>5. Please don't randomly delete the instructions/headers for sheets.</t>
  </si>
  <si>
    <t>could u let us know if it works+1</t>
  </si>
  <si>
    <t>Supplemental Sheet (Extra Tabs)</t>
  </si>
  <si>
    <t>KY, KS, MD, CA, TN, LA, TX, WA, CO, MO</t>
  </si>
  <si>
    <t>davo</t>
  </si>
  <si>
    <t>Which programs have already sent out preliminary ii apart from Mayo?</t>
  </si>
  <si>
    <t>Arizona Tuscon</t>
  </si>
  <si>
    <t>2019-2020 Sheet</t>
  </si>
  <si>
    <t>Is anyone else still sitting between 1-3 invites? I'm beyond terrified at this point :( +1&lt;&lt; its only day 3 of 7. There is still time.&lt;&lt; true, thank you! I'll try to stay calm and not overthink.</t>
  </si>
  <si>
    <t>Had I known the "target" programs weren't gonna send invites I wouldve signaled more "reach" programs. &lt; what are the "target" programs?? &lt;&lt; whichever programs I was told I had a chance at an interview based on scores/grades</t>
  </si>
  <si>
    <t>1/15 signals responded LOL &lt;&lt; yes for me it's always an extra blow seeing that one of my signals passed me by.&lt;&lt; personally think i signaled too high and it has caused me to be in a bad position lol  +2</t>
  </si>
  <si>
    <t>&lt;&lt; same!!! I wish I could go back to redo my signals smh &lt;&lt; 100% and I look and go why did I choose x or y?? And then there was the extra surprise of WAIT I DIDNT EVEN APPLY TO THAT PROGRAM? how the hell did that happen</t>
  </si>
  <si>
    <t>I feel the same way. I'm getting so discouraged after putting in so much work and feeling semi hopeful about my app… now seeing places I signaled offer interviews and not getting one :( Praying for all of us to receive some good news in the coming week &lt;3 +1</t>
  </si>
  <si>
    <t>lily</t>
  </si>
  <si>
    <t>6. Don't add or delete any sheets.</t>
  </si>
  <si>
    <t>this feels bad +17</t>
  </si>
  <si>
    <t>IL, WI, MI, FL, WA</t>
  </si>
  <si>
    <t>lol-ing at the fact that the mod titled the waitlist "waitlist hell"</t>
  </si>
  <si>
    <t>Shanlan</t>
  </si>
  <si>
    <t>2018-2019 Sheet</t>
  </si>
  <si>
    <t>Did hackensack (seton hall) actually release IVs?</t>
  </si>
  <si>
    <t>StruggleBusBetty</t>
  </si>
  <si>
    <t>&lt; yes</t>
  </si>
  <si>
    <t>Midwest (ENC)</t>
  </si>
  <si>
    <t>NJ, MD, VA, DC, FL, NY, CO</t>
  </si>
  <si>
    <t>MM</t>
  </si>
  <si>
    <t>anyone know if OHSU interviewed people who did not get secondary last year? secondary seems selective and wondering if thats the cap +4</t>
  </si>
  <si>
    <t>PA, OH, VA, NC</t>
  </si>
  <si>
    <t>jaeger</t>
  </si>
  <si>
    <t>When is the big interview drop day y'all are talking about? I am sitting at 4 and freaking out</t>
  </si>
  <si>
    <t>MOD ANNOUNCEMENTS [2/9/2024]</t>
  </si>
  <si>
    <t>&lt; it was yesterday... but there might be a big one either tmrw (friday) or monday&lt; oh I thought that meant people who are hoarding would cancel my bad lol &lt;&lt; this will happen around late November/early december, I got an interview at a "big name" program the day before Thanksgiving that was for sure a cancelation interview, it really does happen (Anonintern)</t>
  </si>
  <si>
    <t>- be kind
- if you have a concern about specific content, please include timestamp/exact location
- I will be deleting rank list feedback 2/14 if no one starts using it by then. It was a pilot new sheet!</t>
  </si>
  <si>
    <t>For Mt. Sinai in NYC, anyone else cant find the "interview agreement" form (supposedly attached in the email) that we need to sign and email back?</t>
  </si>
  <si>
    <t>santula</t>
  </si>
  <si>
    <t>if you scroll to the bottom on the message on ERAS there are the attachments there!</t>
  </si>
  <si>
    <t>omg thanks so much!! Saved the program from thinking (about me) "this kid cant find the attachment we wont rank them" bahahaha   &lt;&lt; LMAO this happened to me with LSU, the email information said blah blah blah in person interview. it will start at 8 am blah blah cant wait to meet you let us know if you have any questions and then signed off. I kid you not i stood looking at that email for 10 minutes thinking okay 8 am but what day???? turns out the fine print at the bottom that looked like one of those automated computer words like confidentialty notices or warning this is from out of network was the link to sign up but because you had to scroll past the closing remarks of the message and the signature i just classified it in my mind as automated computer gibberish LOL</t>
  </si>
  <si>
    <t>Anyone else filled out the interview preference survery for UCLA and has heard back with a date confirmation?</t>
  </si>
  <si>
    <t>&lt; I filled it out and havent heard anything +2</t>
  </si>
  <si>
    <t>NY, NJ, PA, MI</t>
  </si>
  <si>
    <t>Hey guys, I am a current categorical GS intern at an academic program. Happy to answer questions (I will lurk), but FYI, I got less than 25% of the total interviews I received in the cycle on day 1 when I ended up with MORE than enough to feel safe about matching. Keep your chins up.  &lt;&lt;     &lt;3   &lt;&lt;&lt; ty!! &lt;&lt; thanks, a lot of us needed to read this!!! &lt;&lt; you got it (I will call myself "anonintern" when I lurk in the future)</t>
  </si>
  <si>
    <t>gatorgirl</t>
  </si>
  <si>
    <t xml:space="preserve">Did you send any LOI after the first few days? appreciate you.  +2 &lt;&lt; I did not send any LOIs at this point in the cycle, I only sent to my number 1 in late January. I sent thank you notes to every interviewer at each interview though </t>
  </si>
  <si>
    <t>How many did you get on the first wave, and how many did you end up with total? &lt; also, how many did you apply for? &lt;&lt; Great questions: applied to 80 (we only had 5 signals tho), got 5-6 between day 1 and 2, 21 in the end (did not keep them all dont worry LOL) THAT SAID, i think the signal change will change the game so dont compare to me at all, just to say that they do trickle in</t>
  </si>
  <si>
    <t>Suggestion/Question</t>
  </si>
  <si>
    <t xml:space="preserve">are you a US MD or non-us IMG and do you mind sharing your stats &lt;&lt; US MD, matched at a signal, didn't do an away there, 25x step 2, second quartile of class </t>
  </si>
  <si>
    <t xml:space="preserve">&lt; Every interviewer?!?! Some of these interviews are like 7-10 a piece! It's truly the expectation that we thank every single one?  What if we talk about nothing remotely interesting and have nothing interesting to thank them for because these things are 15 minutes long and full of surface-level "tElL mE aBouT aDveRsiTY" questions &lt;&lt;&lt; yea it was rough, I still sent a generic thank you to them </t>
  </si>
  <si>
    <t>who got that lovely rejection mail from jefferson einstein? non us img here</t>
  </si>
  <si>
    <t>Yes (US DO), +1 (US MD)</t>
  </si>
  <si>
    <t>RedPanda</t>
  </si>
  <si>
    <r>
      <rPr>
        <rFont val="Varela Round"/>
        <sz val="12.0"/>
      </rPr>
      <t xml:space="preserve">Mod Response </t>
    </r>
    <r>
      <rPr>
        <rFont val="Varela Round"/>
        <sz val="6.0"/>
      </rPr>
      <t>(if you made the suggestion/question, turn your cells green once you've seen the response so I can declutter-otherwise I'll remove it after a week)</t>
    </r>
  </si>
  <si>
    <t>I did not get it (US MD), does this mean I might be on their waitlist?  +1</t>
  </si>
  <si>
    <t>thought today is gonna be way more active why is it so SLOW +1</t>
  </si>
  <si>
    <r>
      <rPr/>
      <t xml:space="preserve">Is there a 2025/ 2026 sheet? &gt;&gt; </t>
    </r>
    <r>
      <rPr>
        <b/>
      </rPr>
      <t>most specialties have switched to using resmatch website instead</t>
    </r>
  </si>
  <si>
    <t>soooo slowww</t>
  </si>
  <si>
    <t>CA, MD, RI</t>
  </si>
  <si>
    <t>Its dry today &lt; so this time tomorrow for the next 8 days? lmao -_-</t>
  </si>
  <si>
    <t>it's probably slow today because ppl are given 48 hours to respond, maybe it will pick up again tmrw</t>
  </si>
  <si>
    <t>mtlftw</t>
  </si>
  <si>
    <t>presumably some programs haven't started offers yet? &lt;&lt;yeah im waiting for most of my signals that didnt start yet &lt;&lt; yeah that I dont think have even released yet are Washington, WASHU, colorado, Utah, Chicago, NW, case western, duke, UCSF, NYMC, BI, UNC, Vandy, Penn?, Brigham, arizona-pheonix, USC,  UThouston, UTMB, UTSA, OHSU, Tufts, Kaiser LA, NYU, Miami, IU</t>
  </si>
  <si>
    <t>&lt; I am wondering if maybe Monday will be active. Since the 48 hours will be up tomorrow, then programs have the weekend to decide who to send to  &lt; my guess is at end of 48 or whatever their number is, they will send because otherwise you get into the trouble of what if that person schedules over the weekend &lt; id love a little moral boost going into the weekend after these two harowing days lol +2</t>
  </si>
  <si>
    <r>
      <rPr>
        <rFont val="Varela Round"/>
        <sz val="10.0"/>
      </rPr>
      <t>Mods - Someone just added +5 to #1 Rank Spots for multiple programs at once
(</t>
    </r>
    <r>
      <rPr>
        <rFont val="Varela Round"/>
        <i/>
        <sz val="10.0"/>
      </rPr>
      <t>separate Q but I can't edit the below boxes)   - Are we going to do a post-match stats page? I found it useful looking at last year's, but just want to know so I can come back and add comments to mine if you're going it</t>
    </r>
  </si>
  <si>
    <t>Is there such a thing as emailing a letter of interest to a program that didn't interview you? Or is that kind of useless since you know they're not interested for one reason or another</t>
  </si>
  <si>
    <t xml:space="preserve">If it's your absolute top program you can always ask the surgeons that you've worked with if they know anyone at that program and could put in a good word for you. </t>
  </si>
  <si>
    <t>PA, NY, VT</t>
  </si>
  <si>
    <t>^ lmao yes keep adding to my list so everyone can know they aren't alone still looking for these and didnt miss them</t>
  </si>
  <si>
    <t>bobaholic</t>
  </si>
  <si>
    <t xml:space="preserve">Mod? Thoughts? 
</t>
  </si>
  <si>
    <t>me checking my email inbox, spam, ERAS message center, thalamus, this spreadsheet, discord server every 2 hours lord have mercy its the 3 cups of coffee probs &lt; every two hours? you mean you arent just sitting here staring that the screen the entire day? im pretty sure my couch now has a permanent butt indentation from me doing exactly this &lt;&lt; that wouldve been me if it wasnt for my elective rotation and my crippling anxiety that multiplies x100 if i look too often</t>
  </si>
  <si>
    <t>&lt; my spam folder "Hooray, no spam here!" Me crying at no spam bc my top program just sent out IIs and I didn't get one (plot twist it just got deleted from the II page, time to refresh that page praying it was a mistake) &lt; this made me lol</t>
  </si>
  <si>
    <t>no im like actually id love to have emails in my spam that are invites... just gonna go make spam musubi for lunch</t>
  </si>
  <si>
    <t>CA, NY, MD, NC, MA, IL</t>
  </si>
  <si>
    <t>see the supplemental sheet!</t>
  </si>
  <si>
    <t>RoccoCoco</t>
  </si>
  <si>
    <t>Can we do a voting for the programs? like most desirable and least desirable program? &gt;&gt; isnt' the rank spots sheet doing the same thing?</t>
  </si>
  <si>
    <t>How are yall taking the "interview openings" tab? Like if a school still has 8 openings, do we think this means 8 people just haven't responded yet, or that there is another wave of interviews to be sent out? &lt; could be both, 8 is a low number for invites I would think but like kentucky has 20 which seems suspicious for that many to have just not replied but also there is a deadline to respond</t>
  </si>
  <si>
    <t>lets not... how would you feel if you matched at a program that was "least desirable", everyone has different goals/ reasons for desiring a program &lt;&lt; mod agrees lol</t>
  </si>
  <si>
    <t>can we remove the prelim calander/programs and iv qs</t>
  </si>
  <si>
    <t>favinstr</t>
  </si>
  <si>
    <t>If I have the option for virtual and in person is in person generally better?)</t>
  </si>
  <si>
    <t>yes. in person if you can afford it. &lt; seconded. It is helpful for you to get a better feel for the program and may also show more interest and result in you being ranked higher. Programs say they weight virtual/in person the same, but there is likely some bias, even if unintentional.</t>
  </si>
  <si>
    <t>East South Central</t>
  </si>
  <si>
    <t>it's tiiiiiiiime (yes i did it)</t>
  </si>
  <si>
    <t>AL, DC, IL, KY, MI, MS, MO, NV, OH, SC, TN, TX, WV</t>
  </si>
  <si>
    <t xml:space="preserve">baylor PD posted on twitter saying they released invites and implied logistics prevents them from talking to all applicants. </t>
  </si>
  <si>
    <t>from houston, sent a signal, no IV, sad &lt; same &lt; happened to me with Dallas so i feel your disappointment +1</t>
  </si>
  <si>
    <t>mrsmexicanpikachu</t>
  </si>
  <si>
    <t>cries.</t>
  </si>
  <si>
    <t>Middle atlantic</t>
  </si>
  <si>
    <t>everytime i hear that email tone on my phone and its some dumb IT or EPIC or newsletter email +3</t>
  </si>
  <si>
    <t>Just got an interview from a program I did not signal and had released interviews yesterday. I share this to say; more is coming :). &lt; Oh so exciting!!  &lt; may we also be blessed by the email gods in this way lmao &lt; can confirm, some programs who released yesterday are releasing today</t>
  </si>
  <si>
    <t>DE,DC, MD, NC, FL, NY, PA</t>
  </si>
  <si>
    <t>Amazing congrats to you and thank you for sharing</t>
  </si>
  <si>
    <t>yo1234</t>
  </si>
  <si>
    <t>feeling like they told all of us it was holistic review- and then just sent invites based on step 2. &lt; honestly I was really happy with my step2 score and only have 3 interviews. I feel like this cycle is so much different because of the 15 signals :( hang in there!</t>
  </si>
  <si>
    <t>lol my step 2 is a 26x and i got 2 interviews only by mid-tier programs - non-us img</t>
  </si>
  <si>
    <t>Non US IMG, step2 26x; only 2 Invites prelim</t>
  </si>
  <si>
    <t>OH,PA,NC,WV</t>
  </si>
  <si>
    <t>ChampCheese</t>
  </si>
  <si>
    <t xml:space="preserve">Good luck today everyone, remember that you are more than how many interviews you get and that everything will work out in the end. I'm proud of how far you've come and reflect on how hard it was to get here- you'll make it through! </t>
  </si>
  <si>
    <t>&lt;    &lt;3 &lt; i get the positivity but lets be realistic here.</t>
  </si>
  <si>
    <t>schefflershuffle</t>
  </si>
  <si>
    <t>Did Iowa send invitations?</t>
  </si>
  <si>
    <t>AMooose</t>
  </si>
  <si>
    <t>Emory invite sent in Thalamus but scheduling in email - has anyone heard confirmation? is this correct?</t>
  </si>
  <si>
    <t>correct, I have not received confirmation &lt;&lt; just got confirmation 10/24 ~ 4 pm est</t>
  </si>
  <si>
    <t>10/28 Non US IMG is that invites for prelim? I got last year, have been in constant touch with PD, Havent got any invites yet..</t>
  </si>
  <si>
    <t xml:space="preserve">Also haven't heard confirmation </t>
  </si>
  <si>
    <t>Is BMC just a half day interview?</t>
  </si>
  <si>
    <t xml:space="preserve">Yes I think so </t>
  </si>
  <si>
    <t>Clownfish</t>
  </si>
  <si>
    <t xml:space="preserve">I saw morehouse already sent out II, is there hope for second round , are there still IV slots available? </t>
  </si>
  <si>
    <t>Rilums</t>
  </si>
  <si>
    <t xml:space="preserve">Why are programs sending out interview invites at 11 pm lol </t>
  </si>
  <si>
    <t>Lol they really are sending them 4am to 11pm time span</t>
  </si>
  <si>
    <t>Non-US IMG, how many II so far? Im crying</t>
  </si>
  <si>
    <t xml:space="preserve">Do not lose hope! The game is not over (yet)! </t>
  </si>
  <si>
    <t>Nothing at all. 0 Ivs. Suspecting something wrong wiht my app. Not even prelim/ have 10 months usce at 2 hospitals.</t>
  </si>
  <si>
    <t>most prelims come out later, no?</t>
  </si>
  <si>
    <t>Got 1 rejection today from Jefferson Health.</t>
  </si>
  <si>
    <t>UIC Chicago - anyone able to see the interview dates on Thalamus (not just socials)?</t>
  </si>
  <si>
    <t>I was only able to book social as well, can't see any saturday dates +1</t>
  </si>
  <si>
    <t>it has been fixed as of 6:30 EST</t>
  </si>
  <si>
    <t>By 8:30 the only open dates were next week or Feb...</t>
  </si>
  <si>
    <t>PA, NJ, OH, DE, NC</t>
  </si>
  <si>
    <t>TCB</t>
  </si>
  <si>
    <t>non US IMG. I applied to both prelim and cat for every program. got an II today from morehouse but not sure if its for categorecal or prelim. do they usually specify?</t>
  </si>
  <si>
    <t xml:space="preserve">Should say in the email usally </t>
  </si>
  <si>
    <t>Congrats on your Iv at morehhouse, i applied to morehouse as well, unfortunately no invite from them , are there more iv slots or its all been taken?</t>
  </si>
  <si>
    <t>non us img, with strong cv, but 0 categorical, only couple of prelims, I guess no chance at cat?</t>
  </si>
  <si>
    <t>What places sent out prelim already? And good luck! &lt; Mayo Roch it looks like</t>
  </si>
  <si>
    <t xml:space="preserve">Anyone have an inside scoop when UCSF might release? if they havent already </t>
  </si>
  <si>
    <t>Brainiacmw</t>
  </si>
  <si>
    <t>Last year it was the monday after the begning of the offer period i.e. 3 days later. It looks like programs are following a similar pattern, so I would expect it around 10/28.</t>
  </si>
  <si>
    <t>i don't think so, last year the offer period fell on a Friday so the rest of the programs sent ii's out on monday. today is a wednesday so maybe the rest would follow starting tomorrow?</t>
  </si>
  <si>
    <t>USIMG</t>
  </si>
  <si>
    <t>I saw on their website they said they'd start releasing interviews on the 27th, so Sunday?</t>
  </si>
  <si>
    <t>Where did you see that?</t>
  </si>
  <si>
    <t>how many "safeties" offered you an invite if you didn't signal? I only got 1 outside my signal list</t>
  </si>
  <si>
    <t xml:space="preserve">&lt;- I got 4 outside of my signal list  &lt; currently have more outside my signals than my signals </t>
  </si>
  <si>
    <t>FL, SC, MI, AZ, MN, NY</t>
  </si>
  <si>
    <t xml:space="preserve">Es </t>
  </si>
  <si>
    <t>First round of interviews vs only round?</t>
  </si>
  <si>
    <t>for most programs only round &lt; places with open slots is first round then or?&lt; how do you know this? &lt; I don't, I am guessing.</t>
  </si>
  <si>
    <t>Same time tomorrow? &lt; you mean same time tomorrow for like the next week lmao</t>
  </si>
  <si>
    <t>is this really the only round for 100+ programs lol? &lt; I refuse to believe it + from last year's spreadsheet it looks like multiple interviews were sent on various days for some of those programs that have released today.  &lt; this is my kind of copium +1</t>
  </si>
  <si>
    <t>How many interviews are y'all sitting at? I'm at 3 &lt; +3 &lt; I only have 2 and a bunch of the programs I signaled didn't offer</t>
  </si>
  <si>
    <t>I'm at 5 &lt; I'm at 0 and at this point I do not know how to feel or think +1</t>
  </si>
  <si>
    <t>10 but I think I over-applied to "safeties" and I'm not super interested in a lot of my ii's &lt; i'm at 7, but similar situation +1 &lt; im at 13 and in a similar position also</t>
  </si>
  <si>
    <t>IntelligentAdagio</t>
  </si>
  <si>
    <t xml:space="preserve">Non US IMG p, 265s, post dco reserach strong application and at 0, was crying all day what failure  I am +1, regarding the crying, not that superb board score (I wish) +1 &lt;&lt; you are not a failure, you are an amazing candidate that a program will notice, chin up and hang in there, we're here for you </t>
  </si>
  <si>
    <t>I have 9, but I got only 5 of my signals rest are community programs that I have to research ifurther to take interview or not. 6 of my 19 are inperson, need to find how much it will cost and if I can borrow. All my signals were in TX and most bypassed me.  Confidence to match is very very low. '\ &lt; 9 as well with 1 being home, 1 being away and 3 signals, 5 signals passed me :/ happy to have interviews of course but its a weird guilty sad that a lot ofthe programs i was really interested in passed me over</t>
  </si>
  <si>
    <t>For programs that sent out II already, when do you think the time is to send letters of continued interest</t>
  </si>
  <si>
    <t>I think next week, that's when I'm going to send them out  &lt; like to programs who didnt send you one?</t>
  </si>
  <si>
    <t>0/15</t>
  </si>
  <si>
    <t>yeah wait to programs that you didn't get an interview for? won't they have already sent out all their interviews?</t>
  </si>
  <si>
    <t>prelim2cat</t>
  </si>
  <si>
    <t xml:space="preserve">Do u guys think we're done for today im sick of checking every 5 mins </t>
  </si>
  <si>
    <t xml:space="preserve">considering I got an email at 4AM this morning I am expecting anything at all times of the day lol &lt; lol!! &lt; some of the releases started at like 6 am EST! </t>
  </si>
  <si>
    <t>&lt;- agree, I got an interview at 7:45 PM CST. Seems like programs will send whenever they get around to it</t>
  </si>
  <si>
    <t>mangosteen</t>
  </si>
  <si>
    <t>What advice have yall gotten from your advisors about how many interviews we should aim for to feel "safe" in terms of matching? I heard that when it was 5 signals people aimed for 10-15 interviews, so im curious how 15 signals will influence this?</t>
  </si>
  <si>
    <t>does it matter? will it affect you in any positive way, or just make you more nervous? I was a below avg candidate, riddled with so much anxiety I got an ulcer during application season, and only got 2 interviews, one from a program that ended up losing accrediation, and one top 10. I matched at the top 10. I never felt safe during the interview cycle, but matching or not, hearing those statistics were not good for me and my nervousness probably translated to lack of confidence on the trail. You will do great I promise &lt; +1 &lt;&lt; well, could help in terms of knowing when to drop interviews, which is best for everyone at a certain threshold</t>
  </si>
  <si>
    <t xml:space="preserve">i was warned that it would likely lower interview numbers like it did for OBGYN when they went to 15 signals last year &lt; OB was 18 &lt; lol okay whatever it was going from like 5 -&gt; 18 like we did </t>
  </si>
  <si>
    <t>so like 5-10 ish?? &lt; no one is going to be able to give you a number. i know its nice to have a "im safe if i hit this" but theres so many factors like are you applying in a geo zone or community vs academic or how you interview. i was just warned that it would likely drop a bit because programs will feel more comfortable with who they interview vs needing to cast a wider net. remember population statistics do not necessarily translate to the individual.</t>
  </si>
  <si>
    <t>At this point, if I can get 10 interviews I'd be happy.  &lt;- same</t>
  </si>
  <si>
    <t>how does more signals mean less ii &lt; because programs are less likely to interview a non-signal applicant since they know they're not top 15 (vs not being top 5 which isn't really as offensive). So applicants are probably getting the most thorough review within the 15 they signaled vs before where all of their applicantions might have gotten a full review</t>
  </si>
  <si>
    <t>I think 10 will be safe</t>
  </si>
  <si>
    <t>Oxy_tocin</t>
  </si>
  <si>
    <t>I really don't get what's going on here. my stats are average, no red flags, no nothing, and not a single interview invite today. I'm lucky that I have 3 from previous weeks, but what is happening?</t>
  </si>
  <si>
    <t>are programs you applied to sending them out today? &lt;&lt; yeah, big time. 30 programs that released today ghosted me. even some that I thought were safeties.</t>
  </si>
  <si>
    <t>I am with you. Only 3 interviews so far. A little stressed out...</t>
  </si>
  <si>
    <t>Are u guys img bc same &lt;nope USMD&lt; OP here, also no, USDO</t>
  </si>
  <si>
    <t>same, 260+ USMD 16 publications only 1 interview today &lt; I'm hoping that some programs just haven't released yet? this is killing me +1</t>
  </si>
  <si>
    <t xml:space="preserve">same, thought I was competitive, programs i signaled sent ii but I still got nothing </t>
  </si>
  <si>
    <t>I only got 1 today too thought today will bring a good amount bring the set day</t>
  </si>
  <si>
    <t>NJ, NY, PA, MD, MA</t>
  </si>
  <si>
    <t>&lt; are you not getting interviews at programs that you signaled? I think a big difference this year is the transition to "big" signaling making it less likely to be interviewed by programs that you didn't signal. You can test this hypothesis by looking at interview rates by signaling on this year's spreadsheet compared to last year's which I am FAR too lazy to do.   &lt;   interstingly half my interviews rn are non-signaled vs half signaled  with multiple of my signals passing me over &lt; 2/3 are signals. plenty of places I signaled have ignored me &lt; I think the rate of non-signaled programs that do offer is going to be much lower (not that the rate of signaled that don't offer will change)</t>
  </si>
  <si>
    <t>potato</t>
  </si>
  <si>
    <t>Sorry if this has been asked before but has anyone seen a school they applied to sent out an II (either on the II by date page or II by program page) and then sometime later that day get an II? Like is it always a mass email vs a slow roll?</t>
  </si>
  <si>
    <t>last year a few programs had multiple release dates after the universal date</t>
  </si>
  <si>
    <t>But when they release, its all at one time (vs multiple being sent over the course of a couple hours)?</t>
  </si>
  <si>
    <t>seems variable by program. a few of my programs have had all slots fill up within the hour. others have been posted here by others (in the ii by date tab) hours before i heard back &lt; this makes me hopeful that is i see my top program on here maybe theres still a chance lol</t>
  </si>
  <si>
    <t>italiag</t>
  </si>
  <si>
    <t xml:space="preserve">what are the rest of the programs waitin for &lt; i looked at some of the programs i am waiting for and they say "Nov 1"or "early november" etc. really glad we get to stretch this anxiety out </t>
  </si>
  <si>
    <t>just checked wisoconsin and UNM have dates as 28 and 31 lol</t>
  </si>
  <si>
    <t>What is UNM</t>
  </si>
  <si>
    <t>8</t>
  </si>
  <si>
    <t>MGH said to reply via ERAS email - is that clicking "reply" in ERAS messages or directly emailing the PC? there was no PC email in the message (sent through noReply)</t>
  </si>
  <si>
    <t>Reply in ERAS</t>
  </si>
  <si>
    <t>super-</t>
  </si>
  <si>
    <t>25x</t>
  </si>
  <si>
    <t>pass</t>
  </si>
  <si>
    <t>64x</t>
  </si>
  <si>
    <t>what does R wave mean on the rejection tab</t>
  </si>
  <si>
    <t>Mass rejections being sent out from a program. &lt; vs it being a rejection after you sent communication to the program like a LOI</t>
  </si>
  <si>
    <t>Nutella</t>
  </si>
  <si>
    <t>Anyone else unable to send the acknowledgement forms to Marshall? Email got kicked back for being out of the .edu organization (Thx in advance for any answer)</t>
  </si>
  <si>
    <t>gotta send it from the email that you used to register your Thalamus account</t>
  </si>
  <si>
    <t>CME</t>
  </si>
  <si>
    <t xml:space="preserve">PC - I know that some places are doing in-person interviews. I encourage you to reach out to the PC, if you have a hard time making a trip due to finances. They may be able to provide an online option even if it isn't advertised.  I know that a lot of programs would hate to miss out on a good applicant if this was the only barrier to making an interview.  </t>
  </si>
  <si>
    <t>&gt; thanks will try</t>
  </si>
  <si>
    <t xml:space="preserve">how many ii are u guys taking before dropping some </t>
  </si>
  <si>
    <t>probably ~12; &gt; 20; 12-15; 20-25</t>
  </si>
  <si>
    <t xml:space="preserve">Drwho </t>
  </si>
  <si>
    <t>East</t>
  </si>
  <si>
    <t>I am a prelim applying to both a surgical subspecialty and gen surg so I don't know much about today. Is today like the major day and if you don't get anything you are screwed?</t>
  </si>
  <si>
    <t xml:space="preserve">its the biggest day to send ii but they will cont for the rest of the week probably </t>
  </si>
  <si>
    <t>ok got it, so probably screwed otherwise</t>
  </si>
  <si>
    <t>i think prelim ii will be later on tho &lt; a lot of programs say that they send prelim after finishing categorical</t>
  </si>
  <si>
    <t>like as in people who are prelims or peopple applying to prelim programs&lt; wdym</t>
  </si>
  <si>
    <t>wreckit</t>
  </si>
  <si>
    <t>i am a prelim applying categorical, I don't really care about prelim II cause I already am one lol</t>
  </si>
  <si>
    <t>no they mean people applying to prelim</t>
  </si>
  <si>
    <t>Any one get prelim form UTSW or anywhere else other than mayo</t>
  </si>
  <si>
    <t>nope +2</t>
  </si>
  <si>
    <t>AZ, FL, IA, IL, MI, MN, WA, OR, WI, GA</t>
  </si>
  <si>
    <t>MB</t>
  </si>
  <si>
    <t>Anyone get prelim at hopkins?</t>
  </si>
  <si>
    <t>thalamus was for categorical, not sure on prelim release</t>
  </si>
  <si>
    <t>superpptrain</t>
  </si>
  <si>
    <t>Interview invite from Tidal Health Maryland, no date options appearing on thalamus yet if thats normal lol &lt; I reached out to PC and you can see them now!</t>
  </si>
  <si>
    <t>Basically same thing happened on U of TN Memphis—called the person listed on the invite email and she didn't know and then fixed it in like two minutes (would recommend, if there is a contact personm listed, that is)</t>
  </si>
  <si>
    <t>10/28  I am Non US Visa requiring IMG Did you get prelim or categorical and do they spots left asking about Tidal Health Maryland</t>
  </si>
  <si>
    <t xml:space="preserve">I am still trying to figure out my situation with Carolians medical center because I sitll cannot see the dates, anyone else having an issue with this one?? </t>
  </si>
  <si>
    <t>I would just email the PC, that's very weird</t>
  </si>
  <si>
    <t>DivineDoc</t>
  </si>
  <si>
    <t>groveddirector</t>
  </si>
  <si>
    <t>Interview invite from GW preliminary PGY1 - did not apply for prelim? US MD student +4</t>
  </si>
  <si>
    <t xml:space="preserve">Yes, same for me. confused. </t>
  </si>
  <si>
    <t>fml</t>
  </si>
  <si>
    <t>Didn't even realize until I saw this comment. Very confused</t>
  </si>
  <si>
    <t>The program listed still says General Surgery, not General Surgery preliminary, so I think it's just a preliminary interview, as in like an initial one (especially since it happened for all of us and we all applied categorical)</t>
  </si>
  <si>
    <t>&lt;smarty pants, makes sense &lt; I like this logic &lt;3</t>
  </si>
  <si>
    <t>They emailed out clarification = categorical</t>
  </si>
  <si>
    <t>anyone else only have one date option with Tennessee Memphis thalamus sign up?</t>
  </si>
  <si>
    <t>yes, super inconvenient day but had to sign up for it anyway &lt; just checked again and there are the other dates listed (i emailed nicely inquiring if we are assigned dates or if the other dates were full lol so hopefully it was a mistake and they aren't annoyed by it)</t>
  </si>
  <si>
    <t>redbull</t>
  </si>
  <si>
    <t>it was fixed!</t>
  </si>
  <si>
    <t>Thank you!!!</t>
  </si>
  <si>
    <t>Still cannot see December 18th option for dates - anyone else?</t>
  </si>
  <si>
    <t>Are the Cottage interviews in-person or virtual?</t>
  </si>
  <si>
    <t>Virtual</t>
  </si>
  <si>
    <t>curvedmayo</t>
  </si>
  <si>
    <t>anyone signaled but didnt get ii from UTSW?</t>
  </si>
  <si>
    <t>me- Non-US IMG +2</t>
  </si>
  <si>
    <t>same us img +1</t>
  </si>
  <si>
    <t>13/15/2024</t>
  </si>
  <si>
    <t>grass</t>
  </si>
  <si>
    <t>Anyone else having issues with Rutgers on thalams? They have canceled and then reappeared multiple times for me</t>
  </si>
  <si>
    <t>Same, they canceled the interview and now Thalamus is locked.</t>
  </si>
  <si>
    <t>Resent and rescheduled, maybe it's sorted now?</t>
  </si>
  <si>
    <t>er</t>
  </si>
  <si>
    <t>jay</t>
  </si>
  <si>
    <t>is it safe to assume if you don't get an interview today that the likelihood is low? I'm assuming most programs don't send out actual rejections</t>
  </si>
  <si>
    <t>Many programs mention that they will send out IIs in the week of Oct 23rd - Nov 1st on a rolling basis. So hang in there!</t>
  </si>
  <si>
    <t>Most places have been giving a 24-48 hour timeframe to schedule interviews so there might be some waitlist movement later this week/next week.</t>
  </si>
  <si>
    <t xml:space="preserve">I think if you know they sent out interviews and you didn't get the first round, your chances have lowered significantly but certainly not to 0! </t>
  </si>
  <si>
    <t>Do we think that if interviews come out on one day that they all go out at once or trickle out throughout the day?</t>
  </si>
  <si>
    <t>Trickle throughout the week</t>
  </si>
  <si>
    <t>s</t>
  </si>
  <si>
    <t>anyone siglaned but didnt get the ii from tucson ? signaled, no Invitem US IMG&lt;&lt; me too</t>
  </si>
  <si>
    <t>also can anyone update about spots left &lt;- updated as of 0935 EST 10/23&lt;&lt; thank you</t>
  </si>
  <si>
    <t xml:space="preserve">did anyone get a prelim invite but the dates on the email do not match the dates on thalamus? &lt; yes </t>
  </si>
  <si>
    <t>houston, dallas, SA</t>
  </si>
  <si>
    <t>south</t>
  </si>
  <si>
    <t>How do I know if I'm interviewing for a categorical vs. prelim spot? doesn't specify on Thalamus</t>
  </si>
  <si>
    <t xml:space="preserve">maybe them email later </t>
  </si>
  <si>
    <t>Double check if you applied for prelim position within that program; invitations usually will say PRELIM in title. Also its somewhat early for programs to send prelim invites, in some cases &lt;&lt;&lt; I would say if you didn't apply prelim, you can assume it's categorical unless they *clearly* say prelim somewhere</t>
  </si>
  <si>
    <t>Mayo Rch</t>
  </si>
  <si>
    <t>espressobean</t>
  </si>
  <si>
    <t>Missouri is already sending on the other sheet early start to the day lol</t>
  </si>
  <si>
    <t>feeeeeeeeeeeeee screamin</t>
  </si>
  <si>
    <t>damn, they really want to stretch out the disappointment and fear, don't they?</t>
  </si>
  <si>
    <t>STRESS</t>
  </si>
  <si>
    <t>It is email only so can we assume they will have enough slots and we won't go waitlist if we wait the 48 hrs to respond</t>
  </si>
  <si>
    <t>better not to risk it</t>
  </si>
  <si>
    <t>halfsourpickle</t>
  </si>
  <si>
    <t>Do programs add interview dates or do some programs really only interview on 2 or 3 dates for the entire class? I think more specifically, programs that don't have January dates listed, will they open dates in January later?</t>
  </si>
  <si>
    <t>Doesn't answer your question, but I've seen interview dates in Feb, so there's some hope  &lt;  thanks, I just have an away rotation in December so trying to figure out the best way to schedule interviews...</t>
  </si>
  <si>
    <t>FL, NY, DE, DC, VA, OH, AZ</t>
  </si>
  <si>
    <t>jumjum</t>
  </si>
  <si>
    <t xml:space="preserve">Surgery specific. Others have their own drop dates, or just give them out randomly. You just need to research the specialty and/or specific programs you're interested in </t>
  </si>
  <si>
    <t>is this drop date, surgery specific or it cut across all specialties ?</t>
  </si>
  <si>
    <t>Yes, it's the agreed upon "drop date" by PDs</t>
  </si>
  <si>
    <t>:(</t>
  </si>
  <si>
    <t>broken rich</t>
  </si>
  <si>
    <t>Is there anywhere to see if the program is interviewing IP or virtual?</t>
  </si>
  <si>
    <t>On their websute or socials. Otherwise have to wait until you get the invite</t>
  </si>
  <si>
    <t>Orlando Health sent II today</t>
  </si>
  <si>
    <t xml:space="preserve">my dude there is a tab for this &lt;&lt; nobody respects the tabs :( </t>
  </si>
  <si>
    <t>Dont think they'll send more tomorrow???</t>
  </si>
  <si>
    <t>signaled and didnt recieve &lt;&lt; same +2</t>
  </si>
  <si>
    <t>groovyapple</t>
  </si>
  <si>
    <t>ANXIETY THRU THE ROOF OMG+10000000</t>
  </si>
  <si>
    <t>same, this preadhseet is not helping +3</t>
  </si>
  <si>
    <t>&lt;no everytime i look at this sheet my BP goes 210/130</t>
  </si>
  <si>
    <t>yup. I watched 3 of my signals go down the drain this week</t>
  </si>
  <si>
    <t>shaking crying throwing up&lt;&lt; real, I'm on the verge of a panic attack &lt; FR! Feeling the same, and my therapist told me to stay away from this spreadsheet- how?? lol!</t>
  </si>
  <si>
    <t xml:space="preserve">at least you can afford a therapist hhahaa </t>
  </si>
  <si>
    <t xml:space="preserve">Any spots left for OSU? or Icahn Sinai? +3 </t>
  </si>
  <si>
    <t>Icahn one spot left as of 1201 pm PST, curious about OSU</t>
  </si>
  <si>
    <t>&lt;but for icahn how many interview dates are available/open? &lt; there was just one day offered (11/9)</t>
  </si>
  <si>
    <t>my dudes there is a tab for this +100!</t>
  </si>
  <si>
    <t xml:space="preserve">&lt;yeah there is a tab for it but no one is filling out the info so like chill out lol we arent dumb we already looked, so maybe there is a reason why we are asking &lt;&lt; I agree with them though, still better to at least try first and have the tiniest bit of patience </t>
  </si>
  <si>
    <t>NY,NJ,FL</t>
  </si>
  <si>
    <t>Anyone applying I6 Cardiothoracic? What interviews have been released so far? +2 &lt;&lt; go to the spreadsheet linked to the right and updated it too!</t>
  </si>
  <si>
    <t>Utah, Montefiore, UCSD came out earlier this morning</t>
  </si>
  <si>
    <t>&lt;- NYU and Iowa too. Go check the 2024 thoracic surg spreadsheet. Please update the 2024-2025 tab as you hear!</t>
  </si>
  <si>
    <t>meowmeowarf</t>
  </si>
  <si>
    <t>https://docs.google.com/spreadsheets/d/1rmo5PBlDE6mOxZ8IWh2hawa7wzlhzRptu2mHnGVNozI/edit?gid=217497306#gid=217497306</t>
  </si>
  <si>
    <t>MI/ FL</t>
  </si>
  <si>
    <t>mc</t>
  </si>
  <si>
    <t>UT Houston released today</t>
  </si>
  <si>
    <t>midwest</t>
  </si>
  <si>
    <t>&lt; can you update the spreadsheet linked? it helps people know when to stop expecting invites from each program</t>
  </si>
  <si>
    <t>&lt; done &lt;&lt; thanks!</t>
  </si>
  <si>
    <t>na</t>
  </si>
  <si>
    <t>Sad seeing programs I applied to send out invites and not get one :/ &lt;&lt; even if I didn't signal or geo perf it still sucks &lt;&lt; even when i did signal and geo it sucks +2</t>
  </si>
  <si>
    <t>I just have to believe programs are not releasing all thier interviews on one day. Call me delulu &lt; we all just livin in delulu at some point</t>
  </si>
  <si>
    <t>I honestly am surprised to say this but i wish they sent out rejections more to at least let me know if i should hold hope or not +3</t>
  </si>
  <si>
    <t>dont give up hope! program might have not reached your app yet or will send an invite to you during second wave. ya never know!</t>
  </si>
  <si>
    <t>PITSY</t>
  </si>
  <si>
    <t>NA</t>
  </si>
  <si>
    <t>24hrs til show time let us bow our heads for prayer. +3</t>
  </si>
  <si>
    <t>Do you know what time exactly tommorow that is show time ? &lt;&lt; I was told from a M4 last year their first invite was sent out 7am EST. So early is my guess.</t>
  </si>
  <si>
    <t>anyone else's phone/screen usage go up to like 10 hours a day because of this lol +2</t>
  </si>
  <si>
    <t>NY,FL</t>
  </si>
  <si>
    <t xml:space="preserve">Bobr </t>
  </si>
  <si>
    <t>Anyone else see that the Icahn Sinai interviews dissapeared from the II by program page?</t>
  </si>
  <si>
    <t xml:space="preserve">&lt;YES. either troll or they meant a different school and typed it there by accident. </t>
  </si>
  <si>
    <t>MA,NY, FL, CT, OH, MI, CA</t>
  </si>
  <si>
    <t>Should we be expecting some interviews today as well? Or tomorrow is the D-day?</t>
  </si>
  <si>
    <t>seems like a good amount sent interviews yesterday so probably today also</t>
  </si>
  <si>
    <t>Okay! lets sit tight then! +1</t>
  </si>
  <si>
    <t>obviously i want to hear ASAP, but kind of curious why programs are releasing day or two early. From program perspective, if they made it this far, why not just wait until the agreed release day? &lt;&lt; think it's more "recommended" release day than "agreed upon" and not all programs had representation when the recommendation was sent &lt;&lt; I get that but still seems odd not to wait 1-2 days if going to release this week +1</t>
  </si>
  <si>
    <t>I'm curious if they do a day early or late so they don't think their invite is "lost in the mail" sonto speak &lt; ooh thats an interesting thought. like to make sure its seen faster/easier</t>
  </si>
  <si>
    <t>lavie</t>
  </si>
  <si>
    <t>My friend got Orlando Health II today!!</t>
  </si>
  <si>
    <t xml:space="preserve">Also possible places just have other internal things going on. I'm sure the interview release day ends up creating a bit or extra work, and they might have reasons to schedule it on other days. Not everything is as organized as we think, and programs have a lot of other priorities than us </t>
  </si>
  <si>
    <t>Are there still prelim ii spots at mayo today?</t>
  </si>
  <si>
    <t>Use the Interview Openings tab to make a request and specify prelim (only prelim candidates can see prelim dates)</t>
  </si>
  <si>
    <t xml:space="preserve">14 &lt;&lt; Can you respond in the interview openings tab and include dates please </t>
  </si>
  <si>
    <t>MO, MI, IL, OH, TN</t>
  </si>
  <si>
    <t>Bruh if they won't send an invite the least they could do is send a rejection lol.</t>
  </si>
  <si>
    <t>it's med school applications all over again &lt; but worse&lt;&lt;WAY worse</t>
  </si>
  <si>
    <t>BonjusHaram</t>
  </si>
  <si>
    <t>Mayo sent me prelim interview even though I did NOT NOT apply prelim, I only applied categorical. Whati is this??</t>
  </si>
  <si>
    <t xml:space="preserve"> I watched an interview with their PD , they automatically group all IMG into prelim &lt;&lt; If prelim applicant is excellent; program has considered applicant for categorical position (Program Administrator). </t>
  </si>
  <si>
    <t>Did she mention something about not giving USIMG's ii?</t>
  </si>
  <si>
    <t>Would they consider prelims for categoricals? &lt;&lt; not this year, but they seem to often take 1-2 prelims into their next categorical class and I have heard they treat their prelims well &lt; thank u :(</t>
  </si>
  <si>
    <t>I know interview release date is 23 but I'm getting desperate with 0 interviews so far. If you're feeling the same, just know you're not alone... We got this +1</t>
  </si>
  <si>
    <t>I'm gonna puke &lt; me too, it's gonna be alright &lt; +7</t>
  </si>
  <si>
    <t>It's seeing programs you did apply to not invite you for an interview. +1</t>
  </si>
  <si>
    <t>Carlitos</t>
  </si>
  <si>
    <t>Do all the invites go out with a single click? Or in batches?</t>
  </si>
  <si>
    <t>Probably depends on the program! From the small amount of programs that release already, looks like some do batches and some do all at once</t>
  </si>
  <si>
    <t>From 2023-2024 sheet it looks like some programs had multiple release dates while others had more of a "release day"</t>
  </si>
  <si>
    <t>Any IMG get any interviews yet</t>
  </si>
  <si>
    <t>USIMG 6 categorical IV</t>
  </si>
  <si>
    <t>we're asking about non-US lol</t>
  </si>
  <si>
    <t>youngko</t>
  </si>
  <si>
    <t>Remaining interview slots Mayo? &lt;&lt;there's a separate tab for this to request people to check for you ("interview openings")</t>
  </si>
  <si>
    <t>I wonder if prelim ivs are included in todays release date or just cat&lt;&lt; i went to last years sheet and found that prelim and categ went out same day. but idk what the time difference was</t>
  </si>
  <si>
    <t>Invites are going out today for all tracks by end of day. &lt; how do u know this &lt; Program Administrator</t>
  </si>
  <si>
    <t>Any IMG get prelim from mayo roch&lt;&lt; no. but I need this info as well</t>
  </si>
  <si>
    <t>No+3</t>
  </si>
  <si>
    <t>Invites are going out today for all tracks by end of day.</t>
  </si>
  <si>
    <t>&lt; where is this info from  &lt; Program Administrator</t>
  </si>
  <si>
    <t>got a prelim IV +2 &lt; lets goooooo &lt; yeyyyyyyyyyyyy same &gt; IMGs? stats if yes please?</t>
  </si>
  <si>
    <t>nadir</t>
  </si>
  <si>
    <t>Do they all go out at once ?</t>
  </si>
  <si>
    <t>I don't think this was answered, Is there time folks are aware interviews release on 23rd, midnight, EST/CST?</t>
  </si>
  <si>
    <t>Not that I have heard of, for most of my friends in specialties with a unified release date, the interviews have just rolled in steadily throughout the day</t>
  </si>
  <si>
    <t>Hi, I'm a Program Administrator and there's no set time that I've been told!</t>
  </si>
  <si>
    <t>&lt; Thank you !!!</t>
  </si>
  <si>
    <t>Zoro</t>
  </si>
  <si>
    <t>North Atlantic</t>
  </si>
  <si>
    <t>USDO, 25X, 9 pubs, average letters, 0 IVs so far, when to freak out and start applying for prelims?</t>
  </si>
  <si>
    <t>see 3 cells below. I probably wouldn't freak out yet but I'm not sure when you "should" freak out lol - ask your advisor if you have one</t>
  </si>
  <si>
    <t>OH, PA, NJ, DE, SC</t>
  </si>
  <si>
    <t>Does anyone know about this whole weeklong thing at Baylor Dallas? &lt;&lt; what do you mean? &lt; the interview there is a whole week</t>
  </si>
  <si>
    <t>&lt;&lt;check out last year gen surg thread, name and shame tab</t>
  </si>
  <si>
    <t>an entire week? that's actually crazy. what are you doing, scrubbing into cases (actually not a bad idea?) &lt; nah brother. It's virtual. And I checked out the name and shame from last year this sounds like an interesting choice</t>
  </si>
  <si>
    <t>Bhanu Chaudhary</t>
  </si>
  <si>
    <t>Mayo are sending today correct</t>
  </si>
  <si>
    <t>&lt;How do you know this?? +1</t>
  </si>
  <si>
    <t>Instagram lol</t>
  </si>
  <si>
    <t>did any IMG get this</t>
  </si>
  <si>
    <t>Could today just be for cat not prelim</t>
  </si>
  <si>
    <t>Invites are going out today for all tracks by end of day. &lt; how do u know &lt; Program Administrator</t>
  </si>
  <si>
    <t>No other waves?</t>
  </si>
  <si>
    <t>As an IMG, by what date should I expect to start receiving interviews? `
I stii didn’t  receive anything :(</t>
  </si>
  <si>
    <t>There's a lot of good info on this spreadsheet and on the internet broadly - would encourage you and everyone to look around before asking questions. That said, October 23 is the suggested interview release date for all programs (regardless of IMG status). Yes, some programs have sent out interviews already, but the majority of programs will not send out until later this week. Even if you don't receive interviews this week, there is still a chance of receiving them at any point over the next couple months. Hang in there</t>
  </si>
  <si>
    <t>NT</t>
  </si>
  <si>
    <t>It's ok to ask questions, we're in this together &lt;3 &lt;&lt; yes *and* this spreadsheet can be used by everyone more effectively if we use the resources that already exist and keep things somewhat organized. People already spend their time and energy putting information in here, so the least you can do is look around before you ask</t>
  </si>
  <si>
    <t xml:space="preserve">has holy name sent out any invites? they're up on the II page but no one commented underneath </t>
  </si>
  <si>
    <t>Yes they have.</t>
  </si>
  <si>
    <t>IMG visa requiring step 1 low step 2 260's done with step 3 not to so great research profile Do i Stand a chance there and also have they sent out all invites or still process of reviewing</t>
  </si>
  <si>
    <t>NR</t>
  </si>
  <si>
    <t xml:space="preserve">Hi! Quick question- I received an invite 
for ii however once I signed in Thalamus
no availability was left. Next? Email PC? </t>
  </si>
  <si>
    <t xml:space="preserve">Email pc is what I would do! </t>
  </si>
  <si>
    <t>what program sent out interview on the weekend?</t>
  </si>
  <si>
    <t>Hello! Just a question- Whats the differnce between first interview and second interview? Is the second interview offerd to candidates they have screened from the first interviews?</t>
  </si>
  <si>
    <t xml:space="preserve">In what context? On this spreadsheet it probably just means second date that they are offering interviews. I haven't heard of any programs doing two rounds of interviews for the same candidates. </t>
  </si>
  <si>
    <t>CU</t>
  </si>
  <si>
    <t>In thalamus, it metions- your first interviews.. so I wanted to clear what that meant?</t>
  </si>
  <si>
    <t>Some programs have multiple tracks and use then that way</t>
  </si>
  <si>
    <t>does anyone want to switch brooklyn medical center 12/12 interview for any other day PLEASE.</t>
  </si>
  <si>
    <t>&lt;&lt; there is a tab for this</t>
  </si>
  <si>
    <t>I scheduled an interview with HCA orange park for december and today i recived a message for a 2nd II but i cannot see anything in thalamus. Is this a mistake? or do they send out 2nd II W/O completing the 1st one?</t>
  </si>
  <si>
    <t>Cookies</t>
  </si>
  <si>
    <t>Don't see Lakeland Regional Health Program - Florida in II by program, they sent out interviews today, can this be added</t>
  </si>
  <si>
    <t>you can &gt; in "II by program tab? can you specify line number I can't see</t>
  </si>
  <si>
    <t>you can add a line</t>
  </si>
  <si>
    <t>kitty</t>
  </si>
  <si>
    <t>Whats the earliest iv date that u guys saw is there in oct or are they all starting nov</t>
  </si>
  <si>
    <t xml:space="preserve">There are a few happening in October; you can see by date in the "II by date" tab. </t>
  </si>
  <si>
    <t>CA, MI, NY, PA, MA</t>
  </si>
  <si>
    <t>Peyers_Patch_Kid</t>
  </si>
  <si>
    <t>I couldnt find the answer to this question but if the dates for II has been decided to be Oct 23rd, why are some getting interviews?</t>
  </si>
  <si>
    <t xml:space="preserve">10/23 is the recommended date by the APDS, but not all programs are choosing to follow it. The recommendation is beneficial for larger programs that get a large number of apps, but some programs might not feel like they need the all that time to review their applicants, might be smaller programs, might be trying to get out interviews early, ect. 
</t>
  </si>
  <si>
    <t>well then I feel there is no point for the date since everyone (most) is following their own thing. &lt;&lt; Its not most tho its only a couple of programs last year 111 released on the set day</t>
  </si>
  <si>
    <t xml:space="preserve">My home programs follows it and some of the attendings there actually get emotional about programs sending out invites before the date because they feel like it's an honor thing, lol. I think its most beneficial to larger institutes so I'm sure some of these programs will always have this handshake deal regardless of other programs following it. </t>
  </si>
  <si>
    <t>I think it also helps prevent future interview cancelations/ taking interviews without real interest since applicant is dealt all cards at once. Also almost all academic programs are abiding to date (with few exceptions, research/academic hospitals have not relaeased invites yet)</t>
  </si>
  <si>
    <t xml:space="preserve">The University of Illinois is an academic program, and they are interviewing ones who signalled &lt;- "with few exceptions" most of the academic programs are waiting to October 23. </t>
  </si>
  <si>
    <t>FL, TN</t>
  </si>
  <si>
    <t>Goose</t>
  </si>
  <si>
    <t>Ochsner social yesterday: What was the criteria? It was not my signal one. Is the plan to send interviews to those invited to the social? They did mention they have one more social. Do you have any idea from those who attended?</t>
  </si>
  <si>
    <t>Are you telling me that applicants are getting invited to socials without being invited to interview? What a joke. Why do these people feel entitled to continually infringe upon our time.</t>
  </si>
  <si>
    <t>It was for people on their list to interview or on the waitlist per the comm in the Supps &amp; Comms tab... -&gt; thanks</t>
  </si>
  <si>
    <t>bonk</t>
  </si>
  <si>
    <t xml:space="preserve">I migrated some of the interview availability questions here to the Interview Openings tab, as a lot of the questions here could be resolved there. Just a reminder to add requests there instead of here, and check that tab and add data if/when you're able to, to help people out :) </t>
  </si>
  <si>
    <t>what happened to the IV Swap tab? &lt;&lt; and the rejection tab 🌚&lt;&lt;someone nuked a bunch of tabs the other day for no apparent reason</t>
  </si>
  <si>
    <t>Also a lot of the questions here could be resolved in the Interview Openings tab! (Just on the note of tabs, sorry not totally relevant)</t>
  </si>
  <si>
    <t>dingbat</t>
  </si>
  <si>
    <t>Please bring back Rejections/Waitlist sheet!! +1</t>
  </si>
  <si>
    <t>Is anyone going to attend the acs event in SF? Would going to this event help with IV or matching or does it not really help?</t>
  </si>
  <si>
    <t>i heard it wouldnt really help much and its so expensiveee</t>
  </si>
  <si>
    <t>ok good to know...would rather PDs NOT see my half baked presentation lol</t>
  </si>
  <si>
    <t>WA, CA, CO, MN, MI, AZ, FL, HI</t>
  </si>
  <si>
    <t>rando</t>
  </si>
  <si>
    <t>Has Texas Tech at Lubbock sent out interviews to everyone including Non-US IMGs? I signaled and didn't get one…</t>
  </si>
  <si>
    <t>did they send interviews to everyone?? also signaled +2</t>
  </si>
  <si>
    <t xml:space="preserve">i saw on "II By Date" tab that they sent out interviews on 10/15/2024 0800 CST so idk if there are other batches </t>
  </si>
  <si>
    <t>tin</t>
  </si>
  <si>
    <t>anyone recieve an interview from abrazo? how long did the PC take to email you details back?</t>
  </si>
  <si>
    <t>Chulo</t>
  </si>
  <si>
    <t>HCA Riverside has virtual and in-person interviews listed on their thalamus scheduling, but they don't reference anything about this on website or any communication. Do we think it looks bad to choose virtual?</t>
  </si>
  <si>
    <t>&lt;- how many spots are left if you dont mind me asking, please and thanks  &lt;&lt;&lt; On Thalamus, 22. But all the virtual spots filled right away so the remaining are in-person and could be that people are just scheduling those more slowly due to more complicated logistics &lt;&lt; thank you so much!!!</t>
  </si>
  <si>
    <t>yes, all virtual ones filled in minutes, I had to book in person</t>
  </si>
  <si>
    <t>freddy</t>
  </si>
  <si>
    <t>Looking at the stats of people getting early interviews its apparent that without signaling high step 2 scores really matter. I'm talking like high 250s and above. +1 appears even with signaling- why is the average 260/270</t>
  </si>
  <si>
    <t xml:space="preserve">&lt;- obvious caveat is that it's extremely small sample size of limited community programs so far &lt;&lt; true, there were people who matched from my med school w/ step scores less than 250s and even 240s last year. nevertheless it's nervewrecking. </t>
  </si>
  <si>
    <t>I dunno, that might be the general trend but I've gotten some interviews already and I scored mid 240s &lt;&lt; +4 same here &lt;&lt; this is very encouraging as my scores are not as competitive so thank you for sharing.</t>
  </si>
  <si>
    <t>only gotten 2 but DO &lt;&lt; same</t>
  </si>
  <si>
    <t>5 categorical IVs USIMG high 260's step 2.</t>
  </si>
  <si>
    <t xml:space="preserve">MI, chicago, VA, MA, FL, MD, TX, NOLA, WA, OR, CA, AZ, SC </t>
  </si>
  <si>
    <t>think if you scored &gt;260 youre likely to have multiple i think the more normal scores might be next week?</t>
  </si>
  <si>
    <t>0 interviews. non-US IMG 260s Lol &gt; non-US img, 26X, got one without signal</t>
  </si>
  <si>
    <t>How important do you think class rank matters? Is there any data on that?</t>
  </si>
  <si>
    <t>lizardwizard</t>
  </si>
  <si>
    <t xml:space="preserve">I am 240. I got five interview invites and have already taken three, including home. Of those, only one was my signal. My hope is I get interviews from majority of my signal ones. </t>
  </si>
  <si>
    <t>don't you love it when your number 1 choice sends out interviews, but you still don't get one?</t>
  </si>
  <si>
    <t>bro at this point I'd be happy to get an interview from any programs in my top 10 choices &lt;&lt; fr</t>
  </si>
  <si>
    <t>Piper</t>
  </si>
  <si>
    <t>Anyone got II from Holy Name NJ?</t>
  </si>
  <si>
    <t xml:space="preserve">i did </t>
  </si>
  <si>
    <t xml:space="preserve">10/28 IMG visa requiring here : are you an AMG , do you have a connection? or they done sending </t>
  </si>
  <si>
    <t>Bob</t>
  </si>
  <si>
    <t>Are there any interview spots for Cottage left?</t>
  </si>
  <si>
    <t>&lt; +3 (can someone check pretty please)</t>
  </si>
  <si>
    <t xml:space="preserve">interviews were scheduled by communicating via email with the coordinator. there isn't a portal for me to check availability. sorry :( &lt;&lt;&lt; thank you for trying! </t>
  </si>
  <si>
    <t>willow4</t>
  </si>
  <si>
    <t>where did you recieve the invitation? ERAS message or via email?</t>
  </si>
  <si>
    <t xml:space="preserve">The invite came through an ERAS message which had these dates: 11/04/24, 11/18/24, 12/16/24, 01/06/25, 01/20/25. I was asked to use my personal email to email their coordinator with my top 3 dates and she responded with the finalized scheduled date. </t>
  </si>
  <si>
    <t>AL, FL, KY, TX, TN, WV
MS, NC, OH, VA, GA</t>
  </si>
  <si>
    <t>TTUHSC did not list 12/13 as an available interview date but it is on thalamus. Anyone ever had a similar experience?</t>
  </si>
  <si>
    <t>TyreseMaxey</t>
  </si>
  <si>
    <t>IMG</t>
  </si>
  <si>
    <t xml:space="preserve">Thoughts on sending a letter of interest to a couple programs before 10/23 vs after 10/23? Not sure if I should be proactive (since it might be seen as annoying to programs) or if I should just chill out and wait a little and see if I get an interview invite first </t>
  </si>
  <si>
    <t>Isn't that what the signals are for prior to 10/23?</t>
  </si>
  <si>
    <t>please don't send anything before. You run the risk of getting blocked by programs. &lt; wait really?? Why is that?? I thought we should send emails)</t>
  </si>
  <si>
    <t xml:space="preserve">You can send before 10/23 if the program has been giving out IIs but if not, don’t </t>
  </si>
  <si>
    <t>Disco</t>
  </si>
  <si>
    <t>Is Trinity Health Ann Arbor the only program that has sent out rejections? I applied to 30+ programs and still haven't received any interview invitations or rejections. I don't know what to think (or even feel), lol!</t>
  </si>
  <si>
    <t xml:space="preserve">Noo At least rejection gives some closure lol &lt; Right? lol! </t>
  </si>
  <si>
    <t>ya i got a rejection today but only after i reached out and asked since they sent out interviews</t>
  </si>
  <si>
    <t>McKey</t>
  </si>
  <si>
    <t>Don</t>
  </si>
  <si>
    <t>texas</t>
  </si>
  <si>
    <t>SaddleUp</t>
  </si>
  <si>
    <t>ERAS be sending feedback emails but not interviews - come on ERAS set your priorities right! &gt;&gt; deadass!</t>
  </si>
  <si>
    <t>TroubledIguana</t>
  </si>
  <si>
    <t>Asere</t>
  </si>
  <si>
    <t>Happy that we are basically a week away from the offiical release date and week, terrified at the prospect of not getting enough or any interviews. &lt;&lt; bruh, same. +3</t>
  </si>
  <si>
    <t>SC, FL</t>
  </si>
  <si>
    <t>HD</t>
  </si>
  <si>
    <t>Has anyone heard from Novant Health New Hanover yet?</t>
  </si>
  <si>
    <t>KS, IN, CT, OH, GA, PA</t>
  </si>
  <si>
    <t>still no... not sure if that's a good or bad thing tbh</t>
  </si>
  <si>
    <t>L</t>
  </si>
  <si>
    <t xml:space="preserve">Umm.. I think I made a mistake. I sent signals to 15 programs and they were all in the single tier list. I thought the gold and silver signalling was for IM and not surgery. Can someone please confirm if I messed up or does GS only have single tier signalling. If I messed up, how screwed am I? </t>
  </si>
  <si>
    <t>gen surg only has single tier !!!! --- &gt; Thank youuuu</t>
  </si>
  <si>
    <t>Peeeeeeeedo</t>
  </si>
  <si>
    <t>How many batches of interview invites do programs normally send out?  It's not just 1 date that they send all of them out on right??</t>
  </si>
  <si>
    <t>variable but expect to hear oct23 to early Nov</t>
  </si>
  <si>
    <t>cheech</t>
  </si>
  <si>
    <t>west</t>
  </si>
  <si>
    <t>Any DOs hear back from Mayo JAK</t>
  </si>
  <si>
    <t>Nope</t>
  </si>
  <si>
    <t>Any IMGS here from Mayo Jax?</t>
  </si>
  <si>
    <t>Do they notoriously interview IMGs? Thought I was a competitive applicant and didnt recieve anything.</t>
  </si>
  <si>
    <t>Manta Ray</t>
  </si>
  <si>
    <t>Any IMG that applied to or signaled Uni of Minnesota &gt;&gt;me&gt;&gt; same i signaled but didnt get the supplement email did u? +1</t>
  </si>
  <si>
    <t>are they IMG friendly?</t>
  </si>
  <si>
    <t>They have accepted some in the past it seems</t>
  </si>
  <si>
    <t>CM</t>
  </si>
  <si>
    <t>is it just me or has it been super silent for the past 1 week?</t>
  </si>
  <si>
    <t>It has. I only have 4 interviews so far :( &lt;&lt; girl that's a lot already!! Congrats!</t>
  </si>
  <si>
    <t>Still have zero! Not panicking until November +6 I only have 1 🤠 +1</t>
  </si>
  <si>
    <t>Mayo Clinic Jacksonville came out! &lt;&lt; What time? About 11 am</t>
  </si>
  <si>
    <t>has HCA more spots left?</t>
  </si>
  <si>
    <t>has any non-us img received anything? should i be worried? +2 &gt; I did, community program, no signal but in geo preference</t>
  </si>
  <si>
    <t>how many programs last year actually sent out interviews on the "interview release" day?? &lt; A lot. most academic centers were exact on the date or the days following. Expect most volume oct 23-nov1 this year</t>
  </si>
  <si>
    <t>big plum</t>
  </si>
  <si>
    <t>someone wrote they got interviews from houston, dallas, SA- is that true?</t>
  </si>
  <si>
    <t>It's just the interview dates, they haven't sent out invites yet</t>
  </si>
  <si>
    <t xml:space="preserve">anyone hear from Novant New Hanover yesterday? it was supposed to be their interview release day according to their website. </t>
  </si>
  <si>
    <t>Roasted and Salted</t>
  </si>
  <si>
    <t>I have not! I was wondering the same thing. +3</t>
  </si>
  <si>
    <t>Has anyone reached out to them about this?</t>
  </si>
  <si>
    <t>What's considered the ideal number of interviews to ensure matching categorical?</t>
  </si>
  <si>
    <t>~16.  10-13 for USMD, but only takes one program who likes you ;)</t>
  </si>
  <si>
    <t>Rip</t>
  </si>
  <si>
    <t>I wonder if this number will change (decrease) this year, given we only have 15 signals. I truly don't expect all of my 15 signals to interview me, let alone the ones i didn't signal &lt; +1, no way majority will have 13/15 yield off signaling</t>
  </si>
  <si>
    <t>I agree, I feel like it will be closer to 8-9 but have no data to back that up  +1</t>
  </si>
  <si>
    <t>i dont think even PDs know for sure how signals will affect the whole process (based on talking to a few)</t>
  </si>
  <si>
    <t>babee</t>
  </si>
  <si>
    <t>Given that UMN hasn't updated their homepage from last year, how credible is it that they require a program-custom PS? I didn't know this until someone mentioned it and I just uploaded a new PS to my app, but wondering if I even had to do that..</t>
  </si>
  <si>
    <t>They've required it for years. I asked a PGY4 resident that I know who goes there and they said they also had to do so and its on old spreadsheets. They said a sentence or two was all that they put into theirs.</t>
  </si>
  <si>
    <t>did u get the suplemental?</t>
  </si>
  <si>
    <t>No (also I dont consider that a supplemental)</t>
  </si>
  <si>
    <t>TX, GA, AL, MD, VA, SC, KY, FL, MA, MS</t>
  </si>
  <si>
    <t>Can someone share from what email addresses are you getting emails from? Like @aamc.org, @xyz.edu,, etc.</t>
  </si>
  <si>
    <t>myeras@aamc.org, no-reply@thalamusgme.com, interviews@interviewbroker.com, noreply@aamc.org, admin@selectwise.org &lt;&lt;&lt; thanks!</t>
  </si>
  <si>
    <t>JJ</t>
  </si>
  <si>
    <t>no interview slots left for nazareth?</t>
  </si>
  <si>
    <t>Yeah weird nothing left, I emailed the program coordinator</t>
  </si>
  <si>
    <t>Could u guys fill the ii sheet</t>
  </si>
  <si>
    <t>waitlist spots opened up</t>
  </si>
  <si>
    <t>should we be emailing program coordinator if no spots left?</t>
  </si>
  <si>
    <t>TX, AL, VA, AZ, TN, PA, CO, OH, SC, KS, LA, FL</t>
  </si>
  <si>
    <t>If we have done selectwise before, would it pop up for another program asking for the same assessment?</t>
  </si>
  <si>
    <t>wdym "pop up"? I know for some programs if they use duplicate questions I didnt have to re-do those questions, but sometimes a program used the same questions I answered before and i had to answer twice- so its dependent on the program I guess</t>
  </si>
  <si>
    <t>&lt;&lt; I guess I wanted to know if having done it once already might not appear again for a separate program. Trying to gauge whether I am indirectly rejected from a program or not, lol.</t>
  </si>
  <si>
    <t>bingbong</t>
  </si>
  <si>
    <t>&lt; If program doesnt show for surgwise then the program hasn't asked you to do it</t>
  </si>
  <si>
    <t>&lt; yeah, they still show up on your homepage even if you've completed it</t>
  </si>
  <si>
    <t>I just received an email from Sinai Hospital in Baltimore to do the selectwise thing, is this given to all applicants?</t>
  </si>
  <si>
    <t>Check supplemental tab +2 &gt;&gt; given the email did not specific whether or not they give it to everyone, I will assume its given to everyone who applied, signaled or not.  &gt;&gt; I applied, did not get it. -signal -geo &gt;&gt; I applied, did not get it. +signal +geo. &gt;&gt; I applied and didn't get it, -signal +geo</t>
  </si>
  <si>
    <t>I got it -signal, -geo</t>
  </si>
  <si>
    <t>padduman</t>
  </si>
  <si>
    <t xml:space="preserve">Gen Surg statistics for 2025 are at 766 DO, 1721 IMG, 2589 MD </t>
  </si>
  <si>
    <t>where are you getting that number</t>
  </si>
  <si>
    <t>FL,MN,WV</t>
  </si>
  <si>
    <t>halp</t>
  </si>
  <si>
    <t>https://www.aamc.org/data-reports/data/eras-statistics-data</t>
  </si>
  <si>
    <t>DC, VA, DE, NC</t>
  </si>
  <si>
    <t>kk</t>
  </si>
  <si>
    <t xml:space="preserve">How many positions are available </t>
  </si>
  <si>
    <t>1717 categorical positions offered last year per Charting Outcomes. Likely similar this year</t>
  </si>
  <si>
    <t>The number from that ERAS report feel weird since according to the NRMP report there were only 2529 applicants to general surgery last year. That's almost double from last year then in number of applicants (edit, I think the ERAS number is both prelims and cat applicants).</t>
  </si>
  <si>
    <t>no appreciable difference since last year. ~100 more applicants this year</t>
  </si>
  <si>
    <t xml:space="preserve">NRMP numbers are based on ranking. Many people don't get any interviews so they aren't considered. </t>
  </si>
  <si>
    <t>triforlife</t>
  </si>
  <si>
    <t xml:space="preserve">Any spots left at bayhealth </t>
  </si>
  <si>
    <t>Kiwi</t>
  </si>
  <si>
    <t>For Gundersen IV, did you signal/home program?</t>
  </si>
  <si>
    <t>signal: +1</t>
  </si>
  <si>
    <t>Swati</t>
  </si>
  <si>
    <t>in the categorical interview calendar tab one slot is referred to as "UMN". I thought that might be University of Minnesota but now other dates have been posted for UMinn. What does UMN stand for? University of New Mexico?</t>
  </si>
  <si>
    <t xml:space="preserve">UMN = Minnesota dates listed on their website. Idk what the other dates are that someone put on, or perhaps they updated their dates. Idk look at their website if you care to confirm </t>
  </si>
  <si>
    <t>The dates on their website aren't updated for this cycle yet so the "UMN" dates might not be reliable</t>
  </si>
  <si>
    <t>Look at their instagram @umngensurg, a recent post with updated dates and info (10/29 for UMN candidates, 11/19, 11/26, and 12/3) --&gt; I just updated the calendar</t>
  </si>
  <si>
    <t>The post also says their invites will go out on 10/28</t>
  </si>
  <si>
    <t>Mocksi</t>
  </si>
  <si>
    <t>Anyone else get the UC Davis supplemental? Did you guys signal or geographic?</t>
  </si>
  <si>
    <t>I got a supp, no signal to the program or geographic +2</t>
  </si>
  <si>
    <t>I believe they said all applicants were supposed to get the supplemental</t>
  </si>
  <si>
    <t>I did , i didn't signal</t>
  </si>
  <si>
    <t>CA, NV, CO, MI, WI, NY, SD, AZ</t>
  </si>
  <si>
    <t>Anyone with an interview at HCA Los Robles know how many spots are left?</t>
  </si>
  <si>
    <t>there are a total of 8 spots left (in person across two dates)</t>
  </si>
  <si>
    <t>No left now</t>
  </si>
  <si>
    <t xml:space="preserve">that's weird...I still see 8 on my end </t>
  </si>
  <si>
    <t>&lt;&lt; so is it 8 or 0 haha</t>
  </si>
  <si>
    <t>ME, MA, CT, NJ, PA, DC, VA</t>
  </si>
  <si>
    <t>BADBIRDY</t>
  </si>
  <si>
    <t>anyone else couldnt register for trinity Ann Arbor's interviews on thalamus? It shows up as there are no open slots. Either way, we are supposed to email back with our preferences, right?</t>
  </si>
  <si>
    <t>Yes, you have to email directly with your preference!</t>
  </si>
  <si>
    <t>NY, PA</t>
  </si>
  <si>
    <t>Lucky</t>
  </si>
  <si>
    <t>Mid-Atlantic</t>
  </si>
  <si>
    <t>i would suspect highly unlikely to get an interview if you don't fill out the supplemental, unless specifically stated to be non-mandatory like UC Davis (even then, I would guess still unlikely)</t>
  </si>
  <si>
    <t>&gt;&gt; yeah same vibe here. If you don't do something they request you to do, it may give them an ick feeling about how you'd react in residency, don't ya think?</t>
  </si>
  <si>
    <t xml:space="preserve">IMO if you got a supplemental and don't fill it out it's basically like you just donated your $30 program app fee to the AAMC... </t>
  </si>
  <si>
    <t>Why does it seem so hard for folks to understand that 10/23 is when most invites come out +3</t>
  </si>
  <si>
    <t xml:space="preserve">There's still a fear of possibly not getting any interviews on the 23rd and seeing others get early interviews only adds to that fear. Like shit is my app really that trash lol &lt;&lt; something that helped me was looking at historical trends for programs I applied to... turns out virtually none of them did IIs before the big day when looking back </t>
  </si>
  <si>
    <t xml:space="preserve">one of my programs that I signaled has been giving out interviews already so makes me sad that I did not get one &lt; same feeling </t>
  </si>
  <si>
    <t>GA,DC,MS,TX,NY,CA,KY,MO,</t>
  </si>
  <si>
    <t>I wonder if we're looking at this completely the opposite from how we should. NATIONAL SOCIETIES have provided guidance and recommendations on when to send interview invites...but yet some programs are bucking those recs and sending them out early anyway. Shouldn't we consider this more of a red flag?! I think the programs that are actually adhering to national recommendations are probably the ones we want... &gt;&gt;&gt; totally agree, at least an orange flag. And highly unlikely that they're doing true holistic review if they're sending out invites this early &gt;&gt;&gt; Community programs are sending interviews right now because they hope to catch good candidates before the massive wave. Many people cancel after October/November. They are less involved in national society and big academic discussions</t>
  </si>
  <si>
    <t>Remember IIs are happening for the home students , we need to trust the process. There is no filtering, they would interview all their students</t>
  </si>
  <si>
    <t>lmer</t>
  </si>
  <si>
    <t>Did Texas A&amp;M - Scott &amp; White, and Dell (UT Austin) send IIs? I see dates on the II tab.</t>
  </si>
  <si>
    <t>I think those are just tentative IV dates not actual invites</t>
  </si>
  <si>
    <t>CA, TX, MA, CT, MD,MO</t>
  </si>
  <si>
    <t>dwight</t>
  </si>
  <si>
    <t>a new day, another opportunity to neurotically watch the spreadsheet, hoping that a place I applied to doesn't send out applications to everyone but me +3 &lt; the dreams/nightmares while sleeping of programs rejecting or not getting any interviews have already begun for me</t>
  </si>
  <si>
    <t xml:space="preserve">RT +1 </t>
  </si>
  <si>
    <t>Come back on the 23. Not much movement rn</t>
  </si>
  <si>
    <t>Which program instagrams do you think have been the most active but also genuine?</t>
  </si>
  <si>
    <t xml:space="preserve">A couple I've seen that are more active are Pitt, U Minn, and USF </t>
  </si>
  <si>
    <t>wayne state</t>
  </si>
  <si>
    <t>my favs are Inova, UMinn and OHSU</t>
  </si>
  <si>
    <t>Please Texas or Chicago give me a shot +1</t>
  </si>
  <si>
    <t>Minnesota is having a resident instastory Q&amp;A right now it looks like</t>
  </si>
  <si>
    <t>anyone who did UT San Antonio supplemental impressed about a texas program asking about cultural stuff? &lt; didn't apply, what do you mean cultural? &lt;like appreciation for diversity. cultural competence type stuff</t>
  </si>
  <si>
    <t>Yes! When do they offer us interviews….</t>
  </si>
  <si>
    <t>knifewife24</t>
  </si>
  <si>
    <t>agreed. I think that's the only selectwise i've done that had those kind of questions +1</t>
  </si>
  <si>
    <t xml:space="preserve">How many interview invites do you all have so far? I only have 2 :(  +1 </t>
  </si>
  <si>
    <t>I have zero +20</t>
  </si>
  <si>
    <t xml:space="preserve">I have 4  from smaller programs </t>
  </si>
  <si>
    <t>1 interview gang stand up!!! As of October 9th +3</t>
  </si>
  <si>
    <t>guys....OCTOBER 23! Don't stress until that date has passed! &lt;-THIS</t>
  </si>
  <si>
    <t>TN, TX, AR, GA, LA</t>
  </si>
  <si>
    <t>I have 2 from academic programs</t>
  </si>
  <si>
    <t>which 2 academic programs? &lt; Kansas sent out</t>
  </si>
  <si>
    <t>M&amp;M</t>
  </si>
  <si>
    <t>Strange or not strange: I loved completing the selectwise from wisconsin. It kind of got me more excited about surgery. :0</t>
  </si>
  <si>
    <t>This is the one from MCW correct &lt;&lt;Yes</t>
  </si>
  <si>
    <t>not strange. sounds like surgery is a good fit for you!</t>
  </si>
  <si>
    <t>ya surgwise is annoying &lt;&lt;then dont complete them. better odds for the rest of us ;) +4</t>
  </si>
  <si>
    <t>unpopular opinion but surgwise is kinda fun haha</t>
  </si>
  <si>
    <t>CA, MA, PA</t>
  </si>
  <si>
    <t>jboi2343</t>
  </si>
  <si>
    <t>West Coast</t>
  </si>
  <si>
    <t>What are the thoughts about Northwestern GS?</t>
  </si>
  <si>
    <t>Strong program. Mixed reviews of Chair</t>
  </si>
  <si>
    <t xml:space="preserve">&lt;- Have they sent out anything yet?&lt;&lt;&lt; No just asking </t>
  </si>
  <si>
    <t xml:space="preserve">Oct 30 https://www.surgery.northwestern.edu/education/residency/general-surgery/index.html </t>
  </si>
  <si>
    <t>AZ, CA, IA, MI, NJ, PA, CT, NC, FL</t>
  </si>
  <si>
    <t>LL</t>
  </si>
  <si>
    <t>MD, DC,OR,CT,CA</t>
  </si>
  <si>
    <t>PM</t>
  </si>
  <si>
    <t>Seems like last year had more IMGs ii on the sheet by now is it reporter bias or are programs not giving imgs as much ii</t>
  </si>
  <si>
    <t>&lt;=</t>
  </si>
  <si>
    <t xml:space="preserve">West </t>
  </si>
  <si>
    <t>AZ, MA, ME, MN, MI, NE, NH, NY, NJ, NV, RI, TN, WA, WI</t>
  </si>
  <si>
    <t>baribubbles</t>
  </si>
  <si>
    <t xml:space="preserve">I have the Advocate Health (park ridge) virtual open house today. Will they ask any interview style questions form applicants who attend? or is it just Q&amp;A for us? </t>
  </si>
  <si>
    <t xml:space="preserve">where can I see the open house links? </t>
  </si>
  <si>
    <t>&lt; For this one they have the QR code on their IG</t>
  </si>
  <si>
    <t>omg i didnt know and that was my top program.. guess im downloading instagram now ahhhh.. how much do you think attending an open house helps?</t>
  </si>
  <si>
    <t>ek27</t>
  </si>
  <si>
    <t>does anyone know what are the chances of matching atleast  prelim if application is submitted in november</t>
  </si>
  <si>
    <t>west/south central</t>
  </si>
  <si>
    <t>Was the Ochsner Lafayette Virtual Open House (10/22) invite sent to everyone who applied to this program?</t>
  </si>
  <si>
    <t xml:space="preserve">i applied, was not sent to me </t>
  </si>
  <si>
    <t>Applied and got it, also wondering if anyone got it or is more selective</t>
  </si>
  <si>
    <t xml:space="preserve">Not sure if the Lafayette program uses the same criteria as the New Orleans program, but the email I got for the New Orleans location says that our virual open house invites were given to those on the list to interview or waitlisted. </t>
  </si>
  <si>
    <t>luckyg</t>
  </si>
  <si>
    <t xml:space="preserve">Is there a running list of when programs will release IV? </t>
  </si>
  <si>
    <t xml:space="preserve">Almost all will be released on 10/23. Check specific program sites you are interested in if you care to learn more </t>
  </si>
  <si>
    <t>Pre- or post-program rank list submission</t>
  </si>
  <si>
    <t>lksb</t>
  </si>
  <si>
    <t>Other details about timing/evaluation</t>
  </si>
  <si>
    <t>In interview calender, i see green is virtual and yellow is in-person, but what is red?</t>
  </si>
  <si>
    <t>bump</t>
  </si>
  <si>
    <t>Funding/hotel block/rides/etc. available?</t>
  </si>
  <si>
    <t>Date 1</t>
  </si>
  <si>
    <t>Date 2</t>
  </si>
  <si>
    <t>Date 3</t>
  </si>
  <si>
    <t>CA, TX, LA, CT, NJ, AZ</t>
  </si>
  <si>
    <t>gilfoyle</t>
  </si>
  <si>
    <t>Is there was a way on thalamus to waitlist request an interview day? I'd prefer a different one over the one I got but they were full</t>
  </si>
  <si>
    <t xml:space="preserve">Yes just click and you can add yourself to the waitlist even if you are scheduled for a different day &lt; where? On the thalamus app, I can click on another time a lot but I can't find any "add to waitlist" or similar button </t>
  </si>
  <si>
    <t>&lt; OP: nvm on the online thalamus version I can see that the program has "waitlist disabled"</t>
  </si>
  <si>
    <t>HCA Riverside</t>
  </si>
  <si>
    <t>not mentioned</t>
  </si>
  <si>
    <t>1/27-28</t>
  </si>
  <si>
    <t>post</t>
  </si>
  <si>
    <t>MI, OH, PA</t>
  </si>
  <si>
    <t>It happened virtually on 1st feb &lt;&lt; still happening in person 2/27-2/28</t>
  </si>
  <si>
    <t>2/27-28</t>
  </si>
  <si>
    <t>Is there is discrepency in the data provided in the Residency explorer and Freida compared to the program's official website? I see that the number of seats are different. Hell even the program director is different!</t>
  </si>
  <si>
    <t>Southwest Healthcare</t>
  </si>
  <si>
    <t>thirdspace</t>
  </si>
  <si>
    <t xml:space="preserve">not mentioned </t>
  </si>
  <si>
    <t>Sutter Health Roseville</t>
  </si>
  <si>
    <t>just realized i didn't assign a single thing in my application to just 20min ago...i've seen back and forth on reddit about emailing program directors...at this moment everything is assigned....what do i do???</t>
  </si>
  <si>
    <t>I would email them</t>
  </si>
  <si>
    <t>2/6-2/7</t>
  </si>
  <si>
    <t>peaches</t>
  </si>
  <si>
    <t>2/3-2/28 except president's day</t>
  </si>
  <si>
    <t>Is it a good idea to send LOI now if a program already started sending interviews?</t>
  </si>
  <si>
    <t>Whats the point with the signal system ?</t>
  </si>
  <si>
    <t>Then why do people send LOI's?</t>
  </si>
  <si>
    <t>MA, RI, CT, NY, NJ, VA, DC, MD</t>
  </si>
  <si>
    <t xml:space="preserve">Idk tbh i think it was a thing before signals like if u signaled they already know if you didnt sending a loi doesnt make sense no? </t>
  </si>
  <si>
    <t>can it hurt though?</t>
  </si>
  <si>
    <t>I don't think it would hurt but also, i am pretty sure PDs are going to get super annoyed w/ the amount of emails</t>
  </si>
  <si>
    <t>lumpy</t>
  </si>
  <si>
    <t>mod will sort by state occasionally &lt;3</t>
  </si>
  <si>
    <t>is it bad to not have a single interview yet...</t>
  </si>
  <si>
    <t>No! Most wont come out until 10/23</t>
  </si>
  <si>
    <t>NO we got to be patient</t>
  </si>
  <si>
    <t>UIC Mt Sinai</t>
  </si>
  <si>
    <t>Ratqueen</t>
  </si>
  <si>
    <t>Indiana</t>
  </si>
  <si>
    <t>Mountain West</t>
  </si>
  <si>
    <t>DEI scholarships</t>
  </si>
  <si>
    <t xml:space="preserve">Can someone explain what these two columns mean on the supplemental tab (Received App (+1 yourself)        Applied on ERAS (+1 yourself)) . Im unsure how to interpret these and am looking for people who got supplementals with a signal </t>
  </si>
  <si>
    <t>Feb 4-5</t>
  </si>
  <si>
    <t>Add +1 to both if you applied and got the supplemental, only add to "applied" column if you applied and didn't get supplemental. This is just used to calculate percent of people getting supplemental who applied. There's also a column for just raw number of people who got supplemental without signaling, but that's it.</t>
  </si>
  <si>
    <t>1/28-1/29</t>
  </si>
  <si>
    <t>BWH</t>
  </si>
  <si>
    <t>Post</t>
  </si>
  <si>
    <t>Sp1d3r</t>
  </si>
  <si>
    <t>2/6-7</t>
  </si>
  <si>
    <t>Does it look bad to apply to both academic and clinical tracks at programs that have both?</t>
  </si>
  <si>
    <t>MI, PA</t>
  </si>
  <si>
    <t>Feb 26-27</t>
  </si>
  <si>
    <t>IMPGY1</t>
  </si>
  <si>
    <t xml:space="preserve">Post </t>
  </si>
  <si>
    <t>will not impact rank list</t>
  </si>
  <si>
    <t>2/28-3/1</t>
  </si>
  <si>
    <t>St. Louis University</t>
  </si>
  <si>
    <t>1/17-1/18</t>
  </si>
  <si>
    <t xml:space="preserve">Carolinas Medical Center </t>
  </si>
  <si>
    <t>post (PD said he wont have access to RSVP)</t>
  </si>
  <si>
    <t>2/11-2/12</t>
  </si>
  <si>
    <t>0/13</t>
  </si>
  <si>
    <t>IMG here - probably a dumb question but I'm assuming not all schools send out supplementals? Some just select and go straight to interviews?</t>
  </si>
  <si>
    <t>Not a dumb queston! Yes, that is correct. A lot of programs send out interview invites without sending any supplementals.</t>
  </si>
  <si>
    <t>YPG</t>
  </si>
  <si>
    <t>2/19-2/20</t>
  </si>
  <si>
    <t>Not mentioned</t>
  </si>
  <si>
    <t>Does not impact rank list</t>
  </si>
  <si>
    <t>Staten Island University Hospital</t>
  </si>
  <si>
    <t>MN, MD, WI, TX, MA, CA, MO</t>
  </si>
  <si>
    <t>Upstate</t>
  </si>
  <si>
    <t>1/21-1/22</t>
  </si>
  <si>
    <t>appy95</t>
  </si>
  <si>
    <t>Summa Health</t>
  </si>
  <si>
    <t>1/9-1/10; date now canceled</t>
  </si>
  <si>
    <t>1/16-1/17</t>
  </si>
  <si>
    <t>U of Cincinnati</t>
  </si>
  <si>
    <t>OU- OKC</t>
  </si>
  <si>
    <t>Is anyone else freaking anxious all the time!! this process is so annoying+1</t>
  </si>
  <si>
    <t>Yes. Hate looking at the II tab…</t>
  </si>
  <si>
    <t>Jefferson</t>
  </si>
  <si>
    <t>pre (submitted in March)</t>
  </si>
  <si>
    <t>Email says attendance will not impact rank list</t>
  </si>
  <si>
    <t>pbaggg</t>
  </si>
  <si>
    <t>On the II by program tab, what is an "interview broker"? (dropdown option of how II was given)</t>
  </si>
  <si>
    <t>Thalamus?</t>
  </si>
  <si>
    <t>Prisma-Columbia</t>
  </si>
  <si>
    <t>Just the name of a different electronic system (https://www.interviewbroker.com/interview/)</t>
  </si>
  <si>
    <t>2/20-21</t>
  </si>
  <si>
    <t>We just need Thalamus right? Or even this interview broker? If so then are there others too?</t>
  </si>
  <si>
    <t>You don't need to make an account for this, the notification was by email and I was able to sign up via a link</t>
  </si>
  <si>
    <t xml:space="preserve">University of Tennessee, Knoxville </t>
  </si>
  <si>
    <t>UT Tyler</t>
  </si>
  <si>
    <t>not specified</t>
  </si>
  <si>
    <t>BCM (Houston)</t>
  </si>
  <si>
    <t>Are there ii on weekends?</t>
  </si>
  <si>
    <t>per last year's sheet, very very rare but happened a couple times</t>
  </si>
  <si>
    <t>does not impact rank list</t>
  </si>
  <si>
    <t>02/27-02/28</t>
  </si>
  <si>
    <t>yes, I received one for the 26th with previous social night</t>
  </si>
  <si>
    <t>IL, MI, OH, NC</t>
  </si>
  <si>
    <t>BSW - Temple</t>
  </si>
  <si>
    <t>oo</t>
  </si>
  <si>
    <t>What's the difference between the II by date and supplemental tabs?</t>
  </si>
  <si>
    <t>Medical College Wisconsin</t>
  </si>
  <si>
    <t>"II by date" shows the dates that folks are getting interview invites from programs. "Supplementals" shows when folks are getting supplemental applications from programs.</t>
  </si>
  <si>
    <t>post (PC said they will not even look at RSVP), rank list will be made by Feb 1</t>
  </si>
  <si>
    <t>UW mad</t>
  </si>
  <si>
    <t>WHEN DID U FEEL CONFIDENT IN THE OR???? question</t>
  </si>
  <si>
    <t xml:space="preserve">Does anyone know if UCF/HCA (Greater Orlando/Osceola) sends out all of their invites at once? Its one of my higher ranked programs based on location and I seen 5 people stated they got interviews and now Im worried they have sent all invites out. </t>
  </si>
  <si>
    <t>Check previous year's speadsheet and see what they did</t>
  </si>
  <si>
    <t xml:space="preserve">I did and it seems to be variable by year. </t>
  </si>
  <si>
    <t>OH, TX, OR, CO</t>
  </si>
  <si>
    <t>I believe you have nothing to lose by sending them a letter of interest, just in case! best of luck, and I have not seen the previous spreadsheets but I would guess they will send out more(just because of the early date) :)</t>
  </si>
  <si>
    <t xml:space="preserve">I am going to send one on moday. We will see how it shakes out. </t>
  </si>
  <si>
    <t>drpd</t>
  </si>
  <si>
    <t>Everyone is supposed to get this supplemental</t>
  </si>
  <si>
    <t>damn sad</t>
  </si>
  <si>
    <t>St. Luke's sent out their interview invites @9pm? &lt;&lt;I don't think so. What makes you say that? &lt;&lt; I saw under the "II by program" tab, maybe I misunderstood? &lt;&lt; I see. I didn't see anything under II by Date. Perhaps there may have been some interview invites sent out but definitely not substantial for it to be documented there &lt;&lt; double checked on eras, apparently they will be releasing invites on the universal release date so I'm not sure if what was said on II by program is accurate.</t>
  </si>
  <si>
    <t>Oop nvm, they just didn't want me lol.</t>
  </si>
  <si>
    <t>Please check junk email. I had no idea it went to my junk email</t>
  </si>
  <si>
    <t>CA, WA, HI, NC, MI, CO</t>
  </si>
  <si>
    <t>Curly</t>
  </si>
  <si>
    <t>Is there any particular time in a day when programs send out invites? When have you recieved most of your invites?</t>
  </si>
  <si>
    <t>Around noon seems pretty common</t>
  </si>
  <si>
    <t xml:space="preserve">Is 1hr 20 mins long for surgsjt response? Was working and doing it </t>
  </si>
  <si>
    <t>Kelly</t>
  </si>
  <si>
    <t>took me that long and i was at home just on an unmedicated adhd day lol, a different day it took a while because i was eating dinner at the end of the day</t>
  </si>
  <si>
    <t>it took me 2h</t>
  </si>
  <si>
    <t>I think 30 mins is normal</t>
  </si>
  <si>
    <t xml:space="preserve">Also took me 2 hours </t>
  </si>
  <si>
    <t>What does "home" mean on the II By Date tab? Is that hometown/home state/home program?</t>
  </si>
  <si>
    <t>99% sure it's home program</t>
  </si>
  <si>
    <t>AEN</t>
  </si>
  <si>
    <t>Leo</t>
  </si>
  <si>
    <t>SA</t>
  </si>
  <si>
    <t xml:space="preserve">Anybody know why there is a suddenly vacant PGY2 spot in McGaw Northwestern? Did they expand or something? </t>
  </si>
  <si>
    <t>yes they expanded</t>
  </si>
  <si>
    <t>complement increase - matching 7 this year and matching 8 the year after</t>
  </si>
  <si>
    <t>KS, MO, TX, NY, IL</t>
  </si>
  <si>
    <t>AP</t>
  </si>
  <si>
    <t xml:space="preserve">when is too early to send a letter of interest to a program that you've seen has sent out multiple interviews over several days? </t>
  </si>
  <si>
    <t>who has</t>
  </si>
  <si>
    <t xml:space="preserve">People usually wait at least 2 weeks before sending a LOI. </t>
  </si>
  <si>
    <t>Do LOI's even matter if they have signals?</t>
  </si>
  <si>
    <t>15/15</t>
  </si>
  <si>
    <t>JV</t>
  </si>
  <si>
    <t>Social media: public or private?</t>
  </si>
  <si>
    <t xml:space="preserve">Private </t>
  </si>
  <si>
    <t>Public</t>
  </si>
  <si>
    <t>Private unless it's full of you curing cancer, winning Nobel prizes, or something like that</t>
  </si>
  <si>
    <t>private</t>
  </si>
  <si>
    <t>NY,NJ,PA,OH,MI</t>
  </si>
  <si>
    <t>MW</t>
  </si>
  <si>
    <t>south atlantic</t>
  </si>
  <si>
    <t>lemonlime</t>
  </si>
  <si>
    <t>NM, TX, MA, VT, DC, CA</t>
  </si>
  <si>
    <t>JoeyBrrr</t>
  </si>
  <si>
    <t xml:space="preserve">Do open houses still happen in october? I didn't know they were a thing until now </t>
  </si>
  <si>
    <t>MedApplicantTears</t>
  </si>
  <si>
    <t>When you guys say u get it on eras what does that mean? Do you also recive an email ?</t>
  </si>
  <si>
    <t xml:space="preserve">Check the message center on eras. You get an email too but it's possible it could somehow end up in spam or you miss the Email. </t>
  </si>
  <si>
    <t>Bookwalter</t>
  </si>
  <si>
    <t>bro I just want an interview (10/8 got one!)</t>
  </si>
  <si>
    <t>30+</t>
  </si>
  <si>
    <t>RT +10</t>
  </si>
  <si>
    <t>TX, FL, OH, AZ, SC</t>
  </si>
  <si>
    <t>Legim</t>
  </si>
  <si>
    <t>Any Non-US IMG got an II so far?</t>
  </si>
  <si>
    <t>no +6</t>
  </si>
  <si>
    <t>yes &lt; where</t>
  </si>
  <si>
    <t>yes&lt;&lt;  &lt; where</t>
  </si>
  <si>
    <t>PA, NJ, NY, FL</t>
  </si>
  <si>
    <t>Any Non-US IMG got a suplemental so far?</t>
  </si>
  <si>
    <t>yes, +5</t>
  </si>
  <si>
    <t>Which programs? Iowa, WashU</t>
  </si>
  <si>
    <t>Same Here! Iowa, WashU, Columbia, and U Illinois</t>
  </si>
  <si>
    <t xml:space="preserve">did you signal them? &gt; Got them without signaling 
R: Got them without signaling </t>
  </si>
  <si>
    <t xml:space="preserve">Looks like everyone gets them. I wouldn't get my hopes up just yet. </t>
  </si>
  <si>
    <t>I forgot to assign my photo and score... Suggestions?</t>
  </si>
  <si>
    <t>KMNR</t>
  </si>
  <si>
    <t>email every program u applied to</t>
  </si>
  <si>
    <t>I forgot to upload those until the 30th, I didnt send any emails after seeing everyone say not jump the gun on emailing them. should I go back and email everyone?</t>
  </si>
  <si>
    <t>I saw a few posts by PDs on Twitter saying that they don't download and print ERAS applications anymore, and just view them online.  And that every time an ERAS application updates, the PDs immediately get the updated version. So PDs are requesting no emails for LOR (and other) updates. But obvs its scary so you can still email them, but do it knowing that they might get a little annoyed</t>
  </si>
  <si>
    <t>PC - I have received so many of these type of emails. I just ignore them. If it meets our filter parameters, it will update in our queue regardless of date uploaded. We know it is stressful, but most of us don't have the bandwidth to reply to all of these type of emails. For some reason, it seems like there is a large uptick in these type of emails compared to previous years.  +1</t>
  </si>
  <si>
    <t>CA, NY, PA</t>
  </si>
  <si>
    <t>Any us img get an ii</t>
  </si>
  <si>
    <t>i havent</t>
  </si>
  <si>
    <t>docandrogen</t>
  </si>
  <si>
    <t>me neither T_T</t>
  </si>
  <si>
    <t>MI, IA, SC</t>
  </si>
  <si>
    <t>lefty</t>
  </si>
  <si>
    <t>CA, NY, TX, MN, OH, IL, GA, MD</t>
  </si>
  <si>
    <t>BJC</t>
  </si>
  <si>
    <t xml:space="preserve">TN, PA, OH </t>
  </si>
  <si>
    <t>JurassicPark</t>
  </si>
  <si>
    <t xml:space="preserve">Just out of curiosity, for those who applied to 60, 70+ programs, can I ask why? My school, program directors, advisors all recommended like 30-40 given that signaling was expanded. Just truly curious if other schools were telling people differently. </t>
  </si>
  <si>
    <t>cheaper to apply to 100+ than to soap +4</t>
  </si>
  <si>
    <t>My USMD advising was pretty conservative with their recommendation even though strong stats applicant (26x, AOA etc), said without data of what 15 signals really does to gen surg they recommend applying similarly to prev years ie 50-80 programs</t>
  </si>
  <si>
    <t>I come from a decently strong med school. My program told me 35-35 too. guess its that anxiety in me lmao applied to 65</t>
  </si>
  <si>
    <t>My program director said we don't know how they're going to use the 15 signals (as in will programs still give interviews outside of signals) since it's the first year so to apply to 60-75 programs &lt;&lt; +1 (though it really feels like a waste of money, I just went with their advice)</t>
  </si>
  <si>
    <t>I applied to &lt;40.</t>
  </si>
  <si>
    <t>Because my step 2 sucks</t>
  </si>
  <si>
    <t>My school honestly didn't suggest anything and neither did other residents. One resident threw out the 70-80 number so I applied to 103 because I am not a strong applicant.</t>
  </si>
  <si>
    <t>MO, IA, KS, NE, TX</t>
  </si>
  <si>
    <t>Batman</t>
  </si>
  <si>
    <t>East North Central</t>
  </si>
  <si>
    <t>MI, WI, MO, KS, IA, KY</t>
  </si>
  <si>
    <t>Tweadless</t>
  </si>
  <si>
    <t>For programs that required personal statement personalization, like minnesota but you didn't do it do you think that will count against you?</t>
  </si>
  <si>
    <t>Orlando requires it, but I was able to upload one and assign it yesterday</t>
  </si>
  <si>
    <t xml:space="preserve">I think this is a good PD/PC question </t>
  </si>
  <si>
    <t>Orlando requires personal statement personalization? Which program?</t>
  </si>
  <si>
    <t>CA, DC, NC, MI, OH, CT, FL</t>
  </si>
  <si>
    <t xml:space="preserve">is there a list of programs that do this lol feeling paranoid </t>
  </si>
  <si>
    <t>Steez</t>
  </si>
  <si>
    <t>Anyone else get tufts surgwise? sent to everyone?</t>
  </si>
  <si>
    <t xml:space="preserve">got it this morning. </t>
  </si>
  <si>
    <t>see "Supplementals" tab for more details, looks like ~90% are getting</t>
  </si>
  <si>
    <t>I didn't get it+1</t>
  </si>
  <si>
    <t>where is the supplementals tab?</t>
  </si>
  <si>
    <t>cuddly grape</t>
  </si>
  <si>
    <t>Interesting observation, not sure how meaninfgul it is... but most II's recorded are +Geo</t>
  </si>
  <si>
    <t>Its making me regret putting no pref</t>
  </si>
  <si>
    <t>&lt;&lt; try to not worry about this too much. most programs are coming out with their IIs on the 23rd</t>
  </si>
  <si>
    <t>MI, IL, IN, MO</t>
  </si>
  <si>
    <t>rb</t>
  </si>
  <si>
    <t>IMGs -- are you getting supplementals? I only got it from Wash U.</t>
  </si>
  <si>
    <t>Only the ones sent our to everyone like uic and columbia +1</t>
  </si>
  <si>
    <t>Oh I did not get it from UIC.</t>
  </si>
  <si>
    <t>&lt; U illinois peoria sent to everyone, chicago did not sent supplemental to my knowledge</t>
  </si>
  <si>
    <t xml:space="preserve">I also did not get from uic. </t>
  </si>
  <si>
    <t>IL, MI, OH, MA, NY, NJ, CA, WA, OR</t>
  </si>
  <si>
    <t>AU</t>
  </si>
  <si>
    <t>so should we be applying to both categorical + prelims at the same places, or are yall waiting to apply to prelims later in the cycle</t>
  </si>
  <si>
    <t>I am US MD with 25x step 2, told by home PD to apply to just categoricals</t>
  </si>
  <si>
    <t>I was today years old to know that you can apply to prelim at later point. I should have only applied to categorical everywhere. Anyway my question is if I decide to apply to some prelim program where I have only applied for categorical, can I do that and do I need to pay anything extra?</t>
  </si>
  <si>
    <t>I was told to just apply categorical and soap if i need to since it looks very desperate to apply both and that it will be like waving my red flags around if i apply both everywhere, so I only applied both to the really competitive programs where it made sense. My app does have red flags.</t>
  </si>
  <si>
    <t>As an IMG, the advise i got was to apply to both everywhere. US MDs get the privilege of applying to only categorical lol x4</t>
  </si>
  <si>
    <t>do you guys reply to the eras messages and stuff where they ask for supplemental info or anything and say you submitted it? like basically is it wrong to not reply to some of the messages</t>
  </si>
  <si>
    <t>no need to reply on ERAS unless told to do so</t>
  </si>
  <si>
    <t>thanks!!</t>
  </si>
  <si>
    <t>CA, LV, OR</t>
  </si>
  <si>
    <t>Grr88</t>
  </si>
  <si>
    <t>I am taking my Step 2 exam in October because I was going through cancer treatment during my MS3 year then needed time to recover from treatment so I could come back my MS4 year stronger. I am seeing that I am not getting sent supplementaries to the same extent as other applicants which confirms (in my biased viewpoint) my suspicion that my application is being filtered out due to not having a score. I want to email programs to let them know when my score will come out and reaffirm my interest in hopes that I may still be considered for an interview. I tried emailing a few programs with no response. I feel bad, like I am just adding to their overwhelming inbox. But I want to try and overcome this situation. Are there any PD/PCs here that can advise me on whether I should just back away from the emails and give the inboxes their own time to recover? What are everyone else's opinions here? My PD at my program told me that I could try and see what happens - but she is so diplomatic that I fear she just didn't want to upset me by telling me not to email anyone.</t>
  </si>
  <si>
    <t>Sorry, friend, there are things more important than the match. It sounds like a very compelling email. My vote would be - what's the downside to sending emails?</t>
  </si>
  <si>
    <t>MI, OH, FL</t>
  </si>
  <si>
    <t>email everyone. what do you have to lose? without a step 2 score you will likely get filtered out anyway so keeping quiet will definitely get you no interviews. but emailing has the potential to catch someone who is sympathetic. thats just my opinion</t>
  </si>
  <si>
    <t>N95</t>
  </si>
  <si>
    <t>Sending lots of love your way and hope this is a great year for you!</t>
  </si>
  <si>
    <t xml:space="preserve">PC - Agree with your PD. You can send an email explaining your circumstances. It shows impressive grit to take on med school and cancer treatment at the same time. Hope you are feeling better in your MS4 year. </t>
  </si>
  <si>
    <t>OP here: emailed a chunk of programs to see how it would go, one of them responded saying they would make note of the step score release date, when I tried to respond to say thank you, I got a mail delivery notification saying I literally had been blocked... system error? maybe they blocked me to avoid bias? no idea... so... now I am thinking this was a terrible idea to try reaching out to any programs. Also thank you to all who replied. I am definitely feeling much better and ready to take on residency.</t>
  </si>
  <si>
    <t>hi, i applied 4 years ago (current pgy4). I took step 2 in october, and sent an update email reaffirming my interest in their program with an attached score report once my score returned. best of luck. you could certainly email programs to tell them you are planning to take step 2 -- I would definitely try to get ahead of the game in that regard -- but maybe avoid mentioning your personal health struggles as programs may (unfairly) see that is a liability. fwiw, I took an educational leave of absence which I NEVER mentioned, although it was clearly visible on my transcripts, and no one ever asked me about it and I had no issue getting interviews.</t>
  </si>
  <si>
    <t>NY, PA, OH, MD, VA, CT, RI</t>
  </si>
  <si>
    <t>USA interview invite sent out</t>
  </si>
  <si>
    <t>Whats usa</t>
  </si>
  <si>
    <t>JBee</t>
  </si>
  <si>
    <t>South Alabama</t>
  </si>
  <si>
    <t>Congrats!!</t>
  </si>
  <si>
    <t>Whats oos is on the interview sheet?</t>
  </si>
  <si>
    <t>out of state</t>
  </si>
  <si>
    <t>NY, PA, OH, GA</t>
  </si>
  <si>
    <t>Shepherd</t>
  </si>
  <si>
    <t>Any IMG that got an II so far? What programs ? +1</t>
  </si>
  <si>
    <t>EMR</t>
  </si>
  <si>
    <t>Call/Float Details</t>
  </si>
  <si>
    <t>what program?, IMG here</t>
  </si>
  <si>
    <t>Unique Features</t>
  </si>
  <si>
    <t>TX,NY,LA,CA,OK,MI,NJ</t>
  </si>
  <si>
    <t>PD</t>
  </si>
  <si>
    <t>Jean</t>
  </si>
  <si>
    <t>Does Swedish medical center offer in person II only?</t>
  </si>
  <si>
    <t>Chair Letter?</t>
  </si>
  <si>
    <t>NY, PA, OH, FL, CON, SC</t>
  </si>
  <si>
    <t>catmom</t>
  </si>
  <si>
    <t>Custom Personal Statement?</t>
  </si>
  <si>
    <t>whats up with these seattle programs releasing interviews first</t>
  </si>
  <si>
    <t>IDK but I signaled and haven't gotten any thing. Cries +3</t>
  </si>
  <si>
    <t>Column 10</t>
  </si>
  <si>
    <t>FL, PA, OH, MI, WV, SC</t>
  </si>
  <si>
    <t>Boston medical center was on the ii sheet now it isnt?</t>
  </si>
  <si>
    <t xml:space="preserve">its still on the list by date </t>
  </si>
  <si>
    <t>weflyhigh</t>
  </si>
  <si>
    <t>Anyone receive email from UC Riverside? they saying application wont be reveiwed unless its complete. My application has everything, confused as to whether its just a general email or was sent because i am missing something?</t>
  </si>
  <si>
    <t>Believe it's a general email. I got the same notification. +8</t>
  </si>
  <si>
    <t>jakcysmom</t>
  </si>
  <si>
    <t xml:space="preserve">Can anyone please tell me if there are any spots left for VMF-St. Joseph's. Please, please? </t>
  </si>
  <si>
    <t xml:space="preserve">Looks like there are 3 spots left </t>
  </si>
  <si>
    <t>L1 Trauma</t>
  </si>
  <si>
    <t>Did they send all of their interview sopts in one wave?</t>
  </si>
  <si>
    <t>Dr. Brittany Corey</t>
  </si>
  <si>
    <t>NY,IL</t>
  </si>
  <si>
    <t>Happy pentultimate day of September everyone! Just to confirm, the deadline for Columbia peer LOR is for information/email submission, correct? When is the actual peer LOR due?</t>
  </si>
  <si>
    <t>10/3 is the due date to indicate who your letter writer is. Per my friend the actual peer LOR is due 10/25</t>
  </si>
  <si>
    <t xml:space="preserve">big daddy </t>
  </si>
  <si>
    <t xml:space="preserve">southeast </t>
  </si>
  <si>
    <t>&lt;- thank you!</t>
  </si>
  <si>
    <t>I submitted my application at 7:30 am (on the 25th) not knowing that it takes a while for the USMLE transcript to be processed after payment. Should I be concerned that everything was submitted by 9:36 am?</t>
  </si>
  <si>
    <t>santal</t>
  </si>
  <si>
    <t>Did everyone get a UT San antonio secondary</t>
  </si>
  <si>
    <t>Apple Fritter</t>
  </si>
  <si>
    <t xml:space="preserve">Mayo </t>
  </si>
  <si>
    <t>HUGE week coming out. Looking at last year spreadsheet a few programs released interviews one week later</t>
  </si>
  <si>
    <t>Feel like some programs might send today lol</t>
  </si>
  <si>
    <t>do you have the link to last years spreadsheet?</t>
  </si>
  <si>
    <t xml:space="preserve">it's in the overview tab </t>
  </si>
  <si>
    <t>SilentShard</t>
  </si>
  <si>
    <t>Do we have to complete the UT San Antonio SelecWise in one sitting? and also do the tiime we complete it in matters?</t>
  </si>
  <si>
    <t>It's timed but I don't think they gave a cutoff. Directions say they recommend one sititng.</t>
  </si>
  <si>
    <t>night float + 2 nights of home call per week (shared amongst entire call pool)</t>
  </si>
  <si>
    <t>What date to II start coming mostly</t>
  </si>
  <si>
    <t xml:space="preserve">chief year - chiefs act as junior attendings, afforded significant autonomy. Mentorship model </t>
  </si>
  <si>
    <t>Simpy</t>
  </si>
  <si>
    <t xml:space="preserve">Oct 23. lol can we post this somewhere so people see it more easily </t>
  </si>
  <si>
    <t>Southwest</t>
  </si>
  <si>
    <t>If you go on II by Date, it's pretty apparent</t>
  </si>
  <si>
    <t>Megan Nelson</t>
  </si>
  <si>
    <t>Heard some community programs may send out earlier</t>
  </si>
  <si>
    <t>Yeah some may! But most programs are going by the guidelines of Oct 23, which is confirmed by most programs' websites or social accounts</t>
  </si>
  <si>
    <t>For those who got interviews? Signaled? connections? home programs?</t>
  </si>
  <si>
    <t>Any programs that have sent out interview invites?</t>
  </si>
  <si>
    <t xml:space="preserve">brookwood baptist Alabama </t>
  </si>
  <si>
    <t>Midwestern</t>
  </si>
  <si>
    <t>USA 9/30</t>
  </si>
  <si>
    <t>CT, MA, ME, NY, PA</t>
  </si>
  <si>
    <t>aventine</t>
  </si>
  <si>
    <t>Their website says they ask all applicants for a peer letter +3 &lt; did not apply but heard about this from a friend. can someone explain what the heck the point is for this? surely 50% are written by the applicant and signed by the "peer" is it just a hoop to jump through to prove your interest??</t>
  </si>
  <si>
    <t>is there a way to see if the programs have downloaded your application?</t>
  </si>
  <si>
    <t>Dr. Suemoy Wallace</t>
  </si>
  <si>
    <t>c</t>
  </si>
  <si>
    <t>Most don't download.  They can review and comment in ERAS.  Also it catches all updates automatically.</t>
  </si>
  <si>
    <t>probably getting 2 new LOR's processed today on ERAS. Do I email all the programs? +1</t>
  </si>
  <si>
    <t xml:space="preserve">PC - Please don't. We get a ton of these emails in the first few days and they are annoying. I just delete them. Most of us know that there is a lot of activity in the first few days.  </t>
  </si>
  <si>
    <t>Are you sure about not updated programs? does it automatically inform programs when new LORs are posted? Afraid to be filtered out because only 2 LORs got processed by the deadline and 2 should be done today</t>
  </si>
  <si>
    <t>You can do whatever you want, but most of us are too busy to go even look when we get one of these emails. There is a tracker that shows us all new activity and can see everything that was updated. We make a custom filter, so if you meet the qualifications then you will automatically be put in there.  We have over a thousand applications to look at, most of us are going through applications for weeks. Having two LORs in the beginning would not penalize you at our program, we understand that some faculty send them in late.</t>
  </si>
  <si>
    <t xml:space="preserve">Awesome! Thank you for the feedback. Good luck reviewing and interviewing! </t>
  </si>
  <si>
    <t xml:space="preserve">&lt; @ PC would it be irritating to receive an email to explain something about the application that would cause someone to be filtered out when if they weren't filtered out and the app were seen, it would have a very reasonable explanation? </t>
  </si>
  <si>
    <t>U of A - Phoenix</t>
  </si>
  <si>
    <t xml:space="preserve">Anyone that got an interview for Swedish (Seattle) see any of the dates beyond october? I can only see Oct 17/31. Thanks!! </t>
  </si>
  <si>
    <t>When did you get II?</t>
  </si>
  <si>
    <t>Phoeniz</t>
  </si>
  <si>
    <t>This morning!</t>
  </si>
  <si>
    <t>For peoeple with interview, what dates were offered?</t>
  </si>
  <si>
    <t>JackBlack</t>
  </si>
  <si>
    <t>US IMGs what supplements have you guys received? please indicate if it was geo and signaled</t>
  </si>
  <si>
    <t>Nyp and washigton only+2</t>
  </si>
  <si>
    <t>Night float, no 24 hour call</t>
  </si>
  <si>
    <t xml:space="preserve">Did anyone else receive 2 emails from UT San Antonio about completing SurgWise or something? </t>
  </si>
  <si>
    <t>yup, felt like the second email was just a confirmation of the first +1</t>
  </si>
  <si>
    <t>Yeah. I guess it's a good sign?</t>
  </si>
  <si>
    <t>I only got 1 email about surgwise, what was the second email? Also is there a way to prepare for this thing?</t>
  </si>
  <si>
    <t xml:space="preserve">Second email was just letting you know there was another email from selectwise </t>
  </si>
  <si>
    <t>&lt;any IMG here?</t>
  </si>
  <si>
    <t>me! IMG +1 &lt;&lt; did you signal?</t>
  </si>
  <si>
    <t>YES+1</t>
  </si>
  <si>
    <t>zr</t>
  </si>
  <si>
    <t>Whats the average ppl apply to bc why did the apps fee cost me almost $2k jesus</t>
  </si>
  <si>
    <t>87, ~2k</t>
  </si>
  <si>
    <t>Depends on stats, I've heard anywhere from 50-100</t>
  </si>
  <si>
    <t>i applied to &gt;120- over 3000</t>
  </si>
  <si>
    <t>Amateur Numbers i applied &gt;250, cost me 8k FML</t>
  </si>
  <si>
    <t>50 programs, so a little under $1000. I don't regret it... yet (ask me mid-Oct, RIP)</t>
  </si>
  <si>
    <t>NJ,IL,CT,MD,NV,LA</t>
  </si>
  <si>
    <t>Rudesandbees</t>
  </si>
  <si>
    <t>anyone get confirmations or secondaries</t>
  </si>
  <si>
    <t>yes check the supplemental tab</t>
  </si>
  <si>
    <t>q4 call (24+4) when on trauma</t>
  </si>
  <si>
    <t>MI, CA, IL, WA</t>
  </si>
  <si>
    <t xml:space="preserve">Level 1 Trauma, hybrid program </t>
  </si>
  <si>
    <t>i got an email from h-s alerts from lifebridgehealth saying i got assigned something called the patient experience and you</t>
  </si>
  <si>
    <t>did you signal them?</t>
  </si>
  <si>
    <t>Skyfullofstars</t>
  </si>
  <si>
    <t>Dr. Angela Neville</t>
  </si>
  <si>
    <t>also +1 regarding this- id dint get anything</t>
  </si>
  <si>
    <t>Wash u saying they sent something to everyone who applied? +1</t>
  </si>
  <si>
    <t>Do student who applied- glad to see i can get filtered easily</t>
  </si>
  <si>
    <t>NY,FL,MN,CA</t>
  </si>
  <si>
    <t xml:space="preserve">Just to clarify,  this is WashU St louis,  not university of Washington.   Let's specify the program names to avoid confusion and keep our sanity </t>
  </si>
  <si>
    <t>What did Wash U st louis send out --&gt;ERAS request for supplemental information/ secondary application&lt; a three question free answer seconday</t>
  </si>
  <si>
    <t>sj</t>
  </si>
  <si>
    <t>HCA - Riverside Community Hospital</t>
  </si>
  <si>
    <t>For anyone planning on writing Letters of interest, how does it work, and how do you know if the program responds well to them or not? +3</t>
  </si>
  <si>
    <t>What do y'all know about dealing with the interview drop day while on an away? Will programs be lenient with students trying to check phone to schedule interviews?</t>
  </si>
  <si>
    <t>Night Float/24 hybrid</t>
  </si>
  <si>
    <t>Sadly I dont think they would care</t>
  </si>
  <si>
    <t xml:space="preserve">Level 1 ACS Trauma. High resident involvement with UCRSOM &amp; now CUSM (workshops, lectures, interest groups, med student rotation, research), Early operative experiences </t>
  </si>
  <si>
    <t>Dr. Emily Dubina</t>
  </si>
  <si>
    <t>ss</t>
  </si>
  <si>
    <t>Any progrms that have a set day for sending out IV ? could we make a list +2</t>
  </si>
  <si>
    <t>wisconsin 10/31</t>
  </si>
  <si>
    <t>cleavland on or before nov 8</t>
  </si>
  <si>
    <t>columbia 10/30</t>
  </si>
  <si>
    <t>northwestern 10/30</t>
  </si>
  <si>
    <t>Utah 10/24-26</t>
  </si>
  <si>
    <t xml:space="preserve">UCI 10/23 </t>
  </si>
  <si>
    <t>UT-Austin 10/23</t>
  </si>
  <si>
    <t>Anyone got emails from programs acknowleding that they have recieved your application?</t>
  </si>
  <si>
    <t xml:space="preserve">only 1 of ~60, and they were just checking to ask which of their tracks I preferred bc I applied to both and apparently needed to select one </t>
  </si>
  <si>
    <t>Just got one from Riverside 9//30</t>
  </si>
  <si>
    <t>Night float, 1-2 24's a month, no night shift for intern or 24h call</t>
  </si>
  <si>
    <t xml:space="preserve">Level 2 trauma center, most surgical subspecialties, good operating volume, beautiful area </t>
  </si>
  <si>
    <t>150+</t>
  </si>
  <si>
    <t>Dr. Philip Frykman</t>
  </si>
  <si>
    <t>feels good to finally close this eras tab on my computer! lol</t>
  </si>
  <si>
    <t>obsessively checking to make sure everything is as it's supposed to be +1</t>
  </si>
  <si>
    <t>TX,MI,NC,GA,AZ,CT,DE</t>
  </si>
  <si>
    <t>Is there any set date that most programs start sending out interviews? If not include what program and what date to expect interviews rolling</t>
  </si>
  <si>
    <t>Yes, Oct 23 is the start. From these guidelines (https://students-residents.aamc.org/media/13466/download)</t>
  </si>
  <si>
    <t>ahhhhhh</t>
  </si>
  <si>
    <t>SurgeonYogi</t>
  </si>
  <si>
    <t>Can someone that has a reddit account ask this post (https://www.reddit.com/r/ResidencyMatch2025/comments/1fd5ylc/2025_match_residency_spreadsheets/) to update their gen surg link? Currently sending folks to an inactive spreadsheet</t>
  </si>
  <si>
    <t>Yes, please, i spent 2 weeks on that inactive spreadsheet before finding this one (pink so that mods notice this)</t>
  </si>
  <si>
    <t>&lt;---- +1, I just found this spreadsheet and I wish I had known earlier!!</t>
  </si>
  <si>
    <t>&lt; +1 same here, ugh I just found this spreadsheet after submitting and all that</t>
  </si>
  <si>
    <t>mod: done mes amis</t>
  </si>
  <si>
    <t>Level 1 trauma w/ high vol penetrating trauma. 2mo rotation in Malawi during PGY4 (can opt out)</t>
  </si>
  <si>
    <t>To clarify - for class quartile, is "best" 4? Seems like people are all interpretting this way (based loosely on reported grades)</t>
  </si>
  <si>
    <t>Dr. Jukes Namm</t>
  </si>
  <si>
    <t>No, 1 is the best quartile</t>
  </si>
  <si>
    <t>Can the mod make a note on that column bc people are clearly interpretting this in different ways</t>
  </si>
  <si>
    <t>mod: done. thanks for bringing this to my attention on the overview page</t>
  </si>
  <si>
    <t>Optional</t>
  </si>
  <si>
    <t>OH, KY, MI, FL</t>
  </si>
  <si>
    <t>Jr</t>
  </si>
  <si>
    <t>Anyone get supplemental emails yet?</t>
  </si>
  <si>
    <t>yes, two so far (MCW and Illinois-Peoria) +2</t>
  </si>
  <si>
    <t>Does it mean anything? Like good, neutral?</t>
  </si>
  <si>
    <t>im assuming good- i applied and didnt get a secondary</t>
  </si>
  <si>
    <t>For Illinois, everyone gets it was what I understood from the email. For MCW, they have some selection filter, probably step score or something</t>
  </si>
  <si>
    <t>RUHS</t>
  </si>
  <si>
    <t>got the uicomp but not MCW +1</t>
  </si>
  <si>
    <t>got one from MCW</t>
  </si>
  <si>
    <t>I got one from Icahn at Mount Sinai/Valley Health as a welcome email and also WashU's secondary app. seems washu sends secondary apps to everyone (?)</t>
  </si>
  <si>
    <t xml:space="preserve">Swedish </t>
  </si>
  <si>
    <t>just noticed that a program needs a personalized ps what should i do any advice?</t>
  </si>
  <si>
    <t xml:space="preserve">same. i added to my original and assigned it...don't know if it will make a difference though at this point. was UMN for those wondering. then i emailed them because i'm insane and have nothing to lose. </t>
  </si>
  <si>
    <t>TX, OK, FL, PA, OH, CT</t>
  </si>
  <si>
    <t xml:space="preserve">can i just assign it to one program the new one after i ceritifed and eveyrthing ? yes, but if they already downloaded your app it may not be seen. </t>
  </si>
  <si>
    <t>Night float, no 24 hr as interns</t>
  </si>
  <si>
    <t>im so annoyed that i didnt notice how dumb</t>
  </si>
  <si>
    <t xml:space="preserve">Yeah, it's annoying but they do this precisely for this reason. To filter out applicants who are genuinely interested in the program vs just applying for the hell of it. I am annoyed too, but it makes sense why they would do it. Applicants that are interested in the program would have caught this by going through their website thoroughly :( </t>
  </si>
  <si>
    <t>could u lmk if they reply to ur email +1</t>
  </si>
  <si>
    <t>BBBB</t>
  </si>
  <si>
    <t>I hear BU also does this :(</t>
  </si>
  <si>
    <t>did this same mistake for U of Minnesota. updated it and emailed them. we'll see if they even consider my app now :'(</t>
  </si>
  <si>
    <t>Level 1 trauma</t>
  </si>
  <si>
    <t>Dr. Afshin Molkara</t>
  </si>
  <si>
    <t>is this anon by defult? or do i have to so smth</t>
  </si>
  <si>
    <t>yep default</t>
  </si>
  <si>
    <t>TX, FL, LA, AZ, NM, MS</t>
  </si>
  <si>
    <t>SPK</t>
  </si>
  <si>
    <t>Does anyone else know if you're royally screwed if you didn't end up submitting until 11 minutes after the deadline although everything was complete on ERAS? I've heard some programs review directly on ERAS, some will print out apps but not sure what it's like at the majority of places. User error but I guess there is no way to know for sure.</t>
  </si>
  <si>
    <t>Not to make you panic but my PD did say they wont go back and look at people who submitted after deadline and most programs won't :(</t>
  </si>
  <si>
    <t>Do you mean the official deadline or the 9/25 deadline????</t>
  </si>
  <si>
    <t>&lt; I am not sure what OP meant but I know my PD said not to bother submitting anything past the deadline since it will show that you were late and didn't care to submit on time, now 11 minutes I don't think is such a big deal. A day I think is.</t>
  </si>
  <si>
    <t xml:space="preserve">IMGS what did you guys signal it was such a struggle </t>
  </si>
  <si>
    <t>Mainly IMG friendly programs, 12 in my Geoprefs and 3 outside. used RE to find programs that were atleast 30% IMG and made personalized PS for them. +1</t>
  </si>
  <si>
    <t>q3 call (24+4) when on trauma</t>
  </si>
  <si>
    <t>TG</t>
  </si>
  <si>
    <t>I ended up being stupid and just signaling random programs :( Signals are imp but I was just so tired. I think the formula is to list all your programs in order of best to worst. And then to signal the first 15 in that list that you actually have a shot with (ex: IMG friendly, did rotations at, etc)</t>
  </si>
  <si>
    <t>IMG friendly programs and places with previous strudents from my country/school.</t>
  </si>
  <si>
    <t xml:space="preserve">&lt;&lt; Same! </t>
  </si>
  <si>
    <t>Dr. Rachel Hight</t>
  </si>
  <si>
    <t>Did anyone receive an email from Sinai?::Yes, Icahn (Valley Health)</t>
  </si>
  <si>
    <t>which one there multiple</t>
  </si>
  <si>
    <t>just got a thank you for applying one</t>
  </si>
  <si>
    <t xml:space="preserve">Icahn Mt.Sinai? </t>
  </si>
  <si>
    <t xml:space="preserve">not op but, its icahn sinai Valley health, It's like thank you for applying and Don't contact us.  probably sent to all the applicants +1 </t>
  </si>
  <si>
    <t>&lt;&lt;Gotcha. Thanks. Wondering if it was Icahn sinai main</t>
  </si>
  <si>
    <t>&lt;&lt;&lt; yah can we pls specify program names haha</t>
  </si>
  <si>
    <t>Is there anything that we need to do after we submit/certify and assign the documents and then pay for the programs? I checked to make sure that my USMLE transcript was sent but Im wondering if I need to check anything else before tomorrow</t>
  </si>
  <si>
    <t>Hound Dawg</t>
  </si>
  <si>
    <t>Does anyone know if Oklahoma state takes MD applicants?</t>
  </si>
  <si>
    <t>yes, if you meet the requirements on thir website</t>
  </si>
  <si>
    <t>Epic + VA's EMR</t>
  </si>
  <si>
    <t>Night float system</t>
  </si>
  <si>
    <t>Multiple different training settings available with 2 level 1 trauma (county hospital and university hospital), stand alone children's hospital, stand alone VA; and private practice hospital. MInimal fellows</t>
  </si>
  <si>
    <t>Oathbringer</t>
  </si>
  <si>
    <t>Dr. Mark Nehler</t>
  </si>
  <si>
    <t>I just submitted all apps at 8:55 PM. Did i screw myself over by submitting in the evening? Im now worried about the time it will take for programs to receive my USMLE step scores...</t>
  </si>
  <si>
    <t>Nah, they should be processed before tomorrow morning</t>
  </si>
  <si>
    <t>26X</t>
  </si>
  <si>
    <t>&lt;&lt;Ya i just checked and it's processed now. THANKS! Im really startig to panic and over think everything right now lol</t>
  </si>
  <si>
    <t>&lt;&lt;aren't we all  :(</t>
  </si>
  <si>
    <t>PC - No, we will be continuously looking at all our applications through the upcoming weeks</t>
  </si>
  <si>
    <t>20+</t>
  </si>
  <si>
    <t>i think some schools send supplemental apps after the initial eras submssion</t>
  </si>
  <si>
    <t>how many cat? 7-8</t>
  </si>
  <si>
    <t xml:space="preserve">A lot of programs didn't update their websites. Last year's ERAS had a supplemental portion which is now incorporated into the 2025 ERAS itself </t>
  </si>
  <si>
    <t>Danbury Hospital</t>
  </si>
  <si>
    <t>OperationLaugh</t>
  </si>
  <si>
    <t xml:space="preserve">US IMG </t>
  </si>
  <si>
    <t>I am seeing on ERAS that some programs have a "required away rotation" section that says 1? I have never heard of gen surg programs requiring away rotations?</t>
  </si>
  <si>
    <t>NY, NJ, CT, MA, FL</t>
  </si>
  <si>
    <t>SlimyColon</t>
  </si>
  <si>
    <t>Just submitted my app, i just wanted to say good luck to everyone here and may we all match into our top programs. Godspeed my fellow surgeons!</t>
  </si>
  <si>
    <t>is there a place where I can find a list of community based/smaller programs?</t>
  </si>
  <si>
    <t>Emory University</t>
  </si>
  <si>
    <t>What programs require custom personal statement, if any??????? PLEASE SOS</t>
  </si>
  <si>
    <t>mod here -- adding a column for this to program details</t>
  </si>
  <si>
    <t>Boston University Medical Center wants 2-4 sentences in their PS about why you want to train there/what you'll bring to the program</t>
  </si>
  <si>
    <t>Also Danbury Hospital in CT&lt;&lt; where does it state that Danbury requires this?</t>
  </si>
  <si>
    <t>CA, WA, OR, AZ, NV, NM, TX, LA, VA</t>
  </si>
  <si>
    <t>GGG</t>
  </si>
  <si>
    <t>Night float, q3-4 24hr</t>
  </si>
  <si>
    <t>24x</t>
  </si>
  <si>
    <t xml:space="preserve">Highest volume level 1 trauma center / public safetynet hospital east of the Mississippi, academic university medical center, urban community / academic hospital, Children's, 3 other community affiliated hospitals, standalone VA, </t>
  </si>
  <si>
    <t>59X</t>
  </si>
  <si>
    <t>Hi, I'm an IMG aspiring to apply for general surgery. I understand that most people in my position typically match into a prelim spot before securing a categorical position. I'm applying this cycle and would really appreciate any information on programs that actively help their prelim residents match.</t>
  </si>
  <si>
    <t>n=1 but an upperclassman at my school is doing a prelim at harbor-UCLA and I heard that it's likely she will match there. not sure what other programs take their prelims however</t>
  </si>
  <si>
    <t>Dr. Jahnavi Srinivasan</t>
  </si>
  <si>
    <t>AZ, OH, IL, TX, LA</t>
  </si>
  <si>
    <t xml:space="preserve">Is there any way to remove signal after assigning them? I want to remove 1 signal </t>
  </si>
  <si>
    <t>I think you can click to the signal tab where you clicked to add the signal and then select remove signal</t>
  </si>
  <si>
    <t>Ayb</t>
  </si>
  <si>
    <t>South west</t>
  </si>
  <si>
    <t>&lt;- Yeah what they said, it's really easy. Go to Programs -&gt; Saved Programs -&gt; Surgery -&gt; Scroll to the program you want to unsignal -&gt; Click the "Signal" dropdown -&gt; Click "Remove Signal"</t>
  </si>
  <si>
    <t>what are your schools' advice on geographic preferences vs. listing "no geographic preferences"?</t>
  </si>
  <si>
    <t>my school recommends providing preference, unless you 1. truly have no preference 2. have lower stats and want to widen your net</t>
  </si>
  <si>
    <t>NY, NJ,, PA, MD, OH, FL</t>
  </si>
  <si>
    <t xml:space="preserve">Put geo pref esp if the places you are geo preffing has lots of programs. Seems to help more than hurt people bc PDs will always see in the app if you prefed them and will be sorting thru a whole pile of other applicants who prefed them so if you didn't that may be a deciding factor </t>
  </si>
  <si>
    <t>skibum</t>
  </si>
  <si>
    <t>How can I figure out what the low tier and mid tier schools are if I literally have no idea what any places are? I have access to residency explorer and ERAS. Like what if I'm a dumb dumb who thinks I'm applying to things in my range but theyre actually not...</t>
  </si>
  <si>
    <t xml:space="preserve">I think using texas star really helped me figure that out.  You can filter programs based on step score and look at individual applicant information and see where they interviewed and matched. </t>
  </si>
  <si>
    <t>Dr. Enrique Elli</t>
  </si>
  <si>
    <t xml:space="preserve">Also look at the program websites/instagrams and see where their current residents come from, when they post their match lists they will usually say. That also helps you tell if they tend to take people from top ranked schools, if they're locationally driven, if they take DOs/IMGs more then they are often less competitive </t>
  </si>
  <si>
    <t>the issue with Texas star is that the numbers are very dirty with low N. I have not been using that as a determinant for low and mid tier programs. it's really a big problem</t>
  </si>
  <si>
    <t>PA, NJ, MD, GA, CO, TX, TN, NC, MA</t>
  </si>
  <si>
    <t>cicicicico</t>
  </si>
  <si>
    <t>If someone had an acknowledgement on a high impact journal article, what would they do about it? Can't go in publications right? So experiences only?</t>
  </si>
  <si>
    <t>I would put it in experiences</t>
  </si>
  <si>
    <t>There are some programs that have deadlines on Sept 16th, is this a mistake or will they stop accepting ERAS applications on that date even though all programs will receive applications on the 25th?</t>
  </si>
  <si>
    <t>which ones? Haven’t noticed any yet</t>
  </si>
  <si>
    <t>TX, FL, LA</t>
  </si>
  <si>
    <t xml:space="preserve">Henry Ford Wyandotte, Zucker school of medicine </t>
  </si>
  <si>
    <t>Where are you seeing the Sep 16 deadline for these programs? I don't see it listed for either of the programs you listed. Also I'm 99% sure that no programs are able to access our applications until Sep 25</t>
  </si>
  <si>
    <t>All EMRs</t>
  </si>
  <si>
    <t xml:space="preserve">Nevermind, I think they finally updated their websites, I have Match-A-Residents List of programs and they had a deadline approaching notice on those programs and when i checked the websites initially there was a line saying Sept 16th deadline but its no longer there. </t>
  </si>
  <si>
    <t>baba</t>
  </si>
  <si>
    <t xml:space="preserve">can a PGY-2 prelim apply through eras for surgery (PGY-1 categorical positions?) </t>
  </si>
  <si>
    <t>Dr. Danny Sleeman</t>
  </si>
  <si>
    <t>cellist</t>
  </si>
  <si>
    <t>US-West</t>
  </si>
  <si>
    <t>Does anyone know which programs require a chair letter?</t>
  </si>
  <si>
    <t>I haven't found a comprehensive list so I checked each program's website for requirements</t>
  </si>
  <si>
    <t xml:space="preserve">I would guess all, and an explaination as to why one wasn't included should be expected </t>
  </si>
  <si>
    <t>CA, NM, MI, MA, NY, PA, MO, FL</t>
  </si>
  <si>
    <t>lessthanoneweek</t>
  </si>
  <si>
    <t>Regarding LOR, if a program says "3," does that mean upload exactly 3, or does that mean minimum 3 (i.e. can upload 4)?</t>
  </si>
  <si>
    <t>I am wondering the same thing!! Seems like there isn't a clear answer on this. i think i may just add 4</t>
  </si>
  <si>
    <t>It literally says 3</t>
  </si>
  <si>
    <t xml:space="preserve">PC - You can do 3 LORs and one chair letter. Our program doesn't really care if there is more than 3 LORs. Especially if it is a mix of away and home LORs. </t>
  </si>
  <si>
    <t>&lt;- Thank you, PC! :)</t>
  </si>
  <si>
    <t>night float except peds is q2</t>
  </si>
  <si>
    <t>for the "# publications (ERAS)" column in the applicant info sheet, are you all counting everything that went into that section on our app or just counting manuscripts?</t>
  </si>
  <si>
    <t>Everything x2</t>
  </si>
  <si>
    <t>What does continued accreditation with warning mean? Should we be concerned if a program has been warned by ACGME?</t>
  </si>
  <si>
    <t>Daisy Domergue</t>
  </si>
  <si>
    <t>UF</t>
  </si>
  <si>
    <t>UofL Virtual Open House 9/5</t>
  </si>
  <si>
    <t>2024 Virtual Open House Flyer.pdf</t>
  </si>
  <si>
    <t>TX, CO, FL, MI, OH, PA, VA, AZ, LA, AL</t>
  </si>
  <si>
    <t>Vera Wang</t>
  </si>
  <si>
    <t>23X</t>
  </si>
  <si>
    <t>Mikki J</t>
  </si>
  <si>
    <t xml:space="preserve">UF Jacksonville </t>
  </si>
  <si>
    <t>TX, FL, OK, MI, PA, NY, CN</t>
  </si>
  <si>
    <t xml:space="preserve">hi guys, i cant see a discord, should we consider making one or is there one already made. if there isnt idm making one and posting the link but i dont wanna make one, if theres already one in place. </t>
  </si>
  <si>
    <t>https://discord.gg/Hm2saSqMzY</t>
  </si>
  <si>
    <t>Anon</t>
  </si>
  <si>
    <t xml:space="preserve">Night float system </t>
  </si>
  <si>
    <t>it doesn't seem to be working?</t>
  </si>
  <si>
    <t>High volume level 1 trauma center, optional research years, minimal fellows</t>
  </si>
  <si>
    <t>Just updated it with a permenant link, should work now</t>
  </si>
  <si>
    <t>mod--added the link to the top of the sheet</t>
  </si>
  <si>
    <t>Hi can anyone who has interviews check if ur programs have any openings as of today and comment  here literally struggling with 3 invites i wanna try and shoot my shot with some loi</t>
  </si>
  <si>
    <t>Or add ur dropped ones to the sheet :)</t>
  </si>
  <si>
    <t>The problem is that after interview is complete, dont have access to thalamus data anymore. So since we are deep into interview season already, less people can see the data and post. I wouldnt rely on this page to send LOI's. Probably have nothing to lose sending LOIs but prob wont help much either. &lt;&lt; oh i didnt know that thanks!</t>
  </si>
  <si>
    <t>Has anyone  interviewed with Wycoff Height on the 3rd and what was the experience like/questions asked?</t>
  </si>
  <si>
    <t>why? was it weird for you</t>
  </si>
  <si>
    <t>no, I have an interview with them tomorrow so I want to have an idea of what the interview is like. any updates?</t>
  </si>
  <si>
    <t xml:space="preserve">On previous spreadsheet i keep on reading bad comments on southern illinois university gs program, pls can someone whho has recently experience them , say what they felt or thought about them </t>
  </si>
  <si>
    <t xml:space="preserve">where? i didnt see anything on the sheet &gt;&gt;&gt; check previous spreadsheets </t>
  </si>
  <si>
    <t>j</t>
  </si>
  <si>
    <t xml:space="preserve">I commented this on the IMG sheet - I interviewed with them recently. It feels like the critiques of the program are a bit harsh - the graduating seniors include one that matched plastics and one that matched cardiothoracic so they're not having issues with fellowship match or board pass rates. The location makes it so you're probably not going to see the most complex of cases or a lot of penetrating trauma, but there's decent operative volume. And all of the attendings were very friendly. </t>
  </si>
  <si>
    <t xml:space="preserve">FL </t>
  </si>
  <si>
    <t>Chat!!</t>
  </si>
  <si>
    <t>Solemn</t>
  </si>
  <si>
    <t>Night Float, 24 hr</t>
  </si>
  <si>
    <t>pert</t>
  </si>
  <si>
    <t>o.o.</t>
  </si>
  <si>
    <t>Level 1 trauma, burn center</t>
  </si>
  <si>
    <t>Dr. Rebecca Britt</t>
  </si>
  <si>
    <t>n/A</t>
  </si>
  <si>
    <t>Carle Health</t>
  </si>
  <si>
    <t>Night float Su-F, Saturday 24</t>
  </si>
  <si>
    <t>Level I trauma, teaching hospital for Carle Illinois COM with opportunities for engineering and innovation</t>
  </si>
  <si>
    <t>cdj22</t>
  </si>
  <si>
    <t>Dr. Bruce Orkin</t>
  </si>
  <si>
    <t>Carl</t>
  </si>
  <si>
    <t>Epic/VA</t>
  </si>
  <si>
    <t>Level I trauma, Burn ICU, optional time off for research</t>
  </si>
  <si>
    <t>Dr. Steven De Jong</t>
  </si>
  <si>
    <t>CA, MA, NJ, NY, WA</t>
  </si>
  <si>
    <t>klb</t>
  </si>
  <si>
    <t>McGaw Northwestern</t>
  </si>
  <si>
    <t>ffs</t>
  </si>
  <si>
    <t>us-img</t>
  </si>
  <si>
    <t>Level I Trauma, 2y research required</t>
  </si>
  <si>
    <t>Dr. Leah Tatebe</t>
  </si>
  <si>
    <t>bowel buddy</t>
  </si>
  <si>
    <t>UICOM Peoria</t>
  </si>
  <si>
    <t>Harinawa</t>
  </si>
  <si>
    <t>CA, NV, NY</t>
  </si>
  <si>
    <t>Night float, 24h saturday call sometimes</t>
  </si>
  <si>
    <t>Chief</t>
  </si>
  <si>
    <t>L1 trauma, 2y research required</t>
  </si>
  <si>
    <t>Dr. Jennifer Cone</t>
  </si>
  <si>
    <t>Note: Erased any II counts prior to universal release</t>
  </si>
  <si>
    <t xml:space="preserve">Bruh </t>
  </si>
  <si>
    <t>University of Illinois at Chicago</t>
  </si>
  <si>
    <t>Count</t>
  </si>
  <si>
    <t>AR,TX,KS,OH</t>
  </si>
  <si>
    <t>Night float at UIC, q3 24h trauma call at Masonic</t>
  </si>
  <si>
    <t>L1 trauma; 7 categorical spots - 5 clinical (5 yr), 2 academic (7 yr)</t>
  </si>
  <si>
    <t>Dr. Lisa Shimotake</t>
  </si>
  <si>
    <t>25th ile</t>
  </si>
  <si>
    <t>MH</t>
  </si>
  <si>
    <t>East Southcentral</t>
  </si>
  <si>
    <t>University of Illinois at Chicago - Mount Sinai</t>
  </si>
  <si>
    <t>FL, GA, AL, NC, KY, OH, IN</t>
  </si>
  <si>
    <t xml:space="preserve">q3-4 24hr as interns and night float; less call after intern year </t>
  </si>
  <si>
    <t>z</t>
  </si>
  <si>
    <t xml:space="preserve">L1 trauma  </t>
  </si>
  <si>
    <t>PD Grace Chang</t>
  </si>
  <si>
    <t>OH, PA, MI, NY, WV, TN</t>
  </si>
  <si>
    <t>aaaaaaa</t>
  </si>
  <si>
    <t>Cerner, Epic, VA</t>
  </si>
  <si>
    <t>Night Float Su-R, weekend call+</t>
  </si>
  <si>
    <t>VA, NJ, PA, FL, MD</t>
  </si>
  <si>
    <t>imdone</t>
  </si>
  <si>
    <t>LA, TX, AL, GA, KY, AK, OK</t>
  </si>
  <si>
    <t>kno</t>
  </si>
  <si>
    <t>FemmeFatale</t>
  </si>
  <si>
    <t>OH, MI</t>
  </si>
  <si>
    <t>savedbydualapp</t>
  </si>
  <si>
    <t>ge Washington</t>
  </si>
  <si>
    <t>Matched Other Specialty</t>
  </si>
  <si>
    <t>feelalive</t>
  </si>
  <si>
    <t>Epic outpatient 
Cernerinpatient</t>
  </si>
  <si>
    <t>???night float</t>
  </si>
  <si>
    <t xml:space="preserve">IO </t>
  </si>
  <si>
    <t>Non US-IMG</t>
  </si>
  <si>
    <t>xxxxxxx</t>
  </si>
  <si>
    <t>24hr and night float</t>
  </si>
  <si>
    <t>level 1 trauma, matches well for fellowship</t>
  </si>
  <si>
    <t>Dr. David Yu</t>
  </si>
  <si>
    <t>Dr Donald Hess</t>
  </si>
  <si>
    <t>Lahey Hospital</t>
  </si>
  <si>
    <t>Night float (except weekends)</t>
  </si>
  <si>
    <t>L1 center, residents rotate at Shock in Baltimore and at a community hospital on Cape Cod</t>
  </si>
  <si>
    <t>Dr. Jason Wiseman</t>
  </si>
  <si>
    <t>Night float, 1 month at University hospital, 24hr other locations</t>
  </si>
  <si>
    <t>L1 Trauma, high volume, optional research, only two fellows who's cases are seperate from residents</t>
  </si>
  <si>
    <t>Jennifer LaFemina</t>
  </si>
  <si>
    <t>24hr in house, no more than 5/month.  Seniors often no more than 4/month</t>
  </si>
  <si>
    <t>L2 trauma, &gt;30% penetrating, NO FELLOWS, has curriculum focued on leaderhip and EI</t>
  </si>
  <si>
    <t>Marcie Feinman</t>
  </si>
  <si>
    <t xml:space="preserve">U Kentucky </t>
  </si>
  <si>
    <t>Mix but night float &gt; call, some
services still require ~Q4 call,
almost entirely home call PGY3+</t>
  </si>
  <si>
    <t>L1 trauma, T32 surgeon scientist
research fellowship avaible (no
required research), $1500 given 
PGY2 for loupes, UK matches 
retirement (2x what you put in)</t>
  </si>
  <si>
    <t>Dr. Cortney Lee</t>
  </si>
  <si>
    <t>L1 center, large rural catchment area, 1 operative fellow (vascular), emphasis on early operative experience</t>
  </si>
  <si>
    <t xml:space="preserve">Dr. Jaswin Sawhney </t>
  </si>
  <si>
    <t xml:space="preserve">🩺 Prelim Applicant Chat </t>
  </si>
  <si>
    <t>Henry Ford Macomb</t>
  </si>
  <si>
    <t>Night Float, weekend call</t>
  </si>
  <si>
    <t>Early operative experiance, heavy surgical load, good experiance at lvl 1 trauma centers as well as community hospitals</t>
  </si>
  <si>
    <t xml:space="preserve">Dr. Aaron Sabbotta </t>
  </si>
  <si>
    <t>🩺 Interview Impressions</t>
  </si>
  <si>
    <t xml:space="preserve">🩺 Program Review </t>
  </si>
  <si>
    <t xml:space="preserve">Date </t>
  </si>
  <si>
    <t>McLaren Greater Lansing/MSU</t>
  </si>
  <si>
    <t xml:space="preserve">Comment </t>
  </si>
  <si>
    <t>Responses</t>
  </si>
  <si>
    <t>🩺 Add new Chats to the top</t>
  </si>
  <si>
    <t>Case Volumes far exceeding requirements in open, laparoscopic, robotic and endovascular techniques</t>
  </si>
  <si>
    <t>Dr. Mark Jones</t>
  </si>
  <si>
    <t>Interview Invites</t>
  </si>
  <si>
    <t>current prelims who matched cat any advice?+1</t>
  </si>
  <si>
    <t>Anyone going to add ranks? It looks pretty empty! I added mine :)</t>
  </si>
  <si>
    <t xml:space="preserve">Done </t>
  </si>
  <si>
    <t>Anyone knows if BU/BMC, Brigham and MGH has sent out prelim invites yet?+2</t>
  </si>
  <si>
    <t>MGH has</t>
  </si>
  <si>
    <t>any more prelim coming+2</t>
  </si>
  <si>
    <t>I dont think so, look at last years spreadsheet</t>
  </si>
  <si>
    <t>U Mich-West</t>
  </si>
  <si>
    <t>should i rank categorical community above prelim acadmeic</t>
  </si>
  <si>
    <t>Yes definitely +2</t>
  </si>
  <si>
    <t>unless its one of the very toxic ones&gt;&gt; which ones? some newyork ones</t>
  </si>
  <si>
    <t xml:space="preserve">can someone elaborate on this more plz &lt; check the home impressions </t>
  </si>
  <si>
    <t xml:space="preserve">any thoughts or advice on ranking home program above a prestigious program far away? I feel like I'm going to spend so much money moving out there for just 1 year that it may not be worth it. </t>
  </si>
  <si>
    <t xml:space="preserve">Depends on what are the 2 programs </t>
  </si>
  <si>
    <t xml:space="preserve">Did anyone receive prelim for St. Agnes, or do they interview cat and prelim together? Just curious </t>
  </si>
  <si>
    <t>i believe they interview them together</t>
  </si>
  <si>
    <t>Does anyone know if Emory is done with preliminary interviews/offering prelim interviews?</t>
  </si>
  <si>
    <t>seems like ya</t>
  </si>
  <si>
    <t>24hr, Q3-4</t>
  </si>
  <si>
    <t>does well span have a date other than 17th left?</t>
  </si>
  <si>
    <t>add you prelim invites to the new prelim calander</t>
  </si>
  <si>
    <t>what's the issue i'm hearing with prelim positions? Say someone were to match in a PGY1 prelim at X program and then the program next year offered them a PGY 1 cat position. They can't stay there? unless they were given PGY2 cat?</t>
  </si>
  <si>
    <t>(Graduation minimum: 850. Chief case minimum: 200. Minimum cases by end of PGY2: 250.</t>
  </si>
  <si>
    <t>they can &lt; maybe you are referring to IMGs needing a visa, repeating a year needs to be handled as a remediation year. USA citizens can do all the prelims they want (with some funding limitations)</t>
  </si>
  <si>
    <t xml:space="preserve">I have heard that GME has some requirement that if you do prelimpgy1 or TY you can only match pgy2?  like you can't do pgy1 prelim and match pgy1 again. Not sure how accurate this information is </t>
  </si>
  <si>
    <t>PC here: if you do a prelim year in GS you can match into a GS categorical spot - you don't have to match to a PGY2 outside of the match. There are limitations on how many programs you can complete training with (3) so some programs likely strongly encourage their prelims to try and match outside of the match.</t>
  </si>
  <si>
    <t>Karlin Sevensma</t>
  </si>
  <si>
    <t>any programs that are known to send prelim ii that havent yet ?</t>
  </si>
  <si>
    <t xml:space="preserve">How many prelim interview invites do prestigious programs like Johns Hospkins/Mayo/Cleveland Clinic/Duke send out? </t>
  </si>
  <si>
    <t>100&lt;&lt;All of them? no just an estimate check mayos insta &lt;&lt;&lt;what about Cleveland and Duke?</t>
  </si>
  <si>
    <t>can anyone give the prelim IV days for icahn sinai, methodist in houston and cleveland clinic?+3&lt;&lt; Does noone know the dates for these places? im particularly curious for mount sinai icahn and houston methodist</t>
  </si>
  <si>
    <t>&lt;&lt; Anyone? +1, Does anyone know the dates from those 3 programs??</t>
  </si>
  <si>
    <t>Are the prelim invites out for most programs by now? +1</t>
  </si>
  <si>
    <t>Many only interview applicants in SOAP</t>
  </si>
  <si>
    <t>is it true that prelim puts you in a worse spot next year? is it better to just rank cat then do a 2nd research year insead</t>
  </si>
  <si>
    <t>PC here - we have many prelims who reapplied the following year and have had great matches with competitive categorical programs. Unfortunately, there are some very good applicants that don't match. I think there is less stigma now for applicants that don't match, because sometimes good applicants just have bad luck in the match. Prelims tend to come in and kill it. They have already worked a year and can usually hit the ground running. &lt;&lt; thank you!</t>
  </si>
  <si>
    <t xml:space="preserve">Current prelim here. There is definitely a lot of stigma. I have a good application and am at a prestigious program but have gotten very few interviews. The same is true of fellow gen surg prelims I know. </t>
  </si>
  <si>
    <t>I was hoping for a categorical spot but I'm not getting as many invites as I would like... At this point, I'm desperate and just want to match and not have to SOAP... Is it true that programs wait to fill their prelim spots during soap so that they can get all the derm, IR, ENT, ophtho, other super competitive surgical subspecialty applicants that didn't match as interns? Will it be competitive to even get a prelim gen surg spot during SOAP?</t>
  </si>
  <si>
    <t>Over 500 prelim spots in SOAP yearly, not nearly as competitve to match prelim spot during SOAP as it is during interview cycle.</t>
  </si>
  <si>
    <t>When are the prelim invites sent out? &lt;&lt; some are sending right now, probably all will be sent by late december</t>
  </si>
  <si>
    <t xml:space="preserve">&lt; I hope so! I'm still at zero and at this point is either SOAP or re-apply next year (both hurts the same!) :( </t>
  </si>
  <si>
    <t>Contact your school advisors and ask for help - they might have more insight and tips on what to do.</t>
  </si>
  <si>
    <t>Prelims reapplying, how many IVs do you have so far? I'm currently sitting at 3</t>
  </si>
  <si>
    <t>img?</t>
  </si>
  <si>
    <t>zero +2</t>
  </si>
  <si>
    <t>Bruh ..My step score isn’t out of this world. But it’s not bad? I didn’t expect to be sitting at one interview. Feeling pretty down</t>
  </si>
  <si>
    <t>Hang on!! a lot of programs are yet to send prelim invites &lt;&lt; What are your stats OP?</t>
  </si>
  <si>
    <t>SAME... I thought I was a decent applicant but IIs are lacking :/</t>
  </si>
  <si>
    <t>too late to apply prelim?</t>
  </si>
  <si>
    <t>Got Duke rejection today +4</t>
  </si>
  <si>
    <t>National average major cases upon graduation: 1100)</t>
  </si>
  <si>
    <t>Did cleveland clinic send prelim IVs yet+2</t>
  </si>
  <si>
    <t>Yes, on 11/7/2024</t>
  </si>
  <si>
    <t>David Hughes</t>
  </si>
  <si>
    <t>Any other competitive applicants for surgical supspecialties re-applying from prelim gen surg position also getting essentially no II's for gen surg? Is applying from a prelim spot really that unappealing to programs?</t>
  </si>
  <si>
    <t xml:space="preserve">Being a prelim is a disadvantage (im a current prelim who didn't match cat gen surg) but it's mainly because your application probably has a lot of research/stuff for that subspecialty and general surgery programs don't like the idea you're only applying to them because you couldn't get into ortho/ent/plastics/nsgy or whatever. </t>
  </si>
  <si>
    <t>Anyone sitting on 0 IVs here? What do you think is not going in our favor? What should I expect in the next months to come? What should be the contingency?</t>
  </si>
  <si>
    <t>No IVs here :/ IDK what I did wrong. I don't know if its my application or my stats or what. Radio silence for over a month now. I think IVs will trickle down as people cancel, but I am not betting on my luck &lt;&lt; SAME</t>
  </si>
  <si>
    <t>I see that only Mayo and Cleveland prelims have sent invites on the other tab. Do we know if oither programs have sent it as well. I wish people updated their invites and dates as well. &lt; Do we know when Cleveland sent the invites? &lt; Is it cleveland clinic florida or cleveland clinic ohio &lt;&lt; cleveland ohio</t>
  </si>
  <si>
    <t xml:space="preserve">UPenn have sent </t>
  </si>
  <si>
    <t>Hey IMGs! Did you receive an invite/witlisting/rejection after sending a Letter of intent?</t>
  </si>
  <si>
    <t>No +2</t>
  </si>
  <si>
    <t xml:space="preserve">literally terrified right now, not nearly enough interviews. just wanted to stand in solidarity with you all, we are truly fighting an uphill battle. </t>
  </si>
  <si>
    <t>Any prelim interviews other than mayo, hopkins and arizona tucson?</t>
  </si>
  <si>
    <t>Yale maimondes</t>
  </si>
  <si>
    <t>so is mayo roch only taking non us imgs for prelim?</t>
  </si>
  <si>
    <t>HCMC</t>
  </si>
  <si>
    <t>is this confimed ?</t>
  </si>
  <si>
    <t>&lt;&lt;Invited both (Program Admin)</t>
  </si>
  <si>
    <t>Did anyone get any supplements?</t>
  </si>
  <si>
    <t>None yet, applied to 89 prelim mostly in Northeast</t>
  </si>
  <si>
    <t>yes but from programs that reflexively sent to entire applicant pool +6</t>
  </si>
  <si>
    <t>How are we feeling? How many programs did you guys apply to? And how did you navigate signalling?</t>
  </si>
  <si>
    <t>Feeling numb. 137 programs, just based on vibes. &lt;&lt; lol saem. My eyes have blurred at the sheer screentime I used to look at programs. Hope it pays off.</t>
  </si>
  <si>
    <t>Literally same, no supplementals yet and I am scared</t>
  </si>
  <si>
    <t>24 Q4-8, looking at implementing a night float in the next year or two. Night float PGY3</t>
  </si>
  <si>
    <t>Can anyone share interview experience with Nassau university medical center?</t>
  </si>
  <si>
    <t xml:space="preserve">No research years, but you can work something out with the program and those residents will typically do their research time with the U of M. Great bread and butter general surgery program with high volume trauma. </t>
  </si>
  <si>
    <t>Richard Zera</t>
  </si>
  <si>
    <t>PGY1s do not do 24s. Consultant rotations are just day time in house work. Team rotations are either days or nights. Do not take pagers home. Seniors do a mix of 24s, home call, and night float (1x as PGY3) depending on the rotation.</t>
  </si>
  <si>
    <r>
      <rPr>
        <rFont val="arial,sans,sans-serif"/>
        <b/>
      </rPr>
      <t>Some In-person interviews</t>
    </r>
    <r>
      <rPr>
        <rFont val="arial,sans,sans-serif"/>
      </rPr>
      <t>. Program is paying for hotels/food. Level 1 trauma center. Virtual Interviews for Prelims.</t>
    </r>
  </si>
  <si>
    <t>Dr. Mariela Rivera</t>
  </si>
  <si>
    <t>Mix depending on the site
UMN- night float for PGY1/2; chief home call
Regions- night float for PGY1/3; chief home call
North- 24hr call Q4
Methodist- 24hr call Q4
VA - PGY2 will take some in house call, otherwise moonlighter shifts available $$$</t>
  </si>
  <si>
    <t xml:space="preserve">Research is optional but highly encouraged -- about 80% of residents will do at least 1-2 yrs or fellowship during this time. Mix of options available from outcomes to more translational or basic science. Good balance between academics at main site with bread and butter at community sites. </t>
  </si>
  <si>
    <t>Dr. Daniel Kendrick (new this year - was APD before)</t>
  </si>
  <si>
    <t>WashU</t>
  </si>
  <si>
    <t>St. Louis</t>
  </si>
  <si>
    <t>24 Q4 except ACCS;Mostly q4 call with 1 month of night float as interns and PGY2s</t>
  </si>
  <si>
    <t>High volume trauma and complex sub-specialty cases all in the same hospital (w unique mix of urban and rural patients), flexibility in training for chief years, flexibility in research time (not required, but supported)</t>
  </si>
  <si>
    <t>Dr. Jennifer Yu</t>
  </si>
  <si>
    <t>CMC</t>
  </si>
  <si>
    <t xml:space="preserve">Not many fellowship programs (so residents are super operative early on). Lots of autonomy. Children's hospital is woven into the main hospital building. Dedicated workrooms for each residency class. </t>
  </si>
  <si>
    <t>Dr. Reese Randle</t>
  </si>
  <si>
    <t>Carepoint Bayonne</t>
  </si>
  <si>
    <t>Bayonne</t>
  </si>
  <si>
    <t>24H Call</t>
  </si>
  <si>
    <t>PD cares about resident, Good residency culture, autonomy</t>
  </si>
  <si>
    <t>Z. Moszczynski MD</t>
  </si>
  <si>
    <t>Rutgers NJMS</t>
  </si>
  <si>
    <t>24+4 on trauma and SICU, night float others, 24s at JCMC and NBI as well</t>
  </si>
  <si>
    <t>Frank Traupman</t>
  </si>
  <si>
    <t>Rutgers RWJMS</t>
  </si>
  <si>
    <t>Night Float,</t>
  </si>
  <si>
    <t>Level 1 Trauma Center
Good Culture, Current PD cares about residents, Good Autonomy, High exposure on robot, good culture &lt; +2 about the PD, he was the clerkship director for years and is a remarkable educator</t>
  </si>
  <si>
    <t>Dylan Nieman</t>
  </si>
  <si>
    <t>Sunrise Health GME - MountainView Hospital</t>
  </si>
  <si>
    <t>Meditech / eCW</t>
  </si>
  <si>
    <t>Level 2 Trauma, early and robust operative experiences</t>
  </si>
  <si>
    <t>Nancy Rivera</t>
  </si>
  <si>
    <t>Night float, 24 h call once a month - ish</t>
  </si>
  <si>
    <t>Level 1 adult and peds, kidney/liver transplant</t>
  </si>
  <si>
    <t>Jessica Zaman MD</t>
  </si>
  <si>
    <t>Intern: night float 1 week at a time; 2-5, 24hr call ~q6 days</t>
  </si>
  <si>
    <t>Culture is supportive; truest of "general surgery", rural area, yet high volume cases especially in the summer with tourist season</t>
  </si>
  <si>
    <t>Joon Shim</t>
  </si>
  <si>
    <t>Allscripts</t>
  </si>
  <si>
    <t>Night float, weekend day/night call</t>
  </si>
  <si>
    <t>Icahn at Mount Sinai</t>
  </si>
  <si>
    <t>Celia Devino</t>
  </si>
  <si>
    <t>NYP Columbia</t>
  </si>
  <si>
    <t>NYU LI</t>
  </si>
  <si>
    <t>L1 Trauma, excellent volume, strong PA staff, strong research opportunuities with NYU backing, early operative exposure, competitive salary and benefits</t>
  </si>
  <si>
    <t>Dr. Loretto Glynn</t>
  </si>
  <si>
    <r>
      <rPr>
        <rFont val="arial,sans,sans-serif"/>
        <b/>
      </rPr>
      <t xml:space="preserve">In person interviews. </t>
    </r>
    <r>
      <rPr>
        <rFont val="arial,sans,sans-serif"/>
      </rPr>
      <t>ACS Level 1 trauma, heart/liver transplant center; excellent cost of living; limited # of fellows; collaborative culture</t>
    </r>
  </si>
  <si>
    <t>Dr. Yanjie Qi</t>
  </si>
  <si>
    <t>Case Western Reserve University/ University hospitals</t>
  </si>
  <si>
    <t xml:space="preserve">Level 1 trauma center, have all the surgical specialties in house, excellent culture, good cost of living </t>
  </si>
  <si>
    <t>John Ammori</t>
  </si>
  <si>
    <t>University of Cincinnati</t>
  </si>
  <si>
    <t>Night float with 1 24hr call monthly on core rotations. Some home call. 24+4 on SICU/Trauma</t>
  </si>
  <si>
    <t>Level 1 trauma, top childrens hospital. High volume ACS/Trauma/Transplant</t>
  </si>
  <si>
    <t>Dr. Jeff Sussman</t>
  </si>
  <si>
    <t xml:space="preserve">Night Float with some home call, 24s 2x a month </t>
  </si>
  <si>
    <t>Very rural program but self sufficient! They have their own tranplant program with no need to travel to another city, NO 24s for interns</t>
  </si>
  <si>
    <t xml:space="preserve">Matthew Factor, MD </t>
  </si>
  <si>
    <t>St. Luke's University Health Network</t>
  </si>
  <si>
    <t>24s</t>
  </si>
  <si>
    <t>L1 trauma, rural farmer trauma, residents are involved early on</t>
  </si>
  <si>
    <t>Thomas Jefferson (Kimmel)</t>
  </si>
  <si>
    <t>NF system, Saturday calls are 24 hours, Sundays are 12 hours. 1-2 calls per month combo of the 12s and 24s</t>
  </si>
  <si>
    <t>Level 1 Trauma, BUSY ACS, great transplant HPB, transplant, surg onc, strong fellowship match, 1-2 research years, great culture, free standing Children''s Hospital, amazing leadership who is responsive and really cares, best program coordiantor</t>
  </si>
  <si>
    <t>Karen Chojnacki, MD</t>
  </si>
  <si>
    <t>UPMC Presbyterian</t>
  </si>
  <si>
    <t>Cerner/epic/VA</t>
  </si>
  <si>
    <t>1 month of Night float for interns with some 24s. Mix of 24 in house and home call for non interns</t>
  </si>
  <si>
    <t>Level 1 trauma, very busy ACS, extremely strong surg onc/ transplant/ vascular, free standing children's hospital, good COL, responsive admin</t>
  </si>
  <si>
    <t>Dr. Kenneth Lee, MD</t>
  </si>
  <si>
    <t>Night float, 24 hr call</t>
  </si>
  <si>
    <t xml:space="preserve">Dr. Thomas Miner </t>
  </si>
  <si>
    <t>Dr. Colleen Donahue</t>
  </si>
  <si>
    <t>a</t>
  </si>
  <si>
    <t>Prisma</t>
  </si>
  <si>
    <t>Tally (+1 if you also received)</t>
  </si>
  <si>
    <t>Date of Communication</t>
  </si>
  <si>
    <t>Interview Date</t>
  </si>
  <si>
    <t xml:space="preserve">night float and 24 hr </t>
  </si>
  <si>
    <t>Type of Communication</t>
  </si>
  <si>
    <t>Personalized / Generic</t>
  </si>
  <si>
    <t>Post LOI/ Rank Highly Email?</t>
  </si>
  <si>
    <t>2nd look (prg vs DEI) or equivalent?</t>
  </si>
  <si>
    <t>Content? Be sure to mention if it says "ranked to match" or equivalent?</t>
  </si>
  <si>
    <t>Spartanburg Medical Center</t>
  </si>
  <si>
    <t>Mizzou</t>
  </si>
  <si>
    <t>Email from PD</t>
  </si>
  <si>
    <t xml:space="preserve">Generic </t>
  </si>
  <si>
    <t xml:space="preserve">We appreciate your time and thoroughly enjoyed getting to know you a little better. We think you could be a great fit for our training program, and hope you feel the same way. Has it been sent to everyone who interviewed? </t>
  </si>
  <si>
    <t>Package</t>
  </si>
  <si>
    <t>Pen, notebooks, phone chargers, note saying that they are looking forward to interviewing you</t>
  </si>
  <si>
    <t xml:space="preserve">&lt;&lt;this is for post interview, not pre-interviews communications </t>
  </si>
  <si>
    <t>&lt;&lt; package arrived a week after the interview so I put it here</t>
  </si>
  <si>
    <t xml:space="preserve">Package </t>
  </si>
  <si>
    <t>Generic</t>
  </si>
  <si>
    <t>Pen, notebooks, towel, water bottle, thank you note</t>
  </si>
  <si>
    <t xml:space="preserve">&lt;&lt; interviewed there on 11/11. Did not get a package :/ does it mean I am ranked low? &lt;&lt; I interviewed on 11/4 and the package came like 2 days ago, so your package might still be coming! </t>
  </si>
  <si>
    <t>Parkview</t>
  </si>
  <si>
    <t>PD announced he is stepping down and an interim PD will be appointed....</t>
  </si>
  <si>
    <t>Carillion</t>
  </si>
  <si>
    <t>Chocolate</t>
  </si>
  <si>
    <t>Thalamus survey</t>
  </si>
  <si>
    <t>Letter in mail</t>
  </si>
  <si>
    <t xml:space="preserve">Post IV thank you </t>
  </si>
  <si>
    <t>&lt;&lt; did yours have a handwritten message by Chair?&lt; Yes (generic)&lt; yess, what did it say? mine said nice meetingyou &lt; I dont remember but probably something like that  &lt;there was that and in the letter it said something like while we're not allowed to tell people their ranks we all enjoyed getting to know you &lt; yup its all a lie :(</t>
  </si>
  <si>
    <t>Water bottle, buckeye candy</t>
  </si>
  <si>
    <t>Night float at major hospital. Home call &amp; in house at others</t>
  </si>
  <si>
    <t>Beach towel, sunglasses</t>
  </si>
  <si>
    <t>Level 1 trauma center. Very broad based general surgery. Resident very technically capable. Many go straight into practice. Great culture.</t>
  </si>
  <si>
    <t>University of Nebraska</t>
  </si>
  <si>
    <t>Dr. Christy Lawson</t>
  </si>
  <si>
    <t>Post IV survery on Thalamus</t>
  </si>
  <si>
    <t>Mug, candy, chips, handwritten postcard from PD</t>
  </si>
  <si>
    <t>Chocolate, pen, peanuts, postcard, koozie</t>
  </si>
  <si>
    <t>I interviewed at UAB and haven't received this package, anyone else?</t>
  </si>
  <si>
    <t>University of Tennessee</t>
  </si>
  <si>
    <t>Holiday card</t>
  </si>
  <si>
    <t>Night float, some 24hr call</t>
  </si>
  <si>
    <t xml:space="preserve">Bag of local coffee, EVMS coffee cup, thank you postcard </t>
  </si>
  <si>
    <t>Email from PC</t>
  </si>
  <si>
    <t>DEI event</t>
  </si>
  <si>
    <t>"Thank you for applying to Yale and taking time to interview with us for the Yale General Surgery Residency Program. Please join us for a voluntary informational webinar on Thursday, January 9th at 7:00pm est to learn about the Yale Department of Surgery’s ongoing commitment to DEI efforts. This strictly voluntary session is open to all candidates invited for a residency interview in one of our 5 surgery training programs. There will be faculty and resident representation from all 5 programs: Cardiothoracic Surgery, General Surgery, Otolaryngology, Plastic Surgery, and Vascular Surgery. Surgery residents will be available to answer questions at the end of the webinar.</t>
  </si>
  <si>
    <t>UTHSC</t>
  </si>
  <si>
    <t>Swag box with cross-body bag, water bottle, pin, portable phone charger, notebook, pen</t>
  </si>
  <si>
    <t>UT Chattanooga</t>
  </si>
  <si>
    <t>email from PD</t>
  </si>
  <si>
    <t>generic</t>
  </si>
  <si>
    <t>thank you note and survey link</t>
  </si>
  <si>
    <t>Thank you note</t>
  </si>
  <si>
    <t>24h call</t>
  </si>
  <si>
    <t>Ochsner- Lafayette</t>
  </si>
  <si>
    <t>Level 1 trauma, 6 year program</t>
  </si>
  <si>
    <t>Thank you note and post-interview survey</t>
  </si>
  <si>
    <t>Dr. Heath Giles</t>
  </si>
  <si>
    <t>UT Nashville</t>
  </si>
  <si>
    <t>after IV</t>
  </si>
  <si>
    <t>Notebook, chapstick, mug with nashville on it, pen, local coffee, chocolate</t>
  </si>
  <si>
    <t>Baylor Houston</t>
  </si>
  <si>
    <t>pen, cookbook, bag, personalized letter from a resident, sunglasses    &lt;   I thought the cookbook was so cute (+3)</t>
  </si>
  <si>
    <t>Notepad, pen, chocolate, hot sauce, card</t>
  </si>
  <si>
    <t>Early Dec</t>
  </si>
  <si>
    <t>Snail mail</t>
  </si>
  <si>
    <t xml:space="preserve">Cerner </t>
  </si>
  <si>
    <t>Personalized ish</t>
  </si>
  <si>
    <t>A thank you note/postcard written by one of the chief residents, that they are excited for 2nd look</t>
  </si>
  <si>
    <t>December</t>
  </si>
  <si>
    <t>Hand written note, mug, chocolate, coffee, bag, treats from Durham</t>
  </si>
  <si>
    <t>Thalamus</t>
  </si>
  <si>
    <t>Invite to open house</t>
  </si>
  <si>
    <t>Pen, notebooks, towel, water bottle, thank you note +2</t>
  </si>
  <si>
    <t>Almonds, pistachios, ground coffee, mug</t>
  </si>
  <si>
    <t>Marshall University</t>
  </si>
  <si>
    <t>Starbucks Gift card</t>
  </si>
  <si>
    <t>24h</t>
  </si>
  <si>
    <t>Package in mail</t>
  </si>
  <si>
    <t>Hershey's chocolate bar with thank you wrapper +1</t>
  </si>
  <si>
    <t>mail</t>
  </si>
  <si>
    <t xml:space="preserve">magazine of "Visit Oakland," pen, and card with faculy emails&lt; how spcific was the faculty email??? &lt;sry i meant like a list of all the faculty emails </t>
  </si>
  <si>
    <t>email</t>
  </si>
  <si>
    <t>Email</t>
  </si>
  <si>
    <t>2nd look invitation</t>
  </si>
  <si>
    <t>2nd look</t>
  </si>
  <si>
    <t>LIJ</t>
  </si>
  <si>
    <t>package</t>
  </si>
  <si>
    <t>hand sanitizer, notebook, pen, info about the program</t>
  </si>
  <si>
    <t>post-interview</t>
  </si>
  <si>
    <t>personalized</t>
  </si>
  <si>
    <t>anybody else get this ?  &lt;- yes</t>
  </si>
  <si>
    <t>Mix of night float (1-2/4 weeks at a time on several of intern year rotations), some rotations have frequent call</t>
  </si>
  <si>
    <t>Personalized</t>
  </si>
  <si>
    <t>Thank you note with personal example and Google drive of GME info</t>
  </si>
  <si>
    <t xml:space="preserve">Prisma/Columbia </t>
  </si>
  <si>
    <t xml:space="preserve">2nd look </t>
  </si>
  <si>
    <t>pre-interview</t>
  </si>
  <si>
    <t>pint of ice cream in a cooler with dry ice, ice cream scoop, koozie, can of skyline chili, booklet of info &lt;- i loved this one</t>
  </si>
  <si>
    <t>Baylor COM</t>
  </si>
  <si>
    <t>Personalized handwritten note from PD, stress ball, mint chocolates, hand sanitizer, a couple other goodies</t>
  </si>
  <si>
    <t>Epic (CPRS for VA)</t>
  </si>
  <si>
    <t>&lt;&lt;did everyone get these? &lt;yes, Nov interview but received end of Jan &lt; sad, didn't get one &lt; was it sent to address listed in ERAS?</t>
  </si>
  <si>
    <t>24s start PGY1 year, PGY2 year has &gt;3ish months of nights</t>
  </si>
  <si>
    <t>there is a research track, very rare that those outside of it are able to do dedicated research years</t>
  </si>
  <si>
    <t>2nd look&lt;-Is that all it had in the email?&lt;-not OP but my email says "you are in the top half of our applicants" in addition to the 2nd look info +2</t>
  </si>
  <si>
    <t>Dr. Cotton</t>
  </si>
  <si>
    <t>Email from PD describing accomplishments/qualities to be a good surgeon/talking about being good fit, also 2nd look info</t>
  </si>
  <si>
    <t>phone call PD</t>
  </si>
  <si>
    <t>thought highly of you/any more qs? &lt;&lt; did they say anything about ranking you highly?</t>
  </si>
  <si>
    <t>Baylor Scott &amp; White Temple - BCM</t>
  </si>
  <si>
    <t>great fit</t>
  </si>
  <si>
    <t>&lt; what did it say? +3</t>
  </si>
  <si>
    <t>text</t>
  </si>
  <si>
    <t>Night float, 24h as mid level/chief in trauma. They like 2 weekends off/month</t>
  </si>
  <si>
    <t>calls/messages from PD does not mean you will match here</t>
  </si>
  <si>
    <t>Level 1 trauma center, have all the surgical specialties in house, excellent culture, good cost of living. It's close to all other cities in Texas</t>
  </si>
  <si>
    <t>great fit &lt; anyone else get this?&lt; nope +3&lt; I did after LOI &lt;&lt; i got one too but with no LOI +1</t>
  </si>
  <si>
    <t>Dr Debra Doherty</t>
  </si>
  <si>
    <t>invitation to send updates before ranking</t>
  </si>
  <si>
    <t>Kentucky</t>
  </si>
  <si>
    <t xml:space="preserve">Personalized thank you card, socks, pen, bourbon balls, sticker </t>
  </si>
  <si>
    <t>Maryland - did anyone get any post II emails this year?</t>
  </si>
  <si>
    <t>I personally didnt?+2</t>
  </si>
  <si>
    <t xml:space="preserve">Dartmouth </t>
  </si>
  <si>
    <t xml:space="preserve">Email </t>
  </si>
  <si>
    <t>Generic (assume everyone got it)</t>
  </si>
  <si>
    <t xml:space="preserve">Basically "good luck with match, lmk if you have questions" </t>
  </si>
  <si>
    <t xml:space="preserve"> Ohio State </t>
  </si>
  <si>
    <t xml:space="preserve">great fit &lt;&lt; did anyone not get this? &lt;&lt; didn't get great fit but "we would be proud to play a role in your future" &lt;&lt; did you get an invitation for second look? was it personalized? How long was the email?  </t>
  </si>
  <si>
    <t>&lt;&lt; not original poster but i also got one and that quote wasnt in it so i do think theyre actually personalized (and definitely felt like it too). length was a few paragraphs (and yes 2nd look invite, but GME hosted) +1</t>
  </si>
  <si>
    <t>did not get one :(</t>
  </si>
  <si>
    <t>Dr. Sylvia Martinez</t>
  </si>
  <si>
    <t>South Nassau Mt Sinai</t>
  </si>
  <si>
    <t>Email with attached letter from PD</t>
  </si>
  <si>
    <t>Lenox Hill - did anyone get a post virtual second look email this year?</t>
  </si>
  <si>
    <t>did someone last year? did not see it last years spread sheet</t>
  </si>
  <si>
    <t>Great fit + invitation to in person second look &lt;&lt; did it say you're a great fit or say they viewed your candidacy favorably?</t>
  </si>
  <si>
    <t>&lt;&lt; not original poster, but also wondering about phrasing..mine said candidacy favorably also??&lt;&lt;same "favorable canddiacy" for me as well</t>
  </si>
  <si>
    <t>great fit, lmk if you have questions, +1 &lt; who sent the email?</t>
  </si>
  <si>
    <t>Phone Call w/ PD</t>
  </si>
  <si>
    <t>Early interview, "residents did not want me to forget about you", any f/u questions</t>
  </si>
  <si>
    <t>Cerner (for now switching to Epic in about 2 years)</t>
  </si>
  <si>
    <t>prisma/columbia</t>
  </si>
  <si>
    <t xml:space="preserve">personalized </t>
  </si>
  <si>
    <t>Level 1 Trauma Center, burn unit, interns very active in OR</t>
  </si>
  <si>
    <t xml:space="preserve">generic letter format with 1 personalized paragraph from interview conversation, koozie, carolina reaper seeds, breading flour?? </t>
  </si>
  <si>
    <t>Did everyone receive this?</t>
  </si>
  <si>
    <t>Dr. Mark Williams</t>
  </si>
  <si>
    <t>Email from Chair</t>
  </si>
  <si>
    <t>Generic (I assume everyone got it)</t>
  </si>
  <si>
    <t>I did not get it +2</t>
  </si>
  <si>
    <t>positive attributes about the program and the hospital</t>
  </si>
  <si>
    <t>Intro from interim PD</t>
  </si>
  <si>
    <t>Montefiore-Einstein</t>
  </si>
  <si>
    <t xml:space="preserve">Personalized </t>
  </si>
  <si>
    <t>UT Austin Dell</t>
  </si>
  <si>
    <t>Great fit&lt;&lt; +2</t>
  </si>
  <si>
    <t>Thank you note, journal, and pen</t>
  </si>
  <si>
    <t>Cerner (Athena for clinic)</t>
  </si>
  <si>
    <t>Carle</t>
  </si>
  <si>
    <t xml:space="preserve">Home call except for trauma/acs. Q4 trauma call as intern with post-call then off day. </t>
  </si>
  <si>
    <t>Email saying that they had their ACGME visit and are no longer on warning and now have continued accreditation</t>
  </si>
  <si>
    <t>Level 1 trauma center. Clinically busy. Research years available. Chiefs not worried about case numbers. Interns get in the OR early. Smaller program, so very responsive to resident input.</t>
  </si>
  <si>
    <t>st joe's (denver)</t>
  </si>
  <si>
    <t>personalized-ish</t>
  </si>
  <si>
    <t>Dr. Carlos Brown</t>
  </si>
  <si>
    <t xml:space="preserve">Email saying great fit, would love if I matched there, asked if any followup questions </t>
  </si>
  <si>
    <t>University of Florida</t>
  </si>
  <si>
    <t>From who?? +1, gib</t>
  </si>
  <si>
    <t xml:space="preserve">Tennessee Knoxille </t>
  </si>
  <si>
    <t>Letter</t>
  </si>
  <si>
    <t>RTM/great fit?</t>
  </si>
  <si>
    <t>Text from resident. Email from resident</t>
  </si>
  <si>
    <t>Did anyone else not get this?</t>
  </si>
  <si>
    <t>Great fit, asking if any follow-up questions, offered to meet via FaceTime</t>
  </si>
  <si>
    <t xml:space="preserve">mix night float and 24 </t>
  </si>
  <si>
    <t xml:space="preserve">L1, diverse patient population, high volume and variety, rotate at LBJ for county exposure as well as the VA </t>
  </si>
  <si>
    <t>Personalized-ish &lt; Seemed pretty generic... assume everyone got it</t>
  </si>
  <si>
    <t>Dr. Sasha Adams</t>
  </si>
  <si>
    <t>Great fit, second look details</t>
  </si>
  <si>
    <t>Great fit &lt; when was this sent? &lt;&lt; Was it in response to LOI? &lt; no</t>
  </si>
  <si>
    <t>UMich-West</t>
  </si>
  <si>
    <t>RTM</t>
  </si>
  <si>
    <t>Mix of 24h &amp; night float depending on rotation</t>
  </si>
  <si>
    <t>Dr. Jason Kempenich</t>
  </si>
  <si>
    <t xml:space="preserve">Generic (Research Study) </t>
  </si>
  <si>
    <t>lmao why they sending me a million and one emails for research study after not interviewing me? &lt;&lt; I know right. Shame on the program for this</t>
  </si>
  <si>
    <t>Personalized-ish</t>
  </si>
  <si>
    <t>Great fit, asked if any follow up questions</t>
  </si>
  <si>
    <t>Texas Tech El Paso</t>
  </si>
  <si>
    <t xml:space="preserve">Program updates </t>
  </si>
  <si>
    <t>Video from Chair</t>
  </si>
  <si>
    <t>Package/Folder in mail</t>
  </si>
  <si>
    <t>Folder with info about Arkansas and about UAMS program and resident outcomes + branded drink coozie</t>
  </si>
  <si>
    <t>Mostly nighy float, 24s on trauma</t>
  </si>
  <si>
    <t>Baystate</t>
  </si>
  <si>
    <t>Great fit, ranked highly</t>
  </si>
  <si>
    <t>Dr. Audra Clark</t>
  </si>
  <si>
    <t>Great fit &lt; +1</t>
  </si>
  <si>
    <t>Great fit</t>
  </si>
  <si>
    <t>Postcard</t>
  </si>
  <si>
    <t>Call from chair</t>
  </si>
  <si>
    <t xml:space="preserve">RTM &lt; +1 </t>
  </si>
  <si>
    <t xml:space="preserve">RTM essentially </t>
  </si>
  <si>
    <t xml:space="preserve">Mix of night float and q24 hour call. </t>
  </si>
  <si>
    <t>Wellness policy/ GL with match</t>
  </si>
  <si>
    <t>Level 1 shock trauma center/trauma hospital; matches well for various fellowships</t>
  </si>
  <si>
    <t>Dr. Stephen Kavic</t>
  </si>
  <si>
    <t>Night float as juniors, 24's as chiefs</t>
  </si>
  <si>
    <t>Night float, 24s on trauma/ACS</t>
  </si>
  <si>
    <t xml:space="preserve">Level 1 trauma, regional burn center, housing (pet friendly apartment) provided for Winchester rotations, seems big on Robotics - recent confirmation of the purchase of 5 new robots, optional research 1-3 years (but seems everyone does it?), allowed to moonlight during research years </t>
  </si>
  <si>
    <t>Dr. Rahul Anand</t>
  </si>
  <si>
    <t>night float, only 24s as R3 at UW harborview</t>
  </si>
  <si>
    <t xml:space="preserve">Ealry operative exposure, residents technically very strong, attendings with academic background, residents go to UW for Level 1 trauma center, perks - free parking, monthly food $, housing stipend 10k </t>
  </si>
  <si>
    <t>Dr. Damon Pierce</t>
  </si>
  <si>
    <t>Virginia Mason - St Joe</t>
  </si>
  <si>
    <t xml:space="preserve"> Primarily home call, 2+ golden weekends all rotations.</t>
  </si>
  <si>
    <t>Grads 2000 cases, no other surgical related residencies in system. Broad exposure to many specialties. Minimal competition for cases due to small number of rseidents and large system</t>
  </si>
  <si>
    <t>Shalini Kanneganti</t>
  </si>
  <si>
    <t>Gundersen Lutheran</t>
  </si>
  <si>
    <t>night float, home call</t>
  </si>
  <si>
    <t>Melissa Johnson</t>
  </si>
  <si>
    <t>Medical College of Wisconsin</t>
  </si>
  <si>
    <t xml:space="preserve">Level 1 trauma center, very high volume. Excellent resident curriculum with dedicated wellness time incoportated into schedule. Research is optional, but tons of people do it and there is no cap to how many can go out. </t>
  </si>
  <si>
    <t xml:space="preserve">Night Float (3 interns cover 3 services each), in house trauma team is first point of contact for junior residents. Senior residents share home call </t>
  </si>
  <si>
    <t>Night Float, 24hr</t>
  </si>
  <si>
    <t>L1 center, rural patient population</t>
  </si>
  <si>
    <t>Lauren Dudas</t>
  </si>
  <si>
    <t xml:space="preserve">IMG Applicant Chat </t>
  </si>
  <si>
    <t>🩺 Program Discussion/Q&amp;A</t>
  </si>
  <si>
    <t>🩺 Program Review</t>
  </si>
  <si>
    <r>
      <rPr>
        <b/>
        <sz val="14.0"/>
      </rPr>
      <t xml:space="preserve">            </t>
    </r>
    <r>
      <rPr>
        <b/>
        <sz val="11.0"/>
      </rPr>
      <t xml:space="preserve">      </t>
    </r>
  </si>
  <si>
    <t>US-IMG here. how many programs is ideal to apply? what was your budget/cost?</t>
  </si>
  <si>
    <t>Good luck everyone! And update the applicant info for all of imgs applying next year</t>
  </si>
  <si>
    <t>How are my fellow IMGs doing?</t>
  </si>
  <si>
    <t>Anxiety through the roof !!!!+2</t>
  </si>
  <si>
    <t>pulseless :-x</t>
  </si>
  <si>
    <t>hey any idea how the soap questions turn out?</t>
  </si>
  <si>
    <t>wdym soap questions</t>
  </si>
  <si>
    <t>Any info on Lenox Hill? Is it a good program? &lt; for prelim? 
Overall is it a good program?</t>
  </si>
  <si>
    <t>Imgs can you please update the applicant info please! &gt; Just did</t>
  </si>
  <si>
    <t>what is the plan of imgs with 0 ii?</t>
  </si>
  <si>
    <t xml:space="preserve">Prepare for SOAP , get LOR for a supplemental programs+1 </t>
  </si>
  <si>
    <t>should I get a new LoR for SOAP?</t>
  </si>
  <si>
    <t>If you wish to potentially apply to other specialities other than surgery in the SOAP</t>
  </si>
  <si>
    <t>any remaining prelims? please</t>
  </si>
  <si>
    <t>They might release it for SOAP</t>
  </si>
  <si>
    <t>anyone applying straight from med school? how many II?</t>
  </si>
  <si>
    <t xml:space="preserve">5 you? &lt;&lt; congrats! Prelim or categorical? </t>
  </si>
  <si>
    <t>anyone heard rom brigham or NYU prelim?</t>
  </si>
  <si>
    <t>Anyone heard from MGH prelim yet?</t>
  </si>
  <si>
    <t>can you guys share what programs offered cat postions for imgs ? &gt; us imgs or non us imgs?</t>
  </si>
  <si>
    <t>Larkin &lt; midwestern mount vista</t>
  </si>
  <si>
    <t>Since invites are basically over for the season how did you guys do cat and prelim #? +1</t>
  </si>
  <si>
    <t>No IVs&gt;1 cat 8 prelim &gt;&gt; congrats! carribian img?&gt;thanks, pakistani img</t>
  </si>
  <si>
    <t>15 IVs non-us IMG, mix between cats and prelims +1&gt;research year in the US? &gt; yes</t>
  </si>
  <si>
    <t>1cat</t>
  </si>
  <si>
    <t xml:space="preserve">4 cat and 7 prelims. Non US img </t>
  </si>
  <si>
    <t>Dia anyone got their second interview from bronx care?????  Please respond if anyone has some info. Thanks</t>
  </si>
  <si>
    <t>I havent heard anything yet. Please share if anyone got second interview invite!! +1</t>
  </si>
  <si>
    <t>Yes, got an invite for second IV +1</t>
  </si>
  <si>
    <t>did rutgers new jersy send prelim?</t>
  </si>
  <si>
    <t>any programs that are known to send prelim ii that havent yet ? +2</t>
  </si>
  <si>
    <t xml:space="preserve">Mass general hospital </t>
  </si>
  <si>
    <t>Has anyone got a prelim invite from NYP columbia ??</t>
  </si>
  <si>
    <t>Can anyone who did a transitional year and then matched into a prelim GS position share their experience? I am conflicted should I be doing another year of research or transitional year if I dont match GS this year? Thank you in advance!!</t>
  </si>
  <si>
    <t>is transiotional year diffrent than prelim? &lt; TY you will learn a little bit of everything vs. Prelim GS is only surgery, you will receive the same education and opportunities compared with categorical residents. To answer the OP question, take the TY because it will provide you not only training in the US system as a resident but also new LORs, skills, EMR training and you can get some publications. Also, you get paid, but the final decision is all yours!</t>
  </si>
  <si>
    <t xml:space="preserve">Thank you for answering! My confusion was that as I can't change my YOG or scores, next year would be another year that I would be out of the clinical system.  In TY you can only pick 1-2 month of elective time in which you can do GS from what I have heard (please correct me if I am wrong). &lt; Electives differ from program to program. Maybe check a couple of programs that you are interest to see how much elective time you can get as PGY1 but being in residency will always overweight being in a research position </t>
  </si>
  <si>
    <t>How does someone get a TY?+1</t>
  </si>
  <si>
    <t>Very program dependent. Some programs will seriously consider the prelims for a catergorical position and others will tell you they will but don't really. Try and figure out if theres any former prelims in categorical positions at that program and that should let you know which type of program you're dealing with. I would lean towards doing a prelim at a program that keeps its prelim residents rather than doing another research year. &lt;&lt; thanks!</t>
  </si>
  <si>
    <t>I got 0 categorical invites last year and matched prelim, this year I have 6 categorical invites and my home program usually takes a prelim a year for a categorical spot so at least for me seems like I'm in a better spot</t>
  </si>
  <si>
    <t>thanks how many prelims did you get last year?</t>
  </si>
  <si>
    <t>&lt;&lt; can you share where you did prelim and from where did you get the 6 cat invites? thanks</t>
  </si>
  <si>
    <t>Did anyone hear from BronxCare for the second interview??</t>
  </si>
  <si>
    <t xml:space="preserve">is this after the first interview??  &lt; yes </t>
  </si>
  <si>
    <t>any opening at the University of Maryland prelim?</t>
  </si>
  <si>
    <t>did anyone get an II recently? how did u do it. pls help a fellow img</t>
  </si>
  <si>
    <t>Recieved an invite after LOI, I think they work, sent an LOI to the program in early november, recieved invite late november...even when they had already released invites, as seen on the II by date tab</t>
  </si>
  <si>
    <t>is it a cat invite?</t>
  </si>
  <si>
    <t xml:space="preserve">I interviewed with them recently. It feels like the critiques of the program are a bit harsh - the graduating seniors include one that matched plastics and one that matched cardiothoracic so they're not having issues with fellowship match or board pass rates. The location makes it so you're probably not going to see the most complex of cases or a lot of penetrating trauma, but there's decent operative volume. And all of the attendings were very friendly. </t>
  </si>
  <si>
    <t>December check in how many ivs u guys at</t>
  </si>
  <si>
    <t>Non-US: 0 +1 Non US: 6 (1 cat 5 prelim) Non-US: 7 ( prelims mostly) can u guys add how many cat vs prelim</t>
  </si>
  <si>
    <t>US: 3 cat</t>
  </si>
  <si>
    <t>Non us: 13 including prelims / stats 26x, 15 pubs &lt; how?? did u do research &lt; 1 year of research after medschool, have been publishing since ms2</t>
  </si>
  <si>
    <t>Is it still late to send out LOIs for programs who havent sent out prelim invites?</t>
  </si>
  <si>
    <t>Send it</t>
  </si>
  <si>
    <t>I've sent them out yesterday&gt;&gt;what programs haven't sent out prelim yet??</t>
  </si>
  <si>
    <t>Non-US IMGs, did you hear anything last week??I Didn't hear back from any program.</t>
  </si>
  <si>
    <t>try last month</t>
  </si>
  <si>
    <t>:(((</t>
  </si>
  <si>
    <t>I read a comment in the chat, that most IMG's are not having a good year this season. How's everyone holding up. How many invites is everyone at?</t>
  </si>
  <si>
    <t>0+2 &gt; OP, are you talking about US-IMGs or non-us IMGs (FMGs), I think we are pretty different applicants&gt;&gt;Non-US IMG's &gt; Non-US as well, have friends sitting at 10 IV and others sitting at 0. Really varies by applicant. &gt;&gt; conrgats to those who have 10 iv's, thats awesome!! may i know if most of their iv's are prelim or a mix of both? thanks! &lt; mix, probably 50% cat</t>
  </si>
  <si>
    <t>Three prelim ii at the moment. what is the chance of matching? &lt;&lt; can you share your stats? like # of pubs etc, thankyou!!&lt;&lt;step 2 260+, 20+ publication, i will say the three ii i have are competitive programs</t>
  </si>
  <si>
    <t xml:space="preserve">no one can tell, prepare for those interviews as hard as you did for step exams, you will do great &lt; I second this. Prepare yourself for each interview as much as possi. There are people who matched with 2 intervies, there are people that have not matched despite 5-7 interview invites. Give your 110% on each one. Good luck!! </t>
  </si>
  <si>
    <t>Should we start preparing for next cycle already? non us img with 0 ii &lt; +2</t>
  </si>
  <si>
    <t>prepare how ? what else is there to do  &lt;&lt; i wanna know too &lt;&lt; try getting a research fellowship, reach out to get observerships, go to conferences to network &lt; If you have US MD LORs, reach out to them! They may have or find an opportunity for you. Also, you can apply to a TY during SOAP, then apply again to surgery next cycle. &lt;&lt; thank you!! I heard you can't apply to surgery after TY? Is this true?</t>
  </si>
  <si>
    <t>Hey! anyone who got the bronxcare invite, what do we do for the agreement they sent?? Do we sign and submit right away?</t>
  </si>
  <si>
    <t>What is the agreement are you talking about ?&gt;&gt; they sent a recoding agreement.  &lt;&lt;  in a separate email or in the invite? Didn't receive anyting (I guess)</t>
  </si>
  <si>
    <t xml:space="preserve"> Anyone who is doing prelim year in surgery got any Invites?????  I am currently in my PGY1 and my invites are sooooo low</t>
  </si>
  <si>
    <t>what is low? &lt;&lt;&lt;&lt;&lt; 1 Invite, are you Prelim?</t>
  </si>
  <si>
    <t>anyone else other than the on on the ii by date get form henry providence</t>
  </si>
  <si>
    <t>How many people did get the Bronxcare ii?</t>
  </si>
  <si>
    <t>1&lt;&lt;&lt;are you a non-US IMG, Did any non-US img get an invite from bronxcare?&lt;yes I am non-US IMG. Congratulations!!</t>
  </si>
  <si>
    <t xml:space="preserve">When did you get the ii? </t>
  </si>
  <si>
    <t xml:space="preserve">Wheezing, cuz even Bronxcare did not bother sending ii </t>
  </si>
  <si>
    <t>:((((</t>
  </si>
  <si>
    <t xml:space="preserve">SAME </t>
  </si>
  <si>
    <t>how many categoricals do u have non US?</t>
  </si>
  <si>
    <t>2 &lt;&lt; 7 &lt;&lt; stats? &lt;&lt; 26X, 20 pubmed, 2 years research fellow in USA</t>
  </si>
  <si>
    <t>Woah! Congratulations!!</t>
  </si>
  <si>
    <t>Any hopkins prelim openings left?</t>
  </si>
  <si>
    <t>Any idea on what the average number of Interview Invites is currently for Non-US IMGs?</t>
  </si>
  <si>
    <t>I'm at 0, seen few with 3 IVs. &gt;&gt; hopefully this week&gt;&gt;&gt; i'm sitting at 1 prelim and freaking out as well, but wth we will make it guys! hang in there</t>
  </si>
  <si>
    <t>is it time to start writing letter of interests? I've gotten 0 IVs and 2 rejections (not from signals) til now. USIMG. hoping for prelim at least :( +1</t>
  </si>
  <si>
    <t>YES it is time</t>
  </si>
  <si>
    <t>Y!&gt;&gt; I don't think so, many hospitals have not sent their prelims yet so I think you have time</t>
  </si>
  <si>
    <t xml:space="preserve">If the email does not say prelim do I assume its a categorical? </t>
  </si>
  <si>
    <t xml:space="preserve">Email and ask </t>
  </si>
  <si>
    <t>I only got two prelim interviews until now; was mostly relying on prelims. Are my chances gone? Non-US IMG</t>
  </si>
  <si>
    <t xml:space="preserve">depends how competitve the 2 you got are like mayorosh is alot more competitve since they sent out to 100 people for prelim smaller ones have better chnaces &lt;&lt; One mayo, the second is a B program &lt; whats a b program </t>
  </si>
  <si>
    <t>Hope everyone is hanging on! This is a tough process, I wish everyone all the best! How many invites are my fellow Non-US IMG's on? I would be super grateful to know the stats, to me sure we can start looking for backup plans. Sending everyone well wishes!</t>
  </si>
  <si>
    <t>3 so far +2 &lt;&lt; prelim or cat &lt;&lt; 2 prelim 1 cat</t>
  </si>
  <si>
    <t xml:space="preserve">&gt;&gt; Congratulations!! This makes me hopeful! Also how many categorical invites can we expect? </t>
  </si>
  <si>
    <t>I only have 1 prelim IV so far :( I'm freaking out</t>
  </si>
  <si>
    <t>how to write LOI? email or formal letter? +1</t>
  </si>
  <si>
    <t>I think there is plenty of info out there on the internet. Just a couple of suggestions about things you should include: Why are you still interested in the program? Why you would be a good fit for "x" program, and any updates/new projects/USMLE scores after you submitted your application. They have your application there, so just add what is new. Then proofread your document not once, not twice, but even 3 times. Look for grammar errors/typos. The name of the PD and program name should be well written. Minor mistakes and you are done (words from my advisor). Good luck :)</t>
  </si>
  <si>
    <t xml:space="preserve">What programs have sent out II for prelim </t>
  </si>
  <si>
    <t xml:space="preserve">NON -US IMG , how many II do yall have ?? </t>
  </si>
  <si>
    <t>Non-US imgs how many categorical IVs do you have so far? How many from signaled programs?</t>
  </si>
  <si>
    <t>6 cat, 0/15 signals. I think signals did not matter for us non us imgs &lt;&lt; congrats could u let us know ur stats&lt;&lt;did you do a resarch year? &lt;&lt; edit now on 7 cat and 1 cat waitlist, stats non us img 26x, 10 pubmed pubs, research year, reached out to mentors to vouch for me</t>
  </si>
  <si>
    <t>mayo hopkins arizona tuscon yale i saw on the chat some one said celevalnd florida but its on non of the other sheets</t>
  </si>
  <si>
    <t>Maimonides has also sent</t>
  </si>
  <si>
    <t>Yeah, I got a prelim without filling that &lt; thank you!!</t>
  </si>
  <si>
    <t>early</t>
  </si>
  <si>
    <t xml:space="preserve">US IMG that matched at my 1st choice/most desired categorical program - off an LOI sent in mid November. Looking back this was probably late and I just got lucky. I would use this document to see if the programs you want already sent out all their invites, if this is the case - I would send LOI sooner than than later. Be stragetic - send on a weekday, in the morning to increase chances of PD/coordinator actually reading your LOI (since their inboxs are probably flooded during this season). Mention you signaled them and if the program is in your geo preference. Many of the prelims in the my current program who didn't match regretted not sending LOIs. If you feel inclinded to send an LOI now - do it - so you can say you tried everything to match. Good luck everyone. </t>
  </si>
  <si>
    <t xml:space="preserve">Thank you did you apprch the letter talking more about ur app and stats or more about why u want the program &lt; I talked more about my reasoning to wanting to match at particular programs - for example: Geo preference, signaling, working with surgeons who trained at these particular programs/advice given to me from these surgeons on how training was at these places. </t>
  </si>
  <si>
    <t>1 cat iv... is it time to send LOI?</t>
  </si>
  <si>
    <t>I received one. I am guessing it is categorial since thats the only thing I applied for. But yeah it doesnt specify.  &lt;&lt;&lt;&lt; just be aware that they can interview/rank you for prelim even if you just applied categorical</t>
  </si>
  <si>
    <t xml:space="preserve">did anyone get an invite from waterbury hospital? it doesnt mention whether  it is prelim or cat </t>
  </si>
  <si>
    <t>usually most are sent 1st week, prelim can still be sent till early jan</t>
  </si>
  <si>
    <t>anyone know last year how far into the season cat iv were extended? IE do some roll in in nov? dec? TIA</t>
  </si>
  <si>
    <t xml:space="preserve">zero- Sending LOIs next week </t>
  </si>
  <si>
    <t>1 cat 2 prelims</t>
  </si>
  <si>
    <t>1 prelim</t>
  </si>
  <si>
    <t xml:space="preserve">Non -US IMG.  How many IV have you guys gotten so far? </t>
  </si>
  <si>
    <t xml:space="preserve">2.. one communiy, one affliated +1 &lt; What are your stats? </t>
  </si>
  <si>
    <t>1 community +1</t>
  </si>
  <si>
    <t>1 academic</t>
  </si>
  <si>
    <t>Non-US imgs: what your categorical invite numbers by now? How many academic vs. community? Best of luck to all!</t>
  </si>
  <si>
    <t xml:space="preserve">Im on 0/15 :( +4 &lt; same :( is the season over? &lt;maybe not. It looks like ppl is going to start dropping some ii this and next week  &lt; really hard to keep hopes up when sitting at 0 ii &lt; Did you dual apply? If not, maybe this is the time to start doing your research about the programs you are really interested in (if they say something about LOI) and start drafting the letters. I think next week will be a good time to send them out. </t>
  </si>
  <si>
    <t xml:space="preserve">i have 1 iv but 0/15 signaled </t>
  </si>
  <si>
    <t>whats u guyss yeild on signals im at 1/15 is that normal or did i mess up &lt; 1/15 and its a prelim, honestly I think signals matter very little for Non-US imgs (unsure about US IMGs)</t>
  </si>
  <si>
    <t>I may consider that option by the end of the week. It is still too early, but this is just my opinion</t>
  </si>
  <si>
    <t>did anyone have any success or postitive repsonse to a LOI</t>
  </si>
  <si>
    <t>I am getting crazy, is it to early to start crying?</t>
  </si>
  <si>
    <t>What are yall stats?</t>
  </si>
  <si>
    <t>Any img sitting on zero IV here ?? yes +6</t>
  </si>
  <si>
    <t xml:space="preserve">I just want to keep a positive vibe for everyone here … we would all make it by Gods special grace …. Happy Sunday </t>
  </si>
  <si>
    <t xml:space="preserve">wait- they may release more later, someone may cancel and then you will get and invite, or wait until next week and maybe early nov start sending LOI to your signaled programs. I'm in the same situation as you, and most of my signals sent interviews out this week. I think it's too early to send a LOI. Also check the PC/PD tab- some programs may not sent rejections until December, some programs may not even send rejections out.
Also, do you have a back up plan?  
 </t>
  </si>
  <si>
    <t xml:space="preserve">Non-US Img here, most of the programs I siganle sent out invites, but not to me. What do I do? </t>
  </si>
  <si>
    <t>6 cat, USIMG 25x &lt; what programs?</t>
  </si>
  <si>
    <t>2 cat, 1 prelim</t>
  </si>
  <si>
    <t>1 cat so far</t>
  </si>
  <si>
    <t xml:space="preserve">How many IVs do you guys have so far? I have 2 all prelim. </t>
  </si>
  <si>
    <t>Anyone got invite from Hopkins without singal?</t>
  </si>
  <si>
    <t>How many interviews is considered a good number to match for USIMGs?</t>
  </si>
  <si>
    <t xml:space="preserve">have any non-us imgs gotten more than 1 categorical? </t>
  </si>
  <si>
    <t>looks like hopkins just did</t>
  </si>
  <si>
    <t>did any of you get invites? are the spots filled? no body is answering on the iv openings tab</t>
  </si>
  <si>
    <t>&lt; spots are filled for the 2 IV dates offered&lt; What are the dates offered for prelim?</t>
  </si>
  <si>
    <t>Having talked to a couple of PDs, I learned that the prelim invites will be sent out over the next few months. It's not over until it's over. +2</t>
  </si>
  <si>
    <t>arizona tuscon</t>
  </si>
  <si>
    <t xml:space="preserve">hopkins prelim now apparently </t>
  </si>
  <si>
    <t>Hopkins prelim</t>
  </si>
  <si>
    <t>"Which programs have already sent out preliminary ii apart from Mayo?"</t>
  </si>
  <si>
    <t xml:space="preserve">I hope you will get an invite soon! - You are not alone! </t>
  </si>
  <si>
    <t>Feel like imma die. 0 ivs. done 10 months USCE at 2 hospitals and even on going. Started research with an attending last month and literally 0 invites. Not even to prelim. Maybe my app is covered in dust.</t>
  </si>
  <si>
    <t>Me +2</t>
  </si>
  <si>
    <t>LOL yep</t>
  </si>
  <si>
    <t>whho got the lovely rejection mail from jefferson?</t>
  </si>
  <si>
    <t>I signalled them. No IV but. +2</t>
  </si>
  <si>
    <t>Keep in mind that not all the programs we signaled will offer us an interview. Ultimately, the decision rests with them</t>
  </si>
  <si>
    <t>Thank you. Tryna hang in here but its tooo hard. Reached out to my mentors for them to make some calls</t>
  </si>
  <si>
    <t xml:space="preserve">Thanks for the kinds word of encouragement &lt; OP: you're welcome! We are here to support each other </t>
  </si>
  <si>
    <t>Same Shit bro!! Checking the spreadsheet every hour LOL! Sending you a lot of prayers.</t>
  </si>
  <si>
    <t>Congrats to the one who already secured a couple  of interviews! For the rest of us, hang in there - being here all day it's not healthy. There are still programs that have not sent interview invites. In the meantime, keep practicing for THAT interview that's coming!</t>
  </si>
  <si>
    <t>You got this!!!</t>
  </si>
  <si>
    <t>Feeling anxious about 10/23, I might faint if no IV by tommorow 😭</t>
  </si>
  <si>
    <t>same 250x</t>
  </si>
  <si>
    <t>do u think prelims wont be sent out today?</t>
  </si>
  <si>
    <t>Anyone get prelim from UTSW</t>
  </si>
  <si>
    <t>&lt; No US IMG 26x Signal+  +2</t>
  </si>
  <si>
    <t>Anyone get prelim from hopkins</t>
  </si>
  <si>
    <t xml:space="preserve">Its still pretty early in the interview season - programs sent out cat interviews all the way until                                                                                                          December last year. Especially when applicants start dropping invities &amp; ppl have                                                                                                                                                                sent LOI's, hang in there. I am a USIMG that matched cat position last cycle.   </t>
  </si>
  <si>
    <t>&lt;&lt; did your LOI actually work last year ? &lt;&lt; When is the best time to send a LOI? &lt;&lt; not OP but LOI might not be worth a squeeze until late during the cycle &lt;&lt; Thank you!</t>
  </si>
  <si>
    <t>Not a single II today, stayed up all night :(, NonUS IMG</t>
  </si>
  <si>
    <t>are you sure youre searching in the "search programs" section? or the saved programs section</t>
  </si>
  <si>
    <t xml:space="preserve">Because from October 1st they stoped taking applications , thereby excluding theirself after that date </t>
  </si>
  <si>
    <t xml:space="preserve">Mayo Roch was not appearing on ERAS program search when I applied…!! Still when I'm searching it isn't appearing? Does it happened with me only? </t>
  </si>
  <si>
    <t>There's about 25 slots left for Rochester</t>
  </si>
  <si>
    <t>Did any usimg get this</t>
  </si>
  <si>
    <t>any prelim dates still available at mayo? Is there hope for a 2nd wave</t>
  </si>
  <si>
    <t>&lt; Check the II by date, someone got one today! :D ( not me btw, i'm just happy for that person)</t>
  </si>
  <si>
    <t>I think that's a good sign for all of us!!</t>
  </si>
  <si>
    <t>Has the wave officially started?? Any Non-US IMG get II today?</t>
  </si>
  <si>
    <t>Nope, nothing :( as of now</t>
  </si>
  <si>
    <t>Yes, +3&lt; did u add ur stats to the other ii sheet? If not could u lmk&gt;&gt;added y stats already</t>
  </si>
  <si>
    <t xml:space="preserve">Just got prelim invite from Mayo </t>
  </si>
  <si>
    <t>Any IMG get prelim from mayo roch</t>
  </si>
  <si>
    <t xml:space="preserve">Those that applied to holy name program and didn't receive IV what are your stats ? </t>
  </si>
  <si>
    <t>Didn't recieve II from holy name, Non-US IMG</t>
  </si>
  <si>
    <t xml:space="preserve">If you received II from holy name, what are your stats? </t>
  </si>
  <si>
    <t>I didn't receive 😭, :( +3</t>
  </si>
  <si>
    <t>Hey guys! Did any Non-US IMG get II from One Brooklyn Health? Saw on the II Page that a couple of IMG's recieved II</t>
  </si>
  <si>
    <t xml:space="preserve">Stressed +1; panic </t>
  </si>
  <si>
    <t>How is everyone feeling? The big interview release date is around the corner. If needed, feel free to step away from the spreadsheet and enjoy this weekend as much as you can. Next week will be emotionally intense</t>
  </si>
  <si>
    <t>me too</t>
  </si>
  <si>
    <t>Its been so silent recently, am panicking</t>
  </si>
  <si>
    <t>i applied to, but did'nt get iv +2</t>
  </si>
  <si>
    <t xml:space="preserve">Did anyone apply to holyname and did not get IV?? and what are your stat </t>
  </si>
  <si>
    <t>yes+2</t>
  </si>
  <si>
    <t xml:space="preserve">anyone else still at 0 interviews as US-IMG? :'( </t>
  </si>
  <si>
    <t>No+2</t>
  </si>
  <si>
    <t>yes +1</t>
  </si>
  <si>
    <t>Has anyone received a rejection so far?</t>
  </si>
  <si>
    <t xml:space="preserve">&lt; wait.for.the.official.release.date  </t>
  </si>
  <si>
    <t>&gt;when is the official release date?</t>
  </si>
  <si>
    <t xml:space="preserve">&lt; Oct 23rd </t>
  </si>
  <si>
    <t>II for Non-US IMG's started rolling in yet?</t>
  </si>
  <si>
    <t>Midwestern per the other sheet</t>
  </si>
  <si>
    <t>Any Non-US IMG got II? Except Bayhealth?</t>
  </si>
  <si>
    <t>Any spots left at bayhealth</t>
  </si>
  <si>
    <t>&lt; same! and I cannot stop looking at this spreadsheet every 15 min +1</t>
  </si>
  <si>
    <t>I'm panicking, Cannot seem to get on the the IV trail</t>
  </si>
  <si>
    <t>Where do we find the open houses?</t>
  </si>
  <si>
    <t>&lt; Twitter, IG- a couple of programs post them their website but most of them use social media</t>
  </si>
  <si>
    <t>Not neccessary, it is more for applicants to know about the program</t>
  </si>
  <si>
    <t>As IMG's is it absolutely neccessary that we attend open houses?</t>
  </si>
  <si>
    <t>It's still early I think we don't need to panic yet..</t>
  </si>
  <si>
    <t xml:space="preserve">&lt; it could be both, and I agree with this comment. It's still early and lots of programs have not sent their interview invites yet! </t>
  </si>
  <si>
    <t xml:space="preserve">Just for some peace of mind, a friend matched at a place that interview them in early February, trust the process </t>
  </si>
  <si>
    <t>I read the interview release date for most programs will be October 23rd, so we just need to hang in there :s</t>
  </si>
  <si>
    <t xml:space="preserve">How about programs that already started sending interviews? One of my top sent them last week </t>
  </si>
  <si>
    <t>&lt; I'm in the same boat! I applied to 30+ programs, mostly preliminary, and I haven't received any interview invitations yet. None of the programs I applied to have sent out interview invitations (according to the spreadsheet), so tbh I'm not sure how to feel</t>
  </si>
  <si>
    <t>When shoud we be expecting our interviews??</t>
  </si>
  <si>
    <t>Hopefully next week&gt;&gt; very anxious about this week +1</t>
  </si>
  <si>
    <t>Glendale</t>
  </si>
  <si>
    <t>AdventHealth Florida Program</t>
  </si>
  <si>
    <t>Advocate Health Care Program</t>
  </si>
  <si>
    <t>Akron General Medical Center/NEOMED Program</t>
  </si>
  <si>
    <t>Albany Medical Center Program</t>
  </si>
  <si>
    <t>Albert Einstein Healthcare Network Program</t>
  </si>
  <si>
    <t>Allegheny Health Network Medical Education Consortium (AGH) Program</t>
  </si>
  <si>
    <t>Anne Arundel Medical Center Program</t>
  </si>
  <si>
    <t>Arrowhead Regional Medical Center/Kaiser Permanente (Fontana) Program</t>
  </si>
  <si>
    <t>Ascension Illinois/Saint Joseph (Chicago) Program</t>
  </si>
  <si>
    <t>Atlantic Health System/Morristown Medical Center Program</t>
  </si>
  <si>
    <t>Atrium Health Navicent The Medical Center/Mercer University School of Medicine Program</t>
  </si>
  <si>
    <t>Bassett Medical Center Program</t>
  </si>
  <si>
    <t>Baylor All Saints Medical Center Fort Worth Program</t>
  </si>
  <si>
    <t>Baylor College of Medicine Program</t>
  </si>
  <si>
    <t>Baylor University Medical Center Program</t>
  </si>
  <si>
    <t>Beaumont Health (Dearborn and Trenton) Program</t>
  </si>
  <si>
    <t>Beaumont Health (Royal Oak) Program</t>
  </si>
  <si>
    <t>Berkshire Medical Center Program</t>
  </si>
  <si>
    <t>Beth Israel Deaconess Medical Center Program</t>
  </si>
  <si>
    <t>Boston University Medical Center Program</t>
  </si>
  <si>
    <t>Brigham and Women's Hospital Program</t>
  </si>
  <si>
    <t>BronxCare Health System Program</t>
  </si>
  <si>
    <t>Brooklyn Hospital Center Program</t>
  </si>
  <si>
    <t>Brookwood Baptist Health Program</t>
  </si>
  <si>
    <t>Brown University Program</t>
  </si>
  <si>
    <t>Campbell University Program</t>
  </si>
  <si>
    <t>Fayetteville</t>
  </si>
  <si>
    <t>Carilion Clinic-Virginia Tech Carilion School of Medicine Program</t>
  </si>
  <si>
    <t>Carle Foundation Hospital Program</t>
  </si>
  <si>
    <t>Carolinas Medical Center Program</t>
  </si>
  <si>
    <t>Case Western Reserve University/University Hospitals Cleveland Medical Center Program</t>
  </si>
  <si>
    <t>Cedars-Sinai Medical Center Program</t>
  </si>
  <si>
    <t>12/30/0204</t>
  </si>
  <si>
    <t>manifesting a couple of ivs in 2025 +2</t>
  </si>
  <si>
    <t>SERIOUSLY!</t>
  </si>
  <si>
    <t>Memorial healthcare Hollywood Florida- serious redflag considering just 5 yrs old program</t>
  </si>
  <si>
    <t xml:space="preserve">&gt;&gt; Medical school debt is $350k. I didn’t go to med school to become a YouTuber or TikToker, and I certainly won’t choose my residency based on fake promotions or social media trends—this is not shampoo.
I do have one question, though: why were the five residents in this batch allowed to take the American Board of Surgery exam when their performance was poor, with one failing? This raises serious concerns about the bias and deceit of those who promoted them.  </t>
  </si>
  <si>
    <t xml:space="preserve">Memorial Healthcare Hollywood Forida The program kicked off six years ago.
Reported Issues:
There’s a noticeable trend of axing male residents, highlighted by cases involving TERMINATION a PGY-4 and a PGY-3 resident.
A female resident at the PGY-2 level had to redo her year due to poor performance.
The program appears to play favorites, typically selecting more females than males (4-5 females vs. 1-2 males), with all dismissed residents being male.
Specific Cases in last 5 years:
PGY-4 Resident, Gabriel Correa:
Booted for stuttering during presentations and subpar performance four years into the gig, throwing a wrench in his career path.
Heads up: The colorectal specialty is catching heat for consistently failing its male residents, signaling some deep-seated issues.
PGY-3 Resident, Dino Romero:
Kicked out after a messy breakup with a PGY-2 co-resident, while the female co-resident got a leg up. 
Complained by Colorectal Speciality as well
PGY-2 Resident, Nancy Orduno:
Had to repeat her year because she didn’t make the grade.
Academic Performance of Class of 2023:
2023 Graduate Class Five female residents stepped up to the plate.
Their scores on the recent ABS written board were:
One tanked with only 27% and failed.
The other four barely made it with scores ranging from 30.4-36.9%, which really raises some eyebrows about the program’s standards.
Additional Concerns for IMG’s and Individuals of Brown Skin: Despite several attempt no one came forward to talk. Word on the street is it’s rough sailing with routine put-downs and humiliations are just part of the daily grind.
You can bet all this info has been double-checked by reliable sources. However, welcome to confirm, if you find anything otherwise do others know as well.                                                                                                                                </t>
  </si>
  <si>
    <r>
      <rPr>
        <rFont val="arial,sans,sans-serif"/>
      </rPr>
      <t xml:space="preserve">Any other red flags??? &lt;&lt; lmao is that not enough red flags.          LOL i hadnt seen all of that when i typed it.  &gt;&gt;&gt;&gt; Wow just 5 years old program and 3 expelled, I heard two more resident left with excuse to change residency. &gt;&gt; Questions regarding Expelled residents                                                                                                                                                                             </t>
    </r>
    <r>
      <rPr>
        <rFont val="arial,sans,sans-serif"/>
        <b/>
      </rPr>
      <t>1-PGY-4 Resident, Gabriel Correa:</t>
    </r>
    <r>
      <rPr>
        <rFont val="arial,sans,sans-serif"/>
      </rPr>
      <t xml:space="preserve">
Booted for stuttering during presentations and subpar performance four years into the gig, throwing a wrench in his career path.
Heads up: The colorectal specialty is catching heat for consistently failing its male residents, signaling some deep-seated issues.
------If someone’s been stuttering since childhood, how did he get promoted all the way to PGY4? And how come he didn’t stutter during the interview?
</t>
    </r>
    <r>
      <rPr>
        <rFont val="arial,sans,sans-serif"/>
        <b/>
      </rPr>
      <t>2- PGY-3 Resident, Dino Romero:</t>
    </r>
    <r>
      <rPr>
        <rFont val="arial,sans,sans-serif"/>
      </rPr>
      <t xml:space="preserve">
Kicked out after a messy breakup with a PGY-2 co-resident, while the female co-resident got a leg up. 
Complained by Colorectal Speciality as well      &gt;&gt;&gt; eww -- We’re all adults, and relationships are consensual, so why was one person expelled while another was promoted? This seems like a completely one-sided, feminist approach. By the way, she’s had five relationships over the past three years, so this doesn’t seem like a reasonable justification to punish anyone.          </t>
    </r>
  </si>
  <si>
    <t xml:space="preserve">check the IG/youtube of med influencer daisy sanchez, she recently graduated from there. </t>
  </si>
  <si>
    <t>Christiana Care Health Services Program</t>
  </si>
  <si>
    <t>When do programs update their website for who matched</t>
  </si>
  <si>
    <t>Probably not for a while but if youre nosy, like me, you can go to their social media to see who they matched &lt; likely wont donit until after orientation (taking white coat headshots and such) so id presume late summer</t>
  </si>
  <si>
    <t>what is the tea on Rush I didnt realize it was so bad</t>
  </si>
  <si>
    <t xml:space="preserve">Yeah, at first I was surprised with some of those posts but then I thought back to my away rotation there. Multiple PGY4sand5s i worked with were not comfortable doing lap choleys indepently. Never did I ever see a pgy1 or pgy2 in the OR. </t>
  </si>
  <si>
    <t>Cleveland Clinic (Florida) Program</t>
  </si>
  <si>
    <t>Welp that aged poorly. +2</t>
  </si>
  <si>
    <t>dropped to #8 :)</t>
  </si>
  <si>
    <t xml:space="preserve">Should I certify my rank list if i'm not sure of it yet?? </t>
  </si>
  <si>
    <t>Yes, you can change it later</t>
  </si>
  <si>
    <t>Can I rank prelim above cat?</t>
  </si>
  <si>
    <t>Sure, but a cat is a better option</t>
  </si>
  <si>
    <t xml:space="preserve">Yeah but its risky </t>
  </si>
  <si>
    <t xml:space="preserve">Mayo IV impressions? </t>
  </si>
  <si>
    <t xml:space="preserve">The interview was really really good ,I really enjoyed my talk with them </t>
  </si>
  <si>
    <t>do all 2nd look invites go to everyone who interviewed, or do some programs only invite certain applicants? (ex: MUSC email yesterday abt 2nd look)</t>
  </si>
  <si>
    <t>vv</t>
  </si>
  <si>
    <t>any new interviews/drops?</t>
  </si>
  <si>
    <t>PC here: you probably won't see any additional major interview drops. invitations that go out will likely be limited to invites due to cancellations and most programs are probably working off WLs (internal or known to the WL applicants).</t>
  </si>
  <si>
    <t>&lt; thank you!</t>
  </si>
  <si>
    <t>Cleveland Clinic Foundation Program</t>
  </si>
  <si>
    <t>do they take the LOR and all that stuff into account when ranking or is it based on the interview ?</t>
  </si>
  <si>
    <t>Based on the interview &lt;&lt; I saw someone said they interviewed we'll (or at least didn't show any red flags) and still didn't match and considered that their app in addition to their interview day also played a part in deciding ranking  &lt;&lt;   "not showing red flags" is not really enough to say the interview alone should put anyone particularly high on a program's rank list though</t>
  </si>
  <si>
    <t>I know a program where the interviewers give applicants recommendations like RTM, rank high, rank, rank low, or DNR. Then mainly based on this, the applicants are ranked</t>
  </si>
  <si>
    <t>LOR def play a big role in rank, same as STEP 2 scores. If you got the same "score" for your interviews as another applicant, your other stats will be the deciding factor. It can be 50-70% inteview and the rest just all your other metrics.</t>
  </si>
  <si>
    <t>PC here: LORs are more important to us when deciding who to interview and less important when ranking. when ranking, we look at the application as a whole and the interview and any other data we've collected. we personally put less weight on the LOR than i think you might think!</t>
  </si>
  <si>
    <t>Anyone considering dropping ivs still?</t>
  </si>
  <si>
    <t>please dropppppp if you know for sure you're not ranking... it makes a big difference for the rest of us+4</t>
  </si>
  <si>
    <t>Unfortunately we figure this after interview +2</t>
  </si>
  <si>
    <t xml:space="preserve">Just dropped one for January &lt; thank you kind soul and hope you get your top choice! </t>
  </si>
  <si>
    <t>I am so scared +1</t>
  </si>
  <si>
    <t>Cleveland Clinic Foundation/South Pointe Hospital Program</t>
  </si>
  <si>
    <t>Not enough IIs +1</t>
  </si>
  <si>
    <t>&lt;&lt; Imagine having no interviews.. +1</t>
  </si>
  <si>
    <t>Warrensville Heights</t>
  </si>
  <si>
    <t>at what point do you tell a program they are your number one? december is too early since mid interview season but when is too late? I don't want the program to finalize their rank list but their last interview day is December they have none in Jan</t>
  </si>
  <si>
    <t>Before programs rank list are due on Feb 5th. Good time to send is mid-January imo. Don't want to seem overzealous like you haven't put thought into the decision. And many programs know that applicants are interviewing well into January, so if you send before that, it's likely going to seem like you didn't weigh your options fully</t>
  </si>
  <si>
    <t>RL are due March 5, FYI! &lt; for programs or applicants? &lt; according to NRMP, both&lt; Gotcha, but I am assuming a lot of programs will rank beforehand since they say that they rank before second visits</t>
  </si>
  <si>
    <t>was told in one interview that the programs are given a deadline in february even with the march 5 date. would send by early/mid feb imo</t>
  </si>
  <si>
    <t xml:space="preserve">Damn y'all really go off about fucking up and saying Feb 5 instead of March 5 by accident. Chill homies </t>
  </si>
  <si>
    <t>Final ranks are most likely completed in january or soon after interviews finish - I woud use this document to stalk and see when your top programs are done interviewing... I would send letter of intent maybe the week after last interviews you see listed on this document for any particular program... did this last year for my top choice and matched there. Annoying adivce: Please look up interview cycle explanations/when ranks are submitted for both applicant and PDs, and even explanation of the SOAP process as surgery is just steadily becoming more difficult to match. Prepare yourself and dont rely soley on this document.</t>
  </si>
  <si>
    <t>Person who got the rejection from chicago - was that post-LOI or unprompted?</t>
  </si>
  <si>
    <t>Post-LOI &lt; thx &lt; unprompted  &lt; oh wait one got it post-LOI and one got it unpromtped? Yeah &lt; Post LOI for me</t>
  </si>
  <si>
    <t>&lt; like you sent an LOI in the last week or so? &lt; yeah</t>
  </si>
  <si>
    <t>&lt;I also got one unprompted. Seems like an R wave rather than a response to LOI +3</t>
  </si>
  <si>
    <t>&lt;If we didn't get the rejection email and also dont have an interview does that mean we might be on a waitlist?</t>
  </si>
  <si>
    <t>&lt;I got a random interview from them post LOI so they do seem to be reading those</t>
  </si>
  <si>
    <t>Community Memorial Health System Program</t>
  </si>
  <si>
    <t>First social tmw what should i expect? Do we ask questions what ?</t>
  </si>
  <si>
    <t xml:space="preserve">They often have some sort of presentation and then you can ask questions in the main group or get placed into smaller break out rooms to ask questions. </t>
  </si>
  <si>
    <t>what things are yall finding out in interviews that werent on your radar before as aspects of programs to evaluate in deciding your ranking? mine was not only looking at how far away some rotations are but also how long you are there. I have been surprised that some spend 2-4 months every year at a location like 1.5 hours away while some are like 1-2 months pgy 2 and pgy3 which is way different when i think back to my away experience and think about having to do that 3 times every year</t>
  </si>
  <si>
    <t>I knew this before, but the interviews have made me pay more attention to # and diversity of rotation sites. I think everyone probably has a different mix that is their sweet spot</t>
  </si>
  <si>
    <t xml:space="preserve">do we know how the matching algorithm works exactly? I was told its skewed to the applicants favor? does that mean that it takes everyone and places them in their 1st choice and then if a program is 1st on 20 people's list, it defers to the program's ranking to choose the top 8 (assuming thats how many cats) and then it returns everyone to the pot and goes for 2nd ranking and so on? </t>
  </si>
  <si>
    <t xml:space="preserve">there is an official NRMP video about this on Youtube! I recommend it! &lt; I watched it on the NRMP website but while it demonstrates it, I feel a little confused because it saying it matches each person one by one but that just feels weird since theres like 2000 of us and by what order is that happening? but also maybe im overthinking it and it functionally is the same as what I described </t>
  </si>
  <si>
    <t xml:space="preserve">Yes, if everyone were to rank a program #1, then the match would go by the program's rank list. This is unlikely to happen except at very "top" programs, which is why the "top" programs usually don't go as far down on their list, whereas an average program has to rank ~5 applicants for every one matched resident. Really though, all you need to know is there is no benefit to ranking your programs any other way than your exact order of preferences </t>
  </si>
  <si>
    <t>Conemaugh Memorial Medical Center Program</t>
  </si>
  <si>
    <t xml:space="preserve"> can anyone give me insight into UT houston's program, why does it have a reputation of malignancy +1</t>
  </si>
  <si>
    <t>I have heard they work extremely hard and are trained extremely well but that there is a lot of old-school attitude with hierarchy and talking down</t>
  </si>
  <si>
    <t>do you think sending out LOI's would work now?</t>
  </si>
  <si>
    <t>&lt;&lt; most programs are full. If someone drops and spot opens up? Maybe LOI helps a little if you are already high on internal waitlist but it's hard to know.&gt;&gt;Thank you:)</t>
  </si>
  <si>
    <t xml:space="preserve">my PD said she puts LOIs into your file and if you happen to be someone who was already on their internal waitlist, then great, but it doesn't really change anything. phonecall or letter from a mentor is &gt;&gt;&gt; If you can get someone to call for you that would work best.  </t>
  </si>
  <si>
    <t>Thank you so much! I understand that most of the programs have already sent invites, and I have alreday sent LOI's to the programs I love, so I just pray that someone sends me an invite :)</t>
  </si>
  <si>
    <t>is there any program that has not sent invites yet?</t>
  </si>
  <si>
    <t>Kettering?</t>
  </si>
  <si>
    <t>I have not seen nassau yet?</t>
  </si>
  <si>
    <t>Cooper Medical School of Rowan University/Cooper University Hospital Program</t>
  </si>
  <si>
    <t>why is it so silent? lowkey freaking out</t>
  </si>
  <si>
    <t>Most interview invites were sent out long time ago. I wouldn't expect any categorical invites now</t>
  </si>
  <si>
    <t>&gt;&gt;Non-US IMG, did not have enough categorical invites, even when I thought I was a strong applicant, put my everything into this cycle. Thank you for answering though!!</t>
  </si>
  <si>
    <t>Most imgs are having a horrible cycle +1 &lt;&lt; I truly think virtual interviews is affecting everyone but particularly IMGs. I'm sorry y'all are going through it guys :(</t>
  </si>
  <si>
    <t>Have any Hopkins Categorical sports opened up?</t>
  </si>
  <si>
    <t>Anyone who has already interviewed at Kentucky? I'm so confused how this large group zoom with 5 min interviews with the PD is going to work</t>
  </si>
  <si>
    <t xml:space="preserve">how many people? &lt; schedule seems to make it look like all applicants in one zoom and then from there, there is 5 minute interviews with the PD and also residents to answer questions. Not sure how it's going to work? Is it a breakout room with everyone and 1 by 1 you go into the PD break room for 5 min? </t>
  </si>
  <si>
    <t>Creighton University School of Medicine (Omaha) Program</t>
  </si>
  <si>
    <t>PC here: if the program is utilizing one Zoom link, they yes, they'll move people in and out of breakout rooms!</t>
  </si>
  <si>
    <t>is there a spreadsheet for plastics</t>
  </si>
  <si>
    <t>Can people add their dropped II pls?</t>
  </si>
  <si>
    <t>yess pls</t>
  </si>
  <si>
    <t>Doctors Hospital at Renaissance any spots left?</t>
  </si>
  <si>
    <t xml:space="preserve">When looking at fellowship matches, are you only looking at the number of residents who matched at a specific fellowship (ie surg onc) or where they matched? </t>
  </si>
  <si>
    <t xml:space="preserve">where. a resident who isn't "competitive" for surg onc will self-select out of the application pool so it doesn't truly represent how many *intended* to do that specialty. for example, residents don't tend to apply to the specialty for whatever reason (limited exposure, no mentors, etc), or applies and doesn't match, then matches a different program that has a later cycle i.e. acs/trauma or MIS. match rate will still be 100% for the cohort, but doesn't represent # of candidates who felt they couldn't apply or failed to match of that specific specialty. location of match at least represents the strength of the candidate based on their program. </t>
  </si>
  <si>
    <t>Creighton University School of Medicine (Phoenix) Program</t>
  </si>
  <si>
    <t>Is it too late to send LOI, do we send to PD and PC or just the email on ERAS?</t>
  </si>
  <si>
    <t>I sent to PD and PC / whatever email i could fine</t>
  </si>
  <si>
    <t xml:space="preserve">How many programs have sent out II for prelim </t>
  </si>
  <si>
    <t>Does anyone know the release dates of the sub-specialty programs? (plastics/CV/vasc etc) I figure after those there may be quite a few interview drops &lt;&lt; god I hope so</t>
  </si>
  <si>
    <t>GS PC here: i heard from my plastic colleagues that they had to push their invite date to next tuesday (because monday is a holiday) as there was some issue with their application system. Their original invite date was originally tomorrow.</t>
  </si>
  <si>
    <t>I think ENT is this Friday, Ortho is 11/18, plastics is 11/12</t>
  </si>
  <si>
    <t xml:space="preserve">Nothing today? Is the wave over </t>
  </si>
  <si>
    <t>Crozer-Chester Medical Center Program</t>
  </si>
  <si>
    <t xml:space="preserve">Makes sense </t>
  </si>
  <si>
    <t>Can someone update Cleveland florida ii opening</t>
  </si>
  <si>
    <t>So if we havent heard from a program yet- and theyve sent out interviews- should we assume were not being considered</t>
  </si>
  <si>
    <t>Yes, definitely but remember that you may still get an invite if people drop &lt;&lt; either people drop or they don't fill out all their slots, either way you can send a LOI.</t>
  </si>
  <si>
    <t>Can someone update Umass baystate pls</t>
  </si>
  <si>
    <t>&lt; done</t>
  </si>
  <si>
    <t>Danbury Hospital Program</t>
  </si>
  <si>
    <t>Thank u sm</t>
  </si>
  <si>
    <t>May be irrelevant to this spread. But did anyone who applied to PGY2 categorical at Northwestern heard back from them about interview?</t>
  </si>
  <si>
    <t>&lt;&lt; any updates?</t>
  </si>
  <si>
    <t>can someone update rutgers community openings pls &lt;&lt; should be updated now!</t>
  </si>
  <si>
    <t>&lt; and Rutgers NJMS and Hofstra/Northwell LIJ pls and thank you</t>
  </si>
  <si>
    <t>hofstra LIJ has a bunch of openings just checked &lt;&lt; thank you!</t>
  </si>
  <si>
    <t xml:space="preserve">Any openings at RWJ? &lt;&lt; no unfortunately </t>
  </si>
  <si>
    <t>Anyone knows when University of Miami/ Medical Center will send invites? +1</t>
  </si>
  <si>
    <t>U Miami just dropped (11/4 @ ~12:15 EST)</t>
  </si>
  <si>
    <t>Dartmouth-Hitchcock/Mary Hitchcock Memorial Hospital Program</t>
  </si>
  <si>
    <t>what happened to the secondary/pre-IV comms tab i wanna check some things + update comms</t>
  </si>
  <si>
    <t>Link on first page to other tabs</t>
  </si>
  <si>
    <t>What would be the harm? &lt;&lt; Do it! Just be sure to be concise and compelling. Don't just mention what you like about the program but you can bring to the table to meet the needs and mission of the program. Good luck!</t>
  </si>
  <si>
    <t>Send it only if they've sent out invites already</t>
  </si>
  <si>
    <t>I am really not sure what to inculde in such an email, like I said I am instested by sending an application, and I signaled, what to say in such an email , what to include ?</t>
  </si>
  <si>
    <t>Desert Regional Medical Center Program</t>
  </si>
  <si>
    <t>Did Colorado send? +2 &lt; why do you ask? &lt; it says they were released on the II by program but not the II by date</t>
  </si>
  <si>
    <t>edit history of that cell says it was written at 10pm (CST i think since thats my timezone when i look at it) so it was filled out 2 hours after they said it was released</t>
  </si>
  <si>
    <t>USIMG still sitting at 0 interviews, was told that i was a strong applicant so didnt apply to too many Prelims, when should i start freaking out?</t>
  </si>
  <si>
    <t>Yes. &lt; yes as in NOw?</t>
  </si>
  <si>
    <t xml:space="preserve">As imgs we are never really strong applicants in surgery </t>
  </si>
  <si>
    <t>Detroit Medical Center Corporation Program</t>
  </si>
  <si>
    <t>University of Michigan Health System Program</t>
  </si>
  <si>
    <t>Day 2 of obsessively checking this sheet</t>
  </si>
  <si>
    <t>&lt; Here with my coffee and my anxiety ready for day 2 +3</t>
  </si>
  <si>
    <t>my anxiety is through the roof, i woke up today and did not even pray, i checked this spreedsheet first, i hhope i dont die from high blood pressure before an IV enters my mail &lt; go pray +1</t>
  </si>
  <si>
    <t xml:space="preserve">Spots left for Florida Atlantic ? </t>
  </si>
  <si>
    <t xml:space="preserve">Use the interview openings tab for this please </t>
  </si>
  <si>
    <t>Did they actually send out another wave of invites today? Looks like its the same thing copy and pasted from yesterday &lt;&lt; looks like a mistake tbh</t>
  </si>
  <si>
    <t>University of California (Los Angeles) Medical Center Program</t>
  </si>
  <si>
    <t>Detroit Medical Center/Wayne State University Program</t>
  </si>
  <si>
    <t>any prelim dates still available at mayo? Is there hope for a 2nd wave &lt;&lt;&lt;&lt; There is a tab (Interview Openings) that is the best place to request this information, so that it can be easily found by people who may also want to know, and updated later. Next time would be preferable to just take these questions there</t>
  </si>
  <si>
    <t xml:space="preserve">Yes there is still date available </t>
  </si>
  <si>
    <t>Any usimg that got at mayo? Im seeing all nonus</t>
  </si>
  <si>
    <t xml:space="preserve">There's 25 spots open for prelim </t>
  </si>
  <si>
    <t>everyone got IV for prelim, signaled?</t>
  </si>
  <si>
    <t>i signalled +2 &lt; not necessarily.</t>
  </si>
  <si>
    <t>UMass Chan Medical School Program</t>
  </si>
  <si>
    <t>Mayo clinic Florida interviews released will there be another release&lt;&lt;can always check if they did last year</t>
  </si>
  <si>
    <t>Dignity Health East Valley Program</t>
  </si>
  <si>
    <t>Why are programs so slowww i see tons of people getting IM and FM ii</t>
  </si>
  <si>
    <t>University of Miami/Jackson Health System Program</t>
  </si>
  <si>
    <t>there's a universal release date that most PDs agree upon in surgery, 10/23</t>
  </si>
  <si>
    <t>Duke University Hospital Program</t>
  </si>
  <si>
    <t>Schools who use selectwise have a screening for "high potential" candidates before sending out. Others send to everyone it seems</t>
  </si>
  <si>
    <t>High potential = they will interview you or not ?</t>
  </si>
  <si>
    <t>is a 260+ not high potential? Lol</t>
  </si>
  <si>
    <t>what even constitutes high potential</t>
  </si>
  <si>
    <t>WHAT PROGRAMS REQUIRE CHAIR LETTER????</t>
  </si>
  <si>
    <t>UT HOUSTON/CINCY/WHO ELSE</t>
  </si>
  <si>
    <t>University of Chicago Program</t>
  </si>
  <si>
    <t>Colorado, ETSU, Indiana</t>
  </si>
  <si>
    <t>UC Davis, UCSF, UCSD, UC Irvine</t>
  </si>
  <si>
    <t>Where does Irvine say that? Their website just says 3 letters! I also could have sworn that Brown required when I checked before, but their website says just 3 letters now</t>
  </si>
  <si>
    <t>East Tennessee State University/Quillen College of Medicine Program</t>
  </si>
  <si>
    <t>Oregon Health &amp; Science University Program</t>
  </si>
  <si>
    <t>Some applications say "submit eras application, CV, transcripts… etc" - does this mean they want a seperate CV document uploaded or are they talking about your 10 experiences /pubs on your eras app</t>
  </si>
  <si>
    <t>I was wondering the same but where would a CV even go on eras?</t>
  </si>
  <si>
    <t>University of Tennessee Medical Center at Knoxville Program</t>
  </si>
  <si>
    <t>Maybe in additional documents?</t>
  </si>
  <si>
    <t>I've seen some places specify CV (ERAS format), meaning the CV that gets generated from your application. 99% sure that's what they're all talking about</t>
  </si>
  <si>
    <t>I have a list of 75 programs and whether or not their website lists that they require a chair letter would this be helpful to put somewhere  &lt;&lt;&lt; please and TY TY !!!</t>
  </si>
  <si>
    <t>can you share these here?</t>
  </si>
  <si>
    <t>University of Alabama</t>
  </si>
  <si>
    <t>mod here -- I'll make a column on program details, feel free to add</t>
  </si>
  <si>
    <t>Eastern Virginia Medical School Program</t>
  </si>
  <si>
    <t>anyone know if these got uploaded somewhere?</t>
  </si>
  <si>
    <t>ECU Health Medical Center/East Carolina University Program</t>
  </si>
  <si>
    <t>George Washington University Program</t>
  </si>
  <si>
    <t>University of Nebraska Medical Center College of Medicine Program</t>
  </si>
  <si>
    <t>Emory University School of Medicine Program</t>
  </si>
  <si>
    <t>University of Colorado Program</t>
  </si>
  <si>
    <t>Example if you ranked "Abrazo Health" #1, and there is already a number 2 in that cell (i.e. 2 people also ranked it #1) then add yourself and make it 3</t>
  </si>
  <si>
    <t>Los Angeles County-Harbor-UCLA Medical Center Program</t>
  </si>
  <si>
    <t>Faxton - St Lukes Hospital Program</t>
  </si>
  <si>
    <t>University of California (San Diego) Medical Center Program</t>
  </si>
  <si>
    <t>La Jolla</t>
  </si>
  <si>
    <t>University of California Davis Health Program</t>
  </si>
  <si>
    <t>University of Kentucky College of Medicine Program</t>
  </si>
  <si>
    <t>Florida Atlantic University Charles E. Schmidt College of Medicine Program</t>
  </si>
  <si>
    <t>Ochsner Clinic Foundation Program</t>
  </si>
  <si>
    <t>Florida State University College of Medicine Program</t>
  </si>
  <si>
    <t>Johns Hopkins University Program</t>
  </si>
  <si>
    <t>Flushing Hospital Medical Center Program</t>
  </si>
  <si>
    <t>Franciscan Health Olympia Fields Program</t>
  </si>
  <si>
    <t>University of Kansas School of Medicine Program</t>
  </si>
  <si>
    <t>University of Louisville School of Medicine Program</t>
  </si>
  <si>
    <t>Garden City Hospital Program</t>
  </si>
  <si>
    <t>Garnet Health Medical Center Program</t>
  </si>
  <si>
    <t>Middletown</t>
  </si>
  <si>
    <t>Massachusetts General Hospital Program</t>
  </si>
  <si>
    <t>Geisinger Health System (Wilkes Barre) Program</t>
  </si>
  <si>
    <t>University of North Carolina Hospitals Program</t>
  </si>
  <si>
    <t>Geisinger Health System Program</t>
  </si>
  <si>
    <t>Medical University of South Carolina Program</t>
  </si>
  <si>
    <t>University of Texas Medical Branch Hospitals Program</t>
  </si>
  <si>
    <t xml:space="preserve">Good Samaritan University Hospital </t>
  </si>
  <si>
    <t>West Islip</t>
  </si>
  <si>
    <t>Loma Linda University Health Education Consortium Program</t>
  </si>
  <si>
    <t>Yale-New Haven Medical Center Program</t>
  </si>
  <si>
    <t>Tulane University Program</t>
  </si>
  <si>
    <t>Hackensack University Medical Center Program</t>
  </si>
  <si>
    <t>University of Mississippi Medical Center Program</t>
  </si>
  <si>
    <t>Harlem Hospital Center Program</t>
  </si>
  <si>
    <t>Montefiore Medical Center/Albert Einstein College of Medicine Program</t>
  </si>
  <si>
    <t>New York Presbyterian Hospital (Cornell Campus) Program</t>
  </si>
  <si>
    <t>HCA Florida Healthcare/Kendall Hospital Program</t>
  </si>
  <si>
    <t>Zucker School of Medicine at Hofstra/Northwell at Lenox Hill Hospital Program</t>
  </si>
  <si>
    <t>University of Texas Health Science Center at Houston Program</t>
  </si>
  <si>
    <t>HCA Florida Healthcare/Lawnwood Hospital Program</t>
  </si>
  <si>
    <t>Fort Pierce</t>
  </si>
  <si>
    <t>University of Vermont Medical Center Program</t>
  </si>
  <si>
    <t>Santa Barbara Cottage Hospital Program</t>
  </si>
  <si>
    <t>HCA Florida Healthcare/USF Morsani College of Medicine GME Bayonet Point Hospital Program</t>
  </si>
  <si>
    <t>MedStar Health/Georgetown-Washington Hospital Program</t>
  </si>
  <si>
    <t>Mayo Clinic College of Medicine and Science (Jacksonville) Program</t>
  </si>
  <si>
    <t>HCA Florida Healthcare/USF Morsani College of Medicine GME Brandon Hospital Program</t>
  </si>
  <si>
    <t>Mayo Clinic College of Medicine and Science (Rochester) Program</t>
  </si>
  <si>
    <t>University of Minnesota Program</t>
  </si>
  <si>
    <t>HCA Florida Healthcare/Westside/Northwest Hospital Program</t>
  </si>
  <si>
    <t>HCA Florida JFK Hospital/University of Miami Miller School of Medicine GME Consortium Program</t>
  </si>
  <si>
    <t>Atlantis</t>
  </si>
  <si>
    <t>New York Presbyterian Hospital (Columbia Campus) Program</t>
  </si>
  <si>
    <t>New York-Presbyterian/Queens Program</t>
  </si>
  <si>
    <t>HCA Florida Orange Park Hospital Program</t>
  </si>
  <si>
    <t>University of Rochester Program</t>
  </si>
  <si>
    <t>Westchester Medical Center Program</t>
  </si>
  <si>
    <t>HCA Healthcare Kansas City/Menorah Medical Center Program</t>
  </si>
  <si>
    <t>Penn State Milton S Hershey Medical Center Program</t>
  </si>
  <si>
    <t>University of Tennessee College of Medicine at Chattanooga Program</t>
  </si>
  <si>
    <t>HCA Healthcare Riverside Program</t>
  </si>
  <si>
    <t>University of Tennessee Program</t>
  </si>
  <si>
    <t>Vanderbilt University Medical Center Program</t>
  </si>
  <si>
    <t>HCA Healthcare Sunrise Health GME/MountainView Program</t>
  </si>
  <si>
    <t>Baylor College of Medicine (Temple) Program</t>
  </si>
  <si>
    <t>Texas Health Resources Fort Worth General Surgery Program</t>
  </si>
  <si>
    <t>HCA Healthcare/Los Robles Regional Medical Center Program</t>
  </si>
  <si>
    <t>University of Texas Health Science Center San Antonio Joe and Teresa Lozano Long School of Medicine Program</t>
  </si>
  <si>
    <t>HCA Healthcare/Mercer University School of Medicine/Grand Strand Medical Center Program</t>
  </si>
  <si>
    <t>HCA Healthcare/Mercer University School of Medicine/Memorial Health University Medical Center Program</t>
  </si>
  <si>
    <t>University of Arizona College of Medicine-Phoenix Program</t>
  </si>
  <si>
    <t>HCA Healthcare/Mercer University School of Medicine/Trident Medical Center Program</t>
  </si>
  <si>
    <t>University of Connecticut Program</t>
  </si>
  <si>
    <t>Rush University Medical Center Program</t>
  </si>
  <si>
    <t>HCA HealthONE/Sky Ridge Medical Center Program</t>
  </si>
  <si>
    <t>Indiana University School of Medicine Program</t>
  </si>
  <si>
    <t>HCA HealthONE/Swedish Medical Center Program</t>
  </si>
  <si>
    <t>HCA Houston Healthcare/University of Houston (Kingwood) Program</t>
  </si>
  <si>
    <t>HCA Medical City Healthcare UNT-TCU GME (Plano) Program</t>
  </si>
  <si>
    <t>Rutgers Health/Robert Wood Johnson Medical School Program</t>
  </si>
  <si>
    <t>Hennepin Healthcare Program</t>
  </si>
  <si>
    <t>UPMC Medical Education (Harrisburg) Program</t>
  </si>
  <si>
    <t>Harrisburg</t>
  </si>
  <si>
    <t>Henry Ford Health/Henry Ford Hospital Program</t>
  </si>
  <si>
    <t>Methodist San Antonio Program</t>
  </si>
  <si>
    <t>University of Washington Program</t>
  </si>
  <si>
    <t>Henry Ford Health/Henry Ford Jackson Hospital Program</t>
  </si>
  <si>
    <t>Univeristy of Southern Alabama Health</t>
  </si>
  <si>
    <t>Henry Ford Health/Henry Ford Macomb Hospital Program</t>
  </si>
  <si>
    <t>University of Arkansas for Medical Sciences (UAMS) College of Medicine Program</t>
  </si>
  <si>
    <t>University of Arizona College of Medicine-Tucson Program</t>
  </si>
  <si>
    <t>Henry Ford Health/Henry Ford Wyandotte Hospital Program</t>
  </si>
  <si>
    <t>Huntington Memorial Hospital Program</t>
  </si>
  <si>
    <t>Teaneck</t>
  </si>
  <si>
    <t>University of California (San Francisco) Program</t>
  </si>
  <si>
    <t>University of South Florida Morsani Program</t>
  </si>
  <si>
    <t>University of Kansas (Wichita) Program</t>
  </si>
  <si>
    <t>Hospital Episcopal San Lucas/Ponce School of Medicine Program</t>
  </si>
  <si>
    <t>University of Maryland Program</t>
  </si>
  <si>
    <t>Kirk Kerkorian School of Medicine at UNLV Program</t>
  </si>
  <si>
    <t>Icahn School of Medicine at Mount Sinai Program</t>
  </si>
  <si>
    <t>NYU Grossman School of Medicine Program (Manhattan)</t>
  </si>
  <si>
    <t>Ohio State University Hospital Program</t>
  </si>
  <si>
    <t>Icahn School of Medicine at Mount Sinai/Morningside/West Program</t>
  </si>
  <si>
    <t>The MetroHealth System/Case Western Reserve University Program</t>
  </si>
  <si>
    <t>University of Cincinnati Medical Center/College of Medicine Program</t>
  </si>
  <si>
    <t>Icahn School of Medicine at Mount Sinai/Mount Sinai Hospital Program</t>
  </si>
  <si>
    <t>University of Oklahoma Health Sciences Center Program</t>
  </si>
  <si>
    <t>Lehigh Valley Health Network Program</t>
  </si>
  <si>
    <t>Icahn School of Medicine at Mount Sinai/South Nassau Program</t>
  </si>
  <si>
    <t>Oceanside</t>
  </si>
  <si>
    <t>Prisma Health/University of South Carolina SOM Greenville (Greenville) Program</t>
  </si>
  <si>
    <t>Inova Fairfax Medical Campus/Inova Fairfax Hospital for Children Program</t>
  </si>
  <si>
    <t>Texas Tech University HSC El Paso Program</t>
  </si>
  <si>
    <t>University of Utah Health Program</t>
  </si>
  <si>
    <t>Inspira Health Network/Inspira Medical Center Vineland Program</t>
  </si>
  <si>
    <t>Kaiser Permanente Southern California (Los Angeles) Program</t>
  </si>
  <si>
    <t>Jersey Shore University Medical Center Program</t>
  </si>
  <si>
    <t>Neptune City</t>
  </si>
  <si>
    <t>Saint Joseph Hospital Program</t>
  </si>
  <si>
    <t>Jewish Hospital of Cincinnati Program</t>
  </si>
  <si>
    <t>Mount Sinai Medical Center of Florida Program</t>
  </si>
  <si>
    <t>Kansas City University GME Consortium (KCU-GME Consortium)/St Anthony Program</t>
  </si>
  <si>
    <t>Northeast Georgia Medical Center Program</t>
  </si>
  <si>
    <t>Kansas City University GME Consortium (KCU-GME Consortium)/St Mary's Program</t>
  </si>
  <si>
    <t>University of Iowa Hospitals and Clinics Program</t>
  </si>
  <si>
    <t>Kaweah Delta Health Care District (KDHCD) Program</t>
  </si>
  <si>
    <t>Loyola University Medical Center Program</t>
  </si>
  <si>
    <t>Louisiana State University School of Medicine Program</t>
  </si>
  <si>
    <t>Kettering Health Network Program</t>
  </si>
  <si>
    <t>Lahey Clinic Program</t>
  </si>
  <si>
    <t>UMass Chan - Baystate Program</t>
  </si>
  <si>
    <t>Maine Medical Center Program</t>
  </si>
  <si>
    <t>University of Michigan Health-West Program</t>
  </si>
  <si>
    <t>University of Missouri-Columbia Program</t>
  </si>
  <si>
    <t>Larkin Community Hospital Program</t>
  </si>
  <si>
    <t>South Miami</t>
  </si>
  <si>
    <t>Lincoln Medical and Mental Health Center Program</t>
  </si>
  <si>
    <t>Maimonides Medical Center Program</t>
  </si>
  <si>
    <t>New York Medical College at Metropolitan Hospital Center Program</t>
  </si>
  <si>
    <t>Nuvance Health Program</t>
  </si>
  <si>
    <t>NYU Long Island School of Medicine Program</t>
  </si>
  <si>
    <t>Zucker School of Medicine at Hofstra/Northwell Program</t>
  </si>
  <si>
    <t>Louisiana State University (Shreveport) Program</t>
  </si>
  <si>
    <t>OhioHealth/Doctors Hospital Program</t>
  </si>
  <si>
    <t>University of Oklahoma School of Community Medicine (Tulsa) Program</t>
  </si>
  <si>
    <t>Robert Packer Hospital/Guthrie Program</t>
  </si>
  <si>
    <t>Sidney Kimmel Medical College at Thomas Jefferson University/TJUH Program</t>
  </si>
  <si>
    <t>St Luke's University Hospital Program</t>
  </si>
  <si>
    <t>Prisma Health/University of South Carolina SOM Columbia (Columbia) Program</t>
  </si>
  <si>
    <t>St. David's Healthcare Graduate Medical Education Program</t>
  </si>
  <si>
    <t>Main Line Health System/Lankenau Medical Center Program</t>
  </si>
  <si>
    <t>University of Texas at Austin Dell Medical School Program</t>
  </si>
  <si>
    <t>Virginia Commonwealth University Health System Program</t>
  </si>
  <si>
    <t>Marshall University School of Medicine Program</t>
  </si>
  <si>
    <t>Swedish Medical Center/First Hill Program</t>
  </si>
  <si>
    <t>Virginia Mason Franciscan Health Program</t>
  </si>
  <si>
    <t>University of Wisconsin Hospitals and Clinics Program</t>
  </si>
  <si>
    <t>Riverside University Health System/University of California Riverside Program</t>
  </si>
  <si>
    <t>UHS Southern California Medical Education Consortium Program</t>
  </si>
  <si>
    <t>Mayo Clinic College of Medicine and Science (Phoenix) Program</t>
  </si>
  <si>
    <t>University of California San Francisco (East Bay) Program</t>
  </si>
  <si>
    <t>St Mary's Hospital (Waterbury) Program</t>
  </si>
  <si>
    <t>University of Florida College of Medicine Jacksonville Program</t>
  </si>
  <si>
    <t>Wellstar Health System/Wellstar Atlanta Medical Center Program</t>
  </si>
  <si>
    <t>Marietta</t>
  </si>
  <si>
    <t>Mount Clemens</t>
  </si>
  <si>
    <t>University of Illinois College of Medicine at Chicago Program</t>
  </si>
  <si>
    <t>Medical College of Georgia Program</t>
  </si>
  <si>
    <t>Sparrow Hospital Program</t>
  </si>
  <si>
    <t>Spectrum Health/Michigan State University Program</t>
  </si>
  <si>
    <t>St Louis University School of Medicine Program</t>
  </si>
  <si>
    <t>Mercy Catholic Medical Center Program</t>
  </si>
  <si>
    <t>Mountain Area Health Education Center Program</t>
  </si>
  <si>
    <t>Mercy St Vincent Medical Center Program</t>
  </si>
  <si>
    <t>Wake Forest University Baptist Medical Center Program</t>
  </si>
  <si>
    <t>MercyOne Des Moines/PHC Consortium Program</t>
  </si>
  <si>
    <t>Methodist Health System Dallas Program</t>
  </si>
  <si>
    <t>Rutgers Health/New Jersey Medical School Program</t>
  </si>
  <si>
    <t>Methodist Hospital (Houston) Program</t>
  </si>
  <si>
    <t>University of New Mexico School of Medicine Program</t>
  </si>
  <si>
    <t>New York-Presbyterian Brooklyn Methodist Hospital Program</t>
  </si>
  <si>
    <t>SUNY Downstate Health Sciences University Program</t>
  </si>
  <si>
    <t>SUNY Upstate Medical University Program</t>
  </si>
  <si>
    <t>University at Buffalo Program</t>
  </si>
  <si>
    <t>Morehouse School of Medicine Program</t>
  </si>
  <si>
    <t>Zucker School of Medicine at Hofstra/Northwell at South Shore University Hospital Program</t>
  </si>
  <si>
    <t>Mount Carmel Health System Program</t>
  </si>
  <si>
    <t>Grove City</t>
  </si>
  <si>
    <t>Zucker School of Medicine at Hofstra/Northwell at Staten Island University Hospital Program</t>
  </si>
  <si>
    <t>TriHealth (Good Samaritan Hospital) Program</t>
  </si>
  <si>
    <t>Nassau University Medical Center Program</t>
  </si>
  <si>
    <t>University of Pennsylvania Health System Program</t>
  </si>
  <si>
    <t>UPMC Medical Education/Mercy Program</t>
  </si>
  <si>
    <t>natividiad</t>
  </si>
  <si>
    <t>Wellspan Health/York Hospital Program</t>
  </si>
  <si>
    <t>Nazareth Hospital Program</t>
  </si>
  <si>
    <t>University of South Dakota School of Medicine Program</t>
  </si>
  <si>
    <t>University of Tennessee College of Medicine (Nashville) Program</t>
  </si>
  <si>
    <t>Marshall Community Health Consortium Program</t>
  </si>
  <si>
    <t>Midwestern University GME Consortium / Mountain Vista Program</t>
  </si>
  <si>
    <t>Sutter Health/Sutter Roseville Medical Center Program</t>
  </si>
  <si>
    <t>Novant Health New Hanover Regional Medical Center Program</t>
  </si>
  <si>
    <t>University of California (San Francisco)/Fresno Program</t>
  </si>
  <si>
    <t>Stamford Hospital/Columbia University College of Physicians and Surgeons Program</t>
  </si>
  <si>
    <t>NYU Grossman School of Medicine (Brooklyn) Program</t>
  </si>
  <si>
    <t>NYU Grossman School of Medicine Program</t>
  </si>
  <si>
    <t>University of Central Florida/HCA Florida Healthcare (Greater Orlando/Osceola) Program</t>
  </si>
  <si>
    <t>University of Florida Program</t>
  </si>
  <si>
    <t>One Brooklyn Health System/Brookdale University Hospital and Medical Center Program</t>
  </si>
  <si>
    <t>University of Illinois College of Medicine at Chicago (Mount Sinai) Program</t>
  </si>
  <si>
    <t>Ochsner Lafayette</t>
  </si>
  <si>
    <t>Lafayette</t>
  </si>
  <si>
    <t>Parkview Health Program</t>
  </si>
  <si>
    <t>Sinai Hospital of Baltimore Program</t>
  </si>
  <si>
    <t>Fort Wayne</t>
  </si>
  <si>
    <t>TidalHealth Program</t>
  </si>
  <si>
    <t>Salisbury</t>
  </si>
  <si>
    <t>Philadelphia College of Osteopathic Medicine Program</t>
  </si>
  <si>
    <t>Trinity Health Ann Arbor Hospital Program</t>
  </si>
  <si>
    <t>Ypsilanti</t>
  </si>
  <si>
    <t>Western Michigan University Homer Stryker MD School of Medicine Program</t>
  </si>
  <si>
    <t>University of North Dakota Program</t>
  </si>
  <si>
    <t>CarePoint Health/Bayonne Medical Center Program</t>
  </si>
  <si>
    <t>Total Ranks</t>
  </si>
  <si>
    <t>Rank #1</t>
  </si>
  <si>
    <t>Rank #2</t>
  </si>
  <si>
    <t>Rank #3</t>
  </si>
  <si>
    <t>Rank #4</t>
  </si>
  <si>
    <t>Rank #5</t>
  </si>
  <si>
    <t>Rank #6</t>
  </si>
  <si>
    <t>Virtua Program</t>
  </si>
  <si>
    <t>Rank #7</t>
  </si>
  <si>
    <t>Voorhees</t>
  </si>
  <si>
    <t>Rank #8</t>
  </si>
  <si>
    <t>Rank #9</t>
  </si>
  <si>
    <t>Rank #10</t>
  </si>
  <si>
    <t>Rank #11</t>
  </si>
  <si>
    <t>Rank #12</t>
  </si>
  <si>
    <t>Rank #13</t>
  </si>
  <si>
    <t>Rank #14</t>
  </si>
  <si>
    <t>Rank #15</t>
  </si>
  <si>
    <t>Rank #16</t>
  </si>
  <si>
    <t>Rank #17</t>
  </si>
  <si>
    <t>Rank #18</t>
  </si>
  <si>
    <t>Rank #19</t>
  </si>
  <si>
    <t>Rank #20</t>
  </si>
  <si>
    <t>DNR</t>
  </si>
  <si>
    <t>Quinnipiac University Frank H Netter MD School of Medicine (Waterbury Hospital) Program</t>
  </si>
  <si>
    <t>Valley Health System Program</t>
  </si>
  <si>
    <t>Wyckoff Heights Medical Center Program</t>
  </si>
  <si>
    <t>Wright State University Program</t>
  </si>
  <si>
    <t>Tower Health Program</t>
  </si>
  <si>
    <t>West Reading</t>
  </si>
  <si>
    <t>UPMC Medical Education (Farrell) Program</t>
  </si>
  <si>
    <t>Rutgers Health/Community Medical Center Program</t>
  </si>
  <si>
    <t>Texas Tech University Health Sciences Center (Permian Basin) Program</t>
  </si>
  <si>
    <t>Odessa</t>
  </si>
  <si>
    <t>Rutgers Health/Monmouth Medical Center Program</t>
  </si>
  <si>
    <t>Long Branch</t>
  </si>
  <si>
    <t>University of Texas Health Science Center at Tyler Program</t>
  </si>
  <si>
    <t>University of Texas Rio Grande Valley Program</t>
  </si>
  <si>
    <t>University of Virginia Medical Center Program</t>
  </si>
  <si>
    <t>Gundersen Lutheran Medical Foundation Program</t>
  </si>
  <si>
    <t>Medical College of Wisconsin Affiliated Hospitals Program</t>
  </si>
  <si>
    <t>Samaritan Health Services - Corvallis Program</t>
  </si>
  <si>
    <t>Charleston Area Medical Center/CAMC Institute for Academic Medicine Program</t>
  </si>
  <si>
    <t>San Joaquin General Hospital Program</t>
  </si>
  <si>
    <t>Southern Illinois University Program</t>
  </si>
  <si>
    <t>University of Central Florida/HCA Florida Healthcare (Ocala) Program</t>
  </si>
  <si>
    <t>University of Central Florida/HCA Florida Healthcare (Pensacola) Program</t>
  </si>
  <si>
    <t>Pensacola</t>
  </si>
  <si>
    <t>St Agnes HealthCare Program</t>
  </si>
  <si>
    <t>St Barnabas Hospital Program</t>
  </si>
  <si>
    <t>St Elizabeth Youngstown Hospital/NEOMED Program</t>
  </si>
  <si>
    <t>St Elizabeth's Medical Center Program</t>
  </si>
  <si>
    <t>University of Illinois College of Medicine at Peoria Program</t>
  </si>
  <si>
    <t>St Joseph's University Medical Center Program</t>
  </si>
  <si>
    <t>University of Kentucky College of Medicine (Bowling Green) Program</t>
  </si>
  <si>
    <t>Bowling Green</t>
  </si>
  <si>
    <t>Willis-Knighton Health System Program</t>
  </si>
  <si>
    <t>Tufts Medical Center Program</t>
  </si>
  <si>
    <t>Palo Alto</t>
  </si>
  <si>
    <t>University of Missouri-Kansas City School of Medicine Program</t>
  </si>
  <si>
    <t>Stony Brook Medicine Program</t>
  </si>
  <si>
    <t>Stony Brook Medicine/Southampton Hospital Program</t>
  </si>
  <si>
    <t>ISMMS / Valley Health System</t>
  </si>
  <si>
    <t xml:space="preserve">Paramus </t>
  </si>
  <si>
    <t>Summa Health System/NEOMED Program</t>
  </si>
  <si>
    <t>Temple University Hospital Program</t>
  </si>
  <si>
    <t>Texas A&amp;M College of Medicine-Scott and White Medical Center (Temple) Program</t>
  </si>
  <si>
    <t>University of Toledo Program</t>
  </si>
  <si>
    <t>Texas Tech University Health Sciences Center at Lubbock Program</t>
  </si>
  <si>
    <t>UPMC Medical Education (Pittsburgh) Program</t>
  </si>
  <si>
    <t>Virginia Mason Franciscan Health/St Joseph's Hospital Program</t>
  </si>
  <si>
    <t>Marshfield Clinic Program</t>
  </si>
  <si>
    <t>West Virginia University Program</t>
  </si>
  <si>
    <t>Trinity Health Pontiac Program</t>
  </si>
  <si>
    <t>University of Illinois College of Medicine at Chicago (Metropolitan Group) Program</t>
  </si>
  <si>
    <t>UCLA David Geffen School of Medicine/UCLA Medical Center Program</t>
  </si>
  <si>
    <t>Washington University/B-JH/SLCH Consortium Program</t>
  </si>
  <si>
    <t>University of Alabama Medical Center Program</t>
  </si>
  <si>
    <t>Western Reserve Hospital Program</t>
  </si>
  <si>
    <t>UPMC Medical Education (Harrisburg) Community Program (merged)</t>
  </si>
  <si>
    <t>University of Puerto Rico Program</t>
  </si>
  <si>
    <t>chp3</t>
  </si>
  <si>
    <t>University of Texas RGV (DHR) Program</t>
  </si>
  <si>
    <t>University of Hawaii Program</t>
  </si>
  <si>
    <t>University of Texas Health Science Center at Houston Program"</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</si>
</sst>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00"/>
    <numFmt numFmtId="165" formatCode="m/d"/>
    <numFmt numFmtId="166" formatCode="&quot;$&quot;#,##0"/>
    <numFmt numFmtId="167" formatCode="m/d/yyyy"/>
    <numFmt numFmtId="168" formatCode="m/d/yy"/>
    <numFmt numFmtId="169" formatCode="mm/dd/yyyy"/>
    <numFmt numFmtId="170" formatCode="mmm d"/>
    <numFmt numFmtId="171" formatCode="mm/dd"/>
    <numFmt numFmtId="172" formatCode="mm/dd/yy"/>
    <numFmt numFmtId="173" formatCode="0.0"/>
  </numFmts>
  <fonts count="190">
    <font>
      <sz val="10.0"/>
      <color rgb="FF000000"/>
      <name val="Arial"/>
    </font>
    <font>
      <i/>
      <u/>
      <sz val="13.0"/>
    </font>
    <font>
      <sz val="24.0"/>
      <name val="Varela Round"/>
    </font>
    <font>
      <b/>
    </font>
    <font>
      <b/>
      <sz val="11.0"/>
      <color rgb="FF686C91"/>
      <name val="Arial"/>
    </font>
    <font>
      <b/>
      <sz val="24.0"/>
      <name val="Comfortaa"/>
    </font>
    <font>
      <sz val="10.0"/>
      <name val="Arial"/>
    </font>
    <font>
      <b/>
      <name val="Arial"/>
    </font>
    <font>
      <b/>
      <sz val="14.0"/>
      <name val="Comfortaa"/>
    </font>
    <font>
      <name val="Arial"/>
    </font>
    <font>
      <name val="Comfortaa"/>
    </font>
    <font/>
    <font>
      <sz val="14.0"/>
      <name val="Varela Round"/>
    </font>
    <font>
      <sz val="12.0"/>
      <color rgb="FF000000"/>
      <name val="Varela Round"/>
    </font>
    <font>
      <b/>
      <name val="Varela Round"/>
    </font>
    <font>
      <name val="Varela Round"/>
    </font>
    <font>
      <sz val="9.0"/>
      <color rgb="FF0B5394"/>
      <name val="Varela Round"/>
    </font>
    <font>
      <sz val="7.0"/>
      <color rgb="FF000000"/>
      <name val="Varela Round"/>
    </font>
    <font>
      <sz val="8.0"/>
      <color rgb="FF000000"/>
      <name val="Arial"/>
    </font>
    <font>
      <sz val="12.0"/>
      <name val="Varela Round"/>
    </font>
    <font>
      <sz val="10.0"/>
      <name val="Varela Round"/>
    </font>
    <font>
      <b/>
      <sz val="13.0"/>
      <name val="Arial"/>
    </font>
    <font>
      <u/>
      <color rgb="FF0000FF"/>
    </font>
    <font>
      <sz val="9.0"/>
      <color rgb="FF0B5394"/>
      <name val="Arial"/>
    </font>
    <font>
      <sz val="7.0"/>
      <color rgb="FF000000"/>
      <name val="Arial"/>
    </font>
    <font>
      <sz val="10.0"/>
      <color rgb="FF3C4043"/>
      <name val="Arial"/>
    </font>
    <font>
      <u/>
      <sz val="8.0"/>
      <color rgb="FF0000FF"/>
      <name val="Arial"/>
    </font>
    <font>
      <sz val="9.0"/>
      <color rgb="FF000000"/>
      <name val="Arial"/>
    </font>
    <font>
      <u/>
      <sz val="10.0"/>
      <color rgb="FF0000FF"/>
      <name val="Arial"/>
    </font>
    <font>
      <b/>
      <sz val="9.0"/>
      <name val="Varela Round"/>
    </font>
    <font>
      <sz val="9.0"/>
      <name val="Varela Round"/>
    </font>
    <font>
      <color rgb="FF000000"/>
      <name val="Arial"/>
    </font>
    <font>
      <u/>
      <color rgb="FF0000FF"/>
      <name val="Arial"/>
    </font>
    <font>
      <sz val="7.0"/>
      <name val="Varela Round"/>
    </font>
    <font>
      <sz val="8.0"/>
      <name val="Varela Round"/>
    </font>
    <font>
      <sz val="10.0"/>
      <color rgb="FF000000"/>
      <name val="Varela Round"/>
    </font>
    <font>
      <i/>
      <sz val="11.0"/>
      <color rgb="FF3C4043"/>
      <name val="Roboto"/>
    </font>
    <font>
      <sz val="9.0"/>
      <color rgb="FF000000"/>
      <name val="Varela Round"/>
    </font>
    <font>
      <sz val="13.0"/>
      <name val="Arial"/>
    </font>
    <font>
      <sz val="11.0"/>
    </font>
    <font>
      <b/>
      <sz val="15.0"/>
      <name val="Arial"/>
    </font>
    <font>
      <b/>
      <sz val="12.0"/>
      <name val="Varela Round"/>
    </font>
    <font>
      <sz val="10.0"/>
      <name val="Helvetica Neue"/>
    </font>
    <font>
      <b/>
      <sz val="13.0"/>
      <name val="Varela Round"/>
    </font>
    <font>
      <b/>
      <sz val="9.0"/>
      <color rgb="FF000000"/>
      <name val="Varela Round"/>
    </font>
    <font>
      <b/>
      <sz val="21.0"/>
      <name val="Varela Round"/>
    </font>
    <font>
      <u/>
      <color rgb="FF0000FF"/>
      <name val="Varela Round"/>
    </font>
    <font>
      <b/>
      <sz val="9.0"/>
      <color rgb="FF000000"/>
      <name val="&quot;docs-Varela Round&quot;"/>
    </font>
    <font>
      <sz val="8.0"/>
      <name val="Arial"/>
    </font>
    <font>
      <sz val="16.0"/>
      <name val="Varela Round"/>
    </font>
    <font>
      <b/>
      <sz val="10.0"/>
      <name val="Varela Round"/>
    </font>
    <font>
      <sz val="12.0"/>
      <name val="Times New Roman"/>
    </font>
    <font>
      <u/>
      <sz val="10.0"/>
      <color rgb="FF0000FF"/>
      <name val="Arial"/>
    </font>
    <font>
      <u/>
      <sz val="9.0"/>
      <color rgb="FF0B5394"/>
      <name val="Varela Round"/>
    </font>
    <font>
      <u/>
      <sz val="9.0"/>
      <color rgb="FF0B5394"/>
      <name val="Varela Round"/>
    </font>
    <font>
      <color rgb="FF000000"/>
      <name val="Varela Round"/>
    </font>
    <font>
      <sz val="11.0"/>
      <color rgb="FF000000"/>
      <name val="Varela Round"/>
    </font>
    <font>
      <sz val="9.0"/>
    </font>
    <font>
      <sz val="12.0"/>
      <name val="Arial"/>
    </font>
    <font>
      <b/>
      <sz val="12.0"/>
      <name val="Arial"/>
    </font>
    <font>
      <sz val="8.0"/>
      <color rgb="FF000000"/>
      <name val="Varela Round"/>
    </font>
    <font>
      <sz val="9.0"/>
      <color rgb="FF0B5394"/>
      <name val="&quot;docs-Varela Round&quot;"/>
    </font>
    <font>
      <i/>
      <sz val="26.0"/>
      <color rgb="FF1D1D1D"/>
      <name val="Arial"/>
    </font>
    <font>
      <u/>
      <sz val="24.0"/>
      <name val="Varela Round"/>
    </font>
    <font>
      <b/>
      <sz val="7.0"/>
      <color rgb="FF000000"/>
      <name val="Varela Round"/>
    </font>
    <font>
      <i/>
      <sz val="14.0"/>
      <name val="Varela Round"/>
    </font>
    <font>
      <b/>
      <sz val="12.0"/>
      <color rgb="FF000000"/>
      <name val="Varela Round"/>
    </font>
    <font>
      <i/>
      <name val="Varela Round"/>
    </font>
    <font>
      <i/>
      <name val="Arial"/>
    </font>
    <font>
      <i/>
    </font>
    <font>
      <u/>
      <color rgb="FF000000"/>
      <name val="Arial"/>
    </font>
    <font>
      <u/>
      <color rgb="FF0000FF"/>
      <name val="Arial"/>
    </font>
    <font>
      <b/>
      <sz val="14.0"/>
      <color rgb="FF000000"/>
      <name val="Arial"/>
    </font>
    <font>
      <b/>
      <sz val="22.0"/>
      <color rgb="FF4A86E8"/>
      <name val="Gothic A1"/>
    </font>
    <font>
      <b/>
      <color rgb="FFE91D63"/>
      <name val="Arial"/>
    </font>
    <font>
      <sz val="11.0"/>
      <name val="Roboto"/>
    </font>
    <font>
      <b/>
      <color rgb="FFF46524"/>
      <name val="Arial"/>
    </font>
    <font>
      <color rgb="FFF46524"/>
      <name val="Arial"/>
    </font>
    <font>
      <color rgb="FF000000"/>
      <name val="Roboto"/>
    </font>
    <font>
      <sz val="10.0"/>
      <name val="Roboto"/>
    </font>
    <font>
      <sz val="18.0"/>
      <name val="Arial"/>
    </font>
    <font>
      <sz val="9.0"/>
      <color rgb="FF1F1F1F"/>
      <name val="&quot;Google Sans&quot;"/>
    </font>
    <font>
      <sz val="11.0"/>
      <name val="Varela Round"/>
    </font>
    <font>
      <color rgb="FFE91D63"/>
      <name val="Arial"/>
    </font>
    <font>
      <sz val="11.0"/>
      <name val="&quot;Times New Roman&quot;"/>
    </font>
    <font>
      <sz val="14.0"/>
      <color rgb="FF2F2F2F"/>
      <name val="Arial"/>
    </font>
    <font>
      <i/>
      <sz val="11.0"/>
      <name val="&quot;Times New Roman&quot;"/>
    </font>
    <font>
      <sz val="11.0"/>
      <name val="Arial"/>
    </font>
    <font>
      <u/>
      <color rgb="FF0000FF"/>
    </font>
    <font>
      <b/>
      <color rgb="FFF46524"/>
    </font>
    <font>
      <b/>
      <sz val="8.0"/>
      <name val="Arial"/>
    </font>
    <font>
      <b/>
      <sz val="11.0"/>
      <color rgb="FFF46524"/>
      <name val="Arial"/>
    </font>
    <font>
      <name val="Helvetica Neue"/>
    </font>
    <font>
      <color rgb="FF070606"/>
      <name val="Varela Round"/>
    </font>
    <font>
      <u/>
      <color rgb="FF0000FF"/>
      <name val="Arial"/>
    </font>
    <font>
      <b/>
      <color rgb="FFE91D63"/>
    </font>
    <font>
      <sz val="10.0"/>
      <color rgb="FF000000"/>
      <name val="Times New Roman"/>
    </font>
    <font>
      <sz val="8.0"/>
    </font>
    <font>
      <b/>
      <color rgb="FF000000"/>
      <name val="Varela Round"/>
    </font>
    <font>
      <b/>
      <sz val="11.0"/>
    </font>
    <font>
      <b/>
      <sz val="8.0"/>
    </font>
    <font>
      <color rgb="FF000000"/>
    </font>
    <font>
      <u/>
      <color rgb="FF1155CC"/>
      <name val="Arial"/>
    </font>
    <font>
      <b/>
      <sz val="10.0"/>
      <color rgb="FFE91D63"/>
      <name val="Arial"/>
    </font>
    <font>
      <b/>
      <sz val="10.0"/>
      <color rgb="FFF46524"/>
      <name val="Arial"/>
    </font>
    <font>
      <sz val="10.0"/>
      <color rgb="FF1F1F1F"/>
      <name val="Arial"/>
    </font>
    <font>
      <b/>
      <sz val="10.0"/>
      <color rgb="FFF46524"/>
    </font>
    <font>
      <b/>
      <sz val="10.0"/>
      <color rgb="FFF46524"/>
      <name val="&quot;Google Sans&quot;"/>
    </font>
    <font>
      <sz val="10.0"/>
    </font>
    <font>
      <u/>
      <color rgb="FF0000FF"/>
    </font>
    <font>
      <sz val="10.0"/>
      <color rgb="FF000000"/>
    </font>
    <font>
      <b/>
      <sz val="12.0"/>
      <color rgb="FFE91D63"/>
      <name val="Calibri"/>
    </font>
    <font>
      <b/>
      <sz val="12.0"/>
      <color rgb="FFF46524"/>
      <name val="Calibri"/>
    </font>
    <font>
      <color rgb="FF000000"/>
      <name val="Docs-Varela Round"/>
    </font>
    <font>
      <b/>
      <color rgb="FFF46524"/>
      <name val="&quot;Arial&quot;"/>
    </font>
    <font>
      <sz val="10.0"/>
      <color rgb="FF333333"/>
      <name val="Arial"/>
    </font>
    <font>
      <u/>
      <color rgb="FF0000FF"/>
      <name val="Arial"/>
    </font>
    <font>
      <i/>
      <sz val="11.0"/>
      <color rgb="FF000000"/>
      <name val="Roboto"/>
    </font>
    <font>
      <i/>
      <color rgb="FF3C4043"/>
      <name val="Roboto"/>
    </font>
    <font>
      <b/>
      <color rgb="FFFF0000"/>
    </font>
    <font>
      <b/>
      <sz val="25.0"/>
      <color rgb="FFFFFFFF"/>
      <name val="Varela Round"/>
    </font>
    <font>
      <sz val="8.0"/>
      <color rgb="FF000000"/>
      <name val="Verdana"/>
    </font>
    <font>
      <b/>
      <sz val="8.0"/>
      <name val="Varela Round"/>
    </font>
    <font>
      <b/>
      <color rgb="FFFFFFFF"/>
      <name val="Varela Round"/>
    </font>
    <font>
      <color rgb="FFFFFFFF"/>
      <name val="Varela Round"/>
    </font>
    <font>
      <sz val="9.0"/>
      <color rgb="FFFFFFFF"/>
      <name val="Varela Round"/>
    </font>
    <font>
      <u/>
      <color rgb="FF0000FF"/>
      <name val="Arial"/>
    </font>
    <font>
      <sz val="5.0"/>
      <name val="Varela Round"/>
    </font>
    <font>
      <sz val="9.0"/>
      <name val="Arial"/>
    </font>
    <font>
      <sz val="9.0"/>
      <name val="UICTFontTextStyleBody"/>
    </font>
    <font>
      <sz val="6.0"/>
      <name val="Varela Round"/>
    </font>
    <font>
      <u/>
      <color rgb="FF1155CC"/>
      <name val="Arial"/>
    </font>
    <font>
      <b/>
      <sz val="13.0"/>
    </font>
    <font>
      <color rgb="FFFF0000"/>
      <name val="Varela Round"/>
    </font>
    <font>
      <b/>
      <sz val="25.0"/>
      <name val="Varela Round"/>
    </font>
    <font>
      <b/>
      <sz val="14.0"/>
      <name val="Varela Round"/>
    </font>
    <font>
      <sz val="9.0"/>
      <color rgb="FF1F1F1F"/>
      <name val="Varela Round"/>
    </font>
    <font>
      <b/>
      <color rgb="FF070606"/>
      <name val="Varela Round"/>
    </font>
    <font>
      <i/>
      <sz val="9.0"/>
      <color rgb="FF3C4043"/>
      <name val="Varela Round"/>
    </font>
    <font>
      <sz val="9.0"/>
      <color rgb="FF070606"/>
      <name val="Varela Round"/>
    </font>
    <font>
      <b/>
      <sz val="9.0"/>
      <color rgb="FF070606"/>
      <name val="Varela Round"/>
    </font>
    <font>
      <b/>
      <sz val="10.0"/>
      <color rgb="FF070606"/>
      <name val="Times New Roman"/>
    </font>
    <font>
      <sz val="10.0"/>
      <color rgb="FF070606"/>
      <name val="Varela Round"/>
    </font>
    <font>
      <sz val="11.0"/>
      <color rgb="FF3C4043"/>
      <name val="Inconsolata"/>
    </font>
    <font>
      <sz val="9.0"/>
      <color rgb="FF7E3794"/>
      <name val="&quot;Google Sans Mono&quot;"/>
    </font>
    <font>
      <u/>
      <color rgb="FF0000FF"/>
      <name val="Arial"/>
    </font>
    <font>
      <u/>
      <color rgb="FF1155CC"/>
      <name val="Arial"/>
    </font>
    <font>
      <b/>
      <sz val="25.0"/>
      <color rgb="FF000000"/>
      <name val="Varela Round"/>
    </font>
    <font>
      <u/>
      <color rgb="FF0000FF"/>
      <name val="Arial"/>
    </font>
    <font>
      <b/>
      <sz val="18.0"/>
      <color rgb="FFFF0000"/>
      <name val="Varela Round"/>
    </font>
    <font>
      <sz val="14.0"/>
      <color rgb="FF000000"/>
      <name val="Varela Round"/>
    </font>
    <font>
      <b/>
      <sz val="14.0"/>
      <color rgb="FF000000"/>
      <name val="Varela Round"/>
    </font>
    <font>
      <b/>
      <sz val="15.0"/>
      <name val="Varela Round"/>
    </font>
    <font>
      <b/>
      <sz val="12.0"/>
      <color rgb="FFFFFFFF"/>
      <name val="Varela Round"/>
    </font>
    <font>
      <u/>
      <sz val="12.0"/>
      <color rgb="FF0000FF"/>
      <name val="Varela Round"/>
    </font>
    <font>
      <u/>
      <sz val="12.0"/>
      <color rgb="FF0000FF"/>
      <name val="Varela Round"/>
    </font>
    <font>
      <sz val="10.0"/>
      <color rgb="FF434343"/>
      <name val="Varela Round"/>
    </font>
    <font>
      <sz val="15.0"/>
      <name val="Varela Round"/>
    </font>
    <font>
      <sz val="25.0"/>
      <color rgb="FF000000"/>
      <name val="Varela Round"/>
    </font>
    <font>
      <b/>
      <sz val="14.0"/>
      <color rgb="FFFF0000"/>
      <name val="Varela Round"/>
    </font>
    <font>
      <sz val="14.0"/>
      <color rgb="FFFF0000"/>
      <name val="Varela Round"/>
    </font>
    <font>
      <u/>
      <color rgb="FF1155CC"/>
      <name val="Arial"/>
    </font>
    <font>
      <sz val="9.0"/>
      <color rgb="FF000000"/>
      <name val="&quot;Google Sans Mono&quot;"/>
    </font>
    <font>
      <b/>
      <sz val="9.0"/>
      <color rgb="FF000000"/>
      <name val="&quot;Google Sans Mono&quot;"/>
    </font>
    <font>
      <b/>
      <sz val="11.0"/>
      <name val="Varela Round"/>
    </font>
    <font>
      <u/>
      <color rgb="FF0000FF"/>
      <name val="Arial"/>
    </font>
    <font>
      <color rgb="FF484A4C"/>
      <name val="Arial"/>
    </font>
    <font>
      <b/>
      <sz val="18.0"/>
    </font>
    <font>
      <color rgb="FF000000"/>
      <name val="&quot;docs-Varela Round&quot;"/>
    </font>
    <font>
      <b/>
      <sz val="12.0"/>
    </font>
    <font>
      <color rgb="FFFFFFFF"/>
      <name val="Roboto"/>
    </font>
    <font>
      <color rgb="FF434343"/>
      <name val="Roboto"/>
    </font>
    <font>
      <color rgb="FF434343"/>
      <name val="Arial"/>
    </font>
    <font>
      <sz val="6.0"/>
    </font>
    <font>
      <sz val="12.0"/>
      <color rgb="FF000000"/>
      <name val="Calibri"/>
    </font>
    <font>
      <b/>
      <sz val="17.0"/>
    </font>
    <font>
      <u/>
      <sz val="14.0"/>
      <color rgb="FF0000FF"/>
    </font>
    <font>
      <sz val="14.0"/>
    </font>
    <font>
      <b/>
      <sz val="14.0"/>
    </font>
    <font>
      <color rgb="FF000000"/>
      <name val="Calibri"/>
    </font>
    <font>
      <b/>
      <u/>
      <sz val="14.0"/>
      <color rgb="FF0000FF"/>
    </font>
    <font>
      <sz val="13.0"/>
    </font>
    <font>
      <u/>
      <sz val="14.0"/>
      <color rgb="FF0000FF"/>
    </font>
    <font>
      <b/>
      <sz val="16.0"/>
      <name val="Montserrat"/>
    </font>
    <font>
      <u/>
      <color rgb="FF0000FF"/>
      <name val="Arial"/>
    </font>
    <font>
      <sz val="11.0"/>
      <color rgb="FF3C4043"/>
      <name val="Roboto"/>
    </font>
    <font>
      <sz val="10.0"/>
      <color rgb="FF3C4043"/>
      <name val="Varela Round"/>
    </font>
    <font>
      <b/>
      <sz val="6.0"/>
      <color rgb="FF980000"/>
      <name val="Varela Round"/>
    </font>
    <font>
      <b/>
      <sz val="7.0"/>
      <name val="Varela Round"/>
    </font>
    <font>
      <b/>
      <sz val="11.0"/>
      <color rgb="FFFF0000"/>
      <name val="Varela Round"/>
    </font>
  </fonts>
  <fills count="44">
    <fill>
      <patternFill patternType="none"/>
    </fill>
    <fill>
      <patternFill patternType="lightGray"/>
    </fill>
    <fill>
      <patternFill patternType="solid">
        <fgColor rgb="FFE06666"/>
        <bgColor rgb="FFE06666"/>
      </patternFill>
    </fill>
    <fill>
      <patternFill patternType="solid">
        <fgColor rgb="FF674EA7"/>
        <bgColor rgb="FF674EA7"/>
      </patternFill>
    </fill>
    <fill>
      <patternFill patternType="solid">
        <fgColor rgb="FF8989EB"/>
        <bgColor rgb="FF8989EB"/>
      </patternFill>
    </fill>
    <fill>
      <patternFill patternType="solid">
        <fgColor rgb="FFB4A7D6"/>
        <bgColor rgb="FFB4A7D6"/>
      </patternFill>
    </fill>
    <fill>
      <patternFill patternType="solid">
        <fgColor rgb="FFFFFFFF"/>
        <bgColor rgb="FFFFFFFF"/>
      </patternFill>
    </fill>
    <fill>
      <patternFill patternType="solid">
        <fgColor rgb="FFFF9900"/>
        <bgColor rgb="FFFF9900"/>
      </patternFill>
    </fill>
    <fill>
      <patternFill patternType="solid">
        <fgColor rgb="FF6FA8DC"/>
        <bgColor rgb="FF6FA8DC"/>
      </patternFill>
    </fill>
    <fill>
      <patternFill patternType="solid">
        <fgColor rgb="FFF4CCCC"/>
        <bgColor rgb="FFF4CCCC"/>
      </patternFill>
    </fill>
    <fill>
      <patternFill patternType="solid">
        <fgColor rgb="FFF7CB4D"/>
        <bgColor rgb="FFF7CB4D"/>
      </patternFill>
    </fill>
    <fill>
      <patternFill patternType="solid">
        <fgColor rgb="FFD9EAD3"/>
        <bgColor rgb="FFD9EAD3"/>
      </patternFill>
    </fill>
    <fill>
      <patternFill patternType="solid">
        <fgColor rgb="FFFEF8E3"/>
        <bgColor rgb="FFFEF8E3"/>
      </patternFill>
    </fill>
    <fill>
      <patternFill patternType="solid">
        <fgColor rgb="FFE8E7FC"/>
        <bgColor rgb="FFE8E7FC"/>
      </patternFill>
    </fill>
    <fill>
      <patternFill patternType="solid">
        <fgColor rgb="FFF8F2EB"/>
        <bgColor rgb="FFF8F2EB"/>
      </patternFill>
    </fill>
    <fill>
      <patternFill patternType="solid">
        <fgColor rgb="FFF5F5F5"/>
        <bgColor rgb="FFF5F5F5"/>
      </patternFill>
    </fill>
    <fill>
      <patternFill patternType="solid">
        <fgColor rgb="FFF8F8F7"/>
        <bgColor rgb="FFF8F8F7"/>
      </patternFill>
    </fill>
    <fill>
      <patternFill patternType="solid">
        <fgColor rgb="FF63D297"/>
        <bgColor rgb="FF63D297"/>
      </patternFill>
    </fill>
    <fill>
      <patternFill patternType="solid">
        <fgColor rgb="FFE7F9EF"/>
        <bgColor rgb="FFE7F9EF"/>
      </patternFill>
    </fill>
    <fill>
      <patternFill patternType="solid">
        <fgColor rgb="FFF3F3F3"/>
        <bgColor rgb="FFF3F3F3"/>
      </patternFill>
    </fill>
    <fill>
      <patternFill patternType="solid">
        <fgColor rgb="FFEEF7E3"/>
        <bgColor rgb="FFEEF7E3"/>
      </patternFill>
    </fill>
    <fill>
      <patternFill patternType="solid">
        <fgColor rgb="FF6D9EEB"/>
        <bgColor rgb="FF6D9EEB"/>
      </patternFill>
    </fill>
    <fill>
      <patternFill patternType="solid">
        <fgColor rgb="FF6AA84F"/>
        <bgColor rgb="FF6AA84F"/>
      </patternFill>
    </fill>
    <fill>
      <patternFill patternType="solid">
        <fgColor rgb="FF666666"/>
        <bgColor rgb="FF666666"/>
      </patternFill>
    </fill>
    <fill>
      <patternFill patternType="solid">
        <fgColor rgb="FF000000"/>
        <bgColor rgb="FF000000"/>
      </patternFill>
    </fill>
    <fill>
      <patternFill patternType="solid">
        <fgColor rgb="FFFFD666"/>
        <bgColor rgb="FFFFD666"/>
      </patternFill>
    </fill>
    <fill>
      <patternFill patternType="solid">
        <fgColor rgb="FFB7B7B7"/>
        <bgColor rgb="FFB7B7B7"/>
      </patternFill>
    </fill>
    <fill>
      <patternFill patternType="solid">
        <fgColor rgb="FFFFFF00"/>
        <bgColor rgb="FFFFFF00"/>
      </patternFill>
    </fill>
    <fill>
      <patternFill patternType="solid">
        <fgColor rgb="FFFCE5CD"/>
        <bgColor rgb="FFFCE5CD"/>
      </patternFill>
    </fill>
    <fill>
      <patternFill patternType="solid">
        <fgColor rgb="FFFFD966"/>
        <bgColor rgb="FFFFD966"/>
      </patternFill>
    </fill>
    <fill>
      <patternFill patternType="solid">
        <fgColor rgb="FFB6D7A8"/>
        <bgColor rgb="FFB6D7A8"/>
      </patternFill>
    </fill>
    <fill>
      <patternFill patternType="solid">
        <fgColor rgb="FF93C47D"/>
        <bgColor rgb="FF93C47D"/>
      </patternFill>
    </fill>
    <fill>
      <patternFill patternType="solid">
        <fgColor rgb="FF4A86E8"/>
        <bgColor rgb="FF4A86E8"/>
      </patternFill>
    </fill>
    <fill>
      <patternFill patternType="solid">
        <fgColor rgb="FFFFE599"/>
        <bgColor rgb="FFFFE599"/>
      </patternFill>
    </fill>
    <fill>
      <patternFill patternType="solid">
        <fgColor rgb="FFFCCB67"/>
        <bgColor rgb="FFFCCB67"/>
      </patternFill>
    </fill>
    <fill>
      <patternFill patternType="solid">
        <fgColor rgb="FFB7E1CD"/>
        <bgColor rgb="FFB7E1CD"/>
      </patternFill>
    </fill>
    <fill>
      <patternFill patternType="solid">
        <fgColor rgb="FFF09E6E"/>
        <bgColor rgb="FFF09E6E"/>
      </patternFill>
    </fill>
    <fill>
      <patternFill patternType="solid">
        <fgColor rgb="FFD9D2E9"/>
        <bgColor rgb="FFD9D2E9"/>
      </patternFill>
    </fill>
    <fill>
      <patternFill patternType="solid">
        <fgColor rgb="FFC9DAF8"/>
        <bgColor rgb="FFC9DAF8"/>
      </patternFill>
    </fill>
    <fill>
      <patternFill patternType="solid">
        <fgColor rgb="FFFF00FF"/>
        <bgColor rgb="FFFF00FF"/>
      </patternFill>
    </fill>
    <fill>
      <patternFill patternType="solid">
        <fgColor rgb="FFEA9999"/>
        <bgColor rgb="FFEA9999"/>
      </patternFill>
    </fill>
    <fill>
      <patternFill patternType="solid">
        <fgColor rgb="FFEBEFF1"/>
        <bgColor rgb="FFEBEFF1"/>
      </patternFill>
    </fill>
    <fill>
      <patternFill patternType="solid">
        <fgColor rgb="FFCCCCCC"/>
        <bgColor rgb="FFCCCCCC"/>
      </patternFill>
    </fill>
    <fill>
      <patternFill patternType="solid">
        <fgColor rgb="FFBDBDBD"/>
        <bgColor rgb="FFBDBDBD"/>
      </patternFill>
    </fill>
  </fills>
  <borders count="44">
    <border/>
    <border>
      <left style="thick">
        <color rgb="FF434343"/>
      </left>
      <right style="thick">
        <color rgb="FF434343"/>
      </right>
      <top style="thick">
        <color rgb="FF434343"/>
      </top>
      <bottom style="thick">
        <color rgb="FF434343"/>
      </bottom>
    </border>
    <border>
      <top style="thick">
        <color rgb="FF434343"/>
      </top>
      <bottom style="thick">
        <color rgb="FF434343"/>
      </bottom>
    </border>
    <border>
      <right style="thick">
        <color rgb="FF434343"/>
      </right>
      <top style="thick">
        <color rgb="FF434343"/>
      </top>
      <bottom style="thick">
        <color rgb="FF434343"/>
      </bottom>
    </border>
    <border>
      <right style="thin">
        <color rgb="FF000000"/>
      </right>
    </border>
    <border>
      <left style="thick">
        <color rgb="FF434343"/>
      </left>
      <top style="thick">
        <color rgb="FF434343"/>
      </top>
      <bottom style="thick">
        <color rgb="FF434343"/>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ck">
        <color rgb="FF000000"/>
      </left>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right style="thick">
        <color rgb="FF000000"/>
      </right>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ttom style="thick">
        <color rgb="FFFF0000"/>
      </bottom>
    </border>
    <border>
      <bottom style="thick">
        <color rgb="FFFF0000"/>
      </bottom>
    </border>
    <border>
      <right style="thick">
        <color rgb="FFFF0000"/>
      </right>
      <bottom style="thick">
        <color rgb="FFFF0000"/>
      </bottom>
    </border>
    <border>
      <left style="thin">
        <color rgb="FF434343"/>
      </left>
      <top style="thin">
        <color rgb="FF434343"/>
      </top>
    </border>
    <border>
      <top style="thin">
        <color rgb="FF434343"/>
      </top>
    </border>
    <border>
      <right style="thin">
        <color rgb="FF434343"/>
      </right>
      <top style="thin">
        <color rgb="FF434343"/>
      </top>
    </border>
    <border>
      <left style="thin">
        <color rgb="FF000000"/>
      </left>
    </border>
    <border>
      <left style="thin">
        <color rgb="FF000000"/>
      </left>
      <right style="thick">
        <color rgb="FF000000"/>
      </right>
      <top style="thin">
        <color rgb="FF000000"/>
      </top>
      <bottom style="thin">
        <color rgb="FF000000"/>
      </bottom>
    </border>
    <border>
      <left style="thick">
        <color rgb="FF000000"/>
      </left>
      <right style="thick">
        <color rgb="FF000000"/>
      </right>
    </border>
  </borders>
  <cellStyleXfs count="1">
    <xf borderId="0" fillId="0" fontId="0" numFmtId="0" applyAlignment="1" applyFont="1"/>
  </cellStyleXfs>
  <cellXfs count="1156">
    <xf borderId="0" fillId="0" fontId="0" numFmtId="0" xfId="0" applyAlignment="1" applyFont="1">
      <alignment readingOrder="0" shrinkToFit="0" vertical="bottom" wrapText="0"/>
    </xf>
    <xf borderId="0" fillId="2" fontId="1" numFmtId="164" xfId="0" applyAlignment="1" applyFill="1" applyFont="1" applyNumberFormat="1">
      <alignment readingOrder="0"/>
    </xf>
    <xf borderId="0" fillId="2" fontId="2" numFmtId="0" xfId="0" applyAlignment="1" applyFont="1">
      <alignment horizontal="center" readingOrder="0" shrinkToFit="0" vertical="center" wrapText="1"/>
    </xf>
    <xf borderId="0" fillId="2" fontId="3" numFmtId="0" xfId="0" applyAlignment="1" applyFont="1">
      <alignment horizontal="center" readingOrder="0" shrinkToFit="0" wrapText="1"/>
    </xf>
    <xf borderId="0" fillId="0" fontId="4" numFmtId="0" xfId="0" applyAlignment="1" applyFont="1">
      <alignment readingOrder="0"/>
    </xf>
    <xf borderId="0" fillId="3" fontId="5" numFmtId="0" xfId="0" applyAlignment="1" applyFill="1" applyFont="1">
      <alignment horizontal="center" shrinkToFit="0" vertical="center" wrapText="1"/>
    </xf>
    <xf borderId="0" fillId="4" fontId="6" numFmtId="0" xfId="0" applyAlignment="1" applyFill="1" applyFont="1">
      <alignment horizontal="left" readingOrder="0" shrinkToFit="0" vertical="center" wrapText="1"/>
    </xf>
    <xf borderId="0" fillId="4" fontId="7" numFmtId="0" xfId="0" applyAlignment="1" applyFont="1">
      <alignment horizontal="center" shrinkToFit="0" vertical="center" wrapText="1"/>
    </xf>
    <xf borderId="0" fillId="5" fontId="8" numFmtId="0" xfId="0" applyAlignment="1" applyFill="1" applyFont="1">
      <alignment horizontal="center" shrinkToFit="0" vertical="center" wrapText="1"/>
    </xf>
    <xf borderId="0" fillId="4" fontId="9" numFmtId="0" xfId="0" applyAlignment="1" applyFont="1">
      <alignment horizontal="center" readingOrder="0" shrinkToFit="0" vertical="center" wrapText="1"/>
    </xf>
    <xf borderId="0" fillId="5" fontId="10" numFmtId="0" xfId="0" applyAlignment="1" applyFont="1">
      <alignment horizontal="center" shrinkToFit="0" vertical="center" wrapText="1"/>
    </xf>
    <xf borderId="0" fillId="4" fontId="9" numFmtId="0" xfId="0" applyAlignment="1" applyFont="1">
      <alignment horizontal="center" vertical="center"/>
    </xf>
    <xf borderId="0" fillId="6" fontId="11" numFmtId="0" xfId="0" applyFill="1" applyFont="1"/>
    <xf borderId="0" fillId="4" fontId="9" numFmtId="0" xfId="0" applyAlignment="1" applyFont="1">
      <alignment horizontal="center" vertical="center"/>
    </xf>
    <xf borderId="0" fillId="5" fontId="10" numFmtId="0" xfId="0" applyAlignment="1" applyFont="1">
      <alignment horizontal="center" readingOrder="0" shrinkToFit="0" vertical="center" wrapText="1"/>
    </xf>
    <xf borderId="0" fillId="7" fontId="7" numFmtId="164" xfId="0" applyAlignment="1" applyFill="1" applyFont="1" applyNumberFormat="1">
      <alignment readingOrder="0" vertical="center"/>
    </xf>
    <xf borderId="0" fillId="4" fontId="9" numFmtId="0" xfId="0" applyAlignment="1" applyFont="1">
      <alignment vertical="bottom"/>
    </xf>
    <xf borderId="0" fillId="6" fontId="12" numFmtId="0" xfId="0" applyAlignment="1" applyFont="1">
      <alignment horizontal="center" readingOrder="0" shrinkToFit="0" vertical="center" wrapText="1"/>
    </xf>
    <xf borderId="1" fillId="8" fontId="3" numFmtId="0" xfId="0" applyAlignment="1" applyBorder="1" applyFill="1" applyFont="1">
      <alignment horizontal="center" shrinkToFit="0" vertical="center" wrapText="1"/>
    </xf>
    <xf borderId="0" fillId="6" fontId="9" numFmtId="165" xfId="0" applyAlignment="1" applyFont="1" applyNumberFormat="1">
      <alignment shrinkToFit="0" vertical="bottom" wrapText="1"/>
    </xf>
    <xf borderId="0" fillId="6" fontId="12" numFmtId="0" xfId="0" applyAlignment="1" applyFont="1">
      <alignment horizontal="center" readingOrder="0" shrinkToFit="0" vertical="top" wrapText="1"/>
    </xf>
    <xf borderId="0" fillId="6" fontId="9" numFmtId="0" xfId="0" applyAlignment="1" applyFont="1">
      <alignment shrinkToFit="0" vertical="bottom" wrapText="1"/>
    </xf>
    <xf borderId="0" fillId="6" fontId="12" numFmtId="0" xfId="0" applyAlignment="1" applyFont="1">
      <alignment horizontal="center" readingOrder="0" shrinkToFit="0" wrapText="1"/>
    </xf>
    <xf borderId="2" fillId="8" fontId="3" numFmtId="0" xfId="0" applyAlignment="1" applyBorder="1" applyFont="1">
      <alignment horizontal="center" shrinkToFit="0" vertical="center" wrapText="1"/>
    </xf>
    <xf borderId="0" fillId="7" fontId="9" numFmtId="0" xfId="0" applyAlignment="1" applyFont="1">
      <alignment readingOrder="0" vertical="center"/>
    </xf>
    <xf borderId="2" fillId="6" fontId="11" numFmtId="0" xfId="0" applyBorder="1" applyFont="1"/>
    <xf borderId="0" fillId="6" fontId="9" numFmtId="0" xfId="0" applyAlignment="1" applyFont="1">
      <alignment vertical="bottom"/>
    </xf>
    <xf borderId="0" fillId="6" fontId="13" numFmtId="0" xfId="0" applyAlignment="1" applyFont="1">
      <alignment horizontal="center" readingOrder="0" shrinkToFit="0" vertical="center" wrapText="1"/>
    </xf>
    <xf borderId="0" fillId="6" fontId="9" numFmtId="0" xfId="0" applyAlignment="1" applyFont="1">
      <alignment vertical="bottom"/>
    </xf>
    <xf borderId="0" fillId="9" fontId="11" numFmtId="0" xfId="0" applyAlignment="1" applyFill="1" applyFont="1">
      <alignment readingOrder="0"/>
    </xf>
    <xf borderId="0" fillId="10" fontId="14" numFmtId="0" xfId="0" applyAlignment="1" applyFill="1" applyFont="1">
      <alignment horizontal="center" shrinkToFit="0" wrapText="1"/>
    </xf>
    <xf borderId="0" fillId="0" fontId="11" numFmtId="0" xfId="0" applyAlignment="1" applyFont="1">
      <alignment readingOrder="0"/>
    </xf>
    <xf borderId="0" fillId="6" fontId="7" numFmtId="165" xfId="0" applyAlignment="1" applyFont="1" applyNumberFormat="1">
      <alignment horizontal="center" readingOrder="0" shrinkToFit="0" vertical="center" wrapText="1"/>
    </xf>
    <xf borderId="0" fillId="11" fontId="14" numFmtId="0" xfId="0" applyAlignment="1" applyFill="1" applyFont="1">
      <alignment horizontal="center" readingOrder="0" shrinkToFit="0" wrapText="1"/>
    </xf>
    <xf borderId="0" fillId="6" fontId="9" numFmtId="0" xfId="0" applyAlignment="1" applyFont="1">
      <alignment horizontal="center" readingOrder="0" shrinkToFit="0" vertical="center" wrapText="1"/>
    </xf>
    <xf borderId="0" fillId="9" fontId="15" numFmtId="0" xfId="0" applyAlignment="1" applyFont="1">
      <alignment horizontal="center" readingOrder="0" shrinkToFit="0" vertical="center" wrapText="1"/>
    </xf>
    <xf borderId="0" fillId="6" fontId="9" numFmtId="0" xfId="0" applyAlignment="1" applyFont="1">
      <alignment horizontal="center" readingOrder="0" vertical="center"/>
    </xf>
    <xf borderId="0" fillId="0" fontId="16" numFmtId="0" xfId="0" applyAlignment="1" applyFont="1">
      <alignment horizontal="center" readingOrder="0" shrinkToFit="0" vertical="center" wrapText="1"/>
    </xf>
    <xf borderId="0" fillId="6" fontId="9" numFmtId="0" xfId="0" applyAlignment="1" applyFont="1">
      <alignment horizontal="center" readingOrder="0" shrinkToFit="0" vertical="center" wrapText="1"/>
    </xf>
    <xf borderId="0" fillId="12" fontId="17" numFmtId="0" xfId="0" applyAlignment="1" applyFill="1" applyFont="1">
      <alignment shrinkToFit="0" vertical="center" wrapText="1"/>
    </xf>
    <xf borderId="0" fillId="9" fontId="18" numFmtId="0" xfId="0" applyAlignment="1" applyFont="1">
      <alignment horizontal="left" readingOrder="0" shrinkToFit="0" vertical="top" wrapText="1"/>
    </xf>
    <xf borderId="0" fillId="12" fontId="17" numFmtId="0" xfId="0" applyAlignment="1" applyFont="1">
      <alignment horizontal="center" shrinkToFit="0" vertical="center" wrapText="1"/>
    </xf>
    <xf borderId="0" fillId="6" fontId="9" numFmtId="0" xfId="0" applyAlignment="1" applyFont="1">
      <alignment horizontal="center" vertical="center"/>
    </xf>
    <xf borderId="0" fillId="6" fontId="19" numFmtId="0" xfId="0" applyAlignment="1" applyFont="1">
      <alignment horizontal="center" readingOrder="0" vertical="center"/>
    </xf>
    <xf borderId="0" fillId="6" fontId="9" numFmtId="0" xfId="0" applyAlignment="1" applyFont="1">
      <alignment horizontal="center" vertical="center"/>
    </xf>
    <xf borderId="3" fillId="6" fontId="11" numFmtId="0" xfId="0" applyBorder="1" applyFont="1"/>
    <xf borderId="0" fillId="6" fontId="20" numFmtId="0" xfId="0" applyAlignment="1" applyFont="1">
      <alignment horizontal="left" readingOrder="0" shrinkToFit="0" wrapText="1"/>
    </xf>
    <xf borderId="0" fillId="13" fontId="11" numFmtId="0" xfId="0" applyAlignment="1" applyFill="1" applyFont="1">
      <alignment horizontal="center" shrinkToFit="0" vertical="center" wrapText="1"/>
    </xf>
    <xf borderId="0" fillId="13" fontId="9" numFmtId="165" xfId="0" applyAlignment="1" applyFont="1" applyNumberFormat="1">
      <alignment horizontal="right" shrinkToFit="0" vertical="bottom" wrapText="1"/>
    </xf>
    <xf borderId="0" fillId="6" fontId="15" numFmtId="0" xfId="0" applyAlignment="1" applyFont="1">
      <alignment readingOrder="0" shrinkToFit="0" wrapText="1"/>
    </xf>
    <xf borderId="0" fillId="13" fontId="9" numFmtId="0" xfId="0" applyAlignment="1" applyFont="1">
      <alignment shrinkToFit="0" vertical="bottom" wrapText="1"/>
    </xf>
    <xf borderId="0" fillId="13" fontId="11" numFmtId="0" xfId="0" applyAlignment="1" applyFont="1">
      <alignment horizontal="center" readingOrder="0" shrinkToFit="0" vertical="center" wrapText="1"/>
    </xf>
    <xf borderId="0" fillId="13" fontId="9" numFmtId="0" xfId="0" applyAlignment="1" applyFont="1">
      <alignment vertical="bottom"/>
    </xf>
    <xf borderId="0" fillId="6" fontId="15" numFmtId="0" xfId="0" applyAlignment="1" applyFont="1">
      <alignment shrinkToFit="0" wrapText="1"/>
    </xf>
    <xf borderId="0" fillId="13" fontId="9" numFmtId="0" xfId="0" applyAlignment="1" applyFont="1">
      <alignment vertical="bottom"/>
    </xf>
    <xf borderId="0" fillId="12" fontId="17" numFmtId="0" xfId="0" applyAlignment="1" applyFont="1">
      <alignment readingOrder="0" shrinkToFit="0" vertical="center" wrapText="1"/>
    </xf>
    <xf borderId="0" fillId="13" fontId="11" numFmtId="0" xfId="0" applyAlignment="1" applyFont="1">
      <alignment horizontal="center" shrinkToFit="0" vertical="center" wrapText="1"/>
    </xf>
    <xf borderId="0" fillId="6" fontId="13" numFmtId="0" xfId="0" applyAlignment="1" applyFont="1">
      <alignment horizontal="center" shrinkToFit="0" vertical="center" wrapText="1"/>
    </xf>
    <xf borderId="0" fillId="4" fontId="21" numFmtId="165" xfId="0" applyAlignment="1" applyFont="1" applyNumberFormat="1">
      <alignment horizontal="center" readingOrder="0" shrinkToFit="0" textRotation="0" vertical="center" wrapText="1"/>
    </xf>
    <xf borderId="0" fillId="9" fontId="22" numFmtId="0" xfId="0" applyAlignment="1" applyFont="1">
      <alignment readingOrder="0" shrinkToFit="0" wrapText="1"/>
    </xf>
    <xf borderId="0" fillId="12" fontId="17" numFmtId="0" xfId="0" applyAlignment="1" applyFont="1">
      <alignment horizontal="center" readingOrder="0" shrinkToFit="0" vertical="center" wrapText="1"/>
    </xf>
    <xf borderId="0" fillId="6" fontId="11" numFmtId="0" xfId="0" applyAlignment="1" applyFont="1">
      <alignment horizontal="center" shrinkToFit="0" vertical="center" wrapText="1"/>
    </xf>
    <xf borderId="0" fillId="6" fontId="19" numFmtId="0" xfId="0" applyAlignment="1" applyFont="1">
      <alignment horizontal="center" vertical="center"/>
    </xf>
    <xf borderId="0" fillId="6" fontId="11"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12" fontId="24" numFmtId="0" xfId="0" applyAlignment="1" applyFont="1">
      <alignment readingOrder="0" shrinkToFit="0" vertical="center" wrapText="1"/>
    </xf>
    <xf borderId="0" fillId="6" fontId="25" numFmtId="0" xfId="0" applyAlignment="1" applyFont="1">
      <alignment readingOrder="0" shrinkToFit="0" vertical="top" wrapText="1"/>
    </xf>
    <xf borderId="0" fillId="12" fontId="24" numFmtId="0" xfId="0" applyAlignment="1" applyFont="1">
      <alignment horizontal="center" readingOrder="0" shrinkToFit="0" vertical="center" wrapText="1"/>
    </xf>
    <xf borderId="0" fillId="9" fontId="26" numFmtId="0" xfId="0" applyAlignment="1" applyFont="1">
      <alignment horizontal="left" readingOrder="0" shrinkToFit="0" vertical="top" wrapText="1"/>
    </xf>
    <xf borderId="0" fillId="6" fontId="20" numFmtId="0" xfId="0" applyAlignment="1" applyFont="1">
      <alignment horizontal="left" shrinkToFit="0" wrapText="1"/>
    </xf>
    <xf borderId="0" fillId="6" fontId="11" numFmtId="0" xfId="0" applyAlignment="1" applyFont="1">
      <alignment horizontal="center" shrinkToFit="0" vertical="center" wrapText="1"/>
    </xf>
    <xf borderId="0" fillId="9" fontId="27" numFmtId="0" xfId="0" applyAlignment="1" applyFont="1">
      <alignment horizontal="left" readingOrder="0" shrinkToFit="0" vertical="top" wrapText="1"/>
    </xf>
    <xf borderId="0" fillId="4" fontId="28" numFmtId="0" xfId="0" applyAlignment="1" applyFont="1">
      <alignment horizontal="center" readingOrder="0" shrinkToFit="0" vertical="center" wrapText="1"/>
    </xf>
    <xf borderId="0" fillId="4" fontId="9" numFmtId="0" xfId="0" applyAlignment="1" applyFont="1">
      <alignment horizontal="center" readingOrder="0" vertical="center"/>
    </xf>
    <xf borderId="0" fillId="6" fontId="14" numFmtId="0" xfId="0" applyAlignment="1" applyFont="1">
      <alignment horizontal="center" readingOrder="0" shrinkToFit="0" vertical="center" wrapText="1"/>
    </xf>
    <xf borderId="0" fillId="0" fontId="23" numFmtId="0" xfId="0" applyAlignment="1" applyFont="1">
      <alignment horizontal="center" shrinkToFit="0" vertical="center" wrapText="1"/>
    </xf>
    <xf borderId="0" fillId="4" fontId="9" numFmtId="0" xfId="0" applyAlignment="1" applyFont="1">
      <alignment horizontal="left" readingOrder="0" shrinkToFit="0" vertical="center" wrapText="1"/>
    </xf>
    <xf borderId="0" fillId="12" fontId="24" numFmtId="0" xfId="0" applyAlignment="1" applyFont="1">
      <alignment shrinkToFit="0" vertical="center" wrapText="1"/>
    </xf>
    <xf borderId="0" fillId="12" fontId="24" numFmtId="0" xfId="0" applyAlignment="1" applyFont="1">
      <alignment horizontal="center" shrinkToFit="0" vertical="center" wrapText="1"/>
    </xf>
    <xf borderId="0" fillId="6" fontId="29" numFmtId="0" xfId="0" applyAlignment="1" applyFont="1">
      <alignment horizontal="center" readingOrder="0" shrinkToFit="0" vertical="top" wrapText="1"/>
    </xf>
    <xf borderId="4" fillId="6" fontId="20" numFmtId="0" xfId="0" applyAlignment="1" applyBorder="1" applyFont="1">
      <alignment horizontal="left" shrinkToFit="0" wrapText="1"/>
    </xf>
    <xf borderId="0" fillId="6" fontId="30" numFmtId="0" xfId="0" applyAlignment="1" applyFont="1">
      <alignment readingOrder="0" shrinkToFit="0" vertical="top" wrapText="1"/>
    </xf>
    <xf borderId="0" fillId="0" fontId="16" numFmtId="0" xfId="0" applyAlignment="1" applyFont="1">
      <alignment horizontal="center" shrinkToFit="0" vertical="center" wrapText="1"/>
    </xf>
    <xf borderId="0" fillId="6" fontId="30" numFmtId="0" xfId="0" applyAlignment="1" applyFont="1">
      <alignment shrinkToFit="0" wrapText="1"/>
    </xf>
    <xf borderId="0" fillId="13" fontId="31" numFmtId="0" xfId="0" applyAlignment="1" applyFont="1">
      <alignment horizontal="left" readingOrder="0" shrinkToFit="0" wrapText="1"/>
    </xf>
    <xf borderId="0" fillId="4" fontId="32" numFmtId="0" xfId="0" applyAlignment="1" applyFont="1">
      <alignment horizontal="center" readingOrder="0" vertical="center"/>
    </xf>
    <xf borderId="0" fillId="6" fontId="13" numFmtId="0" xfId="0" applyAlignment="1" applyFont="1">
      <alignment horizontal="center" readingOrder="0" shrinkToFit="0" vertical="center" wrapText="1"/>
    </xf>
    <xf borderId="0" fillId="12" fontId="17" numFmtId="0" xfId="0" applyAlignment="1" applyFont="1">
      <alignment shrinkToFit="0" vertical="center" wrapText="1"/>
    </xf>
    <xf borderId="0" fillId="9" fontId="30" numFmtId="0" xfId="0" applyAlignment="1" applyFont="1">
      <alignment horizontal="center" readingOrder="0" shrinkToFit="0" vertical="top" wrapText="1"/>
    </xf>
    <xf borderId="0" fillId="12" fontId="33" numFmtId="0" xfId="0" applyAlignment="1" applyFont="1">
      <alignment horizontal="center" shrinkToFit="0" vertical="center" wrapText="1"/>
    </xf>
    <xf borderId="0" fillId="6" fontId="19" numFmtId="0" xfId="0" applyAlignment="1" applyFont="1">
      <alignment horizontal="center" readingOrder="0" shrinkToFit="0" vertical="center" wrapText="1"/>
    </xf>
    <xf borderId="0" fillId="9" fontId="30" numFmtId="0" xfId="0" applyAlignment="1" applyFont="1">
      <alignment readingOrder="0" shrinkToFit="0" wrapText="1"/>
    </xf>
    <xf borderId="0" fillId="6" fontId="19" numFmtId="0" xfId="0" applyAlignment="1" applyFont="1">
      <alignment horizontal="center" readingOrder="0" shrinkToFit="0" vertical="center" wrapText="1"/>
    </xf>
    <xf borderId="0" fillId="6" fontId="34" numFmtId="0" xfId="0" applyAlignment="1" applyFont="1">
      <alignment readingOrder="0" shrinkToFit="0" wrapText="1"/>
    </xf>
    <xf borderId="0" fillId="9" fontId="30" numFmtId="0" xfId="0" applyAlignment="1" applyFont="1">
      <alignment shrinkToFit="0" wrapText="1"/>
    </xf>
    <xf borderId="1" fillId="8" fontId="3" numFmtId="0" xfId="0" applyAlignment="1" applyBorder="1" applyFont="1">
      <alignment horizontal="center" shrinkToFit="0" vertical="center" wrapText="1"/>
    </xf>
    <xf borderId="0" fillId="6" fontId="11" numFmtId="0" xfId="0" applyAlignment="1" applyFont="1">
      <alignment readingOrder="0"/>
    </xf>
    <xf borderId="0" fillId="6" fontId="13" numFmtId="0" xfId="0" applyAlignment="1" applyFont="1">
      <alignment horizontal="center" shrinkToFit="0" vertical="center" wrapText="1"/>
    </xf>
    <xf borderId="0" fillId="6" fontId="31" numFmtId="0" xfId="0" applyAlignment="1" applyFont="1">
      <alignment horizontal="left" readingOrder="0" shrinkToFit="0" wrapText="1"/>
    </xf>
    <xf borderId="0" fillId="6" fontId="15" numFmtId="0" xfId="0" applyAlignment="1" applyFont="1">
      <alignment horizontal="center" readingOrder="0" shrinkToFit="0" vertical="center" wrapText="1"/>
    </xf>
    <xf borderId="0" fillId="6" fontId="27" numFmtId="0" xfId="0" applyAlignment="1" applyFont="1">
      <alignment horizontal="left" readingOrder="0" shrinkToFit="0" wrapText="1"/>
    </xf>
    <xf borderId="0" fillId="6" fontId="35" numFmtId="0" xfId="0" applyAlignment="1" applyFont="1">
      <alignment readingOrder="0" shrinkToFit="0" wrapText="1"/>
    </xf>
    <xf borderId="0" fillId="6" fontId="36" numFmtId="0" xfId="0" applyAlignment="1" applyFont="1">
      <alignment readingOrder="0" shrinkToFit="0" wrapText="1"/>
    </xf>
    <xf borderId="0" fillId="0" fontId="16" numFmtId="0" xfId="0" applyAlignment="1" applyFont="1">
      <alignment horizontal="center" readingOrder="0" shrinkToFit="0" vertical="center" wrapText="1"/>
    </xf>
    <xf borderId="0" fillId="9" fontId="30" numFmtId="0" xfId="0" applyAlignment="1" applyFont="1">
      <alignment horizontal="left" readingOrder="0" shrinkToFit="0" vertical="top" wrapText="1"/>
    </xf>
    <xf borderId="0" fillId="9" fontId="37" numFmtId="0" xfId="0" applyAlignment="1" applyFont="1">
      <alignment readingOrder="0" shrinkToFit="0" vertical="top" wrapText="1"/>
    </xf>
    <xf borderId="0" fillId="6" fontId="36" numFmtId="0" xfId="0" applyAlignment="1" applyFont="1">
      <alignment readingOrder="0"/>
    </xf>
    <xf borderId="0" fillId="9" fontId="30" numFmtId="0" xfId="0" applyAlignment="1" applyFont="1">
      <alignment readingOrder="0" shrinkToFit="0" vertical="top" wrapText="1"/>
    </xf>
    <xf borderId="0" fillId="4" fontId="38" numFmtId="0" xfId="0" applyAlignment="1" applyFont="1">
      <alignment horizontal="center" readingOrder="0" shrinkToFit="0" vertical="center" wrapText="1"/>
    </xf>
    <xf borderId="0" fillId="6" fontId="30" numFmtId="0" xfId="0" applyAlignment="1" applyFont="1">
      <alignment horizontal="center" readingOrder="0" shrinkToFit="0" vertical="top" wrapText="1"/>
    </xf>
    <xf borderId="0" fillId="9" fontId="3" numFmtId="0" xfId="0" applyAlignment="1" applyFont="1">
      <alignment horizontal="center" readingOrder="0"/>
    </xf>
    <xf borderId="5" fillId="8" fontId="3" numFmtId="0" xfId="0" applyAlignment="1" applyBorder="1" applyFont="1">
      <alignment horizontal="center" shrinkToFit="0" vertical="center" wrapText="1"/>
    </xf>
    <xf borderId="0" fillId="9" fontId="14" numFmtId="0" xfId="0" applyAlignment="1" applyFont="1">
      <alignment horizontal="center" readingOrder="0" shrinkToFit="0" vertical="center" wrapText="1"/>
    </xf>
    <xf borderId="0" fillId="9" fontId="29" numFmtId="0" xfId="0" applyAlignment="1" applyFont="1">
      <alignment horizontal="center" readingOrder="0" shrinkToFit="0" vertical="top" wrapText="1"/>
    </xf>
    <xf borderId="0" fillId="12" fontId="17" numFmtId="0" xfId="0" applyAlignment="1" applyFont="1">
      <alignment horizontal="center" shrinkToFit="0" vertical="center" wrapText="1"/>
    </xf>
    <xf borderId="0" fillId="6" fontId="3" numFmtId="0" xfId="0" applyAlignment="1" applyFont="1">
      <alignment horizontal="center" readingOrder="0"/>
    </xf>
    <xf borderId="0" fillId="6" fontId="15" numFmtId="0" xfId="0" applyAlignment="1" applyFont="1">
      <alignment readingOrder="0" shrinkToFit="0" vertical="bottom" wrapText="1"/>
    </xf>
    <xf borderId="0" fillId="13" fontId="11" numFmtId="0" xfId="0" applyAlignment="1" applyFont="1">
      <alignment readingOrder="0" shrinkToFit="0" wrapText="1"/>
    </xf>
    <xf borderId="0" fillId="6" fontId="30" numFmtId="0" xfId="0" applyAlignment="1" applyFont="1">
      <alignment shrinkToFit="0" vertical="top" wrapText="1"/>
    </xf>
    <xf borderId="0" fillId="13" fontId="39" numFmtId="0" xfId="0" applyAlignment="1" applyFont="1">
      <alignment horizontal="center" readingOrder="0" shrinkToFit="0" vertical="center" wrapText="1"/>
    </xf>
    <xf borderId="0" fillId="4" fontId="40" numFmtId="0" xfId="0" applyAlignment="1" applyFont="1">
      <alignment horizontal="center" readingOrder="0" shrinkToFit="0" vertical="center" wrapText="1"/>
    </xf>
    <xf borderId="0" fillId="6" fontId="29" numFmtId="0" xfId="0" applyAlignment="1" applyFont="1">
      <alignment horizontal="center" shrinkToFit="0" vertical="top" wrapText="1"/>
    </xf>
    <xf borderId="0" fillId="6" fontId="37" numFmtId="0" xfId="0" applyAlignment="1" applyFont="1">
      <alignment horizontal="center" readingOrder="0" shrinkToFit="0" vertical="center" wrapText="1"/>
    </xf>
    <xf borderId="0" fillId="9" fontId="3" numFmtId="0" xfId="0" applyAlignment="1" applyFont="1">
      <alignment horizontal="center" readingOrder="0" shrinkToFit="0" wrapText="1"/>
    </xf>
    <xf borderId="0" fillId="6" fontId="3" numFmtId="0" xfId="0" applyAlignment="1" applyFont="1">
      <alignment horizontal="center" readingOrder="0" shrinkToFit="0" wrapText="1"/>
    </xf>
    <xf borderId="0" fillId="12" fontId="17" numFmtId="0" xfId="0" applyAlignment="1" applyFont="1">
      <alignment shrinkToFit="0" vertical="center" wrapText="0"/>
    </xf>
    <xf borderId="0" fillId="6" fontId="3" numFmtId="0" xfId="0" applyAlignment="1" applyFont="1">
      <alignment horizontal="center" readingOrder="0" shrinkToFit="0" vertical="center" wrapText="1"/>
    </xf>
    <xf borderId="0" fillId="12" fontId="33" numFmtId="0" xfId="0" applyAlignment="1" applyFont="1">
      <alignment horizontal="center" shrinkToFit="0" vertical="center" wrapText="0"/>
    </xf>
    <xf borderId="0" fillId="6" fontId="19" numFmtId="0" xfId="0" applyAlignment="1" applyFont="1">
      <alignment horizontal="center" readingOrder="0" shrinkToFit="0" vertical="center" wrapText="0"/>
    </xf>
    <xf borderId="0" fillId="6" fontId="19" numFmtId="0" xfId="0" applyAlignment="1" applyFont="1">
      <alignment horizontal="center" shrinkToFit="0" vertical="center" wrapText="0"/>
    </xf>
    <xf borderId="0" fillId="4" fontId="6" numFmtId="0" xfId="0" applyAlignment="1" applyFont="1">
      <alignment horizontal="center" readingOrder="0" shrinkToFit="0" vertical="center" wrapText="1"/>
    </xf>
    <xf borderId="0" fillId="9" fontId="30" numFmtId="0" xfId="0" applyAlignment="1" applyFont="1">
      <alignment horizontal="center" readingOrder="0" shrinkToFit="0" vertical="top" wrapText="1"/>
    </xf>
    <xf borderId="0" fillId="4" fontId="6" numFmtId="0" xfId="0" applyAlignment="1" applyFont="1">
      <alignment horizontal="center" readingOrder="0" shrinkToFit="0" vertical="center" wrapText="1"/>
    </xf>
    <xf borderId="0" fillId="0" fontId="11" numFmtId="0" xfId="0" applyAlignment="1" applyFont="1">
      <alignment horizontal="center" readingOrder="0" vertical="center"/>
    </xf>
    <xf borderId="0" fillId="6" fontId="13" numFmtId="0" xfId="0" applyAlignment="1" applyFont="1">
      <alignment horizontal="center" readingOrder="0" shrinkToFit="0" vertical="center" wrapText="1"/>
    </xf>
    <xf borderId="0" fillId="6" fontId="41" numFmtId="0" xfId="0" applyAlignment="1" applyFont="1">
      <alignment horizontal="center" readingOrder="0" shrinkToFit="0" vertical="center" wrapText="1"/>
    </xf>
    <xf borderId="0" fillId="6" fontId="41" numFmtId="0" xfId="0" applyAlignment="1" applyFont="1">
      <alignment horizontal="center" readingOrder="0" shrinkToFit="0" vertical="top" wrapText="1"/>
    </xf>
    <xf borderId="0" fillId="9" fontId="41" numFmtId="0" xfId="0" applyAlignment="1" applyFont="1">
      <alignment horizontal="center" readingOrder="0" shrinkToFit="0" vertical="center" wrapText="1"/>
    </xf>
    <xf borderId="0" fillId="9" fontId="42" numFmtId="0" xfId="0" applyAlignment="1" applyFont="1">
      <alignment horizontal="center" readingOrder="0" shrinkToFit="0" vertical="top" wrapText="1"/>
    </xf>
    <xf borderId="0" fillId="6" fontId="36" numFmtId="0" xfId="0" applyAlignment="1" applyFont="1">
      <alignment readingOrder="0" shrinkToFit="0" vertical="center" wrapText="1"/>
    </xf>
    <xf borderId="0" fillId="6" fontId="43" numFmtId="0" xfId="0" applyAlignment="1" applyFont="1">
      <alignment horizontal="center" readingOrder="0" shrinkToFit="0" vertical="center" wrapText="1"/>
    </xf>
    <xf borderId="5" fillId="8" fontId="3" numFmtId="0" xfId="0" applyAlignment="1" applyBorder="1" applyFont="1">
      <alignment horizontal="center" readingOrder="0" shrinkToFit="0" vertical="center" wrapText="1"/>
    </xf>
    <xf borderId="2" fillId="13" fontId="11" numFmtId="0" xfId="0" applyBorder="1" applyFont="1"/>
    <xf borderId="0" fillId="6" fontId="44" numFmtId="0" xfId="0" applyAlignment="1" applyFont="1">
      <alignment horizontal="center" readingOrder="0" shrinkToFit="0" wrapText="1"/>
    </xf>
    <xf borderId="0" fillId="9" fontId="45" numFmtId="0" xfId="0" applyAlignment="1" applyFont="1">
      <alignment horizontal="center" readingOrder="0" shrinkToFit="0" vertical="center" wrapText="1"/>
    </xf>
    <xf borderId="3" fillId="13" fontId="11" numFmtId="0" xfId="0" applyBorder="1" applyFont="1"/>
    <xf borderId="0" fillId="6" fontId="13" numFmtId="0" xfId="0" applyAlignment="1" applyFont="1">
      <alignment horizontal="center" readingOrder="0" shrinkToFit="0" vertical="center" wrapText="1"/>
    </xf>
    <xf borderId="0" fillId="9" fontId="30" numFmtId="0" xfId="0" applyAlignment="1" applyFont="1">
      <alignment shrinkToFit="0" vertical="top" wrapText="1"/>
    </xf>
    <xf borderId="0" fillId="6" fontId="39" numFmtId="0" xfId="0" applyAlignment="1" applyFont="1">
      <alignment horizontal="center" readingOrder="0" shrinkToFit="0" vertical="center" wrapText="1"/>
    </xf>
    <xf borderId="0" fillId="9" fontId="11" numFmtId="0" xfId="0" applyAlignment="1" applyFont="1">
      <alignment horizontal="center" readingOrder="0" shrinkToFit="0" vertical="center" wrapText="1"/>
    </xf>
    <xf borderId="0" fillId="6" fontId="46" numFmtId="0" xfId="0" applyAlignment="1" applyFont="1">
      <alignment readingOrder="0" shrinkToFit="0" wrapText="1"/>
    </xf>
    <xf borderId="0" fillId="6" fontId="47" numFmtId="0" xfId="0" applyAlignment="1" applyFont="1">
      <alignment horizontal="center" readingOrder="0" shrinkToFit="0" wrapText="1"/>
    </xf>
    <xf borderId="0" fillId="6" fontId="15" numFmtId="0" xfId="0" applyAlignment="1" applyFont="1">
      <alignment readingOrder="0" shrinkToFit="0" vertical="center" wrapText="1"/>
    </xf>
    <xf borderId="0" fillId="6" fontId="19" numFmtId="0" xfId="0" applyAlignment="1" applyFont="1">
      <alignment horizontal="center" readingOrder="0" vertical="center"/>
    </xf>
    <xf borderId="0" fillId="4" fontId="7" numFmtId="0" xfId="0" applyAlignment="1" applyFont="1">
      <alignment horizontal="left" readingOrder="0" shrinkToFit="0" vertical="center" wrapText="1"/>
    </xf>
    <xf borderId="0" fillId="6" fontId="35" numFmtId="0" xfId="0" applyAlignment="1" applyFont="1">
      <alignment horizontal="left" readingOrder="0" shrinkToFit="0" vertical="top" wrapText="1"/>
    </xf>
    <xf borderId="0" fillId="0" fontId="16" numFmtId="0" xfId="0" applyAlignment="1" applyFont="1">
      <alignment horizontal="center" shrinkToFit="0" vertical="center" wrapText="1"/>
    </xf>
    <xf borderId="0" fillId="12" fontId="17" numFmtId="0" xfId="0" applyAlignment="1" applyFont="1">
      <alignment shrinkToFit="0" vertical="center" wrapText="1"/>
    </xf>
    <xf borderId="0" fillId="12" fontId="17" numFmtId="0" xfId="0" applyAlignment="1" applyFont="1">
      <alignment horizontal="center" shrinkToFit="0" vertical="center" wrapText="1"/>
    </xf>
    <xf borderId="0" fillId="6" fontId="13" numFmtId="0" xfId="0" applyAlignment="1" applyFont="1">
      <alignment horizontal="center" shrinkToFit="0" vertical="center" wrapText="1"/>
    </xf>
    <xf borderId="0" fillId="6" fontId="13" numFmtId="0" xfId="0" applyAlignment="1" applyFont="1">
      <alignment horizontal="center" shrinkToFit="0" vertical="center" wrapText="1"/>
    </xf>
    <xf borderId="0" fillId="0" fontId="48" numFmtId="0" xfId="0" applyAlignment="1" applyFont="1">
      <alignment readingOrder="0" shrinkToFit="0" vertical="center" wrapText="1"/>
    </xf>
    <xf borderId="0" fillId="6" fontId="30" numFmtId="0" xfId="0" applyAlignment="1" applyFont="1">
      <alignment readingOrder="0" shrinkToFit="0" wrapText="1"/>
    </xf>
    <xf borderId="0" fillId="6" fontId="49" numFmtId="0" xfId="0" applyAlignment="1" applyFont="1">
      <alignment horizontal="center" readingOrder="0" shrinkToFit="0" vertical="center" wrapText="1"/>
    </xf>
    <xf borderId="0" fillId="6" fontId="50" numFmtId="0" xfId="0" applyAlignment="1" applyFont="1">
      <alignment horizontal="center" readingOrder="0" shrinkToFit="0" vertical="top" wrapText="1"/>
    </xf>
    <xf borderId="0" fillId="5" fontId="11" numFmtId="0" xfId="0" applyAlignment="1" applyFont="1">
      <alignment shrinkToFit="0" wrapText="0"/>
    </xf>
    <xf borderId="0" fillId="12" fontId="33" numFmtId="0" xfId="0" applyAlignment="1" applyFont="1">
      <alignment horizontal="center" shrinkToFit="0" vertical="center" wrapText="1"/>
    </xf>
    <xf borderId="0" fillId="12" fontId="33" numFmtId="0" xfId="0" applyAlignment="1" applyFont="1">
      <alignment readingOrder="0" shrinkToFit="0" vertical="center" wrapText="1"/>
    </xf>
    <xf borderId="0" fillId="12" fontId="33" numFmtId="0" xfId="0" applyAlignment="1" applyFont="1">
      <alignment horizontal="center" readingOrder="0" shrinkToFit="0" vertical="center" wrapText="1"/>
    </xf>
    <xf borderId="0" fillId="6" fontId="20" numFmtId="0" xfId="0" applyAlignment="1" applyFont="1">
      <alignment horizontal="left" readingOrder="0" shrinkToFit="0" wrapText="1"/>
    </xf>
    <xf borderId="0" fillId="6" fontId="19" numFmtId="0" xfId="0" applyAlignment="1" applyFont="1">
      <alignment horizontal="center" shrinkToFit="0" vertical="center" wrapText="1"/>
    </xf>
    <xf borderId="0" fillId="12" fontId="33" numFmtId="0" xfId="0" applyAlignment="1" applyFont="1">
      <alignment shrinkToFit="0" vertical="center" wrapText="1"/>
    </xf>
    <xf borderId="0" fillId="6" fontId="15" numFmtId="0" xfId="0" applyAlignment="1" applyFont="1">
      <alignment horizontal="center" shrinkToFit="0" vertical="center" wrapText="1"/>
    </xf>
    <xf borderId="0" fillId="6" fontId="30" numFmtId="0" xfId="0" applyAlignment="1" applyFont="1">
      <alignment horizontal="center" shrinkToFit="0" vertical="top" wrapText="1"/>
    </xf>
    <xf borderId="0" fillId="9" fontId="15" numFmtId="0" xfId="0" applyAlignment="1" applyFont="1">
      <alignment horizontal="center" shrinkToFit="0" vertical="center" wrapText="1"/>
    </xf>
    <xf borderId="0" fillId="9" fontId="11" numFmtId="0" xfId="0" applyAlignment="1" applyFont="1">
      <alignment shrinkToFit="0" wrapText="1"/>
    </xf>
    <xf borderId="0" fillId="0" fontId="15" numFmtId="0" xfId="0" applyAlignment="1" applyFont="1">
      <alignment readingOrder="0"/>
    </xf>
    <xf borderId="0" fillId="6" fontId="20" numFmtId="0" xfId="0" applyAlignment="1" applyFont="1">
      <alignment horizontal="left" readingOrder="0" shrinkToFit="0" vertical="top" wrapText="1"/>
    </xf>
    <xf borderId="0" fillId="13" fontId="51" numFmtId="164" xfId="0" applyAlignment="1" applyFont="1" applyNumberFormat="1">
      <alignment horizontal="left" readingOrder="0" shrinkToFit="0" vertical="top" wrapText="1"/>
    </xf>
    <xf borderId="0" fillId="9" fontId="30" numFmtId="0" xfId="0" applyAlignment="1" applyFont="1">
      <alignment horizontal="center" shrinkToFit="0" vertical="top" wrapText="1"/>
    </xf>
    <xf borderId="0" fillId="6" fontId="11" numFmtId="0" xfId="0" applyAlignment="1" applyFont="1">
      <alignment readingOrder="0" shrinkToFit="0" wrapText="1"/>
    </xf>
    <xf borderId="0" fillId="13" fontId="3" numFmtId="0" xfId="0" applyAlignment="1" applyFont="1">
      <alignment horizontal="center" readingOrder="0" shrinkToFit="0" vertical="center" wrapText="1"/>
    </xf>
    <xf borderId="0" fillId="4" fontId="52" numFmtId="0" xfId="0" applyAlignment="1" applyFont="1">
      <alignment horizontal="left" readingOrder="0" shrinkToFit="0" vertical="center" wrapText="1"/>
    </xf>
    <xf borderId="0" fillId="6" fontId="11" numFmtId="0" xfId="0" applyAlignment="1" applyFont="1">
      <alignment horizontal="center" readingOrder="0" shrinkToFit="0" vertical="center" wrapText="1"/>
    </xf>
    <xf borderId="0" fillId="6" fontId="30" numFmtId="0" xfId="0" applyAlignment="1" applyFont="1">
      <alignment horizontal="left" readingOrder="0" shrinkToFit="0" wrapText="1"/>
    </xf>
    <xf borderId="0" fillId="6" fontId="11" numFmtId="0" xfId="0" applyAlignment="1" applyFont="1">
      <alignment horizontal="center" readingOrder="0" vertical="center"/>
    </xf>
    <xf borderId="0" fillId="4" fontId="9" numFmtId="0" xfId="0" applyAlignment="1" applyFont="1">
      <alignment horizontal="center" readingOrder="0" shrinkToFit="0" vertical="center" wrapText="1"/>
    </xf>
    <xf borderId="0" fillId="13" fontId="11" numFmtId="0" xfId="0" applyAlignment="1" applyFont="1">
      <alignment horizontal="center" readingOrder="0" vertical="center"/>
    </xf>
    <xf borderId="0" fillId="6" fontId="11" numFmtId="0" xfId="0" applyAlignment="1" applyFont="1">
      <alignment horizontal="center" readingOrder="0"/>
    </xf>
    <xf borderId="0" fillId="13" fontId="11" numFmtId="0" xfId="0" applyAlignment="1" applyFont="1">
      <alignment horizontal="center" readingOrder="0"/>
    </xf>
    <xf borderId="0" fillId="0" fontId="11" numFmtId="0" xfId="0" applyAlignment="1" applyFont="1">
      <alignment horizontal="center" readingOrder="0" shrinkToFit="0" wrapText="1"/>
    </xf>
    <xf borderId="0" fillId="6" fontId="16" numFmtId="0" xfId="0" applyAlignment="1" applyFont="1">
      <alignment horizontal="center" shrinkToFit="0" vertical="center" wrapText="1"/>
    </xf>
    <xf borderId="0" fillId="6" fontId="35" numFmtId="0" xfId="0" applyAlignment="1" applyFont="1">
      <alignment horizontal="left" readingOrder="0" shrinkToFit="0" vertical="center" wrapText="1"/>
    </xf>
    <xf borderId="0" fillId="6" fontId="15" numFmtId="0" xfId="0" applyAlignment="1" applyFont="1">
      <alignment horizontal="center" shrinkToFit="0" vertical="top" wrapText="1"/>
    </xf>
    <xf borderId="0" fillId="14" fontId="16" numFmtId="0" xfId="0" applyAlignment="1" applyFill="1" applyFont="1">
      <alignment horizontal="center" shrinkToFit="0" vertical="center" wrapText="1"/>
    </xf>
    <xf borderId="0" fillId="9" fontId="15" numFmtId="0" xfId="0" applyAlignment="1" applyFont="1">
      <alignment horizontal="center" shrinkToFit="0" vertical="top" wrapText="1"/>
    </xf>
    <xf borderId="0" fillId="14" fontId="13" numFmtId="0" xfId="0" applyAlignment="1" applyFont="1">
      <alignment horizontal="center" shrinkToFit="0" vertical="center" wrapText="1"/>
    </xf>
    <xf borderId="0" fillId="9" fontId="15" numFmtId="0" xfId="0" applyAlignment="1" applyFont="1">
      <alignment shrinkToFit="0" wrapText="1"/>
    </xf>
    <xf borderId="0" fillId="14" fontId="35" numFmtId="0" xfId="0" applyAlignment="1" applyFont="1">
      <alignment horizontal="left" readingOrder="0" shrinkToFit="0" vertical="center" wrapText="1"/>
    </xf>
    <xf borderId="0" fillId="6" fontId="16"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6" fontId="15" numFmtId="0" xfId="0" applyFont="1"/>
    <xf borderId="0" fillId="6" fontId="20" numFmtId="0" xfId="0" applyAlignment="1" applyFont="1">
      <alignment horizontal="left"/>
    </xf>
    <xf borderId="0" fillId="14" fontId="53" numFmtId="0" xfId="0" applyAlignment="1" applyFont="1">
      <alignment horizontal="center" readingOrder="0" shrinkToFit="0" vertical="center" wrapText="1"/>
    </xf>
    <xf borderId="0" fillId="14" fontId="35" numFmtId="0" xfId="0" applyAlignment="1" applyFont="1">
      <alignment horizontal="left" readingOrder="0" shrinkToFit="0" vertical="center" wrapText="1"/>
    </xf>
    <xf borderId="0" fillId="14" fontId="35" numFmtId="0" xfId="0" applyAlignment="1" applyFont="1">
      <alignment horizontal="center" readingOrder="0" shrinkToFit="0" vertical="center" wrapText="1"/>
    </xf>
    <xf borderId="0" fillId="6" fontId="54" numFmtId="0" xfId="0" applyAlignment="1" applyFont="1">
      <alignment horizontal="center" readingOrder="0" shrinkToFit="0" vertical="center" wrapText="1"/>
    </xf>
    <xf borderId="0" fillId="6" fontId="35" numFmtId="0" xfId="0" applyAlignment="1" applyFont="1">
      <alignment horizontal="left" readingOrder="0" shrinkToFit="0" vertical="center" wrapText="1"/>
    </xf>
    <xf borderId="0" fillId="6" fontId="13" numFmtId="0" xfId="0" applyAlignment="1" applyFont="1">
      <alignment horizontal="center" readingOrder="0" shrinkToFit="0" vertical="center" wrapText="1"/>
    </xf>
    <xf borderId="0" fillId="14" fontId="16" numFmtId="0" xfId="0" applyAlignment="1" applyFont="1">
      <alignment horizontal="center" readingOrder="0" shrinkToFit="0" vertical="center" wrapText="1"/>
    </xf>
    <xf borderId="0" fillId="14" fontId="13" numFmtId="0" xfId="0" applyAlignment="1" applyFont="1">
      <alignment horizontal="center" readingOrder="0" shrinkToFit="0" vertical="center" wrapText="1"/>
    </xf>
    <xf borderId="0" fillId="14" fontId="19" numFmtId="0" xfId="0" applyAlignment="1" applyFont="1">
      <alignment horizontal="center" readingOrder="0" vertical="center"/>
    </xf>
    <xf borderId="0" fillId="14" fontId="20" numFmtId="0" xfId="0" applyAlignment="1" applyFont="1">
      <alignment horizontal="left" readingOrder="0" shrinkToFit="0" vertical="center" wrapText="1"/>
    </xf>
    <xf borderId="0" fillId="14" fontId="19" numFmtId="0" xfId="0" applyAlignment="1" applyFont="1">
      <alignment horizontal="center" shrinkToFit="0" vertical="center" wrapText="1"/>
    </xf>
    <xf borderId="0" fillId="6" fontId="55" numFmtId="0" xfId="0" applyAlignment="1" applyFont="1">
      <alignment horizontal="left" readingOrder="0" shrinkToFit="0" vertical="top" wrapText="1"/>
    </xf>
    <xf borderId="0" fillId="6" fontId="35" numFmtId="0" xfId="0" applyAlignment="1" applyFont="1">
      <alignment horizontal="left" shrinkToFit="0" vertical="center" wrapText="1"/>
    </xf>
    <xf borderId="0" fillId="14" fontId="13" numFmtId="0" xfId="0" applyAlignment="1" applyFont="1">
      <alignment horizontal="center" readingOrder="0" shrinkToFit="0" vertical="center" wrapText="1"/>
    </xf>
    <xf borderId="0" fillId="8" fontId="11" numFmtId="0" xfId="0" applyAlignment="1" applyFont="1">
      <alignment horizontal="center" shrinkToFit="0" vertical="center" wrapText="1"/>
    </xf>
    <xf borderId="0" fillId="6" fontId="16" numFmtId="0" xfId="0" applyAlignment="1" applyFont="1">
      <alignment horizontal="center" shrinkToFit="0" vertical="center" wrapText="1"/>
    </xf>
    <xf borderId="0" fillId="12" fontId="17" numFmtId="0" xfId="0" applyAlignment="1" applyFont="1">
      <alignment shrinkToFit="0" vertical="center" wrapText="1"/>
    </xf>
    <xf borderId="0" fillId="8" fontId="11" numFmtId="0" xfId="0" applyAlignment="1" applyFont="1">
      <alignment horizontal="center" readingOrder="0" shrinkToFit="0" vertical="center" wrapText="1"/>
    </xf>
    <xf borderId="0" fillId="12" fontId="17" numFmtId="0" xfId="0" applyAlignment="1" applyFont="1">
      <alignment horizontal="center" shrinkToFit="0" vertical="center" wrapText="1"/>
    </xf>
    <xf borderId="0" fillId="6" fontId="13" numFmtId="0" xfId="0" applyAlignment="1" applyFont="1">
      <alignment horizontal="center" readingOrder="0" shrinkToFit="0" vertical="center" wrapText="1"/>
    </xf>
    <xf borderId="0" fillId="14" fontId="16" numFmtId="0" xfId="0" applyAlignment="1" applyFont="1">
      <alignment horizontal="center" shrinkToFit="0" vertical="center" wrapText="1"/>
    </xf>
    <xf borderId="0" fillId="14" fontId="13" numFmtId="0" xfId="0" applyAlignment="1" applyFont="1">
      <alignment horizontal="center" shrinkToFit="0" vertical="center" wrapText="1"/>
    </xf>
    <xf borderId="0" fillId="14" fontId="13" numFmtId="0" xfId="0" applyAlignment="1" applyFont="1">
      <alignment horizontal="center" readingOrder="0" shrinkToFit="0" vertical="center" wrapText="1"/>
    </xf>
    <xf borderId="0" fillId="6" fontId="56" numFmtId="0" xfId="0" applyAlignment="1" applyFont="1">
      <alignment horizontal="center" readingOrder="0" shrinkToFit="0" vertical="center" wrapText="1"/>
    </xf>
    <xf borderId="0" fillId="14" fontId="35" numFmtId="0" xfId="0" applyAlignment="1" applyFont="1">
      <alignment horizontal="left" shrinkToFit="0" vertical="center" wrapText="1"/>
    </xf>
    <xf borderId="0" fillId="6" fontId="20" numFmtId="0" xfId="0" applyAlignment="1" applyFont="1">
      <alignment horizontal="left" shrinkToFit="0" vertical="center" wrapText="1"/>
    </xf>
    <xf borderId="0" fillId="6" fontId="19" numFmtId="0" xfId="0" applyAlignment="1" applyFont="1">
      <alignment horizontal="center" shrinkToFit="0" vertical="center" wrapText="1"/>
    </xf>
    <xf borderId="0" fillId="14" fontId="19" numFmtId="0" xfId="0" applyAlignment="1" applyFont="1">
      <alignment horizontal="center" readingOrder="0" shrinkToFit="0" vertical="center" wrapText="1"/>
    </xf>
    <xf borderId="0" fillId="6" fontId="16" numFmtId="0" xfId="0" applyAlignment="1" applyFont="1">
      <alignment horizontal="center" shrinkToFit="0" vertical="center" wrapText="1"/>
    </xf>
    <xf borderId="0" fillId="6" fontId="20" numFmtId="0" xfId="0" applyAlignment="1" applyFont="1">
      <alignment horizontal="left" readingOrder="0" shrinkToFit="0" vertical="center" wrapText="1"/>
    </xf>
    <xf borderId="0" fillId="14" fontId="16" numFmtId="0" xfId="0" applyAlignment="1" applyFont="1">
      <alignment horizontal="center" shrinkToFit="0" vertical="center" wrapText="1"/>
    </xf>
    <xf borderId="0" fillId="14" fontId="57" numFmtId="0" xfId="0" applyAlignment="1" applyFont="1">
      <alignment readingOrder="0" shrinkToFit="0" wrapText="1"/>
    </xf>
    <xf borderId="0" fillId="14" fontId="19" numFmtId="0" xfId="0" applyAlignment="1" applyFont="1">
      <alignment horizontal="center" readingOrder="0" shrinkToFit="0" vertical="center" wrapText="1"/>
    </xf>
    <xf borderId="0" fillId="6" fontId="20" numFmtId="0" xfId="0" applyAlignment="1" applyFont="1">
      <alignment horizontal="left" readingOrder="0" shrinkToFit="0" vertical="center" wrapText="1"/>
    </xf>
    <xf borderId="0" fillId="14" fontId="35" numFmtId="0" xfId="0" applyAlignment="1" applyFont="1">
      <alignment horizontal="center" readingOrder="0" shrinkToFit="0" vertical="center" wrapText="1"/>
    </xf>
    <xf borderId="0" fillId="6" fontId="19" numFmtId="0" xfId="0" applyAlignment="1" applyFont="1">
      <alignment horizontal="center" readingOrder="0" shrinkToFit="0" vertical="center" wrapText="1"/>
    </xf>
    <xf borderId="0" fillId="4" fontId="9" numFmtId="0" xfId="0" applyAlignment="1" applyFont="1">
      <alignment horizontal="center" shrinkToFit="0" vertical="center" wrapText="1"/>
    </xf>
    <xf borderId="0" fillId="14" fontId="19" numFmtId="0" xfId="0" applyAlignment="1" applyFont="1">
      <alignment horizontal="center" shrinkToFit="0" vertical="center" wrapText="1"/>
    </xf>
    <xf borderId="0" fillId="14" fontId="20" numFmtId="0" xfId="0" applyAlignment="1" applyFont="1">
      <alignment horizontal="left" shrinkToFit="0" vertical="center" wrapText="1"/>
    </xf>
    <xf borderId="0" fillId="6" fontId="19" numFmtId="0" xfId="0" applyAlignment="1" applyFont="1">
      <alignment horizontal="center" readingOrder="0" shrinkToFit="0" vertical="center" wrapText="1"/>
    </xf>
    <xf borderId="0" fillId="4" fontId="58" numFmtId="0" xfId="0" applyAlignment="1" applyFont="1">
      <alignment horizontal="center" readingOrder="0" shrinkToFit="0" vertical="center" wrapText="1"/>
    </xf>
    <xf borderId="0" fillId="6" fontId="11" numFmtId="0" xfId="0" applyFont="1"/>
    <xf borderId="0" fillId="14" fontId="16" numFmtId="0" xfId="0" applyAlignment="1" applyFont="1">
      <alignment horizontal="center" readingOrder="0" shrinkToFit="0" vertical="center" wrapText="1"/>
    </xf>
    <xf borderId="0" fillId="14" fontId="20" numFmtId="0" xfId="0" applyAlignment="1" applyFont="1">
      <alignment horizontal="left" shrinkToFit="0" vertical="center" wrapText="1"/>
    </xf>
    <xf borderId="0" fillId="6" fontId="20" numFmtId="0" xfId="0" applyAlignment="1" applyFont="1">
      <alignment horizontal="center" readingOrder="0" shrinkToFit="0" vertical="center" wrapText="1"/>
    </xf>
    <xf borderId="0" fillId="14" fontId="11" numFmtId="0" xfId="0" applyFont="1"/>
    <xf borderId="0" fillId="6" fontId="16" numFmtId="0" xfId="0" applyAlignment="1" applyFont="1">
      <alignment horizontal="center" readingOrder="0" shrinkToFit="0" vertical="center" wrapText="1"/>
    </xf>
    <xf borderId="0" fillId="6" fontId="19" numFmtId="0" xfId="0" applyAlignment="1" applyFont="1">
      <alignment horizontal="center" readingOrder="0" shrinkToFit="0" vertical="center" wrapText="1"/>
    </xf>
    <xf borderId="0" fillId="4" fontId="59" numFmtId="0" xfId="0" applyAlignment="1" applyFont="1">
      <alignment horizontal="center" readingOrder="0" shrinkToFit="0" vertical="center" wrapText="1"/>
    </xf>
    <xf borderId="0" fillId="4" fontId="38" numFmtId="0" xfId="0" applyAlignment="1" applyFont="1">
      <alignment horizontal="center" readingOrder="0" shrinkToFit="0" vertical="center" wrapText="1"/>
    </xf>
    <xf borderId="0" fillId="14" fontId="20" numFmtId="0" xfId="0" applyAlignment="1" applyFont="1">
      <alignment horizontal="left" readingOrder="0" shrinkToFit="0" vertical="center" wrapText="1"/>
    </xf>
    <xf borderId="0" fillId="12" fontId="33" numFmtId="0" xfId="0" applyAlignment="1" applyFont="1">
      <alignment readingOrder="0" vertical="center"/>
    </xf>
    <xf borderId="0" fillId="14" fontId="11" numFmtId="0" xfId="0" applyAlignment="1" applyFont="1">
      <alignment vertical="center"/>
    </xf>
    <xf borderId="0" fillId="0" fontId="11" numFmtId="0" xfId="0" applyAlignment="1" applyFont="1">
      <alignment readingOrder="0" shrinkToFit="0" wrapText="1"/>
    </xf>
    <xf borderId="0" fillId="6" fontId="11" numFmtId="0" xfId="0" applyAlignment="1" applyFont="1">
      <alignment readingOrder="0" vertical="center"/>
    </xf>
    <xf borderId="0" fillId="6" fontId="35" numFmtId="0" xfId="0" applyAlignment="1" applyFont="1">
      <alignment horizontal="left" readingOrder="0" shrinkToFit="0" vertical="center" wrapText="1"/>
    </xf>
    <xf borderId="0" fillId="14" fontId="37" numFmtId="0" xfId="0" applyAlignment="1" applyFont="1">
      <alignment horizontal="left" readingOrder="0" shrinkToFit="0" vertical="center" wrapText="1"/>
    </xf>
    <xf borderId="0" fillId="6" fontId="11" numFmtId="0" xfId="0" applyAlignment="1" applyFont="1">
      <alignment horizontal="left" readingOrder="0" shrinkToFit="0" vertical="center" wrapText="1"/>
    </xf>
    <xf borderId="0" fillId="6" fontId="60" numFmtId="0" xfId="0" applyAlignment="1" applyFont="1">
      <alignment horizontal="center" readingOrder="0" shrinkToFit="0" vertical="center" wrapText="1"/>
    </xf>
    <xf borderId="0" fillId="14" fontId="16" numFmtId="0" xfId="0" applyAlignment="1" applyFont="1">
      <alignment horizontal="center" shrinkToFit="0" vertical="center" wrapText="0"/>
    </xf>
    <xf borderId="0" fillId="12" fontId="17" numFmtId="0" xfId="0" applyAlignment="1" applyFont="1">
      <alignment readingOrder="0" shrinkToFit="0" vertical="center" wrapText="0"/>
    </xf>
    <xf borderId="0" fillId="12" fontId="17" numFmtId="0" xfId="0" applyAlignment="1" applyFont="1">
      <alignment horizontal="center" readingOrder="0" shrinkToFit="0" vertical="center" wrapText="0"/>
    </xf>
    <xf borderId="0" fillId="6" fontId="13" numFmtId="0" xfId="0" applyAlignment="1" applyFont="1">
      <alignment horizontal="center" readingOrder="0" shrinkToFit="0" vertical="center" wrapText="0"/>
    </xf>
    <xf borderId="0" fillId="14" fontId="13" numFmtId="0" xfId="0" applyAlignment="1" applyFont="1">
      <alignment horizontal="center" readingOrder="0" shrinkToFit="0" vertical="center" wrapText="0"/>
    </xf>
    <xf borderId="0" fillId="14" fontId="35" numFmtId="0" xfId="0" applyAlignment="1" applyFont="1">
      <alignment horizontal="left" readingOrder="0" shrinkToFit="0" vertical="center" wrapText="0"/>
    </xf>
    <xf borderId="0" fillId="14" fontId="13" numFmtId="0" xfId="0" applyAlignment="1" applyFont="1">
      <alignment horizontal="center" readingOrder="0" shrinkToFit="0" vertical="center" wrapText="0"/>
    </xf>
    <xf borderId="0" fillId="6" fontId="15" numFmtId="0" xfId="0" applyAlignment="1" applyFont="1">
      <alignment shrinkToFit="0" wrapText="0"/>
    </xf>
    <xf borderId="0" fillId="6" fontId="11" numFmtId="0" xfId="0" applyAlignment="1" applyFont="1">
      <alignment readingOrder="0" shrinkToFit="0" vertical="center" wrapText="1"/>
    </xf>
    <xf borderId="0" fillId="14" fontId="37" numFmtId="0" xfId="0" applyAlignment="1" applyFont="1">
      <alignment horizontal="center" readingOrder="0" shrinkToFit="0" vertical="center" wrapText="1"/>
    </xf>
    <xf borderId="0" fillId="15" fontId="61" numFmtId="0" xfId="0" applyAlignment="1" applyFill="1" applyFont="1">
      <alignment horizontal="center" readingOrder="0" shrinkToFit="0" vertical="center" wrapText="0"/>
    </xf>
    <xf borderId="0" fillId="6" fontId="20" numFmtId="0" xfId="0" applyAlignment="1" applyFont="1">
      <alignment horizontal="left" vertical="center"/>
    </xf>
    <xf borderId="0" fillId="16" fontId="62" numFmtId="0" xfId="0" applyAlignment="1" applyFill="1" applyFont="1">
      <alignment horizontal="center" readingOrder="0"/>
    </xf>
    <xf borderId="0" fillId="17" fontId="63" numFmtId="0" xfId="0" applyAlignment="1" applyFill="1" applyFont="1">
      <alignment horizontal="center" readingOrder="0" shrinkToFit="0" vertical="center" wrapText="1"/>
    </xf>
    <xf borderId="0" fillId="12" fontId="64" numFmtId="0" xfId="0" applyAlignment="1" applyFont="1">
      <alignment horizontal="left" shrinkToFit="0" vertical="center" wrapText="1"/>
    </xf>
    <xf borderId="0" fillId="6" fontId="65" numFmtId="0" xfId="0" applyAlignment="1" applyFont="1">
      <alignment horizontal="center" readingOrder="0" shrinkToFit="0" vertical="center" wrapText="1"/>
    </xf>
    <xf borderId="0" fillId="6" fontId="66" numFmtId="0" xfId="0" applyAlignment="1" applyFont="1">
      <alignment horizontal="center" readingOrder="0" shrinkToFit="0" vertical="center" wrapText="1"/>
    </xf>
    <xf borderId="0" fillId="6" fontId="66" numFmtId="0" xfId="0" applyAlignment="1" applyFont="1">
      <alignment horizontal="center" shrinkToFit="0" vertical="center" wrapText="1"/>
    </xf>
    <xf borderId="0" fillId="18" fontId="67" numFmtId="0" xfId="0" applyAlignment="1" applyFill="1" applyFont="1">
      <alignment horizontal="center" readingOrder="0" shrinkToFit="0" vertical="center" wrapText="1"/>
    </xf>
    <xf borderId="0" fillId="18" fontId="15" numFmtId="0" xfId="0" applyAlignment="1" applyFont="1">
      <alignment readingOrder="0" shrinkToFit="0" vertical="center" wrapText="1"/>
    </xf>
    <xf borderId="0" fillId="18" fontId="15" numFmtId="0" xfId="0" applyAlignment="1" applyFont="1">
      <alignment readingOrder="0" shrinkToFit="0" vertical="top" wrapText="1"/>
    </xf>
    <xf borderId="0" fillId="18" fontId="15" numFmtId="0" xfId="0" applyAlignment="1" applyFont="1">
      <alignment shrinkToFit="0" vertical="top" wrapText="1"/>
    </xf>
    <xf borderId="0" fillId="6" fontId="67" numFmtId="0" xfId="0" applyAlignment="1" applyFont="1">
      <alignment horizontal="center" readingOrder="0" shrinkToFit="0" vertical="center" wrapText="1"/>
    </xf>
    <xf borderId="0" fillId="6" fontId="15" numFmtId="0" xfId="0" applyAlignment="1" applyFont="1">
      <alignment readingOrder="0" shrinkToFit="0" vertical="top" wrapText="1"/>
    </xf>
    <xf borderId="0" fillId="6" fontId="15" numFmtId="0" xfId="0" applyAlignment="1" applyFont="1">
      <alignment shrinkToFit="0" vertical="top" wrapText="1"/>
    </xf>
    <xf borderId="0" fillId="6" fontId="55" numFmtId="0" xfId="0" applyAlignment="1" applyFont="1">
      <alignment horizontal="left" readingOrder="0" shrinkToFit="0" wrapText="1"/>
    </xf>
    <xf borderId="0" fillId="6" fontId="68" numFmtId="0" xfId="0" applyAlignment="1" applyFont="1">
      <alignment horizontal="center" readingOrder="0" shrinkToFit="0" vertical="center" wrapText="1"/>
    </xf>
    <xf borderId="0" fillId="6" fontId="19" numFmtId="164" xfId="0" applyAlignment="1" applyFont="1" applyNumberFormat="1">
      <alignment horizontal="center" readingOrder="0" vertical="center"/>
    </xf>
    <xf borderId="0" fillId="12" fontId="33" numFmtId="0" xfId="0" applyAlignment="1" applyFont="1">
      <alignment shrinkToFit="0" vertical="center" wrapText="1"/>
    </xf>
    <xf borderId="0" fillId="6" fontId="69" numFmtId="0" xfId="0" applyFont="1"/>
    <xf borderId="0" fillId="14" fontId="56" numFmtId="0" xfId="0" applyAlignment="1" applyFont="1">
      <alignment horizontal="center" readingOrder="0" shrinkToFit="0" vertical="center" wrapText="1"/>
    </xf>
    <xf borderId="0" fillId="6" fontId="70" numFmtId="0" xfId="0" applyAlignment="1" applyFont="1">
      <alignment horizontal="left" readingOrder="0" shrinkToFit="0" wrapText="1"/>
    </xf>
    <xf borderId="0" fillId="6" fontId="15" numFmtId="0" xfId="0" applyAlignment="1" applyFont="1">
      <alignment horizontal="center" shrinkToFit="0" wrapText="1"/>
    </xf>
    <xf borderId="0" fillId="6" fontId="67" numFmtId="0" xfId="0" applyAlignment="1" applyFont="1">
      <alignment horizontal="center" shrinkToFit="0" vertical="center" wrapText="1"/>
    </xf>
    <xf borderId="0" fillId="6" fontId="15" numFmtId="0" xfId="0" applyAlignment="1" applyFont="1">
      <alignment shrinkToFit="0" vertical="center" wrapText="1"/>
    </xf>
    <xf borderId="0" fillId="18" fontId="67" numFmtId="0" xfId="0" applyAlignment="1" applyFont="1">
      <alignment horizontal="center" shrinkToFit="0" vertical="center" wrapText="1"/>
    </xf>
    <xf borderId="0" fillId="18" fontId="15" numFmtId="0" xfId="0" applyAlignment="1" applyFont="1">
      <alignment shrinkToFit="0" vertical="center" wrapText="1"/>
    </xf>
    <xf borderId="0" fillId="14" fontId="16" numFmtId="0" xfId="0" applyAlignment="1" applyFont="1">
      <alignment horizontal="center" shrinkToFit="0" vertical="center" wrapText="1"/>
    </xf>
    <xf borderId="0" fillId="6" fontId="20" numFmtId="0" xfId="0" applyAlignment="1" applyFont="1">
      <alignment horizontal="center" readingOrder="0" shrinkToFit="0" vertical="center" wrapText="1"/>
    </xf>
    <xf borderId="0" fillId="6" fontId="20" numFmtId="0" xfId="0" applyAlignment="1" applyFont="1">
      <alignment horizontal="left" readingOrder="0" shrinkToFit="0" vertical="center" wrapText="1"/>
    </xf>
    <xf borderId="0" fillId="6" fontId="19" numFmtId="0" xfId="0" applyAlignment="1" applyFont="1">
      <alignment horizontal="center" readingOrder="0" shrinkToFit="0" vertical="center" wrapText="1"/>
    </xf>
    <xf borderId="0" fillId="6" fontId="71" numFmtId="0" xfId="0" applyAlignment="1" applyFont="1">
      <alignment horizontal="center" readingOrder="0" shrinkToFit="0" vertical="center" wrapText="1"/>
    </xf>
    <xf borderId="0" fillId="14" fontId="35" numFmtId="0" xfId="0" applyAlignment="1" applyFont="1">
      <alignment horizontal="left" readingOrder="0" shrinkToFit="0" vertical="center" wrapText="1"/>
    </xf>
    <xf borderId="0" fillId="13" fontId="11" numFmtId="166" xfId="0" applyAlignment="1" applyFont="1" applyNumberFormat="1">
      <alignment horizontal="center" shrinkToFit="0" vertical="center" wrapText="1"/>
    </xf>
    <xf borderId="0" fillId="14" fontId="35" numFmtId="0" xfId="0" applyAlignment="1" applyFont="1">
      <alignment horizontal="left" readingOrder="0" shrinkToFit="0" vertical="center" wrapText="1"/>
    </xf>
    <xf borderId="0" fillId="6" fontId="11" numFmtId="166" xfId="0" applyAlignment="1" applyFont="1" applyNumberFormat="1">
      <alignment horizontal="center" shrinkToFit="0" vertical="center" wrapText="1"/>
    </xf>
    <xf borderId="0" fillId="6" fontId="9" numFmtId="0" xfId="0" applyAlignment="1" applyFont="1">
      <alignment horizontal="left" readingOrder="0" shrinkToFit="0" vertical="center" wrapText="1"/>
    </xf>
    <xf borderId="0" fillId="14" fontId="16" numFmtId="0" xfId="0" applyAlignment="1" applyFont="1">
      <alignment horizontal="center" readingOrder="0" shrinkToFit="0" vertical="center" wrapText="1"/>
    </xf>
    <xf borderId="0" fillId="6" fontId="9" numFmtId="0" xfId="0" applyAlignment="1" applyFont="1">
      <alignment horizontal="center" readingOrder="0" shrinkToFit="0" vertical="center" wrapText="1"/>
    </xf>
    <xf borderId="0" fillId="6" fontId="13" numFmtId="0" xfId="0" applyAlignment="1" applyFont="1">
      <alignment horizontal="center" readingOrder="0" shrinkToFit="0" vertical="top" wrapText="1"/>
    </xf>
    <xf borderId="0" fillId="6" fontId="35" numFmtId="0" xfId="0" applyAlignment="1" applyFont="1">
      <alignment horizontal="center" readingOrder="0" shrinkToFit="0" vertical="top" wrapText="1"/>
    </xf>
    <xf borderId="0" fillId="13" fontId="11" numFmtId="49" xfId="0" applyAlignment="1" applyFont="1" applyNumberFormat="1">
      <alignment horizontal="center" shrinkToFit="0" vertical="center" wrapText="1"/>
    </xf>
    <xf borderId="0" fillId="6" fontId="11" numFmtId="49" xfId="0" applyAlignment="1" applyFont="1" applyNumberFormat="1">
      <alignment horizontal="center" readingOrder="0" shrinkToFit="0" vertical="center" wrapText="1"/>
    </xf>
    <xf borderId="0" fillId="6" fontId="35" numFmtId="0" xfId="0" applyAlignment="1" applyFont="1">
      <alignment horizontal="center" readingOrder="0" shrinkToFit="0" vertical="center" wrapText="1"/>
    </xf>
    <xf borderId="0" fillId="14" fontId="35" numFmtId="0" xfId="0" applyAlignment="1" applyFont="1">
      <alignment horizontal="center" shrinkToFit="0" vertical="center" wrapText="1"/>
    </xf>
    <xf borderId="0" fillId="6" fontId="20" numFmtId="0" xfId="0" applyAlignment="1" applyFont="1">
      <alignment horizontal="center" shrinkToFit="0" vertical="center" wrapText="1"/>
    </xf>
    <xf borderId="0" fillId="14" fontId="20" numFmtId="0" xfId="0" applyAlignment="1" applyFont="1">
      <alignment horizontal="center" shrinkToFit="0" vertical="center" wrapText="1"/>
    </xf>
    <xf borderId="0" fillId="14" fontId="20" numFmtId="0" xfId="0" applyAlignment="1" applyFont="1">
      <alignment horizontal="center" readingOrder="0" shrinkToFit="0" vertical="center" wrapText="1"/>
    </xf>
    <xf borderId="0" fillId="12" fontId="17" numFmtId="0" xfId="0" applyAlignment="1" applyFont="1">
      <alignment readingOrder="0" vertical="center"/>
    </xf>
    <xf borderId="0" fillId="6" fontId="35" numFmtId="0" xfId="0" applyAlignment="1" applyFont="1">
      <alignment horizontal="center" shrinkToFit="0" vertical="center" wrapText="1"/>
    </xf>
    <xf borderId="0" fillId="14" fontId="35" numFmtId="0" xfId="0" applyAlignment="1" applyFont="1">
      <alignment horizontal="center" readingOrder="0" shrinkToFit="0" vertical="center" wrapText="1"/>
    </xf>
    <xf borderId="6" fillId="17" fontId="72" numFmtId="0" xfId="0" applyAlignment="1" applyBorder="1" applyFont="1">
      <alignment horizontal="center" readingOrder="0" vertical="center"/>
    </xf>
    <xf borderId="0" fillId="0" fontId="9" numFmtId="0" xfId="0" applyAlignment="1" applyFont="1">
      <alignment horizontal="center" readingOrder="0" shrinkToFit="0" vertical="center" wrapText="1"/>
    </xf>
    <xf borderId="7" fillId="17" fontId="73" numFmtId="0" xfId="0" applyAlignment="1" applyBorder="1" applyFont="1">
      <alignment horizontal="left" readingOrder="0" shrinkToFit="0" vertical="bottom" wrapText="1"/>
    </xf>
    <xf borderId="8" fillId="17" fontId="73" numFmtId="0" xfId="0" applyAlignment="1" applyBorder="1" applyFont="1">
      <alignment horizontal="left" readingOrder="0" shrinkToFit="0" vertical="bottom" wrapText="1"/>
    </xf>
    <xf borderId="9" fillId="18" fontId="7" numFmtId="0" xfId="0" applyAlignment="1" applyBorder="1" applyFont="1">
      <alignment horizontal="center" shrinkToFit="0" vertical="center" wrapText="1"/>
    </xf>
    <xf borderId="7" fillId="6" fontId="11" numFmtId="0" xfId="0" applyBorder="1" applyFont="1"/>
    <xf borderId="8" fillId="6" fontId="11" numFmtId="0" xfId="0" applyBorder="1" applyFont="1"/>
    <xf borderId="9" fillId="18" fontId="7" numFmtId="0" xfId="0" applyAlignment="1" applyBorder="1" applyFont="1">
      <alignment horizontal="center" readingOrder="0" shrinkToFit="0" vertical="center" wrapText="1"/>
    </xf>
    <xf borderId="10" fillId="18" fontId="7" numFmtId="0" xfId="0" applyAlignment="1" applyBorder="1" applyFont="1">
      <alignment horizontal="left" readingOrder="0" shrinkToFit="0" vertical="center" wrapText="1"/>
    </xf>
    <xf borderId="11" fillId="6" fontId="11" numFmtId="0" xfId="0" applyBorder="1" applyFont="1"/>
    <xf borderId="12" fillId="6" fontId="11" numFmtId="0" xfId="0" applyBorder="1" applyFont="1"/>
    <xf borderId="0" fillId="6" fontId="56" numFmtId="0" xfId="0" applyAlignment="1" applyFont="1">
      <alignment horizontal="center" readingOrder="0" shrinkToFit="0" vertical="center" wrapText="1"/>
    </xf>
    <xf borderId="13" fillId="18" fontId="7" numFmtId="0" xfId="0" applyAlignment="1" applyBorder="1" applyFont="1">
      <alignment horizontal="center" vertical="bottom"/>
    </xf>
    <xf borderId="13" fillId="18" fontId="7" numFmtId="0" xfId="0" applyAlignment="1" applyBorder="1" applyFont="1">
      <alignment horizontal="center" shrinkToFit="0" vertical="bottom" wrapText="1"/>
    </xf>
    <xf borderId="0" fillId="0" fontId="9" numFmtId="0" xfId="0" applyAlignment="1" applyFont="1">
      <alignment horizontal="center" readingOrder="0" shrinkToFit="0" vertical="center" wrapText="1"/>
    </xf>
    <xf borderId="13" fillId="18" fontId="7" numFmtId="0" xfId="0" applyAlignment="1" applyBorder="1" applyFont="1">
      <alignment horizontal="center" vertical="center"/>
    </xf>
    <xf borderId="13" fillId="18" fontId="7" numFmtId="0" xfId="0" applyAlignment="1" applyBorder="1" applyFont="1">
      <alignment horizontal="center" shrinkToFit="0" vertical="center" wrapText="1"/>
    </xf>
    <xf borderId="14" fillId="18" fontId="11" numFmtId="0" xfId="0" applyBorder="1" applyFont="1"/>
    <xf borderId="0" fillId="14" fontId="56" numFmtId="0" xfId="0" applyAlignment="1" applyFont="1">
      <alignment horizontal="center" readingOrder="0" shrinkToFit="0" vertical="center" wrapText="1"/>
    </xf>
    <xf borderId="6" fillId="18" fontId="11" numFmtId="0" xfId="0" applyBorder="1" applyFont="1"/>
    <xf borderId="0" fillId="13" fontId="11" numFmtId="0" xfId="0" applyAlignment="1" applyFont="1">
      <alignment readingOrder="0"/>
    </xf>
    <xf borderId="15" fillId="18" fontId="11" numFmtId="0" xfId="0" applyBorder="1" applyFont="1"/>
    <xf borderId="13" fillId="6" fontId="74" numFmtId="0" xfId="0" applyAlignment="1" applyBorder="1" applyFont="1">
      <alignment horizontal="left" readingOrder="0" vertical="center"/>
    </xf>
    <xf borderId="13" fillId="6" fontId="7" numFmtId="0" xfId="0" applyAlignment="1" applyBorder="1" applyFont="1">
      <alignment horizontal="left" readingOrder="0" vertical="center"/>
    </xf>
    <xf borderId="0" fillId="6" fontId="56" numFmtId="0" xfId="0" applyAlignment="1" applyFont="1">
      <alignment horizontal="center" readingOrder="0" shrinkToFit="0" vertical="center" wrapText="1"/>
    </xf>
    <xf borderId="13" fillId="6" fontId="9" numFmtId="0" xfId="0" applyAlignment="1" applyBorder="1" applyFont="1">
      <alignment horizontal="center" readingOrder="0" vertical="center"/>
    </xf>
    <xf borderId="13" fillId="6" fontId="48" numFmtId="0" xfId="0" applyAlignment="1" applyBorder="1" applyFont="1">
      <alignment readingOrder="0" shrinkToFit="0" vertical="center" wrapText="1"/>
    </xf>
    <xf borderId="0" fillId="6" fontId="18" numFmtId="0" xfId="0" applyAlignment="1" applyFont="1">
      <alignment horizontal="left" readingOrder="0" shrinkToFit="0" vertical="center" wrapText="1"/>
    </xf>
    <xf borderId="0" fillId="6" fontId="75" numFmtId="0" xfId="0" applyAlignment="1" applyFont="1">
      <alignment horizontal="left" readingOrder="0" shrinkToFit="0" wrapText="1"/>
    </xf>
    <xf borderId="13" fillId="18" fontId="74" numFmtId="0" xfId="0" applyAlignment="1" applyBorder="1" applyFont="1">
      <alignment horizontal="left" readingOrder="0" vertical="center"/>
    </xf>
    <xf borderId="13" fillId="18" fontId="76" numFmtId="0" xfId="0" applyAlignment="1" applyBorder="1" applyFont="1">
      <alignment horizontal="left" readingOrder="0" vertical="center"/>
    </xf>
    <xf borderId="13" fillId="18" fontId="9" numFmtId="0" xfId="0" applyAlignment="1" applyBorder="1" applyFont="1">
      <alignment readingOrder="0" shrinkToFit="0" vertical="center" wrapText="1"/>
    </xf>
    <xf borderId="13" fillId="18" fontId="9" numFmtId="0" xfId="0" applyAlignment="1" applyBorder="1" applyFont="1">
      <alignment horizontal="center" readingOrder="0" vertical="center"/>
    </xf>
    <xf borderId="13" fillId="18" fontId="48" numFmtId="0" xfId="0" applyAlignment="1" applyBorder="1" applyFont="1">
      <alignment readingOrder="0" shrinkToFit="0" vertical="center" wrapText="1"/>
    </xf>
    <xf borderId="0" fillId="18" fontId="48" numFmtId="0" xfId="0" applyAlignment="1" applyFont="1">
      <alignment readingOrder="0" shrinkToFit="0" vertical="center" wrapText="1"/>
    </xf>
    <xf borderId="0" fillId="11" fontId="11" numFmtId="0" xfId="0" applyAlignment="1" applyFont="1">
      <alignment horizontal="center" readingOrder="0" shrinkToFit="0" vertical="center" wrapText="1"/>
    </xf>
    <xf borderId="0" fillId="18" fontId="9" numFmtId="0" xfId="0" applyAlignment="1" applyFont="1">
      <alignment readingOrder="0" vertical="bottom"/>
    </xf>
    <xf borderId="13" fillId="6" fontId="76" numFmtId="0" xfId="0" applyAlignment="1" applyBorder="1" applyFont="1">
      <alignment horizontal="left" readingOrder="0" vertical="center"/>
    </xf>
    <xf borderId="13" fillId="6" fontId="9" numFmtId="0" xfId="0" applyAlignment="1" applyBorder="1" applyFont="1">
      <alignment readingOrder="0" shrinkToFit="0" vertical="center" wrapText="1"/>
    </xf>
    <xf borderId="0" fillId="6" fontId="56" numFmtId="0" xfId="0" applyAlignment="1" applyFont="1">
      <alignment horizontal="center" shrinkToFit="0" vertical="center" wrapText="1"/>
    </xf>
    <xf borderId="13" fillId="6" fontId="9" numFmtId="0" xfId="0" applyAlignment="1" applyBorder="1" applyFont="1">
      <alignment readingOrder="0" vertical="bottom"/>
    </xf>
    <xf borderId="13" fillId="18" fontId="77" numFmtId="0" xfId="0" applyAlignment="1" applyBorder="1" applyFont="1">
      <alignment horizontal="left" readingOrder="0" vertical="center"/>
    </xf>
    <xf borderId="0" fillId="14" fontId="56" numFmtId="0" xfId="0" applyAlignment="1" applyFont="1">
      <alignment horizontal="center" shrinkToFit="0" vertical="center" wrapText="1"/>
    </xf>
    <xf borderId="13" fillId="18" fontId="9" numFmtId="0" xfId="0" applyAlignment="1" applyBorder="1" applyFont="1">
      <alignment readingOrder="0" vertical="bottom"/>
    </xf>
    <xf borderId="13" fillId="6" fontId="9" numFmtId="0" xfId="0" applyAlignment="1" applyBorder="1" applyFont="1">
      <alignment vertical="bottom"/>
    </xf>
    <xf borderId="13" fillId="18" fontId="9" numFmtId="0" xfId="0" applyAlignment="1" applyBorder="1" applyFont="1">
      <alignment readingOrder="0" shrinkToFit="0" vertical="bottom" wrapText="1"/>
    </xf>
    <xf borderId="13" fillId="19" fontId="74" numFmtId="0" xfId="0" applyAlignment="1" applyBorder="1" applyFill="1" applyFont="1">
      <alignment horizontal="left" readingOrder="0" shrinkToFit="0" vertical="center" wrapText="1"/>
    </xf>
    <xf borderId="13" fillId="19" fontId="7" numFmtId="0" xfId="0" applyAlignment="1" applyBorder="1" applyFont="1">
      <alignment horizontal="left" readingOrder="0" vertical="center"/>
    </xf>
    <xf borderId="13" fillId="19" fontId="9" numFmtId="0" xfId="0" applyAlignment="1" applyBorder="1" applyFont="1">
      <alignment readingOrder="0" shrinkToFit="0" vertical="center" wrapText="1"/>
    </xf>
    <xf borderId="0" fillId="6" fontId="7" numFmtId="0" xfId="0" applyAlignment="1" applyFont="1">
      <alignment horizontal="center" readingOrder="0" shrinkToFit="0" vertical="center" wrapText="1"/>
    </xf>
    <xf borderId="13" fillId="19" fontId="9" numFmtId="0" xfId="0" applyAlignment="1" applyBorder="1" applyFont="1">
      <alignment horizontal="center" readingOrder="0" vertical="center"/>
    </xf>
    <xf borderId="13" fillId="19" fontId="48" numFmtId="0" xfId="0" applyAlignment="1" applyBorder="1" applyFont="1">
      <alignment readingOrder="0" shrinkToFit="0" vertical="center" wrapText="1"/>
    </xf>
    <xf borderId="13" fillId="19" fontId="48" numFmtId="0" xfId="0" applyAlignment="1" applyBorder="1" applyFont="1">
      <alignment shrinkToFit="0" vertical="center" wrapText="1"/>
    </xf>
    <xf borderId="13" fillId="19" fontId="9" numFmtId="0" xfId="0" applyAlignment="1" applyBorder="1" applyFont="1">
      <alignment vertical="bottom"/>
    </xf>
    <xf borderId="15" fillId="15" fontId="55" numFmtId="0" xfId="0" applyAlignment="1" applyBorder="1" applyFont="1">
      <alignment horizontal="left" readingOrder="0" shrinkToFit="0" wrapText="1"/>
    </xf>
    <xf borderId="13" fillId="19" fontId="74" numFmtId="0" xfId="0" applyAlignment="1" applyBorder="1" applyFont="1">
      <alignment horizontal="left" readingOrder="0" vertical="center"/>
    </xf>
    <xf borderId="13" fillId="19" fontId="76" numFmtId="0" xfId="0" applyAlignment="1" applyBorder="1" applyFont="1">
      <alignment horizontal="left" readingOrder="0" vertical="center"/>
    </xf>
    <xf borderId="0" fillId="6" fontId="15" numFmtId="0" xfId="0" applyAlignment="1" applyFont="1">
      <alignment readingOrder="0"/>
    </xf>
    <xf borderId="13" fillId="6" fontId="74" numFmtId="0" xfId="0" applyAlignment="1" applyBorder="1" applyFont="1">
      <alignment horizontal="left" readingOrder="0" vertical="center"/>
    </xf>
    <xf borderId="0" fillId="14" fontId="78" numFmtId="0" xfId="0" applyAlignment="1" applyFont="1">
      <alignment readingOrder="0"/>
    </xf>
    <xf borderId="13" fillId="6" fontId="76" numFmtId="0" xfId="0" applyAlignment="1" applyBorder="1" applyFont="1">
      <alignment horizontal="left" readingOrder="0" vertical="center"/>
    </xf>
    <xf borderId="13" fillId="6" fontId="9" numFmtId="0" xfId="0" applyAlignment="1" applyBorder="1" applyFont="1">
      <alignment readingOrder="0" shrinkToFit="0" vertical="center" wrapText="1"/>
    </xf>
    <xf borderId="0" fillId="6" fontId="79" numFmtId="0" xfId="0" applyAlignment="1" applyFont="1">
      <alignment horizontal="center" readingOrder="0" shrinkToFit="0" vertical="center" wrapText="1"/>
    </xf>
    <xf borderId="13" fillId="6" fontId="9" numFmtId="0" xfId="0" applyAlignment="1" applyBorder="1" applyFont="1">
      <alignment horizontal="center" readingOrder="0" vertical="center"/>
    </xf>
    <xf borderId="13" fillId="6" fontId="48" numFmtId="0" xfId="0" applyAlignment="1" applyBorder="1" applyFont="1">
      <alignment readingOrder="0" shrinkToFit="0" vertical="center" wrapText="1"/>
    </xf>
    <xf borderId="0" fillId="14" fontId="15" numFmtId="0" xfId="0" applyFont="1"/>
    <xf borderId="13" fillId="6" fontId="48" numFmtId="0" xfId="0" applyAlignment="1" applyBorder="1" applyFont="1">
      <alignment shrinkToFit="0" vertical="center" wrapText="1"/>
    </xf>
    <xf borderId="13" fillId="6" fontId="9" numFmtId="0" xfId="0" applyAlignment="1" applyBorder="1" applyFont="1">
      <alignment vertical="bottom"/>
    </xf>
    <xf borderId="0" fillId="6" fontId="31" numFmtId="0" xfId="0" applyAlignment="1" applyFont="1">
      <alignment horizontal="center" readingOrder="0"/>
    </xf>
    <xf borderId="0" fillId="6" fontId="80" numFmtId="0" xfId="0" applyAlignment="1" applyFont="1">
      <alignment horizontal="center" readingOrder="0" shrinkToFit="0" vertical="center" wrapText="1"/>
    </xf>
    <xf borderId="13" fillId="6" fontId="9" numFmtId="0" xfId="0" applyAlignment="1" applyBorder="1" applyFont="1">
      <alignment readingOrder="0" vertical="bottom"/>
    </xf>
    <xf borderId="0" fillId="14" fontId="16" numFmtId="0" xfId="0" applyAlignment="1" applyFont="1">
      <alignment horizontal="center" readingOrder="0" vertical="center"/>
    </xf>
    <xf borderId="13" fillId="6" fontId="7" numFmtId="0" xfId="0" applyAlignment="1" applyBorder="1" applyFont="1">
      <alignment horizontal="left" readingOrder="0" vertical="center"/>
    </xf>
    <xf borderId="13" fillId="6" fontId="48" numFmtId="0" xfId="0" applyAlignment="1" applyBorder="1" applyFont="1">
      <alignment readingOrder="0" shrinkToFit="0" vertical="center" wrapText="1"/>
    </xf>
    <xf borderId="0" fillId="6" fontId="81" numFmtId="0" xfId="0" applyAlignment="1" applyFont="1">
      <alignment readingOrder="0"/>
    </xf>
    <xf borderId="13" fillId="19" fontId="7" numFmtId="0" xfId="0" applyAlignment="1" applyBorder="1" applyFont="1">
      <alignment horizontal="center" readingOrder="0" vertical="center"/>
    </xf>
    <xf borderId="13" fillId="19" fontId="7" numFmtId="0" xfId="0" applyAlignment="1" applyBorder="1" applyFont="1">
      <alignment readingOrder="0" shrinkToFit="0" vertical="center" wrapText="1"/>
    </xf>
    <xf borderId="0" fillId="6" fontId="20" numFmtId="164" xfId="0" applyAlignment="1" applyFont="1" applyNumberFormat="1">
      <alignment horizontal="left" readingOrder="0" shrinkToFit="0" vertical="center" wrapText="1"/>
    </xf>
    <xf borderId="0" fillId="18" fontId="31" numFmtId="0" xfId="0" applyAlignment="1" applyFont="1">
      <alignment horizontal="left" readingOrder="0"/>
    </xf>
    <xf borderId="0" fillId="6" fontId="82" numFmtId="0" xfId="0" applyAlignment="1" applyFont="1">
      <alignment horizontal="center" readingOrder="0" shrinkToFit="0" vertical="center" wrapText="1"/>
    </xf>
    <xf borderId="13" fillId="19" fontId="83" numFmtId="0" xfId="0" applyAlignment="1" applyBorder="1" applyFont="1">
      <alignment horizontal="left" readingOrder="0" vertical="center"/>
    </xf>
    <xf borderId="0" fillId="14" fontId="84" numFmtId="0" xfId="0" applyFont="1"/>
    <xf borderId="0" fillId="6" fontId="84" numFmtId="0" xfId="0" applyAlignment="1" applyFont="1">
      <alignment readingOrder="0"/>
    </xf>
    <xf borderId="0" fillId="6" fontId="85" numFmtId="0" xfId="0" applyAlignment="1" applyFont="1">
      <alignment readingOrder="0"/>
    </xf>
    <xf borderId="0" fillId="6" fontId="86" numFmtId="0" xfId="0" applyAlignment="1" applyFont="1">
      <alignment readingOrder="0"/>
    </xf>
    <xf borderId="0" fillId="14" fontId="86" numFmtId="0" xfId="0" applyFont="1"/>
    <xf borderId="0" fillId="12" fontId="33" numFmtId="0" xfId="0" applyAlignment="1" applyFont="1">
      <alignment horizontal="center" readingOrder="0" shrinkToFit="0" vertical="center" wrapText="1"/>
    </xf>
    <xf borderId="13" fillId="19" fontId="9" numFmtId="0" xfId="0" applyAlignment="1" applyBorder="1" applyFont="1">
      <alignment horizontal="center" readingOrder="0" vertical="center"/>
    </xf>
    <xf borderId="13" fillId="19" fontId="48" numFmtId="0" xfId="0" applyAlignment="1" applyBorder="1" applyFont="1">
      <alignment readingOrder="0" shrinkToFit="0" vertical="center" wrapText="1"/>
    </xf>
    <xf borderId="0" fillId="14" fontId="86" numFmtId="0" xfId="0" applyFont="1"/>
    <xf borderId="0" fillId="13" fontId="11" numFmtId="0" xfId="0" applyAlignment="1" applyFont="1">
      <alignment horizontal="center" readingOrder="0" shrinkToFit="0" vertical="center" wrapText="1"/>
    </xf>
    <xf borderId="0" fillId="6" fontId="9" numFmtId="0" xfId="0" applyAlignment="1" applyFont="1">
      <alignment horizontal="center" shrinkToFit="0" vertical="center" wrapText="1"/>
    </xf>
    <xf borderId="0" fillId="6" fontId="86" numFmtId="0" xfId="0" applyAlignment="1" applyFont="1">
      <alignment readingOrder="0" shrinkToFit="0" wrapText="1"/>
    </xf>
    <xf borderId="13" fillId="0" fontId="11" numFmtId="0" xfId="0" applyAlignment="1" applyBorder="1" applyFont="1">
      <alignment readingOrder="0"/>
    </xf>
    <xf borderId="13" fillId="0" fontId="11" numFmtId="0" xfId="0" applyBorder="1" applyFont="1"/>
    <xf borderId="13" fillId="6" fontId="87" numFmtId="0" xfId="0" applyAlignment="1" applyBorder="1" applyFont="1">
      <alignment horizontal="center" readingOrder="0" vertical="center"/>
    </xf>
    <xf borderId="0" fillId="13" fontId="88" numFmtId="0" xfId="0" applyAlignment="1" applyFont="1">
      <alignment horizontal="center" readingOrder="0" shrinkToFit="0" vertical="center" wrapText="1"/>
    </xf>
    <xf borderId="13" fillId="6" fontId="74" numFmtId="0" xfId="0" applyAlignment="1" applyBorder="1" applyFont="1">
      <alignment horizontal="left" readingOrder="0" shrinkToFit="0" vertical="center" wrapText="1"/>
    </xf>
    <xf borderId="0" fillId="20" fontId="13" numFmtId="0" xfId="0" applyAlignment="1" applyFill="1" applyFont="1">
      <alignment horizontal="center" readingOrder="0" shrinkToFit="0" vertical="center" wrapText="1"/>
    </xf>
    <xf borderId="0" fillId="20" fontId="13" numFmtId="0" xfId="0" applyAlignment="1" applyFont="1">
      <alignment horizontal="center" shrinkToFit="0" vertical="center" wrapText="1"/>
    </xf>
    <xf borderId="0" fillId="0" fontId="89" numFmtId="0" xfId="0" applyAlignment="1" applyFont="1">
      <alignment horizontal="left" readingOrder="0" vertical="center"/>
    </xf>
    <xf borderId="0" fillId="6" fontId="7" numFmtId="165" xfId="0" applyAlignment="1" applyFont="1" applyNumberFormat="1">
      <alignment horizontal="center" shrinkToFit="0" vertical="center" wrapText="1"/>
    </xf>
    <xf borderId="0" fillId="6" fontId="0" numFmtId="0" xfId="0" applyAlignment="1" applyFont="1">
      <alignment readingOrder="0" shrinkToFit="0" wrapText="1"/>
    </xf>
    <xf borderId="0" fillId="13" fontId="7" numFmtId="165" xfId="0" applyAlignment="1" applyFont="1" applyNumberFormat="1">
      <alignment horizontal="center" shrinkToFit="0" vertical="center" wrapText="1"/>
    </xf>
    <xf borderId="0" fillId="13" fontId="9" numFmtId="0" xfId="0" applyAlignment="1" applyFont="1">
      <alignment horizontal="center" shrinkToFit="0" vertical="center" wrapText="1"/>
    </xf>
    <xf borderId="0" fillId="13" fontId="9" numFmtId="0" xfId="0" applyAlignment="1" applyFont="1">
      <alignment horizontal="center" vertical="center"/>
    </xf>
    <xf borderId="13" fillId="19" fontId="90" numFmtId="0" xfId="0" applyAlignment="1" applyBorder="1" applyFont="1">
      <alignment readingOrder="0" shrinkToFit="0" vertical="center" wrapText="1"/>
    </xf>
    <xf borderId="0" fillId="0" fontId="11" numFmtId="0" xfId="0" applyAlignment="1" applyFont="1">
      <alignment horizontal="center" shrinkToFit="0" vertical="center" wrapText="1"/>
    </xf>
    <xf borderId="13" fillId="19" fontId="76" numFmtId="0" xfId="0" applyAlignment="1" applyBorder="1" applyFont="1">
      <alignment horizontal="left" readingOrder="0" vertical="center"/>
    </xf>
    <xf borderId="0" fillId="13" fontId="9" numFmtId="0" xfId="0" applyAlignment="1" applyFont="1">
      <alignment horizontal="center" vertical="center"/>
    </xf>
    <xf borderId="0" fillId="13" fontId="7" numFmtId="167" xfId="0" applyAlignment="1" applyFont="1" applyNumberFormat="1">
      <alignment horizontal="center" shrinkToFit="0" vertical="center" wrapText="1"/>
    </xf>
    <xf borderId="0" fillId="13" fontId="9" numFmtId="0" xfId="0" applyAlignment="1" applyFont="1">
      <alignment horizontal="center" readingOrder="0" shrinkToFit="0" vertical="center" wrapText="1"/>
    </xf>
    <xf borderId="0" fillId="6" fontId="14" numFmtId="0" xfId="0" applyAlignment="1" applyFont="1">
      <alignment readingOrder="0" shrinkToFit="0" wrapText="1"/>
    </xf>
    <xf borderId="13" fillId="6" fontId="48" numFmtId="0" xfId="0" applyAlignment="1" applyBorder="1" applyFont="1">
      <alignment readingOrder="0" shrinkToFit="0" vertical="center" wrapText="1"/>
    </xf>
    <xf borderId="16" fillId="21" fontId="3" numFmtId="0" xfId="0" applyAlignment="1" applyBorder="1" applyFill="1" applyFont="1">
      <alignment horizontal="center" shrinkToFit="0" vertical="center" wrapText="1"/>
    </xf>
    <xf borderId="0" fillId="6" fontId="7" numFmtId="167" xfId="0" applyAlignment="1" applyFont="1" applyNumberFormat="1">
      <alignment horizontal="center" shrinkToFit="0" vertical="center" wrapText="1"/>
    </xf>
    <xf borderId="17" fillId="21" fontId="3" numFmtId="0" xfId="0" applyAlignment="1" applyBorder="1" applyFont="1">
      <alignment horizontal="center" shrinkToFit="0" vertical="center" wrapText="1"/>
    </xf>
    <xf borderId="13" fillId="19" fontId="9" numFmtId="0" xfId="0" applyAlignment="1" applyBorder="1" applyFont="1">
      <alignment readingOrder="0" vertical="bottom"/>
    </xf>
    <xf borderId="18" fillId="13" fontId="11" numFmtId="0" xfId="0" applyBorder="1" applyFont="1"/>
    <xf borderId="19" fillId="13" fontId="11" numFmtId="0" xfId="0" applyBorder="1" applyFont="1"/>
    <xf borderId="13" fillId="6" fontId="9" numFmtId="0" xfId="0" applyAlignment="1" applyBorder="1" applyFont="1">
      <alignment horizontal="left" readingOrder="0" shrinkToFit="0" vertical="center" wrapText="1"/>
    </xf>
    <xf borderId="13" fillId="19" fontId="91" numFmtId="0" xfId="0" applyAlignment="1" applyBorder="1" applyFont="1">
      <alignment horizontal="left" readingOrder="0" vertical="center"/>
    </xf>
    <xf borderId="20" fillId="6" fontId="11" numFmtId="0" xfId="0" applyAlignment="1" applyBorder="1" applyFont="1">
      <alignment readingOrder="0" shrinkToFit="0" wrapText="1"/>
    </xf>
    <xf borderId="13" fillId="19" fontId="9" numFmtId="0" xfId="0" applyAlignment="1" applyBorder="1" applyFont="1">
      <alignment horizontal="center" vertical="center"/>
    </xf>
    <xf borderId="13" fillId="6" fontId="9" numFmtId="0" xfId="0" applyAlignment="1" applyBorder="1" applyFont="1">
      <alignment readingOrder="0" shrinkToFit="0" vertical="bottom" wrapText="1"/>
    </xf>
    <xf borderId="0" fillId="13" fontId="7" numFmtId="168" xfId="0" applyAlignment="1" applyFont="1" applyNumberFormat="1">
      <alignment horizontal="center" shrinkToFit="0" vertical="center" wrapText="1"/>
    </xf>
    <xf borderId="0" fillId="13" fontId="92" numFmtId="0" xfId="0" applyAlignment="1" applyFont="1">
      <alignment horizontal="center" shrinkToFit="0" vertical="center" wrapText="1"/>
    </xf>
    <xf borderId="0" fillId="13" fontId="9" numFmtId="9" xfId="0" applyAlignment="1" applyFont="1" applyNumberFormat="1">
      <alignment horizontal="center" vertical="center"/>
    </xf>
    <xf borderId="13" fillId="19" fontId="9" numFmtId="0" xfId="0" applyAlignment="1" applyBorder="1" applyFont="1">
      <alignment shrinkToFit="0" vertical="bottom" wrapText="1"/>
    </xf>
    <xf borderId="13" fillId="6" fontId="9" numFmtId="0" xfId="0" applyAlignment="1" applyBorder="1" applyFont="1">
      <alignment horizontal="center" vertical="center"/>
    </xf>
    <xf borderId="0" fillId="6" fontId="7" numFmtId="168" xfId="0" applyAlignment="1" applyFont="1" applyNumberFormat="1">
      <alignment horizontal="center" shrinkToFit="0" vertical="center" wrapText="1"/>
    </xf>
    <xf borderId="0" fillId="6" fontId="92" numFmtId="0" xfId="0" applyAlignment="1" applyFont="1">
      <alignment horizontal="center" shrinkToFit="0" vertical="center" wrapText="1"/>
    </xf>
    <xf borderId="0" fillId="6" fontId="9" numFmtId="9" xfId="0" applyAlignment="1" applyFont="1" applyNumberFormat="1">
      <alignment horizontal="center" vertical="center"/>
    </xf>
    <xf borderId="13" fillId="19" fontId="9" numFmtId="0" xfId="0" applyAlignment="1" applyBorder="1" applyFont="1">
      <alignment readingOrder="0" shrinkToFit="0" vertical="bottom" wrapText="1"/>
    </xf>
    <xf borderId="0" fillId="22" fontId="16" numFmtId="0" xfId="0" applyAlignment="1" applyFill="1" applyFont="1">
      <alignment horizontal="center" shrinkToFit="0" vertical="center" wrapText="1"/>
    </xf>
    <xf borderId="13" fillId="6" fontId="76" numFmtId="0" xfId="0" applyAlignment="1" applyBorder="1" applyFont="1">
      <alignment horizontal="left" readingOrder="0" shrinkToFit="0" vertical="center" wrapText="1"/>
    </xf>
    <xf borderId="0" fillId="14" fontId="11" numFmtId="0" xfId="0" applyAlignment="1" applyFont="1">
      <alignment readingOrder="0" shrinkToFit="0" wrapText="1"/>
    </xf>
    <xf borderId="0" fillId="6" fontId="93" numFmtId="0" xfId="0" applyAlignment="1" applyFont="1">
      <alignment horizontal="center" shrinkToFit="0" vertical="center" wrapText="1"/>
    </xf>
    <xf borderId="13" fillId="19" fontId="76" numFmtId="0" xfId="0" applyAlignment="1" applyBorder="1" applyFont="1">
      <alignment horizontal="left" readingOrder="0" vertical="center"/>
    </xf>
    <xf borderId="0" fillId="13" fontId="92" numFmtId="9" xfId="0" applyAlignment="1" applyFont="1" applyNumberFormat="1">
      <alignment horizontal="center" shrinkToFit="0" vertical="center" wrapText="1"/>
    </xf>
    <xf borderId="13" fillId="6" fontId="91" numFmtId="0" xfId="0" applyAlignment="1" applyBorder="1" applyFont="1">
      <alignment horizontal="left" readingOrder="0" vertical="center"/>
    </xf>
    <xf borderId="0" fillId="6" fontId="34" numFmtId="0" xfId="0" applyAlignment="1" applyFont="1">
      <alignment horizontal="center" readingOrder="0" shrinkToFit="0" vertical="center" wrapText="1"/>
    </xf>
    <xf borderId="0" fillId="13" fontId="11" numFmtId="3" xfId="0" applyAlignment="1" applyFont="1" applyNumberFormat="1">
      <alignment horizontal="center" shrinkToFit="0" vertical="center" wrapText="1"/>
    </xf>
    <xf borderId="13" fillId="6" fontId="77" numFmtId="0" xfId="0" applyAlignment="1" applyBorder="1" applyFont="1">
      <alignment horizontal="left" readingOrder="0" vertical="center"/>
    </xf>
    <xf borderId="0" fillId="6" fontId="94" numFmtId="0" xfId="0" applyAlignment="1" applyFont="1">
      <alignment horizontal="center" readingOrder="0" shrinkToFit="0" vertical="center" wrapText="1"/>
    </xf>
    <xf borderId="13" fillId="0" fontId="95" numFmtId="0" xfId="0" applyAlignment="1" applyBorder="1" applyFont="1">
      <alignment horizontal="left" readingOrder="0" vertical="center"/>
    </xf>
    <xf borderId="0" fillId="14" fontId="96" numFmtId="0" xfId="0" applyAlignment="1" applyFont="1">
      <alignment horizontal="center" readingOrder="0" shrinkToFit="0" vertical="center" wrapText="1"/>
    </xf>
    <xf borderId="13" fillId="0" fontId="89" numFmtId="0" xfId="0" applyAlignment="1" applyBorder="1" applyFont="1">
      <alignment horizontal="left" readingOrder="0" vertical="center"/>
    </xf>
    <xf borderId="13" fillId="0" fontId="11" numFmtId="0" xfId="0" applyAlignment="1" applyBorder="1" applyFont="1">
      <alignment horizontal="center" readingOrder="0" vertical="center"/>
    </xf>
    <xf borderId="13" fillId="0" fontId="97" numFmtId="0" xfId="0" applyAlignment="1" applyBorder="1" applyFont="1">
      <alignment shrinkToFit="0" vertical="center" wrapText="1"/>
    </xf>
    <xf borderId="13" fillId="0" fontId="11" numFmtId="0" xfId="0" applyBorder="1" applyFont="1"/>
    <xf borderId="13" fillId="0" fontId="11" numFmtId="0" xfId="0" applyAlignment="1" applyBorder="1" applyFont="1">
      <alignment horizontal="left" readingOrder="0" shrinkToFit="0" wrapText="1"/>
    </xf>
    <xf borderId="13" fillId="0" fontId="97" numFmtId="0" xfId="0" applyAlignment="1" applyBorder="1" applyFont="1">
      <alignment readingOrder="0" shrinkToFit="0" vertical="center" wrapText="1"/>
    </xf>
    <xf borderId="0" fillId="22" fontId="16" numFmtId="0" xfId="0" applyAlignment="1" applyFont="1">
      <alignment horizontal="center" readingOrder="0" shrinkToFit="0" vertical="center" wrapText="1"/>
    </xf>
    <xf borderId="13" fillId="0" fontId="11" numFmtId="0" xfId="0" applyAlignment="1" applyBorder="1" applyFont="1">
      <alignment shrinkToFit="0" vertical="center" wrapText="1"/>
    </xf>
    <xf borderId="0" fillId="14" fontId="20" numFmtId="0" xfId="0" applyAlignment="1" applyFont="1">
      <alignment horizontal="center" readingOrder="0" shrinkToFit="0" vertical="center" wrapText="1"/>
    </xf>
    <xf borderId="13" fillId="0" fontId="11" numFmtId="0" xfId="0" applyAlignment="1" applyBorder="1" applyFont="1">
      <alignment readingOrder="0" shrinkToFit="0" wrapText="1"/>
    </xf>
    <xf borderId="0" fillId="6" fontId="92" numFmtId="9" xfId="0" applyAlignment="1" applyFont="1" applyNumberFormat="1">
      <alignment horizontal="center" shrinkToFit="0" vertical="center" wrapText="1"/>
    </xf>
    <xf borderId="13" fillId="0" fontId="11" numFmtId="0" xfId="0" applyAlignment="1" applyBorder="1" applyFont="1">
      <alignment horizontal="center" vertical="center"/>
    </xf>
    <xf borderId="0" fillId="13" fontId="7" numFmtId="168" xfId="0" applyAlignment="1" applyFont="1" applyNumberFormat="1">
      <alignment horizontal="center" shrinkToFit="0" vertical="center" wrapText="1"/>
    </xf>
    <xf borderId="13" fillId="0" fontId="11" numFmtId="0" xfId="0" applyAlignment="1" applyBorder="1" applyFont="1">
      <alignment readingOrder="0" shrinkToFit="0" vertical="center" wrapText="1"/>
    </xf>
    <xf borderId="0" fillId="14" fontId="98" numFmtId="0" xfId="0" applyAlignment="1" applyFont="1">
      <alignment horizontal="left" readingOrder="0"/>
    </xf>
    <xf borderId="13" fillId="0" fontId="95" numFmtId="0" xfId="0" applyAlignment="1" applyBorder="1" applyFont="1">
      <alignment horizontal="left" readingOrder="0" shrinkToFit="0" vertical="center" wrapText="1"/>
    </xf>
    <xf borderId="13" fillId="0" fontId="89" numFmtId="0" xfId="0" applyAlignment="1" applyBorder="1" applyFont="1">
      <alignment horizontal="left" readingOrder="0" shrinkToFit="0" vertical="center" wrapText="1"/>
    </xf>
    <xf borderId="13" fillId="0" fontId="11" numFmtId="0" xfId="0" applyAlignment="1" applyBorder="1" applyFont="1">
      <alignment horizontal="center" readingOrder="0" shrinkToFit="0" vertical="center" wrapText="1"/>
    </xf>
    <xf borderId="13" fillId="0" fontId="11" numFmtId="0" xfId="0" applyAlignment="1" applyBorder="1" applyFont="1">
      <alignment shrinkToFit="0" wrapText="1"/>
    </xf>
    <xf borderId="0" fillId="14" fontId="19" numFmtId="0" xfId="0" applyAlignment="1" applyFont="1">
      <alignment horizontal="center" vertical="center"/>
    </xf>
    <xf borderId="0" fillId="0" fontId="15" numFmtId="0" xfId="0" applyAlignment="1" applyFont="1">
      <alignment shrinkToFit="0" wrapText="1"/>
    </xf>
    <xf borderId="0" fillId="6" fontId="7" numFmtId="165" xfId="0" applyAlignment="1" applyFont="1" applyNumberFormat="1">
      <alignment horizontal="center" shrinkToFit="0" vertical="center" wrapText="1"/>
    </xf>
    <xf borderId="13" fillId="0" fontId="11" numFmtId="0" xfId="0" applyAlignment="1" applyBorder="1" applyFont="1">
      <alignment horizontal="center" shrinkToFit="0" vertical="center" wrapText="1"/>
    </xf>
    <xf borderId="13" fillId="0" fontId="11" numFmtId="0" xfId="0" applyAlignment="1" applyBorder="1" applyFont="1">
      <alignment horizontal="left" readingOrder="0" shrinkToFit="0" vertical="center" wrapText="1"/>
    </xf>
    <xf quotePrefix="1" borderId="13" fillId="0" fontId="97" numFmtId="0" xfId="0" applyAlignment="1" applyBorder="1" applyFont="1">
      <alignment readingOrder="0" shrinkToFit="0" vertical="center" wrapText="1"/>
    </xf>
    <xf borderId="0" fillId="6" fontId="92" numFmtId="0" xfId="0" applyAlignment="1" applyFont="1">
      <alignment horizontal="center" readingOrder="0" shrinkToFit="0" vertical="center" wrapText="1"/>
    </xf>
    <xf borderId="13" fillId="0" fontId="11" numFmtId="0" xfId="0" applyAlignment="1" applyBorder="1" applyFont="1">
      <alignment readingOrder="0"/>
    </xf>
    <xf borderId="13" fillId="18" fontId="95" numFmtId="0" xfId="0" applyAlignment="1" applyBorder="1" applyFont="1">
      <alignment horizontal="left" readingOrder="0" vertical="center"/>
    </xf>
    <xf borderId="13" fillId="18" fontId="89" numFmtId="0" xfId="0" applyAlignment="1" applyBorder="1" applyFont="1">
      <alignment horizontal="left" readingOrder="0" vertical="center"/>
    </xf>
    <xf borderId="13" fillId="18" fontId="11" numFmtId="0" xfId="0" applyAlignment="1" applyBorder="1" applyFont="1">
      <alignment readingOrder="0"/>
    </xf>
    <xf borderId="13" fillId="18" fontId="11" numFmtId="0" xfId="0" applyAlignment="1" applyBorder="1" applyFont="1">
      <alignment horizontal="center" readingOrder="0" vertical="center"/>
    </xf>
    <xf borderId="13" fillId="18" fontId="97" numFmtId="0" xfId="0" applyAlignment="1" applyBorder="1" applyFont="1">
      <alignment readingOrder="0" shrinkToFit="0" vertical="center" wrapText="1"/>
    </xf>
    <xf borderId="13" fillId="18" fontId="97" numFmtId="0" xfId="0" applyAlignment="1" applyBorder="1" applyFont="1">
      <alignment shrinkToFit="0" vertical="center" wrapText="1"/>
    </xf>
    <xf borderId="13" fillId="18" fontId="11" numFmtId="0" xfId="0" applyAlignment="1" applyBorder="1" applyFont="1">
      <alignment shrinkToFit="0" vertical="center" wrapText="1"/>
    </xf>
    <xf borderId="13" fillId="18" fontId="11" numFmtId="0" xfId="0" applyBorder="1" applyFont="1"/>
    <xf borderId="13" fillId="0" fontId="95" numFmtId="0" xfId="0" applyAlignment="1" applyBorder="1" applyFont="1">
      <alignment horizontal="left" readingOrder="0" vertical="center"/>
    </xf>
    <xf borderId="13" fillId="0" fontId="89" numFmtId="0" xfId="0" applyAlignment="1" applyBorder="1" applyFont="1">
      <alignment horizontal="left" readingOrder="0" vertical="center"/>
    </xf>
    <xf borderId="13" fillId="0" fontId="11" numFmtId="0" xfId="0" applyAlignment="1" applyBorder="1" applyFont="1">
      <alignment horizontal="center" readingOrder="0" vertical="center"/>
    </xf>
    <xf borderId="13" fillId="0" fontId="97" numFmtId="0" xfId="0" applyAlignment="1" applyBorder="1" applyFont="1">
      <alignment readingOrder="0" shrinkToFit="0" vertical="center" wrapText="1"/>
    </xf>
    <xf borderId="13" fillId="0" fontId="97" numFmtId="0" xfId="0" applyAlignment="1" applyBorder="1" applyFont="1">
      <alignment shrinkToFit="0" vertical="center" wrapText="1"/>
    </xf>
    <xf borderId="13" fillId="18" fontId="11" numFmtId="0" xfId="0" applyAlignment="1" applyBorder="1" applyFont="1">
      <alignment readingOrder="0" shrinkToFit="0" wrapText="1"/>
    </xf>
    <xf borderId="0" fillId="18" fontId="97" numFmtId="0" xfId="0" applyAlignment="1" applyFont="1">
      <alignment readingOrder="0"/>
    </xf>
    <xf borderId="0" fillId="13" fontId="39" numFmtId="166" xfId="0" applyAlignment="1" applyFont="1" applyNumberFormat="1">
      <alignment horizontal="center" readingOrder="0" shrinkToFit="0" vertical="center" wrapText="1"/>
    </xf>
    <xf borderId="13" fillId="18" fontId="11" numFmtId="0" xfId="0" applyAlignment="1" applyBorder="1" applyFont="1">
      <alignment horizontal="center" vertical="center"/>
    </xf>
    <xf borderId="13" fillId="0" fontId="11" numFmtId="0" xfId="0" applyAlignment="1" applyBorder="1" applyFont="1">
      <alignment readingOrder="0" shrinkToFit="0" wrapText="1"/>
    </xf>
    <xf borderId="13" fillId="0" fontId="11" numFmtId="0" xfId="0" applyAlignment="1" applyBorder="1" applyFont="1">
      <alignment horizontal="center" vertical="center"/>
    </xf>
    <xf borderId="13" fillId="0" fontId="11" numFmtId="0" xfId="0" applyAlignment="1" applyBorder="1" applyFont="1">
      <alignment shrinkToFit="0" vertical="center" wrapText="1"/>
    </xf>
    <xf borderId="13" fillId="0" fontId="95" numFmtId="0" xfId="0" applyAlignment="1" applyBorder="1" applyFont="1">
      <alignment readingOrder="0"/>
    </xf>
    <xf borderId="13" fillId="0" fontId="89" numFmtId="0" xfId="0" applyAlignment="1" applyBorder="1" applyFont="1">
      <alignment readingOrder="0"/>
    </xf>
    <xf borderId="13" fillId="18" fontId="95" numFmtId="0" xfId="0" applyAlignment="1" applyBorder="1" applyFont="1">
      <alignment readingOrder="0"/>
    </xf>
    <xf borderId="13" fillId="18" fontId="89" numFmtId="0" xfId="0" applyAlignment="1" applyBorder="1" applyFont="1">
      <alignment readingOrder="0"/>
    </xf>
    <xf borderId="13" fillId="18" fontId="11" numFmtId="0" xfId="0" applyAlignment="1" applyBorder="1" applyFont="1">
      <alignment readingOrder="0" shrinkToFit="0" vertical="center" wrapText="1"/>
    </xf>
    <xf borderId="13" fillId="0" fontId="11" numFmtId="0" xfId="0" applyAlignment="1" applyBorder="1" applyFont="1">
      <alignment readingOrder="0" shrinkToFit="0" vertical="center" wrapText="1"/>
    </xf>
    <xf borderId="13" fillId="0" fontId="99" numFmtId="0" xfId="0" applyAlignment="1" applyBorder="1" applyFont="1">
      <alignment readingOrder="0" shrinkToFit="0" vertical="center" wrapText="1"/>
    </xf>
    <xf borderId="13" fillId="0" fontId="74" numFmtId="0" xfId="0" applyAlignment="1" applyBorder="1" applyFont="1">
      <alignment readingOrder="0" vertical="bottom"/>
    </xf>
    <xf borderId="8" fillId="0" fontId="76" numFmtId="0" xfId="0" applyAlignment="1" applyBorder="1" applyFont="1">
      <alignment readingOrder="0"/>
    </xf>
    <xf borderId="13" fillId="0" fontId="97" numFmtId="0" xfId="0" applyAlignment="1" applyBorder="1" applyFont="1">
      <alignment readingOrder="0" shrinkToFit="0" vertical="center" wrapText="1"/>
    </xf>
    <xf borderId="8" fillId="18" fontId="76" numFmtId="0" xfId="0" applyAlignment="1" applyBorder="1" applyFont="1">
      <alignment readingOrder="0"/>
    </xf>
    <xf borderId="13" fillId="0" fontId="89" numFmtId="0" xfId="0" applyAlignment="1" applyBorder="1" applyFont="1">
      <alignment horizontal="left" readingOrder="0" vertical="bottom"/>
    </xf>
    <xf borderId="13" fillId="18" fontId="11" numFmtId="0" xfId="0" applyAlignment="1" applyBorder="1" applyFont="1">
      <alignment horizontal="center" readingOrder="0" shrinkToFit="0" vertical="center" wrapText="1"/>
    </xf>
    <xf borderId="13" fillId="18" fontId="89" numFmtId="0" xfId="0" applyAlignment="1" applyBorder="1" applyFont="1">
      <alignment horizontal="left" readingOrder="0" vertical="bottom"/>
    </xf>
    <xf borderId="0" fillId="18" fontId="31" numFmtId="0" xfId="0" applyAlignment="1" applyFont="1">
      <alignment horizontal="left" readingOrder="0" shrinkToFit="0" wrapText="1"/>
    </xf>
    <xf borderId="13" fillId="6" fontId="31" numFmtId="0" xfId="0" applyAlignment="1" applyBorder="1" applyFont="1">
      <alignment horizontal="left" readingOrder="0" shrinkToFit="0" wrapText="1"/>
    </xf>
    <xf borderId="8" fillId="0" fontId="11" numFmtId="0" xfId="0" applyAlignment="1" applyBorder="1" applyFont="1">
      <alignment horizontal="center" readingOrder="0" vertical="center"/>
    </xf>
    <xf borderId="21" fillId="18" fontId="11" numFmtId="0" xfId="0" applyAlignment="1" applyBorder="1" applyFont="1">
      <alignment readingOrder="0" shrinkToFit="0" wrapText="1"/>
    </xf>
    <xf borderId="13" fillId="18" fontId="3" numFmtId="0" xfId="0" applyAlignment="1" applyBorder="1" applyFont="1">
      <alignment readingOrder="0" shrinkToFit="0" wrapText="1"/>
    </xf>
    <xf borderId="13" fillId="18" fontId="100" numFmtId="0" xfId="0" applyAlignment="1" applyBorder="1" applyFont="1">
      <alignment readingOrder="0" shrinkToFit="0" vertical="center" wrapText="1"/>
    </xf>
    <xf borderId="13" fillId="18" fontId="100" numFmtId="0" xfId="0" applyAlignment="1" applyBorder="1" applyFont="1">
      <alignment shrinkToFit="0" vertical="center" wrapText="1"/>
    </xf>
    <xf borderId="13" fillId="18" fontId="3" numFmtId="0" xfId="0" applyAlignment="1" applyBorder="1" applyFont="1">
      <alignment shrinkToFit="0" vertical="center" wrapText="1"/>
    </xf>
    <xf borderId="13" fillId="18" fontId="3" numFmtId="0" xfId="0" applyBorder="1" applyFont="1"/>
    <xf borderId="13" fillId="18" fontId="11" numFmtId="0" xfId="0" applyAlignment="1" applyBorder="1" applyFont="1">
      <alignment horizontal="left" readingOrder="0" shrinkToFit="0" wrapText="1"/>
    </xf>
    <xf borderId="13" fillId="0" fontId="95" numFmtId="0" xfId="0" applyAlignment="1" applyBorder="1" applyFont="1">
      <alignment readingOrder="0" vertical="center"/>
    </xf>
    <xf borderId="13" fillId="0" fontId="89" numFmtId="0" xfId="0" applyAlignment="1" applyBorder="1" applyFont="1">
      <alignment readingOrder="0" vertical="center"/>
    </xf>
    <xf borderId="13" fillId="18" fontId="89" numFmtId="0" xfId="0" applyAlignment="1" applyBorder="1" applyFont="1">
      <alignment readingOrder="0" vertical="center"/>
    </xf>
    <xf borderId="13" fillId="0" fontId="100" numFmtId="0" xfId="0" applyAlignment="1" applyBorder="1" applyFont="1">
      <alignment readingOrder="0" shrinkToFit="0" vertical="center" wrapText="1"/>
    </xf>
    <xf borderId="0" fillId="18" fontId="74" numFmtId="0" xfId="0" applyAlignment="1" applyFont="1">
      <alignment horizontal="left" readingOrder="0"/>
    </xf>
    <xf borderId="13" fillId="0" fontId="95" numFmtId="0" xfId="0" applyAlignment="1" applyBorder="1" applyFont="1">
      <alignment horizontal="left" readingOrder="0"/>
    </xf>
    <xf borderId="13" fillId="18" fontId="95" numFmtId="0" xfId="0" applyAlignment="1" applyBorder="1" applyFont="1">
      <alignment readingOrder="0" vertical="center"/>
    </xf>
    <xf borderId="13" fillId="18" fontId="101" numFmtId="0" xfId="0" applyAlignment="1" applyBorder="1" applyFont="1">
      <alignment readingOrder="0" vertical="center"/>
    </xf>
    <xf borderId="13" fillId="0" fontId="11" numFmtId="9" xfId="0" applyAlignment="1" applyBorder="1" applyFont="1" applyNumberFormat="1">
      <alignment horizontal="center" readingOrder="0" vertical="center"/>
    </xf>
    <xf borderId="0" fillId="6" fontId="102" numFmtId="0" xfId="0" applyAlignment="1" applyFont="1">
      <alignment horizontal="center" shrinkToFit="0" vertical="center" wrapText="1"/>
    </xf>
    <xf borderId="13" fillId="18" fontId="57" numFmtId="0" xfId="0" applyAlignment="1" applyBorder="1" applyFont="1">
      <alignment readingOrder="0" shrinkToFit="0" vertical="center" wrapText="1"/>
    </xf>
    <xf borderId="13" fillId="0" fontId="95" numFmtId="0" xfId="0" applyAlignment="1" applyBorder="1" applyFont="1">
      <alignment readingOrder="0" shrinkToFit="0" vertical="center" wrapText="1"/>
    </xf>
    <xf borderId="13" fillId="6" fontId="95" numFmtId="0" xfId="0" applyAlignment="1" applyBorder="1" applyFont="1">
      <alignment readingOrder="0" vertical="center"/>
    </xf>
    <xf borderId="13" fillId="6" fontId="76" numFmtId="0" xfId="0" applyAlignment="1" applyBorder="1" applyFont="1">
      <alignment horizontal="left" readingOrder="0" vertical="center"/>
    </xf>
    <xf borderId="13" fillId="18" fontId="95" numFmtId="0" xfId="0" applyAlignment="1" applyBorder="1" applyFont="1">
      <alignment readingOrder="0" shrinkToFit="0" vertical="center" wrapText="1"/>
    </xf>
    <xf borderId="0" fillId="6" fontId="9" numFmtId="168" xfId="0" applyAlignment="1" applyFont="1" applyNumberFormat="1">
      <alignment horizontal="center" shrinkToFit="0" vertical="center" wrapText="1"/>
    </xf>
    <xf borderId="0" fillId="13" fontId="57" numFmtId="0" xfId="0" applyAlignment="1" applyFont="1">
      <alignment readingOrder="0" shrinkToFit="0" wrapText="1"/>
    </xf>
    <xf borderId="0" fillId="13" fontId="57" numFmtId="0" xfId="0" applyAlignment="1" applyFont="1">
      <alignment horizontal="left" readingOrder="0" shrinkToFit="0" vertical="center" wrapText="1"/>
    </xf>
    <xf borderId="13" fillId="0" fontId="74" numFmtId="0" xfId="0" applyAlignment="1" applyBorder="1" applyFont="1">
      <alignment horizontal="left" readingOrder="0" vertical="center"/>
    </xf>
    <xf borderId="13" fillId="0" fontId="83" numFmtId="0" xfId="0" applyAlignment="1" applyBorder="1" applyFont="1">
      <alignment horizontal="left" readingOrder="0" vertical="center"/>
    </xf>
    <xf borderId="13" fillId="0" fontId="6" numFmtId="0" xfId="0" applyAlignment="1" applyBorder="1" applyFont="1">
      <alignment horizontal="left" readingOrder="0" shrinkToFit="0" vertical="center" wrapText="1"/>
    </xf>
    <xf borderId="13" fillId="0" fontId="6" numFmtId="0" xfId="0" applyAlignment="1" applyBorder="1" applyFont="1">
      <alignment horizontal="left" readingOrder="0" shrinkToFit="0" vertical="center" wrapText="1"/>
    </xf>
    <xf borderId="13" fillId="6" fontId="11" numFmtId="0" xfId="0" applyAlignment="1" applyBorder="1" applyFont="1">
      <alignment horizontal="center" readingOrder="0" vertical="center"/>
    </xf>
    <xf borderId="13" fillId="6" fontId="11" numFmtId="0" xfId="0" applyAlignment="1" applyBorder="1" applyFont="1">
      <alignment shrinkToFit="0" vertical="center" wrapText="1"/>
    </xf>
    <xf borderId="13" fillId="6" fontId="11" numFmtId="0" xfId="0" applyBorder="1" applyFont="1"/>
    <xf borderId="13" fillId="0" fontId="74" numFmtId="0" xfId="0" applyAlignment="1" applyBorder="1" applyFont="1">
      <alignment horizontal="left" readingOrder="0" vertical="center"/>
    </xf>
    <xf borderId="0" fillId="6" fontId="57" numFmtId="0" xfId="0" applyAlignment="1" applyFont="1">
      <alignment horizontal="center" readingOrder="0" shrinkToFit="0" vertical="center" wrapText="1"/>
    </xf>
    <xf borderId="13" fillId="0" fontId="6" numFmtId="0" xfId="0" applyAlignment="1" applyBorder="1" applyFont="1">
      <alignment horizontal="left" readingOrder="0" shrinkToFit="0" vertical="center" wrapText="1"/>
    </xf>
    <xf borderId="13" fillId="18" fontId="6" numFmtId="0" xfId="0" applyAlignment="1" applyBorder="1" applyFont="1">
      <alignment horizontal="left" readingOrder="0" shrinkToFit="0" vertical="center" wrapText="1"/>
    </xf>
    <xf borderId="13" fillId="18" fontId="74" numFmtId="0" xfId="0" applyAlignment="1" applyBorder="1" applyFont="1">
      <alignment horizontal="left" readingOrder="0" vertical="center"/>
    </xf>
    <xf borderId="0" fillId="13" fontId="57" numFmtId="0" xfId="0" applyAlignment="1" applyFont="1">
      <alignment horizontal="center" readingOrder="0" shrinkToFit="0" vertical="center" wrapText="1"/>
    </xf>
    <xf borderId="13" fillId="18" fontId="6" numFmtId="0" xfId="0" applyAlignment="1" applyBorder="1" applyFont="1">
      <alignment horizontal="left" readingOrder="0" shrinkToFit="0" vertical="center" wrapText="1"/>
    </xf>
    <xf borderId="0" fillId="13" fontId="55" numFmtId="0" xfId="0" applyAlignment="1" applyFont="1">
      <alignment horizontal="center" shrinkToFit="0" vertical="center" wrapText="1"/>
    </xf>
    <xf borderId="8" fillId="18" fontId="6" numFmtId="0" xfId="0" applyAlignment="1" applyBorder="1" applyFont="1">
      <alignment horizontal="left" readingOrder="0" shrinkToFit="0" vertical="center" wrapText="1"/>
    </xf>
    <xf borderId="8" fillId="18" fontId="9" numFmtId="0" xfId="0" applyAlignment="1" applyBorder="1" applyFont="1">
      <alignment horizontal="center"/>
    </xf>
    <xf borderId="8" fillId="18" fontId="9" numFmtId="0" xfId="0" applyAlignment="1" applyBorder="1" applyFont="1">
      <alignment readingOrder="0" shrinkToFit="0" wrapText="1"/>
    </xf>
    <xf borderId="8" fillId="18" fontId="9" numFmtId="0" xfId="0" applyBorder="1" applyFont="1"/>
    <xf borderId="8" fillId="18" fontId="9" numFmtId="0" xfId="0" applyAlignment="1" applyBorder="1" applyFont="1">
      <alignment vertical="bottom"/>
    </xf>
    <xf borderId="0" fillId="6" fontId="55" numFmtId="0" xfId="0" applyAlignment="1" applyFont="1">
      <alignment horizontal="center" shrinkToFit="0" vertical="center" wrapText="1"/>
    </xf>
    <xf borderId="13" fillId="6" fontId="103" numFmtId="0" xfId="0" applyAlignment="1" applyBorder="1" applyFont="1">
      <alignment horizontal="left" readingOrder="0" shrinkToFit="0" vertical="center" wrapText="1"/>
    </xf>
    <xf borderId="13" fillId="18" fontId="103" numFmtId="0" xfId="0" applyAlignment="1" applyBorder="1" applyFont="1">
      <alignment horizontal="left" readingOrder="0" vertical="center"/>
    </xf>
    <xf borderId="13" fillId="18" fontId="6" numFmtId="0" xfId="0" applyAlignment="1" applyBorder="1" applyFont="1">
      <alignment horizontal="center" readingOrder="0" vertical="center"/>
    </xf>
    <xf borderId="13" fillId="18" fontId="6" numFmtId="0" xfId="0" applyAlignment="1" applyBorder="1" applyFont="1">
      <alignment readingOrder="0" shrinkToFit="0" vertical="center" wrapText="1"/>
    </xf>
    <xf borderId="13" fillId="18" fontId="6" numFmtId="0" xfId="0" applyAlignment="1" applyBorder="1" applyFont="1">
      <alignment shrinkToFit="0" vertical="center" wrapText="1"/>
    </xf>
    <xf borderId="13" fillId="18" fontId="6" numFmtId="0" xfId="0" applyBorder="1" applyFont="1"/>
    <xf borderId="13" fillId="18" fontId="104" numFmtId="0" xfId="0" applyAlignment="1" applyBorder="1" applyFont="1">
      <alignment horizontal="left" readingOrder="0" vertical="center"/>
    </xf>
    <xf borderId="13" fillId="18" fontId="105" numFmtId="0" xfId="0" applyAlignment="1" applyBorder="1" applyFont="1">
      <alignment horizontal="left" readingOrder="0" shrinkToFit="0" vertical="center" wrapText="1"/>
    </xf>
    <xf borderId="13" fillId="18" fontId="89" numFmtId="0" xfId="0" applyAlignment="1" applyBorder="1" applyFont="1">
      <alignment horizontal="left" readingOrder="0" vertical="center"/>
    </xf>
    <xf borderId="13" fillId="18" fontId="3" numFmtId="0" xfId="0" applyAlignment="1" applyBorder="1" applyFont="1">
      <alignment readingOrder="0" shrinkToFit="0" vertical="center" wrapText="1"/>
    </xf>
    <xf borderId="13" fillId="18" fontId="0" numFmtId="0" xfId="0" applyAlignment="1" applyBorder="1" applyFont="1">
      <alignment horizontal="left" readingOrder="0" shrinkToFit="0" vertical="center" wrapText="1"/>
    </xf>
    <xf borderId="13" fillId="6" fontId="105" numFmtId="0" xfId="0" applyAlignment="1" applyBorder="1" applyFont="1">
      <alignment readingOrder="0" shrinkToFit="0" wrapText="1"/>
    </xf>
    <xf borderId="13" fillId="18" fontId="6" numFmtId="0" xfId="0" applyAlignment="1" applyBorder="1" applyFont="1">
      <alignment horizontal="left" readingOrder="0" shrinkToFit="0" vertical="center" wrapText="1"/>
    </xf>
    <xf borderId="13" fillId="6" fontId="89" numFmtId="0" xfId="0" applyAlignment="1" applyBorder="1" applyFont="1">
      <alignment horizontal="left" readingOrder="0" vertical="center"/>
    </xf>
    <xf borderId="13" fillId="6" fontId="6" numFmtId="0" xfId="0" applyAlignment="1" applyBorder="1" applyFont="1">
      <alignment horizontal="left" readingOrder="0" shrinkToFit="0" vertical="center" wrapText="1"/>
    </xf>
    <xf borderId="13" fillId="6" fontId="11" numFmtId="0" xfId="0" applyAlignment="1" applyBorder="1" applyFont="1">
      <alignment readingOrder="0" shrinkToFit="0" vertical="center" wrapText="1"/>
    </xf>
    <xf borderId="13" fillId="6" fontId="11" numFmtId="0" xfId="0" applyAlignment="1" applyBorder="1" applyFont="1">
      <alignment horizontal="center" vertical="center"/>
    </xf>
    <xf borderId="13" fillId="6" fontId="57" numFmtId="0" xfId="0" applyAlignment="1" applyBorder="1" applyFont="1">
      <alignment readingOrder="0" shrinkToFit="0" vertical="center" wrapText="1"/>
    </xf>
    <xf borderId="13" fillId="18" fontId="106" numFmtId="0" xfId="0" applyAlignment="1" applyBorder="1" applyFont="1">
      <alignment horizontal="left" readingOrder="0" vertical="center"/>
    </xf>
    <xf borderId="13" fillId="0" fontId="106" numFmtId="0" xfId="0" applyAlignment="1" applyBorder="1" applyFont="1">
      <alignment horizontal="left" readingOrder="0" vertical="center"/>
    </xf>
    <xf borderId="22" fillId="0" fontId="11" numFmtId="0" xfId="0" applyAlignment="1" applyBorder="1" applyFont="1">
      <alignment readingOrder="0" shrinkToFit="0" vertical="center" wrapText="1"/>
    </xf>
    <xf borderId="22" fillId="18" fontId="11" numFmtId="0" xfId="0" applyAlignment="1" applyBorder="1" applyFont="1">
      <alignment readingOrder="0" shrinkToFit="0" vertical="center" wrapText="1"/>
    </xf>
    <xf borderId="21" fillId="0" fontId="11" numFmtId="0" xfId="0" applyBorder="1" applyFont="1"/>
    <xf borderId="0" fillId="18" fontId="107" numFmtId="0" xfId="0" applyAlignment="1" applyFont="1">
      <alignment readingOrder="0" vertical="center"/>
    </xf>
    <xf borderId="0" fillId="6" fontId="31" numFmtId="0" xfId="0" applyAlignment="1" applyFont="1">
      <alignment horizontal="left" readingOrder="0" shrinkToFit="0" vertical="top" wrapText="1"/>
    </xf>
    <xf borderId="0" fillId="6" fontId="31" numFmtId="0" xfId="0" applyAlignment="1" applyFont="1">
      <alignment horizontal="left" readingOrder="0"/>
    </xf>
    <xf borderId="9" fillId="0" fontId="11" numFmtId="0" xfId="0" applyAlignment="1" applyBorder="1" applyFont="1">
      <alignment readingOrder="0" shrinkToFit="0" wrapText="1"/>
    </xf>
    <xf borderId="8" fillId="0" fontId="11" numFmtId="0" xfId="0" applyBorder="1" applyFont="1"/>
    <xf borderId="0" fillId="0" fontId="108" numFmtId="0" xfId="0" applyAlignment="1" applyFont="1">
      <alignment readingOrder="0" shrinkToFit="0" textRotation="0" vertical="top" wrapText="1"/>
    </xf>
    <xf borderId="13" fillId="0" fontId="11" numFmtId="0" xfId="0" applyAlignment="1" applyBorder="1" applyFont="1">
      <alignment readingOrder="0" vertical="center"/>
    </xf>
    <xf borderId="13" fillId="0" fontId="11" numFmtId="0" xfId="0" applyAlignment="1" applyBorder="1" applyFont="1">
      <alignment readingOrder="0" shrinkToFit="0" vertical="top" wrapText="1"/>
    </xf>
    <xf borderId="13" fillId="18" fontId="11" numFmtId="0" xfId="0" applyAlignment="1" applyBorder="1" applyFont="1">
      <alignment readingOrder="0" vertical="center"/>
    </xf>
    <xf borderId="0" fillId="6" fontId="109" numFmtId="0" xfId="0" applyAlignment="1" applyFont="1">
      <alignment horizontal="center" readingOrder="0" shrinkToFit="0" vertical="center" wrapText="1"/>
    </xf>
    <xf borderId="13" fillId="18" fontId="11" numFmtId="0" xfId="0" applyAlignment="1" applyBorder="1" applyFont="1">
      <alignment readingOrder="0" shrinkToFit="0" wrapText="0"/>
    </xf>
    <xf borderId="13" fillId="18" fontId="11" numFmtId="0" xfId="0" applyAlignment="1" applyBorder="1" applyFont="1">
      <alignment readingOrder="0" vertical="center"/>
    </xf>
    <xf borderId="13" fillId="0" fontId="11" numFmtId="0" xfId="0" applyAlignment="1" applyBorder="1" applyFont="1">
      <alignment shrinkToFit="0" wrapText="1"/>
    </xf>
    <xf borderId="13" fillId="18" fontId="11" numFmtId="0" xfId="0" applyAlignment="1" applyBorder="1" applyFont="1">
      <alignment vertical="center"/>
    </xf>
    <xf borderId="13" fillId="18" fontId="11" numFmtId="0" xfId="0" applyAlignment="1" applyBorder="1" applyFont="1">
      <alignment shrinkToFit="0" wrapText="1"/>
    </xf>
    <xf borderId="13" fillId="0" fontId="89" numFmtId="0" xfId="0" applyAlignment="1" applyBorder="1" applyFont="1">
      <alignment horizontal="left" readingOrder="0" shrinkToFit="0" vertical="center" wrapText="1"/>
    </xf>
    <xf borderId="0" fillId="6" fontId="110" numFmtId="0" xfId="0" applyAlignment="1" applyFont="1">
      <alignment horizontal="center" readingOrder="0" shrinkToFit="0" vertical="center" wrapText="1"/>
    </xf>
    <xf borderId="9" fillId="18" fontId="57" numFmtId="0" xfId="0" applyAlignment="1" applyBorder="1" applyFont="1">
      <alignment horizontal="left" readingOrder="0" shrinkToFit="0" wrapText="1"/>
    </xf>
    <xf borderId="8" fillId="18" fontId="57" numFmtId="0" xfId="0" applyAlignment="1" applyBorder="1" applyFont="1">
      <alignment horizontal="left" readingOrder="0" shrinkToFit="0" wrapText="1"/>
    </xf>
    <xf borderId="0" fillId="6" fontId="7" numFmtId="0" xfId="0" applyAlignment="1" applyFont="1">
      <alignment horizontal="center" vertical="center"/>
    </xf>
    <xf borderId="0" fillId="6" fontId="11" numFmtId="0" xfId="0" applyAlignment="1" applyFont="1">
      <alignment horizontal="center" readingOrder="0" shrinkToFit="0" vertical="top" wrapText="1"/>
    </xf>
    <xf borderId="0" fillId="0" fontId="111" numFmtId="0" xfId="0" applyAlignment="1" applyFont="1">
      <alignment horizontal="left" readingOrder="0" shrinkToFit="0" vertical="bottom" wrapText="0"/>
    </xf>
    <xf borderId="0" fillId="0" fontId="112" numFmtId="0" xfId="0" applyAlignment="1" applyFont="1">
      <alignment readingOrder="0" shrinkToFit="0" vertical="bottom" wrapText="0"/>
    </xf>
    <xf borderId="0" fillId="6" fontId="9" numFmtId="0" xfId="0" applyAlignment="1" applyFont="1">
      <alignment horizontal="center" shrinkToFit="0" vertical="center" wrapText="1"/>
    </xf>
    <xf borderId="0" fillId="6" fontId="81" numFmtId="0" xfId="0" applyAlignment="1" applyFont="1">
      <alignment readingOrder="0" shrinkToFit="0" wrapText="1"/>
    </xf>
    <xf borderId="21" fillId="18" fontId="9" numFmtId="0" xfId="0" applyAlignment="1" applyBorder="1" applyFont="1">
      <alignment readingOrder="0" shrinkToFit="0" vertical="bottom" wrapText="1"/>
    </xf>
    <xf borderId="0" fillId="13" fontId="113" numFmtId="0" xfId="0" applyAlignment="1" applyFont="1">
      <alignment horizontal="center" shrinkToFit="0" vertical="center" wrapText="1"/>
    </xf>
    <xf borderId="13" fillId="0" fontId="114" numFmtId="0" xfId="0" applyAlignment="1" applyBorder="1" applyFont="1">
      <alignment readingOrder="0"/>
    </xf>
    <xf borderId="0" fillId="6" fontId="113" numFmtId="0" xfId="0" applyAlignment="1" applyFont="1">
      <alignment horizontal="center" shrinkToFit="0" vertical="center" wrapText="1"/>
    </xf>
    <xf borderId="0" fillId="6" fontId="115" numFmtId="0" xfId="0" applyAlignment="1" applyFont="1">
      <alignment horizontal="left" readingOrder="0" shrinkToFit="0" wrapText="1"/>
    </xf>
    <xf borderId="0" fillId="6" fontId="116" numFmtId="0" xfId="0" applyAlignment="1" applyFont="1">
      <alignment horizontal="center" shrinkToFit="0" vertical="center" wrapText="1"/>
    </xf>
    <xf borderId="0" fillId="13" fontId="7" numFmtId="0" xfId="0" applyAlignment="1" applyFont="1">
      <alignment horizontal="center" shrinkToFit="0" vertical="center" wrapText="1"/>
    </xf>
    <xf borderId="0" fillId="13" fontId="7" numFmtId="165" xfId="0" applyAlignment="1" applyFont="1" applyNumberFormat="1">
      <alignment horizontal="center" shrinkToFit="0" vertical="center" wrapText="1"/>
    </xf>
    <xf borderId="0" fillId="6" fontId="108" numFmtId="0" xfId="0" applyAlignment="1" applyFont="1">
      <alignment horizontal="center" readingOrder="0" shrinkToFit="0" vertical="center" wrapText="1"/>
    </xf>
    <xf borderId="0" fillId="13" fontId="108" numFmtId="0" xfId="0" applyAlignment="1" applyFont="1">
      <alignment horizontal="center" readingOrder="0" shrinkToFit="0" vertical="center" wrapText="1"/>
    </xf>
    <xf borderId="0" fillId="13" fontId="7" numFmtId="0" xfId="0" applyAlignment="1" applyFont="1">
      <alignment horizontal="center" shrinkToFit="0" vertical="center" wrapText="1"/>
    </xf>
    <xf borderId="0" fillId="13" fontId="9" numFmtId="0" xfId="0" applyAlignment="1" applyFont="1">
      <alignment horizontal="center" shrinkToFit="0" textRotation="0" vertical="center" wrapText="1"/>
    </xf>
    <xf borderId="0" fillId="6" fontId="117" numFmtId="0" xfId="0" applyAlignment="1" applyFont="1">
      <alignment readingOrder="0" shrinkToFit="0" wrapText="1"/>
    </xf>
    <xf borderId="0" fillId="13" fontId="118" numFmtId="0" xfId="0" applyAlignment="1" applyFont="1">
      <alignment horizontal="center" vertical="center"/>
    </xf>
    <xf borderId="0" fillId="6" fontId="119" numFmtId="0" xfId="0" applyAlignment="1" applyFont="1">
      <alignment horizontal="center" readingOrder="0" shrinkToFit="0" vertical="center" wrapText="1"/>
    </xf>
    <xf borderId="15" fillId="6" fontId="9" numFmtId="0" xfId="0" applyAlignment="1" applyBorder="1" applyFont="1">
      <alignment readingOrder="0" shrinkToFit="0" vertical="top" wrapText="1"/>
    </xf>
    <xf borderId="0" fillId="6" fontId="9" numFmtId="165" xfId="0" applyAlignment="1" applyFont="1" applyNumberFormat="1">
      <alignment horizontal="center" vertical="center"/>
    </xf>
    <xf borderId="0" fillId="6" fontId="31" numFmtId="0" xfId="0" applyAlignment="1" applyFont="1">
      <alignment horizontal="center" shrinkToFit="0" vertical="center" wrapText="1"/>
    </xf>
    <xf borderId="0" fillId="13" fontId="9" numFmtId="165" xfId="0" applyAlignment="1" applyFont="1" applyNumberFormat="1">
      <alignment horizontal="center" vertical="center"/>
    </xf>
    <xf borderId="0" fillId="13" fontId="31" numFmtId="0" xfId="0" applyAlignment="1" applyFont="1">
      <alignment horizontal="center" shrinkToFit="0" vertical="center" wrapText="1"/>
    </xf>
    <xf borderId="0" fillId="13" fontId="9" numFmtId="0" xfId="0" applyAlignment="1" applyFont="1">
      <alignment horizontal="center" shrinkToFit="0" vertical="center" wrapText="1"/>
    </xf>
    <xf borderId="0" fillId="6" fontId="9" numFmtId="165" xfId="0" applyAlignment="1" applyFont="1" applyNumberFormat="1">
      <alignment horizontal="center" shrinkToFit="0" vertical="center" wrapText="1"/>
    </xf>
    <xf borderId="0" fillId="13" fontId="9" numFmtId="165" xfId="0" applyAlignment="1" applyFont="1" applyNumberFormat="1">
      <alignment horizontal="center" shrinkToFit="0" vertical="center" wrapText="1"/>
    </xf>
    <xf borderId="9" fillId="3" fontId="120" numFmtId="0" xfId="0" applyAlignment="1" applyBorder="1" applyFont="1">
      <alignment horizontal="center" readingOrder="0" shrinkToFit="0" vertical="bottom" wrapText="0"/>
    </xf>
    <xf borderId="7" fillId="0" fontId="11" numFmtId="0" xfId="0" applyBorder="1" applyFont="1"/>
    <xf borderId="14" fillId="0" fontId="98" numFmtId="0" xfId="0" applyAlignment="1" applyBorder="1" applyFont="1">
      <alignment readingOrder="0" vertical="bottom"/>
    </xf>
    <xf borderId="6" fillId="0" fontId="11" numFmtId="0" xfId="0" applyBorder="1" applyFont="1"/>
    <xf borderId="0" fillId="6" fontId="121" numFmtId="0" xfId="0" applyAlignment="1" applyFont="1">
      <alignment readingOrder="0"/>
    </xf>
    <xf borderId="15" fillId="0" fontId="11" numFmtId="0" xfId="0" applyBorder="1" applyFont="1"/>
    <xf borderId="14" fillId="0" fontId="98" numFmtId="0" xfId="0" applyAlignment="1" applyBorder="1" applyFont="1">
      <alignment vertical="bottom"/>
    </xf>
    <xf borderId="6" fillId="23" fontId="122" numFmtId="0" xfId="0" applyAlignment="1" applyBorder="1" applyFill="1" applyFont="1">
      <alignment horizontal="center" shrinkToFit="0" vertical="center" wrapText="1"/>
    </xf>
    <xf borderId="0" fillId="24" fontId="15" numFmtId="0" xfId="0" applyAlignment="1" applyFill="1" applyFont="1">
      <alignment horizontal="center" vertical="bottom"/>
    </xf>
    <xf borderId="0" fillId="23" fontId="123" numFmtId="0" xfId="0" applyAlignment="1" applyFont="1">
      <alignment horizontal="center"/>
    </xf>
    <xf borderId="0" fillId="24" fontId="15" numFmtId="0" xfId="0" applyAlignment="1" applyFont="1">
      <alignment vertical="bottom"/>
    </xf>
    <xf borderId="0" fillId="23" fontId="123" numFmtId="0" xfId="0" applyAlignment="1" applyFont="1">
      <alignment vertical="bottom"/>
    </xf>
    <xf borderId="0" fillId="5" fontId="122" numFmtId="0" xfId="0" applyAlignment="1" applyFont="1">
      <alignment horizontal="center" shrinkToFit="0" wrapText="1"/>
    </xf>
    <xf borderId="0" fillId="5" fontId="122" numFmtId="0" xfId="0" applyAlignment="1" applyFont="1">
      <alignment horizontal="center" readingOrder="0"/>
    </xf>
    <xf borderId="0" fillId="5" fontId="122" numFmtId="0" xfId="0" applyAlignment="1" applyFont="1">
      <alignment horizontal="center" readingOrder="0" shrinkToFit="0" wrapText="1"/>
    </xf>
    <xf borderId="0" fillId="24" fontId="15" numFmtId="0" xfId="0" applyAlignment="1" applyFont="1">
      <alignment horizontal="center"/>
    </xf>
    <xf borderId="0" fillId="5" fontId="122" numFmtId="10" xfId="0" applyAlignment="1" applyFont="1" applyNumberFormat="1">
      <alignment horizontal="center" shrinkToFit="0" wrapText="1"/>
    </xf>
    <xf borderId="0" fillId="5" fontId="122" numFmtId="0" xfId="0" applyAlignment="1" applyFont="1">
      <alignment horizontal="center" shrinkToFit="0" wrapText="1"/>
    </xf>
    <xf borderId="0" fillId="24" fontId="15" numFmtId="0" xfId="0" applyFont="1"/>
    <xf borderId="0" fillId="24" fontId="124" numFmtId="0" xfId="0" applyAlignment="1" applyFont="1">
      <alignment horizontal="center" readingOrder="0"/>
    </xf>
    <xf borderId="0" fillId="24" fontId="55" numFmtId="0" xfId="0" applyAlignment="1" applyFont="1">
      <alignment horizontal="center" readingOrder="0"/>
    </xf>
    <xf borderId="0" fillId="24" fontId="11" numFmtId="0" xfId="0" applyFont="1"/>
    <xf borderId="0" fillId="24" fontId="124" numFmtId="0" xfId="0" applyAlignment="1" applyFont="1">
      <alignment horizontal="center"/>
    </xf>
    <xf borderId="0" fillId="24" fontId="124" numFmtId="2" xfId="0" applyAlignment="1" applyFont="1" applyNumberFormat="1">
      <alignment horizontal="center" readingOrder="0"/>
    </xf>
    <xf borderId="0" fillId="24" fontId="125" numFmtId="10" xfId="0" applyAlignment="1" applyFont="1" applyNumberFormat="1">
      <alignment horizontal="center"/>
    </xf>
    <xf borderId="0" fillId="24" fontId="124" numFmtId="0" xfId="0" applyFont="1"/>
    <xf borderId="0" fillId="24" fontId="124" numFmtId="0" xfId="0" applyAlignment="1" applyFont="1">
      <alignment readingOrder="0"/>
    </xf>
    <xf borderId="0" fillId="24" fontId="124" numFmtId="0" xfId="0" applyAlignment="1" applyFont="1">
      <alignment horizontal="center" readingOrder="0" vertical="bottom"/>
    </xf>
    <xf borderId="0" fillId="24" fontId="124" numFmtId="1" xfId="0" applyAlignment="1" applyFont="1" applyNumberFormat="1">
      <alignment horizontal="center" readingOrder="0"/>
    </xf>
    <xf borderId="0" fillId="0" fontId="15" numFmtId="0" xfId="0" applyAlignment="1" applyFont="1">
      <alignment horizontal="center" readingOrder="0"/>
    </xf>
    <xf borderId="0" fillId="0" fontId="15" numFmtId="0" xfId="0" applyAlignment="1" applyFont="1">
      <alignment horizontal="center" readingOrder="0" vertical="bottom"/>
    </xf>
    <xf borderId="0" fillId="25" fontId="15" numFmtId="0" xfId="0" applyAlignment="1" applyFill="1" applyFont="1">
      <alignment horizontal="center" readingOrder="0"/>
    </xf>
    <xf borderId="0" fillId="26" fontId="15" numFmtId="0" xfId="0" applyAlignment="1" applyFill="1" applyFont="1">
      <alignment horizontal="center" readingOrder="0"/>
    </xf>
    <xf borderId="0" fillId="27" fontId="15" numFmtId="0" xfId="0" applyAlignment="1" applyFill="1" applyFont="1">
      <alignment horizontal="center" readingOrder="0"/>
    </xf>
    <xf borderId="0" fillId="6" fontId="37" numFmtId="10" xfId="0" applyAlignment="1" applyFont="1" applyNumberFormat="1">
      <alignment horizontal="center"/>
    </xf>
    <xf borderId="0" fillId="0" fontId="15" numFmtId="0" xfId="0" applyAlignment="1" applyFont="1">
      <alignment horizontal="center"/>
    </xf>
    <xf borderId="0" fillId="28" fontId="15" numFmtId="0" xfId="0" applyAlignment="1" applyFill="1" applyFont="1">
      <alignment horizontal="center" readingOrder="0" vertical="bottom"/>
    </xf>
    <xf borderId="0" fillId="0" fontId="15" numFmtId="0" xfId="0" applyAlignment="1" applyFont="1">
      <alignment horizontal="center"/>
    </xf>
    <xf borderId="0" fillId="0" fontId="67" numFmtId="0" xfId="0" applyAlignment="1" applyFont="1">
      <alignment horizontal="center" readingOrder="0"/>
    </xf>
    <xf borderId="0" fillId="0" fontId="14" numFmtId="0" xfId="0" applyAlignment="1" applyFont="1">
      <alignment horizontal="center" readingOrder="0"/>
    </xf>
    <xf borderId="0" fillId="0" fontId="15" numFmtId="165" xfId="0" applyAlignment="1" applyFont="1" applyNumberFormat="1">
      <alignment horizontal="center" readingOrder="0"/>
    </xf>
    <xf borderId="0" fillId="29" fontId="15" numFmtId="0" xfId="0" applyAlignment="1" applyFill="1" applyFont="1">
      <alignment horizontal="center" readingOrder="0"/>
    </xf>
    <xf borderId="0" fillId="0" fontId="15" numFmtId="10" xfId="0" applyAlignment="1" applyFont="1" applyNumberFormat="1">
      <alignment horizontal="center"/>
    </xf>
    <xf borderId="0" fillId="0" fontId="34" numFmtId="0" xfId="0" applyAlignment="1" applyFont="1">
      <alignment horizontal="center" readingOrder="0" shrinkToFit="0" wrapText="1"/>
    </xf>
    <xf borderId="0" fillId="0" fontId="15" numFmtId="0" xfId="0" applyFont="1"/>
    <xf borderId="0" fillId="0" fontId="15" numFmtId="165" xfId="0" applyAlignment="1" applyFont="1" applyNumberFormat="1">
      <alignment horizontal="center"/>
    </xf>
    <xf borderId="0" fillId="13" fontId="126" numFmtId="0" xfId="0" applyAlignment="1" applyFont="1">
      <alignment horizontal="center" shrinkToFit="0" vertical="center" wrapText="1"/>
    </xf>
    <xf borderId="0" fillId="0" fontId="33" numFmtId="0" xfId="0" applyAlignment="1" applyFont="1">
      <alignment horizontal="center" readingOrder="0"/>
    </xf>
    <xf borderId="0" fillId="26" fontId="15" numFmtId="0" xfId="0" applyAlignment="1" applyFont="1">
      <alignment horizontal="center" vertical="bottom"/>
    </xf>
    <xf borderId="0" fillId="0" fontId="15" numFmtId="0" xfId="0" applyAlignment="1" applyFont="1">
      <alignment horizontal="center" readingOrder="0" vertical="center"/>
    </xf>
    <xf borderId="0" fillId="0" fontId="127" numFmtId="0" xfId="0" applyAlignment="1" applyFont="1">
      <alignment horizontal="center" readingOrder="0"/>
    </xf>
    <xf borderId="0" fillId="0" fontId="82" numFmtId="0" xfId="0" applyAlignment="1" applyFont="1">
      <alignment horizontal="center" readingOrder="0"/>
    </xf>
    <xf borderId="0" fillId="13" fontId="128" numFmtId="0" xfId="0" applyAlignment="1" applyFont="1">
      <alignment horizontal="center" readingOrder="0" shrinkToFit="0" vertical="center" wrapText="1"/>
    </xf>
    <xf borderId="0" fillId="13" fontId="129" numFmtId="0" xfId="0" applyAlignment="1" applyFont="1">
      <alignment horizontal="center" readingOrder="0" shrinkToFit="0" vertical="center" wrapText="1"/>
    </xf>
    <xf borderId="0" fillId="6" fontId="129" numFmtId="0" xfId="0" applyAlignment="1" applyFont="1">
      <alignment horizontal="center" readingOrder="0" shrinkToFit="0" vertical="center" wrapText="1"/>
    </xf>
    <xf borderId="0" fillId="13" fontId="31" numFmtId="0" xfId="0" applyAlignment="1" applyFont="1">
      <alignment horizontal="center" readingOrder="0" shrinkToFit="0" vertical="center" wrapText="1"/>
    </xf>
    <xf borderId="0" fillId="0" fontId="33" numFmtId="0" xfId="0" applyAlignment="1" applyFont="1">
      <alignment horizontal="center" readingOrder="0" shrinkToFit="0" wrapText="1"/>
    </xf>
    <xf borderId="0" fillId="0" fontId="127" numFmtId="0" xfId="0" applyAlignment="1" applyFont="1">
      <alignment horizontal="center" readingOrder="0" shrinkToFit="0" wrapText="1"/>
    </xf>
    <xf borderId="0" fillId="6" fontId="37" numFmtId="0" xfId="0" applyAlignment="1" applyFont="1">
      <alignment horizontal="center" readingOrder="0"/>
    </xf>
    <xf borderId="0" fillId="0" fontId="127" numFmtId="0" xfId="0" applyAlignment="1" applyFont="1">
      <alignment horizontal="center" shrinkToFit="0" wrapText="1"/>
    </xf>
    <xf borderId="0" fillId="0" fontId="15" numFmtId="0" xfId="0" applyAlignment="1" applyFont="1">
      <alignment horizontal="center" readingOrder="0" shrinkToFit="0" wrapText="0"/>
    </xf>
    <xf borderId="0" fillId="0" fontId="15" numFmtId="1" xfId="0" applyAlignment="1" applyFont="1" applyNumberFormat="1">
      <alignment horizontal="center" readingOrder="0"/>
    </xf>
    <xf borderId="0" fillId="0" fontId="30" numFmtId="0" xfId="0" applyAlignment="1" applyFont="1">
      <alignment horizontal="center" readingOrder="0"/>
    </xf>
    <xf borderId="0" fillId="0" fontId="30" numFmtId="0" xfId="0" applyAlignment="1" applyFont="1">
      <alignment horizontal="center" readingOrder="0" vertical="bottom"/>
    </xf>
    <xf borderId="0" fillId="13" fontId="31" numFmtId="0" xfId="0" applyAlignment="1" applyFont="1">
      <alignment horizontal="center" readingOrder="0" shrinkToFit="0" wrapText="1"/>
    </xf>
    <xf borderId="0" fillId="0" fontId="130" numFmtId="0" xfId="0" applyAlignment="1" applyFont="1">
      <alignment horizontal="center" readingOrder="0" shrinkToFit="0" wrapText="1"/>
    </xf>
    <xf borderId="0" fillId="0" fontId="15" numFmtId="165" xfId="0" applyAlignment="1" applyFont="1" applyNumberFormat="1">
      <alignment horizontal="center" readingOrder="0" vertical="bottom"/>
    </xf>
    <xf borderId="0" fillId="0" fontId="130" numFmtId="0" xfId="0" applyAlignment="1" applyFont="1">
      <alignment horizontal="center" readingOrder="0" vertical="bottom"/>
    </xf>
    <xf borderId="0" fillId="24" fontId="15" numFmtId="0" xfId="0" applyAlignment="1" applyFont="1">
      <alignment horizontal="center"/>
    </xf>
    <xf borderId="0" fillId="13" fontId="131" numFmtId="0" xfId="0" applyAlignment="1" applyFont="1">
      <alignment horizontal="center" shrinkToFit="0" vertical="center" wrapText="1"/>
    </xf>
    <xf borderId="3" fillId="8" fontId="3" numFmtId="0" xfId="0" applyAlignment="1" applyBorder="1" applyFont="1">
      <alignment horizontal="center" shrinkToFit="0" vertical="center" wrapText="1"/>
    </xf>
    <xf borderId="0" fillId="6" fontId="37" numFmtId="10" xfId="0" applyAlignment="1" applyFont="1" applyNumberFormat="1">
      <alignment horizontal="center" vertical="bottom"/>
    </xf>
    <xf borderId="0" fillId="0" fontId="15" numFmtId="0" xfId="0" applyAlignment="1" applyFont="1">
      <alignment horizontal="center" readingOrder="0" shrinkToFit="0" vertical="bottom" wrapText="0"/>
    </xf>
    <xf borderId="0" fillId="0" fontId="15" numFmtId="0" xfId="0" applyAlignment="1" applyFont="1">
      <alignment horizontal="center" vertical="bottom"/>
    </xf>
    <xf borderId="0" fillId="0" fontId="15" numFmtId="0" xfId="0" applyAlignment="1" applyFont="1">
      <alignment readingOrder="0" vertical="bottom"/>
    </xf>
    <xf borderId="0" fillId="13" fontId="132" numFmtId="0" xfId="0" applyAlignment="1" applyFont="1">
      <alignment horizontal="center" readingOrder="0" shrinkToFit="0" vertical="center" wrapText="1"/>
    </xf>
    <xf borderId="0" fillId="6" fontId="133" numFmtId="0" xfId="0" applyAlignment="1" applyFont="1">
      <alignment horizontal="center" readingOrder="0"/>
    </xf>
    <xf borderId="0" fillId="0" fontId="33" numFmtId="0" xfId="0" applyAlignment="1" applyFont="1">
      <alignment horizontal="center" shrinkToFit="0" wrapText="1"/>
    </xf>
    <xf borderId="0" fillId="0" fontId="130" numFmtId="0" xfId="0" applyAlignment="1" applyFont="1">
      <alignment horizontal="center" readingOrder="0" shrinkToFit="0" vertical="center" wrapText="1"/>
    </xf>
    <xf borderId="0" fillId="0" fontId="82" numFmtId="0" xfId="0" applyAlignment="1" applyFont="1">
      <alignment readingOrder="0"/>
    </xf>
    <xf borderId="0" fillId="0" fontId="15" numFmtId="0" xfId="0" applyFont="1"/>
    <xf borderId="0" fillId="30" fontId="12" numFmtId="0" xfId="0" applyAlignment="1" applyFill="1" applyFont="1">
      <alignment readingOrder="0" shrinkToFit="0" wrapText="1"/>
    </xf>
    <xf borderId="0" fillId="30" fontId="134" numFmtId="0" xfId="0" applyAlignment="1" applyFont="1">
      <alignment horizontal="center" readingOrder="0" shrinkToFit="0" wrapText="1"/>
    </xf>
    <xf borderId="13" fillId="30" fontId="135" numFmtId="0" xfId="0" applyAlignment="1" applyBorder="1" applyFont="1">
      <alignment horizontal="center" readingOrder="0" shrinkToFit="0" wrapText="1"/>
    </xf>
    <xf borderId="13" fillId="30" fontId="135" numFmtId="0" xfId="0" applyAlignment="1" applyBorder="1" applyFont="1">
      <alignment readingOrder="0" shrinkToFit="0" wrapText="1"/>
    </xf>
    <xf borderId="0" fillId="6" fontId="135" numFmtId="165" xfId="0" applyAlignment="1" applyFont="1" applyNumberFormat="1">
      <alignment horizontal="center" readingOrder="0" shrinkToFit="0" vertical="center" wrapText="1"/>
    </xf>
    <xf borderId="0" fillId="6" fontId="136" numFmtId="0" xfId="0" applyAlignment="1" applyFont="1">
      <alignment readingOrder="0" shrinkToFit="0" wrapText="1"/>
    </xf>
    <xf borderId="0" fillId="6" fontId="30" numFmtId="0" xfId="0" applyAlignment="1" applyFont="1">
      <alignment horizontal="left" readingOrder="0" shrinkToFit="0" vertical="top" wrapText="1"/>
    </xf>
    <xf borderId="0" fillId="6" fontId="30" numFmtId="0" xfId="0" applyAlignment="1" applyFont="1">
      <alignment readingOrder="0" shrinkToFit="0" wrapText="1"/>
    </xf>
    <xf borderId="0" fillId="6" fontId="30" numFmtId="0" xfId="0" applyAlignment="1" applyFont="1">
      <alignment horizontal="center" readingOrder="0" shrinkToFit="0" wrapText="1"/>
    </xf>
    <xf borderId="0" fillId="0" fontId="30" numFmtId="0" xfId="0" applyAlignment="1" applyFont="1">
      <alignment readingOrder="0" shrinkToFit="0" wrapText="1"/>
    </xf>
    <xf borderId="0" fillId="0" fontId="11" numFmtId="0" xfId="0" applyAlignment="1" applyFont="1">
      <alignment horizontal="center" readingOrder="0"/>
    </xf>
    <xf borderId="0" fillId="0" fontId="30" numFmtId="0" xfId="0" applyFont="1"/>
    <xf borderId="0" fillId="0" fontId="15" numFmtId="0" xfId="0" applyAlignment="1" applyFont="1">
      <alignment horizontal="center" readingOrder="0" shrinkToFit="0" wrapText="1"/>
    </xf>
    <xf borderId="0" fillId="0" fontId="30" numFmtId="0" xfId="0" applyAlignment="1" applyFont="1">
      <alignment readingOrder="0"/>
    </xf>
    <xf borderId="0" fillId="0" fontId="30" numFmtId="0" xfId="0" applyAlignment="1" applyFont="1">
      <alignment readingOrder="0" shrinkToFit="0" vertical="top" wrapText="1"/>
    </xf>
    <xf borderId="0" fillId="0" fontId="30" numFmtId="0" xfId="0" applyAlignment="1" applyFont="1">
      <alignment horizontal="center" readingOrder="0" shrinkToFit="0" wrapText="1"/>
    </xf>
    <xf borderId="0" fillId="0" fontId="93" numFmtId="0" xfId="0" applyAlignment="1" applyFont="1">
      <alignment horizontal="center" readingOrder="0"/>
    </xf>
    <xf borderId="0" fillId="0" fontId="137" numFmtId="0" xfId="0" applyAlignment="1" applyFont="1">
      <alignment horizontal="center" readingOrder="0"/>
    </xf>
    <xf borderId="0" fillId="0" fontId="93" numFmtId="165" xfId="0" applyAlignment="1" applyFont="1" applyNumberFormat="1">
      <alignment horizontal="center" readingOrder="0"/>
    </xf>
    <xf borderId="0" fillId="0" fontId="37" numFmtId="0" xfId="0" applyAlignment="1" applyFont="1">
      <alignment readingOrder="0" shrinkToFit="0" vertical="top" wrapText="1"/>
    </xf>
    <xf borderId="0" fillId="6" fontId="138" numFmtId="0" xfId="0" applyAlignment="1" applyFont="1">
      <alignment readingOrder="0" shrinkToFit="0" wrapText="1"/>
    </xf>
    <xf borderId="0" fillId="0" fontId="130" numFmtId="0" xfId="0" applyAlignment="1" applyFont="1">
      <alignment horizontal="center" readingOrder="0"/>
    </xf>
    <xf borderId="0" fillId="6" fontId="30" numFmtId="0" xfId="0" applyAlignment="1" applyFont="1">
      <alignment horizontal="center" readingOrder="0" shrinkToFit="0" wrapText="1"/>
    </xf>
    <xf borderId="0" fillId="0" fontId="15" numFmtId="0" xfId="0" applyAlignment="1" applyFont="1">
      <alignment vertical="bottom"/>
    </xf>
    <xf borderId="0" fillId="6" fontId="29" numFmtId="0" xfId="0" applyAlignment="1" applyFont="1">
      <alignment readingOrder="0" shrinkToFit="0" wrapText="1"/>
    </xf>
    <xf borderId="0" fillId="0" fontId="34" numFmtId="0" xfId="0" applyAlignment="1" applyFont="1">
      <alignment horizontal="center" readingOrder="0"/>
    </xf>
    <xf borderId="0" fillId="0" fontId="12" numFmtId="165" xfId="0" applyAlignment="1" applyFont="1" applyNumberFormat="1">
      <alignment horizontal="center" readingOrder="0" shrinkToFit="0" vertical="center" wrapText="1"/>
    </xf>
    <xf borderId="0" fillId="6" fontId="37" numFmtId="0" xfId="0" applyAlignment="1" applyFont="1">
      <alignment horizontal="center" readingOrder="0" shrinkToFit="0" wrapText="1"/>
    </xf>
    <xf borderId="0" fillId="0" fontId="30" numFmtId="0" xfId="0" applyAlignment="1" applyFont="1">
      <alignment horizontal="left" readingOrder="0" shrinkToFit="0" wrapText="1"/>
    </xf>
    <xf borderId="0" fillId="0" fontId="30" numFmtId="0" xfId="0" applyAlignment="1" applyFont="1">
      <alignment horizontal="left" readingOrder="0" shrinkToFit="0" vertical="top" wrapText="1"/>
    </xf>
    <xf borderId="0" fillId="0" fontId="139" numFmtId="0" xfId="0" applyAlignment="1" applyFont="1">
      <alignment readingOrder="0" shrinkToFit="0" wrapText="1"/>
    </xf>
    <xf borderId="0" fillId="0" fontId="140" numFmtId="0" xfId="0" applyAlignment="1" applyFont="1">
      <alignment readingOrder="0" shrinkToFit="0" wrapText="1"/>
    </xf>
    <xf borderId="0" fillId="0" fontId="55" numFmtId="0" xfId="0" applyAlignment="1" applyFont="1">
      <alignment horizontal="center" readingOrder="0"/>
    </xf>
    <xf borderId="0" fillId="0" fontId="141" numFmtId="0" xfId="0" applyAlignment="1" applyFont="1">
      <alignment readingOrder="0" shrinkToFit="0" wrapText="1"/>
    </xf>
    <xf borderId="0" fillId="0" fontId="139" numFmtId="0" xfId="0" applyAlignment="1" applyFont="1">
      <alignment readingOrder="0" shrinkToFit="0" wrapText="1"/>
    </xf>
    <xf borderId="0" fillId="6" fontId="37" numFmtId="0" xfId="0" applyAlignment="1" applyFont="1">
      <alignment horizontal="right" readingOrder="0" shrinkToFit="0" vertical="center" wrapText="1"/>
    </xf>
    <xf borderId="0" fillId="6" fontId="15" numFmtId="0" xfId="0" applyAlignment="1" applyFont="1">
      <alignment horizontal="center" readingOrder="0"/>
    </xf>
    <xf borderId="0" fillId="6" fontId="9" numFmtId="165" xfId="0" applyAlignment="1" applyFont="1" applyNumberFormat="1">
      <alignment horizontal="right" shrinkToFit="0" vertical="bottom" wrapText="1"/>
    </xf>
    <xf borderId="0" fillId="0" fontId="30" numFmtId="0" xfId="0" applyAlignment="1" applyFont="1">
      <alignment horizontal="center" readingOrder="0" shrinkToFit="0" vertical="center" wrapText="1"/>
    </xf>
    <xf borderId="0" fillId="0" fontId="30" numFmtId="0" xfId="0" applyAlignment="1" applyFont="1">
      <alignment horizontal="center" readingOrder="0" shrinkToFit="0" wrapText="1"/>
    </xf>
    <xf borderId="0" fillId="0" fontId="20" numFmtId="165" xfId="0" applyAlignment="1" applyFont="1" applyNumberFormat="1">
      <alignment horizontal="center" readingOrder="0" shrinkToFit="0" vertical="center" wrapText="1"/>
    </xf>
    <xf borderId="0" fillId="6" fontId="142" numFmtId="165" xfId="0" applyAlignment="1" applyFont="1" applyNumberFormat="1">
      <alignment horizontal="left" readingOrder="0" shrinkToFit="0" vertical="top" wrapText="1"/>
    </xf>
    <xf borderId="0" fillId="6" fontId="142" numFmtId="0" xfId="0" applyAlignment="1" applyFont="1">
      <alignment horizontal="left" readingOrder="0" shrinkToFit="0" vertical="top" wrapText="1"/>
    </xf>
    <xf borderId="0" fillId="6" fontId="142" numFmtId="165" xfId="0" applyAlignment="1" applyFont="1" applyNumberFormat="1">
      <alignment horizontal="center" readingOrder="0" shrinkToFit="0" vertical="center" wrapText="1"/>
    </xf>
    <xf borderId="0" fillId="6" fontId="30" numFmtId="0" xfId="0" applyAlignment="1" applyFont="1">
      <alignment horizontal="center" readingOrder="0" shrinkToFit="0" vertical="center" wrapText="1"/>
    </xf>
    <xf borderId="0" fillId="6" fontId="30" numFmtId="0" xfId="0" applyAlignment="1" applyFont="1">
      <alignment horizontal="center" readingOrder="0" shrinkToFit="0" vertical="center" wrapText="1"/>
    </xf>
    <xf borderId="0" fillId="0" fontId="30" numFmtId="0" xfId="0" applyAlignment="1" applyFont="1">
      <alignment horizontal="center" readingOrder="0" shrinkToFit="0" vertical="center" wrapText="1"/>
    </xf>
    <xf borderId="0" fillId="6" fontId="139" numFmtId="0" xfId="0" applyAlignment="1" applyFont="1">
      <alignment horizontal="center" readingOrder="0" shrinkToFit="0" vertical="center" wrapText="1"/>
    </xf>
    <xf borderId="0" fillId="0" fontId="57" numFmtId="0" xfId="0" applyAlignment="1" applyFont="1">
      <alignment horizontal="center" vertical="center"/>
    </xf>
    <xf borderId="0" fillId="6" fontId="55" numFmtId="0" xfId="0" applyAlignment="1" applyFont="1">
      <alignment horizontal="center" readingOrder="0"/>
    </xf>
    <xf borderId="0" fillId="0" fontId="20" numFmtId="0" xfId="0" applyAlignment="1" applyFont="1">
      <alignment horizontal="center" readingOrder="0" shrinkToFit="0" vertical="center" wrapText="1"/>
    </xf>
    <xf borderId="0" fillId="6" fontId="20" numFmtId="0" xfId="0" applyAlignment="1" applyFont="1">
      <alignment horizontal="center" readingOrder="0" shrinkToFit="0" vertical="center" wrapText="1"/>
    </xf>
    <xf borderId="0" fillId="6" fontId="142" numFmtId="0" xfId="0" applyAlignment="1" applyFont="1">
      <alignment horizontal="center" readingOrder="0" shrinkToFit="0" vertical="center" wrapText="1"/>
    </xf>
    <xf borderId="0" fillId="0" fontId="33" numFmtId="0" xfId="0" applyAlignment="1" applyFont="1">
      <alignment horizontal="center" shrinkToFit="0" wrapText="1"/>
    </xf>
    <xf borderId="0" fillId="0" fontId="130" numFmtId="0" xfId="0" applyAlignment="1" applyFont="1">
      <alignment horizontal="center" shrinkToFit="0" wrapText="1"/>
    </xf>
    <xf borderId="0" fillId="0" fontId="11" numFmtId="0" xfId="0" applyAlignment="1" applyFont="1">
      <alignment horizontal="center" readingOrder="0" shrinkToFit="0" vertical="center" wrapText="1"/>
    </xf>
    <xf borderId="0" fillId="6" fontId="20" numFmtId="0" xfId="0" applyAlignment="1" applyFont="1">
      <alignment horizontal="left" readingOrder="0" shrinkToFit="0" vertical="top" wrapText="1"/>
    </xf>
    <xf borderId="0" fillId="6" fontId="142" numFmtId="165" xfId="0" applyAlignment="1" applyFont="1" applyNumberFormat="1">
      <alignment readingOrder="0" shrinkToFit="0" vertical="top" wrapText="1"/>
    </xf>
    <xf borderId="0" fillId="6" fontId="142" numFmtId="0" xfId="0" applyAlignment="1" applyFont="1">
      <alignment readingOrder="0" shrinkToFit="0" vertical="top" wrapText="1"/>
    </xf>
    <xf borderId="0" fillId="6" fontId="101" numFmtId="0" xfId="0" applyAlignment="1" applyFont="1">
      <alignment readingOrder="0" shrinkToFit="0" wrapText="1"/>
    </xf>
    <xf borderId="0" fillId="6" fontId="20" numFmtId="0" xfId="0" applyAlignment="1" applyFont="1">
      <alignment readingOrder="0" shrinkToFit="0" vertical="top" wrapText="1"/>
    </xf>
    <xf borderId="0" fillId="6" fontId="20" numFmtId="0" xfId="0" applyAlignment="1" applyFont="1">
      <alignment readingOrder="0" shrinkToFit="0" vertical="top" wrapText="1"/>
    </xf>
    <xf borderId="0" fillId="0" fontId="11" numFmtId="0" xfId="0" applyAlignment="1" applyFont="1">
      <alignment horizontal="center" vertical="center"/>
    </xf>
    <xf borderId="0" fillId="0" fontId="3" numFmtId="0" xfId="0" applyAlignment="1" applyFont="1">
      <alignment horizontal="center" readingOrder="0" vertical="center"/>
    </xf>
    <xf borderId="0" fillId="6" fontId="143" numFmtId="0" xfId="0" applyAlignment="1" applyFont="1">
      <alignment horizontal="center" vertical="center"/>
    </xf>
    <xf borderId="0" fillId="6" fontId="144" numFmtId="0" xfId="0" applyFont="1"/>
    <xf borderId="0" fillId="13" fontId="145" numFmtId="165" xfId="0" applyAlignment="1" applyFont="1" applyNumberFormat="1">
      <alignment horizontal="right" shrinkToFit="0" vertical="bottom" wrapText="1"/>
    </xf>
    <xf borderId="0" fillId="13" fontId="146" numFmtId="0" xfId="0" applyAlignment="1" applyFont="1">
      <alignment shrinkToFit="0" vertical="bottom" wrapText="1"/>
    </xf>
    <xf borderId="17" fillId="31" fontId="147" numFmtId="0" xfId="0" applyAlignment="1" applyBorder="1" applyFill="1" applyFont="1">
      <alignment horizontal="center" readingOrder="0" shrinkToFit="0" vertical="center" wrapText="1"/>
    </xf>
    <xf borderId="18" fillId="0" fontId="11" numFmtId="0" xfId="0" applyBorder="1" applyFont="1"/>
    <xf borderId="0" fillId="0" fontId="33" numFmtId="0" xfId="0" applyAlignment="1" applyFont="1">
      <alignment horizontal="center" readingOrder="0" shrinkToFit="0" wrapText="0"/>
    </xf>
    <xf borderId="0" fillId="6" fontId="148" numFmtId="0" xfId="0" applyAlignment="1" applyFont="1">
      <alignment readingOrder="0" shrinkToFit="0" vertical="bottom" wrapText="1"/>
    </xf>
    <xf borderId="23" fillId="30" fontId="135" numFmtId="0" xfId="0" applyAlignment="1" applyBorder="1" applyFont="1">
      <alignment horizontal="right" readingOrder="0" shrinkToFit="0" vertical="center" wrapText="1"/>
    </xf>
    <xf borderId="0" fillId="0" fontId="127" numFmtId="0" xfId="0" applyAlignment="1" applyFont="1">
      <alignment horizontal="center" readingOrder="0" shrinkToFit="0" wrapText="0"/>
    </xf>
    <xf borderId="0" fillId="30" fontId="149" numFmtId="0" xfId="0" applyAlignment="1" applyFont="1">
      <alignment horizontal="center" readingOrder="0" shrinkToFit="0" vertical="center" wrapText="1"/>
    </xf>
    <xf borderId="0" fillId="30" fontId="135" numFmtId="0" xfId="0" applyAlignment="1" applyFont="1">
      <alignment horizontal="right" readingOrder="0" shrinkToFit="0" vertical="center" wrapText="1"/>
    </xf>
    <xf borderId="0" fillId="30" fontId="150" numFmtId="169" xfId="0" applyAlignment="1" applyFont="1" applyNumberFormat="1">
      <alignment readingOrder="0" shrinkToFit="0" wrapText="1"/>
    </xf>
    <xf borderId="0" fillId="0" fontId="15" numFmtId="0" xfId="0" applyAlignment="1" applyFont="1">
      <alignment horizontal="center" readingOrder="0" shrinkToFit="0" vertical="bottom" wrapText="1"/>
    </xf>
    <xf borderId="0" fillId="30" fontId="151" numFmtId="0" xfId="0" applyAlignment="1" applyFont="1">
      <alignment horizontal="right" readingOrder="0" shrinkToFit="0" vertical="center" wrapText="1"/>
    </xf>
    <xf borderId="0" fillId="30" fontId="151" numFmtId="0" xfId="0" applyAlignment="1" applyFont="1">
      <alignment horizontal="left" shrinkToFit="0" vertical="center" wrapText="1"/>
    </xf>
    <xf borderId="17" fillId="29" fontId="152" numFmtId="0" xfId="0" applyAlignment="1" applyBorder="1" applyFont="1">
      <alignment horizontal="center" readingOrder="0" shrinkToFit="0" vertical="center" wrapText="1"/>
    </xf>
    <xf borderId="19" fillId="0" fontId="11" numFmtId="0" xfId="0" applyBorder="1" applyFont="1"/>
    <xf borderId="0" fillId="0" fontId="11" numFmtId="167" xfId="0" applyAlignment="1" applyFont="1" applyNumberFormat="1">
      <alignment horizontal="center" shrinkToFit="0" vertical="center" wrapText="1"/>
    </xf>
    <xf borderId="17" fillId="32" fontId="153" numFmtId="0" xfId="0" applyAlignment="1" applyBorder="1" applyFill="1" applyFont="1">
      <alignment horizontal="center" readingOrder="0" shrinkToFit="0" vertical="center" wrapText="1"/>
    </xf>
    <xf borderId="24" fillId="31" fontId="66" numFmtId="0" xfId="0" applyAlignment="1" applyBorder="1" applyFont="1">
      <alignment horizontal="center" readingOrder="0" shrinkToFit="0" vertical="center" wrapText="1"/>
    </xf>
    <xf borderId="25" fillId="0" fontId="11" numFmtId="0" xfId="0" applyBorder="1" applyFont="1"/>
    <xf borderId="17" fillId="0" fontId="20" numFmtId="0" xfId="0" applyAlignment="1" applyBorder="1" applyFont="1">
      <alignment horizontal="left" readingOrder="0" shrinkToFit="0" vertical="center" wrapText="1"/>
    </xf>
    <xf borderId="0" fillId="0" fontId="11" numFmtId="167" xfId="0" applyAlignment="1" applyFont="1" applyNumberFormat="1">
      <alignment horizontal="center" readingOrder="0" shrinkToFit="0" vertical="center" wrapText="1"/>
    </xf>
    <xf borderId="23" fillId="0" fontId="154" numFmtId="0" xfId="0" applyAlignment="1" applyBorder="1" applyFont="1">
      <alignment horizontal="center" readingOrder="0" shrinkToFit="0" wrapText="1"/>
    </xf>
    <xf borderId="26" fillId="0" fontId="11" numFmtId="0" xfId="0" applyBorder="1" applyFont="1"/>
    <xf borderId="27" fillId="0" fontId="155" numFmtId="0" xfId="0" applyAlignment="1" applyBorder="1" applyFont="1">
      <alignment horizontal="center" readingOrder="0" shrinkToFit="0" vertical="center" wrapText="1"/>
    </xf>
    <xf borderId="28" fillId="0" fontId="11" numFmtId="0" xfId="0" applyBorder="1" applyFont="1"/>
    <xf borderId="17" fillId="0" fontId="156" numFmtId="0" xfId="0" applyAlignment="1" applyBorder="1" applyFont="1">
      <alignment horizontal="left" readingOrder="0" shrinkToFit="0" vertical="center" wrapText="1"/>
    </xf>
    <xf borderId="0" fillId="6" fontId="9" numFmtId="0" xfId="0" applyAlignment="1" applyFont="1">
      <alignment shrinkToFit="0" vertical="bottom" wrapText="1"/>
    </xf>
    <xf borderId="0" fillId="0" fontId="157" numFmtId="0" xfId="0" applyAlignment="1" applyFont="1">
      <alignment horizontal="center" readingOrder="0" shrinkToFit="0" wrapText="1"/>
    </xf>
    <xf borderId="23" fillId="0" fontId="19" numFmtId="0" xfId="0" applyAlignment="1" applyBorder="1" applyFont="1">
      <alignment horizontal="center" readingOrder="0" shrinkToFit="0" wrapText="1"/>
    </xf>
    <xf borderId="29" fillId="0" fontId="157" numFmtId="0" xfId="0" applyAlignment="1" applyBorder="1" applyFont="1">
      <alignment horizontal="center" readingOrder="0" shrinkToFit="0" wrapText="1"/>
    </xf>
    <xf borderId="30" fillId="0" fontId="11" numFmtId="0" xfId="0" applyBorder="1" applyFont="1"/>
    <xf borderId="31" fillId="0" fontId="11" numFmtId="0" xfId="0" applyBorder="1" applyFont="1"/>
    <xf borderId="0" fillId="0" fontId="158" numFmtId="0" xfId="0" applyAlignment="1" applyFont="1">
      <alignment shrinkToFit="0" wrapText="1"/>
    </xf>
    <xf borderId="0" fillId="0" fontId="19" numFmtId="0" xfId="0" applyAlignment="1" applyFont="1">
      <alignment horizontal="center" shrinkToFit="0" vertical="center" wrapText="1"/>
    </xf>
    <xf borderId="0" fillId="0" fontId="158" numFmtId="0" xfId="0" applyAlignment="1" applyFont="1">
      <alignment readingOrder="0" shrinkToFit="0" wrapText="1"/>
    </xf>
    <xf borderId="0" fillId="0" fontId="56" numFmtId="0" xfId="0" applyAlignment="1" applyFont="1">
      <alignment horizontal="center" readingOrder="0" shrinkToFit="0" wrapText="1"/>
    </xf>
    <xf borderId="32" fillId="5" fontId="159" numFmtId="0" xfId="0" applyAlignment="1" applyBorder="1" applyFont="1">
      <alignment horizontal="center" readingOrder="0" shrinkToFit="0" wrapText="1"/>
    </xf>
    <xf borderId="33" fillId="0" fontId="11" numFmtId="0" xfId="0" applyBorder="1" applyFont="1"/>
    <xf borderId="34" fillId="0" fontId="11" numFmtId="0" xfId="0" applyBorder="1" applyFont="1"/>
    <xf borderId="35" fillId="0" fontId="160" numFmtId="0" xfId="0" applyAlignment="1" applyBorder="1" applyFont="1">
      <alignment readingOrder="0" shrinkToFit="0" wrapText="1"/>
    </xf>
    <xf borderId="36" fillId="0" fontId="11" numFmtId="0" xfId="0" applyBorder="1" applyFont="1"/>
    <xf borderId="37" fillId="0" fontId="11" numFmtId="0" xfId="0" applyBorder="1" applyFont="1"/>
    <xf borderId="0" fillId="0" fontId="56" numFmtId="0" xfId="0" applyAlignment="1" applyFont="1">
      <alignment horizontal="center" shrinkToFit="0" wrapText="1"/>
    </xf>
    <xf borderId="0" fillId="0" fontId="158" numFmtId="0" xfId="0" applyAlignment="1" applyFont="1">
      <alignment horizontal="left" shrinkToFit="0" vertical="top" wrapText="1"/>
    </xf>
    <xf borderId="0" fillId="0" fontId="56" numFmtId="0" xfId="0" applyAlignment="1" applyFont="1">
      <alignment horizontal="center" shrinkToFit="0" vertical="top" wrapText="1"/>
    </xf>
    <xf borderId="9" fillId="9" fontId="19" numFmtId="0" xfId="0" applyAlignment="1" applyBorder="1" applyFont="1">
      <alignment horizontal="left" shrinkToFit="0" vertical="top" wrapText="1"/>
    </xf>
    <xf borderId="0" fillId="0" fontId="19" numFmtId="0" xfId="0" applyAlignment="1" applyFont="1">
      <alignment horizontal="left" shrinkToFit="0" vertical="top" wrapText="1"/>
    </xf>
    <xf borderId="38" fillId="9" fontId="19" numFmtId="0" xfId="0" applyAlignment="1" applyBorder="1" applyFont="1">
      <alignment horizontal="left" readingOrder="0" shrinkToFit="0" vertical="top" wrapText="1"/>
    </xf>
    <xf borderId="39" fillId="0" fontId="11" numFmtId="0" xfId="0" applyBorder="1" applyFont="1"/>
    <xf borderId="40" fillId="0" fontId="11" numFmtId="0" xfId="0" applyBorder="1" applyFont="1"/>
    <xf borderId="0" fillId="0" fontId="20" numFmtId="0" xfId="0" applyAlignment="1" applyFont="1">
      <alignment horizontal="left" shrinkToFit="0" vertical="top" wrapText="1"/>
    </xf>
    <xf borderId="0" fillId="0" fontId="20" numFmtId="0" xfId="0" applyAlignment="1" applyFont="1">
      <alignment horizontal="left" readingOrder="0" shrinkToFit="0" vertical="top" wrapText="1"/>
    </xf>
    <xf borderId="9" fillId="0" fontId="20" numFmtId="0" xfId="0" applyAlignment="1" applyBorder="1" applyFont="1">
      <alignment horizontal="left" readingOrder="0" shrinkToFit="0" vertical="top" wrapText="1"/>
    </xf>
    <xf borderId="0" fillId="0" fontId="14" numFmtId="1" xfId="0" applyAlignment="1" applyFont="1" applyNumberFormat="1">
      <alignment horizontal="center" readingOrder="0"/>
    </xf>
    <xf borderId="0" fillId="0" fontId="15" numFmtId="0" xfId="0" applyAlignment="1" applyFont="1">
      <alignment readingOrder="0" shrinkToFit="0" wrapText="1"/>
    </xf>
    <xf borderId="13" fillId="0" fontId="20" numFmtId="0" xfId="0" applyAlignment="1" applyBorder="1" applyFont="1">
      <alignment horizontal="left" shrinkToFit="0" vertical="top" wrapText="1"/>
    </xf>
    <xf borderId="0" fillId="13" fontId="9" numFmtId="0" xfId="0" applyAlignment="1" applyFont="1">
      <alignment shrinkToFit="0" vertical="bottom" wrapText="1"/>
    </xf>
    <xf borderId="9" fillId="0" fontId="20" numFmtId="0" xfId="0" applyAlignment="1" applyBorder="1" applyFont="1">
      <alignment horizontal="left" shrinkToFit="0" vertical="top" wrapText="1"/>
    </xf>
    <xf borderId="0" fillId="27" fontId="15" numFmtId="1" xfId="0" applyAlignment="1" applyFont="1" applyNumberFormat="1">
      <alignment horizontal="center" readingOrder="0"/>
    </xf>
    <xf borderId="0" fillId="13" fontId="9" numFmtId="0" xfId="0" applyAlignment="1" applyFont="1">
      <alignment readingOrder="0" shrinkToFit="0" vertical="bottom" wrapText="1"/>
    </xf>
    <xf borderId="0" fillId="6" fontId="161" numFmtId="0" xfId="0" applyAlignment="1" applyFont="1">
      <alignment shrinkToFit="0" vertical="bottom" wrapText="1"/>
    </xf>
    <xf borderId="0" fillId="0" fontId="20" numFmtId="0" xfId="0" applyAlignment="1" applyFont="1">
      <alignment horizontal="center" readingOrder="0"/>
    </xf>
    <xf borderId="0" fillId="0" fontId="9" numFmtId="0" xfId="0" applyAlignment="1" applyFont="1">
      <alignment horizontal="center" readingOrder="0"/>
    </xf>
    <xf borderId="0" fillId="0" fontId="15" numFmtId="10" xfId="0" applyAlignment="1" applyFont="1" applyNumberFormat="1">
      <alignment horizontal="center" readingOrder="0"/>
    </xf>
    <xf borderId="0" fillId="13" fontId="9" numFmtId="0" xfId="0" applyAlignment="1" applyFont="1">
      <alignment readingOrder="0" vertical="bottom"/>
    </xf>
    <xf borderId="0" fillId="6" fontId="162" numFmtId="0" xfId="0" applyAlignment="1" applyFont="1">
      <alignment readingOrder="0"/>
    </xf>
    <xf borderId="0" fillId="0" fontId="15" numFmtId="0" xfId="0" applyAlignment="1" applyFont="1">
      <alignment horizontal="center" vertical="bottom"/>
    </xf>
    <xf borderId="0" fillId="0" fontId="15" numFmtId="1" xfId="0" applyAlignment="1" applyFont="1" applyNumberFormat="1">
      <alignment horizontal="center" readingOrder="0" vertical="bottom"/>
    </xf>
    <xf borderId="0" fillId="0" fontId="33" numFmtId="0" xfId="0" applyAlignment="1" applyFont="1">
      <alignment horizontal="center" readingOrder="0" shrinkToFit="0" vertical="bottom" wrapText="0"/>
    </xf>
    <xf borderId="0" fillId="0" fontId="15" numFmtId="0" xfId="0" applyAlignment="1" applyFont="1">
      <alignment horizontal="center" vertical="center"/>
    </xf>
    <xf borderId="0" fillId="24" fontId="15" numFmtId="0" xfId="0" applyAlignment="1" applyFont="1">
      <alignment horizontal="center" vertical="center"/>
    </xf>
    <xf borderId="0" fillId="0" fontId="15" numFmtId="10" xfId="0" applyAlignment="1" applyFont="1" applyNumberFormat="1">
      <alignment horizontal="center" readingOrder="0" vertical="center"/>
    </xf>
    <xf borderId="0" fillId="0" fontId="15" numFmtId="0" xfId="0" applyAlignment="1" applyFont="1">
      <alignment horizontal="center" vertical="center"/>
    </xf>
    <xf borderId="0" fillId="0" fontId="34" numFmtId="0" xfId="0" applyAlignment="1" applyFont="1">
      <alignment horizontal="center" shrinkToFit="0" wrapText="1"/>
    </xf>
    <xf borderId="0" fillId="0" fontId="14" numFmtId="0" xfId="0" applyAlignment="1" applyFont="1">
      <alignment horizontal="center" readingOrder="0" vertical="center"/>
    </xf>
    <xf borderId="0" fillId="24" fontId="14" numFmtId="0" xfId="0" applyAlignment="1" applyFont="1">
      <alignment horizontal="center"/>
    </xf>
    <xf borderId="0" fillId="0" fontId="14" numFmtId="10" xfId="0" applyAlignment="1" applyFont="1" applyNumberFormat="1">
      <alignment horizontal="center" readingOrder="0"/>
    </xf>
    <xf borderId="0" fillId="0" fontId="14" numFmtId="165" xfId="0" applyAlignment="1" applyFont="1" applyNumberFormat="1">
      <alignment horizontal="center" readingOrder="0"/>
    </xf>
    <xf borderId="0" fillId="0" fontId="14" numFmtId="0" xfId="0" applyAlignment="1" applyFont="1">
      <alignment horizontal="center" readingOrder="0" shrinkToFit="0" wrapText="0"/>
    </xf>
    <xf borderId="0" fillId="24" fontId="14" numFmtId="0" xfId="0" applyFont="1"/>
    <xf borderId="0" fillId="0" fontId="14" numFmtId="0" xfId="0" applyFont="1"/>
    <xf borderId="0" fillId="6" fontId="163" numFmtId="0" xfId="0" applyAlignment="1" applyFont="1">
      <alignment horizontal="center" readingOrder="0" vertical="center"/>
    </xf>
    <xf borderId="0" fillId="6" fontId="44" numFmtId="10" xfId="0" applyAlignment="1" applyFont="1" applyNumberFormat="1">
      <alignment horizontal="center" readingOrder="0"/>
    </xf>
    <xf borderId="0" fillId="0" fontId="122" numFmtId="0" xfId="0" applyAlignment="1" applyFont="1">
      <alignment horizontal="center" readingOrder="0" shrinkToFit="0" wrapText="0"/>
    </xf>
    <xf borderId="0" fillId="0" fontId="164" numFmtId="0" xfId="0" applyAlignment="1" applyFont="1">
      <alignment horizontal="center" readingOrder="0"/>
    </xf>
    <xf borderId="0" fillId="0" fontId="14" numFmtId="0" xfId="0" applyAlignment="1" applyFont="1">
      <alignment readingOrder="0"/>
    </xf>
    <xf borderId="0" fillId="13" fontId="165" numFmtId="0" xfId="0" applyAlignment="1" applyFont="1">
      <alignment shrinkToFit="0" vertical="bottom" wrapText="1"/>
    </xf>
    <xf borderId="0" fillId="0" fontId="3" numFmtId="0" xfId="0" applyAlignment="1" applyFont="1">
      <alignment readingOrder="0"/>
    </xf>
    <xf borderId="0" fillId="0" fontId="3" numFmtId="0" xfId="0" applyAlignment="1" applyFont="1">
      <alignment readingOrder="0" shrinkToFit="0" wrapText="1"/>
    </xf>
    <xf borderId="0" fillId="6" fontId="166" numFmtId="0" xfId="0" applyAlignment="1" applyFont="1">
      <alignment horizontal="left" readingOrder="0"/>
    </xf>
    <xf borderId="0" fillId="0" fontId="11" numFmtId="165" xfId="0" applyAlignment="1" applyFont="1" applyNumberFormat="1">
      <alignment readingOrder="0"/>
    </xf>
    <xf borderId="0" fillId="0" fontId="167" numFmtId="0" xfId="0" applyAlignment="1" applyFont="1">
      <alignment horizontal="center" readingOrder="0"/>
    </xf>
    <xf borderId="0" fillId="0" fontId="11" numFmtId="0" xfId="0" applyAlignment="1" applyFont="1">
      <alignment horizontal="left" readingOrder="0"/>
    </xf>
    <xf borderId="0" fillId="0" fontId="11" numFmtId="0" xfId="0" applyAlignment="1" applyFont="1">
      <alignment horizontal="right" readingOrder="0"/>
    </xf>
    <xf borderId="0" fillId="0" fontId="11" numFmtId="170" xfId="0" applyAlignment="1" applyFont="1" applyNumberFormat="1">
      <alignment readingOrder="0"/>
    </xf>
    <xf borderId="0" fillId="0" fontId="3" numFmtId="0" xfId="0" applyAlignment="1" applyFont="1">
      <alignment horizontal="center" readingOrder="0"/>
    </xf>
    <xf borderId="0" fillId="0" fontId="34" numFmtId="0" xfId="0" applyAlignment="1" applyFont="1">
      <alignment horizontal="center" shrinkToFit="0" wrapText="1"/>
    </xf>
    <xf borderId="0" fillId="0" fontId="11" numFmtId="170" xfId="0" applyAlignment="1" applyFont="1" applyNumberFormat="1">
      <alignment horizontal="left" readingOrder="0"/>
    </xf>
    <xf borderId="0" fillId="26" fontId="168" numFmtId="0" xfId="0" applyAlignment="1" applyFont="1">
      <alignment horizontal="center" readingOrder="0" vertical="center"/>
    </xf>
    <xf borderId="0" fillId="0" fontId="15" numFmtId="0" xfId="0" applyAlignment="1" applyFont="1">
      <alignment horizontal="center" shrinkToFit="0" wrapText="1"/>
    </xf>
    <xf borderId="0" fillId="6" fontId="9" numFmtId="171" xfId="0" applyAlignment="1" applyFont="1" applyNumberFormat="1">
      <alignment horizontal="right" shrinkToFit="0" vertical="bottom" wrapText="1"/>
    </xf>
    <xf borderId="0" fillId="13" fontId="9" numFmtId="171" xfId="0" applyAlignment="1" applyFont="1" applyNumberFormat="1">
      <alignment horizontal="right" shrinkToFit="0" vertical="bottom" wrapText="1"/>
    </xf>
    <xf borderId="0" fillId="13" fontId="9" numFmtId="165" xfId="0" applyAlignment="1" applyFont="1" applyNumberFormat="1">
      <alignment shrinkToFit="0" vertical="bottom" wrapText="1"/>
    </xf>
    <xf borderId="0" fillId="24" fontId="15" numFmtId="0" xfId="0" applyAlignment="1" applyFont="1">
      <alignment readingOrder="0"/>
    </xf>
    <xf borderId="0" fillId="6" fontId="37" numFmtId="10" xfId="0" applyAlignment="1" applyFont="1" applyNumberFormat="1">
      <alignment horizontal="center" readingOrder="0"/>
    </xf>
    <xf borderId="0" fillId="33" fontId="169" numFmtId="0" xfId="0" applyAlignment="1" applyFill="1" applyFont="1">
      <alignment horizontal="left" readingOrder="0" shrinkToFit="0" vertical="bottom" wrapText="1"/>
    </xf>
    <xf borderId="4" fillId="0" fontId="11" numFmtId="0" xfId="0" applyBorder="1" applyFont="1"/>
    <xf borderId="13" fillId="0" fontId="11" numFmtId="0" xfId="0" applyAlignment="1" applyBorder="1" applyFont="1">
      <alignment horizontal="left" readingOrder="0" shrinkToFit="0" vertical="bottom" wrapText="1"/>
    </xf>
    <xf borderId="13" fillId="0" fontId="11" numFmtId="0" xfId="0" applyAlignment="1" applyBorder="1" applyFont="1">
      <alignment horizontal="left" readingOrder="0" shrinkToFit="0" vertical="bottom" wrapText="1"/>
    </xf>
    <xf borderId="13" fillId="0" fontId="11" numFmtId="0" xfId="0" applyAlignment="1" applyBorder="1" applyFont="1">
      <alignment horizontal="left" readingOrder="0" shrinkToFit="0" vertical="bottom" wrapText="1"/>
    </xf>
    <xf borderId="0" fillId="0" fontId="11" numFmtId="0" xfId="0" applyAlignment="1" applyFont="1">
      <alignment horizontal="left" readingOrder="0" shrinkToFit="0" vertical="bottom" wrapText="1"/>
    </xf>
    <xf borderId="13" fillId="0" fontId="170" numFmtId="0" xfId="0" applyAlignment="1" applyBorder="1" applyFont="1">
      <alignment horizontal="left" readingOrder="0" shrinkToFit="0" vertical="bottom" wrapText="1"/>
    </xf>
    <xf borderId="13" fillId="0" fontId="170" numFmtId="0" xfId="0" applyAlignment="1" applyBorder="1" applyFont="1">
      <alignment horizontal="left" readingOrder="0" shrinkToFit="0" vertical="bottom" wrapText="1"/>
    </xf>
    <xf borderId="13" fillId="0" fontId="170" numFmtId="0" xfId="0" applyAlignment="1" applyBorder="1" applyFont="1">
      <alignment horizontal="left" readingOrder="0" shrinkToFit="0" vertical="bottom" wrapText="1"/>
    </xf>
    <xf borderId="0" fillId="0" fontId="170" numFmtId="0" xfId="0" applyAlignment="1" applyFont="1">
      <alignment horizontal="left" readingOrder="0" shrinkToFit="0" vertical="bottom" wrapText="1"/>
    </xf>
    <xf borderId="13" fillId="0" fontId="0" numFmtId="0" xfId="0" applyAlignment="1" applyBorder="1" applyFont="1">
      <alignment horizontal="left" readingOrder="0" shrinkToFit="0" vertical="bottom" wrapText="1"/>
    </xf>
    <xf borderId="13" fillId="0" fontId="0" numFmtId="0" xfId="0" applyAlignment="1" applyBorder="1" applyFont="1">
      <alignment horizontal="left" readingOrder="0" shrinkToFit="0" vertical="bottom" wrapText="0"/>
    </xf>
    <xf borderId="13" fillId="0" fontId="171" numFmtId="0" xfId="0" applyAlignment="1" applyBorder="1" applyFont="1">
      <alignment horizontal="left" readingOrder="0" shrinkToFit="0" vertical="bottom" wrapText="1"/>
    </xf>
    <xf borderId="13" fillId="0" fontId="171" numFmtId="0" xfId="0" applyAlignment="1" applyBorder="1" applyFont="1">
      <alignment horizontal="left" shrinkToFit="0" vertical="bottom" wrapText="1"/>
    </xf>
    <xf borderId="13" fillId="0" fontId="171" numFmtId="0" xfId="0" applyAlignment="1" applyBorder="1" applyFont="1">
      <alignment horizontal="left" readingOrder="0" shrinkToFit="0" vertical="bottom" wrapText="1"/>
    </xf>
    <xf borderId="0" fillId="0" fontId="171" numFmtId="0" xfId="0" applyAlignment="1" applyFont="1">
      <alignment horizontal="left" readingOrder="0" shrinkToFit="0" vertical="bottom" wrapText="1"/>
    </xf>
    <xf borderId="13" fillId="0" fontId="171" numFmtId="0" xfId="0" applyAlignment="1" applyBorder="1" applyFont="1">
      <alignment horizontal="left" shrinkToFit="0" vertical="bottom" wrapText="1"/>
    </xf>
    <xf borderId="13" fillId="0" fontId="172" numFmtId="0" xfId="0" applyAlignment="1" applyBorder="1" applyFont="1">
      <alignment horizontal="left" readingOrder="0" shrinkToFit="0" vertical="bottom" wrapText="1"/>
    </xf>
    <xf borderId="0" fillId="0" fontId="11" numFmtId="165" xfId="0" applyAlignment="1" applyFont="1" applyNumberFormat="1">
      <alignment horizontal="center" readingOrder="0"/>
    </xf>
    <xf borderId="0" fillId="0" fontId="11" numFmtId="0" xfId="0" applyAlignment="1" applyFont="1">
      <alignment horizontal="center"/>
    </xf>
    <xf borderId="13" fillId="0" fontId="172" numFmtId="0" xfId="0" applyAlignment="1" applyBorder="1" applyFont="1">
      <alignment horizontal="left" shrinkToFit="0" vertical="bottom" wrapText="1"/>
    </xf>
    <xf borderId="0" fillId="0" fontId="171" numFmtId="0" xfId="0" applyAlignment="1" applyFont="1">
      <alignment horizontal="left" shrinkToFit="0" vertical="bottom" wrapText="1"/>
    </xf>
    <xf borderId="0" fillId="27" fontId="11" numFmtId="0" xfId="0" applyAlignment="1" applyFont="1">
      <alignment horizontal="center" readingOrder="0"/>
    </xf>
    <xf borderId="41" fillId="0" fontId="15" numFmtId="0" xfId="0" applyAlignment="1" applyBorder="1" applyFont="1">
      <alignment horizontal="center" readingOrder="0"/>
    </xf>
    <xf borderId="11" fillId="0" fontId="15" numFmtId="0" xfId="0" applyAlignment="1" applyBorder="1" applyFont="1">
      <alignment horizontal="center" readingOrder="0"/>
    </xf>
    <xf borderId="0" fillId="6" fontId="9" numFmtId="168" xfId="0" applyAlignment="1" applyFont="1" applyNumberFormat="1">
      <alignment horizontal="right" shrinkToFit="0" vertical="bottom" wrapText="1"/>
    </xf>
    <xf borderId="0" fillId="13" fontId="9" numFmtId="168" xfId="0" applyAlignment="1" applyFont="1" applyNumberFormat="1">
      <alignment horizontal="right" shrinkToFit="0" vertical="bottom" wrapText="1"/>
    </xf>
    <xf borderId="0" fillId="0" fontId="173" numFmtId="0" xfId="0" applyAlignment="1" applyFont="1">
      <alignment readingOrder="0"/>
    </xf>
    <xf borderId="0" fillId="13" fontId="9" numFmtId="167" xfId="0" applyAlignment="1" applyFont="1" applyNumberFormat="1">
      <alignment horizontal="right" shrinkToFit="0" vertical="bottom" wrapText="1"/>
    </xf>
    <xf borderId="0" fillId="6" fontId="9" numFmtId="167" xfId="0" applyAlignment="1" applyFont="1" applyNumberFormat="1">
      <alignment horizontal="right" shrinkToFit="0" vertical="bottom" wrapText="1"/>
    </xf>
    <xf borderId="0" fillId="6" fontId="9" numFmtId="169" xfId="0" applyAlignment="1" applyFont="1" applyNumberFormat="1">
      <alignment horizontal="right" shrinkToFit="0" vertical="bottom" wrapText="1"/>
    </xf>
    <xf borderId="13" fillId="0" fontId="172" numFmtId="0" xfId="0" applyAlignment="1" applyBorder="1" applyFont="1">
      <alignment horizontal="left" readingOrder="0" shrinkToFit="0" vertical="bottom" wrapText="0"/>
    </xf>
    <xf borderId="0" fillId="6" fontId="9" numFmtId="172" xfId="0" applyAlignment="1" applyFont="1" applyNumberFormat="1">
      <alignment horizontal="right" shrinkToFit="0" vertical="bottom" wrapText="1"/>
    </xf>
    <xf borderId="13" fillId="0" fontId="172" numFmtId="0" xfId="0" applyAlignment="1" applyBorder="1" applyFont="1">
      <alignment horizontal="left" shrinkToFit="0" vertical="bottom" wrapText="0"/>
    </xf>
    <xf borderId="0" fillId="13" fontId="9" numFmtId="169" xfId="0" applyAlignment="1" applyFont="1" applyNumberFormat="1">
      <alignment horizontal="right" shrinkToFit="0" vertical="bottom" wrapText="1"/>
    </xf>
    <xf borderId="0" fillId="13" fontId="9" numFmtId="172" xfId="0" applyAlignment="1" applyFont="1" applyNumberFormat="1">
      <alignment horizontal="right" shrinkToFit="0" vertical="bottom" wrapText="1"/>
    </xf>
    <xf borderId="0" fillId="0" fontId="15" numFmtId="9" xfId="0" applyAlignment="1" applyFont="1" applyNumberFormat="1">
      <alignment horizontal="center" readingOrder="0"/>
    </xf>
    <xf borderId="0" fillId="6" fontId="68" numFmtId="0" xfId="0" applyAlignment="1" applyFont="1">
      <alignment horizontal="right" vertical="bottom"/>
    </xf>
    <xf borderId="0" fillId="0" fontId="69" numFmtId="0" xfId="0" applyAlignment="1" applyFont="1">
      <alignment readingOrder="0" shrinkToFit="0" wrapText="0"/>
    </xf>
    <xf borderId="0" fillId="4" fontId="6" numFmtId="0" xfId="0" applyAlignment="1" applyFont="1">
      <alignment shrinkToFit="0" vertical="bottom" wrapText="1"/>
    </xf>
    <xf borderId="0" fillId="0" fontId="11" numFmtId="0" xfId="0" applyAlignment="1" applyFont="1">
      <alignment shrinkToFit="0" wrapText="1"/>
    </xf>
    <xf borderId="0" fillId="0" fontId="11" numFmtId="0" xfId="0" applyAlignment="1" applyFont="1">
      <alignment shrinkToFit="0" wrapText="1"/>
    </xf>
    <xf borderId="0" fillId="13" fontId="68" numFmtId="0" xfId="0" applyAlignment="1" applyFont="1">
      <alignment horizontal="right" vertical="bottom"/>
    </xf>
    <xf borderId="0" fillId="0" fontId="11" numFmtId="9" xfId="0" applyAlignment="1" applyFont="1" applyNumberFormat="1">
      <alignment horizontal="center" readingOrder="0"/>
    </xf>
    <xf borderId="0" fillId="0" fontId="11" numFmtId="9" xfId="0" applyAlignment="1" applyFont="1" applyNumberFormat="1">
      <alignment readingOrder="0"/>
    </xf>
    <xf borderId="0" fillId="0" fontId="11" numFmtId="10" xfId="0" applyFont="1" applyNumberFormat="1"/>
    <xf borderId="11" fillId="0" fontId="15" numFmtId="0" xfId="0" applyAlignment="1" applyBorder="1" applyFont="1">
      <alignment horizontal="center" readingOrder="0" shrinkToFit="0" wrapText="0"/>
    </xf>
    <xf borderId="11" fillId="0" fontId="15" numFmtId="0" xfId="0" applyAlignment="1" applyBorder="1" applyFont="1">
      <alignment horizontal="center"/>
    </xf>
    <xf borderId="12" fillId="0" fontId="15" numFmtId="0" xfId="0" applyAlignment="1" applyBorder="1" applyFont="1">
      <alignment horizontal="center"/>
    </xf>
    <xf borderId="4" fillId="0" fontId="15" numFmtId="0" xfId="0" applyAlignment="1" applyBorder="1" applyFont="1">
      <alignment horizontal="center" readingOrder="0"/>
    </xf>
    <xf borderId="0" fillId="0" fontId="15" numFmtId="173" xfId="0" applyAlignment="1" applyFont="1" applyNumberFormat="1">
      <alignment horizontal="center" readingOrder="0"/>
    </xf>
    <xf borderId="4" fillId="0" fontId="15" numFmtId="0" xfId="0" applyAlignment="1" applyBorder="1" applyFont="1">
      <alignment horizontal="center"/>
    </xf>
    <xf borderId="0" fillId="0" fontId="15" numFmtId="0" xfId="0" applyAlignment="1" applyFont="1">
      <alignment horizontal="right" vertical="bottom"/>
    </xf>
    <xf borderId="0" fillId="34" fontId="15" numFmtId="0" xfId="0" applyAlignment="1" applyFill="1" applyFont="1">
      <alignment horizontal="center" vertical="bottom"/>
    </xf>
    <xf borderId="0" fillId="35" fontId="15" numFmtId="0" xfId="0" applyAlignment="1" applyFill="1" applyFont="1">
      <alignment vertical="bottom"/>
    </xf>
    <xf borderId="0" fillId="36" fontId="15" numFmtId="0" xfId="0" applyAlignment="1" applyFill="1" applyFont="1">
      <alignment horizontal="right" vertical="bottom"/>
    </xf>
    <xf borderId="0" fillId="0" fontId="15" numFmtId="0" xfId="0" applyAlignment="1" applyFont="1">
      <alignment vertical="bottom"/>
    </xf>
    <xf borderId="0" fillId="24" fontId="9" numFmtId="0" xfId="0" applyAlignment="1" applyFont="1">
      <alignment vertical="bottom"/>
    </xf>
    <xf borderId="13" fillId="0" fontId="171" numFmtId="0" xfId="0" applyAlignment="1" applyBorder="1" applyFont="1">
      <alignment horizontal="center" readingOrder="0" shrinkToFit="0" vertical="bottom" wrapText="1"/>
    </xf>
    <xf borderId="13" fillId="0" fontId="171" numFmtId="0" xfId="0" applyAlignment="1" applyBorder="1" applyFont="1">
      <alignment horizontal="left" shrinkToFit="0" vertical="bottom" wrapText="1"/>
    </xf>
    <xf borderId="0" fillId="0" fontId="171" numFmtId="0" xfId="0" applyAlignment="1" applyFont="1">
      <alignment horizontal="left" shrinkToFit="0" vertical="bottom" wrapText="1"/>
    </xf>
    <xf borderId="13" fillId="0" fontId="171" numFmtId="0" xfId="0" applyAlignment="1" applyBorder="1" applyFont="1">
      <alignment horizontal="left" readingOrder="0" shrinkToFit="0" vertical="bottom" wrapText="1"/>
    </xf>
    <xf borderId="13" fillId="0" fontId="171" numFmtId="0" xfId="0" applyAlignment="1" applyBorder="1" applyFont="1">
      <alignment horizontal="left" readingOrder="0" shrinkToFit="0" vertical="bottom" wrapText="1"/>
    </xf>
    <xf borderId="13" fillId="0" fontId="172" numFmtId="0" xfId="0" applyAlignment="1" applyBorder="1" applyFont="1">
      <alignment horizontal="left" shrinkToFit="0" vertical="bottom" wrapText="0"/>
    </xf>
    <xf borderId="0" fillId="0" fontId="172" numFmtId="0" xfId="0" applyAlignment="1" applyFont="1">
      <alignment horizontal="left" shrinkToFit="0" vertical="bottom" wrapText="0"/>
    </xf>
    <xf borderId="13" fillId="0" fontId="174" numFmtId="0" xfId="0" applyAlignment="1" applyBorder="1" applyFont="1">
      <alignment horizontal="left" readingOrder="0" shrinkToFit="0" vertical="bottom" wrapText="0"/>
    </xf>
    <xf borderId="13" fillId="0" fontId="172" numFmtId="0" xfId="0" applyAlignment="1" applyBorder="1" applyFont="1">
      <alignment horizontal="left" shrinkToFit="0" vertical="bottom" wrapText="1"/>
    </xf>
    <xf borderId="0" fillId="0" fontId="172" numFmtId="0" xfId="0" applyAlignment="1" applyFont="1">
      <alignment horizontal="left" shrinkToFit="0" vertical="bottom" wrapText="1"/>
    </xf>
    <xf borderId="0" fillId="37" fontId="175" numFmtId="0" xfId="0" applyAlignment="1" applyFill="1" applyFont="1">
      <alignment readingOrder="0"/>
    </xf>
    <xf borderId="0" fillId="37" fontId="176" numFmtId="0" xfId="0" applyAlignment="1" applyFont="1">
      <alignment readingOrder="0"/>
    </xf>
    <xf borderId="0" fillId="37" fontId="177" numFmtId="0" xfId="0" applyAlignment="1" applyFont="1">
      <alignment readingOrder="0"/>
    </xf>
    <xf borderId="42" fillId="38" fontId="178" numFmtId="0" xfId="0" applyAlignment="1" applyBorder="1" applyFill="1" applyFont="1">
      <alignment horizontal="center" readingOrder="0" vertical="center"/>
    </xf>
    <xf borderId="0" fillId="38" fontId="178" numFmtId="0" xfId="0" applyAlignment="1" applyFont="1">
      <alignment horizontal="center" readingOrder="0" vertical="center"/>
    </xf>
    <xf borderId="9" fillId="38" fontId="177" numFmtId="0" xfId="0" applyAlignment="1" applyBorder="1" applyFont="1">
      <alignment horizontal="center" readingOrder="0" vertical="center"/>
    </xf>
    <xf borderId="13" fillId="0" fontId="179" numFmtId="0" xfId="0" applyAlignment="1" applyBorder="1" applyFont="1">
      <alignment horizontal="left" readingOrder="0" shrinkToFit="0" vertical="bottom" wrapText="1"/>
    </xf>
    <xf borderId="0" fillId="37" fontId="180" numFmtId="0" xfId="0" applyAlignment="1" applyFont="1">
      <alignment horizontal="center" readingOrder="0" vertical="center"/>
    </xf>
    <xf borderId="0" fillId="0" fontId="11" numFmtId="165" xfId="0" applyAlignment="1" applyFont="1" applyNumberFormat="1">
      <alignment horizontal="center" readingOrder="0" vertical="center"/>
    </xf>
    <xf borderId="0" fillId="0" fontId="9" numFmtId="0" xfId="0" applyAlignment="1" applyFont="1">
      <alignment horizontal="center" shrinkToFit="0" vertical="center" wrapText="1"/>
    </xf>
    <xf borderId="13" fillId="0" fontId="172" numFmtId="0" xfId="0" applyAlignment="1" applyBorder="1" applyFont="1">
      <alignment horizontal="left" shrinkToFit="0" vertical="bottom" wrapText="1"/>
    </xf>
    <xf borderId="0" fillId="0" fontId="3" numFmtId="0" xfId="0" applyAlignment="1" applyFont="1">
      <alignment horizontal="center" readingOrder="0" shrinkToFit="0" vertical="center" wrapText="1"/>
    </xf>
    <xf borderId="4" fillId="0" fontId="9" numFmtId="0" xfId="0" applyAlignment="1" applyBorder="1" applyFont="1">
      <alignment horizontal="center" shrinkToFit="0" vertical="center" wrapText="1"/>
    </xf>
    <xf borderId="0" fillId="0" fontId="11" numFmtId="165" xfId="0" applyAlignment="1" applyFont="1" applyNumberFormat="1">
      <alignment horizontal="center" readingOrder="0" shrinkToFit="0" vertical="center" wrapText="1"/>
    </xf>
    <xf borderId="26" fillId="0" fontId="11" numFmtId="0" xfId="0" applyAlignment="1" applyBorder="1" applyFont="1">
      <alignment horizontal="center" readingOrder="0" shrinkToFit="0" vertical="center" wrapText="1"/>
    </xf>
    <xf borderId="0" fillId="6" fontId="0" numFmtId="0" xfId="0" applyAlignment="1" applyFont="1">
      <alignment horizontal="center" readingOrder="0" shrinkToFit="0" vertical="center" wrapText="1"/>
    </xf>
    <xf borderId="0" fillId="6" fontId="31" numFmtId="165" xfId="0" applyAlignment="1" applyFont="1" applyNumberFormat="1">
      <alignment horizontal="center" readingOrder="0" vertical="center"/>
    </xf>
    <xf borderId="13" fillId="0" fontId="171" numFmtId="0" xfId="0" applyAlignment="1" applyBorder="1" applyFont="1">
      <alignment horizontal="left" shrinkToFit="0" vertical="bottom" wrapText="0"/>
    </xf>
    <xf borderId="0" fillId="6" fontId="31" numFmtId="0" xfId="0" applyAlignment="1" applyFont="1">
      <alignment horizontal="center" readingOrder="0" vertical="center"/>
    </xf>
    <xf borderId="26" fillId="0" fontId="11" numFmtId="0" xfId="0" applyAlignment="1" applyBorder="1" applyFont="1">
      <alignment horizontal="center" shrinkToFit="0" vertical="center" wrapText="1"/>
    </xf>
    <xf borderId="0" fillId="0" fontId="11" numFmtId="165" xfId="0" applyAlignment="1" applyFont="1" applyNumberFormat="1">
      <alignment readingOrder="0" shrinkToFit="0" wrapText="1"/>
    </xf>
    <xf borderId="26" fillId="0" fontId="11" numFmtId="0" xfId="0" applyAlignment="1" applyBorder="1" applyFont="1">
      <alignment shrinkToFit="0" wrapText="1"/>
    </xf>
    <xf borderId="0" fillId="0" fontId="9" numFmtId="165" xfId="0" applyAlignment="1" applyFont="1" applyNumberFormat="1">
      <alignment horizontal="right" shrinkToFit="0" vertical="bottom" wrapText="1"/>
    </xf>
    <xf borderId="0" fillId="0" fontId="9" numFmtId="0" xfId="0" applyAlignment="1" applyFont="1">
      <alignment readingOrder="0" shrinkToFit="0" vertical="bottom" wrapText="1"/>
    </xf>
    <xf borderId="0" fillId="0" fontId="9" numFmtId="0" xfId="0" applyAlignment="1" applyFont="1">
      <alignment shrinkToFit="0" vertical="bottom" wrapText="1"/>
    </xf>
    <xf borderId="0" fillId="0" fontId="9" numFmtId="0" xfId="0" applyAlignment="1" applyFont="1">
      <alignment readingOrder="0" vertical="bottom"/>
    </xf>
    <xf borderId="26" fillId="0" fontId="9" numFmtId="0" xfId="0" applyAlignment="1" applyBorder="1" applyFont="1">
      <alignment vertical="bottom"/>
    </xf>
    <xf borderId="0" fillId="0" fontId="9" numFmtId="165" xfId="0" applyAlignment="1" applyFont="1" applyNumberFormat="1">
      <alignment vertical="bottom"/>
    </xf>
    <xf borderId="0" fillId="0" fontId="9" numFmtId="0" xfId="0" applyAlignment="1" applyFont="1">
      <alignment vertical="bottom"/>
    </xf>
    <xf borderId="0" fillId="0" fontId="9" numFmtId="0" xfId="0" applyAlignment="1" applyFont="1">
      <alignment horizontal="right" shrinkToFit="0" vertical="bottom" wrapText="1"/>
    </xf>
    <xf borderId="0" fillId="0" fontId="9" numFmtId="0" xfId="0" applyAlignment="1" applyFont="1">
      <alignment vertical="bottom"/>
    </xf>
    <xf borderId="0" fillId="0" fontId="9" numFmtId="0" xfId="0" applyAlignment="1" applyFont="1">
      <alignment shrinkToFit="0" vertical="bottom" wrapText="1"/>
    </xf>
    <xf borderId="26" fillId="0" fontId="9" numFmtId="0" xfId="0" applyAlignment="1" applyBorder="1" applyFont="1">
      <alignment vertical="bottom"/>
    </xf>
    <xf borderId="26" fillId="0" fontId="9" numFmtId="0" xfId="0" applyAlignment="1" applyBorder="1" applyFont="1">
      <alignment shrinkToFit="0" vertical="bottom" wrapText="1"/>
    </xf>
    <xf borderId="13" fillId="0" fontId="172" numFmtId="0" xfId="0" applyAlignment="1" applyBorder="1" applyFont="1">
      <alignment horizontal="left" readingOrder="0" shrinkToFit="0" vertical="bottom" wrapText="1"/>
    </xf>
    <xf borderId="0" fillId="0" fontId="172" numFmtId="0" xfId="0" applyAlignment="1" applyFont="1">
      <alignment horizontal="left" readingOrder="0" shrinkToFit="0" vertical="bottom" wrapText="1"/>
    </xf>
    <xf borderId="13" fillId="0" fontId="172" numFmtId="0" xfId="0" applyAlignment="1" applyBorder="1" applyFont="1">
      <alignment horizontal="left" shrinkToFit="0" vertical="bottom" wrapText="0"/>
    </xf>
    <xf borderId="13" fillId="0" fontId="171" numFmtId="0" xfId="0" applyAlignment="1" applyBorder="1" applyFont="1">
      <alignment horizontal="left" readingOrder="0" shrinkToFit="0" vertical="bottom" wrapText="1"/>
    </xf>
    <xf borderId="0" fillId="39" fontId="90" numFmtId="0" xfId="0" applyAlignment="1" applyFill="1" applyFont="1">
      <alignment horizontal="center" readingOrder="0" shrinkToFit="0" wrapText="1"/>
    </xf>
    <xf borderId="0" fillId="39" fontId="90" numFmtId="0" xfId="0" applyAlignment="1" applyFont="1">
      <alignment horizontal="center" shrinkToFit="0" wrapText="1"/>
    </xf>
    <xf borderId="0" fillId="39" fontId="90" numFmtId="0" xfId="0" applyAlignment="1" applyFont="1">
      <alignment horizontal="center" shrinkToFit="0" wrapText="1"/>
    </xf>
    <xf borderId="0" fillId="0" fontId="11" numFmtId="0" xfId="0" applyAlignment="1" applyFont="1">
      <alignment readingOrder="0"/>
    </xf>
    <xf borderId="0" fillId="0" fontId="11" numFmtId="165" xfId="0" applyAlignment="1" applyFont="1" applyNumberFormat="1">
      <alignment readingOrder="0"/>
    </xf>
    <xf borderId="0" fillId="0" fontId="11" numFmtId="0" xfId="0" applyFont="1"/>
    <xf borderId="0" fillId="0" fontId="87" numFmtId="0" xfId="0" applyAlignment="1" applyFont="1">
      <alignment readingOrder="0" shrinkToFit="0" wrapText="1"/>
    </xf>
    <xf borderId="0" fillId="0" fontId="87" numFmtId="0" xfId="0" applyAlignment="1" applyFont="1">
      <alignment readingOrder="0"/>
    </xf>
    <xf borderId="0" fillId="0" fontId="11" numFmtId="0" xfId="0" applyAlignment="1" applyFont="1">
      <alignment readingOrder="0" shrinkToFit="0" wrapText="1"/>
    </xf>
    <xf borderId="0" fillId="0" fontId="11" numFmtId="0" xfId="0" applyAlignment="1" applyFont="1">
      <alignment readingOrder="0"/>
    </xf>
    <xf borderId="0" fillId="0" fontId="11" numFmtId="0" xfId="0" applyAlignment="1" applyFont="1">
      <alignment horizontal="right" readingOrder="0"/>
    </xf>
    <xf borderId="0" fillId="0" fontId="97" numFmtId="0" xfId="0" applyAlignment="1" applyFont="1">
      <alignment readingOrder="0" shrinkToFit="0" wrapText="1"/>
    </xf>
    <xf borderId="0" fillId="0" fontId="3" numFmtId="0" xfId="0" applyAlignment="1" applyFont="1">
      <alignment readingOrder="0"/>
    </xf>
    <xf borderId="0" fillId="0" fontId="11" numFmtId="171" xfId="0" applyAlignment="1" applyFont="1" applyNumberFormat="1">
      <alignment readingOrder="0"/>
    </xf>
    <xf borderId="0" fillId="37" fontId="181" numFmtId="0" xfId="0" applyAlignment="1" applyFont="1">
      <alignment readingOrder="0"/>
    </xf>
    <xf borderId="0" fillId="37" fontId="182" numFmtId="0" xfId="0" applyAlignment="1" applyFont="1">
      <alignment readingOrder="0"/>
    </xf>
    <xf borderId="13" fillId="0" fontId="171" numFmtId="0" xfId="0" applyAlignment="1" applyBorder="1" applyFont="1">
      <alignment horizontal="left" shrinkToFit="0" vertical="bottom" wrapText="0"/>
    </xf>
    <xf borderId="0" fillId="0" fontId="171" numFmtId="0" xfId="0" applyAlignment="1" applyFont="1">
      <alignment horizontal="left" shrinkToFit="0" vertical="bottom" wrapText="0"/>
    </xf>
    <xf borderId="9" fillId="38" fontId="183" numFmtId="0" xfId="0" applyAlignment="1" applyBorder="1" applyFont="1">
      <alignment horizontal="center" readingOrder="0"/>
    </xf>
    <xf borderId="42" fillId="38" fontId="178" numFmtId="0" xfId="0" applyAlignment="1" applyBorder="1" applyFont="1">
      <alignment horizontal="center" readingOrder="0"/>
    </xf>
    <xf borderId="0" fillId="38" fontId="178" numFmtId="0" xfId="0" applyAlignment="1" applyFont="1">
      <alignment horizontal="center" readingOrder="0"/>
    </xf>
    <xf borderId="9" fillId="38" fontId="178" numFmtId="0" xfId="0" applyAlignment="1" applyBorder="1" applyFont="1">
      <alignment horizontal="left" readingOrder="0"/>
    </xf>
    <xf borderId="0" fillId="38" fontId="178" numFmtId="0" xfId="0" applyAlignment="1" applyFont="1">
      <alignment horizontal="left" readingOrder="0"/>
    </xf>
    <xf borderId="0" fillId="6" fontId="31" numFmtId="0" xfId="0" applyAlignment="1" applyFont="1">
      <alignment horizontal="center" readingOrder="0" shrinkToFit="0" vertical="center" wrapText="1"/>
    </xf>
    <xf borderId="13" fillId="0" fontId="11" numFmtId="0" xfId="0" applyAlignment="1" applyBorder="1" applyFont="1">
      <alignment horizontal="left" vertical="bottom"/>
    </xf>
    <xf borderId="13" fillId="0" fontId="11" numFmtId="0" xfId="0" applyAlignment="1" applyBorder="1" applyFont="1">
      <alignment horizontal="left" readingOrder="0" shrinkToFit="0" vertical="bottom" wrapText="1"/>
    </xf>
    <xf borderId="0" fillId="0" fontId="11" numFmtId="0" xfId="0" applyAlignment="1" applyFont="1">
      <alignment horizontal="left" readingOrder="0" shrinkToFit="0" vertical="bottom" wrapText="1"/>
    </xf>
    <xf borderId="13" fillId="0" fontId="11" numFmtId="0" xfId="0" applyAlignment="1" applyBorder="1" applyFont="1">
      <alignment horizontal="left" shrinkToFit="0" vertical="bottom" wrapText="1"/>
    </xf>
    <xf borderId="0" fillId="0" fontId="11" numFmtId="0" xfId="0" applyAlignment="1" applyFont="1">
      <alignment horizontal="left" shrinkToFit="0" vertical="bottom" wrapText="1"/>
    </xf>
    <xf borderId="0" fillId="6" fontId="31" numFmtId="0" xfId="0" applyAlignment="1" applyFont="1">
      <alignment horizontal="center" readingOrder="0" shrinkToFit="0" vertical="center" wrapText="1"/>
    </xf>
    <xf borderId="0" fillId="0" fontId="57" numFmtId="0" xfId="0" applyAlignment="1" applyFont="1">
      <alignment horizontal="center" readingOrder="0" shrinkToFit="0" vertical="center" wrapText="1"/>
    </xf>
    <xf borderId="4" fillId="0" fontId="11" numFmtId="0" xfId="0" applyAlignment="1" applyBorder="1" applyFont="1">
      <alignment horizontal="center" vertical="center"/>
    </xf>
    <xf borderId="26" fillId="0" fontId="11" numFmtId="0" xfId="0" applyAlignment="1" applyBorder="1" applyFont="1">
      <alignment horizontal="center" readingOrder="0" vertical="center"/>
    </xf>
    <xf borderId="0" fillId="6" fontId="36" numFmtId="0" xfId="0" applyAlignment="1" applyFont="1">
      <alignment horizontal="center" readingOrder="0" vertical="center"/>
    </xf>
    <xf borderId="26" fillId="0" fontId="11" numFmtId="0" xfId="0" applyAlignment="1" applyBorder="1" applyFont="1">
      <alignment horizontal="center" vertical="center"/>
    </xf>
    <xf borderId="0" fillId="0" fontId="9" numFmtId="165" xfId="0" applyAlignment="1" applyFont="1" applyNumberFormat="1">
      <alignment horizontal="center" readingOrder="0" vertical="center"/>
    </xf>
    <xf borderId="0" fillId="0" fontId="9" numFmtId="0" xfId="0" applyAlignment="1" applyFont="1">
      <alignment horizontal="center" vertical="center"/>
    </xf>
    <xf borderId="26" fillId="0" fontId="9" numFmtId="0" xfId="0" applyAlignment="1" applyBorder="1" applyFont="1">
      <alignment horizontal="center" vertical="center"/>
    </xf>
    <xf borderId="0" fillId="0" fontId="9" numFmtId="0" xfId="0" applyAlignment="1" applyFont="1">
      <alignment horizontal="center" readingOrder="0" vertical="center"/>
    </xf>
    <xf borderId="26" fillId="0" fontId="9" numFmtId="0" xfId="0" applyAlignment="1" applyBorder="1" applyFont="1">
      <alignment horizontal="center" readingOrder="0" vertical="center"/>
    </xf>
    <xf borderId="0" fillId="0" fontId="9" numFmtId="165" xfId="0" applyAlignment="1" applyFont="1" applyNumberFormat="1">
      <alignment horizontal="center" readingOrder="0" shrinkToFit="0" vertical="center" wrapText="1"/>
    </xf>
    <xf borderId="0" fillId="0" fontId="9" numFmtId="0" xfId="0" applyAlignment="1" applyFont="1">
      <alignment horizontal="center" shrinkToFit="0" vertical="center" wrapText="1"/>
    </xf>
    <xf borderId="26" fillId="0" fontId="9" numFmtId="0" xfId="0" applyAlignment="1" applyBorder="1" applyFont="1">
      <alignment horizontal="center" shrinkToFit="0" vertical="center" wrapText="1"/>
    </xf>
    <xf borderId="0" fillId="0" fontId="9" numFmtId="0" xfId="0" applyAlignment="1" applyFont="1">
      <alignment horizontal="center" vertical="center"/>
    </xf>
    <xf borderId="26" fillId="0" fontId="9" numFmtId="0" xfId="0" applyAlignment="1" applyBorder="1" applyFont="1">
      <alignment horizontal="center" vertical="center"/>
    </xf>
    <xf borderId="43" fillId="0" fontId="15" numFmtId="0" xfId="0" applyAlignment="1" applyBorder="1" applyFont="1">
      <alignment readingOrder="0" vertical="center"/>
    </xf>
    <xf borderId="0" fillId="0" fontId="15" numFmtId="0" xfId="0" applyAlignment="1" applyFont="1">
      <alignment vertical="center"/>
    </xf>
    <xf borderId="0" fillId="0" fontId="15" numFmtId="0" xfId="0" applyAlignment="1" applyFont="1">
      <alignment horizontal="center" vertical="center"/>
    </xf>
    <xf borderId="0" fillId="40" fontId="15" numFmtId="0" xfId="0" applyAlignment="1" applyFill="1" applyFont="1">
      <alignment horizontal="center" vertical="center"/>
    </xf>
    <xf borderId="0" fillId="0" fontId="15" numFmtId="0" xfId="0" applyAlignment="1" applyFont="1">
      <alignment horizontal="center" readingOrder="0" vertical="center"/>
    </xf>
    <xf borderId="0" fillId="0" fontId="15" numFmtId="0" xfId="0" applyAlignment="1" applyFont="1">
      <alignment horizontal="center" vertical="center"/>
    </xf>
    <xf borderId="13" fillId="0" fontId="15" numFmtId="0" xfId="0" applyAlignment="1" applyBorder="1" applyFont="1">
      <alignment vertical="center"/>
    </xf>
    <xf borderId="9" fillId="0" fontId="15" numFmtId="0" xfId="0" applyAlignment="1" applyBorder="1" applyFont="1">
      <alignment horizontal="center" vertical="center"/>
    </xf>
    <xf borderId="13" fillId="40" fontId="15" numFmtId="0" xfId="0" applyAlignment="1" applyBorder="1" applyFont="1">
      <alignment horizontal="center" vertical="center"/>
    </xf>
    <xf borderId="8" fillId="0" fontId="15" numFmtId="0" xfId="0" applyAlignment="1" applyBorder="1" applyFont="1">
      <alignment horizontal="center" vertical="center"/>
    </xf>
    <xf borderId="13" fillId="0" fontId="15" numFmtId="0" xfId="0" applyAlignment="1" applyBorder="1" applyFont="1">
      <alignment horizontal="center" vertical="center"/>
    </xf>
    <xf borderId="13" fillId="0" fontId="15" numFmtId="0" xfId="0" applyAlignment="1" applyBorder="1" applyFont="1">
      <alignment horizontal="center" vertical="center"/>
    </xf>
    <xf borderId="13" fillId="0" fontId="15" numFmtId="0" xfId="0" applyAlignment="1" applyBorder="1" applyFont="1">
      <alignment horizontal="center" readingOrder="0" vertical="center"/>
    </xf>
    <xf borderId="13" fillId="6" fontId="15" numFmtId="0" xfId="0" applyAlignment="1" applyBorder="1" applyFont="1">
      <alignment vertical="center"/>
    </xf>
    <xf borderId="9" fillId="6" fontId="15" numFmtId="0" xfId="0" applyAlignment="1" applyBorder="1" applyFont="1">
      <alignment horizontal="center" vertical="center"/>
    </xf>
    <xf borderId="8" fillId="6" fontId="15" numFmtId="0" xfId="0" applyAlignment="1" applyBorder="1" applyFont="1">
      <alignment horizontal="center" readingOrder="0" vertical="center"/>
    </xf>
    <xf borderId="13" fillId="6" fontId="15" numFmtId="0" xfId="0" applyAlignment="1" applyBorder="1" applyFont="1">
      <alignment horizontal="center" readingOrder="0" vertical="center"/>
    </xf>
    <xf borderId="13" fillId="6" fontId="15" numFmtId="0" xfId="0" applyAlignment="1" applyBorder="1" applyFont="1">
      <alignment horizontal="center" vertical="center"/>
    </xf>
    <xf borderId="13" fillId="6" fontId="15" numFmtId="0" xfId="0" applyAlignment="1" applyBorder="1" applyFont="1">
      <alignment horizontal="center" vertical="center"/>
    </xf>
    <xf borderId="13" fillId="41" fontId="15" numFmtId="0" xfId="0" applyAlignment="1" applyBorder="1" applyFill="1" applyFont="1">
      <alignment vertical="center"/>
    </xf>
    <xf borderId="9" fillId="41" fontId="15" numFmtId="0" xfId="0" applyAlignment="1" applyBorder="1" applyFont="1">
      <alignment horizontal="center" vertical="center"/>
    </xf>
    <xf borderId="8" fillId="41" fontId="15" numFmtId="0" xfId="0" applyAlignment="1" applyBorder="1" applyFont="1">
      <alignment horizontal="center" vertical="center"/>
    </xf>
    <xf borderId="13" fillId="41" fontId="15" numFmtId="0" xfId="0" applyAlignment="1" applyBorder="1" applyFont="1">
      <alignment horizontal="center" vertical="center"/>
    </xf>
    <xf borderId="13" fillId="41" fontId="15" numFmtId="0" xfId="0" applyAlignment="1" applyBorder="1" applyFont="1">
      <alignment horizontal="center" readingOrder="0" vertical="center"/>
    </xf>
    <xf borderId="13" fillId="41" fontId="15" numFmtId="0" xfId="0" applyAlignment="1" applyBorder="1" applyFont="1">
      <alignment horizontal="center" vertical="center"/>
    </xf>
    <xf borderId="8" fillId="41" fontId="15" numFmtId="0" xfId="0" applyAlignment="1" applyBorder="1" applyFont="1">
      <alignment horizontal="center" readingOrder="0" vertical="center"/>
    </xf>
    <xf borderId="0" fillId="41" fontId="15" numFmtId="0" xfId="0" applyAlignment="1" applyFont="1">
      <alignment horizontal="center" readingOrder="0" vertical="center"/>
    </xf>
    <xf borderId="8" fillId="6" fontId="15" numFmtId="0" xfId="0" applyAlignment="1" applyBorder="1" applyFont="1">
      <alignment horizontal="center" vertical="center"/>
    </xf>
    <xf borderId="0" fillId="6" fontId="15" numFmtId="0" xfId="0" applyAlignment="1" applyFont="1">
      <alignment horizontal="center" vertical="center"/>
    </xf>
    <xf borderId="8" fillId="6" fontId="15" numFmtId="0" xfId="0" applyAlignment="1" applyBorder="1" applyFont="1">
      <alignment horizontal="center" vertical="center"/>
    </xf>
    <xf borderId="9" fillId="41" fontId="15" numFmtId="164" xfId="0" applyAlignment="1" applyBorder="1" applyFont="1" applyNumberFormat="1">
      <alignment horizontal="center" vertical="center"/>
    </xf>
    <xf borderId="8" fillId="41" fontId="15" numFmtId="0" xfId="0" applyAlignment="1" applyBorder="1" applyFont="1">
      <alignment horizontal="center" vertical="center"/>
    </xf>
    <xf borderId="13" fillId="41" fontId="15" numFmtId="164" xfId="0" applyAlignment="1" applyBorder="1" applyFont="1" applyNumberFormat="1">
      <alignment vertical="center"/>
    </xf>
    <xf borderId="0" fillId="6" fontId="7" numFmtId="0" xfId="0" applyAlignment="1" applyFont="1">
      <alignment horizontal="center" shrinkToFit="0" vertical="center" wrapText="1"/>
    </xf>
    <xf borderId="0" fillId="4" fontId="9" numFmtId="0" xfId="0" applyAlignment="1" applyFont="1">
      <alignment horizontal="center" readingOrder="0" vertical="center"/>
    </xf>
    <xf borderId="0" fillId="13" fontId="9" numFmtId="168" xfId="0" applyAlignment="1" applyFont="1" applyNumberFormat="1">
      <alignment horizontal="center" vertical="center"/>
    </xf>
    <xf borderId="0" fillId="6" fontId="9" numFmtId="168" xfId="0" applyAlignment="1" applyFont="1" applyNumberFormat="1">
      <alignment horizontal="center" vertical="center"/>
    </xf>
    <xf borderId="0" fillId="6" fontId="15" numFmtId="0" xfId="0" applyAlignment="1" applyFont="1">
      <alignment horizontal="center" readingOrder="0" vertical="center"/>
    </xf>
    <xf borderId="0" fillId="6" fontId="9" numFmtId="165" xfId="0" applyAlignment="1" applyFont="1" applyNumberFormat="1">
      <alignment vertical="bottom"/>
    </xf>
    <xf borderId="0" fillId="0" fontId="15" numFmtId="0" xfId="0" applyAlignment="1" applyFont="1">
      <alignment readingOrder="0" vertical="center"/>
    </xf>
    <xf borderId="0" fillId="13" fontId="9" numFmtId="165" xfId="0" applyAlignment="1" applyFont="1" applyNumberFormat="1">
      <alignment vertical="bottom"/>
    </xf>
    <xf borderId="13" fillId="6" fontId="15" numFmtId="164" xfId="0" applyAlignment="1" applyBorder="1" applyFont="1" applyNumberFormat="1">
      <alignment vertical="center"/>
    </xf>
    <xf borderId="9" fillId="0" fontId="15" numFmtId="0" xfId="0" applyAlignment="1" applyBorder="1" applyFont="1">
      <alignment horizontal="center" readingOrder="0" vertical="center"/>
    </xf>
    <xf borderId="13" fillId="40" fontId="15" numFmtId="0" xfId="0" applyAlignment="1" applyBorder="1" applyFont="1">
      <alignment horizontal="center" readingOrder="0" vertical="center"/>
    </xf>
    <xf borderId="8" fillId="0" fontId="15" numFmtId="0" xfId="0" applyAlignment="1" applyBorder="1" applyFont="1">
      <alignment horizontal="center" readingOrder="0" vertical="center"/>
    </xf>
    <xf borderId="0" fillId="0" fontId="15" numFmtId="0" xfId="0" applyAlignment="1" applyFont="1">
      <alignment horizontal="left" readingOrder="0" vertical="center"/>
    </xf>
    <xf borderId="13" fillId="41" fontId="11" numFmtId="0" xfId="0" applyBorder="1" applyFont="1"/>
    <xf borderId="13" fillId="0" fontId="15" numFmtId="164" xfId="0" applyAlignment="1" applyBorder="1" applyFont="1" applyNumberFormat="1">
      <alignment vertical="center"/>
    </xf>
    <xf borderId="13" fillId="0" fontId="15" numFmtId="0" xfId="0" applyAlignment="1" applyBorder="1" applyFont="1">
      <alignment horizontal="left" vertical="center"/>
    </xf>
    <xf borderId="0" fillId="6" fontId="9" numFmtId="167" xfId="0" applyAlignment="1" applyFont="1" applyNumberFormat="1">
      <alignment vertical="bottom"/>
    </xf>
    <xf borderId="0" fillId="6" fontId="184" numFmtId="0" xfId="0" applyAlignment="1" applyFont="1">
      <alignment shrinkToFit="0" vertical="bottom" wrapText="1"/>
    </xf>
    <xf borderId="0" fillId="13" fontId="9" numFmtId="172" xfId="0" applyAlignment="1" applyFont="1" applyNumberFormat="1">
      <alignment vertical="bottom"/>
    </xf>
    <xf borderId="0" fillId="6" fontId="9" numFmtId="168" xfId="0" applyAlignment="1" applyFont="1" applyNumberFormat="1">
      <alignment vertical="bottom"/>
    </xf>
    <xf borderId="13" fillId="41" fontId="15" numFmtId="0" xfId="0" applyAlignment="1" applyBorder="1" applyFont="1">
      <alignment readingOrder="0" vertical="center"/>
    </xf>
    <xf borderId="21" fillId="6" fontId="15" numFmtId="0" xfId="0" applyAlignment="1" applyBorder="1" applyFont="1">
      <alignment vertical="center"/>
    </xf>
    <xf borderId="21" fillId="6" fontId="20" numFmtId="0" xfId="0" applyAlignment="1" applyBorder="1" applyFont="1">
      <alignment horizontal="left" readingOrder="0" shrinkToFit="0" vertical="center" wrapText="1"/>
    </xf>
    <xf borderId="14" fillId="6" fontId="15" numFmtId="0" xfId="0" applyAlignment="1" applyBorder="1" applyFont="1">
      <alignment horizontal="center" vertical="center"/>
    </xf>
    <xf borderId="15" fillId="6" fontId="15" numFmtId="0" xfId="0" applyAlignment="1" applyBorder="1" applyFont="1">
      <alignment horizontal="center" readingOrder="0" vertical="center"/>
    </xf>
    <xf borderId="21" fillId="6" fontId="67" numFmtId="0" xfId="0" applyAlignment="1" applyBorder="1" applyFont="1">
      <alignment horizontal="center" readingOrder="0" vertical="center"/>
    </xf>
    <xf borderId="21" fillId="6" fontId="15" numFmtId="0" xfId="0" applyAlignment="1" applyBorder="1" applyFont="1">
      <alignment horizontal="center" readingOrder="0" vertical="center"/>
    </xf>
    <xf borderId="21" fillId="6" fontId="15" numFmtId="0" xfId="0" applyAlignment="1" applyBorder="1" applyFont="1">
      <alignment horizontal="center" vertical="center"/>
    </xf>
    <xf borderId="21" fillId="6" fontId="15" numFmtId="0" xfId="0" applyAlignment="1" applyBorder="1" applyFont="1">
      <alignment horizontal="center" vertical="center"/>
    </xf>
    <xf borderId="9" fillId="23" fontId="124" numFmtId="0" xfId="0" applyBorder="1" applyFont="1"/>
    <xf borderId="13" fillId="6" fontId="11" numFmtId="0" xfId="0" applyAlignment="1" applyBorder="1" applyFont="1">
      <alignment readingOrder="0"/>
    </xf>
    <xf borderId="7" fillId="41" fontId="11" numFmtId="0" xfId="0" applyBorder="1" applyFont="1"/>
    <xf borderId="0" fillId="41" fontId="15" numFmtId="0" xfId="0" applyAlignment="1" applyFont="1">
      <alignment vertical="center"/>
    </xf>
    <xf borderId="8" fillId="41" fontId="11" numFmtId="0" xfId="0" applyBorder="1" applyFont="1"/>
    <xf borderId="13" fillId="6" fontId="15" numFmtId="0" xfId="0" applyAlignment="1" applyBorder="1" applyFont="1">
      <alignment readingOrder="0" vertical="center"/>
    </xf>
    <xf borderId="13" fillId="6" fontId="185" numFmtId="0" xfId="0" applyAlignment="1" applyBorder="1" applyFont="1">
      <alignment readingOrder="0"/>
    </xf>
    <xf borderId="0" fillId="6" fontId="15" numFmtId="0" xfId="0" applyAlignment="1" applyFont="1">
      <alignment horizontal="center" vertical="center"/>
    </xf>
    <xf borderId="9" fillId="41" fontId="15" numFmtId="0" xfId="0" applyAlignment="1" applyBorder="1" applyFont="1">
      <alignment horizontal="center" readingOrder="0" vertical="center"/>
    </xf>
    <xf borderId="9" fillId="41" fontId="15" numFmtId="164" xfId="0" applyAlignment="1" applyBorder="1" applyFont="1" applyNumberFormat="1">
      <alignment horizontal="center" readingOrder="0" vertical="center"/>
    </xf>
    <xf borderId="13" fillId="41" fontId="11" numFmtId="0" xfId="0" applyAlignment="1" applyBorder="1" applyFont="1">
      <alignment readingOrder="0"/>
    </xf>
    <xf borderId="13" fillId="6" fontId="186" numFmtId="0" xfId="0" applyAlignment="1" applyBorder="1" applyFont="1">
      <alignment readingOrder="0"/>
    </xf>
    <xf borderId="9" fillId="6" fontId="15" numFmtId="0" xfId="0" applyAlignment="1" applyBorder="1" applyFont="1">
      <alignment horizontal="center" readingOrder="0" vertical="center"/>
    </xf>
    <xf borderId="13" fillId="42" fontId="55" numFmtId="0" xfId="0" applyAlignment="1" applyBorder="1" applyFill="1" applyFont="1">
      <alignment horizontal="center" vertical="center"/>
    </xf>
    <xf borderId="13" fillId="42" fontId="14" numFmtId="0" xfId="0" applyAlignment="1" applyBorder="1" applyFont="1">
      <alignment horizontal="center" shrinkToFit="0" vertical="center" wrapText="1"/>
    </xf>
    <xf borderId="9" fillId="42" fontId="14" numFmtId="0" xfId="0" applyAlignment="1" applyBorder="1" applyFont="1">
      <alignment horizontal="center" shrinkToFit="0" vertical="center" wrapText="1"/>
    </xf>
    <xf borderId="13" fillId="40" fontId="187" numFmtId="0" xfId="0" applyAlignment="1" applyBorder="1" applyFont="1">
      <alignment horizontal="center" shrinkToFit="0" vertical="center" wrapText="1"/>
    </xf>
    <xf borderId="8" fillId="43" fontId="188" numFmtId="0" xfId="0" applyAlignment="1" applyBorder="1" applyFill="1" applyFont="1">
      <alignment horizontal="center" shrinkToFit="0" vertical="center" wrapText="1"/>
    </xf>
    <xf borderId="13" fillId="43" fontId="188" numFmtId="0" xfId="0" applyAlignment="1" applyBorder="1" applyFont="1">
      <alignment horizontal="center" shrinkToFit="0" vertical="center" wrapText="1"/>
    </xf>
    <xf borderId="13" fillId="43" fontId="188" numFmtId="0" xfId="0" applyAlignment="1" applyBorder="1" applyFont="1">
      <alignment horizontal="center" shrinkToFit="0" vertical="center" wrapText="1"/>
    </xf>
    <xf borderId="13" fillId="43" fontId="189" numFmtId="0" xfId="0" applyAlignment="1" applyBorder="1" applyFont="1">
      <alignment horizontal="center" shrinkToFit="0" vertical="center" wrapText="1"/>
    </xf>
    <xf borderId="9" fillId="6" fontId="15" numFmtId="164" xfId="0" applyAlignment="1" applyBorder="1" applyFont="1" applyNumberFormat="1">
      <alignment horizontal="center" vertical="center"/>
    </xf>
    <xf borderId="9" fillId="6" fontId="15" numFmtId="164" xfId="0" applyAlignment="1" applyBorder="1" applyFont="1" applyNumberFormat="1">
      <alignment horizontal="center" readingOrder="0" vertical="center"/>
    </xf>
    <xf borderId="0" fillId="6" fontId="15" numFmtId="0" xfId="0" applyAlignment="1" applyFont="1">
      <alignment vertical="center"/>
    </xf>
    <xf borderId="8" fillId="41" fontId="15" numFmtId="0" xfId="0" applyAlignment="1" applyBorder="1" applyFont="1">
      <alignment horizontal="right" vertical="center"/>
    </xf>
    <xf borderId="0" fillId="41" fontId="15" numFmtId="0" xfId="0" applyAlignment="1" applyFont="1">
      <alignment horizontal="center" vertical="center"/>
    </xf>
    <xf borderId="0" fillId="41" fontId="15" numFmtId="0" xfId="0" applyAlignment="1" applyFont="1">
      <alignment horizontal="center" vertical="center"/>
    </xf>
    <xf borderId="0" fillId="41" fontId="15" numFmtId="0" xfId="0" applyAlignment="1" applyFont="1">
      <alignment readingOrder="0" vertical="center"/>
    </xf>
    <xf borderId="13" fillId="42" fontId="55" numFmtId="0" xfId="0" applyAlignment="1" applyBorder="1" applyFont="1">
      <alignment horizontal="left" readingOrder="0" vertical="center"/>
    </xf>
    <xf borderId="13" fillId="42" fontId="14" numFmtId="0" xfId="0" applyAlignment="1" applyBorder="1" applyFont="1">
      <alignment horizontal="left" readingOrder="0" shrinkToFit="0" vertical="center" wrapText="1"/>
    </xf>
    <xf borderId="9" fillId="42" fontId="14" numFmtId="0" xfId="0" applyAlignment="1" applyBorder="1" applyFont="1">
      <alignment horizontal="left" shrinkToFit="0" vertical="center" wrapText="1"/>
    </xf>
    <xf borderId="13" fillId="40" fontId="187" numFmtId="0" xfId="0" applyAlignment="1" applyBorder="1" applyFont="1">
      <alignment horizontal="left" shrinkToFit="0" vertical="center" wrapText="1"/>
    </xf>
    <xf borderId="8" fillId="43" fontId="188" numFmtId="0" xfId="0" applyAlignment="1" applyBorder="1" applyFont="1">
      <alignment horizontal="left" shrinkToFit="0" vertical="center" wrapText="1"/>
    </xf>
    <xf borderId="13" fillId="43" fontId="188" numFmtId="0" xfId="0" applyAlignment="1" applyBorder="1" applyFont="1">
      <alignment horizontal="left" shrinkToFit="0" vertical="center" wrapText="1"/>
    </xf>
    <xf borderId="13" fillId="43" fontId="188" numFmtId="0" xfId="0" applyAlignment="1" applyBorder="1" applyFont="1">
      <alignment horizontal="left" shrinkToFit="0" vertical="center" wrapText="1"/>
    </xf>
    <xf borderId="13" fillId="43" fontId="189" numFmtId="0" xfId="0" applyAlignment="1" applyBorder="1" applyFont="1">
      <alignment horizontal="left" shrinkToFit="0" vertical="center" wrapText="1"/>
    </xf>
    <xf borderId="0" fillId="23" fontId="124" numFmtId="164" xfId="0" applyAlignment="1" applyFont="1" applyNumberFormat="1">
      <alignment readingOrder="0"/>
    </xf>
    <xf borderId="13" fillId="6" fontId="36" numFmtId="0" xfId="0" applyAlignment="1" applyBorder="1" applyFont="1">
      <alignment readingOrder="0"/>
    </xf>
    <xf borderId="9" fillId="23" fontId="124" numFmtId="0" xfId="0" applyAlignment="1" applyBorder="1" applyFont="1">
      <alignment readingOrder="0"/>
    </xf>
  </cellXfs>
  <cellStyles count="1">
    <cellStyle xfId="0" name="Normal" builtinId="0"/>
  </cellStyles>
  <dxfs count="21">
    <dxf>
      <font/>
      <fill>
        <patternFill patternType="none"/>
      </fill>
      <border/>
    </dxf>
    <dxf>
      <font/>
      <fill>
        <patternFill patternType="solid">
          <fgColor rgb="FFF7CB4D"/>
          <bgColor rgb="FFF7CB4D"/>
        </patternFill>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FEF8E3"/>
          <bgColor rgb="FFFEF8E3"/>
        </patternFill>
      </fill>
      <border/>
    </dxf>
    <dxf>
      <font/>
      <fill>
        <patternFill patternType="solid">
          <fgColor rgb="FFE8E7FC"/>
          <bgColor rgb="FFE8E7FC"/>
        </patternFill>
      </fill>
      <border/>
    </dxf>
    <dxf>
      <font/>
      <fill>
        <patternFill patternType="solid">
          <fgColor rgb="FFF8F2EB"/>
          <bgColor rgb="FFF8F2EB"/>
        </patternFill>
      </fill>
      <border/>
    </dxf>
    <dxf>
      <font/>
      <fill>
        <patternFill patternType="solid">
          <fgColor rgb="FFE7F9EF"/>
          <bgColor rgb="FFE7F9EF"/>
        </patternFill>
      </fill>
      <border/>
    </dxf>
    <dxf>
      <font/>
      <fill>
        <patternFill patternType="solid">
          <fgColor rgb="FF63D297"/>
          <bgColor rgb="FF63D297"/>
        </patternFill>
      </fill>
      <border/>
    </dxf>
    <dxf>
      <font/>
      <fill>
        <patternFill patternType="solid">
          <fgColor rgb="FFB7E1CD"/>
          <bgColor rgb="FFB7E1CD"/>
        </patternFill>
      </fill>
      <border/>
    </dxf>
    <dxf>
      <font/>
      <fill>
        <patternFill patternType="solid">
          <fgColor rgb="FFEEF7E3"/>
          <bgColor rgb="FFEEF7E3"/>
        </patternFill>
      </fill>
      <border/>
    </dxf>
    <dxf>
      <font/>
      <fill>
        <patternFill patternType="none"/>
      </fill>
      <border/>
    </dxf>
    <dxf>
      <font/>
      <fill>
        <patternFill patternType="solid">
          <fgColor rgb="FFE8E7FC"/>
          <bgColor rgb="FFE8E7FC"/>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000000"/>
      </font>
      <fill>
        <patternFill patternType="none"/>
      </fill>
      <border/>
    </dxf>
    <dxf>
      <font>
        <b/>
        <color rgb="FFFF0000"/>
      </font>
      <fill>
        <patternFill patternType="none"/>
      </fill>
      <border/>
    </dxf>
    <dxf>
      <font/>
      <fill>
        <patternFill patternType="solid">
          <fgColor rgb="FFF1B9ED"/>
          <bgColor rgb="FFF1B9ED"/>
        </patternFill>
      </fill>
      <border/>
    </dxf>
    <dxf>
      <font/>
      <fill>
        <patternFill patternType="solid">
          <fgColor rgb="FFF3F3F3"/>
          <bgColor rgb="FFF3F3F3"/>
        </patternFill>
      </fill>
      <border/>
    </dxf>
    <dxf>
      <font/>
      <fill>
        <patternFill patternType="solid">
          <fgColor rgb="FFB7B7B7"/>
          <bgColor rgb="FFB7B7B7"/>
        </patternFill>
      </fill>
      <border/>
    </dxf>
  </dxfs>
  <tableStyles count="10">
    <tableStyle count="3" pivot="0" name="HomeAway Student Impressions 25-style">
      <tableStyleElement dxfId="1" type="headerRow"/>
      <tableStyleElement dxfId="3" type="firstRowStripe"/>
      <tableStyleElement dxfId="4" type="secondRowStripe"/>
    </tableStyle>
    <tableStyle count="3" pivot="0" name="CHAT GENERAL-style">
      <tableStyleElement dxfId="2" type="headerRow"/>
      <tableStyleElement dxfId="3" type="firstRowStripe"/>
      <tableStyleElement dxfId="5" type="secondRowStripe"/>
    </tableStyle>
    <tableStyle count="2" pivot="0" name="HomeAway Student Impressions 25-style 2">
      <tableStyleElement dxfId="6" type="firstRowStripe"/>
      <tableStyleElement dxfId="3" type="secondRowStripe"/>
    </tableStyle>
    <tableStyle count="2" pivot="0" name="HomeAway Student Impressions 25-style 3">
      <tableStyleElement dxfId="3" type="firstRowStripe"/>
      <tableStyleElement dxfId="6" type="secondRowStripe"/>
    </tableStyle>
    <tableStyle count="2" pivot="0" name="A vs B-style">
      <tableStyleElement dxfId="3" type="firstRowStripe"/>
      <tableStyleElement dxfId="7" type="secondRowStripe"/>
    </tableStyle>
    <tableStyle count="2" pivot="0" name="A vs B-style 2">
      <tableStyleElement dxfId="3" type="firstRowStripe"/>
      <tableStyleElement dxfId="7" type="secondRowStripe"/>
    </tableStyle>
    <tableStyle count="3" pivot="0" name="A vs B-style 3">
      <tableStyleElement dxfId="8" type="headerRow"/>
      <tableStyleElement dxfId="3" type="firstRowStripe"/>
      <tableStyleElement dxfId="7" type="secondRowStripe"/>
    </tableStyle>
    <tableStyle count="4" pivot="0" name="Program Details-style">
      <tableStyleElement dxfId="13" type="headerRow"/>
      <tableStyleElement dxfId="3" type="firstRowStripe"/>
      <tableStyleElement dxfId="14" type="secondRowStripe"/>
      <tableStyleElement dxfId="15" size="0" type="wholeTable"/>
    </tableStyle>
    <tableStyle count="3" pivot="0" name="Post II Comms-style">
      <tableStyleElement dxfId="3" type="headerRow"/>
      <tableStyleElement dxfId="3" type="firstRowStripe"/>
      <tableStyleElement dxfId="18" type="secondRowStripe"/>
    </tableStyle>
    <tableStyle count="2" pivot="0" name="prelim RANK SPOTS-style">
      <tableStyleElement dxfId="3" type="firstRowStripe"/>
      <tableStyleElement dxfId="1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uveh Der Große" id="{b16d47f6-a877-4863-8dc4-3cbecddbb90f}" providerId="google-sheets"/>
  <x18tc:person displayName="Anonymous" id="{a5c56992-1e20-4f0e-932f-494d2e363a4c}" providerId="google-sheets"/>
  <x18tc:person displayName="Gabriela Barr" id="{755fa99c-e806-4be8-bc84-0dbdb0c2d70d}" providerId="google-sheets"/>
  <x18tc:person displayName="Prodromos P." id="{67e0d318-e11b-4b15-8fee-146caa4d352a}" providerId="google-sheets"/>
  <x18tc:person displayName="Sarah Dawson-Moroz" id="{d47c6db2-d4d7-44fa-875b-0d4a1baa6737}" providerId="google-sheets"/>
  <x18tc:person displayName="Niosha Price" id="{d005baec-f6df-41c4-87f6-1f52eab774d8}" providerId="google-sheets"/>
  <x18tc:person displayName="Jared Rife" id="{f1f6bc16-40c0-4e88-89bf-4c6cce0c392e}" providerId="google-sheets"/>
  <x18tc:person displayName="ross smith" id="{caaca620-822f-4db4-a0f5-3c17ffb66f74}" providerId="google-sheets"/>
  <x18tc:person displayName="Ijeoma Obizoba" id="{b5e48720-3ca5-4354-9d09-0a10512a6b20}" providerId="google-sheets"/>
  <x18tc:person displayName="Jake Bingaman" id="{c1839e31-8718-4c54-abb6-d88b97101e2b}" providerId="google-sheets"/>
  <x18tc:person displayName="Abhishek Thapa" id="{debda857-28bf-44df-a766-7092472625c0}" providerId="google-sheets"/>
</x18tc:personList>
</file>

<file path=xl/tables/table1.xml><?xml version="1.0" encoding="utf-8"?>
<table xmlns="http://schemas.openxmlformats.org/spreadsheetml/2006/main" headerRowCount="0" ref="D1:M5"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HomeAway Student Impressions 25-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0:A17" displayName="Table_3" name="Table_3" id="3">
  <tableColumns count="1">
    <tableColumn name="Column1" id="1"/>
  </tableColumns>
  <tableStyleInfo name="HomeAway Student Impressions 25-style 2" showColumnStripes="0" showFirstColumn="1" showLastColumn="1" showRowStripes="1"/>
</table>
</file>

<file path=xl/tables/table3.xml><?xml version="1.0" encoding="utf-8"?>
<table xmlns="http://schemas.openxmlformats.org/spreadsheetml/2006/main" headerRowCount="0" ref="A18" displayName="Table_4" name="Table_4" id="4">
  <tableColumns count="1">
    <tableColumn name="Column1" id="1"/>
  </tableColumns>
  <tableStyleInfo name="HomeAway Student Impressions 25-style 3" showColumnStripes="0" showFirstColumn="1" showLastColumn="1" showRowStripes="1"/>
</table>
</file>

<file path=xl/tables/table4.xml><?xml version="1.0" encoding="utf-8"?>
<table xmlns="http://schemas.openxmlformats.org/spreadsheetml/2006/main" headerRowCount="0" ref="A1:AC2457" displayName="Table_2" name="Table_2" id="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HAT GENERAL-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0:H170" displayName="Table_5" name="Table_5"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A vs B-style" showColumnStripes="0" showFirstColumn="1" showLastColumn="1" showRowStripes="1"/>
</table>
</file>

<file path=xl/tables/table6.xml><?xml version="1.0" encoding="utf-8"?>
<table xmlns="http://schemas.openxmlformats.org/spreadsheetml/2006/main" headerRowCount="0" ref="I10:J180" displayName="Table_6" name="Table_6" id="6">
  <tableColumns count="2">
    <tableColumn name="Column1" id="1"/>
    <tableColumn name="Column2" id="2"/>
  </tableColumns>
  <tableStyleInfo name="A vs B-style 2" showColumnStripes="0" showFirstColumn="1" showLastColumn="1" showRowStripes="1"/>
</table>
</file>

<file path=xl/tables/table7.xml><?xml version="1.0" encoding="utf-8"?>
<table xmlns="http://schemas.openxmlformats.org/spreadsheetml/2006/main" headerRowCount="0" ref="A310:D357" displayName="Table_7" name="Table_7" id="7">
  <tableColumns count="4">
    <tableColumn name="Column1" id="1"/>
    <tableColumn name="Column2" id="2"/>
    <tableColumn name="Column3" id="3"/>
    <tableColumn name="Column4" id="4"/>
  </tableColumns>
  <tableStyleInfo name="A vs B-style 3"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A3:J102" displayName="Table1" name="Table1" id="8">
  <autoFilter ref="$A$3:$J$102">
    <filterColumn colId="3">
      <filters>
        <filter val="Epic"/>
        <filter val="EPIC"/>
        <filter val="Epic + VA's EMR"/>
        <filter val="Epic (CPRS for VA)"/>
        <filter val="Epic/VA"/>
        <filter val="Epic outpatient &#10;Cernerinpatient"/>
      </filters>
    </filterColumn>
  </autoFilter>
  <tableColumns count="10">
    <tableColumn name="Program" id="1"/>
    <tableColumn name="State" id="2"/>
    <tableColumn name="City" id="3"/>
    <tableColumn name="EMR" id="4"/>
    <tableColumn name="Call/Float Details" id="5"/>
    <tableColumn name="Unique Features" id="6"/>
    <tableColumn name="PD" id="7"/>
    <tableColumn name="Chair Letter?" id="8"/>
    <tableColumn name="Custom Personal Statement?" id="9"/>
    <tableColumn name="Column 10" id="10"/>
  </tableColumns>
  <tableStyleInfo name="Program Details-style" showColumnStripes="0" showFirstColumn="1" showLastColumn="1" showRowStripes="1"/>
</table>
</file>

<file path=xl/tables/table9.xml><?xml version="1.0" encoding="utf-8"?>
<table xmlns="http://schemas.openxmlformats.org/spreadsheetml/2006/main" headerRowCount="0" ref="A1:K97" displayName="Table_8" name="Table_8" id="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Post II Comms-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5:Y5" displayName="Table_9" name="Table_9" id="10">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prelim RANK SPOTS-style" showColumnStripes="0" showFirstColumn="1" showLastColumn="1" showRowStripes="1"/>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0-23T17:03:15.00" personId="{a5c56992-1e20-4f0e-932f-494d2e363a4c}" id="{e519488d-0653-49a1-99ce-da056127e857}" done="1">
    <x18tc:text xml:space="preserve">Can someone bring back the version history to before whoever deleted 10/23?</x18tc:text>
  </x18tc:threadedComment>
  <x18tc:threadedComment ref="A1" dT="2024-12-05T13:54:03.00" personId="{67e0d318-e11b-4b15-8fee-146caa4d352a}" id="{5e855c41-ba95-4a38-9e7e-df591814d1f0}" done="1">
    <x18tc:text xml:space="preserve">Yes</x18tc:text>
  </x18tc:threadedComment>
  <x18tc:threadedComment ref="A1" dT="2024-10-28T14:53:04.00" personId="{d47c6db2-d4d7-44fa-875b-0d4a1baa6737}" id="{0de0cc89-4f63-44d8-9672-254858bfc8f4}" done="1">
    <x18tc:text xml:space="preserve">Thanksgiving is the 28th?</x18tc:text>
  </x18tc:threadedComment>
  <x18tc:threadedComment ref="A1" dT="2024-10-24T19:23:15.00" personId="{b5e48720-3ca5-4354-9d09-0a10512a6b20}" id="{30112604-e04a-4615-8387-5f151c91ef7b}" done="1">
    <x18tc:text xml:space="preserve">Any spots left over for Inova?</x18tc:text>
  </x18tc:threadedComment>
  <x18tc:threadedComment ref="A1" dT="2024-10-23T14:52:57.00" personId="{b16d47f6-a877-4863-8dc4-3cbecddbb90f}" id="{2b581b92-d97b-46d9-b3f4-f7ae1b5c4614}" done="1">
    <x18tc:text xml:space="preserve">Charleston area medical center 
(,,+signal,+geo, usimg , 24x)</x18tc:text>
  </x18tc:threadedComment>
  <x18tc:threadedComment ref="A1" dT="2024-10-23T14:53:42.00" personId="{b16d47f6-a877-4863-8dc4-3cbecddbb90f}" id="{bd14a1da-284f-4efc-a36c-da48356ba590}" parentId="{2b581b92-d97b-46d9-b3f4-f7ae1b5c4614}">
    <x18tc:text xml:space="preserve">Marked as resolved</x18tc:text>
  </x18tc:threadedComment>
  <x18tc:threadedComment ref="A1" dT="2024-10-23T14:53:46.00" personId="{b16d47f6-a877-4863-8dc4-3cbecddbb90f}" id="{c1127b7d-667c-4601-a5f8-040c1b742af0}" parentId="{2b581b92-d97b-46d9-b3f4-f7ae1b5c4614}">
    <x18tc:text xml:space="preserve">Re-opened</x18tc:text>
  </x18tc:threadedComment>
  <x18tc:threadedComment ref="A1" dT="2024-10-23T15:16:07.00" personId="{a5c56992-1e20-4f0e-932f-494d2e363a4c}" id="{87e57550-606f-477a-a3ac-67518c48c9bf}" parentId="{2b581b92-d97b-46d9-b3f4-f7ae1b5c4614}">
    <x18tc:text xml:space="preserve">Marked as resolved</x18tc:text>
  </x18tc:threadedComment>
  <x18tc:threadedComment ref="A1" dT="2024-10-23T17:29:25.00" personId="{debda857-28bf-44df-a766-7092472625c0}" id="{66835651-d6fd-492e-aa95-f1a3d368ed82}" parentId="{2b581b92-d97b-46d9-b3f4-f7ae1b5c4614}">
    <x18tc:text xml:space="preserve">Re-opened</x18tc:text>
  </x18tc:threadedComment>
  <x18tc:threadedComment ref="A1" dT="2024-12-19T23:59:15.00" personId="{d005baec-f6df-41c4-87f6-1f52eab774d8}" id="{46fd11c3-507c-4e29-8927-0527dc3ec5c5}" done="1">
    <x18tc:text xml:space="preserve">Kern</x18tc:text>
  </x18tc:threadedComment>
  <x18tc:threadedComment ref="A1" dT="2024-10-23T19:29:08.00" personId="{f1f6bc16-40c0-4e88-89bf-4c6cce0c392e}" id="{5dc41647-34c3-49f2-84e0-adac8f7b5c2c}" done="1">
    <x18tc:text xml:space="preserve">10/23 1500</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73" dT="2024-10-31T17:59:52.00" personId="{caaca620-822f-4db4-a0f5-3c17ffb66f74}" id="{a915442f-4b01-46f6-956e-9833d7af7e98}" done="1">
    <x18tc:text xml:space="preserve">Got and OU tulsa IV today</x18tc:text>
  </x18tc:threadedComment>
  <x18tc:threadedComment ref="C573" dT="2024-10-31T18:24:05.00" personId="{c1839e31-8718-4c54-abb6-d88b97101e2b}" id="{421df27d-0d07-4322-a41e-5e36ed95ce8b}" parentId="{a915442f-4b01-46f6-956e-9833d7af7e98}">
    <x18tc:text xml:space="preserve">Marked as resolved</x18tc:text>
  </x18tc:threadedComment>
  <x18tc:threadedComment ref="C573" dT="2024-11-22T06:55:33.00" personId="{a5c56992-1e20-4f0e-932f-494d2e363a4c}" id="{cabd10df-3687-400a-af16-d69a52821c27}" parentId="{a915442f-4b01-46f6-956e-9833d7af7e98}">
    <x18tc:text xml:space="preserve">Re-opened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31" dT="2024-10-23T17:58:06.00" personId="{755fa99c-e806-4be8-bc84-0dbdb0c2d70d}" id="{70112eb6-bd78-45aa-ac5f-38a1f7fa4ee9}" done="1">
    <x18tc:text xml:space="preserve">7</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5-09-30T03:38:01.00" personId="{a5c56992-1e20-4f0e-932f-494d2e363a4c}" id="{3f304826-7630-4949-8264-6dae2af4e90c}" done="1">
    <x18tc:text xml:space="preserve">I'm so sorry. I accidentally deleted this question. I tried to undo but it didn't work. This is my first time on here. My apologies!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5" dT="2024-10-26T00:31:24.00" personId="{67e0d318-e11b-4b15-8fee-146caa4d352a}" id="{56fcada4-19d0-464c-9077-87d2105c7f71}" done="1">
    <x18tc:text xml:space="preserve">Stony brook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pps.acgme.org/ads/Public/Programs/AccreditationHistoryReport?programId=7111&amp;ReturnUrl=https%3A%2F%2Fapps.acgme.org%2Fads%2FPublic%2FPrograms%2FSearch" TargetMode="External"/><Relationship Id="rId5" Type="http://schemas.openxmlformats.org/officeDocument/2006/relationships/hyperlink" Target="https://www.burlingtonfreepress.com/story/news/local/vermont/2024/12/05/nurses-uvm-medical-center-burlington-vermont-mental-health-cuts/76794336007/"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Steward_Health_Care" TargetMode="External"/><Relationship Id="rId2" Type="http://schemas.openxmlformats.org/officeDocument/2006/relationships/hyperlink" Target="https://en.wikipedia.org/wiki/Tenet_Healthcare" TargetMode="External"/><Relationship Id="rId3" Type="http://schemas.openxmlformats.org/officeDocument/2006/relationships/hyperlink" Target="https://en.wikipedia.org/wiki/BronxCare_Hospital_System" TargetMode="External"/><Relationship Id="rId4" Type="http://schemas.openxmlformats.org/officeDocument/2006/relationships/hyperlink" Target="https://nypost.com/2019/04/13/new-york-surgeon-accused-of-sexual-harassment-leaves-another-hospital/" TargetMode="External"/><Relationship Id="rId5" Type="http://schemas.openxmlformats.org/officeDocument/2006/relationships/hyperlink" Target="https://www.thecity.nyc/2021/07/29/bronx-lincoln-hospital-doctor-trainees-toxic-culture-three-deaths/" TargetMode="External"/><Relationship Id="rId6" Type="http://schemas.openxmlformats.org/officeDocument/2006/relationships/hyperlink" Target="https://en.wikipedia.org/wiki/General_Catalyst"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surgery.ucla.edu/" TargetMode="External"/><Relationship Id="rId2" Type="http://schemas.openxmlformats.org/officeDocument/2006/relationships/hyperlink" Target="https://www.denverpost.com/2024/09/18/kaiser-permanente-intermountain-health-separation-colorado-commonspirit/" TargetMode="External"/><Relationship Id="rId3" Type="http://schemas.openxmlformats.org/officeDocument/2006/relationships/hyperlink" Target="https://apps.aamc.org/myeras-web/" TargetMode="External"/><Relationship Id="rId4" Type="http://schemas.openxmlformats.org/officeDocument/2006/relationships/hyperlink" Target="http://www.memorialhealth.com/medical-education-surgery.aspx" TargetMode="External"/><Relationship Id="rId13" Type="http://schemas.openxmlformats.org/officeDocument/2006/relationships/table" Target="../tables/table1.xml"/><Relationship Id="rId9" Type="http://schemas.openxmlformats.org/officeDocument/2006/relationships/drawing" Target="../drawings/drawing3.xml"/><Relationship Id="rId15" Type="http://schemas.openxmlformats.org/officeDocument/2006/relationships/table" Target="../tables/table3.xml"/><Relationship Id="rId14" Type="http://schemas.openxmlformats.org/officeDocument/2006/relationships/table" Target="../tables/table2.xml"/><Relationship Id="rId5" Type="http://schemas.openxmlformats.org/officeDocument/2006/relationships/hyperlink" Target="https://nmpoliticalreport.com/featured/unm-pays-800k-in-settlement-still-secretive-on-other-details/" TargetMode="External"/><Relationship Id="rId6" Type="http://schemas.openxmlformats.org/officeDocument/2006/relationships/hyperlink" Target="https://www.thecity.nyc/2021/07/29/bronx-lincoln-hospital-doctor-trainees-toxic-culture-three-deaths/" TargetMode="External"/><Relationship Id="rId7" Type="http://schemas.openxmlformats.org/officeDocument/2006/relationships/hyperlink" Target="http://nyhq.org/Surgery_Residency" TargetMode="External"/><Relationship Id="rId8" Type="http://schemas.openxmlformats.org/officeDocument/2006/relationships/hyperlink" Target="https://www.youtube.com/watch?v=MqYUFy87UMM"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google.com/url?q=https://freida.ama-assn.org/&amp;sa=D&amp;source=editors&amp;ust=1732043555400221&amp;usg=AOvVaw3slqjWJNb_78CSWmiTnflU" TargetMode="External"/><Relationship Id="rId22" Type="http://schemas.openxmlformats.org/officeDocument/2006/relationships/hyperlink" Target="https://www.google.com/url?q=https://www.nrmp.org/match-data/2024/08/charting-outcomes-characteristics-of-international-medical-graduates-who-matched-to-their-preferred-specialty-2024-main-residency-match/%23:&amp;sa=D&amp;source=editors&amp;ust=1732043555420278&amp;usg=AOvVaw3Kqn4dHA6K3bt4U7nPPhF-" TargetMode="External"/><Relationship Id="rId21" Type="http://schemas.openxmlformats.org/officeDocument/2006/relationships/hyperlink" Target="https://www.google.com/url?q=https://www.nrmp.org/match-data/2024/08/charting-outcomes-characteristics-of-international-medical-graduates-who-matched-to-their-preferred-specialty-2024-main-residency-match/%23:&amp;sa=D&amp;source=editors&amp;ust=1732043555420278&amp;usg=AOvVaw3Kqn4dHA6K3bt4U7nPPhF-" TargetMode="External"/><Relationship Id="rId24" Type="http://schemas.openxmlformats.org/officeDocument/2006/relationships/hyperlink" Target="https://www.aamc.org/data-reports/data/eras-statistics-data" TargetMode="External"/><Relationship Id="rId23" Type="http://schemas.openxmlformats.org/officeDocument/2006/relationships/hyperlink" Target="https://docs.google.com/spreadsheets/d/1rmo5PBlDE6mOxZ8IWh2hawa7wzlhzRptu2mHnGVNozI/edit?gid=217497306"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8qkHZAbRTsxKbYtN1dSMu6mm5UR3sUPU9MeTA3XL6wk/edit?gid=1526640748" TargetMode="External"/><Relationship Id="rId9" Type="http://schemas.openxmlformats.org/officeDocument/2006/relationships/hyperlink" Target="https://www.reddit.com/r/medicalschool/comments/1iasaft/4th_years_beware_of_ub/?utm_source=share&amp;utm_medium=web3x&amp;utm_name=web3xcss&amp;utm_term=1&amp;utm_content=share_button" TargetMode="External"/><Relationship Id="rId26" Type="http://schemas.openxmlformats.org/officeDocument/2006/relationships/hyperlink" Target="https://www.surgery.northwestern.edu/education/residency/general-surgery/index.html" TargetMode="External"/><Relationship Id="rId25" Type="http://schemas.openxmlformats.org/officeDocument/2006/relationships/hyperlink" Target="https://www.surgery.northwestern.edu/education/residency/general-surgery/index.html" TargetMode="External"/><Relationship Id="rId28" Type="http://schemas.openxmlformats.org/officeDocument/2006/relationships/hyperlink" Target="https://discord.gg/Hm2saSqMzY" TargetMode="External"/><Relationship Id="rId27" Type="http://schemas.openxmlformats.org/officeDocument/2006/relationships/hyperlink" Target="https://drive.google.com/file/d/1ptEBitjMdjRrIW88rPBH6UzqJYhyMfx0/view" TargetMode="External"/><Relationship Id="rId5" Type="http://schemas.openxmlformats.org/officeDocument/2006/relationships/hyperlink" Target="https://docs.google.com/spreadsheets/d/18qkHZAbRTsxKbYtN1dSMu6mm5UR3sUPU9MeTA3XL6wk/edit?gid=1526640748" TargetMode="External"/><Relationship Id="rId6" Type="http://schemas.openxmlformats.org/officeDocument/2006/relationships/hyperlink" Target="https://redcap.ctsi.psu.edu/surveys/?s=8M38RJD7KHDMLJY7" TargetMode="External"/><Relationship Id="rId29" Type="http://schemas.openxmlformats.org/officeDocument/2006/relationships/hyperlink" Target="https://drive.google.com/file/d/1ptEBitjMdjRrIW88rPBH6UzqJYhyMfx0/view" TargetMode="External"/><Relationship Id="rId7" Type="http://schemas.openxmlformats.org/officeDocument/2006/relationships/hyperlink" Target="https://www.youtube.com/watch?v=KUPSTQSGb50" TargetMode="External"/><Relationship Id="rId8" Type="http://schemas.openxmlformats.org/officeDocument/2006/relationships/hyperlink" Target="https://www.reddit.com/r/medicalschool/comments/1bczf27/available_soap_positions_by_specialty_2023_vs_2024/" TargetMode="External"/><Relationship Id="rId31" Type="http://schemas.openxmlformats.org/officeDocument/2006/relationships/drawing" Target="../drawings/drawing4.xml"/><Relationship Id="rId30" Type="http://schemas.openxmlformats.org/officeDocument/2006/relationships/hyperlink" Target="https://discord.gg/Hm2saSqMzY" TargetMode="External"/><Relationship Id="rId11" Type="http://schemas.openxmlformats.org/officeDocument/2006/relationships/hyperlink" Target="https://www.nrmp.org/match-calendars/programs-institutions/" TargetMode="External"/><Relationship Id="rId10" Type="http://schemas.openxmlformats.org/officeDocument/2006/relationships/hyperlink" Target="https://college.mayo.edu/academics/residencies-and-fellowships/preliminary-surgery-residency-minnesota/preliminary-outcomes/" TargetMode="External"/><Relationship Id="rId32" Type="http://schemas.openxmlformats.org/officeDocument/2006/relationships/vmlDrawing" Target="../drawings/vmlDrawing2.vml"/><Relationship Id="rId13" Type="http://schemas.openxmlformats.org/officeDocument/2006/relationships/hyperlink" Target="https://www.nrmp.org/match-data/2024/06/results-and-data-2024-main-residency-match/" TargetMode="External"/><Relationship Id="rId12" Type="http://schemas.openxmlformats.org/officeDocument/2006/relationships/hyperlink" Target="https://www.nrmp.org/match-data/2024/06/results-and-data-2024-main-residency-match/" TargetMode="External"/><Relationship Id="rId34" Type="http://schemas.openxmlformats.org/officeDocument/2006/relationships/table" Target="../tables/table4.xml"/><Relationship Id="rId15" Type="http://schemas.openxmlformats.org/officeDocument/2006/relationships/hyperlink" Target="https://freida.ama-assn.org/" TargetMode="External"/><Relationship Id="rId14" Type="http://schemas.openxmlformats.org/officeDocument/2006/relationships/hyperlink" Target="https://freida.ama-assn.org/" TargetMode="External"/><Relationship Id="rId17" Type="http://schemas.openxmlformats.org/officeDocument/2006/relationships/hyperlink" Target="https://www.google.com/url?q=https://freida.ama-assn.org/&amp;sa=D&amp;source=editors&amp;ust=1732043555400221&amp;usg=AOvVaw3slqjWJNb_78CSWmiTnflU" TargetMode="External"/><Relationship Id="rId16" Type="http://schemas.openxmlformats.org/officeDocument/2006/relationships/hyperlink" Target="https://www.nrmp.org/match-data/2024/08/charting-outcomes-characteristics-of-international-medical-graduates-who-matched-to-their-preferred-specialty-2024-main-residency-match/" TargetMode="External"/><Relationship Id="rId19" Type="http://schemas.openxmlformats.org/officeDocument/2006/relationships/hyperlink" Target="https://bit.ly/3U9egs4" TargetMode="External"/><Relationship Id="rId18" Type="http://schemas.openxmlformats.org/officeDocument/2006/relationships/hyperlink" Target="https://bit.ly/3U9egs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hyperlink" Target="https://discord.gg/Hm2saSqMzY" TargetMode="External"/><Relationship Id="rId2" Type="http://schemas.openxmlformats.org/officeDocument/2006/relationships/hyperlink" Target="https://docs.google.com/spreadsheets/d/1MYqD0QtWvg3a65k8O6Qgm3VCDWTFCvfhPB33y9dxbLU/edit?usp=sharing" TargetMode="External"/><Relationship Id="rId3" Type="http://schemas.openxmlformats.org/officeDocument/2006/relationships/hyperlink" Target="https://students-residents.aamc.org/eras-tools-and-worksheets-residency-applicants/2024-eras-residency-timeline" TargetMode="External"/><Relationship Id="rId4" Type="http://schemas.openxmlformats.org/officeDocument/2006/relationships/hyperlink" Target="https://docs.google.com/spreadsheets/d/1Y_ByeeoYaIlwvM9Kw8Ot6b1H7Sellu9BZz_hg4OG5lo/edit" TargetMode="External"/><Relationship Id="rId9" Type="http://schemas.openxmlformats.org/officeDocument/2006/relationships/hyperlink" Target="https://docs.google.com/spreadsheets/d/1dcR0BLeiQmfcvMMUy7Ypg0YnBCjpLMSRGwguGE4h9w8/edit" TargetMode="External"/><Relationship Id="rId5" Type="http://schemas.openxmlformats.org/officeDocument/2006/relationships/hyperlink" Target="https://www.nrmp.org/match-calendars/main-residency-applicants/" TargetMode="External"/><Relationship Id="rId6" Type="http://schemas.openxmlformats.org/officeDocument/2006/relationships/hyperlink" Target="https://docs.google.com/spreadsheets/d/1xxvKFojfuFDhSRaknkuOVjA1mHU3xI46Vq7EUh27-pw/edit?usp=sharing" TargetMode="External"/><Relationship Id="rId7" Type="http://schemas.openxmlformats.org/officeDocument/2006/relationships/hyperlink" Target="https://docs.google.com/spreadsheets/d/17CG5rEzZtH9pS74U76VX9cR51bu9TYiOYLHKhbxq1bY/edit?usp=sharing" TargetMode="External"/><Relationship Id="rId8" Type="http://schemas.openxmlformats.org/officeDocument/2006/relationships/hyperlink" Target="https://docs.google.com/spreadsheets/d/1K6p49tUwnF7FLZgaKtyVWdwkixts9MAmXVx-jPNtTYw/edit?usp=sharing" TargetMode="External"/><Relationship Id="rId11" Type="http://schemas.openxmlformats.org/officeDocument/2006/relationships/drawing" Target="../drawings/drawing10.xml"/><Relationship Id="rId10" Type="http://schemas.openxmlformats.org/officeDocument/2006/relationships/hyperlink" Target="https://docs.google.com/spreadsheets/u/1/d/17d6CowWcj4XfZGHu2nZyF6qW7VSbGSZRezvdLnJQns4/edit?ouid=101872257365781515157&amp;usp=sheets_home&amp;ths=true"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7.xml"/><Relationship Id="rId5"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23.88"/>
    <col customWidth="1" min="3" max="3" width="46.88"/>
    <col customWidth="1" min="4" max="4" width="36.88"/>
    <col customWidth="1" min="5" max="9" width="25.13"/>
  </cols>
  <sheetData>
    <row r="1" ht="68.25" customHeight="1">
      <c r="A1" s="1" t="s">
        <v>0</v>
      </c>
      <c r="B1" s="2" t="s">
        <v>1</v>
      </c>
      <c r="C1" s="3"/>
      <c r="D1" s="2"/>
      <c r="E1" s="2"/>
      <c r="F1" s="2"/>
      <c r="G1" s="2"/>
      <c r="H1" s="2"/>
      <c r="I1" s="2"/>
    </row>
    <row r="2">
      <c r="A2" s="12"/>
      <c r="B2" s="17" t="s">
        <v>13</v>
      </c>
      <c r="C2" s="20" t="s">
        <v>21</v>
      </c>
      <c r="D2" s="22" t="s">
        <v>23</v>
      </c>
      <c r="E2" s="22" t="s">
        <v>23</v>
      </c>
      <c r="F2" s="22" t="s">
        <v>23</v>
      </c>
      <c r="G2" s="22" t="s">
        <v>23</v>
      </c>
      <c r="H2" s="22" t="s">
        <v>23</v>
      </c>
      <c r="I2" s="22" t="str">
        <f>IFERROR(__xludf.DUMMYFUNCTION("AI("""")"),"")</f>
        <v/>
      </c>
    </row>
    <row r="3">
      <c r="A3" s="29" t="s">
        <v>27</v>
      </c>
      <c r="B3" s="35" t="s">
        <v>29</v>
      </c>
      <c r="C3" s="40" t="s">
        <v>32</v>
      </c>
      <c r="E3" s="59" t="s">
        <v>35</v>
      </c>
      <c r="F3" s="68" t="s">
        <v>50</v>
      </c>
      <c r="G3" s="71" t="s">
        <v>58</v>
      </c>
      <c r="H3" s="71" t="s">
        <v>60</v>
      </c>
      <c r="I3" s="71"/>
    </row>
    <row r="4">
      <c r="A4" s="74" t="s">
        <v>63</v>
      </c>
      <c r="B4" s="74" t="s">
        <v>68</v>
      </c>
      <c r="C4" s="79" t="s">
        <v>70</v>
      </c>
      <c r="D4" s="79" t="s">
        <v>73</v>
      </c>
      <c r="E4" s="79"/>
      <c r="F4" s="81"/>
      <c r="G4" s="83"/>
      <c r="H4" s="83"/>
      <c r="I4" s="83"/>
    </row>
    <row r="5">
      <c r="A5" s="29" t="s">
        <v>81</v>
      </c>
      <c r="B5" s="35" t="s">
        <v>84</v>
      </c>
      <c r="C5" s="88" t="s">
        <v>86</v>
      </c>
      <c r="D5" s="91" t="s">
        <v>88</v>
      </c>
      <c r="E5" s="91" t="s">
        <v>91</v>
      </c>
      <c r="F5" s="94"/>
      <c r="G5" s="94"/>
      <c r="H5" s="94"/>
      <c r="I5" s="94"/>
    </row>
    <row r="6" ht="67.5" customHeight="1">
      <c r="A6" s="96" t="s">
        <v>96</v>
      </c>
      <c r="B6" s="99" t="s">
        <v>68</v>
      </c>
      <c r="C6" s="100" t="s">
        <v>103</v>
      </c>
      <c r="D6" s="81" t="s">
        <v>105</v>
      </c>
      <c r="E6" s="81" t="s">
        <v>106</v>
      </c>
      <c r="F6" s="81" t="s">
        <v>107</v>
      </c>
      <c r="G6" s="81" t="s">
        <v>108</v>
      </c>
      <c r="H6" s="83"/>
      <c r="I6" s="83"/>
    </row>
    <row r="7" ht="137.25" customHeight="1">
      <c r="A7" s="29" t="s">
        <v>113</v>
      </c>
      <c r="B7" s="35" t="s">
        <v>29</v>
      </c>
      <c r="C7" s="104"/>
      <c r="D7" s="105" t="s">
        <v>1</v>
      </c>
      <c r="E7" s="107" t="s">
        <v>122</v>
      </c>
      <c r="F7" s="91"/>
      <c r="G7" s="94"/>
    </row>
    <row r="8">
      <c r="A8" s="96" t="s">
        <v>124</v>
      </c>
      <c r="B8" s="99" t="s">
        <v>84</v>
      </c>
      <c r="C8" s="109" t="s">
        <v>125</v>
      </c>
      <c r="D8" s="81" t="s">
        <v>129</v>
      </c>
      <c r="E8" s="81"/>
      <c r="F8" s="83"/>
      <c r="G8" s="83"/>
    </row>
    <row r="9">
      <c r="A9" s="110" t="s">
        <v>132</v>
      </c>
      <c r="B9" s="112" t="s">
        <v>135</v>
      </c>
      <c r="C9" s="88" t="s">
        <v>125</v>
      </c>
      <c r="D9" s="113" t="s">
        <v>136</v>
      </c>
      <c r="E9" s="113" t="s">
        <v>140</v>
      </c>
      <c r="F9" s="107" t="s">
        <v>142</v>
      </c>
      <c r="G9" s="91"/>
      <c r="H9" s="94"/>
      <c r="I9" s="94"/>
    </row>
    <row r="10">
      <c r="A10" s="115" t="s">
        <v>145</v>
      </c>
      <c r="C10" s="79" t="s">
        <v>148</v>
      </c>
      <c r="D10" s="79" t="s">
        <v>150</v>
      </c>
      <c r="E10" s="79" t="s">
        <v>153</v>
      </c>
      <c r="F10" s="118"/>
      <c r="G10" s="83"/>
      <c r="H10" s="83"/>
      <c r="I10" s="83"/>
    </row>
    <row r="11">
      <c r="A11" s="110" t="s">
        <v>157</v>
      </c>
      <c r="B11" s="112"/>
      <c r="C11" s="113" t="s">
        <v>163</v>
      </c>
      <c r="D11" s="113" t="s">
        <v>166</v>
      </c>
      <c r="E11" s="113" t="s">
        <v>168</v>
      </c>
      <c r="F11" s="107" t="s">
        <v>170</v>
      </c>
      <c r="G11" s="91" t="s">
        <v>172</v>
      </c>
      <c r="H11" s="94"/>
      <c r="I11" s="94"/>
    </row>
    <row r="12">
      <c r="A12" s="74" t="s">
        <v>173</v>
      </c>
      <c r="B12" s="74" t="s">
        <v>84</v>
      </c>
      <c r="C12" s="79" t="s">
        <v>178</v>
      </c>
      <c r="D12" s="79"/>
      <c r="E12" s="121"/>
      <c r="F12" s="118"/>
      <c r="G12" s="83"/>
      <c r="H12" s="83"/>
      <c r="I12" s="83"/>
    </row>
    <row r="13">
      <c r="A13" s="112" t="s">
        <v>184</v>
      </c>
      <c r="B13" s="112" t="s">
        <v>187</v>
      </c>
      <c r="C13" s="123" t="s">
        <v>188</v>
      </c>
      <c r="D13" s="113" t="s">
        <v>190</v>
      </c>
      <c r="E13" s="113" t="s">
        <v>193</v>
      </c>
      <c r="F13" s="107" t="s">
        <v>196</v>
      </c>
      <c r="G13" s="91" t="s">
        <v>198</v>
      </c>
      <c r="H13" s="94"/>
      <c r="I13" s="94"/>
    </row>
    <row r="14">
      <c r="A14" s="74" t="s">
        <v>199</v>
      </c>
      <c r="B14" s="74" t="s">
        <v>84</v>
      </c>
      <c r="C14" s="124" t="s">
        <v>204</v>
      </c>
      <c r="D14" s="79" t="s">
        <v>206</v>
      </c>
      <c r="E14" s="121"/>
      <c r="F14" s="118"/>
      <c r="G14" s="83"/>
      <c r="H14" s="83"/>
      <c r="I14" s="83"/>
    </row>
    <row r="15">
      <c r="A15" s="112" t="s">
        <v>219</v>
      </c>
      <c r="B15" s="112" t="s">
        <v>84</v>
      </c>
      <c r="C15" s="102" t="s">
        <v>222</v>
      </c>
      <c r="D15" s="131" t="s">
        <v>224</v>
      </c>
      <c r="E15" s="113" t="s">
        <v>228</v>
      </c>
      <c r="F15" s="107" t="s">
        <v>230</v>
      </c>
      <c r="G15" s="91" t="s">
        <v>232</v>
      </c>
      <c r="H15" s="91" t="s">
        <v>233</v>
      </c>
      <c r="I15" s="91"/>
    </row>
    <row r="16">
      <c r="A16" s="135" t="s">
        <v>235</v>
      </c>
      <c r="B16" s="74" t="s">
        <v>84</v>
      </c>
      <c r="C16" s="136" t="s">
        <v>240</v>
      </c>
      <c r="D16" s="79"/>
      <c r="E16" s="121"/>
      <c r="F16" s="118"/>
      <c r="G16" s="83"/>
      <c r="H16" s="83"/>
      <c r="I16" s="83"/>
    </row>
    <row r="17">
      <c r="A17" s="137" t="s">
        <v>248</v>
      </c>
      <c r="B17" s="112" t="s">
        <v>135</v>
      </c>
      <c r="C17" s="138" t="s">
        <v>253</v>
      </c>
      <c r="D17" s="113" t="s">
        <v>254</v>
      </c>
      <c r="E17" s="113" t="s">
        <v>256</v>
      </c>
      <c r="F17" s="107" t="s">
        <v>258</v>
      </c>
      <c r="G17" s="94"/>
      <c r="H17" s="94"/>
      <c r="I17" s="94"/>
    </row>
    <row r="18" ht="43.5" customHeight="1">
      <c r="A18" s="74" t="s">
        <v>31</v>
      </c>
      <c r="B18" s="74" t="s">
        <v>135</v>
      </c>
      <c r="C18" s="79" t="s">
        <v>268</v>
      </c>
      <c r="D18" s="79"/>
      <c r="E18" s="121"/>
      <c r="F18" s="118"/>
      <c r="G18" s="83"/>
      <c r="H18" s="83"/>
      <c r="I18" s="83"/>
    </row>
    <row r="19">
      <c r="A19" s="112" t="s">
        <v>273</v>
      </c>
      <c r="B19" s="112" t="s">
        <v>135</v>
      </c>
      <c r="C19" s="113" t="s">
        <v>277</v>
      </c>
      <c r="D19" s="113" t="s">
        <v>279</v>
      </c>
      <c r="E19" s="113" t="s">
        <v>282</v>
      </c>
      <c r="F19" s="107"/>
      <c r="G19" s="91"/>
      <c r="H19" s="94"/>
      <c r="I19" s="94"/>
    </row>
    <row r="20">
      <c r="A20" s="140" t="s">
        <v>286</v>
      </c>
      <c r="B20" s="74" t="s">
        <v>29</v>
      </c>
      <c r="C20" s="79" t="s">
        <v>287</v>
      </c>
      <c r="D20" s="143" t="s">
        <v>289</v>
      </c>
      <c r="E20" s="79" t="s">
        <v>292</v>
      </c>
      <c r="F20" s="118"/>
      <c r="G20" s="83"/>
      <c r="H20" s="83"/>
      <c r="I20" s="83"/>
    </row>
    <row r="21">
      <c r="A21" s="144" t="s">
        <v>286</v>
      </c>
      <c r="B21" s="112" t="s">
        <v>135</v>
      </c>
      <c r="C21" s="113" t="s">
        <v>298</v>
      </c>
      <c r="D21" s="143" t="s">
        <v>301</v>
      </c>
      <c r="E21" s="113"/>
      <c r="F21" s="147"/>
      <c r="G21" s="94"/>
      <c r="H21" s="94"/>
      <c r="I21" s="94"/>
    </row>
    <row r="22">
      <c r="A22" s="74" t="s">
        <v>305</v>
      </c>
      <c r="B22" s="74" t="s">
        <v>84</v>
      </c>
      <c r="C22" s="79" t="s">
        <v>311</v>
      </c>
      <c r="D22" s="79"/>
      <c r="E22" s="79"/>
      <c r="F22" s="81"/>
      <c r="G22" s="83"/>
      <c r="H22" s="83"/>
      <c r="I22" s="83"/>
    </row>
    <row r="23">
      <c r="A23" s="112" t="s">
        <v>323</v>
      </c>
      <c r="B23" s="112" t="s">
        <v>84</v>
      </c>
      <c r="C23" s="149" t="s">
        <v>331</v>
      </c>
      <c r="D23" s="88" t="s">
        <v>335</v>
      </c>
      <c r="E23" s="113" t="s">
        <v>338</v>
      </c>
      <c r="F23" s="107" t="s">
        <v>342</v>
      </c>
      <c r="G23" s="94"/>
      <c r="H23" s="94"/>
      <c r="I23" s="94"/>
    </row>
    <row r="24">
      <c r="A24" s="74" t="s">
        <v>343</v>
      </c>
      <c r="B24" s="74" t="s">
        <v>84</v>
      </c>
      <c r="C24" s="79" t="s">
        <v>344</v>
      </c>
      <c r="D24" s="79" t="s">
        <v>346</v>
      </c>
      <c r="E24" s="121"/>
      <c r="F24" s="118"/>
      <c r="G24" s="83"/>
      <c r="H24" s="83"/>
      <c r="I24" s="83"/>
    </row>
    <row r="25">
      <c r="A25" s="112" t="s">
        <v>348</v>
      </c>
      <c r="B25" s="112" t="s">
        <v>135</v>
      </c>
      <c r="C25" s="113" t="s">
        <v>350</v>
      </c>
      <c r="D25" s="143" t="s">
        <v>352</v>
      </c>
      <c r="E25" s="151"/>
      <c r="F25" s="147"/>
      <c r="G25" s="94"/>
      <c r="H25" s="94"/>
      <c r="I25" s="94"/>
    </row>
    <row r="26">
      <c r="A26" s="74" t="s">
        <v>367</v>
      </c>
      <c r="B26" s="74" t="s">
        <v>84</v>
      </c>
      <c r="C26" s="79" t="s">
        <v>369</v>
      </c>
      <c r="D26" s="79"/>
      <c r="E26" s="79"/>
      <c r="F26" s="118"/>
      <c r="G26" s="83"/>
      <c r="H26" s="83"/>
      <c r="I26" s="83"/>
    </row>
    <row r="27">
      <c r="A27" s="112" t="s">
        <v>377</v>
      </c>
      <c r="B27" s="35" t="s">
        <v>135</v>
      </c>
      <c r="C27" s="113" t="s">
        <v>381</v>
      </c>
      <c r="D27" s="107" t="s">
        <v>384</v>
      </c>
      <c r="E27" s="147"/>
      <c r="F27" s="147"/>
      <c r="G27" s="94"/>
      <c r="H27" s="94"/>
      <c r="I27" s="94"/>
    </row>
    <row r="28">
      <c r="A28" s="99" t="s">
        <v>389</v>
      </c>
      <c r="B28" s="99" t="s">
        <v>84</v>
      </c>
      <c r="C28" s="109" t="s">
        <v>394</v>
      </c>
      <c r="D28" s="81" t="s">
        <v>397</v>
      </c>
      <c r="E28" s="81" t="s">
        <v>400</v>
      </c>
      <c r="F28" s="118"/>
      <c r="G28" s="83"/>
      <c r="H28" s="83"/>
      <c r="I28" s="83"/>
    </row>
    <row r="29">
      <c r="A29" s="35" t="s">
        <v>407</v>
      </c>
      <c r="B29" s="112" t="s">
        <v>84</v>
      </c>
      <c r="C29" s="88" t="s">
        <v>410</v>
      </c>
      <c r="D29" s="107" t="s">
        <v>411</v>
      </c>
      <c r="E29" s="147"/>
      <c r="F29" s="147"/>
      <c r="G29" s="94"/>
      <c r="H29" s="94"/>
      <c r="I29" s="94"/>
    </row>
    <row r="30">
      <c r="A30" s="99" t="s">
        <v>414</v>
      </c>
      <c r="B30" s="99" t="s">
        <v>84</v>
      </c>
      <c r="C30" s="109" t="s">
        <v>416</v>
      </c>
      <c r="D30" s="81" t="s">
        <v>418</v>
      </c>
      <c r="E30" s="81" t="s">
        <v>420</v>
      </c>
      <c r="F30" s="81" t="s">
        <v>422</v>
      </c>
      <c r="G30" s="162" t="s">
        <v>425</v>
      </c>
      <c r="H30" s="162" t="s">
        <v>432</v>
      </c>
      <c r="I30" s="162"/>
    </row>
    <row r="31">
      <c r="A31" s="35" t="s">
        <v>434</v>
      </c>
      <c r="B31" s="35" t="s">
        <v>84</v>
      </c>
      <c r="C31" s="88" t="s">
        <v>440</v>
      </c>
      <c r="D31" s="107"/>
      <c r="E31" s="147"/>
      <c r="F31" s="147"/>
      <c r="G31" s="94"/>
      <c r="H31" s="94"/>
      <c r="I31" s="94"/>
    </row>
    <row r="32">
      <c r="A32" s="163" t="s">
        <v>449</v>
      </c>
      <c r="B32" s="99" t="s">
        <v>84</v>
      </c>
      <c r="C32" s="164" t="s">
        <v>454</v>
      </c>
      <c r="D32" s="81" t="s">
        <v>462</v>
      </c>
      <c r="E32" s="81" t="s">
        <v>463</v>
      </c>
      <c r="F32" s="81" t="s">
        <v>465</v>
      </c>
      <c r="G32" s="83"/>
      <c r="H32" s="83"/>
      <c r="I32" s="83"/>
    </row>
    <row r="33">
      <c r="A33" s="35"/>
      <c r="B33" s="35" t="s">
        <v>471</v>
      </c>
      <c r="C33" s="88"/>
      <c r="D33" s="107"/>
      <c r="E33" s="147"/>
      <c r="F33" s="147"/>
      <c r="G33" s="94"/>
      <c r="H33" s="94"/>
      <c r="I33" s="94"/>
    </row>
    <row r="34">
      <c r="A34" s="99" t="s">
        <v>477</v>
      </c>
      <c r="B34" s="99" t="s">
        <v>68</v>
      </c>
      <c r="C34" s="109"/>
      <c r="D34" s="118"/>
      <c r="E34" s="118"/>
      <c r="F34" s="118"/>
      <c r="G34" s="83"/>
      <c r="H34" s="83"/>
      <c r="I34" s="83"/>
    </row>
    <row r="35" ht="108.0" customHeight="1">
      <c r="A35" s="35" t="s">
        <v>487</v>
      </c>
      <c r="B35" s="35"/>
      <c r="C35" s="88" t="s">
        <v>489</v>
      </c>
      <c r="D35" s="147"/>
      <c r="E35" s="147"/>
      <c r="F35" s="147"/>
      <c r="G35" s="94"/>
      <c r="H35" s="94"/>
      <c r="I35" s="94"/>
    </row>
    <row r="36">
      <c r="A36" s="99" t="s">
        <v>398</v>
      </c>
      <c r="B36" s="99" t="s">
        <v>84</v>
      </c>
      <c r="C36" s="109" t="s">
        <v>501</v>
      </c>
      <c r="D36" s="118"/>
      <c r="E36" s="118"/>
      <c r="F36" s="118"/>
      <c r="G36" s="83"/>
      <c r="H36" s="83"/>
      <c r="I36" s="83"/>
    </row>
    <row r="37">
      <c r="A37" s="35" t="s">
        <v>508</v>
      </c>
      <c r="B37" s="35" t="s">
        <v>135</v>
      </c>
      <c r="C37" s="88" t="s">
        <v>515</v>
      </c>
      <c r="D37" s="107" t="s">
        <v>517</v>
      </c>
      <c r="E37" s="147"/>
      <c r="F37" s="147"/>
      <c r="G37" s="94"/>
      <c r="H37" s="94"/>
      <c r="I37" s="94"/>
    </row>
    <row r="38">
      <c r="A38" s="99" t="s">
        <v>520</v>
      </c>
      <c r="B38" s="99" t="s">
        <v>135</v>
      </c>
      <c r="C38" s="109" t="s">
        <v>525</v>
      </c>
      <c r="D38" s="118"/>
      <c r="E38" s="118"/>
      <c r="F38" s="118"/>
      <c r="G38" s="83"/>
      <c r="H38" s="83"/>
      <c r="I38" s="83"/>
    </row>
    <row r="39">
      <c r="A39" s="35" t="s">
        <v>533</v>
      </c>
      <c r="B39" s="35" t="s">
        <v>84</v>
      </c>
      <c r="C39" s="88" t="s">
        <v>538</v>
      </c>
      <c r="D39" s="107"/>
      <c r="E39" s="147"/>
      <c r="F39" s="147"/>
      <c r="G39" s="94"/>
      <c r="H39" s="94"/>
      <c r="I39" s="94"/>
    </row>
    <row r="40">
      <c r="A40" s="172"/>
      <c r="B40" s="172"/>
      <c r="C40" s="173"/>
      <c r="D40" s="118"/>
      <c r="E40" s="118"/>
      <c r="F40" s="118"/>
      <c r="G40" s="83"/>
      <c r="H40" s="83"/>
      <c r="I40" s="83"/>
    </row>
    <row r="41">
      <c r="A41" s="174"/>
      <c r="B41" s="174"/>
      <c r="C41" s="175"/>
      <c r="D41" s="147"/>
      <c r="E41" s="147"/>
      <c r="F41" s="147"/>
      <c r="G41" s="94"/>
      <c r="H41" s="94"/>
      <c r="I41" s="94"/>
    </row>
    <row r="42">
      <c r="A42" s="172"/>
      <c r="B42" s="172"/>
      <c r="C42" s="173"/>
      <c r="D42" s="118"/>
      <c r="E42" s="118"/>
      <c r="F42" s="118"/>
      <c r="G42" s="83"/>
      <c r="H42" s="83"/>
      <c r="I42" s="83"/>
    </row>
    <row r="43">
      <c r="A43" s="174"/>
      <c r="B43" s="174"/>
      <c r="C43" s="179"/>
      <c r="D43" s="147"/>
      <c r="E43" s="147"/>
      <c r="F43" s="147"/>
      <c r="G43" s="94"/>
      <c r="H43" s="94"/>
      <c r="I43" s="94"/>
    </row>
    <row r="44">
      <c r="A44" s="172"/>
      <c r="B44" s="172"/>
      <c r="C44" s="173"/>
      <c r="D44" s="118"/>
      <c r="E44" s="118"/>
      <c r="F44" s="118"/>
      <c r="G44" s="83"/>
      <c r="H44" s="83"/>
      <c r="I44" s="83"/>
    </row>
    <row r="45">
      <c r="A45" s="174"/>
      <c r="B45" s="174"/>
      <c r="C45" s="179"/>
      <c r="D45" s="147"/>
      <c r="E45" s="147"/>
      <c r="F45" s="147"/>
      <c r="G45" s="94"/>
      <c r="H45" s="94"/>
      <c r="I45" s="94"/>
    </row>
    <row r="46">
      <c r="A46" s="172"/>
      <c r="B46" s="172"/>
      <c r="C46" s="173"/>
      <c r="D46" s="118"/>
      <c r="E46" s="118"/>
      <c r="F46" s="118"/>
      <c r="G46" s="83"/>
      <c r="H46" s="83"/>
      <c r="I46" s="83"/>
    </row>
    <row r="47">
      <c r="A47" s="174"/>
      <c r="B47" s="174"/>
      <c r="C47" s="179"/>
      <c r="D47" s="147"/>
      <c r="E47" s="147"/>
      <c r="F47" s="147"/>
      <c r="G47" s="94"/>
      <c r="H47" s="94"/>
      <c r="I47" s="94"/>
    </row>
    <row r="48">
      <c r="A48" s="172"/>
      <c r="B48" s="172"/>
      <c r="C48" s="173"/>
      <c r="D48" s="118"/>
      <c r="E48" s="118"/>
      <c r="F48" s="118"/>
      <c r="G48" s="83"/>
      <c r="H48" s="83"/>
      <c r="I48" s="83"/>
    </row>
    <row r="49">
      <c r="A49" s="174"/>
      <c r="B49" s="174"/>
      <c r="C49" s="179"/>
      <c r="D49" s="147"/>
      <c r="E49" s="147"/>
      <c r="F49" s="147"/>
      <c r="G49" s="94"/>
      <c r="H49" s="94"/>
      <c r="I49" s="94"/>
    </row>
    <row r="50">
      <c r="A50" s="172"/>
      <c r="B50" s="172"/>
      <c r="C50" s="173"/>
      <c r="D50" s="118"/>
      <c r="E50" s="118"/>
      <c r="F50" s="118"/>
      <c r="G50" s="83"/>
      <c r="H50" s="83"/>
      <c r="I50" s="83"/>
    </row>
    <row r="51">
      <c r="A51" s="174"/>
      <c r="B51" s="174"/>
      <c r="C51" s="179"/>
      <c r="D51" s="147"/>
      <c r="E51" s="147"/>
      <c r="F51" s="147"/>
      <c r="G51" s="94"/>
      <c r="H51" s="94"/>
      <c r="I51" s="94"/>
    </row>
    <row r="52">
      <c r="A52" s="172"/>
      <c r="B52" s="172"/>
      <c r="C52" s="173"/>
      <c r="D52" s="118"/>
      <c r="E52" s="118"/>
      <c r="F52" s="118"/>
      <c r="G52" s="83"/>
      <c r="H52" s="83"/>
      <c r="I52" s="83"/>
    </row>
    <row r="53">
      <c r="A53" s="174"/>
      <c r="B53" s="174"/>
      <c r="C53" s="179"/>
      <c r="D53" s="147"/>
      <c r="E53" s="147"/>
      <c r="F53" s="147"/>
      <c r="G53" s="94"/>
      <c r="H53" s="94"/>
      <c r="I53" s="94"/>
    </row>
    <row r="54">
      <c r="A54" s="172"/>
      <c r="B54" s="172"/>
      <c r="C54" s="173"/>
      <c r="D54" s="118"/>
      <c r="E54" s="118"/>
      <c r="F54" s="118"/>
      <c r="G54" s="83"/>
      <c r="H54" s="83"/>
      <c r="I54" s="83"/>
    </row>
    <row r="55">
      <c r="A55" s="174"/>
      <c r="B55" s="174"/>
      <c r="C55" s="179"/>
      <c r="D55" s="147"/>
      <c r="E55" s="147"/>
      <c r="F55" s="147"/>
      <c r="G55" s="94"/>
      <c r="H55" s="94"/>
      <c r="I55" s="94"/>
    </row>
    <row r="56">
      <c r="A56" s="172"/>
      <c r="B56" s="172"/>
      <c r="C56" s="173"/>
      <c r="D56" s="83"/>
      <c r="E56" s="83"/>
      <c r="F56" s="83"/>
      <c r="G56" s="83"/>
      <c r="H56" s="83"/>
      <c r="I56" s="83"/>
    </row>
    <row r="57">
      <c r="A57" s="174"/>
      <c r="B57" s="174"/>
      <c r="C57" s="179"/>
      <c r="D57" s="94"/>
      <c r="E57" s="94"/>
      <c r="F57" s="94"/>
      <c r="G57" s="94"/>
      <c r="H57" s="94"/>
      <c r="I57" s="94"/>
    </row>
    <row r="58">
      <c r="A58" s="172"/>
      <c r="B58" s="172"/>
      <c r="C58" s="173"/>
      <c r="D58" s="83"/>
      <c r="E58" s="83"/>
      <c r="F58" s="83"/>
      <c r="G58" s="83"/>
      <c r="H58" s="83"/>
      <c r="I58" s="83"/>
    </row>
    <row r="59">
      <c r="A59" s="174"/>
      <c r="B59" s="174"/>
      <c r="C59" s="179"/>
      <c r="D59" s="94"/>
      <c r="E59" s="94"/>
      <c r="F59" s="94"/>
      <c r="G59" s="94"/>
      <c r="H59" s="94"/>
      <c r="I59" s="94"/>
    </row>
    <row r="60">
      <c r="A60" s="172"/>
      <c r="B60" s="172"/>
      <c r="C60" s="173"/>
      <c r="D60" s="83"/>
      <c r="E60" s="83"/>
      <c r="F60" s="83"/>
      <c r="G60" s="83"/>
      <c r="H60" s="83"/>
      <c r="I60" s="83"/>
    </row>
    <row r="61">
      <c r="A61" s="174"/>
      <c r="B61" s="174"/>
      <c r="C61" s="179"/>
      <c r="D61" s="94"/>
      <c r="E61" s="94"/>
      <c r="F61" s="94"/>
      <c r="G61" s="94"/>
      <c r="H61" s="94"/>
      <c r="I61" s="94"/>
    </row>
    <row r="62">
      <c r="A62" s="172"/>
      <c r="B62" s="172"/>
      <c r="C62" s="173"/>
      <c r="D62" s="83"/>
      <c r="E62" s="83"/>
      <c r="F62" s="83"/>
      <c r="G62" s="83"/>
      <c r="H62" s="83"/>
      <c r="I62" s="83"/>
    </row>
    <row r="63">
      <c r="A63" s="174"/>
      <c r="B63" s="174"/>
      <c r="C63" s="179"/>
      <c r="D63" s="94"/>
      <c r="E63" s="94"/>
      <c r="F63" s="94"/>
      <c r="G63" s="94"/>
      <c r="H63" s="94"/>
      <c r="I63" s="94"/>
    </row>
    <row r="64">
      <c r="A64" s="172"/>
      <c r="B64" s="172"/>
      <c r="C64" s="173"/>
      <c r="D64" s="83"/>
      <c r="E64" s="83"/>
      <c r="F64" s="83"/>
      <c r="G64" s="83"/>
      <c r="H64" s="83"/>
      <c r="I64" s="83"/>
    </row>
    <row r="65">
      <c r="A65" s="174"/>
      <c r="B65" s="174"/>
      <c r="C65" s="179"/>
      <c r="D65" s="94"/>
      <c r="E65" s="94"/>
      <c r="F65" s="94"/>
      <c r="G65" s="94"/>
      <c r="H65" s="94"/>
      <c r="I65" s="94"/>
    </row>
    <row r="66">
      <c r="A66" s="172"/>
      <c r="B66" s="172"/>
      <c r="C66" s="193"/>
      <c r="D66" s="53"/>
      <c r="E66" s="53"/>
      <c r="F66" s="53"/>
      <c r="G66" s="53"/>
      <c r="H66" s="53"/>
      <c r="I66" s="53"/>
    </row>
    <row r="67">
      <c r="A67" s="174"/>
      <c r="B67" s="174"/>
      <c r="C67" s="195"/>
      <c r="D67" s="197"/>
      <c r="E67" s="197"/>
      <c r="F67" s="197"/>
      <c r="G67" s="197"/>
      <c r="H67" s="197"/>
      <c r="I67" s="197"/>
    </row>
    <row r="68">
      <c r="A68" s="172"/>
      <c r="B68" s="172"/>
      <c r="C68" s="193"/>
      <c r="D68" s="53"/>
      <c r="E68" s="53"/>
      <c r="F68" s="53"/>
      <c r="G68" s="53"/>
      <c r="H68" s="53"/>
      <c r="I68" s="53"/>
    </row>
    <row r="69">
      <c r="A69" s="174"/>
      <c r="B69" s="174"/>
      <c r="C69" s="195"/>
      <c r="D69" s="197"/>
      <c r="E69" s="197"/>
      <c r="F69" s="197"/>
      <c r="G69" s="197"/>
      <c r="H69" s="197"/>
      <c r="I69" s="197"/>
    </row>
    <row r="70">
      <c r="A70" s="172"/>
      <c r="B70" s="172"/>
      <c r="C70" s="193"/>
      <c r="D70" s="53"/>
      <c r="E70" s="53"/>
      <c r="F70" s="53"/>
      <c r="G70" s="53"/>
      <c r="H70" s="53"/>
      <c r="I70" s="53"/>
    </row>
    <row r="71">
      <c r="A71" s="174"/>
      <c r="B71" s="174"/>
      <c r="C71" s="195"/>
      <c r="D71" s="197"/>
      <c r="E71" s="197"/>
      <c r="F71" s="197"/>
      <c r="G71" s="197"/>
      <c r="H71" s="197"/>
      <c r="I71" s="197"/>
    </row>
    <row r="72">
      <c r="A72" s="172"/>
      <c r="B72" s="172"/>
      <c r="C72" s="193"/>
      <c r="D72" s="53"/>
      <c r="E72" s="53"/>
      <c r="F72" s="53"/>
      <c r="G72" s="53"/>
      <c r="H72" s="53"/>
      <c r="I72" s="53"/>
    </row>
    <row r="73">
      <c r="A73" s="174"/>
      <c r="B73" s="174"/>
      <c r="C73" s="195"/>
      <c r="D73" s="197"/>
      <c r="E73" s="197"/>
      <c r="F73" s="197"/>
      <c r="G73" s="197"/>
      <c r="H73" s="197"/>
      <c r="I73" s="197"/>
    </row>
    <row r="74">
      <c r="A74" s="172"/>
      <c r="B74" s="172"/>
      <c r="C74" s="193"/>
      <c r="D74" s="53"/>
      <c r="E74" s="53"/>
      <c r="F74" s="53"/>
      <c r="G74" s="53"/>
      <c r="H74" s="53"/>
      <c r="I74" s="53"/>
    </row>
    <row r="75">
      <c r="A75" s="174"/>
      <c r="B75" s="174"/>
      <c r="C75" s="195"/>
      <c r="D75" s="197"/>
      <c r="E75" s="197"/>
      <c r="F75" s="197"/>
      <c r="G75" s="197"/>
      <c r="H75" s="197"/>
      <c r="I75" s="197"/>
    </row>
    <row r="76">
      <c r="A76" s="172"/>
      <c r="B76" s="172"/>
      <c r="C76" s="193"/>
      <c r="D76" s="53"/>
      <c r="E76" s="53"/>
      <c r="F76" s="53"/>
      <c r="G76" s="53"/>
      <c r="H76" s="53"/>
      <c r="I76" s="53"/>
    </row>
    <row r="77">
      <c r="A77" s="174"/>
      <c r="B77" s="174"/>
      <c r="C77" s="195"/>
      <c r="D77" s="197"/>
      <c r="E77" s="197"/>
      <c r="F77" s="197"/>
      <c r="G77" s="197"/>
      <c r="H77" s="197"/>
      <c r="I77" s="197"/>
    </row>
    <row r="78">
      <c r="A78" s="172"/>
      <c r="B78" s="172"/>
      <c r="C78" s="193"/>
      <c r="D78" s="53"/>
      <c r="E78" s="53"/>
      <c r="F78" s="53"/>
      <c r="G78" s="53"/>
      <c r="H78" s="53"/>
      <c r="I78" s="53"/>
    </row>
    <row r="79">
      <c r="A79" s="174"/>
      <c r="B79" s="174"/>
      <c r="C79" s="195"/>
      <c r="D79" s="197"/>
      <c r="E79" s="197"/>
      <c r="F79" s="197"/>
      <c r="G79" s="197"/>
      <c r="H79" s="197"/>
      <c r="I79" s="197"/>
    </row>
    <row r="80">
      <c r="A80" s="172"/>
      <c r="B80" s="172"/>
      <c r="C80" s="193"/>
      <c r="D80" s="53"/>
      <c r="E80" s="53"/>
      <c r="F80" s="53"/>
      <c r="G80" s="53"/>
      <c r="H80" s="53"/>
      <c r="I80" s="53"/>
    </row>
    <row r="81">
      <c r="A81" s="174"/>
      <c r="B81" s="174"/>
      <c r="C81" s="195"/>
      <c r="D81" s="197"/>
      <c r="E81" s="197"/>
      <c r="F81" s="197"/>
      <c r="G81" s="197"/>
      <c r="H81" s="197"/>
      <c r="I81" s="197"/>
    </row>
    <row r="82">
      <c r="A82" s="172"/>
      <c r="B82" s="172"/>
      <c r="C82" s="193"/>
      <c r="D82" s="53"/>
      <c r="E82" s="53"/>
      <c r="F82" s="53"/>
      <c r="G82" s="53"/>
      <c r="H82" s="53"/>
      <c r="I82" s="53"/>
    </row>
    <row r="83">
      <c r="A83" s="174"/>
      <c r="B83" s="174"/>
      <c r="C83" s="195"/>
      <c r="D83" s="197"/>
      <c r="E83" s="197"/>
      <c r="F83" s="197"/>
      <c r="G83" s="197"/>
      <c r="H83" s="197"/>
      <c r="I83" s="197"/>
    </row>
    <row r="84">
      <c r="A84" s="172"/>
      <c r="B84" s="172"/>
      <c r="C84" s="193"/>
      <c r="D84" s="53"/>
      <c r="E84" s="53"/>
      <c r="F84" s="53"/>
      <c r="G84" s="53"/>
      <c r="H84" s="53"/>
      <c r="I84" s="53"/>
    </row>
    <row r="85">
      <c r="A85" s="174"/>
      <c r="B85" s="174"/>
      <c r="C85" s="195"/>
      <c r="D85" s="197"/>
      <c r="E85" s="197"/>
      <c r="F85" s="197"/>
      <c r="G85" s="197"/>
      <c r="H85" s="197"/>
      <c r="I85" s="197"/>
    </row>
    <row r="86">
      <c r="A86" s="172"/>
      <c r="B86" s="172"/>
      <c r="C86" s="193"/>
      <c r="D86" s="53"/>
      <c r="E86" s="53"/>
      <c r="F86" s="53"/>
      <c r="G86" s="53"/>
      <c r="H86" s="53"/>
      <c r="I86" s="53"/>
    </row>
    <row r="87">
      <c r="A87" s="174"/>
      <c r="B87" s="174"/>
      <c r="C87" s="195"/>
      <c r="D87" s="197"/>
      <c r="E87" s="197"/>
      <c r="F87" s="197"/>
      <c r="G87" s="197"/>
      <c r="H87" s="197"/>
      <c r="I87" s="197"/>
    </row>
    <row r="88">
      <c r="A88" s="172"/>
      <c r="B88" s="172"/>
      <c r="C88" s="193"/>
      <c r="D88" s="53"/>
      <c r="E88" s="53"/>
      <c r="F88" s="53"/>
      <c r="G88" s="53"/>
      <c r="H88" s="53"/>
      <c r="I88" s="53"/>
    </row>
    <row r="89">
      <c r="A89" s="174"/>
      <c r="B89" s="174"/>
      <c r="C89" s="195"/>
      <c r="D89" s="197"/>
      <c r="E89" s="197"/>
      <c r="F89" s="197"/>
      <c r="G89" s="197"/>
      <c r="H89" s="197"/>
      <c r="I89" s="197"/>
    </row>
    <row r="90">
      <c r="A90" s="172"/>
      <c r="B90" s="172"/>
      <c r="C90" s="193"/>
      <c r="D90" s="53"/>
      <c r="E90" s="53"/>
      <c r="F90" s="53"/>
      <c r="G90" s="53"/>
      <c r="H90" s="53"/>
      <c r="I90" s="53"/>
    </row>
    <row r="91">
      <c r="A91" s="174"/>
      <c r="B91" s="174"/>
      <c r="C91" s="195"/>
      <c r="D91" s="197"/>
      <c r="E91" s="197"/>
      <c r="F91" s="197"/>
      <c r="G91" s="197"/>
      <c r="H91" s="197"/>
      <c r="I91" s="197"/>
    </row>
    <row r="92">
      <c r="A92" s="172"/>
      <c r="B92" s="172"/>
      <c r="C92" s="193"/>
      <c r="D92" s="53"/>
      <c r="E92" s="53"/>
      <c r="F92" s="53"/>
      <c r="G92" s="53"/>
      <c r="H92" s="53"/>
      <c r="I92" s="53"/>
    </row>
    <row r="93">
      <c r="A93" s="174"/>
      <c r="B93" s="174"/>
      <c r="C93" s="195"/>
      <c r="D93" s="197"/>
      <c r="E93" s="197"/>
      <c r="F93" s="197"/>
      <c r="G93" s="197"/>
      <c r="H93" s="197"/>
      <c r="I93" s="197"/>
    </row>
    <row r="94">
      <c r="A94" s="172"/>
      <c r="B94" s="172"/>
      <c r="C94" s="193"/>
      <c r="D94" s="53"/>
      <c r="E94" s="53"/>
      <c r="F94" s="53"/>
      <c r="G94" s="53"/>
      <c r="H94" s="53"/>
      <c r="I94" s="53"/>
    </row>
    <row r="95">
      <c r="A95" s="174"/>
      <c r="B95" s="174"/>
      <c r="C95" s="195"/>
      <c r="D95" s="197"/>
      <c r="E95" s="197"/>
      <c r="F95" s="197"/>
      <c r="G95" s="197"/>
      <c r="H95" s="197"/>
      <c r="I95" s="197"/>
    </row>
    <row r="96">
      <c r="A96" s="172"/>
      <c r="B96" s="172"/>
      <c r="C96" s="193"/>
      <c r="D96" s="53"/>
      <c r="E96" s="53"/>
      <c r="F96" s="53"/>
      <c r="G96" s="53"/>
      <c r="H96" s="53"/>
      <c r="I96" s="53"/>
    </row>
    <row r="97">
      <c r="A97" s="174"/>
      <c r="B97" s="174"/>
      <c r="C97" s="195"/>
      <c r="D97" s="197"/>
      <c r="E97" s="197"/>
      <c r="F97" s="197"/>
      <c r="G97" s="197"/>
      <c r="H97" s="197"/>
      <c r="I97" s="197"/>
    </row>
    <row r="98">
      <c r="A98" s="172"/>
      <c r="B98" s="172"/>
      <c r="C98" s="193"/>
      <c r="D98" s="53"/>
      <c r="E98" s="53"/>
      <c r="F98" s="53"/>
      <c r="G98" s="53"/>
      <c r="H98" s="53"/>
      <c r="I98" s="53"/>
    </row>
    <row r="99">
      <c r="A99" s="174"/>
      <c r="B99" s="174"/>
      <c r="C99" s="195"/>
      <c r="D99" s="197"/>
      <c r="E99" s="197"/>
      <c r="F99" s="197"/>
      <c r="G99" s="197"/>
      <c r="H99" s="197"/>
      <c r="I99" s="197"/>
    </row>
    <row r="100">
      <c r="A100" s="172"/>
      <c r="B100" s="172"/>
      <c r="C100" s="193"/>
      <c r="D100" s="53"/>
      <c r="E100" s="53"/>
      <c r="F100" s="53"/>
      <c r="G100" s="53"/>
      <c r="H100" s="53"/>
      <c r="I100" s="53"/>
    </row>
  </sheetData>
  <mergeCells count="1">
    <mergeCell ref="C3:D3"/>
  </mergeCells>
  <dataValidations>
    <dataValidation type="list" allowBlank="1" showErrorMessage="1" sqref="B3:B9 B11:B100">
      <formula1>"Interview,Rotation,Student,Resident,Attending,Other prior experience,Cousin's wife's brother's neighbor,Prefer not to answer"</formula1>
    </dataValidation>
  </dataValidations>
  <hyperlinks>
    <hyperlink r:id="rId4" ref="E3"/>
    <hyperlink r:id="rId5" ref="F3"/>
  </hyperlinks>
  <printOptions gridLines="1" horizontalCentered="1"/>
  <pageMargins bottom="0.75" footer="0.0" header="0.0" left="0.7" right="0.7" top="0.75"/>
  <pageSetup fitToHeight="0" paperSize="9" cellComments="atEnd" orientation="landscape" pageOrder="overThenDown"/>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42.63"/>
    <col customWidth="1" min="2" max="2" width="8.25"/>
    <col customWidth="1" min="3" max="3" width="9.25"/>
    <col customWidth="1" min="4" max="4" width="26.5"/>
    <col customWidth="1" min="5" max="5" width="28.25"/>
    <col customWidth="1" min="6" max="6" width="27.88"/>
    <col customWidth="1" min="7" max="7" width="26.25"/>
    <col customWidth="1" min="8" max="10" width="27.25"/>
    <col customWidth="1" min="11" max="11" width="21.13"/>
    <col customWidth="1" min="12" max="12" width="17.63"/>
    <col customWidth="1" min="13" max="14" width="17.38"/>
    <col customWidth="1" min="15" max="15" width="9.25"/>
    <col customWidth="1" min="16" max="16" width="25.13"/>
  </cols>
  <sheetData>
    <row r="1">
      <c r="A1" s="5" t="s">
        <v>2</v>
      </c>
    </row>
    <row r="2">
      <c r="A2" s="8" t="s">
        <v>5</v>
      </c>
      <c r="B2" s="10" t="s">
        <v>8</v>
      </c>
      <c r="C2" s="10" t="s">
        <v>9</v>
      </c>
      <c r="D2" s="10" t="s">
        <v>10</v>
      </c>
      <c r="E2" s="10"/>
      <c r="F2" s="10"/>
      <c r="G2" s="10"/>
      <c r="H2" s="10"/>
      <c r="I2" s="10"/>
      <c r="J2" s="10"/>
      <c r="K2" s="14" t="s">
        <v>11</v>
      </c>
      <c r="L2" s="10" t="s">
        <v>12</v>
      </c>
      <c r="M2" s="10" t="s">
        <v>14</v>
      </c>
      <c r="N2" s="10" t="s">
        <v>15</v>
      </c>
      <c r="O2" s="10" t="s">
        <v>16</v>
      </c>
      <c r="P2" s="10" t="s">
        <v>17</v>
      </c>
    </row>
    <row r="3">
      <c r="A3" s="18" t="s">
        <v>18</v>
      </c>
      <c r="B3" s="23"/>
      <c r="C3" s="25"/>
      <c r="D3" s="25"/>
      <c r="E3" s="25"/>
      <c r="F3" s="25"/>
      <c r="G3" s="25"/>
      <c r="H3" s="25"/>
      <c r="I3" s="25"/>
      <c r="J3" s="25"/>
      <c r="K3" s="25"/>
      <c r="L3" s="25"/>
      <c r="M3" s="25"/>
      <c r="N3" s="25"/>
      <c r="O3" s="25"/>
      <c r="P3" s="45"/>
    </row>
    <row r="4">
      <c r="A4" s="47" t="s">
        <v>37</v>
      </c>
      <c r="B4" s="51">
        <v>5.0</v>
      </c>
      <c r="C4" s="47"/>
      <c r="D4" s="51"/>
      <c r="E4" s="51"/>
      <c r="F4" s="47"/>
      <c r="G4" s="56"/>
      <c r="H4" s="56"/>
      <c r="I4" s="56"/>
      <c r="J4" s="56"/>
      <c r="K4" s="51">
        <v>1.0</v>
      </c>
      <c r="L4" s="56"/>
      <c r="M4" s="56"/>
      <c r="N4" s="51"/>
      <c r="O4" s="51"/>
      <c r="P4" s="56"/>
    </row>
    <row r="5">
      <c r="A5" s="61" t="s">
        <v>51</v>
      </c>
      <c r="B5" s="63">
        <v>6.0</v>
      </c>
      <c r="C5" s="63">
        <v>1.0</v>
      </c>
      <c r="D5" s="63"/>
      <c r="E5" s="66"/>
      <c r="F5" s="63"/>
      <c r="G5" s="70"/>
      <c r="H5" s="70"/>
      <c r="I5" s="70"/>
      <c r="J5" s="70"/>
      <c r="K5" s="63"/>
      <c r="L5" s="63" t="s">
        <v>65</v>
      </c>
      <c r="M5" s="63" t="s">
        <v>66</v>
      </c>
      <c r="N5" s="63" t="s">
        <v>67</v>
      </c>
      <c r="O5" s="63" t="s">
        <v>69</v>
      </c>
      <c r="P5" s="63" t="s">
        <v>71</v>
      </c>
    </row>
    <row r="6">
      <c r="A6" s="47" t="s">
        <v>72</v>
      </c>
      <c r="B6" s="51">
        <v>6.0</v>
      </c>
      <c r="C6" s="51">
        <v>2.0</v>
      </c>
      <c r="D6" s="84" t="s">
        <v>75</v>
      </c>
      <c r="E6" s="51" t="s">
        <v>78</v>
      </c>
      <c r="F6" s="51" t="s">
        <v>80</v>
      </c>
      <c r="G6" s="51"/>
      <c r="H6" s="47"/>
      <c r="I6" s="47"/>
      <c r="J6" s="47"/>
      <c r="K6" s="51">
        <v>3.0</v>
      </c>
      <c r="L6" s="51" t="s">
        <v>89</v>
      </c>
      <c r="M6" s="51" t="s">
        <v>66</v>
      </c>
      <c r="N6" s="51" t="s">
        <v>92</v>
      </c>
      <c r="O6" s="51" t="s">
        <v>69</v>
      </c>
      <c r="P6" s="47"/>
    </row>
    <row r="7">
      <c r="A7" s="95" t="s">
        <v>94</v>
      </c>
      <c r="B7" s="63">
        <v>6.0</v>
      </c>
      <c r="C7" s="63">
        <v>2.0</v>
      </c>
      <c r="D7" s="98" t="s">
        <v>75</v>
      </c>
      <c r="E7" s="63" t="s">
        <v>78</v>
      </c>
      <c r="F7" s="63"/>
      <c r="G7" s="63"/>
      <c r="H7" s="61"/>
      <c r="I7" s="61"/>
      <c r="J7" s="61"/>
      <c r="K7" s="63">
        <v>3.0</v>
      </c>
      <c r="L7" s="63" t="s">
        <v>89</v>
      </c>
      <c r="M7" s="63" t="s">
        <v>66</v>
      </c>
      <c r="N7" s="63" t="s">
        <v>92</v>
      </c>
      <c r="O7" s="63" t="s">
        <v>69</v>
      </c>
      <c r="P7" s="61"/>
    </row>
    <row r="8">
      <c r="A8" s="47" t="s">
        <v>117</v>
      </c>
      <c r="B8" s="51">
        <v>4.0</v>
      </c>
      <c r="C8" s="51"/>
      <c r="D8" s="51" t="s">
        <v>119</v>
      </c>
      <c r="E8" s="51"/>
      <c r="F8" s="51"/>
      <c r="G8" s="51"/>
      <c r="H8" s="51"/>
      <c r="I8" s="51"/>
      <c r="J8" s="51"/>
      <c r="K8" s="51"/>
      <c r="L8" s="47"/>
      <c r="M8" s="47"/>
      <c r="N8" s="47"/>
      <c r="O8" s="47"/>
      <c r="P8" s="47"/>
    </row>
    <row r="9">
      <c r="A9" s="95" t="s">
        <v>128</v>
      </c>
      <c r="B9" s="111"/>
      <c r="C9" s="25"/>
      <c r="D9" s="25"/>
      <c r="E9" s="25"/>
      <c r="F9" s="25"/>
      <c r="G9" s="25"/>
      <c r="H9" s="25"/>
      <c r="I9" s="25"/>
      <c r="J9" s="25"/>
      <c r="K9" s="25"/>
      <c r="L9" s="25"/>
      <c r="M9" s="25"/>
      <c r="N9" s="25"/>
      <c r="O9" s="25"/>
      <c r="P9" s="45"/>
    </row>
    <row r="10">
      <c r="A10" s="47" t="s">
        <v>147</v>
      </c>
      <c r="B10" s="51">
        <v>2.0</v>
      </c>
      <c r="C10" s="51">
        <v>2.0</v>
      </c>
      <c r="D10" s="117" t="s">
        <v>151</v>
      </c>
      <c r="E10" s="51" t="s">
        <v>155</v>
      </c>
      <c r="F10" s="47"/>
      <c r="G10" s="47"/>
      <c r="H10" s="47"/>
      <c r="I10" s="47"/>
      <c r="J10" s="47"/>
      <c r="K10" s="51"/>
      <c r="L10" s="47"/>
      <c r="M10" s="119"/>
      <c r="N10" s="47"/>
      <c r="O10" s="47"/>
      <c r="P10" s="47"/>
    </row>
    <row r="11">
      <c r="A11" s="61" t="s">
        <v>167</v>
      </c>
      <c r="B11" s="63">
        <v>3.0</v>
      </c>
      <c r="C11" s="70"/>
      <c r="D11" s="63"/>
      <c r="E11" s="61"/>
      <c r="F11" s="70"/>
      <c r="G11" s="70"/>
      <c r="H11" s="70"/>
      <c r="I11" s="70"/>
      <c r="J11" s="70"/>
      <c r="K11" s="63"/>
      <c r="L11" s="70"/>
      <c r="M11" s="70"/>
      <c r="N11" s="70"/>
      <c r="O11" s="70"/>
      <c r="P11" s="70"/>
    </row>
    <row r="12">
      <c r="A12" s="47" t="s">
        <v>180</v>
      </c>
      <c r="B12" s="51">
        <v>2.0</v>
      </c>
      <c r="C12" s="51">
        <v>4.0</v>
      </c>
      <c r="D12" s="51" t="s">
        <v>182</v>
      </c>
      <c r="E12" s="51"/>
      <c r="F12" s="51"/>
      <c r="G12" s="51"/>
      <c r="H12" s="51"/>
      <c r="I12" s="51"/>
      <c r="J12" s="51"/>
      <c r="K12" s="51"/>
      <c r="L12" s="51" t="s">
        <v>192</v>
      </c>
      <c r="M12" s="51" t="s">
        <v>195</v>
      </c>
      <c r="N12" s="51" t="s">
        <v>197</v>
      </c>
      <c r="O12" s="47"/>
      <c r="P12" s="47"/>
    </row>
    <row r="13">
      <c r="A13" s="61" t="s">
        <v>201</v>
      </c>
      <c r="B13" s="63">
        <v>3.0</v>
      </c>
      <c r="C13" s="63">
        <v>2.0</v>
      </c>
      <c r="D13" s="63" t="s">
        <v>205</v>
      </c>
      <c r="E13" s="63" t="s">
        <v>208</v>
      </c>
      <c r="F13" s="126"/>
      <c r="G13" s="70"/>
      <c r="H13" s="70"/>
      <c r="I13" s="70"/>
      <c r="J13" s="70"/>
      <c r="K13" s="63">
        <v>3.0</v>
      </c>
      <c r="L13" s="63"/>
      <c r="M13" s="70"/>
      <c r="N13" s="70"/>
      <c r="O13" s="70"/>
      <c r="P13" s="70"/>
    </row>
    <row r="14">
      <c r="A14" s="47" t="s">
        <v>214</v>
      </c>
      <c r="B14" s="51">
        <v>1.0</v>
      </c>
      <c r="C14" s="51">
        <v>2.0</v>
      </c>
      <c r="D14" s="51" t="s">
        <v>218</v>
      </c>
      <c r="E14" s="51" t="s">
        <v>220</v>
      </c>
      <c r="F14" s="47"/>
      <c r="G14" s="47"/>
      <c r="H14" s="47"/>
      <c r="I14" s="47"/>
      <c r="J14" s="47"/>
      <c r="K14" s="47"/>
      <c r="L14" s="47"/>
      <c r="M14" s="47"/>
      <c r="N14" s="47"/>
      <c r="O14" s="47"/>
    </row>
    <row r="15">
      <c r="A15" s="61" t="s">
        <v>234</v>
      </c>
      <c r="B15" s="63">
        <v>1.0</v>
      </c>
      <c r="C15" s="63"/>
      <c r="D15" s="63"/>
      <c r="E15" s="63"/>
      <c r="F15" s="63"/>
      <c r="G15" s="70"/>
      <c r="H15" s="70"/>
      <c r="I15" s="70"/>
      <c r="J15" s="70"/>
      <c r="K15" s="63"/>
      <c r="L15" s="70"/>
      <c r="M15" s="70"/>
      <c r="N15" s="70"/>
      <c r="O15" s="70"/>
      <c r="P15" s="70"/>
    </row>
    <row r="16">
      <c r="A16" s="47" t="s">
        <v>247</v>
      </c>
      <c r="B16" s="51">
        <v>1.0</v>
      </c>
      <c r="C16" s="51"/>
      <c r="D16" s="51"/>
      <c r="E16" s="51"/>
      <c r="F16" s="51"/>
      <c r="G16" s="51"/>
      <c r="H16" s="47"/>
      <c r="I16" s="47"/>
      <c r="J16" s="47"/>
      <c r="K16" s="51">
        <v>2.0</v>
      </c>
      <c r="L16" s="47"/>
      <c r="M16" s="51"/>
      <c r="N16" s="47"/>
      <c r="O16" s="47"/>
      <c r="P16" s="47"/>
    </row>
    <row r="17">
      <c r="A17" s="61" t="s">
        <v>260</v>
      </c>
      <c r="B17" s="63">
        <v>6.0</v>
      </c>
      <c r="C17" s="63">
        <v>3.0</v>
      </c>
      <c r="D17" s="63" t="s">
        <v>265</v>
      </c>
      <c r="E17" s="63" t="s">
        <v>266</v>
      </c>
      <c r="F17" s="63" t="s">
        <v>269</v>
      </c>
      <c r="G17" s="63" t="s">
        <v>271</v>
      </c>
      <c r="H17" s="63"/>
      <c r="I17" s="63"/>
      <c r="J17" s="63"/>
      <c r="K17" s="63">
        <v>1.0</v>
      </c>
      <c r="L17" s="63" t="s">
        <v>274</v>
      </c>
      <c r="M17" s="63" t="s">
        <v>275</v>
      </c>
      <c r="N17" s="70"/>
      <c r="O17" s="70"/>
      <c r="P17" s="70"/>
    </row>
    <row r="18">
      <c r="A18" s="95" t="s">
        <v>280</v>
      </c>
      <c r="B18" s="141"/>
      <c r="C18" s="142"/>
      <c r="D18" s="142"/>
      <c r="E18" s="142"/>
      <c r="F18" s="142"/>
      <c r="G18" s="142"/>
      <c r="H18" s="142"/>
      <c r="I18" s="142"/>
      <c r="J18" s="142"/>
      <c r="K18" s="142"/>
      <c r="L18" s="142"/>
      <c r="M18" s="142"/>
      <c r="N18" s="142"/>
      <c r="O18" s="142"/>
      <c r="P18" s="145"/>
    </row>
    <row r="19">
      <c r="A19" s="61" t="s">
        <v>296</v>
      </c>
      <c r="B19" s="63">
        <v>3.0</v>
      </c>
      <c r="C19" s="63">
        <v>1.0</v>
      </c>
      <c r="D19" s="63" t="s">
        <v>302</v>
      </c>
      <c r="E19" s="63"/>
      <c r="F19" s="70"/>
      <c r="G19" s="70"/>
      <c r="H19" s="70"/>
      <c r="I19" s="70"/>
      <c r="J19" s="70"/>
      <c r="K19" s="148"/>
      <c r="L19" s="70"/>
      <c r="M19" s="70"/>
      <c r="N19" s="70"/>
      <c r="O19" s="70"/>
      <c r="P19" s="70"/>
    </row>
    <row r="20">
      <c r="A20" s="47" t="s">
        <v>313</v>
      </c>
      <c r="B20" s="51">
        <v>4.0</v>
      </c>
      <c r="C20" s="51"/>
      <c r="D20" s="51" t="s">
        <v>317</v>
      </c>
      <c r="E20" s="51" t="s">
        <v>319</v>
      </c>
      <c r="F20" s="47"/>
      <c r="G20" s="47"/>
      <c r="H20" s="47"/>
      <c r="I20" s="47"/>
      <c r="J20" s="47"/>
      <c r="K20" s="47"/>
      <c r="L20" s="47"/>
      <c r="M20" s="47"/>
      <c r="N20" s="47"/>
      <c r="O20" s="47"/>
      <c r="P20" s="47"/>
    </row>
    <row r="21">
      <c r="A21" s="61" t="s">
        <v>328</v>
      </c>
      <c r="B21" s="63">
        <v>2.0</v>
      </c>
      <c r="C21" s="70"/>
      <c r="D21" s="61"/>
      <c r="E21" s="61"/>
      <c r="F21" s="70"/>
      <c r="G21" s="70"/>
      <c r="H21" s="70"/>
      <c r="I21" s="70"/>
      <c r="J21" s="70"/>
      <c r="K21" s="61"/>
      <c r="L21" s="61"/>
      <c r="M21" s="61"/>
      <c r="N21" s="61"/>
      <c r="O21" s="61"/>
      <c r="P21" s="61"/>
    </row>
    <row r="22">
      <c r="A22" s="47" t="s">
        <v>341</v>
      </c>
      <c r="B22" s="51">
        <v>2.0</v>
      </c>
      <c r="C22" s="47"/>
      <c r="D22" s="47"/>
      <c r="E22" s="47"/>
      <c r="F22" s="47"/>
      <c r="G22" s="47"/>
      <c r="H22" s="47"/>
      <c r="I22" s="47"/>
      <c r="J22" s="47"/>
      <c r="K22" s="47"/>
      <c r="L22" s="47"/>
      <c r="M22" s="47"/>
      <c r="N22" s="47"/>
      <c r="O22" s="47"/>
      <c r="P22" s="47"/>
    </row>
    <row r="23">
      <c r="A23" s="61" t="s">
        <v>156</v>
      </c>
      <c r="B23" s="63">
        <v>3.0</v>
      </c>
      <c r="C23" s="63">
        <v>1.0</v>
      </c>
      <c r="D23" s="63" t="s">
        <v>351</v>
      </c>
      <c r="E23" s="61"/>
      <c r="F23" s="61"/>
      <c r="G23" s="70"/>
      <c r="H23" s="70"/>
      <c r="I23" s="70"/>
      <c r="J23" s="70"/>
      <c r="K23" s="70"/>
      <c r="L23" s="70"/>
      <c r="M23" s="63" t="s">
        <v>195</v>
      </c>
      <c r="N23" s="70"/>
      <c r="O23" s="70"/>
      <c r="P23" s="70"/>
    </row>
    <row r="24">
      <c r="A24" s="47" t="s">
        <v>362</v>
      </c>
      <c r="B24" s="51">
        <v>3.5</v>
      </c>
      <c r="C24" s="51">
        <v>0.5</v>
      </c>
      <c r="D24" s="51" t="s">
        <v>368</v>
      </c>
      <c r="E24" s="51"/>
      <c r="F24" s="47"/>
      <c r="G24" s="47"/>
      <c r="H24" s="47"/>
      <c r="I24" s="47"/>
      <c r="J24" s="47"/>
      <c r="K24" s="47"/>
      <c r="L24" s="51"/>
      <c r="M24" s="47"/>
      <c r="N24" s="47"/>
      <c r="O24" s="47"/>
      <c r="P24" s="47"/>
    </row>
    <row r="25">
      <c r="A25" s="63" t="s">
        <v>376</v>
      </c>
      <c r="B25" s="63">
        <v>2.0</v>
      </c>
      <c r="C25" s="63"/>
      <c r="D25" s="63" t="s">
        <v>380</v>
      </c>
      <c r="E25" s="63"/>
      <c r="F25" s="61"/>
      <c r="G25" s="61"/>
      <c r="H25" s="70"/>
      <c r="I25" s="70"/>
      <c r="J25" s="70"/>
      <c r="K25" s="148"/>
      <c r="L25" s="70"/>
      <c r="M25" s="70"/>
      <c r="N25" s="70"/>
      <c r="O25" s="70"/>
      <c r="P25" s="70"/>
    </row>
    <row r="26">
      <c r="A26" s="47" t="s">
        <v>386</v>
      </c>
      <c r="B26" s="51">
        <v>4.0</v>
      </c>
      <c r="C26" s="51"/>
      <c r="D26" s="51"/>
      <c r="E26" s="51"/>
      <c r="F26" s="47"/>
      <c r="G26" s="47"/>
      <c r="H26" s="56"/>
      <c r="I26" s="56"/>
      <c r="J26" s="56"/>
      <c r="K26" s="119"/>
      <c r="L26" s="56"/>
      <c r="M26" s="56"/>
      <c r="N26" s="56"/>
      <c r="O26" s="56"/>
      <c r="P26" s="56"/>
    </row>
    <row r="27">
      <c r="A27" s="61" t="s">
        <v>175</v>
      </c>
      <c r="B27" s="63">
        <v>5.0</v>
      </c>
      <c r="C27" s="63">
        <v>1.0</v>
      </c>
      <c r="D27" s="63" t="s">
        <v>405</v>
      </c>
      <c r="E27" s="63" t="s">
        <v>406</v>
      </c>
      <c r="F27" s="61"/>
      <c r="G27" s="61"/>
      <c r="H27" s="61"/>
      <c r="I27" s="61"/>
      <c r="J27" s="61"/>
      <c r="K27" s="148"/>
      <c r="L27" s="61"/>
      <c r="M27" s="148" t="s">
        <v>195</v>
      </c>
      <c r="N27" s="61"/>
      <c r="O27" s="61"/>
      <c r="P27" s="61"/>
    </row>
    <row r="28">
      <c r="A28" s="47" t="s">
        <v>417</v>
      </c>
      <c r="B28" s="51">
        <v>4.0</v>
      </c>
      <c r="C28" s="51">
        <v>1.0</v>
      </c>
      <c r="D28" s="51" t="s">
        <v>423</v>
      </c>
      <c r="E28" s="51" t="s">
        <v>426</v>
      </c>
      <c r="F28" s="56"/>
      <c r="G28" s="56"/>
      <c r="H28" s="56"/>
      <c r="I28" s="56"/>
      <c r="J28" s="56"/>
      <c r="K28" s="56"/>
      <c r="L28" s="56"/>
      <c r="M28" s="51" t="s">
        <v>436</v>
      </c>
      <c r="N28" s="56"/>
      <c r="O28" s="51" t="s">
        <v>439</v>
      </c>
      <c r="P28" s="56"/>
    </row>
    <row r="29">
      <c r="A29" s="61" t="s">
        <v>442</v>
      </c>
      <c r="B29" s="63">
        <v>2.0</v>
      </c>
      <c r="C29" s="61"/>
      <c r="D29" s="61"/>
      <c r="E29" s="61"/>
      <c r="F29" s="61"/>
      <c r="G29" s="61"/>
      <c r="H29" s="61"/>
      <c r="I29" s="61"/>
      <c r="J29" s="61"/>
      <c r="K29" s="61"/>
      <c r="L29" s="61"/>
      <c r="M29" s="63" t="s">
        <v>436</v>
      </c>
      <c r="N29" s="61"/>
      <c r="O29" s="61"/>
      <c r="P29" s="61"/>
    </row>
    <row r="30">
      <c r="A30" s="47" t="s">
        <v>457</v>
      </c>
      <c r="B30" s="47"/>
      <c r="C30" s="47"/>
      <c r="D30" s="56"/>
      <c r="E30" s="47"/>
      <c r="F30" s="56"/>
      <c r="G30" s="56"/>
      <c r="H30" s="56"/>
      <c r="I30" s="56"/>
      <c r="J30" s="56"/>
      <c r="K30" s="56"/>
      <c r="L30" s="56"/>
      <c r="M30" s="56"/>
      <c r="N30" s="56"/>
      <c r="O30" s="56"/>
      <c r="P30" s="56"/>
    </row>
    <row r="31">
      <c r="A31" s="61" t="s">
        <v>468</v>
      </c>
      <c r="B31" s="63">
        <v>3.0</v>
      </c>
      <c r="C31" s="63"/>
      <c r="D31" s="63" t="s">
        <v>473</v>
      </c>
      <c r="E31" s="63" t="s">
        <v>474</v>
      </c>
      <c r="F31" s="61"/>
      <c r="G31" s="61"/>
      <c r="H31" s="61"/>
      <c r="I31" s="61"/>
      <c r="J31" s="61"/>
      <c r="K31" s="63"/>
      <c r="L31" s="63" t="s">
        <v>482</v>
      </c>
      <c r="M31" s="148" t="s">
        <v>195</v>
      </c>
      <c r="N31" s="61"/>
      <c r="O31" s="63" t="s">
        <v>439</v>
      </c>
      <c r="P31" s="61"/>
    </row>
    <row r="32">
      <c r="A32" s="47" t="s">
        <v>488</v>
      </c>
      <c r="B32" s="51">
        <v>3.0</v>
      </c>
      <c r="C32" s="47"/>
      <c r="D32" s="47"/>
      <c r="E32" s="47"/>
      <c r="F32" s="47"/>
      <c r="G32" s="47"/>
      <c r="H32" s="47"/>
      <c r="I32" s="47"/>
      <c r="J32" s="47"/>
      <c r="K32" s="56"/>
      <c r="L32" s="56"/>
      <c r="M32" s="56"/>
      <c r="N32" s="56"/>
      <c r="O32" s="56"/>
      <c r="P32" s="56"/>
    </row>
    <row r="33">
      <c r="A33" s="61" t="s">
        <v>500</v>
      </c>
      <c r="B33" s="63">
        <v>2.0</v>
      </c>
      <c r="C33" s="61"/>
      <c r="D33" s="63" t="s">
        <v>426</v>
      </c>
      <c r="E33" s="63" t="s">
        <v>504</v>
      </c>
      <c r="F33" s="63" t="s">
        <v>506</v>
      </c>
      <c r="G33" s="63" t="s">
        <v>507</v>
      </c>
      <c r="H33" s="63" t="s">
        <v>511</v>
      </c>
      <c r="I33" s="63" t="s">
        <v>512</v>
      </c>
      <c r="J33" s="63"/>
      <c r="K33" s="61"/>
      <c r="L33" s="63"/>
      <c r="M33" s="63"/>
      <c r="N33" s="61"/>
      <c r="O33" s="63"/>
      <c r="P33" s="61"/>
    </row>
    <row r="34">
      <c r="A34" s="47" t="s">
        <v>157</v>
      </c>
      <c r="B34" s="51">
        <v>5.0</v>
      </c>
      <c r="C34" s="51">
        <v>1.0</v>
      </c>
      <c r="D34" s="51" t="s">
        <v>522</v>
      </c>
      <c r="E34" s="51" t="s">
        <v>523</v>
      </c>
      <c r="F34" s="51" t="s">
        <v>526</v>
      </c>
      <c r="G34" s="51" t="s">
        <v>528</v>
      </c>
      <c r="H34" s="56"/>
      <c r="I34" s="56"/>
      <c r="J34" s="56"/>
      <c r="K34" s="56"/>
      <c r="L34" s="51" t="s">
        <v>536</v>
      </c>
      <c r="M34" s="56"/>
      <c r="N34" s="56"/>
      <c r="O34" s="56"/>
      <c r="P34" s="56"/>
    </row>
    <row r="35">
      <c r="A35" s="61" t="s">
        <v>229</v>
      </c>
      <c r="B35" s="63">
        <v>5.0</v>
      </c>
      <c r="C35" s="63"/>
      <c r="D35" s="139" t="s">
        <v>536</v>
      </c>
      <c r="E35" s="63" t="s">
        <v>540</v>
      </c>
      <c r="F35" s="63" t="s">
        <v>541</v>
      </c>
      <c r="G35" s="61"/>
      <c r="H35" s="61"/>
      <c r="I35" s="61"/>
      <c r="J35" s="61"/>
      <c r="K35" s="63"/>
      <c r="L35" s="61"/>
      <c r="M35" s="61"/>
      <c r="N35" s="61"/>
      <c r="O35" s="61"/>
      <c r="P35" s="61"/>
    </row>
    <row r="36">
      <c r="A36" s="47" t="s">
        <v>243</v>
      </c>
      <c r="B36" s="119">
        <v>8.0</v>
      </c>
      <c r="C36" s="51">
        <v>1.0</v>
      </c>
      <c r="D36" s="51" t="s">
        <v>549</v>
      </c>
      <c r="E36" s="51" t="s">
        <v>551</v>
      </c>
      <c r="F36" s="51" t="s">
        <v>552</v>
      </c>
      <c r="G36" s="56"/>
      <c r="H36" s="56"/>
      <c r="I36" s="56"/>
      <c r="J36" s="56"/>
      <c r="K36" s="119">
        <v>1.0</v>
      </c>
      <c r="L36" s="51" t="s">
        <v>556</v>
      </c>
      <c r="M36" s="51" t="s">
        <v>195</v>
      </c>
      <c r="N36" s="178" t="s">
        <v>557</v>
      </c>
      <c r="O36" s="51" t="s">
        <v>559</v>
      </c>
      <c r="P36" s="51" t="s">
        <v>561</v>
      </c>
    </row>
    <row r="37">
      <c r="A37" s="61" t="s">
        <v>249</v>
      </c>
      <c r="B37" s="63">
        <v>6.0</v>
      </c>
      <c r="C37" s="63">
        <v>2.0</v>
      </c>
      <c r="D37" s="63" t="s">
        <v>426</v>
      </c>
      <c r="E37" s="180" t="s">
        <v>564</v>
      </c>
      <c r="F37" s="63" t="s">
        <v>565</v>
      </c>
      <c r="G37" s="63" t="s">
        <v>567</v>
      </c>
      <c r="H37" s="63" t="s">
        <v>568</v>
      </c>
      <c r="I37" s="63"/>
      <c r="J37" s="63"/>
      <c r="K37" s="63">
        <v>3.0</v>
      </c>
      <c r="L37" s="61"/>
      <c r="M37" s="63" t="s">
        <v>195</v>
      </c>
      <c r="N37" s="63" t="s">
        <v>572</v>
      </c>
      <c r="O37" s="63" t="s">
        <v>574</v>
      </c>
      <c r="P37" s="63" t="s">
        <v>575</v>
      </c>
    </row>
    <row r="38">
      <c r="A38" s="47" t="s">
        <v>576</v>
      </c>
      <c r="B38" s="51">
        <v>2.0</v>
      </c>
      <c r="C38" s="51">
        <v>1.0</v>
      </c>
      <c r="D38" s="51" t="s">
        <v>580</v>
      </c>
      <c r="E38" s="181" t="s">
        <v>581</v>
      </c>
      <c r="F38" s="51"/>
      <c r="G38" s="51"/>
      <c r="H38" s="51"/>
      <c r="I38" s="51"/>
      <c r="J38" s="51"/>
      <c r="K38" s="51"/>
      <c r="L38" s="56"/>
      <c r="M38" s="56"/>
      <c r="N38" s="56"/>
      <c r="O38" s="56"/>
      <c r="P38" s="56"/>
    </row>
    <row r="39">
      <c r="A39" s="61" t="s">
        <v>582</v>
      </c>
      <c r="B39" s="63">
        <v>2.0</v>
      </c>
      <c r="C39" s="63">
        <v>1.0</v>
      </c>
      <c r="D39" s="63" t="s">
        <v>583</v>
      </c>
      <c r="E39" s="63" t="s">
        <v>584</v>
      </c>
      <c r="F39" s="183"/>
      <c r="G39" s="61"/>
      <c r="H39" s="61"/>
      <c r="I39" s="61"/>
      <c r="J39" s="61"/>
      <c r="K39" s="63"/>
      <c r="L39" s="61"/>
      <c r="M39" s="63" t="s">
        <v>66</v>
      </c>
      <c r="N39" s="61"/>
      <c r="O39" s="61"/>
      <c r="P39" s="61"/>
    </row>
    <row r="40">
      <c r="A40" s="47" t="s">
        <v>590</v>
      </c>
      <c r="B40" s="47"/>
      <c r="C40" s="51">
        <v>1.0</v>
      </c>
      <c r="D40" s="51" t="s">
        <v>592</v>
      </c>
      <c r="E40" s="51"/>
      <c r="F40" s="51"/>
      <c r="G40" s="56"/>
      <c r="H40" s="56"/>
      <c r="I40" s="56"/>
      <c r="J40" s="56"/>
      <c r="K40" s="56"/>
      <c r="L40" s="56"/>
      <c r="M40" s="56"/>
      <c r="N40" s="56"/>
      <c r="O40" s="56"/>
      <c r="P40" s="56"/>
    </row>
    <row r="41">
      <c r="A41" s="61" t="s">
        <v>601</v>
      </c>
      <c r="B41" s="185">
        <v>6.0</v>
      </c>
      <c r="C41" s="61"/>
      <c r="D41" s="63" t="s">
        <v>603</v>
      </c>
      <c r="E41" s="63" t="s">
        <v>604</v>
      </c>
      <c r="F41" s="63"/>
      <c r="G41" s="61"/>
      <c r="H41" s="61"/>
      <c r="I41" s="61"/>
      <c r="J41" s="61"/>
      <c r="K41" s="63"/>
      <c r="L41" s="63"/>
      <c r="M41" s="63" t="s">
        <v>195</v>
      </c>
      <c r="N41" s="63"/>
      <c r="O41" s="61"/>
      <c r="P41" s="61"/>
    </row>
    <row r="42">
      <c r="A42" s="47" t="s">
        <v>610</v>
      </c>
      <c r="B42" s="187">
        <v>5.0</v>
      </c>
      <c r="C42" s="51">
        <v>5.0</v>
      </c>
      <c r="D42" s="51" t="s">
        <v>612</v>
      </c>
      <c r="E42" s="51" t="s">
        <v>614</v>
      </c>
      <c r="F42" s="51" t="s">
        <v>617</v>
      </c>
      <c r="G42" s="51" t="s">
        <v>619</v>
      </c>
      <c r="H42" s="51" t="s">
        <v>621</v>
      </c>
      <c r="I42" s="51"/>
      <c r="J42" s="51" t="s">
        <v>622</v>
      </c>
      <c r="K42" s="51"/>
      <c r="L42" s="51"/>
      <c r="M42" s="51" t="s">
        <v>195</v>
      </c>
      <c r="N42" s="51"/>
      <c r="O42" s="51"/>
      <c r="P42" s="51"/>
    </row>
    <row r="43">
      <c r="A43" s="61" t="s">
        <v>623</v>
      </c>
      <c r="B43" s="188">
        <v>1.0</v>
      </c>
      <c r="C43" s="63"/>
      <c r="D43" s="63"/>
      <c r="E43" s="63"/>
      <c r="F43" s="61"/>
      <c r="G43" s="61"/>
      <c r="H43" s="61"/>
      <c r="I43" s="61"/>
      <c r="J43" s="61"/>
      <c r="K43" s="70"/>
      <c r="L43" s="61"/>
      <c r="M43" s="61"/>
      <c r="N43" s="61"/>
      <c r="O43" s="61"/>
      <c r="P43" s="61"/>
    </row>
    <row r="44">
      <c r="A44" s="47" t="s">
        <v>628</v>
      </c>
      <c r="B44" s="189">
        <v>1.0</v>
      </c>
      <c r="C44" s="51"/>
      <c r="D44" s="51"/>
      <c r="E44" s="51"/>
      <c r="F44" s="47"/>
      <c r="G44" s="56"/>
      <c r="H44" s="56"/>
      <c r="I44" s="56"/>
      <c r="J44" s="56"/>
      <c r="K44" s="56"/>
      <c r="L44" s="56"/>
      <c r="M44" s="56"/>
      <c r="N44" s="56"/>
      <c r="O44" s="56"/>
      <c r="P44" s="56"/>
    </row>
    <row r="45">
      <c r="A45" s="61" t="s">
        <v>633</v>
      </c>
      <c r="B45" s="63">
        <v>1.0</v>
      </c>
      <c r="C45" s="96">
        <v>1.0</v>
      </c>
      <c r="D45" s="63"/>
      <c r="E45" s="63"/>
      <c r="F45" s="70"/>
      <c r="G45" s="70"/>
      <c r="H45" s="70"/>
      <c r="I45" s="70"/>
      <c r="J45" s="70"/>
      <c r="K45" s="61"/>
      <c r="L45" s="61"/>
      <c r="M45" s="61"/>
      <c r="N45" s="63" t="s">
        <v>637</v>
      </c>
      <c r="O45" s="61"/>
      <c r="P45" s="61"/>
    </row>
    <row r="46">
      <c r="A46" s="95" t="s">
        <v>638</v>
      </c>
      <c r="B46" s="111"/>
      <c r="C46" s="142"/>
      <c r="D46" s="142"/>
      <c r="E46" s="142"/>
      <c r="F46" s="142"/>
      <c r="G46" s="142"/>
      <c r="H46" s="142"/>
      <c r="I46" s="142"/>
      <c r="J46" s="142"/>
      <c r="K46" s="142"/>
      <c r="L46" s="142"/>
      <c r="M46" s="142"/>
      <c r="N46" s="142"/>
      <c r="O46" s="142"/>
      <c r="P46" s="145"/>
    </row>
    <row r="47">
      <c r="A47" s="63" t="s">
        <v>643</v>
      </c>
      <c r="B47" s="63">
        <v>1.0</v>
      </c>
      <c r="C47" s="61"/>
      <c r="D47" s="63"/>
      <c r="E47" s="63"/>
      <c r="F47" s="63"/>
      <c r="G47" s="61"/>
      <c r="H47" s="61"/>
      <c r="I47" s="61"/>
      <c r="J47" s="61"/>
      <c r="K47" s="61"/>
      <c r="L47" s="61"/>
      <c r="M47" s="61"/>
      <c r="N47" s="61"/>
      <c r="O47" s="61"/>
      <c r="P47" s="61"/>
    </row>
    <row r="48">
      <c r="A48" s="51" t="s">
        <v>648</v>
      </c>
      <c r="B48" s="51">
        <v>4.0</v>
      </c>
      <c r="C48" s="47"/>
      <c r="D48" s="51" t="s">
        <v>651</v>
      </c>
      <c r="E48" s="51" t="s">
        <v>652</v>
      </c>
      <c r="F48" s="51" t="s">
        <v>653</v>
      </c>
      <c r="G48" s="47"/>
      <c r="H48" s="47"/>
      <c r="I48" s="47"/>
      <c r="J48" s="47"/>
      <c r="K48" s="47"/>
      <c r="L48" s="47"/>
      <c r="M48" s="47"/>
      <c r="N48" s="47"/>
      <c r="O48" s="47"/>
      <c r="P48" s="47"/>
    </row>
    <row r="49">
      <c r="A49" s="61" t="s">
        <v>660</v>
      </c>
      <c r="B49" s="63"/>
      <c r="C49" s="70"/>
      <c r="D49" s="70"/>
      <c r="E49" s="61"/>
      <c r="F49" s="70"/>
      <c r="G49" s="70"/>
      <c r="H49" s="70"/>
      <c r="I49" s="70"/>
      <c r="J49" s="70"/>
      <c r="K49" s="70"/>
      <c r="L49" s="70"/>
      <c r="M49" s="70"/>
      <c r="N49" s="70"/>
      <c r="O49" s="70"/>
      <c r="P49" s="70"/>
    </row>
    <row r="50">
      <c r="A50" s="47" t="s">
        <v>667</v>
      </c>
      <c r="B50" s="51">
        <v>5.0</v>
      </c>
      <c r="C50" s="51"/>
      <c r="D50" s="51" t="s">
        <v>669</v>
      </c>
      <c r="E50" s="51"/>
      <c r="F50" s="47"/>
      <c r="G50" s="47"/>
      <c r="H50" s="47"/>
      <c r="I50" s="47"/>
      <c r="J50" s="47"/>
      <c r="K50" s="51">
        <v>1.0</v>
      </c>
      <c r="L50" s="47"/>
      <c r="M50" s="47"/>
      <c r="N50" s="47"/>
      <c r="O50" s="47"/>
      <c r="P50" s="47"/>
    </row>
    <row r="51">
      <c r="A51" s="61" t="s">
        <v>676</v>
      </c>
      <c r="B51" s="185">
        <v>4.0</v>
      </c>
      <c r="C51" s="63"/>
      <c r="D51" s="63"/>
      <c r="E51" s="63"/>
      <c r="F51" s="63"/>
      <c r="G51" s="63"/>
      <c r="H51" s="70"/>
      <c r="I51" s="70"/>
      <c r="J51" s="70"/>
      <c r="K51" s="63"/>
      <c r="L51" s="70"/>
      <c r="M51" s="63"/>
      <c r="N51" s="63"/>
      <c r="O51" s="63"/>
      <c r="P51" s="63"/>
    </row>
    <row r="52">
      <c r="A52" s="95" t="s">
        <v>682</v>
      </c>
      <c r="B52" s="111"/>
      <c r="C52" s="142"/>
      <c r="D52" s="142"/>
      <c r="E52" s="142"/>
      <c r="F52" s="142"/>
      <c r="G52" s="142"/>
      <c r="H52" s="142"/>
      <c r="I52" s="142"/>
      <c r="J52" s="142"/>
      <c r="K52" s="142"/>
      <c r="L52" s="142"/>
      <c r="M52" s="142"/>
      <c r="N52" s="142"/>
      <c r="O52" s="142"/>
      <c r="P52" s="145"/>
    </row>
    <row r="53">
      <c r="A53" s="63" t="s">
        <v>364</v>
      </c>
      <c r="B53" s="63">
        <v>1.0</v>
      </c>
      <c r="C53" s="63">
        <v>2.0</v>
      </c>
      <c r="D53" s="63" t="s">
        <v>690</v>
      </c>
      <c r="E53" s="63" t="s">
        <v>691</v>
      </c>
      <c r="F53" s="70"/>
      <c r="G53" s="70"/>
      <c r="H53" s="70"/>
      <c r="I53" s="70"/>
      <c r="J53" s="70"/>
      <c r="K53" s="63"/>
      <c r="L53" s="63"/>
      <c r="M53" s="63"/>
      <c r="N53" s="70"/>
      <c r="O53" s="63"/>
      <c r="P53" s="63"/>
    </row>
    <row r="54">
      <c r="A54" s="47" t="s">
        <v>695</v>
      </c>
      <c r="B54" s="51">
        <v>1.0</v>
      </c>
      <c r="C54" s="51">
        <v>4.0</v>
      </c>
      <c r="D54" s="51" t="s">
        <v>699</v>
      </c>
      <c r="E54" s="47"/>
      <c r="F54" s="47"/>
      <c r="G54" s="47"/>
      <c r="H54" s="47"/>
      <c r="I54" s="47"/>
      <c r="J54" s="47"/>
      <c r="K54" s="51">
        <v>1.0</v>
      </c>
      <c r="L54" s="47"/>
      <c r="M54" s="47"/>
      <c r="N54" s="47"/>
      <c r="O54" s="47"/>
      <c r="P54" s="47"/>
    </row>
    <row r="55">
      <c r="A55" s="61" t="s">
        <v>701</v>
      </c>
      <c r="B55" s="63"/>
      <c r="C55" s="70"/>
      <c r="D55" s="61"/>
      <c r="E55" s="61"/>
      <c r="F55" s="70"/>
      <c r="G55" s="70"/>
      <c r="H55" s="70"/>
      <c r="I55" s="70"/>
      <c r="J55" s="70"/>
      <c r="K55" s="63"/>
      <c r="L55" s="70"/>
      <c r="M55" s="70"/>
      <c r="N55" s="70"/>
      <c r="O55" s="70"/>
      <c r="P55" s="70"/>
    </row>
    <row r="56">
      <c r="A56" s="47" t="s">
        <v>374</v>
      </c>
      <c r="B56" s="51">
        <v>2.0</v>
      </c>
      <c r="C56" s="51"/>
      <c r="D56" s="51" t="s">
        <v>709</v>
      </c>
      <c r="E56" s="47"/>
      <c r="F56" s="47"/>
      <c r="G56" s="47"/>
      <c r="H56" s="47"/>
      <c r="I56" s="47"/>
      <c r="J56" s="47"/>
      <c r="K56" s="47"/>
      <c r="L56" s="47"/>
      <c r="M56" s="47"/>
      <c r="N56" s="47"/>
      <c r="O56" s="47"/>
      <c r="P56" s="47"/>
    </row>
    <row r="57">
      <c r="A57" s="61" t="s">
        <v>713</v>
      </c>
      <c r="B57" s="63">
        <v>2.0</v>
      </c>
      <c r="C57" s="63">
        <v>4.0</v>
      </c>
      <c r="D57" s="63" t="s">
        <v>719</v>
      </c>
      <c r="E57" s="63" t="s">
        <v>721</v>
      </c>
      <c r="F57" s="63" t="s">
        <v>722</v>
      </c>
      <c r="G57" s="63" t="s">
        <v>723</v>
      </c>
      <c r="H57" s="61"/>
      <c r="I57" s="70"/>
      <c r="J57" s="70"/>
      <c r="K57" s="63">
        <v>4.0</v>
      </c>
      <c r="L57" s="63" t="s">
        <v>728</v>
      </c>
      <c r="M57" s="63" t="s">
        <v>731</v>
      </c>
      <c r="N57" s="63" t="s">
        <v>733</v>
      </c>
      <c r="O57" s="63" t="s">
        <v>736</v>
      </c>
      <c r="P57" s="63" t="s">
        <v>737</v>
      </c>
    </row>
    <row r="58">
      <c r="A58" s="47" t="s">
        <v>390</v>
      </c>
      <c r="B58" s="51">
        <v>7.0</v>
      </c>
      <c r="C58" s="51">
        <v>2.0</v>
      </c>
      <c r="D58" s="51" t="s">
        <v>739</v>
      </c>
      <c r="E58" s="51" t="s">
        <v>741</v>
      </c>
      <c r="F58" s="51" t="s">
        <v>742</v>
      </c>
      <c r="G58" s="51" t="s">
        <v>743</v>
      </c>
      <c r="H58" s="47"/>
      <c r="I58" s="47"/>
      <c r="J58" s="47"/>
      <c r="K58" s="51">
        <v>4.0</v>
      </c>
      <c r="L58" s="47"/>
      <c r="M58" s="51" t="s">
        <v>749</v>
      </c>
      <c r="N58" s="47"/>
      <c r="O58" s="51" t="s">
        <v>751</v>
      </c>
      <c r="P58" s="51" t="s">
        <v>752</v>
      </c>
    </row>
    <row r="59">
      <c r="A59" s="61" t="s">
        <v>402</v>
      </c>
      <c r="B59" s="217"/>
      <c r="C59" s="217"/>
      <c r="D59" s="217"/>
      <c r="E59" s="220" t="s">
        <v>758</v>
      </c>
      <c r="F59" s="217"/>
      <c r="G59" s="217"/>
      <c r="H59" s="217"/>
      <c r="I59" s="217"/>
      <c r="J59" s="217"/>
      <c r="K59" s="217"/>
      <c r="L59" s="217"/>
      <c r="M59" s="217"/>
      <c r="N59" s="217"/>
      <c r="O59" s="217"/>
      <c r="P59" s="217"/>
    </row>
    <row r="60">
      <c r="A60" s="47" t="s">
        <v>763</v>
      </c>
      <c r="B60" s="51">
        <v>9.0</v>
      </c>
      <c r="C60" s="51">
        <v>5.0</v>
      </c>
      <c r="D60" s="51" t="s">
        <v>771</v>
      </c>
      <c r="E60" s="51" t="s">
        <v>773</v>
      </c>
      <c r="F60" s="51" t="s">
        <v>775</v>
      </c>
      <c r="G60" s="47"/>
      <c r="H60" s="47"/>
      <c r="I60" s="47"/>
      <c r="J60" s="47"/>
      <c r="K60" s="47"/>
      <c r="L60" s="47"/>
      <c r="M60" s="47"/>
      <c r="N60" s="47"/>
      <c r="O60" s="47"/>
      <c r="P60" s="47"/>
    </row>
    <row r="61">
      <c r="A61" s="61" t="s">
        <v>785</v>
      </c>
      <c r="B61" s="63">
        <v>5.0</v>
      </c>
      <c r="C61" s="63">
        <v>1.0</v>
      </c>
      <c r="D61" s="63" t="s">
        <v>786</v>
      </c>
      <c r="E61" s="126" t="s">
        <v>790</v>
      </c>
      <c r="F61" s="63"/>
      <c r="G61" s="70"/>
      <c r="H61" s="70"/>
      <c r="I61" s="70"/>
      <c r="J61" s="70"/>
      <c r="K61" s="63">
        <v>2.0</v>
      </c>
      <c r="L61" s="63"/>
      <c r="M61" s="63" t="s">
        <v>796</v>
      </c>
      <c r="N61" s="63"/>
      <c r="O61" s="63"/>
      <c r="P61" s="70"/>
    </row>
    <row r="62">
      <c r="A62" s="47" t="s">
        <v>804</v>
      </c>
      <c r="B62" s="51">
        <v>3.0</v>
      </c>
      <c r="C62" s="47"/>
      <c r="D62" s="51" t="s">
        <v>806</v>
      </c>
      <c r="E62" s="47"/>
      <c r="F62" s="47"/>
      <c r="G62" s="47"/>
      <c r="H62" s="47"/>
      <c r="I62" s="47"/>
      <c r="J62" s="47"/>
      <c r="K62" s="47"/>
      <c r="L62" s="47"/>
      <c r="M62" s="47"/>
      <c r="N62" s="47"/>
      <c r="O62" s="47"/>
      <c r="P62" s="47"/>
    </row>
    <row r="63">
      <c r="A63" s="95" t="s">
        <v>814</v>
      </c>
      <c r="B63" s="111"/>
      <c r="C63" s="25"/>
      <c r="D63" s="25"/>
      <c r="E63" s="25"/>
      <c r="F63" s="25"/>
      <c r="G63" s="25"/>
      <c r="H63" s="25"/>
      <c r="I63" s="25"/>
      <c r="J63" s="25"/>
      <c r="K63" s="25"/>
      <c r="L63" s="25"/>
      <c r="M63" s="25"/>
      <c r="N63" s="25"/>
      <c r="O63" s="25"/>
      <c r="P63" s="45"/>
    </row>
    <row r="64">
      <c r="A64" s="47" t="s">
        <v>828</v>
      </c>
      <c r="B64" s="51">
        <v>3.0</v>
      </c>
      <c r="C64" s="51"/>
      <c r="D64" s="51" t="s">
        <v>831</v>
      </c>
      <c r="F64" s="51"/>
      <c r="G64" s="51"/>
      <c r="H64" s="51"/>
      <c r="I64" s="51"/>
      <c r="J64" s="51"/>
      <c r="K64" s="47"/>
      <c r="L64" s="47"/>
      <c r="M64" s="47"/>
      <c r="N64" s="47"/>
      <c r="O64" s="47"/>
      <c r="P64" s="47"/>
    </row>
    <row r="65">
      <c r="A65" s="61" t="s">
        <v>840</v>
      </c>
      <c r="B65" s="63">
        <v>1.0</v>
      </c>
      <c r="C65" s="63"/>
      <c r="D65" s="63" t="s">
        <v>842</v>
      </c>
      <c r="E65" s="63" t="s">
        <v>845</v>
      </c>
      <c r="F65" s="70"/>
      <c r="G65" s="70"/>
      <c r="H65" s="70"/>
      <c r="I65" s="70"/>
      <c r="J65" s="70"/>
      <c r="K65" s="70"/>
      <c r="L65" s="70"/>
      <c r="M65" s="70"/>
      <c r="N65" s="70"/>
      <c r="O65" s="70"/>
      <c r="P65" s="70"/>
    </row>
    <row r="66">
      <c r="A66" s="95" t="s">
        <v>851</v>
      </c>
      <c r="B66" s="111"/>
      <c r="C66" s="142"/>
      <c r="D66" s="142"/>
      <c r="E66" s="142"/>
      <c r="F66" s="142"/>
      <c r="G66" s="142"/>
      <c r="H66" s="142"/>
      <c r="I66" s="142"/>
      <c r="J66" s="142"/>
      <c r="K66" s="142"/>
      <c r="L66" s="142"/>
      <c r="M66" s="142"/>
      <c r="N66" s="142"/>
      <c r="O66" s="142"/>
      <c r="P66" s="145"/>
    </row>
    <row r="67">
      <c r="A67" s="61" t="s">
        <v>866</v>
      </c>
      <c r="B67" s="61"/>
      <c r="C67" s="61"/>
      <c r="D67" s="61"/>
      <c r="E67" s="61"/>
      <c r="F67" s="70"/>
      <c r="G67" s="70"/>
      <c r="H67" s="70"/>
      <c r="I67" s="70"/>
      <c r="J67" s="70"/>
      <c r="K67" s="70"/>
      <c r="L67" s="70"/>
      <c r="M67" s="70"/>
      <c r="N67" s="70"/>
      <c r="O67" s="70"/>
      <c r="P67" s="70"/>
    </row>
    <row r="68">
      <c r="A68" s="47" t="s">
        <v>878</v>
      </c>
      <c r="B68" s="51"/>
      <c r="C68" s="51">
        <v>2.0</v>
      </c>
      <c r="D68" s="51" t="s">
        <v>884</v>
      </c>
      <c r="E68" s="51" t="s">
        <v>885</v>
      </c>
      <c r="F68" s="47"/>
      <c r="G68" s="47"/>
      <c r="H68" s="47"/>
      <c r="I68" s="47"/>
      <c r="J68" s="47"/>
      <c r="K68" s="47"/>
      <c r="L68" s="47"/>
      <c r="M68" s="47"/>
      <c r="N68" s="47"/>
      <c r="O68" s="47"/>
      <c r="P68" s="47"/>
    </row>
    <row r="69">
      <c r="A69" s="61" t="s">
        <v>896</v>
      </c>
      <c r="B69" s="63">
        <v>1.0</v>
      </c>
      <c r="C69" s="70"/>
      <c r="D69" s="63"/>
      <c r="E69" s="63"/>
      <c r="F69" s="70"/>
      <c r="G69" s="70"/>
      <c r="H69" s="70"/>
      <c r="I69" s="70"/>
      <c r="J69" s="70"/>
      <c r="K69" s="63"/>
      <c r="L69" s="70"/>
      <c r="M69" s="70"/>
      <c r="N69" s="70"/>
      <c r="O69" s="70"/>
      <c r="P69" s="70"/>
    </row>
    <row r="70">
      <c r="A70" s="47" t="s">
        <v>904</v>
      </c>
      <c r="B70" s="51">
        <v>5.0</v>
      </c>
      <c r="C70" s="51">
        <v>8.0</v>
      </c>
      <c r="D70" s="51" t="s">
        <v>908</v>
      </c>
      <c r="E70" s="51" t="s">
        <v>910</v>
      </c>
      <c r="F70" s="51" t="s">
        <v>913</v>
      </c>
      <c r="G70" s="51" t="s">
        <v>914</v>
      </c>
      <c r="H70" s="51" t="s">
        <v>916</v>
      </c>
      <c r="I70" s="51"/>
      <c r="J70" s="51" t="s">
        <v>921</v>
      </c>
      <c r="K70" s="47"/>
      <c r="L70" s="47"/>
      <c r="M70" s="47"/>
      <c r="N70" s="47"/>
      <c r="O70" s="47"/>
      <c r="P70" s="47"/>
    </row>
    <row r="71">
      <c r="A71" s="61" t="s">
        <v>925</v>
      </c>
      <c r="B71" s="63"/>
      <c r="C71" s="63">
        <v>8.0</v>
      </c>
      <c r="D71" s="63" t="s">
        <v>929</v>
      </c>
      <c r="E71" s="63" t="s">
        <v>931</v>
      </c>
      <c r="F71" s="63"/>
      <c r="G71" s="63" t="s">
        <v>934</v>
      </c>
      <c r="H71" s="63"/>
      <c r="I71" s="63"/>
      <c r="J71" s="63"/>
      <c r="K71" s="63"/>
      <c r="L71" s="63"/>
      <c r="M71" s="63"/>
      <c r="N71" s="63"/>
      <c r="O71" s="63"/>
      <c r="P71" s="63"/>
    </row>
    <row r="72">
      <c r="A72" s="47" t="s">
        <v>475</v>
      </c>
      <c r="B72" s="51"/>
      <c r="C72" s="51"/>
      <c r="D72" s="51"/>
      <c r="E72" s="47"/>
      <c r="F72" s="47"/>
      <c r="G72" s="47"/>
      <c r="H72" s="47"/>
      <c r="I72" s="47"/>
      <c r="J72" s="47"/>
      <c r="K72" s="47"/>
      <c r="L72" s="47"/>
      <c r="M72" s="47"/>
      <c r="N72" s="47"/>
      <c r="O72" s="47"/>
      <c r="P72" s="47"/>
    </row>
    <row r="73">
      <c r="A73" s="61" t="s">
        <v>948</v>
      </c>
      <c r="B73" s="63">
        <v>2.0</v>
      </c>
      <c r="C73" s="70"/>
      <c r="D73" s="63"/>
      <c r="E73" s="63"/>
      <c r="F73" s="70"/>
      <c r="G73" s="70"/>
      <c r="H73" s="70"/>
      <c r="I73" s="70"/>
      <c r="J73" s="70"/>
      <c r="K73" s="70"/>
      <c r="L73" s="70"/>
      <c r="M73" s="70"/>
      <c r="N73" s="70"/>
      <c r="O73" s="70"/>
      <c r="P73" s="70"/>
    </row>
    <row r="74">
      <c r="A74" s="51" t="s">
        <v>963</v>
      </c>
      <c r="B74" s="51">
        <v>1.0</v>
      </c>
      <c r="C74" s="51">
        <v>3.0</v>
      </c>
      <c r="D74" s="51" t="s">
        <v>965</v>
      </c>
      <c r="E74" s="51" t="s">
        <v>971</v>
      </c>
      <c r="F74" s="51"/>
      <c r="G74" s="51"/>
      <c r="H74" s="47"/>
      <c r="I74" s="47"/>
      <c r="J74" s="47"/>
      <c r="K74" s="51"/>
      <c r="L74" s="47"/>
      <c r="M74" s="47"/>
      <c r="N74" s="47"/>
      <c r="O74" s="47"/>
      <c r="P74" s="47"/>
    </row>
    <row r="75">
      <c r="A75" s="61" t="s">
        <v>985</v>
      </c>
      <c r="B75" s="61"/>
      <c r="C75" s="61"/>
      <c r="D75" s="61"/>
      <c r="E75" s="61"/>
      <c r="F75" s="70"/>
      <c r="G75" s="70"/>
      <c r="H75" s="70"/>
      <c r="I75" s="70"/>
      <c r="J75" s="70"/>
      <c r="K75" s="70"/>
      <c r="L75" s="70"/>
      <c r="M75" s="70"/>
      <c r="N75" s="70"/>
      <c r="O75" s="70"/>
      <c r="P75" s="70"/>
    </row>
    <row r="76">
      <c r="A76" s="47" t="s">
        <v>998</v>
      </c>
      <c r="B76" s="51">
        <v>2.0</v>
      </c>
      <c r="C76" s="47"/>
      <c r="D76" s="51"/>
      <c r="E76" s="47"/>
      <c r="F76" s="47"/>
      <c r="G76" s="47"/>
      <c r="H76" s="47"/>
      <c r="I76" s="47"/>
      <c r="J76" s="47"/>
      <c r="K76" s="51"/>
      <c r="L76" s="47"/>
      <c r="M76" s="47"/>
      <c r="N76" s="47"/>
      <c r="O76" s="47"/>
      <c r="P76" s="47"/>
    </row>
    <row r="77">
      <c r="A77" s="61"/>
      <c r="B77" s="61"/>
      <c r="C77" s="70"/>
      <c r="D77" s="70"/>
      <c r="E77" s="61"/>
      <c r="F77" s="70"/>
      <c r="G77" s="70"/>
      <c r="H77" s="70"/>
      <c r="I77" s="70"/>
      <c r="J77" s="70"/>
      <c r="K77" s="70"/>
      <c r="L77" s="61"/>
      <c r="M77" s="61"/>
      <c r="N77" s="70"/>
      <c r="O77" s="70"/>
      <c r="P77" s="70"/>
    </row>
    <row r="78">
      <c r="A78" s="47" t="s">
        <v>1015</v>
      </c>
      <c r="B78" s="51">
        <v>4.0</v>
      </c>
      <c r="C78" s="47"/>
      <c r="D78" s="51" t="s">
        <v>1018</v>
      </c>
      <c r="E78" s="47"/>
      <c r="F78" s="47"/>
      <c r="G78" s="47"/>
      <c r="H78" s="47"/>
      <c r="I78" s="47"/>
      <c r="J78" s="47"/>
      <c r="K78" s="47"/>
      <c r="L78" s="47"/>
      <c r="M78" s="47"/>
      <c r="N78" s="47"/>
      <c r="O78" s="47"/>
      <c r="P78" s="47"/>
    </row>
    <row r="79">
      <c r="A79" s="61" t="s">
        <v>1031</v>
      </c>
      <c r="B79" s="63">
        <v>3.0</v>
      </c>
      <c r="C79" s="63">
        <v>5.0</v>
      </c>
      <c r="D79" s="63"/>
      <c r="E79" s="63" t="s">
        <v>1036</v>
      </c>
      <c r="F79" s="260" t="s">
        <v>1043</v>
      </c>
      <c r="G79" s="63" t="s">
        <v>1045</v>
      </c>
      <c r="H79" s="63" t="s">
        <v>1048</v>
      </c>
      <c r="I79" s="70"/>
      <c r="J79" s="70"/>
      <c r="K79" s="63"/>
      <c r="L79" s="70"/>
      <c r="M79" s="70"/>
      <c r="N79" s="70"/>
      <c r="O79" s="70"/>
      <c r="P79" s="70"/>
    </row>
    <row r="80">
      <c r="A80" s="47" t="s">
        <v>1054</v>
      </c>
      <c r="B80" s="51"/>
      <c r="C80" s="51"/>
      <c r="D80" s="47"/>
      <c r="E80" s="51"/>
      <c r="F80" s="47"/>
      <c r="G80" s="47"/>
      <c r="H80" s="47"/>
      <c r="I80" s="47"/>
      <c r="J80" s="47"/>
      <c r="K80" s="47"/>
      <c r="L80" s="47"/>
      <c r="M80" s="47"/>
      <c r="N80" s="47"/>
      <c r="O80" s="47"/>
      <c r="P80" s="47"/>
    </row>
    <row r="81">
      <c r="A81" s="61" t="s">
        <v>1063</v>
      </c>
      <c r="B81" s="63">
        <v>3.0</v>
      </c>
      <c r="C81" s="63">
        <v>1.0</v>
      </c>
      <c r="D81" s="63" t="s">
        <v>1065</v>
      </c>
      <c r="E81" s="63" t="s">
        <v>1068</v>
      </c>
      <c r="F81" s="270" t="s">
        <v>1072</v>
      </c>
      <c r="G81" s="63" t="s">
        <v>1075</v>
      </c>
      <c r="H81" s="63" t="s">
        <v>1076</v>
      </c>
      <c r="I81" s="63" t="s">
        <v>1079</v>
      </c>
      <c r="J81" s="70"/>
      <c r="K81" s="63"/>
      <c r="L81" s="70"/>
      <c r="M81" s="70"/>
      <c r="N81" s="70"/>
      <c r="O81" s="70"/>
      <c r="P81" s="70"/>
    </row>
    <row r="82">
      <c r="A82" s="47" t="s">
        <v>1085</v>
      </c>
      <c r="B82" s="51">
        <v>1.5</v>
      </c>
      <c r="C82" s="51">
        <v>4.0</v>
      </c>
      <c r="D82" s="51" t="s">
        <v>1092</v>
      </c>
      <c r="E82" s="51" t="s">
        <v>1094</v>
      </c>
      <c r="F82" s="51" t="s">
        <v>1096</v>
      </c>
      <c r="G82" s="51" t="s">
        <v>1099</v>
      </c>
      <c r="H82" s="47"/>
      <c r="I82" s="47"/>
      <c r="J82" s="47"/>
      <c r="K82" s="47"/>
      <c r="L82" s="47"/>
      <c r="M82" s="47"/>
      <c r="N82" s="47"/>
      <c r="O82" s="47"/>
      <c r="P82" s="47"/>
    </row>
    <row r="83">
      <c r="A83" s="61" t="s">
        <v>1114</v>
      </c>
      <c r="B83" s="63">
        <v>7.0</v>
      </c>
      <c r="C83" s="63">
        <v>5.0</v>
      </c>
      <c r="D83" s="63" t="s">
        <v>1120</v>
      </c>
      <c r="E83" s="63" t="s">
        <v>1122</v>
      </c>
      <c r="F83" s="63" t="s">
        <v>1125</v>
      </c>
      <c r="G83" s="63" t="s">
        <v>1126</v>
      </c>
      <c r="H83" s="63"/>
      <c r="I83" s="63"/>
      <c r="J83" s="63" t="s">
        <v>1131</v>
      </c>
      <c r="K83" s="61"/>
      <c r="L83" s="61"/>
      <c r="M83" s="61"/>
      <c r="N83" s="61"/>
      <c r="O83" s="61"/>
      <c r="P83" s="61"/>
    </row>
    <row r="84">
      <c r="A84" s="47" t="s">
        <v>1139</v>
      </c>
      <c r="B84" s="51">
        <v>5.0</v>
      </c>
      <c r="C84" s="47"/>
      <c r="D84" s="51" t="s">
        <v>1141</v>
      </c>
      <c r="E84" s="51" t="s">
        <v>1143</v>
      </c>
      <c r="F84" s="51"/>
      <c r="G84" s="51"/>
      <c r="H84" s="51"/>
      <c r="I84" s="51"/>
      <c r="J84" s="51"/>
      <c r="K84" s="51"/>
      <c r="L84" s="51"/>
      <c r="M84" s="51"/>
      <c r="N84" s="51"/>
      <c r="O84" s="51"/>
      <c r="P84" s="51"/>
    </row>
    <row r="85">
      <c r="A85" s="61" t="s">
        <v>1153</v>
      </c>
      <c r="B85" s="63">
        <v>7.0</v>
      </c>
      <c r="C85" s="63"/>
      <c r="D85" s="63"/>
      <c r="E85" s="63"/>
      <c r="F85" s="63"/>
      <c r="G85" s="61"/>
      <c r="H85" s="61"/>
      <c r="I85" s="61"/>
      <c r="J85" s="61"/>
      <c r="K85" s="63"/>
      <c r="L85" s="61"/>
      <c r="M85" s="61"/>
      <c r="N85" s="61"/>
      <c r="O85" s="61"/>
      <c r="P85" s="61"/>
    </row>
    <row r="86">
      <c r="A86" s="47" t="s">
        <v>1166</v>
      </c>
      <c r="B86" s="51">
        <v>3.0</v>
      </c>
      <c r="C86" s="51">
        <v>2.0</v>
      </c>
      <c r="D86" s="51" t="s">
        <v>1172</v>
      </c>
      <c r="E86" s="51" t="s">
        <v>1174</v>
      </c>
      <c r="F86" s="51" t="s">
        <v>1175</v>
      </c>
      <c r="G86" s="51"/>
      <c r="H86" s="47"/>
      <c r="I86" s="47"/>
      <c r="J86" s="47"/>
      <c r="K86" s="51">
        <v>2.0</v>
      </c>
      <c r="L86" s="51" t="s">
        <v>1180</v>
      </c>
      <c r="M86" s="47"/>
      <c r="N86" s="51"/>
      <c r="O86" s="51"/>
      <c r="P86" s="47"/>
    </row>
    <row r="87">
      <c r="A87" s="61" t="s">
        <v>542</v>
      </c>
      <c r="B87" s="63">
        <v>6.0</v>
      </c>
      <c r="C87" s="63"/>
      <c r="D87" s="63" t="s">
        <v>1189</v>
      </c>
      <c r="E87" s="63"/>
      <c r="F87" s="61"/>
      <c r="G87" s="70"/>
      <c r="H87" s="70"/>
      <c r="I87" s="70"/>
      <c r="J87" s="70"/>
      <c r="K87" s="70"/>
      <c r="L87" s="70"/>
      <c r="M87" s="70"/>
      <c r="N87" s="70"/>
      <c r="O87" s="70"/>
      <c r="P87" s="70"/>
    </row>
    <row r="88">
      <c r="A88" s="95" t="s">
        <v>1200</v>
      </c>
      <c r="B88" s="111"/>
      <c r="C88" s="142"/>
      <c r="D88" s="142"/>
      <c r="E88" s="142"/>
      <c r="F88" s="142"/>
      <c r="G88" s="142"/>
      <c r="H88" s="142"/>
      <c r="I88" s="142"/>
      <c r="J88" s="142"/>
      <c r="K88" s="142"/>
      <c r="L88" s="142"/>
      <c r="M88" s="142"/>
      <c r="N88" s="142"/>
      <c r="O88" s="142"/>
      <c r="P88" s="145"/>
    </row>
    <row r="89">
      <c r="A89" s="61" t="s">
        <v>1219</v>
      </c>
      <c r="B89" s="61"/>
      <c r="C89" s="61"/>
      <c r="D89" s="61"/>
      <c r="E89" s="61"/>
      <c r="F89" s="61"/>
      <c r="G89" s="61"/>
      <c r="H89" s="61"/>
      <c r="I89" s="61"/>
      <c r="J89" s="61"/>
      <c r="K89" s="70"/>
      <c r="L89" s="70"/>
      <c r="M89" s="70"/>
      <c r="N89" s="70"/>
      <c r="O89" s="70"/>
      <c r="P89" s="70"/>
    </row>
    <row r="90">
      <c r="A90" s="47" t="s">
        <v>1173</v>
      </c>
      <c r="B90" s="51">
        <v>10.0</v>
      </c>
      <c r="C90" s="51"/>
      <c r="D90" s="51" t="s">
        <v>1246</v>
      </c>
      <c r="E90" s="51" t="s">
        <v>1248</v>
      </c>
      <c r="F90" s="51" t="s">
        <v>1250</v>
      </c>
      <c r="G90" s="51"/>
      <c r="H90" s="51"/>
      <c r="I90" s="51"/>
      <c r="J90" s="51" t="s">
        <v>1254</v>
      </c>
      <c r="K90" s="51"/>
      <c r="L90" s="56"/>
      <c r="M90" s="56"/>
      <c r="N90" s="56"/>
      <c r="O90" s="56"/>
      <c r="P90" s="56"/>
    </row>
    <row r="91">
      <c r="A91" s="61" t="s">
        <v>1256</v>
      </c>
      <c r="B91" s="63">
        <v>1.0</v>
      </c>
      <c r="C91" s="63"/>
      <c r="D91" s="63"/>
      <c r="E91" s="63"/>
      <c r="F91" s="61"/>
      <c r="G91" s="61"/>
      <c r="H91" s="61"/>
      <c r="I91" s="61"/>
      <c r="J91" s="61"/>
      <c r="K91" s="70"/>
      <c r="L91" s="70"/>
      <c r="M91" s="70"/>
      <c r="N91" s="70"/>
      <c r="O91" s="70"/>
      <c r="P91" s="70"/>
    </row>
    <row r="92">
      <c r="A92" s="47" t="s">
        <v>1262</v>
      </c>
      <c r="B92" s="51">
        <v>2.0</v>
      </c>
      <c r="C92" s="51">
        <v>3.0</v>
      </c>
      <c r="D92" s="51" t="s">
        <v>1265</v>
      </c>
      <c r="E92" s="51" t="s">
        <v>1268</v>
      </c>
      <c r="F92" s="51" t="s">
        <v>1271</v>
      </c>
      <c r="G92" s="47"/>
      <c r="H92" s="47"/>
      <c r="I92" s="47"/>
      <c r="J92" s="47"/>
      <c r="K92" s="47"/>
      <c r="L92" s="47"/>
      <c r="M92" s="47"/>
      <c r="N92" s="47"/>
      <c r="O92" s="47"/>
      <c r="P92" s="47"/>
    </row>
    <row r="93">
      <c r="A93" s="61" t="s">
        <v>1277</v>
      </c>
      <c r="B93" s="63">
        <v>1.0</v>
      </c>
      <c r="C93" s="61"/>
      <c r="D93" s="63"/>
      <c r="E93" s="61"/>
      <c r="F93" s="70"/>
      <c r="G93" s="70"/>
      <c r="H93" s="70"/>
      <c r="I93" s="70"/>
      <c r="J93" s="70"/>
      <c r="K93" s="70"/>
      <c r="L93" s="70"/>
      <c r="M93" s="70"/>
      <c r="N93" s="70"/>
      <c r="O93" s="70"/>
      <c r="P93" s="70"/>
    </row>
    <row r="94">
      <c r="A94" s="47" t="s">
        <v>609</v>
      </c>
      <c r="B94" s="51">
        <v>2.0</v>
      </c>
      <c r="C94" s="51">
        <v>1.0</v>
      </c>
      <c r="D94" s="51"/>
      <c r="E94" s="51"/>
      <c r="F94" s="56"/>
      <c r="G94" s="56"/>
      <c r="H94" s="56"/>
      <c r="I94" s="56"/>
      <c r="J94" s="56"/>
      <c r="K94" s="56"/>
      <c r="L94" s="47"/>
      <c r="M94" s="47"/>
      <c r="N94" s="47"/>
      <c r="O94" s="47"/>
      <c r="P94" s="47"/>
    </row>
    <row r="95">
      <c r="A95" s="61" t="s">
        <v>1300</v>
      </c>
      <c r="B95" s="63">
        <v>2.0</v>
      </c>
      <c r="C95" s="63">
        <v>1.0</v>
      </c>
      <c r="D95" s="63" t="s">
        <v>1302</v>
      </c>
      <c r="E95" s="61"/>
      <c r="F95" s="61"/>
      <c r="G95" s="61"/>
      <c r="H95" s="70"/>
      <c r="I95" s="70"/>
      <c r="J95" s="70"/>
      <c r="K95" s="63">
        <v>1.0</v>
      </c>
      <c r="L95" s="63"/>
      <c r="M95" s="63"/>
      <c r="N95" s="63"/>
      <c r="O95" s="63"/>
      <c r="P95" s="61"/>
    </row>
    <row r="96">
      <c r="A96" s="47" t="s">
        <v>1309</v>
      </c>
      <c r="B96" s="51">
        <v>1.0</v>
      </c>
      <c r="C96" s="51">
        <v>1.0</v>
      </c>
      <c r="D96" s="51" t="s">
        <v>1314</v>
      </c>
      <c r="E96" s="47"/>
      <c r="F96" s="47"/>
      <c r="G96" s="47"/>
      <c r="H96" s="47"/>
      <c r="I96" s="47"/>
      <c r="J96" s="47"/>
      <c r="K96" s="56"/>
      <c r="L96" s="56"/>
      <c r="M96" s="56"/>
      <c r="N96" s="56"/>
      <c r="O96" s="56"/>
      <c r="P96" s="56"/>
    </row>
    <row r="97">
      <c r="A97" s="95" t="s">
        <v>1320</v>
      </c>
      <c r="B97" s="111"/>
      <c r="C97" s="25"/>
      <c r="D97" s="25"/>
      <c r="E97" s="25"/>
      <c r="F97" s="25"/>
      <c r="G97" s="25"/>
      <c r="H97" s="25"/>
      <c r="I97" s="25"/>
      <c r="J97" s="25"/>
      <c r="K97" s="25"/>
      <c r="L97" s="25"/>
      <c r="M97" s="25"/>
      <c r="N97" s="25"/>
      <c r="O97" s="25"/>
      <c r="P97" s="45"/>
    </row>
    <row r="98">
      <c r="A98" s="47" t="s">
        <v>1332</v>
      </c>
      <c r="B98" s="47"/>
      <c r="C98" s="47"/>
      <c r="D98" s="47"/>
      <c r="E98" s="47"/>
      <c r="F98" s="47"/>
      <c r="G98" s="51" t="s">
        <v>1333</v>
      </c>
      <c r="H98" s="47"/>
      <c r="I98" s="47"/>
      <c r="J98" s="47"/>
      <c r="K98" s="305"/>
      <c r="L98" s="47"/>
      <c r="M98" s="47"/>
      <c r="N98" s="47"/>
      <c r="O98" s="47"/>
      <c r="P98" s="47"/>
    </row>
    <row r="99">
      <c r="A99" s="61" t="s">
        <v>1338</v>
      </c>
      <c r="B99" s="63">
        <v>3.0</v>
      </c>
      <c r="C99" s="63">
        <v>1.0</v>
      </c>
      <c r="D99" s="63" t="s">
        <v>1339</v>
      </c>
      <c r="E99" s="63"/>
      <c r="F99" s="70"/>
      <c r="G99" s="70"/>
      <c r="H99" s="70"/>
      <c r="I99" s="70"/>
      <c r="J99" s="70"/>
      <c r="K99" s="307"/>
      <c r="L99" s="70"/>
      <c r="M99" s="70"/>
      <c r="N99" s="70"/>
      <c r="O99" s="70"/>
      <c r="P99" s="70"/>
    </row>
    <row r="100">
      <c r="A100" s="95" t="s">
        <v>1346</v>
      </c>
      <c r="B100" s="111"/>
      <c r="C100" s="142"/>
      <c r="D100" s="142"/>
      <c r="E100" s="142"/>
      <c r="F100" s="142"/>
      <c r="G100" s="142"/>
      <c r="H100" s="142"/>
      <c r="I100" s="142"/>
      <c r="J100" s="142"/>
      <c r="K100" s="142"/>
      <c r="L100" s="142"/>
      <c r="M100" s="142"/>
      <c r="N100" s="142"/>
      <c r="O100" s="142"/>
      <c r="P100" s="145"/>
    </row>
    <row r="101">
      <c r="A101" s="61" t="s">
        <v>1355</v>
      </c>
      <c r="B101" s="63">
        <v>1.0</v>
      </c>
      <c r="C101" s="63">
        <v>1.0</v>
      </c>
      <c r="D101" s="63"/>
      <c r="E101" s="63"/>
      <c r="F101" s="61"/>
      <c r="G101" s="70"/>
      <c r="H101" s="70"/>
      <c r="I101" s="70"/>
      <c r="J101" s="70"/>
      <c r="K101" s="307"/>
      <c r="L101" s="61"/>
      <c r="M101" s="61"/>
      <c r="N101" s="61"/>
      <c r="O101" s="61"/>
      <c r="P101" s="61"/>
    </row>
    <row r="102">
      <c r="A102" s="47" t="s">
        <v>1368</v>
      </c>
      <c r="B102" s="51">
        <v>1.0</v>
      </c>
      <c r="C102" s="51"/>
      <c r="D102" s="51"/>
      <c r="E102" s="47"/>
      <c r="F102" s="56"/>
      <c r="G102" s="47"/>
      <c r="H102" s="56"/>
      <c r="I102" s="56"/>
      <c r="J102" s="56"/>
      <c r="K102" s="305"/>
      <c r="L102" s="47"/>
      <c r="M102" s="47"/>
      <c r="N102" s="47"/>
      <c r="O102" s="47"/>
      <c r="P102" s="47"/>
    </row>
    <row r="103">
      <c r="A103" s="61" t="s">
        <v>1376</v>
      </c>
      <c r="B103" s="63">
        <v>1.0</v>
      </c>
      <c r="C103" s="61"/>
      <c r="D103" s="63"/>
      <c r="E103" s="61"/>
      <c r="F103" s="61"/>
      <c r="G103" s="61"/>
      <c r="H103" s="61"/>
      <c r="I103" s="61"/>
      <c r="J103" s="61"/>
      <c r="K103" s="307"/>
      <c r="L103" s="61"/>
      <c r="M103" s="61"/>
      <c r="N103" s="61"/>
      <c r="O103" s="61"/>
      <c r="P103" s="61"/>
    </row>
    <row r="104">
      <c r="A104" s="47" t="s">
        <v>1384</v>
      </c>
      <c r="B104" s="51">
        <v>1.0</v>
      </c>
      <c r="C104" s="47"/>
      <c r="D104" s="51" t="s">
        <v>1387</v>
      </c>
      <c r="E104" s="51"/>
      <c r="F104" s="47"/>
      <c r="G104" s="56"/>
      <c r="H104" s="56"/>
      <c r="I104" s="56"/>
      <c r="J104" s="56"/>
      <c r="K104" s="305"/>
      <c r="L104" s="51" t="s">
        <v>1390</v>
      </c>
      <c r="M104" s="51" t="s">
        <v>1391</v>
      </c>
      <c r="N104" s="51" t="s">
        <v>1392</v>
      </c>
      <c r="O104" s="51" t="s">
        <v>439</v>
      </c>
      <c r="P104" s="47"/>
    </row>
    <row r="105">
      <c r="A105" s="61" t="s">
        <v>1394</v>
      </c>
      <c r="B105" s="63">
        <v>2.0</v>
      </c>
      <c r="C105" s="63"/>
      <c r="D105" s="63" t="s">
        <v>1395</v>
      </c>
      <c r="E105" s="63"/>
      <c r="F105" s="63"/>
      <c r="G105" s="61"/>
      <c r="H105" s="61"/>
      <c r="I105" s="61"/>
      <c r="J105" s="61"/>
      <c r="K105" s="307"/>
      <c r="L105" s="61"/>
      <c r="M105" s="61"/>
      <c r="N105" s="61"/>
      <c r="O105" s="61"/>
      <c r="P105" s="61"/>
    </row>
    <row r="106">
      <c r="A106" s="47" t="s">
        <v>1397</v>
      </c>
      <c r="B106" s="51">
        <v>3.0</v>
      </c>
      <c r="C106" s="47"/>
      <c r="D106" s="51" t="s">
        <v>1401</v>
      </c>
      <c r="E106" s="51" t="s">
        <v>1402</v>
      </c>
      <c r="F106" s="47"/>
      <c r="G106" s="47"/>
      <c r="H106" s="47"/>
      <c r="I106" s="47"/>
      <c r="J106" s="47"/>
      <c r="K106" s="305"/>
      <c r="L106" s="47"/>
      <c r="M106" s="47"/>
      <c r="N106" s="47"/>
      <c r="O106" s="47"/>
      <c r="P106" s="47"/>
    </row>
    <row r="107">
      <c r="A107" s="61" t="s">
        <v>1405</v>
      </c>
      <c r="B107" s="63">
        <v>1.0</v>
      </c>
      <c r="C107" s="61"/>
      <c r="D107" s="61"/>
      <c r="E107" s="70"/>
      <c r="F107" s="61"/>
      <c r="G107" s="61"/>
      <c r="H107" s="61"/>
      <c r="I107" s="61"/>
      <c r="J107" s="61"/>
      <c r="K107" s="307"/>
      <c r="L107" s="61"/>
      <c r="M107" s="61"/>
      <c r="N107" s="61"/>
      <c r="O107" s="61"/>
      <c r="P107" s="61"/>
    </row>
    <row r="108">
      <c r="A108" s="47" t="s">
        <v>1411</v>
      </c>
      <c r="B108" s="51">
        <v>4.0</v>
      </c>
      <c r="C108" s="51"/>
      <c r="D108" s="51" t="s">
        <v>1412</v>
      </c>
      <c r="E108" s="51" t="s">
        <v>1413</v>
      </c>
      <c r="F108" s="51" t="s">
        <v>1415</v>
      </c>
      <c r="G108" s="47"/>
      <c r="H108" s="47"/>
      <c r="I108" s="47"/>
      <c r="J108" s="47"/>
      <c r="K108" s="305"/>
      <c r="L108" s="47"/>
      <c r="M108" s="47"/>
      <c r="N108" s="47"/>
      <c r="O108" s="47"/>
      <c r="P108" s="47"/>
    </row>
    <row r="109">
      <c r="A109" s="61" t="s">
        <v>1418</v>
      </c>
      <c r="B109" s="63">
        <v>3.0</v>
      </c>
      <c r="C109" s="61"/>
      <c r="D109" s="63" t="s">
        <v>1419</v>
      </c>
      <c r="E109" s="63" t="s">
        <v>1420</v>
      </c>
      <c r="F109" s="61"/>
      <c r="G109" s="61"/>
      <c r="H109" s="61"/>
      <c r="I109" s="61"/>
      <c r="J109" s="61"/>
      <c r="K109" s="307"/>
      <c r="L109" s="61"/>
      <c r="M109" s="61"/>
      <c r="N109" s="61"/>
      <c r="O109" s="61"/>
      <c r="P109" s="61"/>
    </row>
    <row r="110">
      <c r="A110" s="47" t="s">
        <v>1424</v>
      </c>
      <c r="B110" s="51">
        <v>6.0</v>
      </c>
      <c r="C110" s="51">
        <v>2.0</v>
      </c>
      <c r="D110" s="51" t="s">
        <v>1425</v>
      </c>
      <c r="E110" s="51" t="s">
        <v>1427</v>
      </c>
      <c r="F110" s="51" t="s">
        <v>1429</v>
      </c>
      <c r="G110" s="51" t="s">
        <v>1430</v>
      </c>
      <c r="H110" s="51"/>
      <c r="I110" s="51"/>
      <c r="J110" s="51" t="s">
        <v>1433</v>
      </c>
      <c r="K110" s="305"/>
      <c r="L110" s="47"/>
      <c r="M110" s="47"/>
      <c r="N110" s="47"/>
      <c r="O110" s="47"/>
      <c r="P110" s="47"/>
    </row>
    <row r="111">
      <c r="A111" s="61" t="s">
        <v>1434</v>
      </c>
      <c r="B111" s="63">
        <v>3.0</v>
      </c>
      <c r="C111" s="61"/>
      <c r="D111" s="126"/>
      <c r="E111" s="61"/>
      <c r="F111" s="61"/>
      <c r="G111" s="61"/>
      <c r="H111" s="61"/>
      <c r="I111" s="61"/>
      <c r="J111" s="61"/>
      <c r="K111" s="307"/>
      <c r="L111" s="70"/>
      <c r="M111" s="70"/>
      <c r="N111" s="70"/>
      <c r="O111" s="70"/>
      <c r="P111" s="70"/>
    </row>
    <row r="112">
      <c r="A112" s="47" t="s">
        <v>1440</v>
      </c>
      <c r="B112" s="51">
        <v>4.0</v>
      </c>
      <c r="C112" s="47"/>
      <c r="D112" s="51"/>
      <c r="E112" s="313"/>
      <c r="F112" s="47"/>
      <c r="G112" s="47"/>
      <c r="H112" s="47"/>
      <c r="I112" s="47"/>
      <c r="J112" s="47"/>
      <c r="K112" s="305"/>
      <c r="L112" s="47"/>
      <c r="M112" s="47"/>
      <c r="N112" s="47"/>
      <c r="O112" s="47"/>
      <c r="P112" s="47"/>
    </row>
    <row r="113">
      <c r="A113" s="61" t="s">
        <v>1446</v>
      </c>
      <c r="B113" s="63">
        <v>2.0</v>
      </c>
      <c r="C113" s="63"/>
      <c r="D113" s="63" t="s">
        <v>1447</v>
      </c>
      <c r="E113" s="314" t="s">
        <v>1449</v>
      </c>
      <c r="F113" s="70"/>
      <c r="G113" s="70"/>
      <c r="H113" s="70"/>
      <c r="I113" s="70"/>
      <c r="J113" s="70"/>
      <c r="K113" s="307"/>
      <c r="L113" s="70"/>
      <c r="M113" s="70"/>
      <c r="N113" s="70"/>
      <c r="O113" s="70"/>
      <c r="P113" s="70"/>
    </row>
    <row r="114">
      <c r="A114" s="47" t="s">
        <v>1454</v>
      </c>
      <c r="B114" s="47"/>
      <c r="C114" s="47"/>
      <c r="D114" s="47"/>
      <c r="E114" s="47"/>
      <c r="F114" s="47"/>
      <c r="G114" s="47"/>
      <c r="H114" s="47"/>
      <c r="I114" s="47"/>
      <c r="J114" s="47"/>
      <c r="K114" s="305"/>
      <c r="L114" s="47"/>
      <c r="M114" s="47"/>
      <c r="N114" s="47"/>
      <c r="O114" s="56"/>
      <c r="P114" s="56"/>
    </row>
    <row r="115">
      <c r="A115" s="95" t="s">
        <v>1461</v>
      </c>
      <c r="B115" s="111"/>
      <c r="C115" s="25"/>
      <c r="D115" s="25"/>
      <c r="E115" s="25"/>
      <c r="F115" s="25"/>
      <c r="G115" s="25"/>
      <c r="H115" s="25"/>
      <c r="I115" s="25"/>
      <c r="J115" s="25"/>
      <c r="K115" s="25"/>
      <c r="L115" s="25"/>
      <c r="M115" s="25"/>
      <c r="N115" s="25"/>
      <c r="O115" s="25"/>
      <c r="P115" s="45"/>
    </row>
    <row r="116">
      <c r="A116" s="47" t="s">
        <v>1466</v>
      </c>
      <c r="B116" s="51"/>
      <c r="C116" s="51">
        <v>1.0</v>
      </c>
      <c r="D116" s="47"/>
      <c r="E116" s="47"/>
      <c r="F116" s="47"/>
      <c r="G116" s="47"/>
      <c r="H116" s="47"/>
      <c r="I116" s="47"/>
      <c r="J116" s="47"/>
      <c r="K116" s="47"/>
      <c r="L116" s="47"/>
      <c r="M116" s="47"/>
      <c r="N116" s="47"/>
      <c r="O116" s="47"/>
      <c r="P116" s="47"/>
    </row>
    <row r="117">
      <c r="A117" s="61" t="s">
        <v>1474</v>
      </c>
      <c r="B117" s="63">
        <v>2.0</v>
      </c>
      <c r="C117" s="63">
        <v>1.0</v>
      </c>
      <c r="D117" s="63"/>
      <c r="E117" s="61"/>
      <c r="F117" s="61"/>
      <c r="G117" s="70"/>
      <c r="H117" s="70"/>
      <c r="I117" s="70"/>
      <c r="J117" s="70"/>
      <c r="K117" s="70"/>
      <c r="L117" s="63"/>
      <c r="M117" s="63"/>
      <c r="N117" s="63"/>
      <c r="O117" s="70"/>
      <c r="P117" s="70"/>
    </row>
    <row r="118">
      <c r="A118" s="51" t="s">
        <v>1479</v>
      </c>
      <c r="B118" s="51">
        <v>2.0</v>
      </c>
      <c r="C118" s="51">
        <v>1.0</v>
      </c>
      <c r="D118" s="51" t="s">
        <v>1482</v>
      </c>
      <c r="E118" s="51" t="s">
        <v>1484</v>
      </c>
      <c r="F118" s="47"/>
      <c r="G118" s="56"/>
      <c r="H118" s="56"/>
      <c r="I118" s="56"/>
      <c r="J118" s="56"/>
      <c r="K118" s="56"/>
      <c r="L118" s="56"/>
      <c r="M118" s="56"/>
      <c r="N118" s="56"/>
      <c r="O118" s="56"/>
      <c r="P118" s="56"/>
    </row>
    <row r="119">
      <c r="A119" s="95" t="s">
        <v>1488</v>
      </c>
      <c r="B119" s="111"/>
      <c r="C119" s="25"/>
      <c r="D119" s="25"/>
      <c r="E119" s="25"/>
      <c r="F119" s="25"/>
      <c r="G119" s="25"/>
      <c r="H119" s="25"/>
      <c r="I119" s="25"/>
      <c r="J119" s="25"/>
      <c r="K119" s="25"/>
      <c r="L119" s="25"/>
      <c r="M119" s="25"/>
      <c r="N119" s="25"/>
      <c r="O119" s="25"/>
      <c r="P119" s="45"/>
    </row>
    <row r="120">
      <c r="A120" s="47" t="s">
        <v>1496</v>
      </c>
      <c r="B120" s="51"/>
      <c r="C120" s="47"/>
      <c r="D120" s="47"/>
      <c r="E120" s="47"/>
      <c r="F120" s="56"/>
      <c r="G120" s="56"/>
      <c r="H120" s="56"/>
      <c r="I120" s="56"/>
      <c r="J120" s="56"/>
      <c r="K120" s="47"/>
      <c r="L120" s="47"/>
      <c r="M120" s="47"/>
      <c r="N120" s="47"/>
      <c r="O120" s="47"/>
      <c r="P120" s="47"/>
    </row>
    <row r="121">
      <c r="A121" s="61" t="s">
        <v>1507</v>
      </c>
      <c r="B121" s="63"/>
      <c r="C121" s="61"/>
      <c r="D121" s="61"/>
      <c r="E121" s="61"/>
      <c r="F121" s="61"/>
      <c r="G121" s="61"/>
      <c r="H121" s="61"/>
      <c r="I121" s="61"/>
      <c r="J121" s="61"/>
      <c r="K121" s="61"/>
      <c r="L121" s="61"/>
      <c r="M121" s="61"/>
      <c r="N121" s="61"/>
      <c r="O121" s="61"/>
      <c r="P121" s="61"/>
    </row>
    <row r="122">
      <c r="A122" s="47" t="s">
        <v>1512</v>
      </c>
      <c r="B122" s="51">
        <v>2.0</v>
      </c>
      <c r="C122" s="47"/>
      <c r="D122" s="51" t="s">
        <v>1514</v>
      </c>
      <c r="E122" s="56"/>
      <c r="F122" s="56"/>
      <c r="G122" s="56"/>
      <c r="H122" s="56"/>
      <c r="I122" s="56"/>
      <c r="J122" s="56"/>
      <c r="K122" s="47"/>
      <c r="L122" s="47"/>
      <c r="M122" s="47"/>
      <c r="N122" s="47"/>
      <c r="O122" s="47"/>
      <c r="P122" s="47"/>
    </row>
    <row r="123">
      <c r="A123" s="95" t="s">
        <v>1516</v>
      </c>
      <c r="B123" s="111"/>
      <c r="C123" s="25"/>
      <c r="D123" s="25"/>
      <c r="E123" s="25"/>
      <c r="F123" s="25"/>
      <c r="G123" s="25"/>
      <c r="H123" s="25"/>
      <c r="I123" s="25"/>
      <c r="J123" s="25"/>
      <c r="K123" s="25"/>
      <c r="L123" s="25"/>
      <c r="M123" s="25"/>
      <c r="N123" s="25"/>
      <c r="O123" s="25"/>
      <c r="P123" s="45"/>
    </row>
    <row r="124">
      <c r="A124" s="47" t="s">
        <v>1531</v>
      </c>
      <c r="B124" s="51"/>
      <c r="C124" s="47"/>
      <c r="D124" s="47"/>
      <c r="E124" s="47"/>
      <c r="F124" s="47"/>
      <c r="G124" s="47"/>
      <c r="H124" s="47"/>
      <c r="I124" s="47"/>
      <c r="J124" s="47"/>
      <c r="K124" s="47"/>
      <c r="L124" s="47"/>
      <c r="M124" s="47"/>
      <c r="N124" s="47"/>
      <c r="O124" s="47"/>
      <c r="P124" s="47"/>
    </row>
    <row r="125">
      <c r="A125" s="61" t="s">
        <v>1539</v>
      </c>
      <c r="B125" s="96">
        <v>2.0</v>
      </c>
      <c r="C125" s="236"/>
      <c r="D125" s="244"/>
      <c r="E125" s="236"/>
      <c r="F125" s="236"/>
      <c r="G125" s="236"/>
      <c r="H125" s="236"/>
      <c r="I125" s="236"/>
      <c r="J125" s="236"/>
      <c r="K125" s="307"/>
      <c r="L125" s="236"/>
      <c r="M125" s="236"/>
      <c r="N125" s="236"/>
      <c r="O125" s="236"/>
      <c r="P125" s="236"/>
    </row>
    <row r="126">
      <c r="A126" s="47" t="s">
        <v>1550</v>
      </c>
      <c r="B126" s="343">
        <v>1.0</v>
      </c>
      <c r="D126" s="117" t="s">
        <v>1552</v>
      </c>
      <c r="K126" s="305"/>
    </row>
    <row r="127">
      <c r="A127" s="95" t="s">
        <v>1554</v>
      </c>
      <c r="K127" s="307"/>
    </row>
    <row r="128">
      <c r="A128" s="47" t="s">
        <v>1555</v>
      </c>
      <c r="B128" s="51">
        <v>1.0</v>
      </c>
      <c r="C128" s="47"/>
      <c r="D128" s="51" t="s">
        <v>1557</v>
      </c>
      <c r="E128" s="47"/>
      <c r="F128" s="47"/>
      <c r="G128" s="47"/>
      <c r="H128" s="47"/>
      <c r="I128" s="47"/>
      <c r="J128" s="47"/>
      <c r="K128" s="56"/>
      <c r="L128" s="47"/>
      <c r="M128" s="47"/>
      <c r="N128" s="47"/>
      <c r="O128" s="47"/>
      <c r="P128" s="47"/>
    </row>
    <row r="129">
      <c r="A129" s="61" t="s">
        <v>1561</v>
      </c>
      <c r="B129" s="63">
        <v>10.0</v>
      </c>
      <c r="C129" s="63">
        <v>4.5</v>
      </c>
      <c r="D129" s="270" t="s">
        <v>1563</v>
      </c>
      <c r="E129" s="98" t="s">
        <v>1565</v>
      </c>
      <c r="F129" s="63" t="s">
        <v>1568</v>
      </c>
      <c r="G129" s="358" t="s">
        <v>1571</v>
      </c>
      <c r="H129" s="63" t="s">
        <v>1575</v>
      </c>
      <c r="I129" s="63" t="s">
        <v>1579</v>
      </c>
      <c r="J129" s="63" t="s">
        <v>1581</v>
      </c>
      <c r="K129" s="63">
        <v>2.0</v>
      </c>
      <c r="L129" s="70"/>
      <c r="N129" s="70"/>
      <c r="O129" s="61"/>
      <c r="P129" s="61"/>
    </row>
    <row r="130">
      <c r="A130" s="47" t="s">
        <v>1587</v>
      </c>
      <c r="B130" s="51">
        <v>6.0</v>
      </c>
      <c r="C130" s="51">
        <v>1.0</v>
      </c>
      <c r="D130" s="51" t="s">
        <v>1589</v>
      </c>
      <c r="E130" s="51" t="s">
        <v>1590</v>
      </c>
      <c r="F130" s="51" t="s">
        <v>1593</v>
      </c>
      <c r="G130" s="47"/>
      <c r="H130" s="56"/>
      <c r="I130" s="56"/>
      <c r="J130" s="56"/>
      <c r="K130" s="51">
        <v>2.0</v>
      </c>
      <c r="L130" s="51" t="s">
        <v>1601</v>
      </c>
      <c r="M130" s="51" t="s">
        <v>1603</v>
      </c>
      <c r="N130" s="51" t="s">
        <v>1604</v>
      </c>
      <c r="O130" s="51" t="s">
        <v>1606</v>
      </c>
      <c r="P130" s="51" t="s">
        <v>1608</v>
      </c>
    </row>
    <row r="131">
      <c r="A131" s="95" t="s">
        <v>1609</v>
      </c>
      <c r="B131" s="111"/>
      <c r="C131" s="25"/>
      <c r="D131" s="25"/>
      <c r="E131" s="25"/>
      <c r="F131" s="25"/>
      <c r="G131" s="25"/>
      <c r="H131" s="25"/>
      <c r="I131" s="25"/>
      <c r="J131" s="25"/>
      <c r="K131" s="25"/>
      <c r="L131" s="25"/>
      <c r="M131" s="25"/>
      <c r="N131" s="25"/>
      <c r="O131" s="25"/>
      <c r="P131" s="45"/>
    </row>
    <row r="132">
      <c r="A132" s="47" t="s">
        <v>1624</v>
      </c>
      <c r="B132" s="51">
        <v>5.0</v>
      </c>
      <c r="C132" s="51"/>
      <c r="D132" s="51" t="s">
        <v>1630</v>
      </c>
      <c r="E132" s="51"/>
      <c r="F132" s="47"/>
      <c r="G132" s="47"/>
      <c r="H132" s="47"/>
      <c r="I132" s="47"/>
      <c r="J132" s="47"/>
      <c r="K132" s="305"/>
      <c r="L132" s="47"/>
      <c r="M132" s="47"/>
      <c r="N132" s="47"/>
      <c r="O132" s="47"/>
      <c r="P132" s="47"/>
    </row>
    <row r="133">
      <c r="A133" s="61" t="s">
        <v>1634</v>
      </c>
      <c r="B133" s="63">
        <v>4.0</v>
      </c>
      <c r="C133" s="63"/>
      <c r="D133" s="63" t="s">
        <v>1639</v>
      </c>
      <c r="E133" s="63" t="s">
        <v>1643</v>
      </c>
      <c r="F133" s="61"/>
      <c r="G133" s="61"/>
      <c r="H133" s="61"/>
      <c r="I133" s="61"/>
      <c r="J133" s="61"/>
      <c r="K133" s="63" t="s">
        <v>1649</v>
      </c>
      <c r="L133" s="63" t="s">
        <v>1650</v>
      </c>
      <c r="M133" s="63" t="s">
        <v>195</v>
      </c>
      <c r="N133" s="63" t="s">
        <v>1652</v>
      </c>
      <c r="O133" s="63" t="s">
        <v>1654</v>
      </c>
      <c r="P133" s="61"/>
    </row>
    <row r="134">
      <c r="A134" s="47" t="s">
        <v>1656</v>
      </c>
      <c r="B134" s="51">
        <v>2.0</v>
      </c>
      <c r="C134" s="51">
        <v>2.0</v>
      </c>
      <c r="D134" s="51" t="s">
        <v>1657</v>
      </c>
      <c r="E134" s="51" t="s">
        <v>1658</v>
      </c>
      <c r="F134" s="51" t="s">
        <v>1659</v>
      </c>
      <c r="G134" s="51"/>
      <c r="H134" s="47"/>
      <c r="I134" s="47"/>
      <c r="J134" s="47"/>
      <c r="K134" s="305"/>
      <c r="L134" s="51" t="s">
        <v>1663</v>
      </c>
      <c r="M134" s="51" t="s">
        <v>195</v>
      </c>
      <c r="N134" s="47"/>
      <c r="O134" s="47"/>
      <c r="P134" s="47"/>
    </row>
    <row r="135">
      <c r="A135" s="61" t="s">
        <v>1665</v>
      </c>
      <c r="B135" s="63">
        <v>6.0</v>
      </c>
      <c r="C135" s="63">
        <v>1.0</v>
      </c>
      <c r="D135" s="63" t="s">
        <v>1666</v>
      </c>
      <c r="E135" s="63" t="s">
        <v>1667</v>
      </c>
      <c r="F135" s="63" t="s">
        <v>1668</v>
      </c>
      <c r="G135" s="61"/>
      <c r="H135" s="61"/>
      <c r="I135" s="61"/>
      <c r="J135" s="61"/>
      <c r="K135" s="307"/>
      <c r="L135" s="63" t="s">
        <v>1670</v>
      </c>
      <c r="M135" s="63" t="s">
        <v>195</v>
      </c>
      <c r="N135" s="63" t="s">
        <v>1671</v>
      </c>
      <c r="O135" s="63"/>
      <c r="P135" s="63"/>
    </row>
    <row r="136">
      <c r="A136" s="47" t="s">
        <v>1674</v>
      </c>
      <c r="B136" s="51">
        <v>6.0</v>
      </c>
      <c r="C136" s="51"/>
      <c r="D136" s="51" t="s">
        <v>1676</v>
      </c>
      <c r="E136" s="51"/>
      <c r="F136" s="51"/>
      <c r="G136" s="391"/>
      <c r="H136" s="56"/>
      <c r="I136" s="56"/>
      <c r="J136" s="56"/>
      <c r="K136" s="51">
        <v>1.0</v>
      </c>
      <c r="L136" s="47"/>
      <c r="M136" s="51" t="s">
        <v>1688</v>
      </c>
      <c r="N136" s="51" t="s">
        <v>1691</v>
      </c>
      <c r="O136" s="51" t="s">
        <v>439</v>
      </c>
      <c r="P136" s="51" t="s">
        <v>1695</v>
      </c>
    </row>
    <row r="137">
      <c r="A137" s="95" t="s">
        <v>1696</v>
      </c>
      <c r="B137" s="111"/>
      <c r="C137" s="25"/>
      <c r="D137" s="25"/>
      <c r="E137" s="25"/>
      <c r="F137" s="25"/>
      <c r="G137" s="25"/>
      <c r="H137" s="25"/>
      <c r="I137" s="25"/>
      <c r="J137" s="25"/>
      <c r="K137" s="25"/>
      <c r="L137" s="25"/>
      <c r="M137" s="25"/>
      <c r="N137" s="25"/>
      <c r="O137" s="25"/>
      <c r="P137" s="45"/>
    </row>
    <row r="138">
      <c r="A138" s="47" t="s">
        <v>1709</v>
      </c>
      <c r="B138" s="47"/>
      <c r="C138" s="47"/>
      <c r="D138" s="47"/>
      <c r="E138" s="47"/>
      <c r="F138" s="47"/>
      <c r="G138" s="56"/>
      <c r="H138" s="56"/>
      <c r="I138" s="56"/>
      <c r="J138" s="56"/>
      <c r="K138" s="305"/>
      <c r="L138" s="305"/>
      <c r="M138" s="305"/>
      <c r="N138" s="305"/>
      <c r="O138" s="47"/>
      <c r="P138" s="47"/>
    </row>
    <row r="139">
      <c r="A139" s="61" t="s">
        <v>1727</v>
      </c>
      <c r="B139" s="63">
        <v>4.0</v>
      </c>
      <c r="C139" s="63"/>
      <c r="D139" s="63" t="s">
        <v>1731</v>
      </c>
      <c r="E139" s="63" t="s">
        <v>1732</v>
      </c>
      <c r="F139" s="63"/>
      <c r="G139" s="63"/>
      <c r="H139" s="63"/>
      <c r="I139" s="63"/>
      <c r="J139" s="63"/>
      <c r="K139" s="63">
        <v>3.0</v>
      </c>
      <c r="L139" s="63" t="s">
        <v>1737</v>
      </c>
      <c r="M139" s="63" t="s">
        <v>195</v>
      </c>
      <c r="N139" s="63" t="s">
        <v>1739</v>
      </c>
      <c r="O139" s="63" t="s">
        <v>1742</v>
      </c>
      <c r="P139" s="63"/>
    </row>
    <row r="140">
      <c r="A140" s="47" t="s">
        <v>1745</v>
      </c>
      <c r="B140" s="51">
        <v>10.0</v>
      </c>
      <c r="C140" s="47"/>
      <c r="D140" s="51" t="s">
        <v>1748</v>
      </c>
      <c r="E140" s="51" t="s">
        <v>1750</v>
      </c>
      <c r="F140" s="47"/>
      <c r="G140" s="47"/>
      <c r="H140" s="47"/>
      <c r="I140" s="47"/>
      <c r="J140" s="47"/>
      <c r="K140" s="51">
        <v>3.0</v>
      </c>
      <c r="L140" s="51" t="s">
        <v>1754</v>
      </c>
      <c r="M140" s="51" t="s">
        <v>195</v>
      </c>
      <c r="N140" s="47"/>
      <c r="O140" s="51" t="s">
        <v>1758</v>
      </c>
      <c r="P140" s="51" t="s">
        <v>1760</v>
      </c>
    </row>
    <row r="141">
      <c r="A141" s="61" t="s">
        <v>1762</v>
      </c>
      <c r="B141" s="63">
        <v>6.0</v>
      </c>
      <c r="C141" s="63"/>
      <c r="D141" s="126" t="s">
        <v>1765</v>
      </c>
      <c r="E141" s="63" t="s">
        <v>1767</v>
      </c>
      <c r="F141" s="63"/>
      <c r="G141" s="63"/>
      <c r="H141" s="63"/>
      <c r="I141" s="63"/>
      <c r="J141" s="63"/>
      <c r="K141" s="63">
        <v>1.0</v>
      </c>
      <c r="L141" s="63" t="s">
        <v>1773</v>
      </c>
      <c r="M141" s="63" t="s">
        <v>195</v>
      </c>
      <c r="N141" s="70"/>
      <c r="O141" s="63" t="s">
        <v>1776</v>
      </c>
      <c r="P141" s="63" t="s">
        <v>1777</v>
      </c>
    </row>
    <row r="142">
      <c r="A142" s="47" t="s">
        <v>1778</v>
      </c>
      <c r="B142" s="51">
        <v>6.0</v>
      </c>
      <c r="C142" s="51"/>
      <c r="D142" s="51" t="s">
        <v>1779</v>
      </c>
      <c r="E142" s="51" t="s">
        <v>1781</v>
      </c>
      <c r="F142" s="51" t="s">
        <v>1783</v>
      </c>
      <c r="G142" s="51" t="s">
        <v>1786</v>
      </c>
      <c r="H142" s="56"/>
      <c r="I142" s="56"/>
      <c r="J142" s="56"/>
      <c r="K142" s="51"/>
      <c r="L142" s="51"/>
      <c r="M142" s="51"/>
      <c r="N142" s="47"/>
      <c r="O142" s="51"/>
      <c r="P142" s="47"/>
    </row>
    <row r="143">
      <c r="A143" s="61" t="s">
        <v>1796</v>
      </c>
      <c r="B143" s="63">
        <v>3.0</v>
      </c>
      <c r="C143" s="63">
        <v>2.0</v>
      </c>
      <c r="D143" s="63" t="s">
        <v>426</v>
      </c>
      <c r="E143" s="63" t="s">
        <v>1804</v>
      </c>
      <c r="F143" s="63" t="s">
        <v>1806</v>
      </c>
      <c r="G143" s="63" t="s">
        <v>1808</v>
      </c>
      <c r="H143" s="61"/>
      <c r="I143" s="61"/>
      <c r="J143" s="61"/>
      <c r="K143" s="63">
        <v>5.0</v>
      </c>
      <c r="L143" s="61"/>
      <c r="M143" s="61"/>
      <c r="N143" s="61"/>
      <c r="O143" s="61"/>
      <c r="P143" s="61"/>
    </row>
    <row r="144">
      <c r="A144" s="47" t="s">
        <v>1817</v>
      </c>
      <c r="B144" s="51">
        <v>1.0</v>
      </c>
      <c r="C144" s="51">
        <v>1.0</v>
      </c>
      <c r="D144" s="51" t="s">
        <v>1818</v>
      </c>
      <c r="E144" s="413" t="s">
        <v>1819</v>
      </c>
      <c r="F144" s="419" t="s">
        <v>1825</v>
      </c>
      <c r="G144" s="181" t="s">
        <v>1847</v>
      </c>
      <c r="H144" s="51" t="s">
        <v>1849</v>
      </c>
      <c r="I144" s="56"/>
      <c r="J144" s="56"/>
      <c r="K144" s="47"/>
      <c r="L144" s="47"/>
      <c r="M144" s="47"/>
      <c r="N144" s="47"/>
      <c r="O144" s="47"/>
      <c r="P144" s="47"/>
    </row>
    <row r="145">
      <c r="A145" s="61" t="s">
        <v>1856</v>
      </c>
      <c r="B145" s="63">
        <v>6.0</v>
      </c>
      <c r="C145" s="63">
        <v>3.0</v>
      </c>
      <c r="D145" s="63" t="s">
        <v>1860</v>
      </c>
      <c r="E145" s="63" t="s">
        <v>1861</v>
      </c>
      <c r="F145" s="63" t="s">
        <v>1862</v>
      </c>
      <c r="G145" s="63" t="s">
        <v>1865</v>
      </c>
      <c r="H145" s="63"/>
      <c r="I145" s="63"/>
      <c r="J145" s="63"/>
      <c r="K145" s="63">
        <v>2.0</v>
      </c>
      <c r="L145" s="63" t="s">
        <v>1871</v>
      </c>
      <c r="M145" s="63" t="s">
        <v>749</v>
      </c>
      <c r="N145" s="61"/>
      <c r="O145" s="61"/>
      <c r="P145" s="61"/>
    </row>
    <row r="146">
      <c r="A146" s="47" t="s">
        <v>1876</v>
      </c>
      <c r="B146" s="51">
        <v>8.0</v>
      </c>
      <c r="C146" s="47"/>
      <c r="D146" s="51" t="s">
        <v>1880</v>
      </c>
      <c r="E146" s="51" t="s">
        <v>1882</v>
      </c>
      <c r="F146" s="51" t="s">
        <v>1884</v>
      </c>
      <c r="G146" s="56"/>
      <c r="H146" s="56"/>
      <c r="I146" s="56"/>
      <c r="J146" s="56"/>
      <c r="K146" s="51">
        <v>2.0</v>
      </c>
      <c r="L146" s="51"/>
      <c r="M146" s="51"/>
      <c r="N146" s="56"/>
      <c r="O146" s="51"/>
      <c r="P146" s="56"/>
    </row>
    <row r="147">
      <c r="A147" s="61" t="s">
        <v>847</v>
      </c>
      <c r="B147" s="63">
        <v>3.0</v>
      </c>
      <c r="C147" s="63">
        <v>2.0</v>
      </c>
      <c r="D147" s="63" t="s">
        <v>1887</v>
      </c>
      <c r="E147" s="425" t="s">
        <v>1889</v>
      </c>
      <c r="F147" s="63" t="s">
        <v>1894</v>
      </c>
      <c r="G147" s="63" t="s">
        <v>1898</v>
      </c>
      <c r="H147" s="63" t="s">
        <v>1903</v>
      </c>
      <c r="I147" s="63"/>
      <c r="K147" s="63">
        <v>1.0</v>
      </c>
      <c r="L147" s="63" t="s">
        <v>65</v>
      </c>
      <c r="M147" s="61"/>
      <c r="N147" s="61"/>
      <c r="O147" s="61"/>
      <c r="P147" s="61"/>
    </row>
    <row r="148">
      <c r="A148" s="437" t="s">
        <v>1913</v>
      </c>
      <c r="B148" s="439"/>
      <c r="C148" s="441"/>
      <c r="D148" s="441"/>
      <c r="E148" s="441"/>
      <c r="F148" s="441"/>
      <c r="G148" s="441"/>
      <c r="H148" s="441"/>
      <c r="I148" s="441"/>
      <c r="J148" s="441"/>
      <c r="K148" s="441"/>
      <c r="L148" s="441"/>
      <c r="M148" s="441"/>
      <c r="N148" s="441"/>
      <c r="O148" s="441"/>
      <c r="P148" s="442"/>
    </row>
    <row r="149">
      <c r="A149" s="61" t="s">
        <v>855</v>
      </c>
      <c r="B149" s="63">
        <v>5.0</v>
      </c>
      <c r="C149" s="63"/>
      <c r="D149" s="63" t="s">
        <v>1944</v>
      </c>
      <c r="E149" s="63"/>
      <c r="F149" s="63"/>
      <c r="G149" s="63"/>
      <c r="H149" s="63"/>
      <c r="I149" s="63"/>
      <c r="J149" s="63"/>
      <c r="K149" s="61"/>
      <c r="L149" s="61"/>
      <c r="M149" s="61"/>
      <c r="N149" s="61"/>
      <c r="O149" s="63"/>
      <c r="P149" s="61"/>
    </row>
    <row r="150">
      <c r="A150" s="47" t="s">
        <v>1956</v>
      </c>
      <c r="B150" s="51">
        <v>2.0</v>
      </c>
      <c r="C150" s="47"/>
      <c r="D150" s="51" t="s">
        <v>1959</v>
      </c>
      <c r="E150" s="51"/>
      <c r="F150" s="56"/>
      <c r="G150" s="56"/>
      <c r="H150" s="56"/>
      <c r="I150" s="56"/>
      <c r="J150" s="56"/>
      <c r="K150" s="51">
        <v>4.0</v>
      </c>
      <c r="L150" s="56"/>
      <c r="M150" s="56"/>
      <c r="N150" s="56"/>
      <c r="O150" s="56"/>
      <c r="P150" s="56"/>
    </row>
    <row r="151">
      <c r="A151" s="61" t="s">
        <v>1976</v>
      </c>
      <c r="B151" s="61"/>
      <c r="C151" s="61"/>
      <c r="D151" s="61"/>
      <c r="E151" s="61"/>
      <c r="F151" s="70"/>
      <c r="G151" s="70"/>
      <c r="H151" s="70"/>
      <c r="I151" s="70"/>
      <c r="J151" s="70"/>
      <c r="K151" s="61"/>
      <c r="L151" s="61"/>
      <c r="M151" s="61"/>
      <c r="N151" s="61"/>
      <c r="O151" s="61"/>
      <c r="P151" s="61"/>
    </row>
    <row r="152">
      <c r="A152" s="47" t="s">
        <v>1985</v>
      </c>
      <c r="B152" s="51">
        <v>1.0</v>
      </c>
      <c r="C152" s="47"/>
      <c r="D152" s="51"/>
      <c r="E152" s="47"/>
      <c r="F152" s="47"/>
      <c r="G152" s="56"/>
      <c r="H152" s="56"/>
      <c r="I152" s="56"/>
      <c r="J152" s="56"/>
      <c r="K152" s="51"/>
      <c r="L152" s="51"/>
      <c r="M152" s="51"/>
      <c r="N152" s="51"/>
      <c r="O152" s="51"/>
      <c r="P152" s="51"/>
    </row>
    <row r="153">
      <c r="A153" s="61" t="s">
        <v>1995</v>
      </c>
      <c r="B153" s="63">
        <v>5.0</v>
      </c>
      <c r="C153" s="63"/>
      <c r="D153" s="63" t="s">
        <v>2000</v>
      </c>
      <c r="E153" s="63"/>
      <c r="F153" s="63"/>
      <c r="G153" s="63"/>
      <c r="H153" s="63"/>
      <c r="I153" s="63"/>
      <c r="J153" s="63"/>
      <c r="K153" s="63"/>
      <c r="L153" s="63"/>
      <c r="M153" s="63"/>
      <c r="N153" s="63"/>
      <c r="O153" s="63"/>
      <c r="P153" s="63"/>
    </row>
    <row r="154">
      <c r="A154" s="47" t="s">
        <v>2010</v>
      </c>
      <c r="B154" s="51">
        <v>1.0</v>
      </c>
      <c r="C154" s="51">
        <v>4.0</v>
      </c>
      <c r="D154" s="51"/>
      <c r="E154" s="51" t="s">
        <v>2013</v>
      </c>
      <c r="F154" s="51" t="s">
        <v>2016</v>
      </c>
      <c r="G154" s="56"/>
      <c r="H154" s="56"/>
      <c r="I154" s="56"/>
      <c r="J154" s="56"/>
      <c r="K154" s="56"/>
      <c r="L154" s="56"/>
      <c r="M154" s="56"/>
      <c r="N154" s="56"/>
      <c r="O154" s="56"/>
      <c r="P154" s="56"/>
    </row>
    <row r="155">
      <c r="A155" s="61" t="s">
        <v>2021</v>
      </c>
      <c r="B155" s="63">
        <v>4.0</v>
      </c>
      <c r="C155" s="63"/>
      <c r="D155" s="63" t="s">
        <v>2023</v>
      </c>
      <c r="E155" s="63" t="s">
        <v>2024</v>
      </c>
      <c r="F155" s="63"/>
      <c r="G155" s="63"/>
      <c r="H155" s="61"/>
      <c r="I155" s="61"/>
      <c r="J155" s="61"/>
      <c r="K155" s="63"/>
      <c r="L155" s="63"/>
      <c r="M155" s="61"/>
      <c r="N155" s="63"/>
      <c r="O155" s="63"/>
      <c r="P155" s="61"/>
    </row>
    <row r="156">
      <c r="A156" s="95" t="s">
        <v>2031</v>
      </c>
      <c r="B156" s="111"/>
      <c r="C156" s="142"/>
      <c r="D156" s="142"/>
      <c r="E156" s="142"/>
      <c r="F156" s="142"/>
      <c r="G156" s="142"/>
      <c r="H156" s="142"/>
      <c r="I156" s="142"/>
      <c r="J156" s="142"/>
      <c r="K156" s="142"/>
      <c r="L156" s="142"/>
      <c r="M156" s="142"/>
      <c r="N156" s="142"/>
      <c r="O156" s="142"/>
      <c r="P156" s="145"/>
    </row>
    <row r="157">
      <c r="A157" s="61" t="s">
        <v>2042</v>
      </c>
      <c r="B157" s="61"/>
      <c r="C157" s="61"/>
      <c r="D157" s="61"/>
      <c r="E157" s="61"/>
      <c r="F157" s="61"/>
      <c r="G157" s="61"/>
      <c r="H157" s="61"/>
      <c r="I157" s="61"/>
      <c r="J157" s="61"/>
      <c r="K157" s="70"/>
      <c r="L157" s="70"/>
      <c r="M157" s="70"/>
      <c r="N157" s="70"/>
      <c r="O157" s="70"/>
      <c r="P157" s="70"/>
    </row>
    <row r="158">
      <c r="A158" s="47" t="s">
        <v>887</v>
      </c>
      <c r="B158" s="51">
        <v>5.0</v>
      </c>
      <c r="C158" s="51">
        <v>1.0</v>
      </c>
      <c r="D158" s="51" t="s">
        <v>2054</v>
      </c>
      <c r="E158" s="51" t="s">
        <v>2056</v>
      </c>
      <c r="F158" s="51" t="s">
        <v>2057</v>
      </c>
      <c r="G158" s="51"/>
      <c r="H158" s="47"/>
      <c r="I158" s="47"/>
      <c r="J158" s="47"/>
      <c r="K158" s="51">
        <v>2.0</v>
      </c>
      <c r="L158" s="51" t="s">
        <v>1871</v>
      </c>
      <c r="M158" s="51" t="s">
        <v>749</v>
      </c>
      <c r="N158" s="51" t="s">
        <v>2068</v>
      </c>
      <c r="O158" s="51" t="s">
        <v>2071</v>
      </c>
      <c r="P158" s="51" t="s">
        <v>2073</v>
      </c>
    </row>
    <row r="159">
      <c r="A159" s="95" t="s">
        <v>2076</v>
      </c>
      <c r="B159" s="111"/>
      <c r="C159" s="25"/>
      <c r="D159" s="25"/>
      <c r="E159" s="25"/>
      <c r="F159" s="25"/>
      <c r="G159" s="25"/>
      <c r="H159" s="25"/>
      <c r="I159" s="25"/>
      <c r="J159" s="25"/>
      <c r="K159" s="25"/>
      <c r="L159" s="25"/>
      <c r="M159" s="25"/>
      <c r="N159" s="25"/>
      <c r="O159" s="25"/>
      <c r="P159" s="45"/>
    </row>
    <row r="160">
      <c r="A160" s="47" t="s">
        <v>2095</v>
      </c>
      <c r="B160" s="51">
        <v>1.0</v>
      </c>
      <c r="C160" s="51">
        <v>2.0</v>
      </c>
      <c r="D160" s="51" t="s">
        <v>2100</v>
      </c>
      <c r="E160" s="51" t="s">
        <v>2102</v>
      </c>
      <c r="F160" s="51"/>
      <c r="G160" s="56"/>
      <c r="H160" s="56"/>
      <c r="I160" s="56"/>
      <c r="J160" s="56"/>
      <c r="K160" s="51"/>
      <c r="L160" s="56"/>
      <c r="M160" s="56"/>
      <c r="N160" s="56"/>
      <c r="O160" s="56"/>
      <c r="P160" s="56"/>
    </row>
    <row r="161">
      <c r="A161" s="61" t="s">
        <v>2109</v>
      </c>
      <c r="B161" s="63">
        <v>2.0</v>
      </c>
      <c r="C161" s="61"/>
      <c r="D161" s="61"/>
      <c r="E161" s="70"/>
      <c r="F161" s="61"/>
      <c r="G161" s="70"/>
      <c r="H161" s="70"/>
      <c r="I161" s="70"/>
      <c r="J161" s="70"/>
      <c r="K161" s="70"/>
      <c r="L161" s="70"/>
      <c r="M161" s="70"/>
      <c r="N161" s="70"/>
      <c r="O161" s="70"/>
      <c r="P161" s="70"/>
    </row>
    <row r="162">
      <c r="A162" s="47" t="s">
        <v>2121</v>
      </c>
      <c r="B162" s="51">
        <v>1.0</v>
      </c>
      <c r="C162" s="51"/>
      <c r="D162" s="51" t="s">
        <v>2127</v>
      </c>
      <c r="E162" s="51"/>
      <c r="F162" s="47"/>
      <c r="G162" s="56"/>
      <c r="H162" s="56"/>
      <c r="I162" s="56"/>
      <c r="J162" s="56"/>
      <c r="K162" s="56"/>
      <c r="L162" s="56"/>
      <c r="M162" s="56"/>
      <c r="N162" s="56"/>
      <c r="O162" s="56"/>
      <c r="P162" s="56"/>
    </row>
    <row r="163">
      <c r="A163" s="61" t="s">
        <v>2136</v>
      </c>
      <c r="B163" s="61"/>
      <c r="C163" s="63">
        <v>2.0</v>
      </c>
      <c r="D163" s="63"/>
      <c r="E163" s="63"/>
      <c r="F163" s="63"/>
      <c r="G163" s="63"/>
      <c r="H163" s="63"/>
      <c r="I163" s="63"/>
      <c r="J163" s="63"/>
      <c r="K163" s="70"/>
      <c r="L163" s="70"/>
      <c r="M163" s="70"/>
      <c r="N163" s="70"/>
      <c r="O163" s="70"/>
      <c r="P163" s="70"/>
    </row>
    <row r="164">
      <c r="A164" s="47" t="s">
        <v>2210</v>
      </c>
      <c r="B164" s="51"/>
      <c r="C164" s="56"/>
      <c r="D164" s="51"/>
      <c r="E164" s="47"/>
      <c r="F164" s="51"/>
      <c r="G164" s="56"/>
      <c r="H164" s="56"/>
      <c r="I164" s="56"/>
      <c r="J164" s="56"/>
      <c r="K164" s="47"/>
      <c r="L164" s="465"/>
      <c r="M164" s="465"/>
      <c r="N164" s="465"/>
      <c r="O164" s="47"/>
      <c r="P164" s="47"/>
    </row>
    <row r="165">
      <c r="A165" s="61" t="s">
        <v>2237</v>
      </c>
      <c r="B165" s="63">
        <v>3.0</v>
      </c>
      <c r="C165" s="63">
        <v>1.0</v>
      </c>
      <c r="D165" s="63" t="s">
        <v>2238</v>
      </c>
      <c r="E165" s="63" t="s">
        <v>2243</v>
      </c>
      <c r="F165" s="70"/>
      <c r="G165" s="70"/>
      <c r="H165" s="70"/>
      <c r="I165" s="70"/>
      <c r="J165" s="70"/>
      <c r="K165" s="61"/>
      <c r="L165" s="61"/>
      <c r="M165" s="61"/>
      <c r="N165" s="61"/>
      <c r="O165" s="70"/>
      <c r="P165" s="70"/>
    </row>
    <row r="166">
      <c r="A166" s="47" t="s">
        <v>2289</v>
      </c>
      <c r="B166" s="51"/>
      <c r="C166" s="51">
        <v>1.0</v>
      </c>
      <c r="D166" s="51" t="s">
        <v>2293</v>
      </c>
      <c r="E166" s="47"/>
      <c r="F166" s="56"/>
      <c r="G166" s="56"/>
      <c r="H166" s="56"/>
      <c r="I166" s="56"/>
      <c r="J166" s="56"/>
      <c r="K166" s="51"/>
      <c r="L166" s="56"/>
      <c r="M166" s="56"/>
      <c r="N166" s="56"/>
      <c r="O166" s="51"/>
      <c r="P166" s="56"/>
    </row>
    <row r="167">
      <c r="A167" s="61" t="s">
        <v>2301</v>
      </c>
      <c r="B167" s="63">
        <v>1.0</v>
      </c>
      <c r="C167" s="61"/>
      <c r="D167" s="61"/>
      <c r="E167" s="61"/>
      <c r="F167" s="61"/>
      <c r="G167" s="61"/>
      <c r="H167" s="61"/>
      <c r="I167" s="61"/>
      <c r="J167" s="61"/>
      <c r="K167" s="61"/>
      <c r="L167" s="61"/>
      <c r="M167" s="61"/>
      <c r="N167" s="61"/>
      <c r="O167" s="61"/>
      <c r="P167" s="61"/>
    </row>
    <row r="168">
      <c r="A168" s="47" t="s">
        <v>2316</v>
      </c>
      <c r="B168" s="51"/>
      <c r="C168" s="51">
        <v>3.0</v>
      </c>
      <c r="D168" s="419" t="s">
        <v>2320</v>
      </c>
      <c r="E168" s="47"/>
      <c r="F168" s="56"/>
      <c r="G168" s="56"/>
      <c r="H168" s="56"/>
      <c r="I168" s="56"/>
      <c r="J168" s="56"/>
      <c r="K168" s="56"/>
      <c r="L168" s="56"/>
      <c r="M168" s="56"/>
      <c r="N168" s="56"/>
      <c r="O168" s="56"/>
      <c r="P168" s="56"/>
    </row>
    <row r="169">
      <c r="A169" s="61" t="s">
        <v>2343</v>
      </c>
      <c r="B169" s="63">
        <v>3.0</v>
      </c>
      <c r="C169" s="63">
        <v>0.5</v>
      </c>
      <c r="D169" s="63" t="s">
        <v>2345</v>
      </c>
      <c r="E169" s="63"/>
      <c r="F169" s="63"/>
      <c r="G169" s="63"/>
      <c r="H169" s="63"/>
      <c r="I169" s="63"/>
      <c r="J169" s="63"/>
      <c r="K169" s="63"/>
      <c r="L169" s="63"/>
      <c r="M169" s="63"/>
      <c r="N169" s="63"/>
      <c r="O169" s="63"/>
      <c r="P169" s="61"/>
    </row>
    <row r="170">
      <c r="A170" s="47" t="s">
        <v>2357</v>
      </c>
      <c r="B170" s="47"/>
      <c r="C170" s="47"/>
      <c r="D170" s="47"/>
      <c r="E170" s="47"/>
      <c r="F170" s="47"/>
      <c r="G170" s="47"/>
      <c r="H170" s="47"/>
      <c r="I170" s="47"/>
      <c r="J170" s="47"/>
      <c r="K170" s="47"/>
      <c r="L170" s="47"/>
      <c r="M170" s="47"/>
      <c r="N170" s="47"/>
      <c r="O170" s="47"/>
      <c r="P170" s="47"/>
    </row>
    <row r="171">
      <c r="A171" s="61" t="s">
        <v>2368</v>
      </c>
      <c r="B171" s="63">
        <v>4.0</v>
      </c>
      <c r="C171" s="63">
        <v>6.0</v>
      </c>
      <c r="D171" s="63" t="s">
        <v>2373</v>
      </c>
      <c r="E171" s="63" t="s">
        <v>2376</v>
      </c>
      <c r="F171" s="63" t="s">
        <v>2378</v>
      </c>
      <c r="G171" s="63" t="s">
        <v>2380</v>
      </c>
      <c r="H171" s="70"/>
      <c r="I171" s="70"/>
      <c r="J171" s="70"/>
      <c r="K171" s="70"/>
      <c r="L171" s="70"/>
      <c r="M171" s="70"/>
      <c r="N171" s="70"/>
      <c r="O171" s="70"/>
      <c r="P171" s="70"/>
    </row>
    <row r="172">
      <c r="A172" s="47" t="s">
        <v>2389</v>
      </c>
      <c r="B172" s="51">
        <v>1.0</v>
      </c>
      <c r="C172" s="56"/>
      <c r="D172" s="47"/>
      <c r="E172" s="56"/>
      <c r="F172" s="56"/>
      <c r="G172" s="56"/>
      <c r="H172" s="56"/>
      <c r="I172" s="56"/>
      <c r="J172" s="56"/>
      <c r="K172" s="47"/>
      <c r="L172" s="47"/>
      <c r="M172" s="47"/>
      <c r="N172" s="47"/>
      <c r="O172" s="47"/>
      <c r="P172" s="47"/>
    </row>
    <row r="173">
      <c r="A173" s="61"/>
      <c r="B173" s="63"/>
      <c r="C173" s="70"/>
      <c r="D173" s="61"/>
      <c r="E173" s="61"/>
      <c r="F173" s="61"/>
      <c r="G173" s="70"/>
      <c r="H173" s="70"/>
      <c r="I173" s="70"/>
      <c r="J173" s="70"/>
      <c r="K173" s="61"/>
      <c r="L173" s="70"/>
      <c r="M173" s="70"/>
      <c r="N173" s="70"/>
      <c r="O173" s="61"/>
      <c r="P173" s="61"/>
    </row>
    <row r="174">
      <c r="A174" s="51" t="s">
        <v>2412</v>
      </c>
      <c r="B174" s="51">
        <v>2.0</v>
      </c>
      <c r="C174" s="51">
        <v>1.0</v>
      </c>
      <c r="D174" s="51" t="s">
        <v>2413</v>
      </c>
      <c r="E174" s="47"/>
      <c r="F174" s="47"/>
      <c r="G174" s="56"/>
      <c r="H174" s="56"/>
      <c r="I174" s="56"/>
      <c r="J174" s="56"/>
      <c r="K174" s="47"/>
      <c r="L174" s="56"/>
      <c r="M174" s="56"/>
      <c r="N174" s="56"/>
      <c r="O174" s="47"/>
      <c r="P174" s="47"/>
    </row>
    <row r="175">
      <c r="A175" s="61" t="s">
        <v>2417</v>
      </c>
      <c r="B175" s="63">
        <v>1.0</v>
      </c>
      <c r="C175" s="63"/>
      <c r="D175" s="63"/>
      <c r="E175" s="63"/>
      <c r="F175" s="70"/>
      <c r="G175" s="70"/>
      <c r="H175" s="70"/>
      <c r="I175" s="70"/>
      <c r="J175" s="70"/>
      <c r="K175" s="61"/>
      <c r="L175" s="61"/>
      <c r="M175" s="61"/>
      <c r="N175" s="61"/>
      <c r="O175" s="61"/>
      <c r="P175" s="61"/>
    </row>
    <row r="176">
      <c r="A176" s="47" t="s">
        <v>2423</v>
      </c>
      <c r="B176" s="51">
        <v>1.0</v>
      </c>
      <c r="C176" s="47"/>
      <c r="D176" s="51"/>
      <c r="E176" s="47"/>
      <c r="F176" s="47"/>
      <c r="G176" s="47"/>
      <c r="H176" s="47"/>
      <c r="I176" s="47"/>
      <c r="J176" s="47"/>
      <c r="K176" s="47"/>
      <c r="L176" s="47"/>
      <c r="M176" s="47"/>
      <c r="N176" s="47"/>
      <c r="O176" s="47"/>
      <c r="P176" s="47"/>
    </row>
    <row r="177">
      <c r="A177" s="61" t="s">
        <v>999</v>
      </c>
      <c r="B177" s="63">
        <v>3.0</v>
      </c>
      <c r="C177" s="61"/>
      <c r="D177" s="63" t="s">
        <v>2432</v>
      </c>
      <c r="E177" s="61"/>
      <c r="F177" s="61"/>
      <c r="G177" s="61"/>
      <c r="H177" s="61"/>
      <c r="I177" s="61"/>
      <c r="J177" s="61"/>
      <c r="K177" s="70"/>
      <c r="L177" s="61"/>
      <c r="M177" s="61"/>
      <c r="N177" s="61"/>
      <c r="O177" s="70"/>
      <c r="P177" s="70"/>
    </row>
    <row r="178">
      <c r="A178" s="47" t="s">
        <v>2438</v>
      </c>
      <c r="B178" s="51">
        <v>4.0</v>
      </c>
      <c r="C178" s="47"/>
      <c r="D178" s="51" t="s">
        <v>2440</v>
      </c>
      <c r="E178" s="51"/>
      <c r="F178" s="51"/>
      <c r="G178" s="47"/>
      <c r="H178" s="56"/>
      <c r="I178" s="56"/>
      <c r="J178" s="56"/>
      <c r="K178" s="47"/>
      <c r="L178" s="47"/>
      <c r="M178" s="47"/>
      <c r="N178" s="47"/>
      <c r="O178" s="47"/>
      <c r="P178" s="47"/>
    </row>
    <row r="179">
      <c r="A179" s="61" t="s">
        <v>2445</v>
      </c>
      <c r="B179" s="63"/>
      <c r="C179" s="61"/>
      <c r="D179" s="63"/>
      <c r="E179" s="61"/>
      <c r="F179" s="61"/>
      <c r="G179" s="61"/>
      <c r="H179" s="61"/>
      <c r="I179" s="61"/>
      <c r="J179" s="61"/>
      <c r="K179" s="61"/>
      <c r="L179" s="61"/>
      <c r="M179" s="61"/>
      <c r="N179" s="61"/>
      <c r="O179" s="61"/>
      <c r="P179" s="61"/>
    </row>
    <row r="180">
      <c r="A180" s="47" t="s">
        <v>2450</v>
      </c>
      <c r="B180" s="47"/>
      <c r="C180" s="47"/>
      <c r="D180" s="51"/>
      <c r="E180" s="47"/>
      <c r="F180" s="47"/>
      <c r="G180" s="47"/>
      <c r="H180" s="47"/>
      <c r="I180" s="47"/>
      <c r="J180" s="47"/>
      <c r="K180" s="47"/>
      <c r="L180" s="47"/>
      <c r="M180" s="47"/>
      <c r="N180" s="47"/>
      <c r="O180" s="47"/>
      <c r="P180" s="47"/>
    </row>
    <row r="181">
      <c r="A181" s="61" t="s">
        <v>2460</v>
      </c>
      <c r="B181" s="63">
        <v>9.0</v>
      </c>
      <c r="C181" s="63">
        <v>1.0</v>
      </c>
      <c r="D181" s="63" t="s">
        <v>2463</v>
      </c>
      <c r="E181" s="63" t="s">
        <v>2464</v>
      </c>
      <c r="F181" s="126" t="s">
        <v>2465</v>
      </c>
      <c r="G181" s="63" t="s">
        <v>2466</v>
      </c>
      <c r="H181" s="63" t="s">
        <v>2468</v>
      </c>
      <c r="I181" s="70"/>
      <c r="J181" s="70"/>
      <c r="K181" s="61"/>
      <c r="L181" s="61"/>
      <c r="M181" s="63"/>
      <c r="N181" s="61"/>
      <c r="O181" s="61"/>
      <c r="P181" s="63"/>
    </row>
    <row r="182">
      <c r="A182" s="47" t="s">
        <v>2471</v>
      </c>
      <c r="B182" s="51">
        <v>1.0</v>
      </c>
      <c r="C182" s="47"/>
      <c r="D182" s="47"/>
      <c r="E182" s="47"/>
      <c r="F182" s="47"/>
      <c r="G182" s="47"/>
      <c r="H182" s="47"/>
      <c r="I182" s="47"/>
      <c r="J182" s="47"/>
      <c r="K182" s="56"/>
      <c r="L182" s="47"/>
      <c r="M182" s="47"/>
      <c r="N182" s="47"/>
      <c r="O182" s="47"/>
      <c r="P182" s="47"/>
    </row>
    <row r="183">
      <c r="A183" s="61" t="s">
        <v>2482</v>
      </c>
      <c r="B183" s="63">
        <v>4.0</v>
      </c>
      <c r="C183" s="63"/>
      <c r="D183" s="63" t="s">
        <v>2483</v>
      </c>
      <c r="E183" s="63" t="s">
        <v>2484</v>
      </c>
      <c r="F183" s="63"/>
      <c r="G183" s="63"/>
      <c r="H183" s="61"/>
      <c r="I183" s="61"/>
      <c r="J183" s="61"/>
      <c r="K183" s="61"/>
      <c r="L183" s="61"/>
      <c r="M183" s="61"/>
      <c r="N183" s="61"/>
      <c r="O183" s="70"/>
      <c r="P183" s="70"/>
    </row>
    <row r="184">
      <c r="A184" s="47" t="s">
        <v>2489</v>
      </c>
      <c r="B184" s="51">
        <v>3.0</v>
      </c>
      <c r="C184" s="47"/>
      <c r="D184" s="51" t="s">
        <v>2490</v>
      </c>
      <c r="E184" s="56"/>
      <c r="F184" s="56"/>
      <c r="G184" s="56"/>
      <c r="H184" s="56"/>
      <c r="I184" s="56"/>
      <c r="J184" s="56"/>
      <c r="K184" s="56"/>
      <c r="L184" s="56"/>
      <c r="M184" s="119"/>
      <c r="N184" s="512"/>
      <c r="O184" s="119"/>
      <c r="P184" s="47"/>
    </row>
    <row r="185">
      <c r="A185" s="95" t="s">
        <v>2492</v>
      </c>
      <c r="B185" s="111"/>
      <c r="C185" s="25"/>
      <c r="D185" s="25"/>
      <c r="E185" s="25"/>
      <c r="F185" s="25"/>
      <c r="G185" s="25"/>
      <c r="H185" s="25"/>
      <c r="I185" s="25"/>
      <c r="J185" s="25"/>
      <c r="K185" s="25"/>
      <c r="L185" s="25"/>
      <c r="M185" s="25"/>
      <c r="N185" s="25"/>
      <c r="O185" s="25"/>
      <c r="P185" s="45"/>
    </row>
    <row r="186">
      <c r="A186" s="47" t="s">
        <v>2275</v>
      </c>
      <c r="B186" s="51">
        <v>2.0</v>
      </c>
      <c r="C186" s="51">
        <v>2.0</v>
      </c>
      <c r="D186" s="51" t="s">
        <v>2504</v>
      </c>
      <c r="E186" s="51" t="s">
        <v>2507</v>
      </c>
      <c r="F186" s="51"/>
      <c r="G186" s="47"/>
      <c r="H186" s="56"/>
      <c r="I186" s="56"/>
      <c r="J186" s="56"/>
      <c r="K186" s="51">
        <v>2.0</v>
      </c>
      <c r="L186" s="51" t="s">
        <v>2511</v>
      </c>
      <c r="M186" s="51" t="s">
        <v>1</v>
      </c>
      <c r="N186" s="51" t="s">
        <v>2512</v>
      </c>
      <c r="O186" s="51" t="s">
        <v>2515</v>
      </c>
      <c r="P186" s="51" t="s">
        <v>2516</v>
      </c>
    </row>
    <row r="187">
      <c r="A187" s="61" t="s">
        <v>2517</v>
      </c>
      <c r="B187" s="63">
        <v>4.0</v>
      </c>
      <c r="C187" s="63"/>
      <c r="D187" s="63" t="s">
        <v>2520</v>
      </c>
      <c r="E187" s="63" t="s">
        <v>2521</v>
      </c>
      <c r="F187" s="63" t="s">
        <v>2522</v>
      </c>
      <c r="G187" s="63" t="s">
        <v>2526</v>
      </c>
      <c r="H187" s="63"/>
      <c r="I187" s="63"/>
      <c r="J187" s="63"/>
      <c r="K187" s="63"/>
      <c r="L187" s="63" t="s">
        <v>2529</v>
      </c>
      <c r="M187" s="63" t="s">
        <v>2530</v>
      </c>
      <c r="N187" s="63" t="s">
        <v>2531</v>
      </c>
      <c r="O187" s="63" t="s">
        <v>2532</v>
      </c>
      <c r="P187" s="63" t="s">
        <v>2533</v>
      </c>
    </row>
    <row r="188">
      <c r="A188" s="47" t="s">
        <v>2534</v>
      </c>
      <c r="B188" s="51">
        <v>5.0</v>
      </c>
      <c r="C188" s="51">
        <v>5.0</v>
      </c>
      <c r="D188" s="51" t="s">
        <v>2537</v>
      </c>
      <c r="E188" s="51" t="s">
        <v>2539</v>
      </c>
      <c r="F188" s="51" t="s">
        <v>2540</v>
      </c>
      <c r="G188" s="51" t="s">
        <v>2543</v>
      </c>
      <c r="H188" s="51"/>
      <c r="I188" s="51"/>
      <c r="J188" s="51" t="s">
        <v>2545</v>
      </c>
      <c r="K188" s="51"/>
      <c r="L188" s="56"/>
      <c r="M188" s="51"/>
      <c r="N188" s="56"/>
      <c r="O188" s="51"/>
      <c r="P188" s="56"/>
    </row>
    <row r="189">
      <c r="A189" s="95" t="s">
        <v>2549</v>
      </c>
      <c r="B189" s="111"/>
      <c r="C189" s="25"/>
      <c r="D189" s="25"/>
      <c r="E189" s="25"/>
      <c r="F189" s="25"/>
      <c r="G189" s="25"/>
      <c r="H189" s="25"/>
      <c r="I189" s="25"/>
      <c r="J189" s="25"/>
      <c r="K189" s="25"/>
      <c r="L189" s="25"/>
      <c r="M189" s="25"/>
      <c r="N189" s="25"/>
      <c r="O189" s="25"/>
      <c r="P189" s="45"/>
    </row>
    <row r="190">
      <c r="A190" s="47" t="s">
        <v>2562</v>
      </c>
      <c r="B190" s="51">
        <v>6.0</v>
      </c>
      <c r="C190" s="51"/>
      <c r="D190" s="51" t="s">
        <v>2564</v>
      </c>
      <c r="E190" s="47"/>
      <c r="F190" s="47"/>
      <c r="G190" s="47"/>
      <c r="H190" s="47"/>
      <c r="I190" s="47"/>
      <c r="J190" s="47"/>
      <c r="K190" s="305"/>
      <c r="L190" s="56"/>
      <c r="M190" s="56"/>
      <c r="N190" s="56"/>
      <c r="O190" s="47"/>
      <c r="P190" s="47"/>
    </row>
    <row r="191">
      <c r="A191" s="61" t="s">
        <v>2572</v>
      </c>
      <c r="B191" s="63"/>
      <c r="C191" s="63"/>
      <c r="D191" s="63"/>
      <c r="E191" s="61"/>
      <c r="F191" s="70"/>
      <c r="G191" s="70"/>
      <c r="H191" s="70"/>
      <c r="I191" s="70"/>
      <c r="J191" s="70"/>
      <c r="K191" s="307"/>
      <c r="L191" s="61"/>
      <c r="M191" s="61"/>
      <c r="N191" s="61"/>
      <c r="O191" s="61"/>
      <c r="P191" s="61"/>
    </row>
    <row r="192">
      <c r="A192" s="47" t="s">
        <v>2582</v>
      </c>
      <c r="B192" s="51">
        <v>1.0</v>
      </c>
      <c r="C192" s="47"/>
      <c r="D192" s="51" t="s">
        <v>2585</v>
      </c>
      <c r="E192" s="51"/>
      <c r="F192" s="47"/>
      <c r="G192" s="47"/>
      <c r="H192" s="47"/>
      <c r="I192" s="47"/>
      <c r="J192" s="47"/>
      <c r="K192" s="305"/>
      <c r="L192" s="47"/>
      <c r="M192" s="47"/>
      <c r="N192" s="47"/>
      <c r="O192" s="47"/>
      <c r="P192" s="47"/>
    </row>
    <row r="193">
      <c r="A193" s="61" t="s">
        <v>2594</v>
      </c>
      <c r="B193" s="63">
        <v>2.0</v>
      </c>
      <c r="C193" s="63"/>
      <c r="D193" s="63"/>
      <c r="E193" s="63"/>
      <c r="F193" s="63"/>
      <c r="G193" s="61"/>
      <c r="H193" s="61"/>
      <c r="I193" s="61"/>
      <c r="J193" s="61"/>
      <c r="K193" s="70"/>
      <c r="L193" s="61"/>
      <c r="M193" s="61"/>
      <c r="N193" s="61"/>
      <c r="O193" s="70"/>
      <c r="P193" s="70"/>
    </row>
    <row r="194">
      <c r="A194" s="47" t="s">
        <v>2607</v>
      </c>
      <c r="B194" s="51">
        <v>9.0</v>
      </c>
      <c r="C194" s="51"/>
      <c r="D194" s="51" t="s">
        <v>2608</v>
      </c>
      <c r="E194" s="51" t="s">
        <v>2610</v>
      </c>
      <c r="F194" s="51" t="s">
        <v>2611</v>
      </c>
      <c r="G194" s="181" t="s">
        <v>2612</v>
      </c>
      <c r="H194" s="51"/>
      <c r="I194" s="51"/>
      <c r="J194" s="51" t="s">
        <v>2614</v>
      </c>
      <c r="K194" s="51">
        <v>2.0</v>
      </c>
      <c r="L194" s="51"/>
      <c r="M194" s="51"/>
      <c r="N194" s="51"/>
      <c r="O194" s="51"/>
      <c r="P194" s="47"/>
    </row>
    <row r="195">
      <c r="A195" s="95" t="s">
        <v>2623</v>
      </c>
      <c r="B195" s="111"/>
      <c r="C195" s="25"/>
      <c r="D195" s="25"/>
      <c r="E195" s="25"/>
      <c r="F195" s="25"/>
      <c r="G195" s="25"/>
      <c r="H195" s="25"/>
      <c r="I195" s="25"/>
      <c r="J195" s="25"/>
      <c r="K195" s="25"/>
      <c r="L195" s="25"/>
      <c r="M195" s="25"/>
      <c r="N195" s="25"/>
      <c r="O195" s="25"/>
      <c r="P195" s="45"/>
    </row>
    <row r="196">
      <c r="A196" s="47" t="s">
        <v>2637</v>
      </c>
      <c r="B196" s="47"/>
      <c r="C196" s="47"/>
      <c r="D196" s="47"/>
      <c r="E196" s="47"/>
      <c r="F196" s="47"/>
      <c r="G196" s="56"/>
      <c r="H196" s="56"/>
      <c r="I196" s="56"/>
      <c r="J196" s="56"/>
      <c r="K196" s="305"/>
      <c r="L196" s="47"/>
      <c r="M196" s="47"/>
      <c r="N196" s="47"/>
      <c r="O196" s="47"/>
      <c r="P196" s="47"/>
    </row>
    <row r="197">
      <c r="A197" s="61" t="s">
        <v>2646</v>
      </c>
      <c r="B197" s="63">
        <v>3.0</v>
      </c>
      <c r="C197" s="61"/>
      <c r="D197" s="63" t="s">
        <v>2649</v>
      </c>
      <c r="E197" s="63" t="s">
        <v>2650</v>
      </c>
      <c r="F197" s="61"/>
      <c r="G197" s="70"/>
      <c r="H197" s="70"/>
      <c r="I197" s="70"/>
      <c r="J197" s="70"/>
      <c r="K197" s="307"/>
      <c r="L197" s="70"/>
      <c r="M197" s="70"/>
      <c r="N197" s="70"/>
      <c r="O197" s="70"/>
      <c r="P197" s="70"/>
    </row>
    <row r="198">
      <c r="A198" s="95" t="s">
        <v>2663</v>
      </c>
      <c r="B198" s="111"/>
      <c r="C198" s="142"/>
      <c r="D198" s="142"/>
      <c r="E198" s="142"/>
      <c r="F198" s="142"/>
      <c r="G198" s="142"/>
      <c r="H198" s="142"/>
      <c r="I198" s="142"/>
      <c r="J198" s="142"/>
      <c r="K198" s="142"/>
      <c r="L198" s="142"/>
      <c r="M198" s="142"/>
      <c r="N198" s="142"/>
      <c r="O198" s="142"/>
      <c r="P198" s="145"/>
    </row>
    <row r="199">
      <c r="A199" s="63" t="s">
        <v>2675</v>
      </c>
      <c r="B199" s="61"/>
      <c r="C199" s="70"/>
      <c r="D199" s="63"/>
      <c r="E199" s="70"/>
      <c r="F199" s="70"/>
      <c r="G199" s="70"/>
      <c r="H199" s="70"/>
      <c r="I199" s="70"/>
      <c r="J199" s="70"/>
      <c r="K199" s="307"/>
      <c r="L199" s="61"/>
      <c r="M199" s="61"/>
      <c r="N199" s="61"/>
      <c r="O199" s="61"/>
      <c r="P199" s="61"/>
    </row>
    <row r="200">
      <c r="A200" s="95" t="s">
        <v>2696</v>
      </c>
      <c r="B200" s="111"/>
      <c r="C200" s="142"/>
      <c r="D200" s="142"/>
      <c r="E200" s="142"/>
      <c r="F200" s="142"/>
      <c r="G200" s="142"/>
      <c r="H200" s="142"/>
      <c r="I200" s="142"/>
      <c r="J200" s="142"/>
      <c r="K200" s="142"/>
      <c r="L200" s="142"/>
      <c r="M200" s="142"/>
      <c r="N200" s="142"/>
      <c r="O200" s="142"/>
      <c r="P200" s="145"/>
    </row>
    <row r="201">
      <c r="A201" s="61" t="s">
        <v>2710</v>
      </c>
      <c r="B201" s="63">
        <v>5.0</v>
      </c>
      <c r="C201" s="61"/>
      <c r="D201" s="63"/>
      <c r="E201" s="63"/>
      <c r="F201" s="61"/>
      <c r="G201" s="61"/>
      <c r="H201" s="61"/>
      <c r="I201" s="61"/>
      <c r="J201" s="61"/>
      <c r="K201" s="63"/>
      <c r="L201" s="63"/>
      <c r="M201" s="63"/>
      <c r="N201" s="70"/>
      <c r="O201" s="70"/>
      <c r="P201" s="70"/>
    </row>
    <row r="202">
      <c r="A202" s="47" t="s">
        <v>2725</v>
      </c>
      <c r="B202" s="51">
        <v>7.0</v>
      </c>
      <c r="C202" s="51">
        <v>2.0</v>
      </c>
      <c r="D202" s="51" t="s">
        <v>2727</v>
      </c>
      <c r="E202" s="51" t="s">
        <v>2728</v>
      </c>
      <c r="F202" s="51" t="s">
        <v>2729</v>
      </c>
      <c r="G202" s="51" t="s">
        <v>2730</v>
      </c>
      <c r="H202" s="56"/>
      <c r="I202" s="56"/>
      <c r="J202" s="56"/>
      <c r="K202" s="51">
        <v>1.0</v>
      </c>
      <c r="L202" s="56"/>
      <c r="M202" s="56"/>
      <c r="N202" s="56"/>
      <c r="O202" s="56"/>
      <c r="P202" s="56"/>
    </row>
    <row r="203">
      <c r="A203" s="95" t="s">
        <v>2740</v>
      </c>
      <c r="B203" s="111"/>
      <c r="C203" s="25"/>
      <c r="D203" s="25"/>
      <c r="E203" s="25"/>
      <c r="F203" s="25"/>
      <c r="G203" s="25"/>
      <c r="H203" s="25"/>
      <c r="I203" s="25"/>
      <c r="J203" s="25"/>
      <c r="K203" s="25"/>
      <c r="L203" s="25"/>
      <c r="M203" s="25"/>
      <c r="N203" s="25"/>
      <c r="O203" s="25"/>
      <c r="P203" s="45"/>
    </row>
    <row r="204">
      <c r="A204" s="47" t="s">
        <v>2749</v>
      </c>
      <c r="B204" s="51">
        <v>1.0</v>
      </c>
      <c r="C204" s="51">
        <v>7.0</v>
      </c>
      <c r="D204" s="51" t="s">
        <v>2750</v>
      </c>
      <c r="E204" s="51" t="s">
        <v>2753</v>
      </c>
      <c r="F204" s="47"/>
      <c r="G204" s="47"/>
      <c r="H204" s="47"/>
      <c r="I204" s="47"/>
      <c r="J204" s="47"/>
      <c r="K204" s="305"/>
      <c r="L204" s="47"/>
      <c r="M204" s="47"/>
      <c r="N204" s="47"/>
      <c r="O204" s="47"/>
      <c r="P204" s="47"/>
    </row>
    <row r="205">
      <c r="A205" s="61" t="s">
        <v>1228</v>
      </c>
      <c r="B205" s="63">
        <v>4.0</v>
      </c>
      <c r="C205" s="63"/>
      <c r="D205" s="63" t="s">
        <v>2764</v>
      </c>
      <c r="E205" s="63"/>
      <c r="F205" s="63"/>
      <c r="G205" s="63"/>
      <c r="H205" s="70"/>
      <c r="I205" s="70"/>
      <c r="J205" s="70"/>
      <c r="K205" s="307"/>
      <c r="L205" s="70"/>
      <c r="M205" s="70"/>
      <c r="N205" s="70"/>
      <c r="O205" s="70"/>
      <c r="P205" s="70"/>
    </row>
    <row r="206">
      <c r="A206" s="47" t="s">
        <v>2769</v>
      </c>
      <c r="B206" s="51">
        <v>1.0</v>
      </c>
      <c r="C206" s="51">
        <v>1.0</v>
      </c>
      <c r="D206" s="51" t="s">
        <v>2775</v>
      </c>
      <c r="E206" s="51" t="s">
        <v>2776</v>
      </c>
      <c r="F206" s="56"/>
      <c r="G206" s="56"/>
      <c r="H206" s="56"/>
      <c r="I206" s="56"/>
      <c r="J206" s="56"/>
      <c r="K206" s="305"/>
      <c r="L206" s="56"/>
      <c r="M206" s="56"/>
      <c r="N206" s="56"/>
      <c r="O206" s="56"/>
      <c r="P206" s="56"/>
    </row>
    <row r="207">
      <c r="A207" s="95" t="s">
        <v>2785</v>
      </c>
      <c r="B207" s="111"/>
      <c r="C207" s="25"/>
      <c r="D207" s="25"/>
      <c r="E207" s="25"/>
      <c r="F207" s="25"/>
      <c r="G207" s="25"/>
      <c r="H207" s="25"/>
      <c r="I207" s="25"/>
      <c r="J207" s="25"/>
      <c r="K207" s="25"/>
      <c r="L207" s="25"/>
      <c r="M207" s="25"/>
      <c r="N207" s="25"/>
      <c r="O207" s="25"/>
      <c r="P207" s="45"/>
    </row>
    <row r="208">
      <c r="A208" s="47" t="s">
        <v>2798</v>
      </c>
      <c r="B208" s="51">
        <v>19.0</v>
      </c>
      <c r="C208" s="51"/>
      <c r="D208" s="51" t="s">
        <v>2800</v>
      </c>
      <c r="E208" s="51" t="s">
        <v>2801</v>
      </c>
      <c r="F208" s="51" t="s">
        <v>2802</v>
      </c>
      <c r="G208" s="51" t="s">
        <v>2803</v>
      </c>
      <c r="H208" s="51"/>
      <c r="I208" s="51"/>
      <c r="J208" s="51"/>
      <c r="K208" s="51"/>
      <c r="L208" s="51"/>
      <c r="M208" s="47"/>
      <c r="N208" s="47"/>
      <c r="O208" s="51"/>
      <c r="P208" s="47"/>
    </row>
    <row r="209">
      <c r="A209" s="95" t="s">
        <v>2808</v>
      </c>
      <c r="B209" s="111"/>
      <c r="C209" s="25"/>
      <c r="D209" s="25"/>
      <c r="E209" s="25"/>
      <c r="F209" s="25"/>
      <c r="G209" s="25"/>
      <c r="H209" s="25"/>
      <c r="I209" s="25"/>
      <c r="J209" s="25"/>
      <c r="K209" s="25"/>
      <c r="L209" s="25"/>
      <c r="M209" s="25"/>
      <c r="N209" s="25"/>
      <c r="O209" s="25"/>
      <c r="P209" s="45"/>
    </row>
    <row r="210">
      <c r="A210" s="47" t="s">
        <v>2824</v>
      </c>
      <c r="B210" s="51"/>
      <c r="C210" s="51"/>
      <c r="D210" s="51" t="s">
        <v>2827</v>
      </c>
      <c r="E210" s="51" t="s">
        <v>2832</v>
      </c>
      <c r="F210" s="51"/>
      <c r="G210" s="47"/>
      <c r="H210" s="47"/>
      <c r="I210" s="47"/>
      <c r="J210" s="47"/>
      <c r="K210" s="51"/>
      <c r="L210" s="56"/>
      <c r="M210" s="56"/>
      <c r="N210" s="56"/>
      <c r="O210" s="56"/>
      <c r="P210" s="56"/>
    </row>
    <row r="211">
      <c r="A211" s="61" t="s">
        <v>2836</v>
      </c>
      <c r="B211" s="63">
        <v>4.0</v>
      </c>
      <c r="C211" s="63">
        <v>1.0</v>
      </c>
      <c r="D211" s="63" t="s">
        <v>2838</v>
      </c>
      <c r="E211" s="61"/>
      <c r="F211" s="61"/>
      <c r="G211" s="70"/>
      <c r="H211" s="70"/>
      <c r="I211" s="70"/>
      <c r="J211" s="70"/>
      <c r="K211" s="70"/>
      <c r="L211" s="70"/>
      <c r="M211" s="70"/>
      <c r="N211" s="70"/>
      <c r="O211" s="70"/>
      <c r="P211" s="70"/>
    </row>
    <row r="212">
      <c r="A212" s="47" t="s">
        <v>2845</v>
      </c>
      <c r="B212" s="51">
        <v>3.0</v>
      </c>
      <c r="C212" s="51"/>
      <c r="D212" s="51" t="s">
        <v>2846</v>
      </c>
      <c r="E212" s="51"/>
      <c r="F212" s="56"/>
      <c r="G212" s="56"/>
      <c r="H212" s="56"/>
      <c r="I212" s="56"/>
      <c r="J212" s="56"/>
      <c r="K212" s="56"/>
      <c r="L212" s="56"/>
      <c r="M212" s="56"/>
      <c r="N212" s="56"/>
      <c r="O212" s="56"/>
      <c r="P212" s="56"/>
    </row>
    <row r="213">
      <c r="A213" s="61" t="s">
        <v>2852</v>
      </c>
      <c r="B213" s="188">
        <v>1.0</v>
      </c>
      <c r="C213" s="61"/>
      <c r="D213" s="63" t="s">
        <v>2854</v>
      </c>
      <c r="E213" s="61"/>
      <c r="F213" s="61"/>
      <c r="G213" s="61"/>
      <c r="H213" s="61"/>
      <c r="I213" s="61"/>
      <c r="J213" s="61"/>
      <c r="K213" s="70"/>
      <c r="L213" s="70"/>
      <c r="M213" s="70"/>
      <c r="N213" s="70"/>
      <c r="O213" s="70"/>
      <c r="P213" s="70"/>
    </row>
    <row r="214">
      <c r="A214" s="47" t="s">
        <v>2860</v>
      </c>
      <c r="B214" s="51"/>
      <c r="C214" s="51"/>
      <c r="D214" s="51"/>
      <c r="E214" s="47"/>
      <c r="F214" s="47"/>
      <c r="G214" s="47"/>
      <c r="H214" s="47"/>
      <c r="I214" s="47"/>
      <c r="J214" s="47"/>
      <c r="K214" s="47"/>
      <c r="L214" s="47"/>
      <c r="M214" s="47"/>
      <c r="N214" s="47"/>
      <c r="O214" s="47"/>
      <c r="P214" s="47"/>
    </row>
    <row r="215">
      <c r="A215" s="61" t="s">
        <v>2870</v>
      </c>
      <c r="B215" s="61"/>
      <c r="C215" s="61"/>
      <c r="D215" s="70"/>
      <c r="E215" s="61"/>
      <c r="F215" s="63" t="s">
        <v>1</v>
      </c>
      <c r="G215" s="61"/>
      <c r="H215" s="61"/>
      <c r="I215" s="61"/>
      <c r="J215" s="61"/>
      <c r="K215" s="63"/>
      <c r="L215" s="70"/>
      <c r="M215" s="70"/>
      <c r="N215" s="70"/>
      <c r="O215" s="70"/>
      <c r="P215" s="70"/>
    </row>
    <row r="216">
      <c r="A216" s="47" t="s">
        <v>2878</v>
      </c>
      <c r="B216" s="51"/>
      <c r="C216" s="56"/>
      <c r="E216" s="56"/>
      <c r="F216" s="56"/>
      <c r="G216" s="56"/>
      <c r="H216" s="56"/>
      <c r="I216" s="56"/>
      <c r="J216" s="56"/>
      <c r="K216" s="56"/>
      <c r="L216" s="56"/>
      <c r="M216" s="56"/>
      <c r="N216" s="56"/>
      <c r="O216" s="56"/>
      <c r="P216" s="56"/>
    </row>
    <row r="217">
      <c r="A217" s="61" t="s">
        <v>2884</v>
      </c>
      <c r="B217" s="63"/>
      <c r="C217" s="63">
        <v>2.0</v>
      </c>
      <c r="D217" s="63" t="s">
        <v>2886</v>
      </c>
      <c r="E217" s="61"/>
      <c r="F217" s="61"/>
      <c r="G217" s="70"/>
      <c r="H217" s="70"/>
      <c r="I217" s="70"/>
      <c r="J217" s="70"/>
      <c r="K217" s="70"/>
      <c r="L217" s="61"/>
      <c r="M217" s="61"/>
      <c r="N217" s="61"/>
      <c r="O217" s="61"/>
      <c r="P217" s="61"/>
    </row>
    <row r="218">
      <c r="A218" s="47" t="s">
        <v>2894</v>
      </c>
      <c r="B218" s="51"/>
      <c r="C218" s="51">
        <v>3.0</v>
      </c>
      <c r="D218" s="557" t="s">
        <v>2895</v>
      </c>
      <c r="E218" s="558"/>
      <c r="F218" s="51"/>
      <c r="G218" s="51"/>
      <c r="H218" s="56"/>
      <c r="I218" s="56"/>
      <c r="J218" s="56"/>
      <c r="K218" s="51"/>
      <c r="L218" s="51" t="s">
        <v>2901</v>
      </c>
      <c r="M218" s="47"/>
      <c r="N218" s="47"/>
      <c r="O218" s="47"/>
      <c r="P218" s="47"/>
    </row>
    <row r="219">
      <c r="A219" s="61" t="s">
        <v>2903</v>
      </c>
      <c r="B219" s="63">
        <v>15.0</v>
      </c>
      <c r="C219" s="61"/>
      <c r="D219" s="63" t="s">
        <v>2906</v>
      </c>
      <c r="E219" s="63"/>
      <c r="F219" s="61"/>
      <c r="G219" s="70"/>
      <c r="H219" s="70"/>
      <c r="I219" s="70"/>
      <c r="J219" s="70"/>
      <c r="K219" s="63"/>
      <c r="L219" s="70"/>
      <c r="M219" s="70"/>
      <c r="N219" s="70"/>
      <c r="O219" s="70"/>
      <c r="P219" s="70"/>
    </row>
    <row r="220">
      <c r="A220" s="47" t="s">
        <v>2913</v>
      </c>
      <c r="B220" s="51">
        <v>1.0</v>
      </c>
      <c r="C220" s="51"/>
      <c r="D220" s="51"/>
      <c r="E220" s="47"/>
      <c r="F220" s="56"/>
      <c r="G220" s="56"/>
      <c r="H220" s="56"/>
      <c r="I220" s="56"/>
      <c r="J220" s="56"/>
      <c r="K220" s="56"/>
      <c r="L220" s="56"/>
      <c r="M220" s="56"/>
      <c r="N220" s="56"/>
      <c r="O220" s="56"/>
      <c r="P220" s="56"/>
    </row>
    <row r="221">
      <c r="A221" s="63" t="s">
        <v>2921</v>
      </c>
      <c r="B221" s="63">
        <v>1.0</v>
      </c>
      <c r="C221" s="63"/>
      <c r="D221" s="567" t="s">
        <v>2923</v>
      </c>
      <c r="E221" s="63"/>
      <c r="F221" s="567"/>
      <c r="G221" s="70"/>
      <c r="H221" s="70"/>
      <c r="I221" s="70"/>
      <c r="J221" s="70"/>
      <c r="K221" s="63"/>
      <c r="L221" s="70"/>
      <c r="M221" s="70"/>
      <c r="N221" s="70"/>
      <c r="O221" s="70"/>
      <c r="P221" s="70"/>
    </row>
    <row r="222">
      <c r="A222" s="51" t="s">
        <v>2926</v>
      </c>
      <c r="B222" s="51">
        <v>1.0</v>
      </c>
      <c r="C222" s="51"/>
      <c r="D222" s="571" t="s">
        <v>2927</v>
      </c>
      <c r="E222" s="51"/>
      <c r="F222" s="571"/>
      <c r="G222" s="56"/>
      <c r="H222" s="56"/>
      <c r="I222" s="56"/>
      <c r="J222" s="56"/>
      <c r="K222" s="51">
        <v>2.0</v>
      </c>
      <c r="L222" s="51" t="s">
        <v>2931</v>
      </c>
      <c r="M222" s="56"/>
      <c r="N222" s="56"/>
      <c r="O222" s="56"/>
      <c r="P222" s="56"/>
    </row>
    <row r="223">
      <c r="A223" s="95" t="s">
        <v>2932</v>
      </c>
      <c r="B223" s="220"/>
    </row>
    <row r="224">
      <c r="A224" s="47" t="s">
        <v>2935</v>
      </c>
      <c r="B224" s="51">
        <v>7.0</v>
      </c>
      <c r="C224" s="47"/>
      <c r="D224" s="117" t="s">
        <v>2938</v>
      </c>
      <c r="E224" s="51"/>
      <c r="F224" s="51"/>
      <c r="G224" s="47"/>
      <c r="H224" s="47"/>
      <c r="I224" s="47"/>
      <c r="J224" s="51" t="s">
        <v>66</v>
      </c>
      <c r="K224" s="51"/>
      <c r="L224" s="51"/>
      <c r="M224" s="56"/>
      <c r="N224" s="56"/>
      <c r="O224" s="56"/>
      <c r="P224" s="56"/>
    </row>
    <row r="225">
      <c r="A225" s="95" t="s">
        <v>2942</v>
      </c>
      <c r="B225" s="111"/>
      <c r="C225" s="25"/>
      <c r="D225" s="25"/>
      <c r="E225" s="25"/>
      <c r="F225" s="25"/>
      <c r="G225" s="25"/>
      <c r="H225" s="25"/>
      <c r="I225" s="25"/>
      <c r="J225" s="25"/>
      <c r="K225" s="25"/>
      <c r="L225" s="25"/>
      <c r="M225" s="25"/>
      <c r="N225" s="25"/>
      <c r="O225" s="25"/>
      <c r="P225" s="45"/>
    </row>
    <row r="226">
      <c r="A226" s="47" t="s">
        <v>2950</v>
      </c>
      <c r="B226" s="51">
        <v>4.5</v>
      </c>
      <c r="C226" s="51">
        <v>0.5</v>
      </c>
      <c r="D226" s="51" t="s">
        <v>2955</v>
      </c>
      <c r="E226" s="51" t="s">
        <v>2956</v>
      </c>
      <c r="F226" s="47"/>
      <c r="G226" s="47"/>
      <c r="H226" s="47"/>
      <c r="I226" s="47"/>
      <c r="J226" s="47"/>
      <c r="K226" s="51"/>
      <c r="L226" s="51"/>
      <c r="M226" s="51"/>
      <c r="N226" s="51"/>
      <c r="O226" s="51"/>
      <c r="P226" s="51"/>
    </row>
    <row r="227">
      <c r="A227" s="61" t="s">
        <v>2964</v>
      </c>
      <c r="B227" s="63">
        <v>4.0</v>
      </c>
      <c r="C227" s="61"/>
      <c r="D227" s="63" t="s">
        <v>2965</v>
      </c>
      <c r="E227" s="61"/>
      <c r="F227" s="70"/>
      <c r="G227" s="70"/>
      <c r="H227" s="70"/>
      <c r="I227" s="70"/>
      <c r="J227" s="70"/>
      <c r="K227" s="70"/>
      <c r="L227" s="70"/>
      <c r="M227" s="70"/>
      <c r="N227" s="70"/>
      <c r="O227" s="70"/>
      <c r="P227" s="70"/>
    </row>
    <row r="228">
      <c r="A228" s="47" t="s">
        <v>2969</v>
      </c>
      <c r="B228" s="51"/>
      <c r="C228" s="51">
        <v>11.0</v>
      </c>
      <c r="D228" s="419" t="s">
        <v>2971</v>
      </c>
      <c r="E228" s="51" t="s">
        <v>2982</v>
      </c>
      <c r="F228" s="51" t="s">
        <v>2984</v>
      </c>
      <c r="G228" s="47"/>
      <c r="H228" s="47"/>
      <c r="I228" s="47"/>
      <c r="J228" s="47"/>
      <c r="K228" s="51"/>
      <c r="L228" s="47"/>
      <c r="M228" s="47"/>
      <c r="N228" s="47"/>
      <c r="O228" s="47"/>
      <c r="P228" s="47"/>
    </row>
    <row r="229">
      <c r="A229" s="61" t="s">
        <v>3005</v>
      </c>
      <c r="B229" s="63">
        <v>1.0</v>
      </c>
      <c r="C229" s="63">
        <v>9.0</v>
      </c>
      <c r="D229" s="63" t="s">
        <v>3009</v>
      </c>
      <c r="E229" s="63" t="s">
        <v>3010</v>
      </c>
      <c r="F229" s="63" t="s">
        <v>3011</v>
      </c>
      <c r="G229" s="70"/>
      <c r="H229" s="70"/>
      <c r="I229" s="70"/>
      <c r="J229" s="70"/>
      <c r="K229" s="63"/>
      <c r="L229" s="63"/>
      <c r="M229" s="63"/>
      <c r="N229" s="61"/>
      <c r="O229" s="63"/>
      <c r="P229" s="61"/>
    </row>
    <row r="230">
      <c r="A230" s="47" t="s">
        <v>3019</v>
      </c>
      <c r="B230" s="51"/>
      <c r="C230" s="51">
        <v>6.0</v>
      </c>
      <c r="D230" s="419" t="s">
        <v>3021</v>
      </c>
      <c r="E230" s="51" t="s">
        <v>3030</v>
      </c>
      <c r="F230" s="51" t="s">
        <v>3033</v>
      </c>
      <c r="G230" s="56"/>
      <c r="H230" s="56"/>
      <c r="I230" s="56"/>
      <c r="J230" s="56"/>
      <c r="K230" s="56"/>
      <c r="L230" s="56"/>
      <c r="M230" s="56"/>
      <c r="N230" s="56"/>
      <c r="O230" s="56"/>
      <c r="P230" s="56"/>
    </row>
    <row r="231">
      <c r="A231" s="61" t="s">
        <v>3040</v>
      </c>
      <c r="B231" s="63">
        <v>8.0</v>
      </c>
      <c r="C231" s="61"/>
      <c r="D231" s="63"/>
      <c r="E231" s="63"/>
      <c r="F231" s="70"/>
      <c r="G231" s="70"/>
      <c r="H231" s="70"/>
      <c r="I231" s="70"/>
      <c r="J231" s="70"/>
      <c r="K231" s="61"/>
      <c r="L231" s="61"/>
      <c r="M231" s="61"/>
      <c r="N231" s="61"/>
      <c r="O231" s="61"/>
      <c r="P231" s="61"/>
    </row>
    <row r="232">
      <c r="A232" s="47" t="s">
        <v>3048</v>
      </c>
      <c r="B232" s="51">
        <v>2.0</v>
      </c>
      <c r="C232" s="51">
        <v>1.0</v>
      </c>
      <c r="D232" s="51" t="s">
        <v>3050</v>
      </c>
      <c r="E232" s="47"/>
      <c r="F232" s="56"/>
      <c r="G232" s="56"/>
      <c r="H232" s="56"/>
      <c r="I232" s="56"/>
      <c r="J232" s="56"/>
      <c r="K232" s="56"/>
      <c r="L232" s="56"/>
      <c r="M232" s="56"/>
      <c r="N232" s="56"/>
      <c r="O232" s="56"/>
      <c r="P232" s="56"/>
    </row>
    <row r="233">
      <c r="A233" s="63" t="s">
        <v>3053</v>
      </c>
      <c r="B233" s="61"/>
      <c r="C233" s="61"/>
      <c r="D233" s="70"/>
      <c r="E233" s="61"/>
      <c r="F233" s="61"/>
      <c r="G233" s="70"/>
      <c r="H233" s="70"/>
      <c r="I233" s="70"/>
      <c r="J233" s="70"/>
      <c r="K233" s="61"/>
      <c r="L233" s="61"/>
      <c r="M233" s="61"/>
      <c r="N233" s="61"/>
      <c r="O233" s="61"/>
      <c r="P233" s="61"/>
    </row>
    <row r="234">
      <c r="A234" s="47" t="s">
        <v>3056</v>
      </c>
      <c r="B234" s="47"/>
      <c r="C234" s="47"/>
      <c r="D234" s="56"/>
      <c r="E234" s="47"/>
      <c r="F234" s="47"/>
      <c r="G234" s="56"/>
      <c r="H234" s="56"/>
      <c r="I234" s="56"/>
      <c r="J234" s="56"/>
      <c r="K234" s="47"/>
      <c r="L234" s="47"/>
      <c r="M234" s="47"/>
      <c r="N234" s="47"/>
      <c r="O234" s="47"/>
      <c r="P234" s="47"/>
    </row>
    <row r="235">
      <c r="A235" s="61" t="s">
        <v>3060</v>
      </c>
      <c r="B235" s="61"/>
      <c r="C235" s="63"/>
      <c r="D235" s="63"/>
      <c r="E235" s="61"/>
      <c r="F235" s="61"/>
      <c r="G235" s="61"/>
      <c r="H235" s="70"/>
      <c r="I235" s="70"/>
      <c r="J235" s="70"/>
      <c r="K235" s="61"/>
      <c r="L235" s="61"/>
      <c r="M235" s="61"/>
      <c r="N235" s="61"/>
      <c r="O235" s="61"/>
      <c r="P235" s="61"/>
    </row>
    <row r="236">
      <c r="A236" s="47" t="s">
        <v>3064</v>
      </c>
      <c r="B236" s="51">
        <v>1.0</v>
      </c>
      <c r="C236" s="51">
        <v>5.0</v>
      </c>
      <c r="D236" s="51" t="s">
        <v>3065</v>
      </c>
      <c r="E236" s="51" t="s">
        <v>3068</v>
      </c>
      <c r="F236" s="56"/>
      <c r="G236" s="56"/>
      <c r="H236" s="56"/>
      <c r="I236" s="56"/>
      <c r="J236" s="56"/>
      <c r="K236" s="56"/>
      <c r="L236" s="56"/>
      <c r="M236" s="56"/>
      <c r="N236" s="56"/>
      <c r="O236" s="56"/>
      <c r="P236" s="56"/>
    </row>
    <row r="237">
      <c r="A237" s="61" t="s">
        <v>3072</v>
      </c>
      <c r="B237" s="63">
        <v>1.0</v>
      </c>
      <c r="C237" s="63">
        <v>9.0</v>
      </c>
      <c r="D237" s="612" t="s">
        <v>1335</v>
      </c>
      <c r="E237" s="63" t="s">
        <v>3078</v>
      </c>
      <c r="F237" s="63" t="s">
        <v>3080</v>
      </c>
      <c r="G237" s="61"/>
      <c r="H237" s="70"/>
      <c r="I237" s="70"/>
      <c r="J237" s="70"/>
      <c r="K237" s="70"/>
      <c r="L237" s="70"/>
      <c r="M237" s="70"/>
      <c r="N237" s="70"/>
      <c r="O237" s="70"/>
      <c r="P237" s="70"/>
    </row>
    <row r="238">
      <c r="A238" s="47" t="s">
        <v>3083</v>
      </c>
      <c r="C238" s="187">
        <v>5.0</v>
      </c>
      <c r="E238" s="51" t="s">
        <v>3086</v>
      </c>
      <c r="F238" s="51" t="s">
        <v>3087</v>
      </c>
      <c r="G238" s="51"/>
      <c r="H238" s="51"/>
      <c r="I238" s="51"/>
      <c r="J238" s="51"/>
      <c r="K238" s="51">
        <v>2.0</v>
      </c>
      <c r="L238" s="51"/>
      <c r="M238" s="51"/>
      <c r="N238" s="51"/>
      <c r="O238" s="56"/>
      <c r="P238" s="51"/>
    </row>
    <row r="239">
      <c r="A239" s="61" t="s">
        <v>3092</v>
      </c>
      <c r="B239" s="63"/>
      <c r="C239" s="63">
        <v>12.0</v>
      </c>
      <c r="D239" s="63" t="s">
        <v>3093</v>
      </c>
      <c r="E239" s="63" t="s">
        <v>3094</v>
      </c>
      <c r="F239" s="63" t="s">
        <v>3098</v>
      </c>
      <c r="G239" s="63" t="s">
        <v>3099</v>
      </c>
      <c r="H239" s="63" t="s">
        <v>3101</v>
      </c>
      <c r="I239" s="63" t="s">
        <v>3102</v>
      </c>
      <c r="J239" s="63" t="s">
        <v>3103</v>
      </c>
      <c r="K239" s="63"/>
      <c r="L239" s="61"/>
      <c r="M239" s="61"/>
      <c r="N239" s="61"/>
      <c r="O239" s="61"/>
      <c r="P239" s="61"/>
    </row>
    <row r="240">
      <c r="A240" s="47" t="s">
        <v>3104</v>
      </c>
      <c r="B240" s="51">
        <v>6.0</v>
      </c>
      <c r="C240" s="51">
        <v>2.0</v>
      </c>
      <c r="D240" s="619" t="s">
        <v>3106</v>
      </c>
      <c r="E240" s="51" t="s">
        <v>3107</v>
      </c>
      <c r="F240" s="56"/>
      <c r="G240" s="56"/>
      <c r="H240" s="56"/>
      <c r="I240" s="56"/>
      <c r="J240" s="56"/>
      <c r="K240" s="56"/>
      <c r="L240" s="56"/>
      <c r="M240" s="51" t="s">
        <v>749</v>
      </c>
      <c r="N240" s="56"/>
      <c r="O240" s="56"/>
      <c r="P240" s="56"/>
    </row>
    <row r="241">
      <c r="A241" s="61" t="s">
        <v>3117</v>
      </c>
      <c r="B241" s="61"/>
      <c r="C241" s="61"/>
      <c r="D241" s="61"/>
      <c r="E241" s="61"/>
      <c r="F241" s="61"/>
      <c r="G241" s="61"/>
      <c r="H241" s="61"/>
      <c r="I241" s="61"/>
      <c r="J241" s="61"/>
      <c r="K241" s="70"/>
      <c r="L241" s="61"/>
      <c r="M241" s="61"/>
      <c r="N241" s="61"/>
      <c r="O241" s="61"/>
      <c r="P241" s="61"/>
    </row>
    <row r="242">
      <c r="A242" s="47" t="s">
        <v>3122</v>
      </c>
      <c r="B242" s="51">
        <v>1.0</v>
      </c>
      <c r="C242" s="51">
        <v>2.0</v>
      </c>
      <c r="D242" s="51"/>
      <c r="E242" s="56"/>
      <c r="F242" s="56"/>
      <c r="G242" s="56"/>
      <c r="H242" s="56"/>
      <c r="I242" s="56"/>
      <c r="J242" s="56"/>
      <c r="K242" s="47"/>
      <c r="L242" s="47"/>
      <c r="M242" s="47"/>
      <c r="N242" s="47"/>
      <c r="O242" s="47"/>
      <c r="P242" s="47"/>
    </row>
    <row r="243">
      <c r="A243" s="61" t="s">
        <v>3128</v>
      </c>
      <c r="B243" s="63"/>
      <c r="C243" s="63">
        <v>8.0</v>
      </c>
      <c r="D243" s="623" t="s">
        <v>3129</v>
      </c>
      <c r="E243" s="623" t="s">
        <v>3131</v>
      </c>
      <c r="F243" s="623"/>
      <c r="G243" s="623"/>
      <c r="H243" s="183"/>
      <c r="I243" s="183"/>
      <c r="J243" s="183"/>
      <c r="K243" s="63"/>
      <c r="L243" s="70"/>
      <c r="M243" s="70"/>
      <c r="N243" s="70"/>
      <c r="O243" s="70"/>
      <c r="P243" s="70"/>
    </row>
    <row r="244">
      <c r="A244" s="47" t="s">
        <v>3134</v>
      </c>
      <c r="B244" s="51">
        <v>8.0</v>
      </c>
      <c r="C244" s="47"/>
      <c r="D244" s="47"/>
      <c r="E244" s="47"/>
      <c r="F244" s="56"/>
      <c r="G244" s="56"/>
      <c r="H244" s="56"/>
      <c r="I244" s="56"/>
      <c r="J244" s="56"/>
      <c r="K244" s="56"/>
      <c r="L244" s="56"/>
      <c r="M244" s="56"/>
      <c r="N244" s="56"/>
      <c r="O244" s="56"/>
      <c r="P244" s="56"/>
    </row>
    <row r="245">
      <c r="A245" s="61" t="s">
        <v>3138</v>
      </c>
      <c r="B245" s="63">
        <v>2.0</v>
      </c>
      <c r="C245" s="63"/>
      <c r="D245" s="63"/>
      <c r="E245" s="63"/>
      <c r="F245" s="70"/>
      <c r="G245" s="70"/>
      <c r="H245" s="70"/>
      <c r="I245" s="70"/>
      <c r="J245" s="70"/>
      <c r="K245" s="63"/>
      <c r="L245" s="70"/>
      <c r="M245" s="70"/>
      <c r="N245" s="70"/>
      <c r="O245" s="70"/>
      <c r="P245" s="70"/>
    </row>
    <row r="246">
      <c r="A246" s="47" t="s">
        <v>3141</v>
      </c>
      <c r="B246" s="51">
        <v>3.0</v>
      </c>
      <c r="C246" s="51">
        <v>3.0</v>
      </c>
      <c r="D246" s="51" t="s">
        <v>3142</v>
      </c>
      <c r="E246" s="51" t="s">
        <v>3143</v>
      </c>
      <c r="F246" s="51" t="s">
        <v>3144</v>
      </c>
      <c r="G246" s="56"/>
      <c r="H246" s="56"/>
      <c r="I246" s="56"/>
      <c r="J246" s="56"/>
      <c r="K246" s="51">
        <v>1.0</v>
      </c>
      <c r="L246" s="51" t="s">
        <v>1871</v>
      </c>
      <c r="M246" s="51" t="s">
        <v>749</v>
      </c>
      <c r="N246" s="51" t="s">
        <v>3150</v>
      </c>
      <c r="O246" s="51" t="s">
        <v>2071</v>
      </c>
      <c r="P246" s="51" t="s">
        <v>3151</v>
      </c>
    </row>
    <row r="247">
      <c r="A247" s="61" t="s">
        <v>3153</v>
      </c>
      <c r="B247" s="63">
        <v>2.0</v>
      </c>
      <c r="C247" s="63">
        <v>1.0</v>
      </c>
      <c r="D247" s="63" t="s">
        <v>3155</v>
      </c>
      <c r="E247" s="63" t="s">
        <v>3157</v>
      </c>
      <c r="F247" s="63" t="s">
        <v>3159</v>
      </c>
      <c r="G247" s="63" t="s">
        <v>3161</v>
      </c>
      <c r="H247" s="70"/>
      <c r="I247" s="70"/>
      <c r="J247" s="70"/>
      <c r="K247" s="70"/>
      <c r="L247" s="70"/>
      <c r="M247" s="70"/>
      <c r="N247" s="70"/>
      <c r="O247" s="70"/>
      <c r="P247" s="70"/>
    </row>
    <row r="248">
      <c r="A248" s="51" t="s">
        <v>3166</v>
      </c>
      <c r="B248" s="51">
        <v>8.0</v>
      </c>
      <c r="C248" s="51">
        <v>1.0</v>
      </c>
      <c r="D248" s="181" t="s">
        <v>3167</v>
      </c>
      <c r="E248" s="51" t="s">
        <v>3168</v>
      </c>
      <c r="F248" s="56"/>
      <c r="G248" s="56"/>
      <c r="H248" s="56"/>
      <c r="I248" s="56"/>
      <c r="J248" s="56"/>
      <c r="K248" s="56"/>
      <c r="L248" s="56"/>
      <c r="M248" s="56"/>
      <c r="N248" s="56"/>
      <c r="O248" s="56"/>
      <c r="P248" s="56"/>
    </row>
    <row r="249">
      <c r="A249" s="63" t="s">
        <v>1426</v>
      </c>
      <c r="B249" s="63">
        <v>3.0</v>
      </c>
      <c r="C249" s="63"/>
      <c r="D249" s="63" t="s">
        <v>3170</v>
      </c>
      <c r="E249" s="61"/>
      <c r="F249" s="70"/>
      <c r="G249" s="70"/>
      <c r="H249" s="70"/>
      <c r="I249" s="70"/>
      <c r="J249" s="70"/>
      <c r="K249" s="70"/>
      <c r="L249" s="70"/>
      <c r="M249" s="70"/>
      <c r="N249" s="70"/>
      <c r="O249" s="70"/>
      <c r="P249" s="70"/>
    </row>
    <row r="250">
      <c r="A250" s="47" t="s">
        <v>3173</v>
      </c>
      <c r="B250" s="51">
        <v>2.0</v>
      </c>
      <c r="C250" s="47"/>
      <c r="D250" s="51"/>
      <c r="E250" s="51"/>
      <c r="F250" s="47"/>
      <c r="G250" s="56"/>
      <c r="H250" s="56"/>
      <c r="I250" s="56"/>
      <c r="J250" s="56"/>
      <c r="K250" s="51"/>
      <c r="L250" s="47"/>
      <c r="M250" s="47"/>
      <c r="N250" s="47"/>
      <c r="O250" s="47"/>
      <c r="P250" s="47"/>
    </row>
    <row r="251">
      <c r="A251" s="61" t="s">
        <v>3178</v>
      </c>
      <c r="B251" s="63">
        <v>3.0</v>
      </c>
      <c r="C251" s="63"/>
      <c r="D251" s="180"/>
      <c r="E251" s="63"/>
      <c r="F251" s="70"/>
      <c r="G251" s="70"/>
      <c r="H251" s="70"/>
      <c r="I251" s="70"/>
      <c r="J251" s="70"/>
      <c r="K251" s="63"/>
      <c r="L251" s="63"/>
      <c r="M251" s="63"/>
      <c r="N251" s="63"/>
      <c r="O251" s="70"/>
      <c r="P251" s="63"/>
    </row>
    <row r="252">
      <c r="A252" s="47" t="s">
        <v>3185</v>
      </c>
      <c r="B252" s="47"/>
      <c r="C252" s="56"/>
      <c r="D252" s="51"/>
      <c r="E252" s="56"/>
      <c r="F252" s="56"/>
      <c r="H252" s="56"/>
      <c r="I252" s="56"/>
      <c r="J252" s="56"/>
      <c r="K252" s="56"/>
      <c r="L252" s="56"/>
      <c r="M252" s="56"/>
      <c r="N252" s="56"/>
      <c r="O252" s="56"/>
      <c r="P252" s="56"/>
    </row>
    <row r="253">
      <c r="A253" s="61" t="s">
        <v>3189</v>
      </c>
      <c r="B253" s="61"/>
      <c r="C253" s="61"/>
      <c r="D253" s="61"/>
      <c r="E253" s="61"/>
      <c r="F253" s="70"/>
      <c r="G253" s="70"/>
      <c r="H253" s="70"/>
      <c r="I253" s="70"/>
      <c r="J253" s="70"/>
      <c r="K253" s="70"/>
      <c r="L253" s="70"/>
      <c r="M253" s="70"/>
      <c r="N253" s="70"/>
      <c r="O253" s="70"/>
      <c r="P253" s="70"/>
    </row>
    <row r="254">
      <c r="A254" s="47" t="s">
        <v>2995</v>
      </c>
      <c r="B254" s="51">
        <v>2.0</v>
      </c>
      <c r="C254" s="47"/>
      <c r="D254" s="51"/>
      <c r="E254" s="51"/>
      <c r="F254" s="56"/>
      <c r="G254" s="56"/>
      <c r="H254" s="56"/>
      <c r="I254" s="56"/>
      <c r="J254" s="56"/>
      <c r="K254" s="51">
        <v>2.0</v>
      </c>
      <c r="L254" s="56"/>
      <c r="M254" s="56"/>
      <c r="N254" s="56"/>
      <c r="O254" s="56"/>
      <c r="P254" s="56"/>
    </row>
    <row r="255">
      <c r="A255" s="61" t="s">
        <v>3197</v>
      </c>
      <c r="B255" s="61"/>
      <c r="C255" s="61"/>
      <c r="D255" s="63"/>
      <c r="E255" s="61"/>
      <c r="F255" s="70"/>
      <c r="G255" s="70"/>
      <c r="H255" s="70"/>
      <c r="I255" s="70"/>
      <c r="J255" s="70"/>
      <c r="K255" s="70"/>
      <c r="L255" s="61"/>
      <c r="M255" s="61"/>
      <c r="N255" s="61"/>
      <c r="O255" s="70"/>
      <c r="P255" s="70"/>
    </row>
    <row r="256">
      <c r="A256" s="47" t="s">
        <v>3198</v>
      </c>
      <c r="B256" s="51">
        <v>1.0</v>
      </c>
      <c r="C256" s="51">
        <v>2.0</v>
      </c>
      <c r="D256" s="51" t="s">
        <v>3201</v>
      </c>
      <c r="E256" s="51"/>
      <c r="F256" s="51"/>
      <c r="G256" s="51"/>
      <c r="H256" s="413"/>
      <c r="I256" s="413"/>
      <c r="J256" s="413"/>
      <c r="K256" s="51"/>
      <c r="L256" s="56"/>
      <c r="M256" s="56"/>
      <c r="N256" s="56"/>
      <c r="O256" s="56"/>
      <c r="P256" s="56"/>
    </row>
    <row r="257">
      <c r="A257" s="61" t="s">
        <v>3204</v>
      </c>
      <c r="B257" s="63">
        <v>2.0</v>
      </c>
      <c r="C257" s="63"/>
      <c r="D257" s="63" t="s">
        <v>3208</v>
      </c>
      <c r="E257" s="63"/>
      <c r="F257" s="61"/>
      <c r="G257" s="70"/>
      <c r="H257" s="70"/>
      <c r="I257" s="70"/>
      <c r="J257" s="70"/>
      <c r="K257" s="63">
        <v>2.0</v>
      </c>
      <c r="L257" s="70"/>
      <c r="M257" s="70"/>
      <c r="N257" s="70"/>
      <c r="O257" s="70"/>
      <c r="P257" s="70"/>
    </row>
    <row r="258">
      <c r="A258" s="47" t="s">
        <v>3212</v>
      </c>
      <c r="B258" s="51">
        <v>3.0</v>
      </c>
      <c r="C258" s="51"/>
      <c r="D258" s="51"/>
      <c r="E258" s="413"/>
      <c r="F258" s="51"/>
      <c r="G258" s="56"/>
      <c r="H258" s="56"/>
      <c r="I258" s="56"/>
      <c r="J258" s="56"/>
      <c r="K258" s="51">
        <v>1.0</v>
      </c>
      <c r="L258" s="51" t="s">
        <v>3218</v>
      </c>
      <c r="M258" s="51" t="s">
        <v>3219</v>
      </c>
      <c r="N258" s="56"/>
      <c r="O258" s="51" t="s">
        <v>3220</v>
      </c>
      <c r="P258" s="51" t="s">
        <v>3222</v>
      </c>
    </row>
    <row r="259">
      <c r="A259" s="61" t="s">
        <v>3226</v>
      </c>
      <c r="B259" s="63">
        <v>5.5</v>
      </c>
      <c r="C259" s="63">
        <v>0.5</v>
      </c>
      <c r="D259" s="63" t="s">
        <v>3227</v>
      </c>
      <c r="E259" s="63" t="s">
        <v>3228</v>
      </c>
      <c r="F259" s="63" t="s">
        <v>3230</v>
      </c>
      <c r="G259" s="63" t="s">
        <v>3232</v>
      </c>
      <c r="H259" s="63"/>
      <c r="I259" s="63"/>
      <c r="J259" s="63" t="s">
        <v>3234</v>
      </c>
      <c r="K259" s="63">
        <v>2.0</v>
      </c>
      <c r="L259" s="63" t="s">
        <v>65</v>
      </c>
      <c r="M259" s="63" t="s">
        <v>749</v>
      </c>
      <c r="N259" s="63" t="s">
        <v>3235</v>
      </c>
      <c r="O259" s="63" t="s">
        <v>3236</v>
      </c>
      <c r="P259" s="70"/>
    </row>
    <row r="260">
      <c r="A260" s="47" t="s">
        <v>3239</v>
      </c>
      <c r="B260" s="51">
        <v>1.0</v>
      </c>
      <c r="C260" s="51"/>
      <c r="D260" s="51" t="s">
        <v>3242</v>
      </c>
      <c r="E260" s="51"/>
      <c r="F260" s="47"/>
      <c r="G260" s="56"/>
      <c r="H260" s="56"/>
      <c r="I260" s="56"/>
      <c r="J260" s="56"/>
      <c r="K260" s="51"/>
      <c r="L260" s="56"/>
      <c r="M260" s="56"/>
      <c r="N260" s="56"/>
      <c r="O260" s="56"/>
      <c r="P260" s="56"/>
    </row>
    <row r="261">
      <c r="A261" s="61" t="s">
        <v>3245</v>
      </c>
      <c r="B261" s="63"/>
      <c r="C261" s="63">
        <v>2.0</v>
      </c>
      <c r="D261" s="63" t="s">
        <v>3246</v>
      </c>
      <c r="E261" s="63"/>
      <c r="F261" s="63"/>
      <c r="G261" s="61"/>
      <c r="H261" s="70"/>
      <c r="I261" s="70"/>
      <c r="J261" s="70"/>
      <c r="K261" s="61"/>
      <c r="L261" s="61"/>
      <c r="M261" s="61"/>
      <c r="N261" s="61"/>
      <c r="O261" s="61"/>
      <c r="P261" s="61"/>
    </row>
    <row r="262">
      <c r="A262" s="47" t="s">
        <v>3249</v>
      </c>
      <c r="B262" s="51">
        <v>5.0</v>
      </c>
      <c r="C262" s="51">
        <v>1.0</v>
      </c>
      <c r="D262" s="51" t="s">
        <v>3250</v>
      </c>
      <c r="E262" s="51" t="s">
        <v>3251</v>
      </c>
      <c r="F262" s="56"/>
      <c r="G262" s="56"/>
      <c r="H262" s="56"/>
      <c r="I262" s="56"/>
      <c r="J262" s="56"/>
      <c r="K262" s="56"/>
      <c r="L262" s="56"/>
      <c r="M262" s="56"/>
      <c r="N262" s="56"/>
      <c r="O262" s="56"/>
      <c r="P262" s="56"/>
    </row>
    <row r="263">
      <c r="A263" s="61" t="s">
        <v>3257</v>
      </c>
      <c r="B263" s="63">
        <v>10.0</v>
      </c>
      <c r="C263" s="63"/>
      <c r="D263" s="632"/>
      <c r="E263" s="61"/>
      <c r="F263" s="70"/>
      <c r="G263" s="70"/>
      <c r="H263" s="70"/>
      <c r="I263" s="70"/>
      <c r="J263" s="70"/>
      <c r="K263" s="63"/>
      <c r="L263" s="70"/>
      <c r="M263" s="70"/>
      <c r="N263" s="70"/>
      <c r="O263" s="70"/>
      <c r="P263" s="70"/>
    </row>
    <row r="264">
      <c r="A264" s="47" t="s">
        <v>3264</v>
      </c>
      <c r="B264" s="51">
        <v>3.0</v>
      </c>
      <c r="C264" s="51">
        <v>2.0</v>
      </c>
      <c r="D264" s="51" t="s">
        <v>1880</v>
      </c>
      <c r="E264" s="51" t="s">
        <v>3266</v>
      </c>
      <c r="F264" s="51" t="s">
        <v>3269</v>
      </c>
      <c r="G264" s="51" t="s">
        <v>3271</v>
      </c>
      <c r="H264" s="56"/>
      <c r="I264" s="56"/>
      <c r="J264" s="56"/>
      <c r="K264" s="51">
        <v>5.0</v>
      </c>
      <c r="L264" s="51" t="s">
        <v>3272</v>
      </c>
      <c r="M264" s="51" t="s">
        <v>3273</v>
      </c>
      <c r="N264" s="51"/>
      <c r="O264" s="51" t="s">
        <v>69</v>
      </c>
      <c r="P264" s="51" t="s">
        <v>3275</v>
      </c>
    </row>
    <row r="265">
      <c r="A265" s="95" t="s">
        <v>3276</v>
      </c>
      <c r="B265" s="111"/>
      <c r="C265" s="25"/>
      <c r="D265" s="25"/>
      <c r="E265" s="25"/>
      <c r="F265" s="25"/>
      <c r="G265" s="25"/>
      <c r="H265" s="25"/>
      <c r="I265" s="25"/>
      <c r="J265" s="25"/>
      <c r="K265" s="25"/>
      <c r="L265" s="25"/>
      <c r="M265" s="25"/>
      <c r="N265" s="25"/>
      <c r="O265" s="25"/>
      <c r="P265" s="45"/>
    </row>
    <row r="266">
      <c r="A266" s="47" t="s">
        <v>3281</v>
      </c>
      <c r="B266" s="47"/>
      <c r="C266" s="47"/>
      <c r="D266" s="47"/>
      <c r="E266" s="47"/>
      <c r="F266" s="47"/>
      <c r="G266" s="47"/>
      <c r="H266" s="47"/>
      <c r="I266" s="47"/>
      <c r="J266" s="47"/>
      <c r="K266" s="56"/>
      <c r="L266" s="47"/>
      <c r="M266" s="47"/>
      <c r="N266" s="47"/>
      <c r="O266" s="47"/>
      <c r="P266" s="47"/>
    </row>
    <row r="267">
      <c r="A267" s="61" t="s">
        <v>3285</v>
      </c>
      <c r="B267" s="63">
        <v>5.0</v>
      </c>
      <c r="C267" s="63"/>
      <c r="D267" s="63" t="s">
        <v>3287</v>
      </c>
      <c r="E267" s="63"/>
      <c r="F267" s="61"/>
      <c r="G267" s="61"/>
      <c r="H267" s="70"/>
      <c r="I267" s="70"/>
      <c r="J267" s="70"/>
      <c r="K267" s="63">
        <v>1.0</v>
      </c>
      <c r="L267" s="63" t="s">
        <v>1871</v>
      </c>
      <c r="M267" s="70"/>
      <c r="N267" s="63" t="s">
        <v>3291</v>
      </c>
      <c r="O267" s="63" t="s">
        <v>69</v>
      </c>
      <c r="P267" s="63" t="s">
        <v>3293</v>
      </c>
    </row>
    <row r="268">
      <c r="A268" s="47" t="s">
        <v>1095</v>
      </c>
      <c r="B268" s="51">
        <v>1.0</v>
      </c>
      <c r="C268" s="51">
        <v>1.0</v>
      </c>
      <c r="D268" s="51" t="s">
        <v>3294</v>
      </c>
      <c r="E268" s="51" t="s">
        <v>3296</v>
      </c>
      <c r="F268" s="51" t="s">
        <v>3298</v>
      </c>
      <c r="G268" s="51"/>
      <c r="H268" s="47"/>
      <c r="I268" s="47"/>
      <c r="J268" s="47"/>
      <c r="K268" s="47"/>
      <c r="L268" s="47"/>
      <c r="M268" s="47"/>
      <c r="N268" s="47"/>
      <c r="O268" s="47"/>
      <c r="P268" s="47"/>
    </row>
    <row r="269">
      <c r="A269" s="61" t="s">
        <v>3302</v>
      </c>
      <c r="B269" s="63"/>
      <c r="C269" s="63"/>
      <c r="D269" s="63"/>
      <c r="E269" s="63"/>
      <c r="F269" s="61"/>
      <c r="G269" s="70"/>
      <c r="H269" s="70"/>
      <c r="I269" s="70"/>
      <c r="J269" s="70"/>
      <c r="K269" s="70"/>
      <c r="L269" s="61"/>
      <c r="M269" s="70"/>
      <c r="N269" s="70"/>
      <c r="O269" s="61"/>
      <c r="P269" s="61"/>
    </row>
    <row r="270">
      <c r="A270" s="51" t="s">
        <v>2816</v>
      </c>
      <c r="B270" s="51">
        <v>5.0</v>
      </c>
      <c r="C270" s="47"/>
      <c r="D270" s="343" t="s">
        <v>3308</v>
      </c>
      <c r="E270" s="51"/>
      <c r="F270" s="47"/>
      <c r="G270" s="56"/>
      <c r="H270" s="56"/>
      <c r="I270" s="56"/>
      <c r="J270" s="56"/>
      <c r="K270" s="51">
        <v>1.0</v>
      </c>
      <c r="L270" s="56"/>
      <c r="M270" s="56"/>
      <c r="N270" s="56"/>
      <c r="O270" s="56"/>
      <c r="P270" s="56"/>
    </row>
    <row r="271">
      <c r="A271" s="61" t="s">
        <v>3311</v>
      </c>
      <c r="B271" s="63">
        <v>1.0</v>
      </c>
      <c r="C271" s="61"/>
      <c r="D271" s="63"/>
      <c r="E271" s="63"/>
      <c r="F271" s="61"/>
      <c r="G271" s="70"/>
      <c r="H271" s="70"/>
      <c r="I271" s="70"/>
      <c r="J271" s="70"/>
      <c r="K271" s="70"/>
      <c r="L271" s="70"/>
      <c r="M271" s="70"/>
      <c r="N271" s="70"/>
      <c r="O271" s="70"/>
      <c r="P271" s="70"/>
    </row>
    <row r="272">
      <c r="A272" s="47" t="s">
        <v>1578</v>
      </c>
      <c r="B272" s="51">
        <v>5.0</v>
      </c>
      <c r="C272" s="51">
        <v>3.0</v>
      </c>
      <c r="D272" s="51" t="s">
        <v>3314</v>
      </c>
      <c r="E272" s="51" t="s">
        <v>3315</v>
      </c>
      <c r="F272" s="51" t="s">
        <v>3316</v>
      </c>
      <c r="G272" s="51" t="s">
        <v>3317</v>
      </c>
      <c r="H272" s="56"/>
      <c r="I272" s="56"/>
      <c r="J272" s="56"/>
      <c r="K272" s="51">
        <v>2.0</v>
      </c>
      <c r="L272" s="51" t="s">
        <v>65</v>
      </c>
      <c r="M272" s="47"/>
      <c r="N272" s="51" t="s">
        <v>3320</v>
      </c>
      <c r="O272" s="51" t="s">
        <v>3321</v>
      </c>
      <c r="P272" s="47"/>
    </row>
    <row r="273">
      <c r="A273" s="61" t="s">
        <v>1123</v>
      </c>
      <c r="B273" s="63">
        <v>5.0</v>
      </c>
      <c r="C273" s="63"/>
      <c r="D273" s="63" t="s">
        <v>3323</v>
      </c>
      <c r="E273" s="63" t="s">
        <v>3325</v>
      </c>
      <c r="F273" s="63" t="s">
        <v>3327</v>
      </c>
      <c r="G273" s="70"/>
      <c r="H273" s="70"/>
      <c r="I273" s="70"/>
      <c r="J273" s="70"/>
      <c r="K273" s="63">
        <v>2.0</v>
      </c>
      <c r="L273" s="63" t="s">
        <v>65</v>
      </c>
      <c r="M273" s="61"/>
      <c r="N273" s="63" t="s">
        <v>3328</v>
      </c>
      <c r="O273" s="63" t="s">
        <v>69</v>
      </c>
      <c r="P273" s="63" t="s">
        <v>3330</v>
      </c>
    </row>
    <row r="274">
      <c r="A274" s="47" t="s">
        <v>3332</v>
      </c>
      <c r="B274" s="47"/>
      <c r="C274" s="56"/>
      <c r="D274" s="47"/>
      <c r="E274" s="47"/>
      <c r="F274" s="56"/>
      <c r="G274" s="56"/>
      <c r="H274" s="56"/>
      <c r="I274" s="56"/>
      <c r="J274" s="56"/>
      <c r="K274" s="47"/>
      <c r="L274" s="47"/>
      <c r="M274" s="47"/>
      <c r="N274" s="47"/>
      <c r="O274" s="47"/>
      <c r="P274" s="47"/>
    </row>
    <row r="275">
      <c r="A275" s="61" t="s">
        <v>3336</v>
      </c>
      <c r="B275" s="61"/>
      <c r="C275" s="61"/>
      <c r="D275" s="61"/>
      <c r="E275" s="61"/>
      <c r="F275" s="61"/>
      <c r="G275" s="70"/>
      <c r="H275" s="70"/>
      <c r="I275" s="70"/>
      <c r="J275" s="70"/>
      <c r="K275" s="70"/>
      <c r="L275" s="61"/>
      <c r="M275" s="61"/>
      <c r="N275" s="61"/>
      <c r="O275" s="70"/>
      <c r="P275" s="70"/>
    </row>
    <row r="276">
      <c r="A276" s="95" t="s">
        <v>3338</v>
      </c>
      <c r="B276" s="111"/>
      <c r="C276" s="142"/>
      <c r="D276" s="142"/>
      <c r="E276" s="142"/>
      <c r="F276" s="142"/>
      <c r="G276" s="142"/>
      <c r="H276" s="142"/>
      <c r="I276" s="142"/>
      <c r="J276" s="142"/>
      <c r="K276" s="142"/>
      <c r="L276" s="142"/>
      <c r="M276" s="142"/>
      <c r="N276" s="142"/>
      <c r="O276" s="142"/>
      <c r="P276" s="145"/>
    </row>
    <row r="277">
      <c r="A277" s="61" t="s">
        <v>3344</v>
      </c>
      <c r="B277" s="63"/>
      <c r="C277" s="70"/>
      <c r="D277" s="63"/>
      <c r="E277" s="70"/>
      <c r="F277" s="70"/>
      <c r="G277" s="70"/>
      <c r="H277" s="70"/>
      <c r="I277" s="70"/>
      <c r="J277" s="70"/>
      <c r="K277" s="63"/>
      <c r="L277" s="70"/>
      <c r="M277" s="70"/>
      <c r="N277" s="70"/>
      <c r="O277" s="70"/>
      <c r="P277" s="70"/>
    </row>
    <row r="278">
      <c r="A278" s="18" t="s">
        <v>3348</v>
      </c>
      <c r="B278" s="111"/>
      <c r="C278" s="142"/>
      <c r="D278" s="142"/>
      <c r="E278" s="142"/>
      <c r="F278" s="142"/>
      <c r="G278" s="142"/>
      <c r="H278" s="142"/>
      <c r="I278" s="142"/>
      <c r="J278" s="142"/>
      <c r="K278" s="142"/>
      <c r="L278" s="142"/>
      <c r="M278" s="142"/>
      <c r="N278" s="142"/>
      <c r="O278" s="142"/>
      <c r="P278" s="145"/>
    </row>
    <row r="279">
      <c r="A279" s="61" t="s">
        <v>3352</v>
      </c>
      <c r="B279" s="63">
        <v>2.0</v>
      </c>
      <c r="C279" s="63"/>
      <c r="D279" s="63"/>
      <c r="E279" s="61"/>
      <c r="F279" s="70"/>
      <c r="G279" s="70"/>
      <c r="H279" s="70"/>
      <c r="I279" s="70"/>
      <c r="J279" s="70"/>
      <c r="K279" s="70"/>
      <c r="L279" s="70"/>
      <c r="M279" s="70"/>
      <c r="N279" s="70"/>
      <c r="O279" s="70"/>
      <c r="P279" s="70"/>
    </row>
    <row r="280">
      <c r="A280" s="47" t="s">
        <v>3361</v>
      </c>
      <c r="B280" s="51">
        <v>4.0</v>
      </c>
      <c r="C280" s="47"/>
      <c r="D280" s="51" t="s">
        <v>3362</v>
      </c>
      <c r="E280" s="51" t="s">
        <v>3363</v>
      </c>
      <c r="F280" s="51"/>
      <c r="G280" s="47"/>
      <c r="H280" s="47"/>
      <c r="I280" s="47"/>
      <c r="J280" s="47"/>
      <c r="K280" s="51"/>
      <c r="L280" s="56"/>
      <c r="M280" s="56"/>
      <c r="N280" s="56"/>
      <c r="O280" s="56"/>
      <c r="P280" s="56"/>
    </row>
    <row r="281">
      <c r="A281" s="61" t="s">
        <v>3366</v>
      </c>
      <c r="B281" s="63">
        <v>6.0</v>
      </c>
      <c r="C281" s="61"/>
      <c r="D281" s="63" t="s">
        <v>3368</v>
      </c>
      <c r="E281" s="63" t="s">
        <v>3369</v>
      </c>
      <c r="F281" s="63"/>
      <c r="G281" s="63"/>
      <c r="H281" s="63"/>
      <c r="I281" s="63"/>
      <c r="J281" s="63"/>
      <c r="K281" s="63">
        <v>2.0</v>
      </c>
      <c r="L281" s="70"/>
      <c r="M281" s="70"/>
      <c r="N281" s="70"/>
      <c r="O281" s="70"/>
      <c r="P281" s="70"/>
    </row>
    <row r="282">
      <c r="A282" s="47" t="s">
        <v>3374</v>
      </c>
      <c r="B282" s="51">
        <v>1.0</v>
      </c>
      <c r="C282" s="47"/>
      <c r="D282" s="47"/>
      <c r="E282" s="47"/>
      <c r="F282" s="56"/>
      <c r="G282" s="56"/>
      <c r="H282" s="56"/>
      <c r="I282" s="56"/>
      <c r="J282" s="56"/>
      <c r="K282" s="56"/>
      <c r="L282" s="56"/>
      <c r="M282" s="56"/>
      <c r="N282" s="56"/>
      <c r="O282" s="47"/>
      <c r="P282" s="47"/>
    </row>
    <row r="283">
      <c r="A283" s="61" t="s">
        <v>896</v>
      </c>
      <c r="B283" s="63">
        <v>2.0</v>
      </c>
      <c r="C283" s="63"/>
      <c r="D283" s="63" t="s">
        <v>3377</v>
      </c>
      <c r="E283" s="63"/>
      <c r="F283" s="63"/>
      <c r="G283" s="63"/>
      <c r="H283" s="63"/>
      <c r="I283" s="63"/>
      <c r="J283" s="63"/>
      <c r="K283" s="63">
        <v>3.0</v>
      </c>
      <c r="L283" s="61"/>
      <c r="M283" s="61"/>
      <c r="N283" s="61"/>
      <c r="O283" s="61"/>
      <c r="P283" s="61"/>
    </row>
    <row r="284">
      <c r="A284" s="47" t="s">
        <v>3379</v>
      </c>
      <c r="B284" s="47"/>
      <c r="C284" s="47"/>
      <c r="D284" s="51"/>
      <c r="E284" s="51"/>
      <c r="F284" s="47"/>
      <c r="G284" s="56"/>
      <c r="H284" s="56"/>
      <c r="I284" s="56"/>
      <c r="J284" s="56"/>
      <c r="K284" s="305"/>
      <c r="L284" s="305"/>
      <c r="M284" s="305"/>
      <c r="N284" s="305"/>
      <c r="O284" s="56"/>
      <c r="P284" s="56"/>
    </row>
    <row r="285">
      <c r="A285" s="61" t="s">
        <v>3383</v>
      </c>
      <c r="B285" s="63"/>
      <c r="C285" s="63"/>
      <c r="D285" s="61"/>
      <c r="E285" s="61"/>
      <c r="F285" s="61"/>
      <c r="G285" s="70"/>
      <c r="H285" s="70"/>
      <c r="I285" s="70"/>
      <c r="J285" s="70"/>
      <c r="K285" s="70"/>
      <c r="L285" s="70"/>
      <c r="M285" s="70"/>
      <c r="N285" s="70"/>
      <c r="O285" s="70"/>
      <c r="P285" s="70"/>
    </row>
    <row r="286">
      <c r="A286" s="47" t="s">
        <v>3385</v>
      </c>
      <c r="B286" s="47"/>
      <c r="C286" s="47"/>
      <c r="D286" s="47"/>
      <c r="E286" s="47"/>
      <c r="F286" s="47"/>
      <c r="G286" s="47"/>
      <c r="H286" s="47"/>
      <c r="I286" s="47"/>
      <c r="J286" s="47"/>
      <c r="K286" s="47"/>
      <c r="L286" s="47"/>
      <c r="M286" s="47"/>
      <c r="N286" s="47"/>
      <c r="O286" s="47"/>
      <c r="P286" s="47"/>
    </row>
    <row r="287">
      <c r="A287" s="61" t="s">
        <v>3392</v>
      </c>
      <c r="B287" s="63"/>
      <c r="C287" s="61"/>
      <c r="D287" s="61"/>
      <c r="E287" s="61"/>
      <c r="F287" s="70"/>
      <c r="G287" s="70"/>
      <c r="H287" s="70"/>
      <c r="I287" s="70"/>
      <c r="J287" s="70"/>
      <c r="K287" s="61"/>
      <c r="L287" s="61"/>
      <c r="M287" s="61"/>
      <c r="N287" s="61"/>
      <c r="O287" s="61"/>
      <c r="P287" s="61"/>
    </row>
    <row r="288">
      <c r="A288" s="47" t="s">
        <v>3398</v>
      </c>
      <c r="B288" s="51">
        <v>2.0</v>
      </c>
      <c r="C288" s="56"/>
      <c r="D288" s="56"/>
      <c r="E288" s="56"/>
      <c r="F288" s="56"/>
      <c r="G288" s="56"/>
      <c r="H288" s="56"/>
      <c r="I288" s="56"/>
      <c r="J288" s="56"/>
      <c r="K288" s="56"/>
      <c r="L288" s="56"/>
      <c r="M288" s="56"/>
      <c r="N288" s="56"/>
      <c r="O288" s="56"/>
      <c r="P288" s="56"/>
    </row>
    <row r="289">
      <c r="A289" s="61" t="s">
        <v>3402</v>
      </c>
      <c r="B289" s="61"/>
      <c r="C289" s="61"/>
      <c r="D289" s="61"/>
      <c r="E289" s="61"/>
      <c r="F289" s="70"/>
      <c r="G289" s="70"/>
      <c r="H289" s="70"/>
      <c r="I289" s="70"/>
      <c r="J289" s="70"/>
      <c r="K289" s="61"/>
      <c r="L289" s="61"/>
      <c r="M289" s="61"/>
      <c r="N289" s="61"/>
      <c r="O289" s="61"/>
      <c r="P289" s="61"/>
    </row>
    <row r="290">
      <c r="A290" s="47" t="s">
        <v>3407</v>
      </c>
      <c r="B290" s="51">
        <v>6.0</v>
      </c>
      <c r="C290" s="51">
        <v>5.0</v>
      </c>
      <c r="D290" s="413" t="s">
        <v>3408</v>
      </c>
      <c r="E290" s="419" t="s">
        <v>3409</v>
      </c>
      <c r="F290" s="51" t="s">
        <v>3417</v>
      </c>
      <c r="G290" s="51" t="s">
        <v>3418</v>
      </c>
      <c r="H290" s="51"/>
      <c r="I290" s="51"/>
      <c r="J290" s="51" t="s">
        <v>3419</v>
      </c>
      <c r="K290" s="56"/>
      <c r="L290" s="56"/>
      <c r="M290" s="56"/>
      <c r="N290" s="56"/>
      <c r="O290" s="56"/>
      <c r="P290" s="56"/>
    </row>
    <row r="291">
      <c r="A291" s="61" t="s">
        <v>3423</v>
      </c>
      <c r="B291" s="63">
        <v>1.0</v>
      </c>
      <c r="C291" s="63">
        <v>2.0</v>
      </c>
      <c r="D291" s="63" t="s">
        <v>3424</v>
      </c>
      <c r="E291" s="63" t="s">
        <v>3425</v>
      </c>
      <c r="F291" s="61"/>
      <c r="G291" s="61"/>
      <c r="H291" s="70"/>
      <c r="I291" s="70"/>
      <c r="J291" s="70"/>
      <c r="K291" s="61"/>
      <c r="L291" s="61"/>
      <c r="M291" s="61"/>
      <c r="N291" s="61"/>
      <c r="O291" s="61"/>
      <c r="P291" s="61"/>
    </row>
    <row r="292">
      <c r="A292" s="47" t="s">
        <v>3431</v>
      </c>
      <c r="B292" s="51">
        <v>4.0</v>
      </c>
      <c r="C292" s="51">
        <v>5.0</v>
      </c>
      <c r="D292" s="51" t="s">
        <v>3434</v>
      </c>
      <c r="E292" s="51" t="s">
        <v>3435</v>
      </c>
      <c r="F292" s="51" t="s">
        <v>3436</v>
      </c>
      <c r="G292" s="51" t="s">
        <v>3437</v>
      </c>
      <c r="H292" s="51"/>
      <c r="I292" s="51"/>
      <c r="J292" s="51" t="s">
        <v>3438</v>
      </c>
      <c r="K292" s="51"/>
      <c r="L292" s="305"/>
      <c r="M292" s="305"/>
      <c r="N292" s="305"/>
      <c r="O292" s="47"/>
      <c r="P292" s="47"/>
    </row>
    <row r="293">
      <c r="A293" s="61" t="s">
        <v>3443</v>
      </c>
      <c r="B293" s="63">
        <v>5.0</v>
      </c>
      <c r="C293" s="61"/>
      <c r="D293" s="636" t="s">
        <v>3444</v>
      </c>
      <c r="E293" s="63"/>
      <c r="F293" s="63"/>
      <c r="G293" s="63"/>
      <c r="H293" s="61"/>
      <c r="I293" s="61"/>
      <c r="J293" s="61"/>
      <c r="K293" s="63"/>
      <c r="L293" s="70"/>
      <c r="M293" s="63"/>
      <c r="N293" s="307"/>
      <c r="O293" s="70"/>
      <c r="P293" s="70"/>
    </row>
    <row r="294">
      <c r="A294" s="47" t="s">
        <v>3448</v>
      </c>
      <c r="B294" s="51">
        <v>5.0</v>
      </c>
      <c r="C294" s="51"/>
      <c r="D294" s="637" t="s">
        <v>3451</v>
      </c>
      <c r="E294" s="51" t="s">
        <v>3452</v>
      </c>
      <c r="F294" s="51" t="s">
        <v>3453</v>
      </c>
      <c r="G294" s="47"/>
      <c r="H294" s="47"/>
      <c r="I294" s="47"/>
      <c r="J294" s="47"/>
      <c r="K294" s="51">
        <v>2.0</v>
      </c>
      <c r="L294" s="47"/>
      <c r="M294" s="47"/>
      <c r="N294" s="47"/>
      <c r="O294" s="47"/>
      <c r="P294" s="47"/>
    </row>
    <row r="295">
      <c r="A295" s="61" t="s">
        <v>3456</v>
      </c>
      <c r="B295" s="63">
        <v>2.0</v>
      </c>
      <c r="C295" s="63"/>
      <c r="D295" s="63" t="s">
        <v>3457</v>
      </c>
      <c r="E295" s="63"/>
      <c r="F295" s="61"/>
      <c r="G295" s="61"/>
      <c r="H295" s="61"/>
      <c r="I295" s="61"/>
      <c r="J295" s="61"/>
      <c r="K295" s="63"/>
      <c r="L295" s="61"/>
      <c r="M295" s="61"/>
      <c r="N295" s="61"/>
      <c r="O295" s="61"/>
      <c r="P295" s="61"/>
    </row>
    <row r="296">
      <c r="A296" s="47" t="s">
        <v>3462</v>
      </c>
      <c r="B296" s="47"/>
      <c r="C296" s="47"/>
      <c r="D296" s="47"/>
      <c r="E296" s="47"/>
      <c r="F296" s="47"/>
      <c r="G296" s="56"/>
      <c r="H296" s="56"/>
      <c r="I296" s="56"/>
      <c r="J296" s="56"/>
      <c r="K296" s="47"/>
      <c r="L296" s="47"/>
      <c r="M296" s="47"/>
      <c r="N296" s="47"/>
      <c r="O296" s="47"/>
      <c r="P296" s="47"/>
    </row>
    <row r="297">
      <c r="A297" s="61" t="s">
        <v>3466</v>
      </c>
      <c r="B297" s="61"/>
      <c r="C297" s="63"/>
      <c r="D297" s="63"/>
      <c r="E297" s="63"/>
      <c r="F297" s="70"/>
      <c r="G297" s="70"/>
      <c r="H297" s="70"/>
      <c r="I297" s="70"/>
      <c r="J297" s="70"/>
      <c r="K297" s="61"/>
      <c r="L297" s="61"/>
      <c r="M297" s="61"/>
      <c r="N297" s="61"/>
      <c r="O297" s="61"/>
      <c r="P297" s="61"/>
    </row>
    <row r="298">
      <c r="A298" s="47" t="s">
        <v>3476</v>
      </c>
      <c r="B298" s="51">
        <v>1.0</v>
      </c>
      <c r="C298" s="47"/>
      <c r="D298" s="51" t="s">
        <v>3477</v>
      </c>
      <c r="E298" s="47"/>
      <c r="F298" s="47"/>
      <c r="G298" s="56"/>
      <c r="H298" s="56"/>
      <c r="I298" s="56"/>
      <c r="J298" s="56"/>
      <c r="K298" s="51"/>
      <c r="L298" s="47"/>
      <c r="M298" s="47"/>
      <c r="N298" s="47"/>
      <c r="O298" s="47"/>
      <c r="P298" s="47"/>
    </row>
    <row r="299">
      <c r="A299" s="95" t="s">
        <v>3480</v>
      </c>
      <c r="B299" s="111"/>
      <c r="C299" s="25"/>
      <c r="D299" s="25"/>
      <c r="E299" s="25"/>
      <c r="F299" s="25"/>
      <c r="G299" s="25"/>
      <c r="H299" s="25"/>
      <c r="I299" s="25"/>
      <c r="J299" s="25"/>
      <c r="K299" s="25"/>
      <c r="L299" s="25"/>
      <c r="M299" s="25"/>
      <c r="N299" s="25"/>
      <c r="O299" s="25"/>
      <c r="P299" s="45"/>
    </row>
    <row r="300">
      <c r="A300" s="47" t="s">
        <v>3488</v>
      </c>
      <c r="B300" s="51">
        <v>1.0</v>
      </c>
      <c r="C300" s="47"/>
      <c r="D300" s="51" t="s">
        <v>3489</v>
      </c>
      <c r="E300" s="47"/>
      <c r="F300" s="47"/>
      <c r="G300" s="47"/>
      <c r="H300" s="47"/>
      <c r="I300" s="47"/>
      <c r="J300" s="47"/>
      <c r="K300" s="305"/>
      <c r="L300" s="47"/>
      <c r="M300" s="47"/>
      <c r="N300" s="47"/>
      <c r="O300" s="47"/>
      <c r="P300" s="47"/>
    </row>
    <row r="301">
      <c r="A301" s="61" t="s">
        <v>3494</v>
      </c>
      <c r="B301" s="63">
        <v>4.0</v>
      </c>
      <c r="C301" s="61"/>
      <c r="D301" s="63" t="s">
        <v>3495</v>
      </c>
      <c r="E301" s="63" t="s">
        <v>3496</v>
      </c>
      <c r="F301" s="61"/>
      <c r="G301" s="61"/>
      <c r="H301" s="61"/>
      <c r="I301" s="61"/>
      <c r="J301" s="61"/>
      <c r="K301" s="307"/>
      <c r="L301" s="61"/>
      <c r="M301" s="61"/>
      <c r="N301" s="61"/>
      <c r="O301" s="61"/>
      <c r="P301" s="61"/>
    </row>
    <row r="302">
      <c r="A302" s="47" t="s">
        <v>3499</v>
      </c>
      <c r="B302" s="51">
        <v>3.0</v>
      </c>
      <c r="C302" s="47"/>
      <c r="D302" s="51" t="s">
        <v>3502</v>
      </c>
      <c r="E302" s="51"/>
      <c r="F302" s="56"/>
      <c r="G302" s="56"/>
      <c r="H302" s="56"/>
      <c r="I302" s="56"/>
      <c r="J302" s="56"/>
      <c r="K302" s="305"/>
      <c r="L302" s="51" t="s">
        <v>65</v>
      </c>
      <c r="M302" s="51" t="s">
        <v>3505</v>
      </c>
      <c r="N302" s="56"/>
      <c r="O302" s="51" t="s">
        <v>736</v>
      </c>
      <c r="P302" s="56"/>
    </row>
    <row r="303">
      <c r="A303" s="95" t="s">
        <v>3508</v>
      </c>
      <c r="B303" s="111"/>
      <c r="C303" s="25"/>
      <c r="D303" s="25"/>
      <c r="E303" s="25"/>
      <c r="F303" s="25"/>
      <c r="G303" s="25"/>
      <c r="H303" s="25"/>
      <c r="I303" s="25"/>
      <c r="J303" s="25"/>
      <c r="K303" s="25"/>
      <c r="L303" s="25"/>
      <c r="M303" s="25"/>
      <c r="N303" s="25"/>
      <c r="O303" s="25"/>
      <c r="P303" s="45"/>
    </row>
    <row r="304">
      <c r="A304" s="47" t="s">
        <v>348</v>
      </c>
      <c r="B304" s="51">
        <v>8.0</v>
      </c>
      <c r="C304" s="51">
        <v>6.0</v>
      </c>
      <c r="D304" s="51" t="s">
        <v>3514</v>
      </c>
      <c r="E304" s="640" t="s">
        <v>3515</v>
      </c>
      <c r="F304" s="51" t="s">
        <v>3516</v>
      </c>
      <c r="G304" s="51" t="s">
        <v>3517</v>
      </c>
      <c r="H304" s="51" t="s">
        <v>3518</v>
      </c>
      <c r="I304" s="51"/>
      <c r="J304" s="51"/>
      <c r="K304" s="305"/>
      <c r="L304" s="47"/>
      <c r="M304" s="47"/>
      <c r="N304" s="47"/>
      <c r="O304" s="47"/>
      <c r="P304" s="47"/>
    </row>
    <row r="305">
      <c r="A305" s="61" t="s">
        <v>3520</v>
      </c>
      <c r="B305" s="63"/>
      <c r="C305" s="70"/>
      <c r="D305" s="63"/>
      <c r="E305" s="61"/>
      <c r="F305" s="61"/>
      <c r="G305" s="61"/>
      <c r="H305" s="61"/>
      <c r="I305" s="61"/>
      <c r="J305" s="61"/>
      <c r="K305" s="307"/>
      <c r="L305" s="61"/>
      <c r="M305" s="61"/>
      <c r="N305" s="61"/>
      <c r="O305" s="61"/>
      <c r="P305" s="61"/>
    </row>
    <row r="306">
      <c r="A306" s="95" t="s">
        <v>3524</v>
      </c>
      <c r="B306" s="111"/>
      <c r="C306" s="142"/>
      <c r="D306" s="142"/>
      <c r="E306" s="142"/>
      <c r="F306" s="142"/>
      <c r="G306" s="142"/>
      <c r="H306" s="142"/>
      <c r="I306" s="142"/>
      <c r="J306" s="142"/>
      <c r="K306" s="142"/>
      <c r="L306" s="142"/>
      <c r="M306" s="142"/>
      <c r="N306" s="142"/>
      <c r="O306" s="142"/>
      <c r="P306" s="145"/>
    </row>
    <row r="307">
      <c r="A307" s="61" t="s">
        <v>3531</v>
      </c>
      <c r="B307" s="63">
        <v>1.0</v>
      </c>
      <c r="C307" s="61"/>
      <c r="D307" s="61"/>
      <c r="E307" s="61"/>
      <c r="F307" s="61"/>
      <c r="G307" s="70"/>
      <c r="H307" s="70"/>
      <c r="I307" s="70"/>
      <c r="J307" s="70"/>
      <c r="K307" s="70"/>
      <c r="L307" s="61"/>
      <c r="M307" s="70"/>
      <c r="N307" s="70"/>
      <c r="O307" s="70"/>
      <c r="P307" s="70"/>
    </row>
    <row r="308">
      <c r="A308" s="47" t="s">
        <v>3535</v>
      </c>
      <c r="B308" s="51">
        <v>4.0</v>
      </c>
      <c r="C308" s="51">
        <v>1.0</v>
      </c>
      <c r="D308" s="51"/>
      <c r="E308" s="47"/>
      <c r="F308" s="47"/>
      <c r="G308" s="47"/>
      <c r="H308" s="47"/>
      <c r="I308" s="47"/>
      <c r="J308" s="47"/>
      <c r="K308" s="47"/>
      <c r="L308" s="47"/>
      <c r="M308" s="47"/>
      <c r="N308" s="47"/>
      <c r="O308" s="47"/>
      <c r="P308" s="47"/>
    </row>
    <row r="309">
      <c r="A309" s="61" t="s">
        <v>2692</v>
      </c>
      <c r="B309" s="63">
        <v>4.0</v>
      </c>
      <c r="C309" s="63"/>
      <c r="D309" s="63" t="s">
        <v>3538</v>
      </c>
      <c r="E309" s="63" t="s">
        <v>3539</v>
      </c>
      <c r="F309" s="63"/>
      <c r="G309" s="63"/>
      <c r="H309" s="63"/>
      <c r="I309" s="63"/>
      <c r="J309" s="63"/>
      <c r="K309" s="307"/>
      <c r="L309" s="63"/>
      <c r="M309" s="63"/>
      <c r="N309" s="63"/>
      <c r="O309" s="63"/>
      <c r="P309" s="63"/>
    </row>
    <row r="310">
      <c r="A310" s="47" t="s">
        <v>3540</v>
      </c>
      <c r="B310" s="47"/>
      <c r="C310" s="51">
        <v>1.0</v>
      </c>
      <c r="D310" s="51"/>
      <c r="E310" s="47"/>
      <c r="F310" s="47"/>
      <c r="G310" s="47"/>
      <c r="H310" s="56"/>
      <c r="I310" s="56"/>
      <c r="J310" s="56"/>
      <c r="K310" s="56"/>
      <c r="L310" s="56"/>
      <c r="M310" s="56"/>
      <c r="N310" s="56"/>
      <c r="O310" s="56"/>
      <c r="P310" s="56"/>
    </row>
    <row r="311">
      <c r="A311" s="61" t="s">
        <v>3545</v>
      </c>
      <c r="B311" s="63"/>
      <c r="C311" s="70"/>
      <c r="D311" s="63"/>
      <c r="E311" s="642"/>
      <c r="F311" s="643"/>
      <c r="G311" s="70"/>
      <c r="H311" s="70"/>
      <c r="I311" s="70"/>
      <c r="J311" s="70"/>
      <c r="K311" s="70"/>
      <c r="L311" s="70"/>
      <c r="M311" s="70"/>
      <c r="N311" s="70"/>
      <c r="O311" s="70"/>
      <c r="P311" s="70"/>
    </row>
    <row r="312">
      <c r="A312" s="47" t="s">
        <v>3551</v>
      </c>
      <c r="B312" s="51">
        <v>2.0</v>
      </c>
      <c r="C312" s="51">
        <v>2.0</v>
      </c>
      <c r="D312" s="51" t="s">
        <v>3553</v>
      </c>
      <c r="E312" s="51" t="s">
        <v>3554</v>
      </c>
      <c r="F312" s="51"/>
      <c r="G312" s="47"/>
      <c r="H312" s="47"/>
      <c r="I312" s="47"/>
      <c r="J312" s="47"/>
      <c r="K312" s="47"/>
      <c r="L312" s="47"/>
      <c r="M312" s="47"/>
      <c r="N312" s="47"/>
      <c r="O312" s="47"/>
      <c r="P312" s="47"/>
    </row>
    <row r="313">
      <c r="A313" s="61" t="s">
        <v>3558</v>
      </c>
      <c r="B313" s="63"/>
      <c r="C313" s="61"/>
      <c r="D313" s="63" t="s">
        <v>3559</v>
      </c>
      <c r="E313" s="61"/>
      <c r="F313" s="61"/>
      <c r="G313" s="61"/>
      <c r="H313" s="61"/>
      <c r="I313" s="61"/>
      <c r="J313" s="61"/>
      <c r="K313" s="61"/>
      <c r="L313" s="61"/>
      <c r="M313" s="61"/>
      <c r="N313" s="61"/>
      <c r="O313" s="61"/>
      <c r="P313" s="61"/>
    </row>
    <row r="314">
      <c r="A314" s="47" t="s">
        <v>3562</v>
      </c>
      <c r="B314" s="51">
        <v>1.0</v>
      </c>
      <c r="C314" s="47"/>
      <c r="D314" s="51" t="s">
        <v>3565</v>
      </c>
      <c r="E314" s="47"/>
      <c r="F314" s="56"/>
      <c r="G314" s="56"/>
      <c r="H314" s="56"/>
      <c r="I314" s="56"/>
      <c r="J314" s="56"/>
      <c r="K314" s="47"/>
      <c r="L314" s="47"/>
      <c r="M314" s="47"/>
      <c r="N314" s="47"/>
      <c r="O314" s="47"/>
      <c r="P314" s="47"/>
    </row>
    <row r="315">
      <c r="A315" s="61" t="s">
        <v>3567</v>
      </c>
      <c r="B315" s="63">
        <v>2.0</v>
      </c>
      <c r="C315" s="63">
        <v>1.0</v>
      </c>
      <c r="D315" s="63" t="s">
        <v>3568</v>
      </c>
      <c r="E315" s="63" t="s">
        <v>3569</v>
      </c>
      <c r="F315" s="61"/>
      <c r="G315" s="70"/>
      <c r="H315" s="70"/>
      <c r="I315" s="70"/>
      <c r="J315" s="70"/>
      <c r="K315" s="61"/>
      <c r="L315" s="61"/>
      <c r="M315" s="61"/>
      <c r="N315" s="61"/>
      <c r="O315" s="61"/>
      <c r="P315" s="61"/>
    </row>
    <row r="316">
      <c r="A316" s="47" t="s">
        <v>3571</v>
      </c>
      <c r="B316" s="51">
        <v>2.0</v>
      </c>
      <c r="C316" s="51">
        <v>2.0</v>
      </c>
      <c r="D316" s="51" t="s">
        <v>3559</v>
      </c>
      <c r="E316" s="51" t="s">
        <v>3573</v>
      </c>
      <c r="F316" s="47"/>
      <c r="G316" s="56"/>
      <c r="H316" s="56"/>
      <c r="I316" s="56"/>
      <c r="J316" s="56"/>
      <c r="K316" s="47"/>
      <c r="L316" s="47"/>
      <c r="M316" s="47"/>
      <c r="N316" s="47"/>
      <c r="O316" s="47"/>
      <c r="P316" s="47"/>
    </row>
    <row r="317">
      <c r="A317" s="61" t="s">
        <v>3580</v>
      </c>
      <c r="B317" s="63">
        <v>1.0</v>
      </c>
      <c r="C317" s="61"/>
      <c r="D317" s="63" t="s">
        <v>3582</v>
      </c>
      <c r="E317" s="61"/>
      <c r="F317" s="61"/>
      <c r="G317" s="61"/>
      <c r="H317" s="61"/>
      <c r="I317" s="61"/>
      <c r="J317" s="61"/>
      <c r="K317" s="61"/>
      <c r="L317" s="61"/>
      <c r="M317" s="61"/>
      <c r="N317" s="61"/>
      <c r="O317" s="61"/>
      <c r="P317" s="61"/>
    </row>
    <row r="318">
      <c r="A318" s="47" t="s">
        <v>3588</v>
      </c>
      <c r="B318" s="47"/>
      <c r="C318" s="47"/>
      <c r="D318" s="47"/>
      <c r="E318" s="47"/>
      <c r="F318" s="47"/>
      <c r="G318" s="47"/>
      <c r="H318" s="47"/>
      <c r="I318" s="47"/>
      <c r="J318" s="47"/>
      <c r="K318" s="47"/>
      <c r="L318" s="47"/>
      <c r="M318" s="47"/>
      <c r="N318" s="47"/>
      <c r="O318" s="47"/>
      <c r="P318" s="47"/>
    </row>
    <row r="319">
      <c r="A319" s="61" t="s">
        <v>3594</v>
      </c>
      <c r="B319" s="61"/>
      <c r="C319" s="63">
        <v>3.0</v>
      </c>
      <c r="D319" s="61"/>
      <c r="E319" s="61"/>
      <c r="F319" s="70"/>
      <c r="G319" s="70"/>
      <c r="H319" s="70"/>
      <c r="I319" s="70"/>
      <c r="J319" s="70"/>
      <c r="K319" s="70"/>
      <c r="L319" s="70"/>
      <c r="M319" s="70"/>
      <c r="N319" s="70"/>
      <c r="O319" s="70"/>
      <c r="P319" s="70"/>
    </row>
    <row r="320">
      <c r="A320" s="47" t="s">
        <v>3598</v>
      </c>
      <c r="B320" s="51"/>
      <c r="C320" s="51">
        <v>2.0</v>
      </c>
      <c r="D320" s="51" t="s">
        <v>3600</v>
      </c>
      <c r="E320" s="51" t="s">
        <v>3601</v>
      </c>
      <c r="F320" s="51" t="s">
        <v>3602</v>
      </c>
      <c r="G320" s="51" t="s">
        <v>3603</v>
      </c>
      <c r="H320" s="56"/>
      <c r="I320" s="56"/>
      <c r="J320" s="56"/>
      <c r="K320" s="47"/>
      <c r="L320" s="47"/>
      <c r="M320" s="47"/>
      <c r="N320" s="47"/>
      <c r="O320" s="47"/>
      <c r="P320" s="47"/>
    </row>
    <row r="321">
      <c r="A321" s="61" t="s">
        <v>3606</v>
      </c>
      <c r="B321" s="63">
        <v>4.0</v>
      </c>
      <c r="C321" s="63">
        <v>6.0</v>
      </c>
      <c r="D321" s="63" t="s">
        <v>3607</v>
      </c>
      <c r="E321" s="63" t="s">
        <v>3610</v>
      </c>
      <c r="F321" s="63" t="s">
        <v>3611</v>
      </c>
      <c r="G321" s="63" t="s">
        <v>3613</v>
      </c>
      <c r="H321" s="61"/>
      <c r="I321" s="61"/>
      <c r="J321" s="61"/>
      <c r="K321" s="63">
        <v>1.0</v>
      </c>
      <c r="L321" s="61"/>
      <c r="M321" s="61"/>
      <c r="N321" s="61"/>
      <c r="O321" s="61"/>
      <c r="P321" s="61"/>
    </row>
    <row r="322">
      <c r="A322" s="47" t="s">
        <v>3615</v>
      </c>
      <c r="B322" s="51">
        <v>7.0</v>
      </c>
      <c r="C322" s="56"/>
      <c r="D322" s="51" t="s">
        <v>3618</v>
      </c>
      <c r="E322" s="47"/>
      <c r="F322" s="47"/>
      <c r="G322" s="47"/>
      <c r="H322" s="47"/>
      <c r="I322" s="47"/>
      <c r="J322" s="47"/>
      <c r="K322" s="51">
        <v>1.0</v>
      </c>
      <c r="L322" s="47"/>
      <c r="M322" s="47"/>
      <c r="N322" s="47"/>
      <c r="O322" s="47"/>
      <c r="P322" s="47"/>
    </row>
    <row r="323">
      <c r="A323" s="61" t="s">
        <v>3624</v>
      </c>
      <c r="B323" s="63">
        <v>4.0</v>
      </c>
      <c r="C323" s="63"/>
      <c r="D323" s="63" t="s">
        <v>3627</v>
      </c>
      <c r="E323" s="63"/>
      <c r="F323" s="61"/>
      <c r="G323" s="70"/>
      <c r="H323" s="70"/>
      <c r="I323" s="70"/>
      <c r="J323" s="70"/>
      <c r="K323" s="63">
        <v>3.0</v>
      </c>
      <c r="L323" s="70"/>
      <c r="M323" s="70"/>
      <c r="N323" s="70"/>
      <c r="O323" s="70"/>
      <c r="P323" s="70"/>
    </row>
    <row r="324">
      <c r="A324" s="47" t="s">
        <v>3630</v>
      </c>
      <c r="B324" s="51">
        <v>5.0</v>
      </c>
      <c r="C324" s="51"/>
      <c r="D324" s="51"/>
      <c r="E324" s="51"/>
      <c r="F324" s="51"/>
      <c r="G324" s="56"/>
      <c r="H324" s="56"/>
      <c r="I324" s="56"/>
      <c r="J324" s="56"/>
      <c r="K324" s="51"/>
      <c r="L324" s="47"/>
      <c r="M324" s="56"/>
      <c r="N324" s="56"/>
      <c r="O324" s="56"/>
      <c r="P324" s="56"/>
    </row>
    <row r="325">
      <c r="A325" s="61" t="s">
        <v>3636</v>
      </c>
      <c r="B325" s="63">
        <v>1.0</v>
      </c>
      <c r="C325" s="61"/>
      <c r="D325" s="63"/>
      <c r="E325" s="63"/>
      <c r="F325" s="61"/>
      <c r="G325" s="61"/>
      <c r="H325" s="61"/>
      <c r="I325" s="61"/>
      <c r="J325" s="61"/>
      <c r="K325" s="63"/>
      <c r="L325" s="61"/>
      <c r="M325" s="61"/>
      <c r="N325" s="61"/>
      <c r="O325" s="61"/>
      <c r="P325" s="61"/>
    </row>
    <row r="326">
      <c r="A326" s="47" t="s">
        <v>3640</v>
      </c>
      <c r="B326" s="51">
        <v>6.0</v>
      </c>
      <c r="C326" s="51">
        <v>1.0</v>
      </c>
      <c r="D326" s="51" t="s">
        <v>426</v>
      </c>
      <c r="E326" s="47"/>
      <c r="F326" s="56"/>
      <c r="G326" s="56"/>
      <c r="H326" s="56"/>
      <c r="I326" s="56"/>
      <c r="J326" s="56"/>
      <c r="K326" s="51">
        <v>3.0</v>
      </c>
      <c r="L326" s="47"/>
      <c r="M326" s="47"/>
      <c r="N326" s="47"/>
      <c r="O326" s="47"/>
      <c r="P326" s="47"/>
    </row>
    <row r="327">
      <c r="A327" s="61" t="s">
        <v>3644</v>
      </c>
      <c r="B327" s="63"/>
      <c r="C327" s="61"/>
      <c r="D327" s="61"/>
      <c r="E327" s="61"/>
      <c r="F327" s="61"/>
      <c r="G327" s="70"/>
      <c r="H327" s="70"/>
      <c r="I327" s="70"/>
      <c r="J327" s="70"/>
      <c r="K327" s="70"/>
      <c r="L327" s="70"/>
      <c r="M327" s="70"/>
      <c r="N327" s="70"/>
      <c r="O327" s="70"/>
      <c r="P327" s="70"/>
    </row>
    <row r="328">
      <c r="A328" s="47" t="s">
        <v>3650</v>
      </c>
      <c r="B328" s="51">
        <v>3.0</v>
      </c>
      <c r="C328" s="51">
        <v>1.0</v>
      </c>
      <c r="D328" s="51" t="s">
        <v>3651</v>
      </c>
      <c r="E328" s="51" t="s">
        <v>3652</v>
      </c>
      <c r="F328" s="56"/>
      <c r="G328" s="56"/>
      <c r="H328" s="56"/>
      <c r="I328" s="56"/>
      <c r="J328" s="56"/>
      <c r="K328" s="56"/>
      <c r="L328" s="56"/>
      <c r="M328" s="56"/>
      <c r="N328" s="56"/>
      <c r="O328" s="56"/>
      <c r="P328" s="56"/>
    </row>
    <row r="329">
      <c r="A329" s="61" t="s">
        <v>3655</v>
      </c>
      <c r="B329" s="63">
        <v>1.0</v>
      </c>
      <c r="C329" s="63">
        <v>1.0</v>
      </c>
      <c r="D329" s="61"/>
      <c r="E329" s="61"/>
      <c r="F329" s="61"/>
      <c r="G329" s="61"/>
      <c r="H329" s="61"/>
      <c r="I329" s="61"/>
      <c r="J329" s="61"/>
      <c r="K329" s="61"/>
      <c r="L329" s="61"/>
      <c r="M329" s="61"/>
      <c r="N329" s="61"/>
      <c r="O329" s="61"/>
      <c r="P329" s="61"/>
    </row>
    <row r="330">
      <c r="A330" s="47" t="s">
        <v>3658</v>
      </c>
      <c r="B330" s="51">
        <v>4.0</v>
      </c>
      <c r="C330" s="51">
        <v>2.0</v>
      </c>
      <c r="D330" s="51" t="s">
        <v>3661</v>
      </c>
      <c r="E330" s="51" t="s">
        <v>3663</v>
      </c>
      <c r="F330" s="51"/>
      <c r="G330" s="56"/>
      <c r="H330" s="56"/>
      <c r="I330" s="56"/>
      <c r="J330" s="56"/>
      <c r="K330" s="56"/>
      <c r="L330" s="56"/>
      <c r="M330" s="56"/>
      <c r="N330" s="56"/>
      <c r="O330" s="56"/>
      <c r="P330" s="56"/>
    </row>
    <row r="331">
      <c r="A331" s="61" t="s">
        <v>3667</v>
      </c>
      <c r="B331" s="63">
        <v>8.0</v>
      </c>
      <c r="C331" s="61"/>
      <c r="D331" s="126" t="s">
        <v>1880</v>
      </c>
      <c r="E331" s="63" t="s">
        <v>3671</v>
      </c>
      <c r="F331" s="63" t="s">
        <v>3675</v>
      </c>
      <c r="G331" s="63" t="s">
        <v>3676</v>
      </c>
      <c r="H331" s="63" t="s">
        <v>3677</v>
      </c>
      <c r="I331" s="63"/>
      <c r="J331" s="63" t="s">
        <v>3678</v>
      </c>
      <c r="K331" s="63">
        <v>4.0</v>
      </c>
      <c r="L331" s="655" t="s">
        <v>3680</v>
      </c>
      <c r="M331" s="70"/>
      <c r="N331" s="70"/>
      <c r="O331" s="70"/>
      <c r="P331" s="70"/>
    </row>
    <row r="332">
      <c r="A332" s="56" t="s">
        <v>3683</v>
      </c>
      <c r="B332" s="51">
        <v>3.0</v>
      </c>
      <c r="C332" s="56"/>
      <c r="D332" s="51" t="s">
        <v>3685</v>
      </c>
      <c r="E332" s="51"/>
      <c r="F332" s="56"/>
      <c r="G332" s="56"/>
      <c r="H332" s="56"/>
      <c r="I332" s="56"/>
      <c r="J332" s="56"/>
      <c r="K332" s="56"/>
      <c r="L332" s="56"/>
      <c r="M332" s="56"/>
      <c r="N332" s="56"/>
      <c r="O332" s="56"/>
      <c r="P332" s="56"/>
    </row>
    <row r="333">
      <c r="A333" s="18" t="s">
        <v>3687</v>
      </c>
      <c r="B333" s="111"/>
      <c r="C333" s="25"/>
      <c r="D333" s="25"/>
      <c r="E333" s="25"/>
      <c r="F333" s="25"/>
      <c r="G333" s="25"/>
      <c r="H333" s="25"/>
      <c r="I333" s="25"/>
      <c r="J333" s="25"/>
      <c r="K333" s="25"/>
      <c r="L333" s="25"/>
      <c r="M333" s="25"/>
      <c r="N333" s="25"/>
      <c r="O333" s="25"/>
      <c r="P333" s="45"/>
    </row>
    <row r="334">
      <c r="A334" s="56" t="s">
        <v>1930</v>
      </c>
      <c r="B334" s="56"/>
      <c r="C334" s="51"/>
      <c r="D334" s="51"/>
      <c r="E334" s="56"/>
      <c r="F334" s="56"/>
      <c r="G334" s="56"/>
      <c r="H334" s="56"/>
      <c r="I334" s="56"/>
      <c r="J334" s="56"/>
      <c r="K334" s="305"/>
      <c r="L334" s="56"/>
      <c r="M334" s="56"/>
      <c r="N334" s="56"/>
      <c r="O334" s="56"/>
      <c r="P334" s="56"/>
    </row>
    <row r="335">
      <c r="A335" s="70" t="s">
        <v>3699</v>
      </c>
      <c r="B335" s="70"/>
      <c r="C335" s="63"/>
      <c r="D335" s="63"/>
      <c r="E335" s="70"/>
      <c r="F335" s="70"/>
      <c r="G335" s="70"/>
      <c r="H335" s="70"/>
      <c r="I335" s="70"/>
      <c r="J335" s="70"/>
      <c r="K335" s="307"/>
      <c r="L335" s="70"/>
      <c r="M335" s="70"/>
      <c r="N335" s="70"/>
      <c r="O335" s="70"/>
      <c r="P335" s="70"/>
    </row>
    <row r="336">
      <c r="A336" s="18" t="s">
        <v>3709</v>
      </c>
      <c r="B336" s="111"/>
      <c r="C336" s="142"/>
      <c r="D336" s="142"/>
      <c r="E336" s="142"/>
      <c r="F336" s="142"/>
      <c r="G336" s="142"/>
      <c r="H336" s="142"/>
      <c r="I336" s="142"/>
      <c r="J336" s="142"/>
      <c r="K336" s="142"/>
      <c r="L336" s="142"/>
      <c r="M336" s="142"/>
      <c r="N336" s="142"/>
      <c r="O336" s="142"/>
      <c r="P336" s="145"/>
    </row>
    <row r="337">
      <c r="A337" s="70" t="s">
        <v>3727</v>
      </c>
      <c r="B337" s="63">
        <v>11.0</v>
      </c>
      <c r="C337" s="63">
        <v>2.0</v>
      </c>
      <c r="D337" s="63" t="s">
        <v>3734</v>
      </c>
      <c r="E337" s="63" t="s">
        <v>3737</v>
      </c>
      <c r="F337" s="63" t="s">
        <v>3738</v>
      </c>
      <c r="G337" s="63" t="s">
        <v>3740</v>
      </c>
      <c r="H337" s="63"/>
      <c r="I337" s="63"/>
      <c r="J337" s="63" t="s">
        <v>3744</v>
      </c>
      <c r="K337" s="307"/>
      <c r="L337" s="70"/>
      <c r="M337" s="70"/>
      <c r="N337" s="70"/>
      <c r="O337" s="70"/>
      <c r="P337" s="70"/>
    </row>
    <row r="338">
      <c r="A338" s="18" t="s">
        <v>3745</v>
      </c>
      <c r="B338" s="111"/>
      <c r="C338" s="142"/>
      <c r="D338" s="142"/>
      <c r="E338" s="142"/>
      <c r="F338" s="142"/>
      <c r="G338" s="142"/>
      <c r="H338" s="142"/>
      <c r="I338" s="142"/>
      <c r="J338" s="142"/>
      <c r="K338" s="142"/>
      <c r="L338" s="142"/>
      <c r="M338" s="142"/>
      <c r="N338" s="142"/>
      <c r="O338" s="142"/>
      <c r="P338" s="145"/>
    </row>
    <row r="339">
      <c r="A339" s="70" t="s">
        <v>3749</v>
      </c>
      <c r="B339" s="63">
        <v>1.0</v>
      </c>
      <c r="C339" s="70"/>
      <c r="D339" s="61"/>
      <c r="E339" s="61"/>
      <c r="F339" s="70"/>
      <c r="G339" s="70"/>
      <c r="H339" s="70"/>
      <c r="I339" s="70"/>
      <c r="J339" s="70"/>
      <c r="K339" s="307"/>
      <c r="L339" s="61"/>
      <c r="M339" s="61"/>
      <c r="N339" s="61"/>
      <c r="O339" s="61"/>
      <c r="P339" s="61"/>
    </row>
    <row r="340">
      <c r="A340" s="56" t="s">
        <v>1761</v>
      </c>
      <c r="B340" s="51">
        <v>2.0</v>
      </c>
      <c r="C340" s="51"/>
      <c r="D340" s="51" t="s">
        <v>3760</v>
      </c>
      <c r="E340" s="51" t="s">
        <v>3761</v>
      </c>
      <c r="F340" s="51" t="s">
        <v>3762</v>
      </c>
      <c r="G340" s="56"/>
      <c r="H340" s="56"/>
      <c r="I340" s="56"/>
      <c r="J340" s="56"/>
      <c r="K340" s="305"/>
      <c r="L340" s="56"/>
      <c r="M340" s="56"/>
      <c r="N340" s="56"/>
      <c r="O340" s="56"/>
      <c r="P340" s="56"/>
    </row>
    <row r="341">
      <c r="A341" s="70" t="s">
        <v>3767</v>
      </c>
      <c r="B341" s="61"/>
      <c r="C341" s="63"/>
      <c r="D341" s="63"/>
      <c r="E341" s="70"/>
      <c r="F341" s="70"/>
      <c r="G341" s="70"/>
      <c r="H341" s="70"/>
      <c r="I341" s="70"/>
      <c r="J341" s="70"/>
      <c r="K341" s="307"/>
      <c r="L341" s="70"/>
      <c r="M341" s="70"/>
      <c r="N341" s="70"/>
      <c r="O341" s="70"/>
      <c r="P341" s="70"/>
    </row>
    <row r="342">
      <c r="A342" s="56" t="s">
        <v>1964</v>
      </c>
      <c r="B342" s="51">
        <v>2.0</v>
      </c>
      <c r="C342" s="47"/>
      <c r="D342" s="51" t="s">
        <v>3770</v>
      </c>
      <c r="E342" s="47"/>
      <c r="F342" s="47"/>
      <c r="G342" s="47"/>
      <c r="H342" s="56"/>
      <c r="I342" s="56"/>
      <c r="J342" s="56"/>
      <c r="K342" s="305"/>
      <c r="L342" s="56"/>
      <c r="M342" s="56"/>
      <c r="N342" s="56"/>
      <c r="O342" s="56"/>
      <c r="P342" s="56"/>
    </row>
    <row r="343">
      <c r="A343" s="70" t="s">
        <v>3772</v>
      </c>
      <c r="B343" s="63">
        <v>5.0</v>
      </c>
      <c r="C343" s="70"/>
      <c r="D343" s="63" t="s">
        <v>3774</v>
      </c>
      <c r="E343" s="63" t="s">
        <v>3775</v>
      </c>
      <c r="F343" s="70"/>
      <c r="G343" s="70"/>
      <c r="H343" s="70"/>
      <c r="I343" s="70"/>
      <c r="J343" s="70"/>
      <c r="K343" s="307"/>
      <c r="L343" s="70"/>
      <c r="M343" s="70"/>
      <c r="N343" s="70"/>
      <c r="O343" s="70"/>
      <c r="P343" s="70"/>
    </row>
    <row r="344">
      <c r="A344" s="56" t="s">
        <v>3777</v>
      </c>
      <c r="B344" s="56"/>
      <c r="C344" s="56"/>
      <c r="D344" s="51"/>
      <c r="E344" s="56"/>
      <c r="F344" s="56"/>
      <c r="G344" s="56"/>
      <c r="H344" s="56"/>
      <c r="I344" s="56"/>
      <c r="J344" s="56"/>
      <c r="K344" s="305"/>
      <c r="L344" s="56"/>
      <c r="M344" s="56"/>
      <c r="N344" s="56"/>
      <c r="O344" s="56"/>
      <c r="P344" s="56"/>
    </row>
    <row r="345">
      <c r="A345" s="70" t="s">
        <v>3785</v>
      </c>
      <c r="B345" s="63">
        <v>1.0</v>
      </c>
      <c r="C345" s="70"/>
      <c r="D345" s="70"/>
      <c r="E345" s="70"/>
      <c r="F345" s="70"/>
      <c r="G345" s="70"/>
      <c r="H345" s="70"/>
      <c r="I345" s="70"/>
      <c r="J345" s="70"/>
      <c r="K345" s="307"/>
      <c r="L345" s="70"/>
      <c r="M345" s="70"/>
      <c r="N345" s="70"/>
      <c r="O345" s="70"/>
      <c r="P345" s="70"/>
    </row>
    <row r="346">
      <c r="A346" s="18" t="s">
        <v>3788</v>
      </c>
      <c r="B346" s="111"/>
      <c r="C346" s="142"/>
      <c r="D346" s="142"/>
      <c r="E346" s="142"/>
      <c r="F346" s="142"/>
      <c r="G346" s="142"/>
      <c r="H346" s="142"/>
      <c r="I346" s="142"/>
      <c r="J346" s="142"/>
      <c r="K346" s="142"/>
      <c r="L346" s="142"/>
      <c r="M346" s="142"/>
      <c r="N346" s="142"/>
      <c r="O346" s="142"/>
      <c r="P346" s="145"/>
    </row>
    <row r="347">
      <c r="A347" s="70" t="s">
        <v>3794</v>
      </c>
      <c r="B347" s="63">
        <v>1.0</v>
      </c>
      <c r="C347" s="70"/>
      <c r="D347" s="63"/>
      <c r="E347" s="70"/>
      <c r="F347" s="70"/>
      <c r="G347" s="70"/>
      <c r="H347" s="70"/>
      <c r="I347" s="70"/>
      <c r="J347" s="70"/>
      <c r="K347" s="307"/>
      <c r="L347" s="70"/>
      <c r="M347" s="70"/>
      <c r="N347" s="70"/>
      <c r="O347" s="70"/>
      <c r="P347" s="70"/>
    </row>
    <row r="348">
      <c r="A348" s="18" t="s">
        <v>3800</v>
      </c>
      <c r="B348" s="111"/>
      <c r="C348" s="142"/>
      <c r="D348" s="142"/>
      <c r="E348" s="142"/>
      <c r="F348" s="142"/>
      <c r="G348" s="142"/>
      <c r="H348" s="142"/>
      <c r="I348" s="142"/>
      <c r="J348" s="142"/>
      <c r="K348" s="142"/>
      <c r="L348" s="142"/>
      <c r="M348" s="142"/>
      <c r="N348" s="142"/>
      <c r="O348" s="142"/>
      <c r="P348" s="145"/>
    </row>
    <row r="349">
      <c r="A349" s="70" t="s">
        <v>3805</v>
      </c>
      <c r="B349" s="63"/>
      <c r="C349" s="63">
        <v>9.0</v>
      </c>
      <c r="D349" s="63" t="s">
        <v>3807</v>
      </c>
      <c r="E349" s="63" t="s">
        <v>3810</v>
      </c>
      <c r="F349" s="63" t="s">
        <v>3811</v>
      </c>
      <c r="G349" s="63" t="s">
        <v>3813</v>
      </c>
      <c r="H349" s="63" t="s">
        <v>3814</v>
      </c>
      <c r="I349" s="63" t="s">
        <v>3815</v>
      </c>
      <c r="J349" s="63" t="s">
        <v>3816</v>
      </c>
      <c r="K349" s="63">
        <v>3.0</v>
      </c>
      <c r="L349" s="63" t="s">
        <v>3818</v>
      </c>
      <c r="M349" s="63" t="s">
        <v>195</v>
      </c>
      <c r="N349" s="70"/>
      <c r="O349" s="63" t="s">
        <v>69</v>
      </c>
      <c r="P349" s="70"/>
    </row>
    <row r="350">
      <c r="A350" s="56" t="s">
        <v>3822</v>
      </c>
      <c r="B350" s="51">
        <v>4.0</v>
      </c>
      <c r="C350" s="56"/>
      <c r="D350" s="189" t="s">
        <v>3826</v>
      </c>
      <c r="E350" s="51" t="s">
        <v>3827</v>
      </c>
      <c r="F350" s="56"/>
      <c r="G350" s="56"/>
      <c r="H350" s="56"/>
      <c r="I350" s="56"/>
      <c r="J350" s="56"/>
      <c r="K350" s="51">
        <v>2.0</v>
      </c>
      <c r="L350" s="51" t="s">
        <v>3830</v>
      </c>
      <c r="M350" s="51" t="s">
        <v>3831</v>
      </c>
      <c r="N350" s="51" t="s">
        <v>3833</v>
      </c>
      <c r="O350" s="51" t="s">
        <v>3835</v>
      </c>
      <c r="P350" s="56"/>
    </row>
    <row r="351">
      <c r="A351" s="70" t="s">
        <v>3836</v>
      </c>
      <c r="B351" s="63">
        <v>3.0</v>
      </c>
      <c r="C351" s="61"/>
      <c r="D351" s="63" t="s">
        <v>3837</v>
      </c>
      <c r="E351" s="63"/>
      <c r="F351" s="61"/>
      <c r="G351" s="61"/>
      <c r="H351" s="61"/>
      <c r="I351" s="61"/>
      <c r="J351" s="61"/>
      <c r="K351" s="70"/>
      <c r="L351" s="70"/>
      <c r="M351" s="70"/>
      <c r="N351" s="70"/>
      <c r="O351" s="70"/>
      <c r="P351" s="70"/>
    </row>
    <row r="352">
      <c r="A352" s="56" t="s">
        <v>3839</v>
      </c>
      <c r="B352" s="51">
        <v>7.0</v>
      </c>
      <c r="C352" s="56"/>
      <c r="D352" s="51" t="s">
        <v>3843</v>
      </c>
      <c r="E352" s="51" t="s">
        <v>3845</v>
      </c>
      <c r="F352" s="56"/>
      <c r="G352" s="56"/>
      <c r="H352" s="56"/>
      <c r="I352" s="56"/>
      <c r="J352" s="56"/>
      <c r="K352" s="51">
        <v>3.0</v>
      </c>
      <c r="L352" s="51" t="s">
        <v>3846</v>
      </c>
      <c r="M352" s="51" t="s">
        <v>3847</v>
      </c>
      <c r="N352" s="56"/>
      <c r="O352" s="51" t="s">
        <v>3850</v>
      </c>
      <c r="P352" s="51" t="s">
        <v>3851</v>
      </c>
    </row>
    <row r="353">
      <c r="A353" s="70" t="s">
        <v>3852</v>
      </c>
      <c r="B353" s="63">
        <v>3.0</v>
      </c>
      <c r="C353" s="63">
        <v>1.0</v>
      </c>
      <c r="D353" s="63" t="s">
        <v>3855</v>
      </c>
      <c r="E353" s="63" t="s">
        <v>3856</v>
      </c>
      <c r="F353" s="63" t="s">
        <v>3858</v>
      </c>
      <c r="G353" s="70"/>
      <c r="H353" s="70"/>
      <c r="I353" s="70"/>
      <c r="J353" s="70"/>
      <c r="K353" s="63">
        <v>2.0</v>
      </c>
      <c r="L353" s="63" t="s">
        <v>3864</v>
      </c>
      <c r="M353" s="63" t="s">
        <v>3865</v>
      </c>
      <c r="N353" s="63" t="s">
        <v>3866</v>
      </c>
      <c r="O353" s="63" t="s">
        <v>3867</v>
      </c>
      <c r="P353" s="63" t="s">
        <v>3869</v>
      </c>
    </row>
    <row r="354">
      <c r="A354" s="56" t="s">
        <v>3871</v>
      </c>
      <c r="B354" s="51">
        <v>3.0</v>
      </c>
      <c r="C354" s="51"/>
      <c r="D354" s="51" t="s">
        <v>3876</v>
      </c>
      <c r="E354" s="51"/>
      <c r="F354" s="56"/>
      <c r="G354" s="56"/>
      <c r="H354" s="56"/>
      <c r="I354" s="56"/>
      <c r="J354" s="56"/>
      <c r="K354" s="56"/>
      <c r="L354" s="51"/>
      <c r="M354" s="56"/>
      <c r="N354" s="51"/>
      <c r="O354" s="47"/>
      <c r="P354" s="47"/>
    </row>
    <row r="355">
      <c r="A355" s="70" t="s">
        <v>2038</v>
      </c>
      <c r="B355" s="63">
        <v>3.0</v>
      </c>
      <c r="C355" s="63">
        <v>2.0</v>
      </c>
      <c r="D355" s="63" t="s">
        <v>1880</v>
      </c>
      <c r="E355" s="63" t="s">
        <v>3885</v>
      </c>
      <c r="F355" s="63" t="s">
        <v>426</v>
      </c>
      <c r="G355" s="63" t="s">
        <v>3886</v>
      </c>
      <c r="H355" s="70"/>
      <c r="I355" s="70"/>
      <c r="J355" s="70"/>
      <c r="K355" s="63">
        <v>4.0</v>
      </c>
      <c r="L355" s="63" t="s">
        <v>3888</v>
      </c>
      <c r="M355" s="63" t="s">
        <v>749</v>
      </c>
      <c r="N355" s="63" t="s">
        <v>3889</v>
      </c>
      <c r="O355" s="63" t="s">
        <v>3890</v>
      </c>
      <c r="P355" s="70"/>
    </row>
    <row r="356">
      <c r="A356" s="18" t="s">
        <v>3892</v>
      </c>
      <c r="B356" s="111"/>
      <c r="C356" s="142"/>
      <c r="D356" s="142"/>
      <c r="E356" s="142"/>
      <c r="F356" s="142"/>
      <c r="G356" s="142"/>
      <c r="H356" s="142"/>
      <c r="I356" s="142"/>
      <c r="J356" s="142"/>
      <c r="K356" s="142"/>
      <c r="L356" s="142"/>
      <c r="M356" s="142"/>
      <c r="N356" s="142"/>
      <c r="O356" s="142"/>
      <c r="P356" s="145"/>
    </row>
    <row r="357">
      <c r="A357" s="70" t="s">
        <v>3897</v>
      </c>
      <c r="B357" s="63">
        <v>7.0</v>
      </c>
      <c r="C357" s="63"/>
      <c r="D357" s="63" t="s">
        <v>3900</v>
      </c>
      <c r="E357" s="61"/>
      <c r="F357" s="70"/>
      <c r="G357" s="70"/>
      <c r="H357" s="70"/>
      <c r="I357" s="70"/>
      <c r="J357" s="70"/>
      <c r="K357" s="63">
        <v>2.0</v>
      </c>
      <c r="L357" s="63" t="s">
        <v>3903</v>
      </c>
      <c r="M357" s="70"/>
      <c r="N357" s="70"/>
      <c r="O357" s="70"/>
      <c r="P357" s="70"/>
    </row>
    <row r="358">
      <c r="A358" s="56" t="s">
        <v>3905</v>
      </c>
      <c r="B358" s="51">
        <v>3.0</v>
      </c>
      <c r="C358" s="51">
        <v>9.0</v>
      </c>
      <c r="D358" s="51" t="s">
        <v>3908</v>
      </c>
      <c r="E358" s="51" t="s">
        <v>3910</v>
      </c>
      <c r="F358" s="51" t="s">
        <v>3911</v>
      </c>
      <c r="G358" s="51" t="s">
        <v>3912</v>
      </c>
      <c r="H358" s="703"/>
      <c r="I358" s="704" t="s">
        <v>3915</v>
      </c>
      <c r="J358" s="703" t="s">
        <v>3916</v>
      </c>
      <c r="K358" s="51">
        <v>2.0</v>
      </c>
      <c r="L358" s="51" t="s">
        <v>3917</v>
      </c>
      <c r="M358" s="56"/>
      <c r="N358" s="51" t="s">
        <v>3920</v>
      </c>
      <c r="O358" s="51" t="s">
        <v>69</v>
      </c>
      <c r="P358" s="51" t="s">
        <v>3922</v>
      </c>
    </row>
    <row r="359">
      <c r="A359" s="70" t="s">
        <v>3924</v>
      </c>
      <c r="B359" s="63">
        <v>3.0</v>
      </c>
      <c r="C359" s="70"/>
      <c r="D359" s="63" t="s">
        <v>3927</v>
      </c>
      <c r="E359" s="70"/>
      <c r="F359" s="70"/>
      <c r="G359" s="70"/>
      <c r="H359" s="70"/>
      <c r="I359" s="705"/>
      <c r="J359" s="70"/>
      <c r="K359" s="63">
        <v>2.0</v>
      </c>
      <c r="L359" s="63" t="s">
        <v>3929</v>
      </c>
      <c r="M359" s="70"/>
      <c r="N359" s="706" t="s">
        <v>3932</v>
      </c>
      <c r="O359" s="63" t="s">
        <v>69</v>
      </c>
      <c r="P359" s="63" t="s">
        <v>3936</v>
      </c>
    </row>
    <row r="360">
      <c r="A360" s="56" t="s">
        <v>3941</v>
      </c>
      <c r="B360" s="51">
        <v>1.0</v>
      </c>
      <c r="C360" s="51">
        <v>1.5</v>
      </c>
      <c r="D360" s="51" t="s">
        <v>3946</v>
      </c>
      <c r="E360" s="51" t="s">
        <v>3948</v>
      </c>
      <c r="F360" s="56"/>
      <c r="G360" s="56"/>
      <c r="H360" s="56"/>
      <c r="I360" s="56"/>
      <c r="J360" s="56"/>
      <c r="K360" s="56"/>
      <c r="L360" s="56"/>
      <c r="M360" s="56"/>
      <c r="N360" s="56"/>
      <c r="O360" s="56"/>
      <c r="P360" s="56"/>
    </row>
    <row r="361">
      <c r="A361" s="70" t="s">
        <v>3957</v>
      </c>
      <c r="B361" s="63">
        <v>2.0</v>
      </c>
      <c r="C361" s="70"/>
      <c r="D361" s="63"/>
      <c r="E361" s="61"/>
      <c r="F361" s="70"/>
      <c r="G361" s="70"/>
      <c r="H361" s="70"/>
      <c r="I361" s="70"/>
      <c r="J361" s="70"/>
      <c r="K361" s="70"/>
      <c r="L361" s="70"/>
      <c r="M361" s="70"/>
      <c r="N361" s="70"/>
      <c r="O361" s="70"/>
      <c r="P361" s="70"/>
    </row>
    <row r="362">
      <c r="A362" s="56" t="s">
        <v>3961</v>
      </c>
      <c r="B362" s="51">
        <v>3.0</v>
      </c>
      <c r="C362" s="56"/>
      <c r="D362" s="51" t="s">
        <v>3962</v>
      </c>
      <c r="E362" s="51" t="s">
        <v>3963</v>
      </c>
      <c r="F362" s="51" t="s">
        <v>3965</v>
      </c>
      <c r="G362" s="56"/>
      <c r="H362" s="56"/>
      <c r="I362" s="56"/>
      <c r="J362" s="56"/>
      <c r="K362" s="51">
        <v>2.0</v>
      </c>
      <c r="L362" s="51" t="s">
        <v>3968</v>
      </c>
      <c r="M362" s="51" t="s">
        <v>195</v>
      </c>
      <c r="N362" s="51" t="s">
        <v>3970</v>
      </c>
      <c r="O362" s="51" t="s">
        <v>3972</v>
      </c>
      <c r="P362" s="51" t="s">
        <v>3973</v>
      </c>
    </row>
    <row r="363">
      <c r="A363" s="70" t="s">
        <v>3974</v>
      </c>
      <c r="B363" s="63">
        <v>2.0</v>
      </c>
      <c r="C363" s="63">
        <v>2.0</v>
      </c>
      <c r="D363" s="63" t="s">
        <v>3975</v>
      </c>
      <c r="E363" s="63" t="s">
        <v>3976</v>
      </c>
      <c r="F363" s="63" t="s">
        <v>3978</v>
      </c>
      <c r="G363" s="61"/>
      <c r="H363" s="61"/>
      <c r="I363" s="61"/>
      <c r="J363" s="61"/>
      <c r="K363" s="63">
        <v>3.0</v>
      </c>
      <c r="L363" s="63" t="s">
        <v>3980</v>
      </c>
      <c r="M363" s="70"/>
      <c r="N363" s="63" t="s">
        <v>3982</v>
      </c>
      <c r="O363" s="63" t="s">
        <v>3983</v>
      </c>
      <c r="P363" s="63" t="s">
        <v>3984</v>
      </c>
    </row>
    <row r="364">
      <c r="A364" s="56" t="s">
        <v>3985</v>
      </c>
      <c r="B364" s="51">
        <v>3.0</v>
      </c>
      <c r="C364" s="51">
        <v>1.0</v>
      </c>
      <c r="D364" s="51" t="s">
        <v>3987</v>
      </c>
      <c r="E364" s="51" t="s">
        <v>3989</v>
      </c>
      <c r="F364" s="51" t="s">
        <v>3990</v>
      </c>
      <c r="G364" s="51" t="s">
        <v>3991</v>
      </c>
      <c r="H364" s="56"/>
      <c r="I364" s="56"/>
      <c r="J364" s="56"/>
      <c r="K364" s="51">
        <v>1.0</v>
      </c>
      <c r="L364" s="51" t="s">
        <v>3993</v>
      </c>
      <c r="M364" s="51" t="s">
        <v>436</v>
      </c>
      <c r="N364" s="51" t="s">
        <v>3996</v>
      </c>
      <c r="O364" s="51" t="s">
        <v>69</v>
      </c>
      <c r="P364" s="56"/>
    </row>
    <row r="365">
      <c r="A365" s="70" t="s">
        <v>3997</v>
      </c>
      <c r="B365" s="61"/>
      <c r="C365" s="63">
        <v>3.0</v>
      </c>
      <c r="D365" s="70"/>
      <c r="E365" s="70"/>
      <c r="F365" s="70"/>
      <c r="G365" s="70"/>
      <c r="H365" s="70"/>
      <c r="I365" s="70"/>
      <c r="J365" s="70"/>
      <c r="K365" s="70"/>
      <c r="L365" s="70"/>
      <c r="M365" s="70"/>
      <c r="N365" s="70"/>
      <c r="O365" s="70"/>
      <c r="P365" s="70"/>
    </row>
    <row r="366">
      <c r="A366" s="56" t="s">
        <v>4007</v>
      </c>
      <c r="B366" s="51">
        <v>3.0</v>
      </c>
      <c r="C366" s="51"/>
      <c r="D366" s="51" t="s">
        <v>4009</v>
      </c>
      <c r="E366" s="51" t="s">
        <v>4011</v>
      </c>
      <c r="F366" s="56"/>
      <c r="G366" s="56"/>
      <c r="H366" s="56"/>
      <c r="I366" s="56"/>
      <c r="J366" s="56"/>
      <c r="K366" s="51">
        <v>1.0</v>
      </c>
      <c r="L366" s="51" t="s">
        <v>3903</v>
      </c>
      <c r="M366" s="51" t="s">
        <v>195</v>
      </c>
      <c r="N366" s="51" t="s">
        <v>4014</v>
      </c>
      <c r="O366" s="51" t="s">
        <v>1833</v>
      </c>
      <c r="P366" s="56"/>
    </row>
    <row r="367">
      <c r="A367" s="70" t="s">
        <v>4018</v>
      </c>
      <c r="B367" s="63">
        <v>5.0</v>
      </c>
      <c r="C367" s="70"/>
      <c r="D367" s="63" t="s">
        <v>4020</v>
      </c>
      <c r="E367" s="63" t="s">
        <v>4021</v>
      </c>
      <c r="F367" s="70"/>
      <c r="G367" s="70"/>
      <c r="H367" s="70"/>
      <c r="I367" s="70"/>
      <c r="J367" s="70"/>
      <c r="K367" s="63">
        <v>2.0</v>
      </c>
      <c r="L367" s="63" t="s">
        <v>4023</v>
      </c>
      <c r="M367" s="63" t="s">
        <v>195</v>
      </c>
      <c r="N367" s="63" t="s">
        <v>4027</v>
      </c>
      <c r="O367" s="63" t="s">
        <v>3972</v>
      </c>
      <c r="P367" s="715" t="s">
        <v>4028</v>
      </c>
    </row>
    <row r="368">
      <c r="A368" s="56" t="s">
        <v>4030</v>
      </c>
      <c r="B368" s="47"/>
      <c r="C368" s="56"/>
      <c r="D368" s="56"/>
      <c r="E368" s="56"/>
      <c r="F368" s="56"/>
      <c r="G368" s="56"/>
      <c r="H368" s="56"/>
      <c r="I368" s="56"/>
      <c r="J368" s="56"/>
      <c r="K368" s="56"/>
      <c r="L368" s="56"/>
      <c r="M368" s="56"/>
      <c r="N368" s="56"/>
      <c r="O368" s="56"/>
      <c r="P368" s="56"/>
    </row>
    <row r="369">
      <c r="A369" s="70" t="s">
        <v>4034</v>
      </c>
      <c r="B369" s="63"/>
      <c r="C369" s="63"/>
      <c r="D369" s="61"/>
      <c r="E369" s="61"/>
      <c r="F369" s="61"/>
      <c r="G369" s="61"/>
      <c r="H369" s="70"/>
      <c r="I369" s="70"/>
      <c r="J369" s="70"/>
      <c r="K369" s="70"/>
      <c r="L369" s="70"/>
      <c r="M369" s="70"/>
      <c r="N369" s="70"/>
      <c r="O369" s="70"/>
      <c r="P369" s="70"/>
    </row>
    <row r="370">
      <c r="A370" s="56" t="s">
        <v>4040</v>
      </c>
      <c r="B370" s="51">
        <v>2.0</v>
      </c>
      <c r="C370" s="51">
        <v>3.0</v>
      </c>
      <c r="D370" s="51" t="s">
        <v>4043</v>
      </c>
      <c r="E370" s="51" t="s">
        <v>351</v>
      </c>
      <c r="F370" s="51" t="s">
        <v>4047</v>
      </c>
      <c r="G370" s="56"/>
      <c r="H370" s="56"/>
      <c r="I370" s="56"/>
      <c r="J370" s="56"/>
      <c r="K370" s="56"/>
      <c r="L370" s="56"/>
      <c r="M370" s="56"/>
      <c r="N370" s="56"/>
      <c r="O370" s="56"/>
      <c r="P370" s="56"/>
    </row>
    <row r="371">
      <c r="A371" s="70" t="s">
        <v>4051</v>
      </c>
      <c r="B371" s="63">
        <v>2.0</v>
      </c>
      <c r="C371" s="63">
        <v>2.0</v>
      </c>
      <c r="D371" s="63" t="s">
        <v>4053</v>
      </c>
      <c r="E371" s="70"/>
      <c r="F371" s="61"/>
      <c r="G371" s="61"/>
      <c r="H371" s="61"/>
      <c r="I371" s="61"/>
      <c r="J371" s="61"/>
      <c r="K371" s="70"/>
      <c r="L371" s="70"/>
      <c r="M371" s="70"/>
      <c r="N371" s="70"/>
      <c r="O371" s="70"/>
      <c r="P371" s="70"/>
    </row>
    <row r="372">
      <c r="A372" s="56" t="s">
        <v>4056</v>
      </c>
      <c r="B372" s="51">
        <v>2.0</v>
      </c>
      <c r="C372" s="47"/>
      <c r="D372" s="51" t="s">
        <v>4058</v>
      </c>
      <c r="E372" s="51"/>
      <c r="F372" s="47"/>
      <c r="G372" s="56"/>
      <c r="H372" s="56"/>
      <c r="I372" s="56"/>
      <c r="J372" s="56"/>
      <c r="K372" s="56"/>
      <c r="L372" s="56"/>
      <c r="M372" s="56"/>
      <c r="N372" s="56"/>
      <c r="O372" s="56"/>
      <c r="P372" s="56"/>
    </row>
    <row r="373">
      <c r="A373" s="70" t="s">
        <v>4063</v>
      </c>
      <c r="B373" s="63">
        <v>2.5</v>
      </c>
      <c r="C373" s="63">
        <v>7.5</v>
      </c>
      <c r="D373" s="63" t="s">
        <v>4064</v>
      </c>
      <c r="E373" s="63" t="s">
        <v>4065</v>
      </c>
      <c r="F373" s="63" t="s">
        <v>4066</v>
      </c>
      <c r="G373" s="63" t="s">
        <v>4067</v>
      </c>
      <c r="H373" s="63" t="s">
        <v>4071</v>
      </c>
      <c r="I373" s="70"/>
      <c r="J373" s="70"/>
      <c r="K373" s="63"/>
      <c r="L373" s="70"/>
      <c r="M373" s="70"/>
      <c r="N373" s="70"/>
      <c r="O373" s="70"/>
      <c r="P373" s="70"/>
    </row>
    <row r="374">
      <c r="A374" s="56" t="s">
        <v>4078</v>
      </c>
      <c r="B374" s="51">
        <v>1.0</v>
      </c>
      <c r="C374" s="51">
        <v>1.0</v>
      </c>
      <c r="D374" s="51" t="s">
        <v>4079</v>
      </c>
      <c r="E374" s="51" t="s">
        <v>4080</v>
      </c>
      <c r="F374" s="51"/>
      <c r="G374" s="47"/>
      <c r="H374" s="56"/>
      <c r="I374" s="56"/>
      <c r="J374" s="56"/>
      <c r="K374" s="56"/>
      <c r="L374" s="56"/>
      <c r="M374" s="56"/>
      <c r="N374" s="56"/>
      <c r="O374" s="56"/>
      <c r="P374" s="56"/>
    </row>
    <row r="375">
      <c r="A375" s="63" t="s">
        <v>2401</v>
      </c>
      <c r="B375" s="63">
        <v>4.0</v>
      </c>
      <c r="C375" s="63">
        <v>1.0</v>
      </c>
      <c r="D375" s="63" t="s">
        <v>4087</v>
      </c>
      <c r="E375" s="63"/>
      <c r="F375" s="61"/>
      <c r="G375" s="61"/>
      <c r="H375" s="61"/>
      <c r="I375" s="61"/>
      <c r="J375" s="61"/>
      <c r="K375" s="63"/>
      <c r="L375" s="63"/>
      <c r="M375" s="63"/>
      <c r="N375" s="70"/>
      <c r="O375" s="70"/>
      <c r="P375" s="70"/>
    </row>
    <row r="376">
      <c r="A376" s="56" t="s">
        <v>4090</v>
      </c>
      <c r="B376" s="51">
        <v>5.0</v>
      </c>
      <c r="C376" s="51"/>
      <c r="D376" s="51"/>
      <c r="E376" s="51"/>
      <c r="F376" s="47"/>
      <c r="G376" s="47"/>
      <c r="H376" s="47"/>
      <c r="I376" s="47"/>
      <c r="J376" s="47"/>
      <c r="K376" s="51">
        <v>2.0</v>
      </c>
      <c r="L376" s="51" t="s">
        <v>4095</v>
      </c>
      <c r="M376" s="51" t="s">
        <v>195</v>
      </c>
      <c r="N376" s="56"/>
      <c r="O376" s="56"/>
      <c r="P376" s="56"/>
    </row>
    <row r="377">
      <c r="A377" s="70" t="s">
        <v>4096</v>
      </c>
      <c r="B377" s="63">
        <v>8.0</v>
      </c>
      <c r="C377" s="63">
        <v>5.0</v>
      </c>
      <c r="D377" s="66" t="s">
        <v>4100</v>
      </c>
      <c r="E377" s="63" t="s">
        <v>4103</v>
      </c>
      <c r="F377" s="63" t="s">
        <v>4104</v>
      </c>
      <c r="G377" s="66"/>
      <c r="H377" s="567"/>
      <c r="I377" s="567"/>
      <c r="J377" s="567"/>
      <c r="K377" s="63">
        <v>5.0</v>
      </c>
      <c r="L377" s="70"/>
      <c r="M377" s="70"/>
      <c r="N377" s="70"/>
      <c r="O377" s="70"/>
      <c r="P377" s="70"/>
    </row>
    <row r="378">
      <c r="A378" s="56" t="s">
        <v>4109</v>
      </c>
      <c r="B378" s="51"/>
      <c r="C378" s="51">
        <v>1.0</v>
      </c>
      <c r="D378" s="51" t="s">
        <v>4110</v>
      </c>
      <c r="E378" s="51"/>
      <c r="F378" s="51"/>
      <c r="G378" s="56"/>
      <c r="H378" s="56"/>
      <c r="I378" s="56"/>
      <c r="J378" s="56"/>
      <c r="K378" s="56"/>
      <c r="L378" s="56"/>
      <c r="M378" s="56"/>
      <c r="N378" s="56"/>
      <c r="O378" s="56"/>
      <c r="P378" s="56"/>
    </row>
    <row r="379">
      <c r="A379" s="70" t="s">
        <v>4113</v>
      </c>
      <c r="B379" s="63">
        <v>6.0</v>
      </c>
      <c r="C379" s="63">
        <v>1.0</v>
      </c>
      <c r="D379" s="63" t="s">
        <v>4115</v>
      </c>
      <c r="E379" s="70"/>
      <c r="F379" s="70"/>
      <c r="G379" s="70"/>
      <c r="H379" s="70"/>
      <c r="I379" s="70"/>
      <c r="J379" s="70"/>
      <c r="K379" s="70"/>
      <c r="L379" s="70"/>
      <c r="M379" s="70"/>
      <c r="N379" s="70"/>
      <c r="O379" s="70"/>
      <c r="P379" s="70"/>
    </row>
    <row r="380">
      <c r="A380" s="56" t="s">
        <v>4118</v>
      </c>
      <c r="B380" s="56"/>
      <c r="C380" s="56"/>
      <c r="D380" s="56"/>
      <c r="E380" s="56"/>
      <c r="F380" s="56"/>
      <c r="G380" s="56"/>
      <c r="H380" s="56"/>
      <c r="I380" s="56"/>
      <c r="J380" s="56"/>
      <c r="K380" s="56"/>
      <c r="L380" s="56"/>
      <c r="M380" s="56"/>
      <c r="N380" s="56"/>
      <c r="O380" s="56"/>
      <c r="P380" s="56"/>
    </row>
    <row r="381">
      <c r="A381" s="18" t="s">
        <v>4126</v>
      </c>
      <c r="B381" s="111"/>
      <c r="C381" s="25"/>
      <c r="D381" s="25"/>
      <c r="E381" s="25"/>
      <c r="F381" s="25"/>
      <c r="G381" s="25"/>
      <c r="H381" s="25"/>
      <c r="I381" s="25"/>
      <c r="J381" s="25"/>
      <c r="K381" s="25"/>
      <c r="L381" s="25"/>
      <c r="M381" s="25"/>
      <c r="N381" s="25"/>
      <c r="O381" s="25"/>
      <c r="P381" s="45"/>
    </row>
    <row r="382">
      <c r="A382" s="56" t="s">
        <v>2172</v>
      </c>
      <c r="B382" s="51">
        <v>2.0</v>
      </c>
      <c r="C382" s="51">
        <v>1.0</v>
      </c>
      <c r="D382" s="51" t="s">
        <v>4132</v>
      </c>
      <c r="E382" s="51" t="s">
        <v>4134</v>
      </c>
      <c r="F382" s="51"/>
      <c r="G382" s="51"/>
      <c r="H382" s="51"/>
      <c r="I382" s="51"/>
      <c r="J382" s="51"/>
      <c r="K382" s="51"/>
      <c r="L382" s="51"/>
      <c r="M382" s="56"/>
      <c r="N382" s="56"/>
      <c r="O382" s="56"/>
      <c r="P382" s="51"/>
    </row>
    <row r="383">
      <c r="A383" s="18" t="s">
        <v>4138</v>
      </c>
      <c r="B383" s="111"/>
      <c r="C383" s="23"/>
      <c r="D383" s="23"/>
      <c r="E383" s="23"/>
      <c r="F383" s="23"/>
      <c r="G383" s="23"/>
      <c r="H383" s="23"/>
      <c r="I383" s="23"/>
      <c r="J383" s="23"/>
      <c r="K383" s="23"/>
      <c r="L383" s="23"/>
      <c r="M383" s="23"/>
      <c r="N383" s="23"/>
      <c r="O383" s="23"/>
      <c r="P383" s="721"/>
    </row>
    <row r="384">
      <c r="A384" s="56" t="s">
        <v>4145</v>
      </c>
      <c r="B384" s="51">
        <v>4.0</v>
      </c>
      <c r="C384" s="51">
        <v>2.0</v>
      </c>
      <c r="D384" s="51" t="s">
        <v>4147</v>
      </c>
      <c r="E384" s="51" t="s">
        <v>4148</v>
      </c>
      <c r="F384" s="51" t="s">
        <v>4149</v>
      </c>
      <c r="G384" s="51" t="s">
        <v>4150</v>
      </c>
      <c r="H384" s="51" t="s">
        <v>4152</v>
      </c>
      <c r="I384" s="56"/>
      <c r="J384" s="56"/>
      <c r="K384" s="56"/>
      <c r="L384" s="56"/>
      <c r="M384" s="56"/>
      <c r="N384" s="56"/>
      <c r="O384" s="56"/>
      <c r="P384" s="56"/>
    </row>
    <row r="385">
      <c r="A385" s="18" t="s">
        <v>4156</v>
      </c>
      <c r="B385" s="111"/>
      <c r="C385" s="25"/>
      <c r="D385" s="25"/>
      <c r="E385" s="25"/>
      <c r="F385" s="25"/>
      <c r="G385" s="25"/>
      <c r="H385" s="25"/>
      <c r="I385" s="25"/>
      <c r="J385" s="25"/>
      <c r="K385" s="25"/>
      <c r="L385" s="25"/>
      <c r="M385" s="25"/>
      <c r="N385" s="25"/>
      <c r="O385" s="25"/>
      <c r="P385" s="45"/>
    </row>
    <row r="386">
      <c r="A386" s="56" t="s">
        <v>2220</v>
      </c>
      <c r="B386" s="51">
        <v>2.0</v>
      </c>
      <c r="C386" s="51"/>
      <c r="D386" s="726" t="s">
        <v>4165</v>
      </c>
      <c r="E386" s="51"/>
      <c r="F386" s="51"/>
      <c r="G386" s="56"/>
      <c r="H386" s="56"/>
      <c r="I386" s="56"/>
      <c r="J386" s="56"/>
      <c r="K386" s="51"/>
      <c r="L386" s="51"/>
      <c r="M386" s="51"/>
      <c r="N386" s="51"/>
      <c r="O386" s="51"/>
      <c r="P386" s="56"/>
    </row>
    <row r="387">
      <c r="A387" s="70" t="s">
        <v>4172</v>
      </c>
      <c r="B387" s="63">
        <v>7.0</v>
      </c>
      <c r="C387" s="63">
        <v>1.0</v>
      </c>
      <c r="D387" s="63" t="s">
        <v>4174</v>
      </c>
      <c r="E387" s="63" t="s">
        <v>4177</v>
      </c>
      <c r="F387" s="63" t="s">
        <v>4178</v>
      </c>
      <c r="G387" s="70"/>
      <c r="H387" s="70"/>
      <c r="I387" s="70"/>
      <c r="J387" s="70"/>
      <c r="K387" s="63"/>
      <c r="L387" s="63"/>
      <c r="M387" s="63"/>
      <c r="N387" s="63"/>
      <c r="O387" s="63"/>
      <c r="P387" s="70"/>
    </row>
    <row r="388">
      <c r="A388" s="56" t="s">
        <v>4180</v>
      </c>
      <c r="B388" s="51">
        <v>4.0</v>
      </c>
      <c r="C388" s="56"/>
      <c r="D388" s="51" t="s">
        <v>4184</v>
      </c>
      <c r="E388" s="56"/>
      <c r="F388" s="56"/>
      <c r="G388" s="56"/>
      <c r="H388" s="56"/>
      <c r="I388" s="56"/>
      <c r="J388" s="56"/>
      <c r="K388" s="51">
        <v>1.0</v>
      </c>
      <c r="L388" s="56"/>
      <c r="M388" s="51" t="s">
        <v>4186</v>
      </c>
      <c r="N388" s="51" t="s">
        <v>4187</v>
      </c>
      <c r="O388" s="51" t="s">
        <v>4189</v>
      </c>
      <c r="P388" s="56"/>
    </row>
    <row r="389">
      <c r="A389" s="70" t="s">
        <v>4191</v>
      </c>
      <c r="B389" s="63">
        <v>6.0</v>
      </c>
      <c r="C389" s="61"/>
      <c r="D389" s="63" t="s">
        <v>4194</v>
      </c>
      <c r="E389" s="63" t="s">
        <v>4195</v>
      </c>
      <c r="F389" s="63"/>
      <c r="G389" s="70"/>
      <c r="H389" s="70"/>
      <c r="I389" s="70"/>
      <c r="J389" s="70"/>
      <c r="K389" s="63">
        <v>2.0</v>
      </c>
      <c r="L389" s="70"/>
      <c r="M389" s="70"/>
      <c r="N389" s="70"/>
      <c r="O389" s="70"/>
      <c r="P389" s="70"/>
    </row>
    <row r="390">
      <c r="A390" s="56" t="s">
        <v>4202</v>
      </c>
      <c r="B390" s="51">
        <v>3.0</v>
      </c>
      <c r="C390" s="51">
        <v>2.0</v>
      </c>
      <c r="D390" s="51" t="s">
        <v>426</v>
      </c>
      <c r="E390" s="51" t="s">
        <v>4204</v>
      </c>
      <c r="F390" s="51" t="s">
        <v>4206</v>
      </c>
      <c r="G390" s="56"/>
      <c r="H390" s="56"/>
      <c r="I390" s="56"/>
      <c r="J390" s="56"/>
      <c r="K390" s="56"/>
      <c r="L390" s="56"/>
      <c r="M390" s="56"/>
      <c r="N390" s="56"/>
      <c r="O390" s="56"/>
      <c r="P390" s="56"/>
    </row>
    <row r="391">
      <c r="A391" s="18" t="s">
        <v>4208</v>
      </c>
      <c r="B391" s="111"/>
      <c r="C391" s="25"/>
      <c r="D391" s="25"/>
      <c r="E391" s="25"/>
      <c r="F391" s="25"/>
      <c r="G391" s="25"/>
      <c r="H391" s="25"/>
      <c r="I391" s="25"/>
      <c r="J391" s="25"/>
      <c r="K391" s="25"/>
      <c r="L391" s="25"/>
      <c r="M391" s="25"/>
      <c r="N391" s="25"/>
      <c r="O391" s="25"/>
      <c r="P391" s="45"/>
    </row>
    <row r="392">
      <c r="A392" s="47" t="s">
        <v>4216</v>
      </c>
      <c r="B392" s="51">
        <v>6.0</v>
      </c>
      <c r="C392" s="56"/>
      <c r="D392" s="51" t="s">
        <v>4217</v>
      </c>
      <c r="E392" s="56"/>
      <c r="F392" s="56"/>
      <c r="G392" s="56"/>
      <c r="H392" s="56"/>
      <c r="I392" s="56"/>
      <c r="J392" s="56"/>
      <c r="K392" s="51">
        <v>2.0</v>
      </c>
      <c r="L392" s="56"/>
      <c r="M392" s="51"/>
      <c r="N392" s="51"/>
      <c r="O392" s="51"/>
      <c r="P392" s="51"/>
    </row>
    <row r="393">
      <c r="A393" s="70" t="s">
        <v>4222</v>
      </c>
      <c r="B393" s="63">
        <v>3.0</v>
      </c>
      <c r="C393" s="63"/>
      <c r="D393" s="63" t="s">
        <v>4223</v>
      </c>
      <c r="E393" s="63" t="s">
        <v>4224</v>
      </c>
      <c r="F393" s="63" t="s">
        <v>4225</v>
      </c>
      <c r="G393" s="70"/>
      <c r="H393" s="70"/>
      <c r="I393" s="70"/>
      <c r="J393" s="70"/>
      <c r="K393" s="63"/>
      <c r="L393" s="70"/>
      <c r="M393" s="63"/>
      <c r="N393" s="70"/>
      <c r="O393" s="63"/>
      <c r="P393" s="70"/>
    </row>
    <row r="394">
      <c r="A394" s="56" t="s">
        <v>4229</v>
      </c>
      <c r="B394" s="51">
        <v>1.0</v>
      </c>
      <c r="C394" s="51">
        <v>1.0</v>
      </c>
      <c r="D394" s="51"/>
      <c r="E394" s="51"/>
      <c r="F394" s="51"/>
      <c r="G394" s="56"/>
      <c r="H394" s="56"/>
      <c r="I394" s="56"/>
      <c r="J394" s="56"/>
      <c r="K394" s="56"/>
      <c r="L394" s="56"/>
      <c r="M394" s="56"/>
      <c r="N394" s="56"/>
      <c r="O394" s="56"/>
      <c r="P394" s="56"/>
    </row>
    <row r="395">
      <c r="A395" s="70" t="s">
        <v>2736</v>
      </c>
      <c r="B395" s="63">
        <v>6.0</v>
      </c>
      <c r="C395" s="70"/>
      <c r="D395" s="63" t="s">
        <v>4232</v>
      </c>
      <c r="E395" s="70"/>
      <c r="F395" s="70"/>
      <c r="G395" s="70"/>
      <c r="H395" s="70"/>
      <c r="I395" s="70"/>
      <c r="J395" s="70"/>
      <c r="K395" s="63"/>
      <c r="L395" s="63"/>
      <c r="M395" s="63"/>
      <c r="N395" s="63"/>
      <c r="O395" s="63"/>
      <c r="P395" s="63"/>
    </row>
    <row r="396">
      <c r="A396" s="18" t="s">
        <v>4236</v>
      </c>
      <c r="B396" s="111"/>
      <c r="C396" s="142"/>
      <c r="D396" s="142"/>
      <c r="E396" s="142"/>
      <c r="F396" s="142"/>
      <c r="G396" s="142"/>
      <c r="H396" s="142"/>
      <c r="I396" s="142"/>
      <c r="J396" s="142"/>
      <c r="K396" s="142"/>
      <c r="L396" s="142"/>
      <c r="M396" s="142"/>
      <c r="N396" s="142"/>
      <c r="O396" s="142"/>
      <c r="P396" s="145"/>
    </row>
    <row r="397">
      <c r="A397" s="70" t="s">
        <v>4243</v>
      </c>
      <c r="B397" s="63">
        <v>3.0</v>
      </c>
      <c r="C397" s="70"/>
      <c r="D397" s="63" t="s">
        <v>4244</v>
      </c>
      <c r="E397" s="63" t="s">
        <v>4245</v>
      </c>
      <c r="F397" s="70"/>
      <c r="G397" s="70"/>
      <c r="H397" s="70"/>
      <c r="I397" s="70"/>
      <c r="J397" s="70"/>
      <c r="K397" s="63"/>
      <c r="L397" s="63"/>
      <c r="M397" s="70"/>
      <c r="N397" s="70"/>
      <c r="O397" s="63"/>
      <c r="P397" s="70"/>
    </row>
    <row r="398">
      <c r="A398" s="56" t="s">
        <v>2295</v>
      </c>
      <c r="B398" s="51"/>
      <c r="C398" s="56"/>
      <c r="D398" s="51"/>
      <c r="E398" s="56"/>
      <c r="F398" s="56"/>
      <c r="G398" s="56"/>
      <c r="H398" s="56"/>
      <c r="I398" s="56"/>
      <c r="J398" s="56"/>
      <c r="K398" s="56"/>
      <c r="L398" s="56"/>
      <c r="M398" s="56"/>
      <c r="N398" s="56"/>
      <c r="O398" s="56"/>
      <c r="P398" s="56"/>
    </row>
    <row r="399">
      <c r="A399" s="70" t="s">
        <v>2303</v>
      </c>
      <c r="B399" s="63">
        <v>2.0</v>
      </c>
      <c r="C399" s="70"/>
      <c r="D399" s="63" t="s">
        <v>4253</v>
      </c>
      <c r="E399" s="63" t="s">
        <v>4254</v>
      </c>
      <c r="F399" s="70"/>
      <c r="G399" s="70"/>
      <c r="H399" s="70"/>
      <c r="I399" s="70"/>
      <c r="J399" s="70"/>
      <c r="K399" s="70"/>
      <c r="L399" s="70"/>
      <c r="M399" s="70"/>
      <c r="N399" s="70"/>
      <c r="O399" s="70"/>
      <c r="P399" s="70"/>
    </row>
    <row r="400">
      <c r="A400" s="56" t="s">
        <v>2263</v>
      </c>
      <c r="B400" s="51">
        <v>4.0</v>
      </c>
      <c r="C400" s="51">
        <v>2.0</v>
      </c>
      <c r="D400" s="51" t="s">
        <v>4257</v>
      </c>
      <c r="E400" s="51" t="s">
        <v>4258</v>
      </c>
      <c r="F400" s="51"/>
      <c r="G400" s="56"/>
      <c r="H400" s="56"/>
      <c r="I400" s="56"/>
      <c r="J400" s="56"/>
      <c r="K400" s="51"/>
      <c r="L400" s="56"/>
      <c r="M400" s="56"/>
      <c r="N400" s="56"/>
      <c r="O400" s="56"/>
      <c r="P400" s="56"/>
    </row>
    <row r="401">
      <c r="A401" s="18" t="s">
        <v>4265</v>
      </c>
      <c r="B401" s="111"/>
      <c r="C401" s="25"/>
      <c r="D401" s="25"/>
      <c r="E401" s="25"/>
      <c r="F401" s="25"/>
      <c r="G401" s="25"/>
      <c r="H401" s="25"/>
      <c r="I401" s="25"/>
      <c r="J401" s="25"/>
      <c r="K401" s="25"/>
      <c r="L401" s="25"/>
      <c r="M401" s="25"/>
      <c r="N401" s="25"/>
      <c r="O401" s="25"/>
      <c r="P401" s="45"/>
    </row>
    <row r="402">
      <c r="A402" s="56" t="s">
        <v>4272</v>
      </c>
      <c r="B402" s="51">
        <v>2.0</v>
      </c>
      <c r="C402" s="47"/>
      <c r="D402" s="51" t="s">
        <v>4275</v>
      </c>
      <c r="E402" s="47"/>
      <c r="F402" s="47"/>
      <c r="G402" s="47"/>
      <c r="H402" s="47"/>
      <c r="I402" s="47"/>
      <c r="J402" s="47"/>
      <c r="K402" s="56"/>
      <c r="L402" s="56"/>
      <c r="M402" s="56"/>
      <c r="N402" s="56"/>
      <c r="O402" s="56"/>
      <c r="P402" s="56"/>
    </row>
    <row r="403">
      <c r="A403" s="70" t="s">
        <v>4278</v>
      </c>
      <c r="B403" s="63">
        <v>3.0</v>
      </c>
      <c r="C403" s="70"/>
      <c r="D403" s="188" t="s">
        <v>4281</v>
      </c>
      <c r="E403" s="63"/>
      <c r="F403" s="70"/>
      <c r="G403" s="70"/>
      <c r="H403" s="70"/>
      <c r="I403" s="70"/>
      <c r="J403" s="70"/>
      <c r="K403" s="63">
        <v>1.0</v>
      </c>
      <c r="L403" s="70"/>
      <c r="M403" s="70"/>
      <c r="N403" s="70"/>
      <c r="O403" s="70"/>
      <c r="P403" s="70"/>
    </row>
    <row r="404">
      <c r="A404" s="56" t="s">
        <v>4284</v>
      </c>
      <c r="B404" s="51">
        <v>2.0</v>
      </c>
      <c r="C404" s="56"/>
      <c r="D404" s="51" t="s">
        <v>4286</v>
      </c>
      <c r="E404" s="51"/>
      <c r="F404" s="51"/>
      <c r="G404" s="56"/>
      <c r="H404" s="56"/>
      <c r="I404" s="56"/>
      <c r="J404" s="56"/>
      <c r="K404" s="51">
        <v>1.0</v>
      </c>
      <c r="L404" s="51" t="s">
        <v>4289</v>
      </c>
      <c r="M404" s="51" t="s">
        <v>195</v>
      </c>
      <c r="N404" s="51" t="s">
        <v>572</v>
      </c>
      <c r="O404" s="51" t="s">
        <v>69</v>
      </c>
      <c r="P404" s="56"/>
    </row>
  </sheetData>
  <autoFilter ref="$F$210"/>
  <mergeCells count="46">
    <mergeCell ref="A1:P1"/>
    <mergeCell ref="B3:P3"/>
    <mergeCell ref="B9:P9"/>
    <mergeCell ref="B18:P18"/>
    <mergeCell ref="B46:P46"/>
    <mergeCell ref="B52:P52"/>
    <mergeCell ref="B63:P63"/>
    <mergeCell ref="B66:P66"/>
    <mergeCell ref="B88:P88"/>
    <mergeCell ref="B97:P97"/>
    <mergeCell ref="B100:P100"/>
    <mergeCell ref="B115:P115"/>
    <mergeCell ref="B119:P119"/>
    <mergeCell ref="B123:P123"/>
    <mergeCell ref="B131:P131"/>
    <mergeCell ref="B137:P137"/>
    <mergeCell ref="B148:P148"/>
    <mergeCell ref="B156:P156"/>
    <mergeCell ref="B159:P159"/>
    <mergeCell ref="B185:P185"/>
    <mergeCell ref="B189:P189"/>
    <mergeCell ref="B195:P195"/>
    <mergeCell ref="B198:P198"/>
    <mergeCell ref="B200:P200"/>
    <mergeCell ref="B203:P203"/>
    <mergeCell ref="B207:P207"/>
    <mergeCell ref="B209:P209"/>
    <mergeCell ref="B223:P223"/>
    <mergeCell ref="B225:P225"/>
    <mergeCell ref="B265:P265"/>
    <mergeCell ref="B276:P276"/>
    <mergeCell ref="B278:P278"/>
    <mergeCell ref="B299:P299"/>
    <mergeCell ref="B303:P303"/>
    <mergeCell ref="B306:P306"/>
    <mergeCell ref="B385:P385"/>
    <mergeCell ref="B391:P391"/>
    <mergeCell ref="B396:P396"/>
    <mergeCell ref="B401:P401"/>
    <mergeCell ref="B333:P333"/>
    <mergeCell ref="B336:P336"/>
    <mergeCell ref="B338:P338"/>
    <mergeCell ref="B346:P346"/>
    <mergeCell ref="B348:P348"/>
    <mergeCell ref="B356:P356"/>
    <mergeCell ref="B381:P381"/>
  </mergeCells>
  <conditionalFormatting sqref="D125">
    <cfRule type="notContainsBlanks" dxfId="9" priority="1">
      <formula>LEN(TRIM(D125))&gt;0</formula>
    </cfRule>
  </conditionalFormatting>
  <conditionalFormatting sqref="D125">
    <cfRule type="expression" dxfId="10" priority="2">
      <formula>ISEVEN(ROW())</formula>
    </cfRule>
  </conditionalFormatting>
  <conditionalFormatting sqref="D125">
    <cfRule type="expression" dxfId="11" priority="3">
      <formula>ISODD(ROW())</formula>
    </cfRule>
  </conditionalFormatting>
  <conditionalFormatting sqref="K12">
    <cfRule type="colorScale" priority="4">
      <colorScale>
        <cfvo type="min"/>
        <cfvo type="max"/>
        <color rgb="FFFFFFFF"/>
        <color rgb="FF57BB8A"/>
      </colorScale>
    </cfRule>
  </conditionalFormatting>
  <dataValidations>
    <dataValidation type="list" allowBlank="1" showErrorMessage="1" sqref="K4:K8 K10:K13 H14:J14 K15:K17 K19:K45 K47:K51 K53:K58 K60:K62 K67:K87 K89:K96 K98:K99 K101:K114 K124:K126 K128:K130 K132 K134:K136 K138:K147 K149:K155 K158 K160:K184 K186:K188 K190:K192 K194 K196:K197 K199 K201:K202 K204:K206 K208 K210:K222 K224 K226:K264 K266:K275 K277 K279:K298 K300:K302 K304:K305 K307:K332 K334:K335 K337 K339:K345 K347 K349:K355 K357:K380 K382 K386:K390 K392:K395 K397:K400 K404">
      <formula1>"1,2,3,4,5"</formula1>
    </dataValidation>
  </dataValidations>
  <hyperlinks>
    <hyperlink r:id="rId1" ref="F144"/>
    <hyperlink r:id="rId2" ref="D168"/>
    <hyperlink r:id="rId3" ref="D228"/>
    <hyperlink r:id="rId4" ref="D230"/>
    <hyperlink r:id="rId5" ref="D237"/>
    <hyperlink r:id="rId6" ref="E290"/>
  </hyperlinks>
  <printOptions gridLines="1" horizontalCentered="1"/>
  <pageMargins bottom="0.75" footer="0.0" header="0.0" left="0.7" right="0.7" top="0.75"/>
  <pageSetup fitToHeight="0" paperSize="9" cellComments="atEnd" orientation="landscape" pageOrder="overThenDown"/>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4.5"/>
    <col customWidth="1" min="2" max="2" width="10.0"/>
    <col customWidth="1" min="3" max="3" width="6.5"/>
    <col customWidth="1" min="4" max="4" width="9.88"/>
    <col customWidth="1" min="5" max="5" width="11.0"/>
    <col customWidth="1" min="6" max="6" width="72.13"/>
    <col customWidth="1" min="7" max="7" width="63.0"/>
    <col customWidth="1" min="8" max="8" width="49.63"/>
    <col customWidth="1" min="9" max="13" width="51.38"/>
  </cols>
  <sheetData>
    <row r="1" ht="43.5" customHeight="1">
      <c r="A1" s="15"/>
      <c r="B1" s="24" t="s">
        <v>19</v>
      </c>
      <c r="C1" s="24" t="s">
        <v>25</v>
      </c>
      <c r="D1" s="27" t="s">
        <v>26</v>
      </c>
      <c r="E1" s="30" t="s">
        <v>28</v>
      </c>
      <c r="F1" s="31"/>
      <c r="M1" s="33"/>
    </row>
    <row r="2" ht="102.75" customHeight="1">
      <c r="A2" s="37" t="s">
        <v>31</v>
      </c>
      <c r="B2" s="39" t="s">
        <v>33</v>
      </c>
      <c r="C2" s="41" t="s">
        <v>34</v>
      </c>
      <c r="D2" s="43">
        <v>3.0</v>
      </c>
      <c r="E2" s="43">
        <v>5.0</v>
      </c>
      <c r="F2" s="46" t="s">
        <v>36</v>
      </c>
      <c r="G2" s="49" t="s">
        <v>38</v>
      </c>
      <c r="H2" s="49" t="s">
        <v>41</v>
      </c>
      <c r="I2" s="53"/>
      <c r="J2" s="53"/>
      <c r="K2" s="53"/>
      <c r="L2" s="53"/>
      <c r="M2" s="53"/>
    </row>
    <row r="3">
      <c r="A3" s="37"/>
      <c r="B3" s="55" t="s">
        <v>46</v>
      </c>
      <c r="C3" s="41" t="s">
        <v>34</v>
      </c>
      <c r="D3" s="27"/>
      <c r="E3" s="57"/>
      <c r="F3" s="57"/>
      <c r="G3" s="53"/>
      <c r="H3" s="53"/>
      <c r="I3" s="53"/>
      <c r="J3" s="53"/>
      <c r="K3" s="53"/>
      <c r="L3" s="53"/>
      <c r="M3" s="53"/>
    </row>
    <row r="4">
      <c r="A4" s="37" t="s">
        <v>47</v>
      </c>
      <c r="B4" s="55" t="s">
        <v>33</v>
      </c>
      <c r="C4" s="60" t="s">
        <v>48</v>
      </c>
      <c r="D4" s="27"/>
      <c r="E4" s="27"/>
      <c r="F4" s="57"/>
      <c r="G4" s="49"/>
      <c r="H4" s="53"/>
      <c r="I4" s="53"/>
      <c r="J4" s="53"/>
      <c r="K4" s="53"/>
      <c r="L4" s="53"/>
      <c r="M4" s="53"/>
    </row>
    <row r="5">
      <c r="A5" s="37" t="s">
        <v>52</v>
      </c>
      <c r="B5" s="39" t="s">
        <v>53</v>
      </c>
      <c r="C5" s="41" t="s">
        <v>54</v>
      </c>
      <c r="D5" s="27"/>
      <c r="E5" s="57"/>
      <c r="F5" s="46"/>
      <c r="G5" s="53"/>
      <c r="H5" s="62"/>
      <c r="I5" s="53"/>
      <c r="J5" s="53"/>
      <c r="K5" s="53"/>
      <c r="L5" s="53"/>
      <c r="M5" s="53"/>
    </row>
    <row r="6">
      <c r="A6" s="64" t="s">
        <v>55</v>
      </c>
      <c r="B6" s="65" t="s">
        <v>56</v>
      </c>
      <c r="C6" s="67" t="s">
        <v>57</v>
      </c>
      <c r="D6" s="62"/>
      <c r="E6" s="62"/>
      <c r="F6" s="69"/>
      <c r="G6" s="53"/>
      <c r="H6" s="53"/>
      <c r="I6" s="53"/>
      <c r="J6" s="53"/>
      <c r="K6" s="53"/>
      <c r="L6" s="53"/>
      <c r="M6" s="53"/>
    </row>
    <row r="7">
      <c r="A7" s="64" t="s">
        <v>59</v>
      </c>
      <c r="B7" s="65" t="s">
        <v>61</v>
      </c>
      <c r="C7" s="67" t="s">
        <v>57</v>
      </c>
      <c r="D7" s="62"/>
      <c r="E7" s="43">
        <v>1.0</v>
      </c>
      <c r="F7" s="69"/>
      <c r="G7" s="53"/>
      <c r="H7" s="53"/>
      <c r="I7" s="53"/>
      <c r="J7" s="53"/>
      <c r="K7" s="53"/>
      <c r="L7" s="53"/>
      <c r="M7" s="53"/>
    </row>
    <row r="8">
      <c r="A8" s="75" t="s">
        <v>64</v>
      </c>
      <c r="B8" s="77"/>
      <c r="C8" s="78" t="s">
        <v>57</v>
      </c>
      <c r="D8" s="62"/>
      <c r="E8" s="62"/>
      <c r="F8" s="80"/>
      <c r="G8" s="53"/>
      <c r="H8" s="53"/>
      <c r="I8" s="53"/>
      <c r="J8" s="53"/>
      <c r="K8" s="53"/>
      <c r="L8" s="53"/>
      <c r="M8" s="53"/>
    </row>
    <row r="9">
      <c r="A9" s="82" t="s">
        <v>74</v>
      </c>
      <c r="B9" s="39" t="s">
        <v>77</v>
      </c>
      <c r="C9" s="41" t="s">
        <v>57</v>
      </c>
      <c r="D9" s="27">
        <v>1.0</v>
      </c>
      <c r="E9" s="86">
        <v>3.0</v>
      </c>
      <c r="F9" s="46"/>
      <c r="G9" s="49" t="s">
        <v>79</v>
      </c>
      <c r="H9" s="49" t="s">
        <v>82</v>
      </c>
      <c r="I9" s="49" t="s">
        <v>83</v>
      </c>
      <c r="J9" s="53"/>
      <c r="K9" s="53"/>
      <c r="L9" s="53"/>
      <c r="M9" s="53"/>
    </row>
    <row r="10">
      <c r="A10" s="82" t="s">
        <v>85</v>
      </c>
      <c r="B10" s="87" t="s">
        <v>77</v>
      </c>
      <c r="C10" s="89" t="s">
        <v>57</v>
      </c>
      <c r="D10" s="90">
        <v>1.0</v>
      </c>
      <c r="E10" s="92"/>
      <c r="F10" s="46" t="s">
        <v>93</v>
      </c>
      <c r="G10" s="93"/>
      <c r="H10" s="49"/>
      <c r="I10" s="53"/>
      <c r="J10" s="53"/>
      <c r="K10" s="53"/>
      <c r="L10" s="53"/>
      <c r="M10" s="53"/>
    </row>
    <row r="11">
      <c r="A11" s="82" t="s">
        <v>95</v>
      </c>
      <c r="B11" s="39" t="s">
        <v>77</v>
      </c>
      <c r="C11" s="41" t="s">
        <v>57</v>
      </c>
      <c r="D11" s="97"/>
      <c r="E11" s="86"/>
      <c r="F11" s="46"/>
      <c r="G11" s="53"/>
      <c r="H11" s="53"/>
      <c r="I11" s="53"/>
      <c r="J11" s="53"/>
      <c r="K11" s="53"/>
      <c r="L11" s="53"/>
      <c r="M11" s="53"/>
    </row>
    <row r="12">
      <c r="A12" s="82" t="s">
        <v>100</v>
      </c>
      <c r="B12" s="39" t="s">
        <v>102</v>
      </c>
      <c r="C12" s="41" t="s">
        <v>57</v>
      </c>
      <c r="D12" s="27">
        <v>3.0</v>
      </c>
      <c r="E12" s="86">
        <v>1.0</v>
      </c>
      <c r="F12" s="101" t="s">
        <v>104</v>
      </c>
      <c r="G12" s="102"/>
      <c r="H12" s="53"/>
      <c r="I12" s="53"/>
      <c r="J12" s="53"/>
      <c r="K12" s="53"/>
      <c r="L12" s="53"/>
      <c r="M12" s="53"/>
    </row>
    <row r="13">
      <c r="A13" s="103" t="s">
        <v>109</v>
      </c>
      <c r="B13" s="55" t="s">
        <v>111</v>
      </c>
      <c r="C13" s="60" t="s">
        <v>114</v>
      </c>
      <c r="D13" s="62"/>
      <c r="E13" s="62"/>
      <c r="F13" s="46"/>
      <c r="G13" s="53"/>
      <c r="I13" s="53"/>
      <c r="J13" s="53"/>
      <c r="K13" s="53"/>
      <c r="L13" s="53"/>
      <c r="M13" s="53"/>
    </row>
    <row r="14">
      <c r="A14" s="103" t="s">
        <v>115</v>
      </c>
      <c r="B14" s="55" t="s">
        <v>116</v>
      </c>
      <c r="C14" s="60" t="s">
        <v>114</v>
      </c>
      <c r="D14" s="62"/>
      <c r="E14" s="62"/>
      <c r="F14" s="46"/>
      <c r="G14" s="53"/>
      <c r="H14" s="53"/>
      <c r="I14" s="53"/>
      <c r="J14" s="53"/>
      <c r="K14" s="53"/>
      <c r="L14" s="53"/>
      <c r="M14" s="53"/>
    </row>
    <row r="15">
      <c r="A15" s="103" t="s">
        <v>118</v>
      </c>
      <c r="B15" s="55" t="s">
        <v>121</v>
      </c>
      <c r="C15" s="60" t="s">
        <v>114</v>
      </c>
      <c r="D15" s="62"/>
      <c r="E15" s="62"/>
      <c r="F15" s="46"/>
      <c r="G15" s="53"/>
      <c r="H15" s="53"/>
      <c r="I15" s="53"/>
      <c r="J15" s="53"/>
      <c r="K15" s="53"/>
      <c r="L15" s="53"/>
      <c r="M15" s="53"/>
    </row>
    <row r="16">
      <c r="A16" s="103" t="s">
        <v>126</v>
      </c>
      <c r="B16" s="55" t="s">
        <v>127</v>
      </c>
      <c r="C16" s="60" t="s">
        <v>114</v>
      </c>
      <c r="D16" s="62"/>
      <c r="E16" s="62"/>
      <c r="F16" s="46"/>
      <c r="G16" s="53"/>
      <c r="H16" s="53"/>
      <c r="I16" s="53"/>
      <c r="J16" s="53"/>
      <c r="K16" s="53"/>
      <c r="L16" s="53"/>
      <c r="M16" s="53"/>
    </row>
    <row r="17">
      <c r="A17" s="103" t="s">
        <v>130</v>
      </c>
      <c r="B17" s="55" t="s">
        <v>133</v>
      </c>
      <c r="C17" s="60" t="s">
        <v>114</v>
      </c>
      <c r="D17" s="62"/>
      <c r="E17" s="62"/>
      <c r="F17" s="46"/>
      <c r="G17" s="53"/>
      <c r="H17" s="53"/>
      <c r="I17" s="53"/>
      <c r="J17" s="53"/>
      <c r="K17" s="53"/>
      <c r="L17" s="53"/>
      <c r="M17" s="53"/>
    </row>
    <row r="18">
      <c r="A18" s="103" t="s">
        <v>130</v>
      </c>
      <c r="B18" s="55" t="s">
        <v>133</v>
      </c>
      <c r="C18" s="60" t="s">
        <v>114</v>
      </c>
      <c r="D18" s="62"/>
      <c r="E18" s="62"/>
      <c r="F18" s="46"/>
      <c r="G18" s="53"/>
      <c r="H18" s="53"/>
      <c r="I18" s="53"/>
      <c r="J18" s="53"/>
      <c r="K18" s="53"/>
      <c r="L18" s="53"/>
      <c r="M18" s="53"/>
    </row>
    <row r="19">
      <c r="A19" s="82" t="s">
        <v>137</v>
      </c>
      <c r="B19" s="87" t="s">
        <v>138</v>
      </c>
      <c r="C19" s="114" t="s">
        <v>114</v>
      </c>
      <c r="D19" s="43">
        <v>4.0</v>
      </c>
      <c r="E19" s="43">
        <v>4.0</v>
      </c>
      <c r="F19" s="46" t="s">
        <v>143</v>
      </c>
      <c r="G19" s="100" t="s">
        <v>144</v>
      </c>
      <c r="H19" s="81" t="s">
        <v>146</v>
      </c>
      <c r="I19" s="116" t="s">
        <v>149</v>
      </c>
      <c r="J19" s="116"/>
      <c r="K19" s="116"/>
      <c r="L19" s="116"/>
      <c r="M19" s="116"/>
    </row>
    <row r="20">
      <c r="A20" s="82" t="s">
        <v>154</v>
      </c>
      <c r="B20" s="87" t="s">
        <v>77</v>
      </c>
      <c r="C20" s="114" t="s">
        <v>57</v>
      </c>
      <c r="D20" s="43">
        <v>2.0</v>
      </c>
      <c r="E20" s="62"/>
      <c r="G20" s="53"/>
      <c r="H20" s="53"/>
      <c r="I20" s="53"/>
      <c r="J20" s="53"/>
      <c r="K20" s="53"/>
      <c r="L20" s="53"/>
      <c r="M20" s="53"/>
    </row>
    <row r="21">
      <c r="A21" s="82" t="s">
        <v>156</v>
      </c>
      <c r="B21" s="39" t="s">
        <v>133</v>
      </c>
      <c r="C21" s="41" t="s">
        <v>114</v>
      </c>
      <c r="D21" s="97"/>
      <c r="E21" s="57"/>
      <c r="F21" s="69"/>
      <c r="G21" s="53"/>
      <c r="H21" s="53"/>
      <c r="I21" s="53"/>
      <c r="J21" s="53"/>
      <c r="K21" s="53"/>
      <c r="L21" s="53"/>
      <c r="M21" s="53"/>
    </row>
    <row r="22">
      <c r="A22" s="37" t="s">
        <v>160</v>
      </c>
      <c r="B22" s="87" t="s">
        <v>161</v>
      </c>
      <c r="C22" s="114" t="s">
        <v>114</v>
      </c>
      <c r="D22" s="97"/>
      <c r="E22" s="86">
        <v>1.0</v>
      </c>
      <c r="F22" s="46" t="s">
        <v>165</v>
      </c>
      <c r="G22" s="53"/>
      <c r="H22" s="53"/>
      <c r="I22" s="53"/>
      <c r="J22" s="53"/>
      <c r="K22" s="53"/>
      <c r="L22" s="53"/>
      <c r="M22" s="53"/>
    </row>
    <row r="23" ht="22.5" customHeight="1">
      <c r="A23" s="82" t="s">
        <v>169</v>
      </c>
      <c r="B23" s="39" t="s">
        <v>171</v>
      </c>
      <c r="C23" s="41" t="s">
        <v>114</v>
      </c>
      <c r="D23" s="97"/>
      <c r="E23" s="57"/>
      <c r="F23" s="69"/>
      <c r="G23" s="53"/>
      <c r="H23" s="53"/>
      <c r="I23" s="53"/>
      <c r="J23" s="53"/>
      <c r="K23" s="53"/>
      <c r="L23" s="53"/>
      <c r="M23" s="53"/>
    </row>
    <row r="24">
      <c r="A24" s="82" t="s">
        <v>174</v>
      </c>
      <c r="B24" s="87" t="s">
        <v>175</v>
      </c>
      <c r="C24" s="114" t="s">
        <v>114</v>
      </c>
      <c r="E24" s="86">
        <v>4.0</v>
      </c>
      <c r="F24" s="122" t="s">
        <v>181</v>
      </c>
      <c r="G24" s="49" t="s">
        <v>183</v>
      </c>
      <c r="H24" s="49" t="s">
        <v>185</v>
      </c>
      <c r="I24" s="49" t="s">
        <v>186</v>
      </c>
      <c r="J24" s="49" t="s">
        <v>189</v>
      </c>
      <c r="K24" s="53"/>
      <c r="L24" s="53"/>
      <c r="M24" s="53"/>
    </row>
    <row r="25">
      <c r="A25" s="82" t="s">
        <v>191</v>
      </c>
      <c r="B25" s="55" t="s">
        <v>194</v>
      </c>
      <c r="C25" s="114" t="s">
        <v>114</v>
      </c>
      <c r="D25" s="27">
        <v>1.0</v>
      </c>
      <c r="E25" s="86">
        <v>3.0</v>
      </c>
      <c r="F25" s="46"/>
      <c r="G25" s="53"/>
      <c r="H25" s="53"/>
      <c r="I25" s="53"/>
      <c r="J25" s="53"/>
      <c r="K25" s="53"/>
      <c r="L25" s="53"/>
      <c r="M25" s="53"/>
    </row>
    <row r="26">
      <c r="A26" s="37" t="s">
        <v>200</v>
      </c>
      <c r="B26" s="55" t="s">
        <v>202</v>
      </c>
      <c r="C26" s="41" t="s">
        <v>114</v>
      </c>
      <c r="D26" s="97"/>
      <c r="E26" s="57"/>
      <c r="F26" s="69"/>
      <c r="G26" s="53"/>
      <c r="H26" s="53"/>
      <c r="I26" s="53"/>
      <c r="J26" s="53"/>
      <c r="K26" s="53"/>
      <c r="L26" s="53"/>
      <c r="M26" s="53"/>
    </row>
    <row r="27">
      <c r="A27" s="82" t="s">
        <v>207</v>
      </c>
      <c r="B27" s="125" t="s">
        <v>209</v>
      </c>
      <c r="C27" s="127" t="s">
        <v>114</v>
      </c>
      <c r="D27" s="128"/>
      <c r="E27" s="129"/>
      <c r="F27" s="69"/>
      <c r="G27" s="53"/>
      <c r="H27" s="53"/>
      <c r="I27" s="53"/>
      <c r="J27" s="53"/>
      <c r="K27" s="53"/>
      <c r="L27" s="53"/>
      <c r="M27" s="53"/>
    </row>
    <row r="28">
      <c r="A28" s="37" t="s">
        <v>211</v>
      </c>
      <c r="B28" s="87" t="s">
        <v>212</v>
      </c>
      <c r="C28" s="114" t="s">
        <v>114</v>
      </c>
      <c r="D28" s="27">
        <v>2.0</v>
      </c>
      <c r="E28" s="86">
        <v>1.0</v>
      </c>
      <c r="F28" s="46"/>
      <c r="G28" s="53"/>
      <c r="H28" s="53"/>
      <c r="I28" s="53"/>
      <c r="J28" s="53"/>
      <c r="K28" s="53"/>
      <c r="L28" s="53"/>
      <c r="M28" s="53"/>
    </row>
    <row r="29">
      <c r="A29" s="82" t="s">
        <v>215</v>
      </c>
      <c r="B29" s="39" t="s">
        <v>217</v>
      </c>
      <c r="C29" s="41" t="s">
        <v>114</v>
      </c>
      <c r="D29" s="27">
        <v>1.0</v>
      </c>
      <c r="E29" s="57"/>
      <c r="F29" s="46"/>
      <c r="G29" s="53"/>
      <c r="H29" s="53"/>
      <c r="I29" s="53"/>
      <c r="J29" s="53"/>
      <c r="K29" s="53"/>
      <c r="L29" s="53"/>
      <c r="M29" s="53"/>
    </row>
    <row r="30">
      <c r="A30" s="82" t="s">
        <v>221</v>
      </c>
      <c r="B30" s="87" t="s">
        <v>157</v>
      </c>
      <c r="C30" s="114" t="s">
        <v>114</v>
      </c>
      <c r="D30" s="27"/>
      <c r="E30" s="86"/>
      <c r="F30" s="46" t="s">
        <v>223</v>
      </c>
      <c r="G30" s="49" t="s">
        <v>225</v>
      </c>
      <c r="H30" s="53"/>
      <c r="I30" s="53"/>
      <c r="J30" s="53"/>
      <c r="K30" s="53"/>
      <c r="L30" s="53"/>
      <c r="M30" s="53"/>
    </row>
    <row r="31">
      <c r="A31" s="133" t="s">
        <v>229</v>
      </c>
      <c r="B31" s="55" t="s">
        <v>231</v>
      </c>
      <c r="C31" s="60" t="s">
        <v>114</v>
      </c>
      <c r="D31" s="134"/>
      <c r="F31" s="69"/>
      <c r="G31" s="53"/>
      <c r="H31" s="53"/>
      <c r="I31" s="53"/>
      <c r="J31" s="53"/>
      <c r="K31" s="53"/>
      <c r="L31" s="53"/>
      <c r="M31" s="53"/>
    </row>
    <row r="32">
      <c r="A32" s="82" t="s">
        <v>236</v>
      </c>
      <c r="B32" s="87" t="s">
        <v>237</v>
      </c>
      <c r="C32" s="114" t="s">
        <v>114</v>
      </c>
      <c r="D32" s="27">
        <v>1.0</v>
      </c>
      <c r="E32" s="86">
        <v>2.0</v>
      </c>
      <c r="G32" s="49" t="s">
        <v>239</v>
      </c>
      <c r="H32" s="53"/>
      <c r="I32" s="53"/>
      <c r="J32" s="53"/>
      <c r="K32" s="53"/>
      <c r="L32" s="53"/>
      <c r="M32" s="53"/>
    </row>
    <row r="33">
      <c r="A33" s="82" t="s">
        <v>243</v>
      </c>
      <c r="B33" s="39" t="s">
        <v>244</v>
      </c>
      <c r="C33" s="41" t="s">
        <v>114</v>
      </c>
      <c r="D33" s="27">
        <v>2.0</v>
      </c>
      <c r="E33" s="86"/>
      <c r="F33" s="46" t="s">
        <v>245</v>
      </c>
      <c r="G33" s="49" t="s">
        <v>246</v>
      </c>
      <c r="H33" s="49"/>
      <c r="I33" s="53"/>
      <c r="J33" s="53"/>
      <c r="K33" s="53"/>
      <c r="L33" s="53"/>
      <c r="M33" s="53"/>
    </row>
    <row r="34">
      <c r="A34" s="82" t="s">
        <v>249</v>
      </c>
      <c r="B34" s="87" t="s">
        <v>250</v>
      </c>
      <c r="C34" s="114" t="s">
        <v>114</v>
      </c>
      <c r="D34" s="27">
        <v>1.0</v>
      </c>
      <c r="E34" s="86"/>
      <c r="F34" s="46" t="s">
        <v>251</v>
      </c>
      <c r="G34" s="49"/>
      <c r="H34" s="53"/>
      <c r="I34" s="53"/>
      <c r="J34" s="53"/>
      <c r="K34" s="53"/>
      <c r="L34" s="53"/>
      <c r="M34" s="53"/>
    </row>
    <row r="35">
      <c r="A35" s="82"/>
      <c r="B35" s="39"/>
      <c r="C35" s="41"/>
      <c r="D35" s="27"/>
      <c r="E35" s="86"/>
      <c r="F35" s="46"/>
      <c r="G35" s="49"/>
      <c r="H35" s="49"/>
      <c r="I35" s="49"/>
      <c r="J35" s="53"/>
      <c r="K35" s="53"/>
      <c r="L35" s="53"/>
      <c r="M35" s="53"/>
    </row>
    <row r="36">
      <c r="A36" s="82" t="s">
        <v>255</v>
      </c>
      <c r="B36" s="87" t="s">
        <v>257</v>
      </c>
      <c r="C36" s="114" t="s">
        <v>114</v>
      </c>
      <c r="D36" s="27">
        <v>1.0</v>
      </c>
      <c r="E36" s="57"/>
      <c r="F36" s="46" t="s">
        <v>259</v>
      </c>
      <c r="G36" s="53"/>
      <c r="H36" s="53"/>
      <c r="I36" s="53"/>
      <c r="J36" s="53"/>
      <c r="K36" s="53"/>
      <c r="L36" s="53"/>
      <c r="M36" s="53"/>
    </row>
    <row r="37">
      <c r="A37" s="82" t="s">
        <v>262</v>
      </c>
      <c r="B37" s="87" t="s">
        <v>263</v>
      </c>
      <c r="C37" s="114" t="s">
        <v>114</v>
      </c>
      <c r="D37" s="27">
        <v>1.0</v>
      </c>
      <c r="E37" s="57"/>
      <c r="F37" s="46" t="s">
        <v>267</v>
      </c>
      <c r="G37" s="49" t="s">
        <v>270</v>
      </c>
      <c r="H37" s="53"/>
      <c r="I37" s="53"/>
      <c r="J37" s="53"/>
      <c r="K37" s="53"/>
      <c r="L37" s="53"/>
      <c r="M37" s="53"/>
    </row>
    <row r="38">
      <c r="A38" s="82" t="s">
        <v>272</v>
      </c>
      <c r="B38" s="87" t="s">
        <v>161</v>
      </c>
      <c r="C38" s="114" t="s">
        <v>114</v>
      </c>
      <c r="D38" s="27">
        <v>3.0</v>
      </c>
      <c r="E38" s="86"/>
      <c r="G38" s="49"/>
      <c r="H38" s="53"/>
      <c r="I38" s="53"/>
      <c r="J38" s="53"/>
      <c r="K38" s="53"/>
      <c r="L38" s="53"/>
      <c r="M38" s="53"/>
    </row>
    <row r="39">
      <c r="A39" s="82" t="s">
        <v>293</v>
      </c>
      <c r="B39" s="87" t="s">
        <v>294</v>
      </c>
      <c r="C39" s="114" t="s">
        <v>114</v>
      </c>
      <c r="D39" s="27">
        <v>2.0</v>
      </c>
      <c r="E39" s="86"/>
      <c r="F39" s="46" t="s">
        <v>295</v>
      </c>
      <c r="G39" s="53"/>
      <c r="I39" s="53"/>
      <c r="J39" s="53"/>
      <c r="K39" s="53"/>
      <c r="L39" s="53"/>
      <c r="M39" s="53"/>
    </row>
    <row r="40">
      <c r="A40" s="82" t="s">
        <v>299</v>
      </c>
      <c r="B40" s="87" t="s">
        <v>161</v>
      </c>
      <c r="C40" s="114" t="s">
        <v>114</v>
      </c>
      <c r="D40" s="27">
        <v>2.0</v>
      </c>
      <c r="E40" s="146"/>
      <c r="F40" s="46" t="s">
        <v>303</v>
      </c>
      <c r="G40" s="53"/>
      <c r="H40" s="53"/>
      <c r="I40" s="53"/>
      <c r="J40" s="53"/>
      <c r="K40" s="53"/>
      <c r="L40" s="53"/>
      <c r="M40" s="53"/>
    </row>
    <row r="41">
      <c r="A41" s="37" t="s">
        <v>304</v>
      </c>
      <c r="B41" s="55" t="s">
        <v>306</v>
      </c>
      <c r="C41" s="60" t="s">
        <v>114</v>
      </c>
      <c r="D41" s="27">
        <v>1.0</v>
      </c>
      <c r="E41" s="43"/>
      <c r="F41" s="46" t="s">
        <v>307</v>
      </c>
      <c r="G41" s="49" t="s">
        <v>308</v>
      </c>
      <c r="H41" s="53"/>
      <c r="I41" s="46" t="s">
        <v>310</v>
      </c>
      <c r="J41" s="53"/>
      <c r="K41" s="53"/>
      <c r="L41" s="53"/>
      <c r="M41" s="53"/>
    </row>
    <row r="42">
      <c r="A42" s="82" t="s">
        <v>314</v>
      </c>
      <c r="B42" s="39" t="s">
        <v>315</v>
      </c>
      <c r="C42" s="41" t="s">
        <v>316</v>
      </c>
      <c r="D42" s="27"/>
      <c r="E42" s="43"/>
      <c r="F42" s="46" t="s">
        <v>318</v>
      </c>
      <c r="G42" s="53"/>
      <c r="H42" s="53"/>
      <c r="I42" s="53"/>
      <c r="J42" s="53"/>
      <c r="K42" s="53"/>
      <c r="L42" s="53"/>
      <c r="M42" s="53"/>
    </row>
    <row r="43">
      <c r="A43" s="82" t="s">
        <v>320</v>
      </c>
      <c r="B43" s="55" t="s">
        <v>321</v>
      </c>
      <c r="C43" s="60" t="s">
        <v>316</v>
      </c>
      <c r="D43" s="27">
        <v>1.0</v>
      </c>
      <c r="E43" s="86">
        <v>1.0</v>
      </c>
      <c r="F43" s="46" t="s">
        <v>322</v>
      </c>
      <c r="G43" s="49" t="s">
        <v>324</v>
      </c>
      <c r="H43" s="53"/>
      <c r="I43" s="53"/>
      <c r="J43" s="53"/>
      <c r="K43" s="53"/>
      <c r="L43" s="53"/>
      <c r="M43" s="53"/>
    </row>
    <row r="44">
      <c r="A44" s="82" t="s">
        <v>326</v>
      </c>
      <c r="B44" s="39" t="s">
        <v>329</v>
      </c>
      <c r="C44" s="41" t="s">
        <v>316</v>
      </c>
      <c r="D44" s="97"/>
      <c r="E44" s="57"/>
      <c r="F44" s="69"/>
      <c r="G44" s="49"/>
      <c r="H44" s="53"/>
      <c r="I44" s="53"/>
      <c r="J44" s="53"/>
      <c r="K44" s="53"/>
      <c r="L44" s="53"/>
      <c r="M44" s="53"/>
    </row>
    <row r="45">
      <c r="A45" s="82" t="s">
        <v>332</v>
      </c>
      <c r="B45" s="39" t="s">
        <v>333</v>
      </c>
      <c r="C45" s="41" t="s">
        <v>316</v>
      </c>
      <c r="D45" s="27">
        <v>1.0</v>
      </c>
      <c r="E45" s="86">
        <v>2.0</v>
      </c>
      <c r="F45" s="46" t="s">
        <v>334</v>
      </c>
      <c r="G45" s="150" t="s">
        <v>337</v>
      </c>
      <c r="H45" s="49" t="s">
        <v>349</v>
      </c>
      <c r="I45" s="49"/>
      <c r="J45" s="53"/>
      <c r="K45" s="53"/>
      <c r="L45" s="53"/>
      <c r="M45" s="53"/>
    </row>
    <row r="46">
      <c r="A46" s="82" t="s">
        <v>353</v>
      </c>
      <c r="B46" s="39" t="s">
        <v>354</v>
      </c>
      <c r="C46" s="41" t="s">
        <v>316</v>
      </c>
      <c r="D46" s="27">
        <v>6.0</v>
      </c>
      <c r="E46" s="86">
        <v>1.0</v>
      </c>
      <c r="F46" s="46" t="s">
        <v>114</v>
      </c>
      <c r="G46" s="152" t="s">
        <v>356</v>
      </c>
      <c r="H46" s="49" t="s">
        <v>357</v>
      </c>
      <c r="I46" s="49" t="s">
        <v>358</v>
      </c>
      <c r="J46" s="49" t="s">
        <v>359</v>
      </c>
      <c r="K46" s="102" t="s">
        <v>361</v>
      </c>
      <c r="L46" s="49"/>
      <c r="M46" s="49"/>
    </row>
    <row r="47">
      <c r="A47" s="82" t="s">
        <v>364</v>
      </c>
      <c r="B47" s="87" t="s">
        <v>364</v>
      </c>
      <c r="C47" s="114" t="s">
        <v>366</v>
      </c>
      <c r="D47" s="43"/>
      <c r="E47" s="62"/>
      <c r="F47" s="46"/>
      <c r="G47" s="53"/>
      <c r="H47" s="53"/>
      <c r="I47" s="53"/>
      <c r="J47" s="53"/>
      <c r="K47" s="53"/>
      <c r="L47" s="53"/>
      <c r="M47" s="53"/>
    </row>
    <row r="48">
      <c r="A48" s="82" t="s">
        <v>370</v>
      </c>
      <c r="B48" s="87" t="s">
        <v>371</v>
      </c>
      <c r="C48" s="114" t="s">
        <v>366</v>
      </c>
      <c r="D48" s="97"/>
      <c r="E48" s="57"/>
      <c r="F48" s="69"/>
      <c r="G48" s="53"/>
      <c r="H48" s="53"/>
      <c r="I48" s="53"/>
      <c r="J48" s="53"/>
      <c r="K48" s="53"/>
      <c r="L48" s="53"/>
      <c r="M48" s="53"/>
    </row>
    <row r="49">
      <c r="A49" s="82" t="s">
        <v>373</v>
      </c>
      <c r="B49" s="87" t="s">
        <v>374</v>
      </c>
      <c r="C49" s="114" t="s">
        <v>366</v>
      </c>
      <c r="D49" s="97"/>
      <c r="E49" s="57"/>
      <c r="F49" s="69"/>
      <c r="G49" s="53"/>
      <c r="H49" s="53"/>
      <c r="I49" s="53"/>
      <c r="J49" s="53"/>
      <c r="K49" s="53"/>
      <c r="L49" s="53"/>
      <c r="M49" s="53"/>
    </row>
    <row r="50">
      <c r="A50" s="82" t="s">
        <v>378</v>
      </c>
      <c r="B50" s="39" t="s">
        <v>379</v>
      </c>
      <c r="C50" s="41" t="s">
        <v>366</v>
      </c>
      <c r="D50" s="27">
        <v>3.0</v>
      </c>
      <c r="E50" s="57"/>
      <c r="F50" s="46" t="s">
        <v>382</v>
      </c>
      <c r="G50" s="49" t="s">
        <v>383</v>
      </c>
      <c r="H50" s="53"/>
      <c r="I50" s="53"/>
      <c r="J50" s="53"/>
      <c r="K50" s="53"/>
      <c r="L50" s="53"/>
      <c r="M50" s="53"/>
    </row>
    <row r="51">
      <c r="A51" s="82" t="s">
        <v>387</v>
      </c>
      <c r="B51" s="87" t="s">
        <v>371</v>
      </c>
      <c r="C51" s="114" t="s">
        <v>366</v>
      </c>
      <c r="D51" s="97"/>
      <c r="E51" s="57"/>
      <c r="F51" s="69"/>
      <c r="G51" s="53"/>
      <c r="H51" s="53"/>
      <c r="I51" s="53"/>
      <c r="J51" s="53"/>
      <c r="K51" s="53"/>
      <c r="L51" s="53"/>
      <c r="M51" s="53"/>
    </row>
    <row r="52">
      <c r="A52" s="37" t="s">
        <v>390</v>
      </c>
      <c r="B52" s="39" t="s">
        <v>391</v>
      </c>
      <c r="C52" s="41" t="s">
        <v>366</v>
      </c>
      <c r="D52" s="43">
        <v>1.0</v>
      </c>
      <c r="E52" s="153">
        <v>1.0</v>
      </c>
      <c r="F52" s="46" t="s">
        <v>392</v>
      </c>
      <c r="G52" s="49" t="s">
        <v>393</v>
      </c>
      <c r="H52" s="49"/>
      <c r="I52" s="53"/>
      <c r="J52" s="53"/>
      <c r="K52" s="53"/>
      <c r="L52" s="53"/>
      <c r="M52" s="53"/>
    </row>
    <row r="53">
      <c r="A53" s="82" t="s">
        <v>398</v>
      </c>
      <c r="B53" s="39" t="s">
        <v>399</v>
      </c>
      <c r="C53" s="41" t="s">
        <v>402</v>
      </c>
      <c r="D53" s="43">
        <v>1.0</v>
      </c>
      <c r="E53" s="43">
        <v>1.0</v>
      </c>
      <c r="F53" s="155" t="s">
        <v>404</v>
      </c>
      <c r="G53" s="49" t="s">
        <v>408</v>
      </c>
      <c r="H53" s="53"/>
      <c r="I53" s="53"/>
      <c r="J53" s="53"/>
      <c r="K53" s="53"/>
      <c r="L53" s="53"/>
      <c r="M53" s="53"/>
    </row>
    <row r="54">
      <c r="A54" s="156" t="s">
        <v>409</v>
      </c>
      <c r="B54" s="157" t="s">
        <v>399</v>
      </c>
      <c r="C54" s="158" t="s">
        <v>402</v>
      </c>
      <c r="D54" s="159"/>
      <c r="E54" s="160"/>
      <c r="F54" s="69"/>
      <c r="G54" s="53"/>
      <c r="H54" s="53"/>
      <c r="I54" s="53"/>
      <c r="J54" s="53"/>
      <c r="K54" s="53"/>
      <c r="L54" s="53"/>
      <c r="M54" s="53"/>
    </row>
    <row r="55">
      <c r="A55" s="82" t="s">
        <v>415</v>
      </c>
      <c r="B55" s="39" t="s">
        <v>399</v>
      </c>
      <c r="C55" s="41" t="s">
        <v>402</v>
      </c>
      <c r="D55" s="27"/>
      <c r="E55" s="86"/>
      <c r="F55" s="161" t="s">
        <v>419</v>
      </c>
      <c r="G55" s="49" t="s">
        <v>421</v>
      </c>
      <c r="H55" s="53"/>
      <c r="I55" s="53"/>
      <c r="J55" s="53"/>
      <c r="K55" s="53"/>
      <c r="L55" s="53"/>
      <c r="M55" s="53"/>
    </row>
    <row r="56">
      <c r="A56" s="37" t="s">
        <v>427</v>
      </c>
      <c r="B56" s="55" t="s">
        <v>429</v>
      </c>
      <c r="C56" s="60" t="s">
        <v>431</v>
      </c>
      <c r="D56" s="43">
        <v>1.0</v>
      </c>
      <c r="E56" s="62"/>
      <c r="F56" s="46" t="s">
        <v>433</v>
      </c>
      <c r="G56" s="49" t="s">
        <v>435</v>
      </c>
      <c r="H56" s="53"/>
      <c r="I56" s="53"/>
      <c r="J56" s="53"/>
      <c r="K56" s="53"/>
      <c r="L56" s="53"/>
      <c r="M56" s="53"/>
    </row>
    <row r="57">
      <c r="A57" s="82" t="s">
        <v>437</v>
      </c>
      <c r="B57" s="87" t="s">
        <v>438</v>
      </c>
      <c r="C57" s="114" t="s">
        <v>431</v>
      </c>
      <c r="D57" s="62"/>
      <c r="E57" s="62"/>
      <c r="F57" s="69"/>
      <c r="G57" s="53"/>
      <c r="H57" s="53"/>
      <c r="I57" s="53"/>
      <c r="J57" s="53"/>
      <c r="K57" s="53"/>
      <c r="L57" s="53"/>
      <c r="M57" s="53"/>
    </row>
    <row r="58">
      <c r="A58" s="37" t="s">
        <v>443</v>
      </c>
      <c r="B58" s="55" t="s">
        <v>445</v>
      </c>
      <c r="C58" s="60" t="s">
        <v>446</v>
      </c>
      <c r="D58" s="62"/>
      <c r="E58" s="43">
        <v>1.0</v>
      </c>
      <c r="F58" s="46"/>
      <c r="G58" s="49"/>
      <c r="H58" s="53"/>
      <c r="I58" s="53"/>
      <c r="J58" s="53"/>
      <c r="K58" s="53"/>
      <c r="L58" s="53"/>
      <c r="M58" s="53"/>
    </row>
    <row r="59">
      <c r="A59" s="37" t="s">
        <v>447</v>
      </c>
      <c r="B59" s="55" t="s">
        <v>448</v>
      </c>
      <c r="C59" s="60" t="s">
        <v>446</v>
      </c>
      <c r="D59" s="62"/>
      <c r="E59" s="43"/>
      <c r="F59" s="46"/>
      <c r="G59" s="49"/>
      <c r="H59" s="53"/>
      <c r="I59" s="53"/>
      <c r="J59" s="53"/>
      <c r="K59" s="53"/>
      <c r="L59" s="53"/>
      <c r="M59" s="53"/>
    </row>
    <row r="60">
      <c r="A60" s="82" t="s">
        <v>450</v>
      </c>
      <c r="B60" s="39" t="s">
        <v>451</v>
      </c>
      <c r="C60" s="41" t="s">
        <v>446</v>
      </c>
      <c r="D60" s="62"/>
      <c r="E60" s="62"/>
      <c r="F60" s="69"/>
      <c r="G60" s="53"/>
      <c r="H60" s="53"/>
      <c r="I60" s="53"/>
      <c r="J60" s="53"/>
      <c r="K60" s="53"/>
      <c r="L60" s="53"/>
      <c r="M60" s="53"/>
    </row>
    <row r="61">
      <c r="A61" s="37" t="s">
        <v>459</v>
      </c>
      <c r="B61" s="55" t="s">
        <v>460</v>
      </c>
      <c r="C61" s="165" t="s">
        <v>461</v>
      </c>
      <c r="D61" s="62"/>
      <c r="E61" s="43">
        <v>1.0</v>
      </c>
      <c r="F61" s="46"/>
      <c r="G61" s="53"/>
      <c r="H61" s="53"/>
      <c r="I61" s="53"/>
      <c r="J61" s="53"/>
      <c r="K61" s="53"/>
      <c r="L61" s="53"/>
      <c r="M61" s="53"/>
    </row>
    <row r="62">
      <c r="A62" s="37" t="s">
        <v>464</v>
      </c>
      <c r="B62" s="39" t="s">
        <v>466</v>
      </c>
      <c r="C62" s="41" t="s">
        <v>446</v>
      </c>
      <c r="D62" s="43"/>
      <c r="E62" s="62"/>
      <c r="F62" s="46"/>
      <c r="G62" s="53"/>
      <c r="H62" s="53"/>
      <c r="I62" s="53"/>
      <c r="J62" s="53"/>
      <c r="K62" s="53"/>
      <c r="L62" s="53"/>
      <c r="M62" s="53"/>
    </row>
    <row r="63">
      <c r="A63" s="82" t="s">
        <v>469</v>
      </c>
      <c r="B63" s="39" t="s">
        <v>470</v>
      </c>
      <c r="C63" s="41" t="s">
        <v>446</v>
      </c>
      <c r="D63" s="43">
        <v>1.0</v>
      </c>
      <c r="E63" s="62"/>
      <c r="F63" s="46" t="s">
        <v>472</v>
      </c>
      <c r="G63" s="53"/>
      <c r="H63" s="53"/>
      <c r="I63" s="53"/>
      <c r="J63" s="53"/>
      <c r="K63" s="53"/>
      <c r="L63" s="53"/>
      <c r="M63" s="53"/>
    </row>
    <row r="64">
      <c r="A64" s="156" t="s">
        <v>475</v>
      </c>
      <c r="B64" s="157" t="s">
        <v>476</v>
      </c>
      <c r="C64" s="166" t="s">
        <v>446</v>
      </c>
      <c r="D64" s="62"/>
      <c r="E64" s="62"/>
      <c r="F64" s="69"/>
      <c r="G64" s="53"/>
      <c r="H64" s="53"/>
      <c r="I64" s="53"/>
      <c r="J64" s="53"/>
      <c r="K64" s="53"/>
      <c r="L64" s="53"/>
      <c r="M64" s="53"/>
    </row>
    <row r="65">
      <c r="A65" s="82" t="s">
        <v>481</v>
      </c>
      <c r="B65" s="39" t="s">
        <v>483</v>
      </c>
      <c r="C65" s="41" t="s">
        <v>446</v>
      </c>
      <c r="D65" s="97"/>
      <c r="E65" s="62"/>
      <c r="F65" s="46"/>
      <c r="G65" s="53"/>
      <c r="H65" s="53"/>
      <c r="I65" s="53"/>
      <c r="J65" s="53"/>
      <c r="K65" s="53"/>
      <c r="L65" s="53"/>
      <c r="M65" s="53"/>
    </row>
    <row r="66">
      <c r="A66" s="82" t="s">
        <v>486</v>
      </c>
      <c r="B66" s="39" t="s">
        <v>451</v>
      </c>
      <c r="C66" s="41" t="s">
        <v>446</v>
      </c>
      <c r="D66" s="97"/>
      <c r="E66" s="57"/>
      <c r="F66" s="69"/>
      <c r="G66" s="53"/>
      <c r="H66" s="53"/>
      <c r="I66" s="53"/>
      <c r="J66" s="53"/>
      <c r="K66" s="53"/>
      <c r="L66" s="53"/>
      <c r="M66" s="53"/>
    </row>
    <row r="67">
      <c r="A67" s="82" t="s">
        <v>490</v>
      </c>
      <c r="B67" s="167" t="s">
        <v>491</v>
      </c>
      <c r="C67" s="168" t="s">
        <v>446</v>
      </c>
      <c r="D67" s="27"/>
      <c r="E67" s="57"/>
      <c r="F67" s="69"/>
      <c r="G67" s="53"/>
      <c r="H67" s="53"/>
      <c r="I67" s="53"/>
      <c r="J67" s="53"/>
      <c r="K67" s="53"/>
      <c r="L67" s="53"/>
      <c r="M67" s="53"/>
    </row>
    <row r="68">
      <c r="A68" s="82" t="s">
        <v>498</v>
      </c>
      <c r="B68" s="87" t="s">
        <v>499</v>
      </c>
      <c r="C68" s="114" t="s">
        <v>446</v>
      </c>
      <c r="D68" s="97"/>
      <c r="E68" s="57"/>
      <c r="F68" s="169"/>
      <c r="G68" s="53"/>
      <c r="H68" s="53"/>
      <c r="I68" s="53"/>
      <c r="J68" s="53"/>
      <c r="K68" s="53"/>
      <c r="L68" s="53"/>
      <c r="M68" s="53"/>
    </row>
    <row r="69">
      <c r="A69" s="82" t="s">
        <v>502</v>
      </c>
      <c r="B69" s="55" t="s">
        <v>503</v>
      </c>
      <c r="C69" s="60" t="s">
        <v>446</v>
      </c>
      <c r="D69" s="134"/>
      <c r="E69" s="146"/>
      <c r="F69" s="69"/>
      <c r="G69" s="53"/>
      <c r="H69" s="53"/>
      <c r="I69" s="53"/>
      <c r="J69" s="53"/>
      <c r="K69" s="53"/>
      <c r="L69" s="53"/>
      <c r="M69" s="53"/>
    </row>
    <row r="70">
      <c r="A70" s="82" t="s">
        <v>509</v>
      </c>
      <c r="B70" s="87" t="s">
        <v>510</v>
      </c>
      <c r="C70" s="114" t="s">
        <v>446</v>
      </c>
      <c r="D70" s="27">
        <v>1.0</v>
      </c>
      <c r="E70" s="86"/>
      <c r="F70" s="46"/>
      <c r="G70" s="53"/>
      <c r="H70" s="53"/>
      <c r="I70" s="53"/>
      <c r="J70" s="53"/>
      <c r="K70" s="53"/>
      <c r="L70" s="53"/>
      <c r="M70" s="53"/>
    </row>
    <row r="71">
      <c r="A71" s="82" t="s">
        <v>513</v>
      </c>
      <c r="B71" s="87" t="s">
        <v>514</v>
      </c>
      <c r="C71" s="89" t="s">
        <v>446</v>
      </c>
      <c r="D71" s="170"/>
      <c r="E71" s="92"/>
      <c r="F71" s="46"/>
      <c r="G71" s="49"/>
      <c r="H71" s="53"/>
      <c r="I71" s="53"/>
      <c r="J71" s="53"/>
      <c r="K71" s="53"/>
      <c r="L71" s="53"/>
      <c r="M71" s="53"/>
    </row>
    <row r="72">
      <c r="A72" s="37" t="s">
        <v>518</v>
      </c>
      <c r="B72" s="55" t="s">
        <v>519</v>
      </c>
      <c r="C72" s="60" t="s">
        <v>446</v>
      </c>
      <c r="D72" s="134"/>
      <c r="E72" s="146"/>
      <c r="F72" s="46" t="s">
        <v>521</v>
      </c>
      <c r="G72" s="53"/>
      <c r="H72" s="53"/>
      <c r="I72" s="53"/>
      <c r="J72" s="53"/>
      <c r="K72" s="53"/>
      <c r="L72" s="53"/>
      <c r="M72" s="53"/>
    </row>
    <row r="73">
      <c r="A73" s="82" t="s">
        <v>524</v>
      </c>
      <c r="B73" s="55" t="s">
        <v>524</v>
      </c>
      <c r="C73" s="60" t="s">
        <v>446</v>
      </c>
      <c r="D73" s="134"/>
      <c r="E73" s="146"/>
      <c r="F73" s="69"/>
      <c r="G73" s="53"/>
      <c r="H73" s="53"/>
      <c r="I73" s="53"/>
      <c r="J73" s="53"/>
      <c r="K73" s="53"/>
      <c r="L73" s="53"/>
      <c r="M73" s="53"/>
    </row>
    <row r="74">
      <c r="A74" s="82" t="s">
        <v>531</v>
      </c>
      <c r="B74" s="39" t="s">
        <v>532</v>
      </c>
      <c r="C74" s="41" t="s">
        <v>446</v>
      </c>
      <c r="D74" s="27"/>
      <c r="E74" s="86"/>
      <c r="F74" s="46"/>
      <c r="G74" s="53"/>
      <c r="H74" s="53"/>
      <c r="I74" s="53"/>
      <c r="J74" s="53"/>
      <c r="K74" s="53"/>
      <c r="L74" s="53"/>
      <c r="M74" s="53"/>
    </row>
    <row r="75">
      <c r="A75" s="82" t="s">
        <v>537</v>
      </c>
      <c r="B75" s="171" t="s">
        <v>499</v>
      </c>
      <c r="C75" s="41" t="s">
        <v>446</v>
      </c>
      <c r="D75" s="97"/>
      <c r="E75" s="57"/>
      <c r="F75" s="69"/>
      <c r="G75" s="53"/>
      <c r="H75" s="53"/>
      <c r="I75" s="53"/>
      <c r="J75" s="53"/>
      <c r="K75" s="53"/>
      <c r="L75" s="53"/>
      <c r="M75" s="53"/>
    </row>
    <row r="76">
      <c r="A76" s="82" t="s">
        <v>539</v>
      </c>
      <c r="B76" s="39" t="s">
        <v>532</v>
      </c>
      <c r="C76" s="41" t="s">
        <v>446</v>
      </c>
      <c r="D76" s="97"/>
      <c r="E76" s="57"/>
      <c r="F76" s="69"/>
      <c r="G76" s="53"/>
      <c r="H76" s="53"/>
      <c r="I76" s="53"/>
      <c r="J76" s="53"/>
      <c r="K76" s="53"/>
      <c r="L76" s="53"/>
      <c r="M76" s="53"/>
    </row>
    <row r="77">
      <c r="A77" s="82" t="s">
        <v>542</v>
      </c>
      <c r="B77" s="39" t="s">
        <v>543</v>
      </c>
      <c r="C77" s="41" t="s">
        <v>446</v>
      </c>
      <c r="D77" s="97"/>
      <c r="E77" s="57"/>
      <c r="F77" s="69"/>
      <c r="G77" s="53"/>
      <c r="H77" s="53"/>
      <c r="I77" s="53"/>
      <c r="J77" s="53"/>
      <c r="K77" s="53"/>
      <c r="L77" s="53"/>
      <c r="M77" s="53"/>
    </row>
    <row r="78">
      <c r="A78" s="82" t="s">
        <v>546</v>
      </c>
      <c r="B78" s="87" t="s">
        <v>510</v>
      </c>
      <c r="C78" s="114" t="s">
        <v>446</v>
      </c>
      <c r="D78" s="27">
        <v>2.0</v>
      </c>
      <c r="E78" s="86">
        <v>1.0</v>
      </c>
      <c r="F78" s="46" t="s">
        <v>547</v>
      </c>
      <c r="G78" s="53"/>
      <c r="H78" s="53"/>
      <c r="I78" s="53"/>
      <c r="J78" s="53"/>
      <c r="K78" s="53"/>
      <c r="L78" s="53"/>
      <c r="M78" s="53"/>
    </row>
    <row r="79">
      <c r="A79" s="82" t="s">
        <v>548</v>
      </c>
      <c r="B79" s="87" t="s">
        <v>550</v>
      </c>
      <c r="C79" s="114" t="s">
        <v>446</v>
      </c>
      <c r="D79" s="27"/>
      <c r="E79" s="146"/>
      <c r="F79" s="46"/>
      <c r="G79" s="49"/>
      <c r="H79" s="53"/>
      <c r="I79" s="53"/>
      <c r="J79" s="53"/>
      <c r="K79" s="53"/>
      <c r="L79" s="53"/>
      <c r="M79" s="53"/>
    </row>
    <row r="80">
      <c r="A80" s="82" t="s">
        <v>554</v>
      </c>
      <c r="B80" s="55" t="s">
        <v>499</v>
      </c>
      <c r="C80" s="60" t="s">
        <v>446</v>
      </c>
      <c r="D80" s="146"/>
      <c r="E80" s="176"/>
      <c r="F80" s="177"/>
      <c r="G80" s="49"/>
      <c r="H80" s="49"/>
      <c r="I80" s="53"/>
      <c r="J80" s="53"/>
      <c r="K80" s="53"/>
      <c r="L80" s="53"/>
      <c r="M80" s="53"/>
    </row>
    <row r="81">
      <c r="A81" s="82" t="s">
        <v>558</v>
      </c>
      <c r="B81" s="39" t="s">
        <v>566</v>
      </c>
      <c r="C81" s="41" t="s">
        <v>446</v>
      </c>
      <c r="D81" s="97"/>
      <c r="E81" s="57"/>
      <c r="F81" s="69"/>
      <c r="G81" s="53"/>
      <c r="H81" s="53"/>
      <c r="I81" s="53"/>
      <c r="J81" s="53"/>
      <c r="K81" s="53"/>
      <c r="L81" s="53"/>
      <c r="M81" s="53"/>
    </row>
    <row r="82">
      <c r="A82" s="82" t="s">
        <v>569</v>
      </c>
      <c r="B82" s="55" t="s">
        <v>570</v>
      </c>
      <c r="C82" s="41" t="s">
        <v>446</v>
      </c>
      <c r="D82" s="97"/>
      <c r="E82" s="57"/>
      <c r="F82" s="69"/>
      <c r="G82" s="53"/>
      <c r="H82" s="53"/>
      <c r="I82" s="53"/>
      <c r="J82" s="53"/>
      <c r="K82" s="53"/>
      <c r="L82" s="53"/>
      <c r="M82" s="53"/>
    </row>
    <row r="83">
      <c r="A83" s="82" t="s">
        <v>573</v>
      </c>
      <c r="B83" s="87" t="s">
        <v>445</v>
      </c>
      <c r="C83" s="114" t="s">
        <v>446</v>
      </c>
      <c r="D83" s="27">
        <v>2.0</v>
      </c>
      <c r="E83" s="57"/>
      <c r="F83" s="46"/>
      <c r="G83" s="53"/>
      <c r="H83" s="53"/>
      <c r="I83" s="53"/>
      <c r="J83" s="53"/>
      <c r="K83" s="53"/>
      <c r="L83" s="53"/>
      <c r="M83" s="53"/>
    </row>
    <row r="84">
      <c r="A84" s="37" t="s">
        <v>577</v>
      </c>
      <c r="B84" s="39" t="s">
        <v>578</v>
      </c>
      <c r="C84" s="41" t="s">
        <v>579</v>
      </c>
      <c r="D84" s="62"/>
      <c r="E84" s="62"/>
      <c r="F84" s="46"/>
      <c r="G84" s="53"/>
      <c r="H84" s="53"/>
      <c r="I84" s="53"/>
      <c r="J84" s="53"/>
      <c r="K84" s="53"/>
      <c r="L84" s="53"/>
      <c r="M84" s="53"/>
    </row>
    <row r="85">
      <c r="A85" s="37" t="s">
        <v>585</v>
      </c>
      <c r="B85" s="171" t="s">
        <v>587</v>
      </c>
      <c r="C85" s="41" t="s">
        <v>579</v>
      </c>
      <c r="D85" s="62"/>
      <c r="E85" s="62"/>
      <c r="F85" s="46"/>
      <c r="G85" s="49"/>
      <c r="H85" s="53"/>
      <c r="I85" s="53"/>
      <c r="J85" s="53"/>
      <c r="K85" s="53"/>
      <c r="L85" s="53"/>
      <c r="M85" s="53"/>
    </row>
    <row r="86">
      <c r="A86" s="82" t="s">
        <v>589</v>
      </c>
      <c r="B86" s="39" t="s">
        <v>578</v>
      </c>
      <c r="C86" s="41" t="s">
        <v>579</v>
      </c>
      <c r="D86" s="43">
        <v>1.0</v>
      </c>
      <c r="E86" s="43">
        <v>4.0</v>
      </c>
      <c r="F86" s="46" t="s">
        <v>591</v>
      </c>
      <c r="G86" s="49"/>
      <c r="H86" s="53"/>
      <c r="I86" s="53"/>
      <c r="J86" s="53"/>
      <c r="K86" s="53"/>
      <c r="L86" s="53"/>
      <c r="M86" s="53"/>
    </row>
    <row r="87">
      <c r="A87" s="82" t="s">
        <v>593</v>
      </c>
      <c r="B87" s="39" t="s">
        <v>594</v>
      </c>
      <c r="C87" s="41" t="s">
        <v>579</v>
      </c>
      <c r="D87" s="27">
        <v>3.0</v>
      </c>
      <c r="E87" s="86">
        <v>1.0</v>
      </c>
      <c r="F87" s="184" t="s">
        <v>596</v>
      </c>
      <c r="G87" s="162" t="s">
        <v>598</v>
      </c>
      <c r="H87" s="162" t="s">
        <v>599</v>
      </c>
      <c r="I87" s="162" t="s">
        <v>600</v>
      </c>
      <c r="J87" s="49"/>
      <c r="K87" s="49"/>
      <c r="L87" s="49"/>
      <c r="M87" s="49"/>
    </row>
    <row r="88">
      <c r="A88" s="82" t="s">
        <v>602</v>
      </c>
      <c r="B88" s="87" t="s">
        <v>608</v>
      </c>
      <c r="C88" s="60" t="s">
        <v>579</v>
      </c>
      <c r="D88" s="134"/>
      <c r="E88" s="86"/>
      <c r="F88" s="184" t="s">
        <v>596</v>
      </c>
      <c r="G88" s="53"/>
      <c r="H88" s="49"/>
      <c r="I88" s="53"/>
      <c r="J88" s="53"/>
      <c r="K88" s="53"/>
      <c r="L88" s="53"/>
      <c r="M88" s="53"/>
    </row>
    <row r="89">
      <c r="A89" s="82" t="s">
        <v>609</v>
      </c>
      <c r="B89" s="39" t="s">
        <v>578</v>
      </c>
      <c r="C89" s="41" t="s">
        <v>579</v>
      </c>
      <c r="D89" s="97"/>
      <c r="E89" s="57"/>
      <c r="F89" s="69"/>
      <c r="G89" s="53"/>
      <c r="H89" s="53"/>
      <c r="I89" s="53"/>
      <c r="J89" s="53"/>
      <c r="K89" s="53"/>
      <c r="L89" s="53"/>
      <c r="M89" s="53"/>
    </row>
    <row r="90">
      <c r="A90" s="82" t="s">
        <v>611</v>
      </c>
      <c r="B90" s="39" t="s">
        <v>550</v>
      </c>
      <c r="C90" s="41" t="s">
        <v>579</v>
      </c>
      <c r="D90" s="27">
        <v>1.0</v>
      </c>
      <c r="E90" s="57"/>
      <c r="F90" s="69"/>
      <c r="G90" s="53"/>
      <c r="H90" s="53"/>
      <c r="I90" s="53"/>
      <c r="J90" s="53"/>
      <c r="K90" s="53"/>
      <c r="L90" s="53"/>
      <c r="M90" s="53"/>
    </row>
    <row r="91">
      <c r="A91" s="82" t="s">
        <v>613</v>
      </c>
      <c r="B91" s="87" t="s">
        <v>615</v>
      </c>
      <c r="C91" s="114" t="s">
        <v>616</v>
      </c>
      <c r="D91" s="27"/>
      <c r="E91" s="57"/>
      <c r="F91" s="46"/>
      <c r="G91" s="53"/>
      <c r="H91" s="53"/>
      <c r="I91" s="53"/>
      <c r="J91" s="53"/>
      <c r="K91" s="53"/>
      <c r="L91" s="53"/>
      <c r="M91" s="53"/>
    </row>
    <row r="92">
      <c r="A92" s="82" t="s">
        <v>625</v>
      </c>
      <c r="B92" s="87" t="s">
        <v>626</v>
      </c>
      <c r="C92" s="114" t="s">
        <v>627</v>
      </c>
      <c r="D92" s="43"/>
      <c r="E92" s="62"/>
      <c r="F92" s="46"/>
      <c r="G92" s="53"/>
      <c r="H92" s="53"/>
      <c r="I92" s="53"/>
      <c r="J92" s="53"/>
      <c r="K92" s="53"/>
      <c r="L92" s="53"/>
      <c r="M92" s="53"/>
    </row>
    <row r="93">
      <c r="A93" s="191" t="s">
        <v>632</v>
      </c>
      <c r="B93" s="55" t="s">
        <v>626</v>
      </c>
      <c r="C93" s="60" t="s">
        <v>627</v>
      </c>
      <c r="D93" s="27"/>
      <c r="E93" s="27">
        <v>1.0</v>
      </c>
      <c r="F93" s="192" t="s">
        <v>642</v>
      </c>
      <c r="G93" s="134"/>
      <c r="H93" s="53"/>
      <c r="I93" s="53"/>
      <c r="J93" s="53"/>
      <c r="K93" s="53"/>
      <c r="L93" s="53"/>
      <c r="M93" s="53"/>
    </row>
    <row r="94">
      <c r="A94" s="194" t="s">
        <v>646</v>
      </c>
      <c r="B94" s="87" t="s">
        <v>647</v>
      </c>
      <c r="C94" s="114" t="s">
        <v>627</v>
      </c>
      <c r="D94" s="27">
        <v>2.0</v>
      </c>
      <c r="E94" s="196"/>
      <c r="F94" s="198">
        <v>3.0</v>
      </c>
      <c r="G94" s="196"/>
      <c r="H94" s="53"/>
      <c r="I94" s="53"/>
      <c r="J94" s="53"/>
      <c r="K94" s="53"/>
      <c r="L94" s="53"/>
      <c r="M94" s="53"/>
    </row>
    <row r="95">
      <c r="A95" s="199" t="s">
        <v>654</v>
      </c>
      <c r="B95" s="55" t="s">
        <v>655</v>
      </c>
      <c r="C95" s="60" t="s">
        <v>656</v>
      </c>
      <c r="D95" s="201"/>
      <c r="E95" s="201"/>
      <c r="F95" s="202"/>
      <c r="G95" s="201"/>
      <c r="H95" s="53"/>
      <c r="I95" s="53"/>
      <c r="J95" s="53"/>
      <c r="K95" s="53"/>
      <c r="L95" s="53"/>
      <c r="M95" s="53"/>
    </row>
    <row r="96">
      <c r="A96" s="203" t="s">
        <v>662</v>
      </c>
      <c r="B96" s="55" t="s">
        <v>663</v>
      </c>
      <c r="C96" s="60" t="s">
        <v>656</v>
      </c>
      <c r="D96" s="43" t="s">
        <v>1</v>
      </c>
      <c r="E96" s="43">
        <v>2.0</v>
      </c>
      <c r="F96" s="204" t="s">
        <v>668</v>
      </c>
      <c r="G96" s="205"/>
      <c r="H96" s="53"/>
      <c r="I96" s="53"/>
      <c r="J96" s="53"/>
      <c r="K96" s="53"/>
      <c r="L96" s="53"/>
      <c r="M96" s="53"/>
    </row>
    <row r="97">
      <c r="A97" s="206" t="s">
        <v>670</v>
      </c>
      <c r="B97" s="55" t="s">
        <v>674</v>
      </c>
      <c r="C97" s="60" t="s">
        <v>656</v>
      </c>
      <c r="D97" s="43">
        <v>1.0</v>
      </c>
      <c r="E97" s="43"/>
      <c r="F97" s="207" t="s">
        <v>677</v>
      </c>
      <c r="G97" s="208"/>
      <c r="H97" s="53"/>
      <c r="I97" s="53"/>
      <c r="J97" s="53"/>
      <c r="K97" s="53"/>
      <c r="L97" s="53"/>
      <c r="M97" s="53"/>
    </row>
    <row r="98">
      <c r="A98" s="209" t="s">
        <v>678</v>
      </c>
      <c r="B98" s="87" t="s">
        <v>680</v>
      </c>
      <c r="C98" s="114" t="s">
        <v>656</v>
      </c>
      <c r="D98" s="27"/>
      <c r="E98" s="210"/>
      <c r="F98" s="198"/>
      <c r="G98" s="210"/>
      <c r="H98" s="53"/>
      <c r="I98" s="53"/>
      <c r="J98" s="53"/>
      <c r="K98" s="53"/>
      <c r="L98" s="53"/>
      <c r="M98" s="53"/>
    </row>
    <row r="99">
      <c r="A99" s="191" t="s">
        <v>683</v>
      </c>
      <c r="B99" s="87" t="s">
        <v>655</v>
      </c>
      <c r="C99" s="114" t="s">
        <v>656</v>
      </c>
      <c r="D99" s="97"/>
      <c r="E99" s="27"/>
      <c r="F99" s="192"/>
      <c r="G99" s="27"/>
      <c r="H99" s="53"/>
      <c r="I99" s="53"/>
      <c r="J99" s="53"/>
      <c r="K99" s="53"/>
      <c r="L99" s="53"/>
      <c r="M99" s="53"/>
    </row>
    <row r="100">
      <c r="A100" s="209" t="s">
        <v>687</v>
      </c>
      <c r="B100" s="39" t="s">
        <v>688</v>
      </c>
      <c r="C100" s="41" t="s">
        <v>656</v>
      </c>
      <c r="D100" s="43"/>
      <c r="E100" s="211"/>
      <c r="F100" s="212"/>
      <c r="G100" s="213"/>
      <c r="H100" s="53"/>
      <c r="I100" s="53"/>
      <c r="J100" s="53"/>
      <c r="K100" s="53"/>
      <c r="L100" s="53"/>
      <c r="M100" s="53"/>
    </row>
    <row r="101">
      <c r="A101" s="191" t="s">
        <v>692</v>
      </c>
      <c r="B101" s="55" t="s">
        <v>655</v>
      </c>
      <c r="C101" s="41" t="s">
        <v>656</v>
      </c>
      <c r="D101" s="27">
        <v>2.0</v>
      </c>
      <c r="E101" s="27">
        <v>2.0</v>
      </c>
      <c r="F101" s="192" t="s">
        <v>696</v>
      </c>
      <c r="G101" s="27" t="s">
        <v>698</v>
      </c>
      <c r="H101" s="53"/>
      <c r="I101" s="53"/>
      <c r="J101" s="53"/>
      <c r="K101" s="53"/>
      <c r="L101" s="53"/>
      <c r="M101" s="53"/>
    </row>
    <row r="102">
      <c r="A102" s="209">
        <v>1.0</v>
      </c>
      <c r="B102" s="55" t="s">
        <v>700</v>
      </c>
      <c r="C102" s="41" t="s">
        <v>656</v>
      </c>
      <c r="D102" s="27"/>
      <c r="E102" s="210"/>
      <c r="F102" s="198"/>
      <c r="G102" s="210"/>
      <c r="H102" s="214"/>
      <c r="I102" s="53"/>
      <c r="J102" s="53"/>
      <c r="K102" s="53"/>
      <c r="L102" s="53"/>
      <c r="M102" s="53"/>
    </row>
    <row r="103">
      <c r="A103" s="191" t="s">
        <v>704</v>
      </c>
      <c r="B103" s="87" t="s">
        <v>655</v>
      </c>
      <c r="C103" s="114" t="s">
        <v>656</v>
      </c>
      <c r="D103" s="97"/>
      <c r="E103" s="97"/>
      <c r="F103" s="215"/>
      <c r="G103" s="97"/>
      <c r="H103" s="53"/>
      <c r="I103" s="53"/>
      <c r="J103" s="53"/>
      <c r="K103" s="53"/>
      <c r="L103" s="53"/>
      <c r="M103" s="53"/>
    </row>
    <row r="104">
      <c r="A104" s="194" t="s">
        <v>706</v>
      </c>
      <c r="B104" s="87" t="s">
        <v>655</v>
      </c>
      <c r="C104" s="114" t="s">
        <v>656</v>
      </c>
      <c r="D104" s="27"/>
      <c r="E104" s="196"/>
      <c r="F104" s="198"/>
      <c r="G104" s="196"/>
      <c r="H104" s="53"/>
      <c r="I104" s="53"/>
      <c r="J104" s="53"/>
      <c r="K104" s="53"/>
      <c r="L104" s="53"/>
      <c r="M104" s="53"/>
    </row>
    <row r="105">
      <c r="A105" s="191" t="s">
        <v>711</v>
      </c>
      <c r="B105" s="39" t="s">
        <v>712</v>
      </c>
      <c r="C105" s="41" t="s">
        <v>656</v>
      </c>
      <c r="D105" s="27"/>
      <c r="E105" s="97"/>
      <c r="F105" s="215"/>
      <c r="G105" s="97"/>
      <c r="H105" s="53"/>
      <c r="I105" s="53"/>
      <c r="J105" s="53"/>
      <c r="K105" s="53"/>
      <c r="L105" s="53"/>
      <c r="M105" s="53"/>
    </row>
    <row r="106">
      <c r="A106" s="194" t="s">
        <v>715</v>
      </c>
      <c r="B106" s="39" t="s">
        <v>655</v>
      </c>
      <c r="C106" s="41" t="s">
        <v>656</v>
      </c>
      <c r="D106" s="27"/>
      <c r="E106" s="210"/>
      <c r="F106" s="198"/>
      <c r="G106" s="216"/>
      <c r="H106" s="53"/>
      <c r="I106" s="53"/>
      <c r="J106" s="53"/>
      <c r="K106" s="53"/>
      <c r="L106" s="53"/>
      <c r="M106" s="53"/>
    </row>
    <row r="107">
      <c r="A107" s="199" t="s">
        <v>449</v>
      </c>
      <c r="B107" s="87" t="s">
        <v>655</v>
      </c>
      <c r="C107" s="114" t="s">
        <v>656</v>
      </c>
      <c r="D107" s="27">
        <v>1.0</v>
      </c>
      <c r="E107" s="27">
        <v>1.0</v>
      </c>
      <c r="F107" s="192" t="s">
        <v>725</v>
      </c>
      <c r="G107" s="27" t="s">
        <v>727</v>
      </c>
      <c r="H107" s="49"/>
      <c r="I107" s="53"/>
      <c r="J107" s="53"/>
      <c r="K107" s="53"/>
      <c r="L107" s="53"/>
      <c r="M107" s="53"/>
    </row>
    <row r="108">
      <c r="A108" s="209" t="s">
        <v>732</v>
      </c>
      <c r="B108" s="39" t="s">
        <v>734</v>
      </c>
      <c r="C108" s="41" t="s">
        <v>735</v>
      </c>
      <c r="D108" s="62"/>
      <c r="E108" s="43">
        <v>1.0</v>
      </c>
      <c r="F108" s="62"/>
      <c r="G108" s="213"/>
      <c r="H108" s="53"/>
      <c r="I108" s="53"/>
      <c r="J108" s="53"/>
      <c r="K108" s="53"/>
      <c r="L108" s="53"/>
      <c r="M108" s="53"/>
    </row>
    <row r="109">
      <c r="A109" s="191" t="s">
        <v>738</v>
      </c>
      <c r="B109" s="39" t="s">
        <v>734</v>
      </c>
      <c r="C109" s="41" t="s">
        <v>735</v>
      </c>
      <c r="D109" s="27">
        <v>1.0</v>
      </c>
      <c r="E109" s="27"/>
      <c r="F109" s="192"/>
      <c r="G109" s="27"/>
      <c r="H109" s="49"/>
      <c r="I109" s="53"/>
      <c r="J109" s="53"/>
      <c r="K109" s="53"/>
      <c r="L109" s="53"/>
      <c r="M109" s="53"/>
    </row>
    <row r="110">
      <c r="A110" s="209" t="s">
        <v>744</v>
      </c>
      <c r="B110" s="39" t="s">
        <v>747</v>
      </c>
      <c r="C110" s="41" t="s">
        <v>750</v>
      </c>
      <c r="D110" s="27">
        <v>1.0</v>
      </c>
      <c r="E110" s="196"/>
      <c r="F110" s="198"/>
      <c r="G110" s="210"/>
      <c r="H110" s="53"/>
      <c r="I110" s="53"/>
      <c r="J110" s="53"/>
      <c r="K110" s="53"/>
      <c r="L110" s="53"/>
      <c r="M110" s="53"/>
    </row>
    <row r="111">
      <c r="A111" s="218" t="s">
        <v>753</v>
      </c>
      <c r="B111" s="219" t="s">
        <v>757</v>
      </c>
      <c r="C111" s="221" t="s">
        <v>750</v>
      </c>
      <c r="D111" s="159"/>
      <c r="E111" s="159"/>
      <c r="F111" s="207"/>
      <c r="G111" s="222"/>
      <c r="H111" s="53"/>
      <c r="I111" s="53"/>
      <c r="J111" s="53"/>
      <c r="K111" s="53"/>
      <c r="L111" s="53"/>
      <c r="M111" s="53"/>
    </row>
    <row r="112">
      <c r="A112" s="223" t="s">
        <v>761</v>
      </c>
      <c r="B112" s="219" t="s">
        <v>762</v>
      </c>
      <c r="C112" s="221" t="s">
        <v>750</v>
      </c>
      <c r="D112" s="222"/>
      <c r="E112" s="224"/>
      <c r="F112" s="204"/>
      <c r="G112" s="225"/>
      <c r="H112" s="53"/>
      <c r="I112" s="53"/>
      <c r="J112" s="53"/>
      <c r="K112" s="53"/>
      <c r="L112" s="53"/>
      <c r="M112" s="53"/>
    </row>
    <row r="113">
      <c r="A113" s="199" t="s">
        <v>767</v>
      </c>
      <c r="B113" s="39" t="s">
        <v>768</v>
      </c>
      <c r="C113" s="41" t="s">
        <v>770</v>
      </c>
      <c r="D113" s="27">
        <v>7.0</v>
      </c>
      <c r="E113" s="27">
        <v>3.0</v>
      </c>
      <c r="F113" s="207"/>
      <c r="G113" s="226" t="s">
        <v>774</v>
      </c>
      <c r="H113" s="49" t="s">
        <v>776</v>
      </c>
      <c r="I113" s="31" t="s">
        <v>777</v>
      </c>
      <c r="J113" s="49" t="s">
        <v>778</v>
      </c>
      <c r="K113" s="53"/>
      <c r="L113" s="53"/>
      <c r="M113" s="53"/>
    </row>
    <row r="114">
      <c r="A114" s="209" t="s">
        <v>779</v>
      </c>
      <c r="B114" s="87" t="s">
        <v>780</v>
      </c>
      <c r="C114" s="114" t="s">
        <v>770</v>
      </c>
      <c r="D114" s="97"/>
      <c r="E114" s="196"/>
      <c r="F114" s="227"/>
      <c r="G114" s="196"/>
      <c r="H114" s="53"/>
      <c r="I114" s="53"/>
      <c r="J114" s="53"/>
      <c r="K114" s="53"/>
      <c r="L114" s="53"/>
      <c r="M114" s="53"/>
    </row>
    <row r="115">
      <c r="A115" s="191" t="s">
        <v>783</v>
      </c>
      <c r="B115" s="39" t="s">
        <v>784</v>
      </c>
      <c r="C115" s="41" t="s">
        <v>770</v>
      </c>
      <c r="D115" s="27">
        <v>1.0</v>
      </c>
      <c r="E115" s="27">
        <v>1.0</v>
      </c>
      <c r="F115" s="192"/>
      <c r="G115" s="27"/>
      <c r="H115" s="53"/>
      <c r="I115" s="53"/>
      <c r="J115" s="53"/>
      <c r="K115" s="53"/>
      <c r="L115" s="53"/>
      <c r="M115" s="53"/>
    </row>
    <row r="116">
      <c r="A116" s="194" t="s">
        <v>787</v>
      </c>
      <c r="B116" s="39" t="s">
        <v>789</v>
      </c>
      <c r="C116" s="41" t="s">
        <v>792</v>
      </c>
      <c r="D116" s="27">
        <v>1.0</v>
      </c>
      <c r="E116" s="196"/>
      <c r="F116" s="198"/>
      <c r="G116" s="210"/>
      <c r="H116" s="53"/>
      <c r="I116" s="53"/>
      <c r="J116" s="53"/>
      <c r="K116" s="53"/>
      <c r="L116" s="53"/>
      <c r="M116" s="53"/>
    </row>
    <row r="117">
      <c r="A117" s="199" t="s">
        <v>793</v>
      </c>
      <c r="B117" s="39" t="s">
        <v>794</v>
      </c>
      <c r="C117" s="41" t="s">
        <v>792</v>
      </c>
      <c r="D117" s="27">
        <v>2.0</v>
      </c>
      <c r="E117" s="27">
        <v>1.0</v>
      </c>
      <c r="F117" s="192" t="s">
        <v>797</v>
      </c>
      <c r="G117" s="134"/>
      <c r="H117" s="53"/>
      <c r="I117" s="53"/>
      <c r="J117" s="53"/>
      <c r="K117" s="53"/>
      <c r="L117" s="53"/>
      <c r="M117" s="53"/>
    </row>
    <row r="118">
      <c r="A118" s="194" t="s">
        <v>798</v>
      </c>
      <c r="B118" s="39" t="s">
        <v>794</v>
      </c>
      <c r="C118" s="41" t="s">
        <v>792</v>
      </c>
      <c r="D118" s="27">
        <v>2.0</v>
      </c>
      <c r="E118" s="210">
        <v>1.0</v>
      </c>
      <c r="F118" s="198" t="s">
        <v>799</v>
      </c>
      <c r="G118" s="210" t="s">
        <v>801</v>
      </c>
      <c r="H118" s="49" t="s">
        <v>803</v>
      </c>
      <c r="I118" s="53"/>
      <c r="J118" s="53"/>
      <c r="K118" s="53"/>
      <c r="L118" s="53"/>
      <c r="M118" s="53"/>
    </row>
    <row r="119">
      <c r="A119" s="191" t="s">
        <v>805</v>
      </c>
      <c r="B119" s="87" t="s">
        <v>794</v>
      </c>
      <c r="C119" s="114" t="s">
        <v>792</v>
      </c>
      <c r="D119" s="27">
        <v>1.0</v>
      </c>
      <c r="E119" s="97"/>
      <c r="F119" s="192" t="s">
        <v>807</v>
      </c>
      <c r="G119" s="134"/>
      <c r="H119" s="53"/>
      <c r="I119" s="53"/>
      <c r="J119" s="53"/>
      <c r="K119" s="53"/>
      <c r="L119" s="53"/>
      <c r="M119" s="53"/>
    </row>
    <row r="120">
      <c r="A120" s="194" t="s">
        <v>809</v>
      </c>
      <c r="B120" s="55" t="s">
        <v>789</v>
      </c>
      <c r="C120" s="60" t="s">
        <v>792</v>
      </c>
      <c r="D120" s="134"/>
      <c r="E120" s="210"/>
      <c r="F120" s="198"/>
      <c r="G120" s="216"/>
      <c r="H120" s="53"/>
      <c r="I120" s="53"/>
      <c r="J120" s="53"/>
      <c r="K120" s="53"/>
      <c r="L120" s="53"/>
      <c r="M120" s="53"/>
    </row>
    <row r="121">
      <c r="A121" s="199" t="s">
        <v>810</v>
      </c>
      <c r="B121" s="55" t="s">
        <v>811</v>
      </c>
      <c r="C121" s="60" t="s">
        <v>812</v>
      </c>
      <c r="D121" s="62"/>
      <c r="E121" s="62"/>
      <c r="F121" s="228"/>
      <c r="G121" s="229"/>
      <c r="H121" s="53"/>
      <c r="I121" s="53"/>
      <c r="J121" s="53"/>
      <c r="K121" s="53"/>
      <c r="L121" s="53"/>
      <c r="M121" s="53"/>
    </row>
    <row r="122">
      <c r="A122" s="209" t="s">
        <v>815</v>
      </c>
      <c r="B122" s="87" t="s">
        <v>816</v>
      </c>
      <c r="C122" s="114" t="s">
        <v>812</v>
      </c>
      <c r="D122" s="43">
        <v>4.0</v>
      </c>
      <c r="E122" s="62"/>
      <c r="F122" s="212" t="s">
        <v>818</v>
      </c>
      <c r="G122" s="230"/>
      <c r="H122" s="53"/>
      <c r="I122" s="53"/>
      <c r="J122" s="53"/>
      <c r="K122" s="53"/>
      <c r="L122" s="53"/>
      <c r="M122" s="53"/>
    </row>
    <row r="123">
      <c r="A123" s="231" t="s">
        <v>820</v>
      </c>
      <c r="B123" s="87" t="s">
        <v>816</v>
      </c>
      <c r="C123" s="114" t="s">
        <v>812</v>
      </c>
      <c r="D123" s="43">
        <v>1.0</v>
      </c>
      <c r="E123" s="62"/>
      <c r="F123" s="232" t="s">
        <v>822</v>
      </c>
      <c r="G123" s="229"/>
      <c r="H123" s="53"/>
      <c r="I123" s="53"/>
      <c r="J123" s="53"/>
      <c r="K123" s="53"/>
      <c r="L123" s="53"/>
      <c r="M123" s="53"/>
    </row>
    <row r="124">
      <c r="A124" s="233" t="s">
        <v>508</v>
      </c>
      <c r="B124" s="87" t="s">
        <v>816</v>
      </c>
      <c r="C124" s="114" t="s">
        <v>812</v>
      </c>
      <c r="D124" s="43">
        <v>1.0</v>
      </c>
      <c r="E124" s="43">
        <v>1.0</v>
      </c>
      <c r="F124" s="234" t="s">
        <v>824</v>
      </c>
      <c r="G124" s="235"/>
      <c r="H124" s="53"/>
      <c r="I124" s="53"/>
      <c r="J124" s="53"/>
      <c r="K124" s="53"/>
      <c r="L124" s="53"/>
      <c r="M124" s="53"/>
    </row>
    <row r="125">
      <c r="A125" s="191" t="s">
        <v>829</v>
      </c>
      <c r="B125" s="87" t="s">
        <v>830</v>
      </c>
      <c r="C125" s="89" t="s">
        <v>812</v>
      </c>
      <c r="D125" s="90">
        <v>1.0</v>
      </c>
      <c r="E125" s="170"/>
      <c r="F125" s="236" t="s">
        <v>832</v>
      </c>
      <c r="G125" s="170"/>
      <c r="H125" s="53"/>
      <c r="I125" s="53"/>
      <c r="J125" s="53"/>
      <c r="K125" s="53"/>
      <c r="L125" s="53"/>
      <c r="M125" s="53"/>
    </row>
    <row r="126">
      <c r="A126" s="194" t="s">
        <v>835</v>
      </c>
      <c r="B126" s="87" t="s">
        <v>816</v>
      </c>
      <c r="C126" s="114" t="s">
        <v>812</v>
      </c>
      <c r="D126" s="27"/>
      <c r="E126" s="210"/>
      <c r="F126" s="198" t="s">
        <v>836</v>
      </c>
      <c r="G126" s="237" t="s">
        <v>837</v>
      </c>
      <c r="H126" s="49"/>
      <c r="I126" s="53"/>
      <c r="J126" s="53"/>
      <c r="K126" s="53"/>
      <c r="L126" s="53"/>
      <c r="M126" s="53"/>
    </row>
    <row r="127">
      <c r="A127" s="191" t="s">
        <v>839</v>
      </c>
      <c r="B127" s="87" t="s">
        <v>816</v>
      </c>
      <c r="C127" s="89" t="s">
        <v>812</v>
      </c>
      <c r="D127" s="170"/>
      <c r="E127" s="90"/>
      <c r="F127" s="236"/>
      <c r="G127" s="238"/>
      <c r="H127" s="53"/>
      <c r="I127" s="53"/>
      <c r="J127" s="53"/>
      <c r="K127" s="53"/>
      <c r="L127" s="53"/>
      <c r="M127" s="53"/>
    </row>
    <row r="128">
      <c r="A128" s="194" t="s">
        <v>843</v>
      </c>
      <c r="B128" s="87" t="s">
        <v>816</v>
      </c>
      <c r="C128" s="114" t="s">
        <v>812</v>
      </c>
      <c r="D128" s="27">
        <v>1.0</v>
      </c>
      <c r="E128" s="210"/>
      <c r="F128" s="198" t="s">
        <v>846</v>
      </c>
      <c r="G128" s="196"/>
      <c r="H128" s="53"/>
      <c r="I128" s="53"/>
      <c r="J128" s="53"/>
      <c r="K128" s="53"/>
      <c r="L128" s="53"/>
      <c r="M128" s="53"/>
    </row>
    <row r="129">
      <c r="A129" s="191" t="s">
        <v>847</v>
      </c>
      <c r="B129" s="87" t="s">
        <v>700</v>
      </c>
      <c r="C129" s="114" t="s">
        <v>812</v>
      </c>
      <c r="D129" s="27"/>
      <c r="E129" s="27"/>
      <c r="F129" s="192"/>
      <c r="G129" s="134"/>
      <c r="H129" s="53"/>
      <c r="I129" s="53"/>
      <c r="J129" s="53"/>
      <c r="K129" s="53"/>
      <c r="L129" s="53"/>
      <c r="M129" s="53"/>
    </row>
    <row r="130">
      <c r="A130" s="194" t="s">
        <v>849</v>
      </c>
      <c r="B130" s="87" t="s">
        <v>850</v>
      </c>
      <c r="C130" s="89" t="s">
        <v>812</v>
      </c>
      <c r="D130" s="90"/>
      <c r="E130" s="240"/>
      <c r="F130" s="241"/>
      <c r="G130" s="240"/>
      <c r="H130" s="53"/>
      <c r="I130" s="53"/>
      <c r="J130" s="53"/>
      <c r="K130" s="53"/>
      <c r="L130" s="53"/>
      <c r="M130" s="53"/>
    </row>
    <row r="131">
      <c r="A131" s="191" t="s">
        <v>855</v>
      </c>
      <c r="B131" s="55" t="s">
        <v>856</v>
      </c>
      <c r="C131" s="60" t="s">
        <v>857</v>
      </c>
      <c r="D131" s="43">
        <v>1.0</v>
      </c>
      <c r="E131" s="62"/>
      <c r="F131" s="232"/>
      <c r="G131" s="242"/>
      <c r="H131" s="53"/>
      <c r="I131" s="53"/>
      <c r="J131" s="53"/>
      <c r="K131" s="53"/>
      <c r="L131" s="53"/>
      <c r="M131" s="53"/>
    </row>
    <row r="132">
      <c r="A132" s="194" t="s">
        <v>860</v>
      </c>
      <c r="B132" s="87" t="s">
        <v>862</v>
      </c>
      <c r="C132" s="114" t="s">
        <v>857</v>
      </c>
      <c r="D132" s="27"/>
      <c r="E132" s="210"/>
      <c r="F132" s="198"/>
      <c r="G132" s="210"/>
      <c r="H132" s="53"/>
      <c r="I132" s="53"/>
      <c r="J132" s="53"/>
      <c r="K132" s="53"/>
      <c r="L132" s="53"/>
      <c r="M132" s="53"/>
    </row>
    <row r="133">
      <c r="A133" s="191" t="s">
        <v>863</v>
      </c>
      <c r="B133" s="39" t="s">
        <v>862</v>
      </c>
      <c r="C133" s="41" t="s">
        <v>857</v>
      </c>
      <c r="D133" s="97"/>
      <c r="E133" s="97"/>
      <c r="F133" s="244"/>
      <c r="G133" s="97"/>
      <c r="H133" s="53"/>
      <c r="I133" s="53"/>
      <c r="J133" s="53"/>
      <c r="K133" s="53"/>
      <c r="L133" s="53"/>
      <c r="M133" s="53"/>
    </row>
    <row r="134">
      <c r="A134" s="194" t="s">
        <v>867</v>
      </c>
      <c r="B134" s="39" t="s">
        <v>862</v>
      </c>
      <c r="C134" s="41" t="s">
        <v>857</v>
      </c>
      <c r="D134" s="27"/>
      <c r="E134" s="210">
        <v>2.0</v>
      </c>
      <c r="F134" s="198"/>
      <c r="G134" s="237" t="s">
        <v>870</v>
      </c>
      <c r="H134" s="53"/>
      <c r="I134" s="53"/>
      <c r="J134" s="53"/>
      <c r="K134" s="53"/>
      <c r="L134" s="53"/>
      <c r="M134" s="53"/>
    </row>
    <row r="135">
      <c r="A135" s="191" t="s">
        <v>874</v>
      </c>
      <c r="B135" s="87" t="s">
        <v>862</v>
      </c>
      <c r="C135" s="114" t="s">
        <v>857</v>
      </c>
      <c r="D135" s="97"/>
      <c r="E135" s="27">
        <v>3.0</v>
      </c>
      <c r="F135" s="192" t="s">
        <v>880</v>
      </c>
      <c r="G135" s="27" t="s">
        <v>881</v>
      </c>
      <c r="H135" s="49" t="s">
        <v>882</v>
      </c>
      <c r="I135" s="49" t="s">
        <v>883</v>
      </c>
      <c r="J135" s="53"/>
      <c r="K135" s="53"/>
      <c r="L135" s="53"/>
      <c r="M135" s="53"/>
    </row>
    <row r="136">
      <c r="A136" s="194" t="s">
        <v>63</v>
      </c>
      <c r="B136" s="87" t="s">
        <v>862</v>
      </c>
      <c r="C136" s="114" t="s">
        <v>857</v>
      </c>
      <c r="D136" s="27">
        <v>1.0</v>
      </c>
      <c r="E136" s="210"/>
      <c r="F136" s="227"/>
      <c r="G136" s="196"/>
      <c r="H136" s="53"/>
      <c r="I136" s="53"/>
      <c r="J136" s="53"/>
      <c r="K136" s="53"/>
      <c r="L136" s="53"/>
      <c r="M136" s="53"/>
    </row>
    <row r="137">
      <c r="A137" s="191" t="s">
        <v>887</v>
      </c>
      <c r="B137" s="87" t="s">
        <v>888</v>
      </c>
      <c r="C137" s="114" t="s">
        <v>889</v>
      </c>
      <c r="D137" s="27">
        <v>1.0</v>
      </c>
      <c r="E137" s="97"/>
      <c r="F137" s="192" t="s">
        <v>890</v>
      </c>
      <c r="G137" s="97"/>
      <c r="H137" s="53"/>
      <c r="I137" s="53"/>
      <c r="J137" s="53"/>
      <c r="K137" s="53"/>
      <c r="L137" s="53"/>
      <c r="M137" s="53"/>
    </row>
    <row r="138">
      <c r="A138" s="245" t="s">
        <v>893</v>
      </c>
      <c r="B138" s="55" t="s">
        <v>894</v>
      </c>
      <c r="C138" s="60" t="s">
        <v>895</v>
      </c>
      <c r="D138" s="43"/>
      <c r="E138" s="43">
        <v>2.0</v>
      </c>
      <c r="F138" s="212" t="s">
        <v>897</v>
      </c>
      <c r="G138" s="235"/>
      <c r="H138" s="53"/>
      <c r="I138" s="53"/>
      <c r="J138" s="53"/>
      <c r="K138" s="53"/>
      <c r="L138" s="53"/>
      <c r="M138" s="53"/>
    </row>
    <row r="139">
      <c r="A139" s="231" t="s">
        <v>899</v>
      </c>
      <c r="B139" s="87" t="s">
        <v>900</v>
      </c>
      <c r="C139" s="114" t="s">
        <v>895</v>
      </c>
      <c r="D139" s="43">
        <v>1.0</v>
      </c>
      <c r="E139" s="43">
        <v>2.0</v>
      </c>
      <c r="F139" s="232"/>
      <c r="G139" s="229"/>
      <c r="H139" s="53"/>
      <c r="I139" s="53"/>
      <c r="J139" s="53"/>
      <c r="K139" s="53"/>
      <c r="L139" s="53"/>
      <c r="M139" s="53"/>
    </row>
    <row r="140">
      <c r="A140" s="209" t="s">
        <v>902</v>
      </c>
      <c r="B140" s="87" t="s">
        <v>903</v>
      </c>
      <c r="C140" s="114" t="s">
        <v>895</v>
      </c>
      <c r="D140" s="43"/>
      <c r="E140" s="43"/>
      <c r="F140" s="246"/>
      <c r="G140" s="213"/>
      <c r="H140" s="53"/>
      <c r="I140" s="53"/>
      <c r="J140" s="53"/>
      <c r="K140" s="53"/>
      <c r="L140" s="53"/>
      <c r="M140" s="53"/>
    </row>
    <row r="141">
      <c r="A141" s="199" t="s">
        <v>905</v>
      </c>
      <c r="B141" s="39" t="s">
        <v>906</v>
      </c>
      <c r="C141" s="41" t="s">
        <v>895</v>
      </c>
      <c r="D141" s="62"/>
      <c r="E141" s="43">
        <v>2.0</v>
      </c>
      <c r="F141" s="63" t="s">
        <v>911</v>
      </c>
      <c r="G141" s="247" t="s">
        <v>912</v>
      </c>
      <c r="H141" s="49" t="s">
        <v>915</v>
      </c>
      <c r="I141" s="53"/>
      <c r="J141" s="53"/>
      <c r="K141" s="53"/>
      <c r="L141" s="53"/>
      <c r="M141" s="53"/>
    </row>
    <row r="142">
      <c r="A142" s="245" t="s">
        <v>917</v>
      </c>
      <c r="B142" s="55" t="s">
        <v>918</v>
      </c>
      <c r="C142" s="60" t="s">
        <v>895</v>
      </c>
      <c r="D142" s="43"/>
      <c r="E142" s="43">
        <v>1.0</v>
      </c>
      <c r="F142" s="248"/>
      <c r="G142" s="235"/>
      <c r="H142" s="53"/>
      <c r="I142" s="53"/>
      <c r="J142" s="53"/>
      <c r="K142" s="53"/>
      <c r="L142" s="53"/>
      <c r="M142" s="53"/>
    </row>
    <row r="143">
      <c r="A143" s="249" t="s">
        <v>922</v>
      </c>
      <c r="B143" s="55" t="s">
        <v>923</v>
      </c>
      <c r="C143" s="60" t="s">
        <v>895</v>
      </c>
      <c r="D143" s="43">
        <v>1.0</v>
      </c>
      <c r="E143" s="43">
        <v>1.0</v>
      </c>
      <c r="F143" s="232" t="s">
        <v>927</v>
      </c>
      <c r="G143" s="250" t="s">
        <v>928</v>
      </c>
      <c r="H143" s="53"/>
      <c r="I143" s="53"/>
      <c r="J143" s="53"/>
      <c r="K143" s="53"/>
      <c r="L143" s="53"/>
      <c r="M143" s="53"/>
    </row>
    <row r="144">
      <c r="A144" s="245" t="s">
        <v>930</v>
      </c>
      <c r="B144" s="87" t="s">
        <v>932</v>
      </c>
      <c r="C144" s="114" t="s">
        <v>895</v>
      </c>
      <c r="D144" s="43">
        <v>2.0</v>
      </c>
      <c r="E144" s="62"/>
      <c r="F144" s="212" t="s">
        <v>936</v>
      </c>
      <c r="G144" s="213"/>
      <c r="H144" s="53"/>
      <c r="I144" s="53"/>
      <c r="J144" s="53"/>
      <c r="K144" s="53"/>
      <c r="L144" s="53"/>
      <c r="M144" s="53"/>
    </row>
    <row r="145">
      <c r="A145" s="191" t="s">
        <v>937</v>
      </c>
      <c r="B145" s="39" t="s">
        <v>938</v>
      </c>
      <c r="C145" s="41" t="s">
        <v>895</v>
      </c>
      <c r="D145" s="43">
        <v>2.0</v>
      </c>
      <c r="E145" s="62"/>
      <c r="F145" s="232"/>
      <c r="G145" s="242"/>
      <c r="H145" s="53"/>
      <c r="I145" s="53"/>
      <c r="J145" s="53"/>
      <c r="K145" s="53"/>
      <c r="L145" s="53"/>
      <c r="M145" s="53"/>
    </row>
    <row r="146">
      <c r="A146" s="194" t="s">
        <v>940</v>
      </c>
      <c r="B146" s="39" t="s">
        <v>906</v>
      </c>
      <c r="C146" s="41" t="s">
        <v>895</v>
      </c>
      <c r="D146" s="43"/>
      <c r="E146" s="62"/>
      <c r="F146" s="253"/>
      <c r="G146" s="235"/>
      <c r="H146" s="53"/>
      <c r="I146" s="53"/>
      <c r="J146" s="53"/>
      <c r="K146" s="53"/>
      <c r="L146" s="53"/>
      <c r="M146" s="53"/>
    </row>
    <row r="147">
      <c r="A147" s="191" t="s">
        <v>942</v>
      </c>
      <c r="B147" s="167" t="s">
        <v>943</v>
      </c>
      <c r="C147" s="168" t="s">
        <v>895</v>
      </c>
      <c r="D147" s="62"/>
      <c r="E147" s="62"/>
      <c r="F147" s="232"/>
      <c r="G147" s="242"/>
      <c r="H147" s="53"/>
      <c r="I147" s="53"/>
      <c r="J147" s="53"/>
      <c r="K147" s="53"/>
      <c r="L147" s="53"/>
      <c r="M147" s="53"/>
    </row>
    <row r="148">
      <c r="A148" s="194" t="s">
        <v>945</v>
      </c>
      <c r="B148" s="87" t="s">
        <v>946</v>
      </c>
      <c r="C148" s="114" t="s">
        <v>895</v>
      </c>
      <c r="D148" s="27">
        <v>1.0</v>
      </c>
      <c r="E148" s="210">
        <v>1.0</v>
      </c>
      <c r="F148" s="198" t="s">
        <v>947</v>
      </c>
      <c r="G148" s="216"/>
      <c r="H148" s="53"/>
      <c r="I148" s="53"/>
      <c r="J148" s="53"/>
      <c r="K148" s="53"/>
      <c r="L148" s="53"/>
      <c r="M148" s="53"/>
    </row>
    <row r="149">
      <c r="A149" s="191" t="s">
        <v>952</v>
      </c>
      <c r="B149" s="87" t="s">
        <v>953</v>
      </c>
      <c r="C149" s="114" t="s">
        <v>895</v>
      </c>
      <c r="D149" s="27">
        <v>2.0</v>
      </c>
      <c r="E149" s="27"/>
      <c r="F149" s="192" t="s">
        <v>954</v>
      </c>
      <c r="G149" s="27" t="s">
        <v>955</v>
      </c>
      <c r="H149" s="53"/>
      <c r="I149" s="53"/>
      <c r="J149" s="53"/>
      <c r="K149" s="53"/>
      <c r="L149" s="53"/>
      <c r="M149" s="53"/>
    </row>
    <row r="150">
      <c r="A150" s="194" t="s">
        <v>956</v>
      </c>
      <c r="B150" s="39" t="s">
        <v>957</v>
      </c>
      <c r="C150" s="41" t="s">
        <v>895</v>
      </c>
      <c r="D150" s="27">
        <v>3.0</v>
      </c>
      <c r="E150" s="210"/>
      <c r="F150" s="198" t="s">
        <v>960</v>
      </c>
      <c r="G150" s="210" t="s">
        <v>961</v>
      </c>
      <c r="H150" s="53"/>
      <c r="I150" s="53"/>
      <c r="J150" s="53"/>
      <c r="K150" s="53"/>
      <c r="L150" s="53"/>
      <c r="M150" s="53"/>
    </row>
    <row r="151">
      <c r="A151" s="218" t="s">
        <v>962</v>
      </c>
      <c r="B151" s="157" t="s">
        <v>906</v>
      </c>
      <c r="C151" s="158" t="s">
        <v>895</v>
      </c>
      <c r="D151" s="97"/>
      <c r="E151" s="27">
        <v>6.0</v>
      </c>
      <c r="F151" s="192" t="s">
        <v>966</v>
      </c>
      <c r="G151" s="226" t="s">
        <v>969</v>
      </c>
      <c r="H151" s="49"/>
      <c r="I151" s="53"/>
      <c r="J151" s="53"/>
      <c r="K151" s="53"/>
      <c r="L151" s="53"/>
      <c r="M151" s="53"/>
    </row>
    <row r="152">
      <c r="A152" s="209" t="s">
        <v>974</v>
      </c>
      <c r="B152" s="55" t="s">
        <v>975</v>
      </c>
      <c r="C152" s="60" t="s">
        <v>895</v>
      </c>
      <c r="D152" s="97"/>
      <c r="E152" s="196"/>
      <c r="F152" s="227"/>
      <c r="G152" s="196"/>
      <c r="H152" s="53"/>
      <c r="I152" s="53"/>
      <c r="J152" s="53"/>
      <c r="K152" s="53"/>
      <c r="L152" s="53"/>
      <c r="M152" s="53"/>
    </row>
    <row r="153">
      <c r="A153" s="191" t="s">
        <v>977</v>
      </c>
      <c r="B153" s="254" t="s">
        <v>979</v>
      </c>
      <c r="C153" s="114" t="s">
        <v>895</v>
      </c>
      <c r="D153" s="97"/>
      <c r="E153" s="97"/>
      <c r="F153" s="215"/>
      <c r="G153" s="97"/>
      <c r="H153" s="53"/>
      <c r="I153" s="53"/>
      <c r="J153" s="53"/>
      <c r="K153" s="53"/>
      <c r="L153" s="53"/>
      <c r="M153" s="53"/>
    </row>
    <row r="154">
      <c r="A154" s="194" t="s">
        <v>986</v>
      </c>
      <c r="B154" s="255"/>
      <c r="C154" s="114" t="s">
        <v>895</v>
      </c>
      <c r="D154" s="97"/>
      <c r="E154" s="196"/>
      <c r="F154" s="227"/>
      <c r="G154" s="196"/>
      <c r="H154" s="53"/>
      <c r="I154" s="53"/>
      <c r="J154" s="53"/>
      <c r="K154" s="53"/>
      <c r="L154" s="53"/>
      <c r="M154" s="53"/>
    </row>
    <row r="155">
      <c r="A155" s="199" t="s">
        <v>989</v>
      </c>
      <c r="B155" s="257" t="s">
        <v>990</v>
      </c>
      <c r="C155" s="60" t="s">
        <v>895</v>
      </c>
      <c r="D155" s="27">
        <v>2.0</v>
      </c>
      <c r="E155" s="27"/>
      <c r="F155" s="192" t="s">
        <v>991</v>
      </c>
      <c r="G155" s="134"/>
      <c r="H155" s="53"/>
      <c r="I155" s="53"/>
      <c r="J155" s="53"/>
      <c r="K155" s="53"/>
      <c r="L155" s="53"/>
      <c r="M155" s="53"/>
    </row>
    <row r="156">
      <c r="A156" s="194" t="s">
        <v>996</v>
      </c>
      <c r="B156" s="55" t="s">
        <v>906</v>
      </c>
      <c r="C156" s="60" t="s">
        <v>895</v>
      </c>
      <c r="D156" s="134"/>
      <c r="E156" s="216"/>
      <c r="F156" s="198"/>
      <c r="G156" s="216"/>
      <c r="H156" s="53"/>
      <c r="I156" s="53"/>
      <c r="J156" s="53"/>
      <c r="K156" s="53"/>
      <c r="L156" s="53"/>
      <c r="M156" s="53"/>
    </row>
    <row r="157">
      <c r="A157" s="191" t="s">
        <v>999</v>
      </c>
      <c r="B157" s="55" t="s">
        <v>979</v>
      </c>
      <c r="C157" s="60" t="s">
        <v>895</v>
      </c>
      <c r="D157" s="134"/>
      <c r="E157" s="134"/>
      <c r="F157" s="258"/>
      <c r="G157" s="134"/>
      <c r="H157" s="53"/>
      <c r="I157" s="53"/>
      <c r="J157" s="53"/>
      <c r="K157" s="53"/>
      <c r="L157" s="53"/>
      <c r="M157" s="53"/>
    </row>
    <row r="158">
      <c r="A158" s="194" t="s">
        <v>1004</v>
      </c>
      <c r="B158" s="87" t="s">
        <v>1005</v>
      </c>
      <c r="C158" s="41" t="s">
        <v>895</v>
      </c>
      <c r="D158" s="27">
        <v>1.0</v>
      </c>
      <c r="E158" s="210"/>
      <c r="F158" s="198" t="s">
        <v>1007</v>
      </c>
      <c r="G158" s="216"/>
      <c r="H158" s="53"/>
      <c r="I158" s="53"/>
      <c r="J158" s="53"/>
      <c r="K158" s="53"/>
      <c r="L158" s="53"/>
      <c r="M158" s="53"/>
    </row>
    <row r="159">
      <c r="A159" s="199" t="s">
        <v>1010</v>
      </c>
      <c r="B159" s="39" t="s">
        <v>1011</v>
      </c>
      <c r="C159" s="41" t="s">
        <v>895</v>
      </c>
      <c r="D159" s="97"/>
      <c r="E159" s="27"/>
      <c r="F159" s="215"/>
      <c r="G159" s="97"/>
      <c r="H159" s="53"/>
      <c r="I159" s="53"/>
      <c r="J159" s="53"/>
      <c r="K159" s="53"/>
      <c r="L159" s="53"/>
      <c r="M159" s="53"/>
    </row>
    <row r="160">
      <c r="A160" s="194"/>
      <c r="B160" s="87" t="s">
        <v>1014</v>
      </c>
      <c r="C160" s="89" t="s">
        <v>895</v>
      </c>
      <c r="D160" s="90"/>
      <c r="E160" s="240"/>
      <c r="F160" s="241"/>
      <c r="G160" s="240"/>
      <c r="H160" s="53"/>
      <c r="I160" s="53"/>
      <c r="J160" s="53"/>
      <c r="K160" s="53"/>
      <c r="L160" s="53"/>
      <c r="M160" s="53"/>
    </row>
    <row r="161">
      <c r="A161" s="191" t="s">
        <v>1016</v>
      </c>
      <c r="B161" s="39" t="s">
        <v>1014</v>
      </c>
      <c r="C161" s="41" t="s">
        <v>895</v>
      </c>
      <c r="D161" s="27">
        <v>6.0</v>
      </c>
      <c r="E161" s="134"/>
      <c r="F161" s="192" t="s">
        <v>1022</v>
      </c>
      <c r="G161" s="27" t="s">
        <v>1023</v>
      </c>
      <c r="H161" s="53"/>
      <c r="I161" s="53"/>
      <c r="J161" s="53"/>
      <c r="K161" s="53"/>
      <c r="L161" s="53"/>
      <c r="M161" s="53"/>
    </row>
    <row r="162">
      <c r="A162" s="194" t="s">
        <v>1024</v>
      </c>
      <c r="B162" s="87" t="s">
        <v>1025</v>
      </c>
      <c r="C162" s="114" t="s">
        <v>895</v>
      </c>
      <c r="D162" s="27">
        <v>1.0</v>
      </c>
      <c r="E162" s="196"/>
      <c r="F162" s="198" t="s">
        <v>1028</v>
      </c>
      <c r="G162" s="216"/>
      <c r="H162" s="53"/>
      <c r="I162" s="53"/>
      <c r="J162" s="53"/>
      <c r="K162" s="53"/>
      <c r="L162" s="53"/>
      <c r="M162" s="53"/>
    </row>
    <row r="163">
      <c r="A163" s="191" t="s">
        <v>1029</v>
      </c>
      <c r="B163" s="87" t="s">
        <v>1030</v>
      </c>
      <c r="C163" s="114" t="s">
        <v>1032</v>
      </c>
      <c r="D163" s="250">
        <v>1.0</v>
      </c>
      <c r="E163" s="250">
        <v>1.0</v>
      </c>
      <c r="F163" s="232" t="s">
        <v>1033</v>
      </c>
      <c r="G163" s="242"/>
      <c r="H163" s="53"/>
      <c r="I163" s="53"/>
      <c r="J163" s="53"/>
      <c r="K163" s="53"/>
      <c r="L163" s="53"/>
      <c r="M163" s="53"/>
    </row>
    <row r="164">
      <c r="A164" s="209" t="s">
        <v>1037</v>
      </c>
      <c r="B164" s="87" t="s">
        <v>1038</v>
      </c>
      <c r="C164" s="114" t="s">
        <v>1032</v>
      </c>
      <c r="D164" s="27">
        <v>3.0</v>
      </c>
      <c r="E164" s="210">
        <v>1.0</v>
      </c>
      <c r="F164" s="259" t="s">
        <v>1039</v>
      </c>
      <c r="G164" s="210" t="s">
        <v>1042</v>
      </c>
      <c r="H164" s="53"/>
      <c r="I164" s="53"/>
      <c r="J164" s="53"/>
      <c r="K164" s="53"/>
      <c r="L164" s="53"/>
      <c r="M164" s="53"/>
    </row>
    <row r="165">
      <c r="A165" s="199" t="s">
        <v>1044</v>
      </c>
      <c r="B165" s="39" t="s">
        <v>1030</v>
      </c>
      <c r="C165" s="41" t="s">
        <v>1032</v>
      </c>
      <c r="D165" s="27">
        <v>2.0</v>
      </c>
      <c r="E165" s="27"/>
      <c r="F165" s="180" t="s">
        <v>1046</v>
      </c>
      <c r="G165" s="261"/>
      <c r="H165" s="53"/>
      <c r="I165" s="53"/>
      <c r="J165" s="53"/>
      <c r="K165" s="53"/>
      <c r="L165" s="53"/>
      <c r="M165" s="53"/>
    </row>
    <row r="166">
      <c r="A166" s="262" t="s">
        <v>1049</v>
      </c>
      <c r="B166" s="263" t="s">
        <v>1050</v>
      </c>
      <c r="C166" s="264" t="s">
        <v>1051</v>
      </c>
      <c r="D166" s="265"/>
      <c r="E166" s="266">
        <v>3.0</v>
      </c>
      <c r="F166" s="267" t="s">
        <v>1055</v>
      </c>
      <c r="G166" s="268"/>
      <c r="H166" s="269"/>
      <c r="I166" s="269"/>
      <c r="J166" s="269"/>
      <c r="K166" s="269"/>
      <c r="L166" s="269"/>
      <c r="M166" s="269"/>
    </row>
    <row r="167">
      <c r="A167" s="199" t="s">
        <v>1056</v>
      </c>
      <c r="B167" s="55" t="s">
        <v>1058</v>
      </c>
      <c r="C167" s="60" t="s">
        <v>1051</v>
      </c>
      <c r="D167" s="134"/>
      <c r="E167" s="134"/>
      <c r="F167" s="258"/>
      <c r="G167" s="134"/>
      <c r="H167" s="53"/>
      <c r="I167" s="53"/>
      <c r="J167" s="53"/>
      <c r="K167" s="53"/>
      <c r="L167" s="53"/>
      <c r="M167" s="53"/>
    </row>
    <row r="168">
      <c r="A168" s="194" t="s">
        <v>1060</v>
      </c>
      <c r="B168" s="87" t="s">
        <v>1061</v>
      </c>
      <c r="C168" s="114" t="s">
        <v>1051</v>
      </c>
      <c r="D168" s="97"/>
      <c r="E168" s="196"/>
      <c r="F168" s="227"/>
      <c r="G168" s="196"/>
      <c r="H168" s="53"/>
      <c r="I168" s="53"/>
      <c r="J168" s="53"/>
      <c r="K168" s="53"/>
      <c r="L168" s="53"/>
      <c r="M168" s="53"/>
    </row>
    <row r="169">
      <c r="A169" s="191" t="s">
        <v>1064</v>
      </c>
      <c r="B169" s="39" t="s">
        <v>757</v>
      </c>
      <c r="C169" s="41" t="s">
        <v>1051</v>
      </c>
      <c r="D169" s="97"/>
      <c r="E169" s="27">
        <v>1.0</v>
      </c>
      <c r="F169" s="192" t="s">
        <v>426</v>
      </c>
      <c r="G169" s="97"/>
      <c r="H169" s="53"/>
      <c r="I169" s="53"/>
      <c r="J169" s="53"/>
      <c r="K169" s="53"/>
      <c r="L169" s="53"/>
      <c r="M169" s="53"/>
    </row>
    <row r="170">
      <c r="A170" s="194" t="s">
        <v>1070</v>
      </c>
      <c r="B170" s="171" t="s">
        <v>1071</v>
      </c>
      <c r="C170" s="41" t="s">
        <v>1051</v>
      </c>
      <c r="D170" s="27">
        <v>4.0</v>
      </c>
      <c r="E170" s="248"/>
      <c r="F170" s="198" t="s">
        <v>1073</v>
      </c>
      <c r="G170" s="271" t="s">
        <v>1074</v>
      </c>
      <c r="H170" s="49" t="s">
        <v>1077</v>
      </c>
      <c r="I170" s="49" t="s">
        <v>1078</v>
      </c>
      <c r="J170" s="53"/>
      <c r="K170" s="53"/>
      <c r="L170" s="53"/>
      <c r="M170" s="53"/>
    </row>
    <row r="171">
      <c r="A171" s="191" t="s">
        <v>1081</v>
      </c>
      <c r="B171" s="39" t="s">
        <v>946</v>
      </c>
      <c r="C171" s="41" t="s">
        <v>1083</v>
      </c>
      <c r="D171" s="27">
        <v>3.0</v>
      </c>
      <c r="E171" s="97"/>
      <c r="F171" s="192" t="s">
        <v>1084</v>
      </c>
      <c r="G171" s="97"/>
      <c r="H171" s="53"/>
      <c r="I171" s="53"/>
      <c r="J171" s="53"/>
      <c r="K171" s="53"/>
      <c r="L171" s="53"/>
      <c r="M171" s="53"/>
    </row>
    <row r="172">
      <c r="A172" s="272" t="s">
        <v>1086</v>
      </c>
      <c r="B172" s="39" t="s">
        <v>1089</v>
      </c>
      <c r="C172" s="41" t="s">
        <v>1091</v>
      </c>
      <c r="D172" s="43">
        <v>6.0</v>
      </c>
      <c r="E172" s="43">
        <v>1.0</v>
      </c>
      <c r="F172" s="212" t="s">
        <v>1093</v>
      </c>
      <c r="G172" s="213"/>
      <c r="H172" s="53"/>
      <c r="I172" s="53"/>
      <c r="J172" s="53"/>
      <c r="K172" s="53"/>
      <c r="L172" s="53"/>
      <c r="M172" s="53"/>
    </row>
    <row r="173">
      <c r="A173" s="191" t="s">
        <v>1095</v>
      </c>
      <c r="B173" s="39" t="s">
        <v>1097</v>
      </c>
      <c r="C173" s="41" t="s">
        <v>1091</v>
      </c>
      <c r="D173" s="43"/>
      <c r="E173" s="62"/>
      <c r="F173" s="273"/>
      <c r="G173" s="229"/>
      <c r="H173" s="53"/>
      <c r="I173" s="53"/>
      <c r="J173" s="53"/>
      <c r="K173" s="53"/>
      <c r="L173" s="53"/>
      <c r="M173" s="53"/>
    </row>
    <row r="174">
      <c r="A174" s="209" t="s">
        <v>1101</v>
      </c>
      <c r="B174" s="39" t="s">
        <v>1102</v>
      </c>
      <c r="C174" s="41" t="s">
        <v>1091</v>
      </c>
      <c r="D174" s="43"/>
      <c r="E174" s="43"/>
      <c r="F174" s="212"/>
      <c r="G174" s="230"/>
      <c r="H174" s="53"/>
      <c r="I174" s="53"/>
      <c r="J174" s="53"/>
      <c r="K174" s="53"/>
      <c r="L174" s="53"/>
      <c r="M174" s="53"/>
    </row>
    <row r="175">
      <c r="A175" s="191" t="s">
        <v>1105</v>
      </c>
      <c r="B175" s="39" t="s">
        <v>1106</v>
      </c>
      <c r="C175" s="41" t="s">
        <v>1091</v>
      </c>
      <c r="D175" s="27"/>
      <c r="E175" s="97"/>
      <c r="F175" s="192" t="s">
        <v>1107</v>
      </c>
      <c r="G175" s="97"/>
      <c r="H175" s="53"/>
      <c r="I175" s="53"/>
      <c r="J175" s="53"/>
      <c r="K175" s="53"/>
      <c r="L175" s="53"/>
      <c r="M175" s="53"/>
    </row>
    <row r="176">
      <c r="A176" s="194" t="s">
        <v>1110</v>
      </c>
      <c r="B176" s="87" t="s">
        <v>1112</v>
      </c>
      <c r="C176" s="114" t="s">
        <v>1091</v>
      </c>
      <c r="D176" s="27"/>
      <c r="E176" s="196"/>
      <c r="F176" s="198"/>
      <c r="G176" s="216"/>
      <c r="H176" s="53"/>
      <c r="I176" s="53"/>
      <c r="J176" s="53"/>
      <c r="K176" s="53"/>
      <c r="L176" s="53"/>
      <c r="M176" s="53"/>
    </row>
    <row r="177">
      <c r="A177" s="191" t="s">
        <v>1113</v>
      </c>
      <c r="B177" s="87" t="s">
        <v>1115</v>
      </c>
      <c r="C177" s="114" t="s">
        <v>1091</v>
      </c>
      <c r="D177" s="27"/>
      <c r="E177" s="27"/>
      <c r="F177" s="192"/>
      <c r="G177" s="134"/>
      <c r="H177" s="53"/>
      <c r="I177" s="53"/>
      <c r="J177" s="53"/>
      <c r="K177" s="53"/>
      <c r="L177" s="53"/>
      <c r="M177" s="53"/>
    </row>
    <row r="178">
      <c r="A178" s="194" t="s">
        <v>1123</v>
      </c>
      <c r="B178" s="87" t="s">
        <v>1124</v>
      </c>
      <c r="C178" s="114" t="s">
        <v>1091</v>
      </c>
      <c r="D178" s="27">
        <v>1.0</v>
      </c>
      <c r="E178" s="216"/>
      <c r="F178" s="198"/>
      <c r="G178" s="216"/>
      <c r="H178" s="53"/>
      <c r="I178" s="53"/>
      <c r="J178" s="53"/>
      <c r="K178" s="53"/>
      <c r="L178" s="53"/>
      <c r="M178" s="53"/>
    </row>
    <row r="179">
      <c r="A179" s="191" t="s">
        <v>1129</v>
      </c>
      <c r="B179" s="39" t="s">
        <v>1130</v>
      </c>
      <c r="C179" s="41" t="s">
        <v>1132</v>
      </c>
      <c r="D179" s="97"/>
      <c r="E179" s="97"/>
      <c r="F179" s="215"/>
      <c r="G179" s="97"/>
      <c r="H179" s="53"/>
      <c r="I179" s="53"/>
      <c r="J179" s="53"/>
      <c r="K179" s="53"/>
      <c r="L179" s="53"/>
      <c r="M179" s="53"/>
    </row>
    <row r="180">
      <c r="A180" s="194" t="s">
        <v>1133</v>
      </c>
      <c r="B180" s="87" t="s">
        <v>1134</v>
      </c>
      <c r="C180" s="114" t="s">
        <v>1136</v>
      </c>
      <c r="D180" s="62"/>
      <c r="E180" s="62"/>
      <c r="F180" s="212"/>
      <c r="G180" s="235"/>
      <c r="H180" s="53"/>
      <c r="I180" s="53"/>
      <c r="J180" s="53"/>
      <c r="K180" s="53"/>
      <c r="L180" s="53"/>
      <c r="M180" s="53"/>
    </row>
    <row r="181">
      <c r="A181" s="191" t="s">
        <v>1140</v>
      </c>
      <c r="B181" s="39" t="s">
        <v>1134</v>
      </c>
      <c r="C181" s="276" t="s">
        <v>1136</v>
      </c>
      <c r="D181" s="278">
        <v>1.0</v>
      </c>
      <c r="E181" s="279"/>
      <c r="F181" s="192" t="s">
        <v>1147</v>
      </c>
      <c r="G181" s="279"/>
      <c r="H181" s="53"/>
      <c r="I181" s="53"/>
      <c r="J181" s="53"/>
      <c r="K181" s="53"/>
      <c r="L181" s="53"/>
      <c r="M181" s="53"/>
    </row>
    <row r="182">
      <c r="A182" s="194" t="s">
        <v>1148</v>
      </c>
      <c r="B182" s="87" t="s">
        <v>1149</v>
      </c>
      <c r="C182" s="114" t="s">
        <v>1151</v>
      </c>
      <c r="D182" s="43"/>
      <c r="E182" s="62"/>
      <c r="F182" s="212"/>
      <c r="G182" s="235"/>
      <c r="H182" s="53"/>
      <c r="I182" s="53"/>
      <c r="J182" s="53"/>
      <c r="K182" s="53"/>
      <c r="L182" s="53"/>
      <c r="M182" s="53"/>
    </row>
    <row r="183">
      <c r="A183" s="199" t="s">
        <v>1154</v>
      </c>
      <c r="B183" s="39" t="s">
        <v>1155</v>
      </c>
      <c r="C183" s="41" t="s">
        <v>1157</v>
      </c>
      <c r="D183" s="43"/>
      <c r="E183" s="43"/>
      <c r="F183" s="232" t="s">
        <v>1159</v>
      </c>
      <c r="G183" s="250"/>
      <c r="H183" s="53"/>
      <c r="I183" s="53"/>
      <c r="J183" s="53"/>
      <c r="K183" s="53"/>
      <c r="L183" s="53"/>
      <c r="M183" s="53"/>
    </row>
    <row r="184">
      <c r="A184" s="194" t="s">
        <v>1162</v>
      </c>
      <c r="B184" s="55" t="s">
        <v>1163</v>
      </c>
      <c r="C184" s="41" t="s">
        <v>1157</v>
      </c>
      <c r="D184" s="62"/>
      <c r="E184" s="62"/>
      <c r="F184" s="246"/>
      <c r="G184" s="213"/>
      <c r="H184" s="53"/>
      <c r="I184" s="53"/>
      <c r="J184" s="53"/>
      <c r="K184" s="53"/>
      <c r="L184" s="53"/>
      <c r="M184" s="53"/>
    </row>
    <row r="185">
      <c r="A185" s="191" t="s">
        <v>1168</v>
      </c>
      <c r="B185" s="87" t="s">
        <v>1170</v>
      </c>
      <c r="C185" s="114" t="s">
        <v>1157</v>
      </c>
      <c r="D185" s="43">
        <v>1.0</v>
      </c>
      <c r="E185" s="62"/>
      <c r="F185" s="287" t="s">
        <v>1</v>
      </c>
      <c r="G185" s="250" t="s">
        <v>1</v>
      </c>
      <c r="H185" s="53"/>
      <c r="I185" s="53"/>
      <c r="J185" s="53"/>
      <c r="K185" s="53"/>
      <c r="L185" s="53"/>
      <c r="M185" s="53"/>
    </row>
    <row r="186">
      <c r="A186" s="194" t="s">
        <v>1178</v>
      </c>
      <c r="B186" s="87" t="s">
        <v>1179</v>
      </c>
      <c r="C186" s="114" t="s">
        <v>1157</v>
      </c>
      <c r="D186" s="289"/>
      <c r="E186" s="43"/>
      <c r="F186" s="212"/>
      <c r="G186" s="213"/>
      <c r="H186" s="53"/>
      <c r="I186" s="53"/>
      <c r="J186" s="53"/>
      <c r="K186" s="53"/>
      <c r="L186" s="53"/>
      <c r="M186" s="53"/>
    </row>
    <row r="187">
      <c r="A187" s="191" t="s">
        <v>1182</v>
      </c>
      <c r="B187" s="290" t="s">
        <v>1184</v>
      </c>
      <c r="C187" s="114" t="s">
        <v>1157</v>
      </c>
      <c r="D187" s="97"/>
      <c r="E187" s="97"/>
      <c r="F187" s="215"/>
      <c r="G187" s="97"/>
      <c r="H187" s="53"/>
      <c r="I187" s="53"/>
      <c r="J187" s="53"/>
      <c r="K187" s="53"/>
      <c r="L187" s="53"/>
      <c r="M187" s="53"/>
    </row>
    <row r="188">
      <c r="A188" s="194" t="s">
        <v>1190</v>
      </c>
      <c r="B188" s="87" t="s">
        <v>1191</v>
      </c>
      <c r="C188" s="114" t="s">
        <v>1157</v>
      </c>
      <c r="D188" s="27">
        <v>1.0</v>
      </c>
      <c r="E188" s="196"/>
      <c r="F188" s="198" t="s">
        <v>1194</v>
      </c>
      <c r="G188" s="196"/>
      <c r="H188" s="53"/>
      <c r="I188" s="53"/>
      <c r="J188" s="53"/>
      <c r="K188" s="53"/>
      <c r="L188" s="53"/>
      <c r="M188" s="53"/>
    </row>
    <row r="189">
      <c r="A189" s="191" t="s">
        <v>1196</v>
      </c>
      <c r="B189" s="55" t="s">
        <v>1184</v>
      </c>
      <c r="C189" s="60" t="s">
        <v>1157</v>
      </c>
      <c r="D189" s="134"/>
      <c r="E189" s="134"/>
      <c r="F189" s="258"/>
      <c r="G189" s="134"/>
      <c r="H189" s="53"/>
      <c r="I189" s="53"/>
      <c r="J189" s="53"/>
      <c r="K189" s="53"/>
      <c r="L189" s="53"/>
      <c r="M189" s="53"/>
    </row>
    <row r="190">
      <c r="A190" s="194" t="s">
        <v>1204</v>
      </c>
      <c r="B190" s="55" t="s">
        <v>1206</v>
      </c>
      <c r="C190" s="60" t="s">
        <v>1157</v>
      </c>
      <c r="D190" s="134"/>
      <c r="E190" s="216"/>
      <c r="F190" s="198" t="s">
        <v>1208</v>
      </c>
      <c r="G190" s="216"/>
      <c r="H190" s="53"/>
      <c r="I190" s="53"/>
      <c r="J190" s="53"/>
      <c r="K190" s="53"/>
      <c r="L190" s="53"/>
      <c r="M190" s="53"/>
    </row>
    <row r="191">
      <c r="A191" s="191" t="s">
        <v>1210</v>
      </c>
      <c r="B191" s="55" t="s">
        <v>1212</v>
      </c>
      <c r="C191" s="60" t="s">
        <v>1157</v>
      </c>
      <c r="D191" s="134"/>
      <c r="E191" s="27"/>
      <c r="F191" s="258"/>
      <c r="G191" s="134"/>
      <c r="H191" s="53"/>
      <c r="I191" s="53"/>
      <c r="J191" s="53"/>
      <c r="K191" s="53"/>
      <c r="L191" s="53"/>
      <c r="M191" s="53"/>
    </row>
    <row r="192">
      <c r="A192" s="194" t="s">
        <v>1214</v>
      </c>
      <c r="B192" s="55" t="s">
        <v>438</v>
      </c>
      <c r="C192" s="41" t="s">
        <v>1157</v>
      </c>
      <c r="D192" s="27"/>
      <c r="E192" s="210">
        <v>4.0</v>
      </c>
      <c r="F192" s="198" t="s">
        <v>1217</v>
      </c>
      <c r="G192" s="292" t="s">
        <v>1218</v>
      </c>
      <c r="H192" s="53"/>
      <c r="I192" s="53"/>
      <c r="J192" s="53"/>
      <c r="K192" s="53"/>
      <c r="L192" s="53"/>
      <c r="M192" s="53"/>
    </row>
    <row r="193">
      <c r="A193" s="191" t="s">
        <v>1220</v>
      </c>
      <c r="B193" s="87" t="s">
        <v>1222</v>
      </c>
      <c r="C193" s="60" t="s">
        <v>1157</v>
      </c>
      <c r="D193" s="27">
        <v>2.0</v>
      </c>
      <c r="E193" s="27"/>
      <c r="F193" s="192" t="s">
        <v>1225</v>
      </c>
      <c r="G193" s="226" t="s">
        <v>1227</v>
      </c>
      <c r="H193" s="53"/>
      <c r="I193" s="53"/>
      <c r="J193" s="53"/>
      <c r="K193" s="53"/>
      <c r="L193" s="53"/>
      <c r="M193" s="53"/>
    </row>
    <row r="194">
      <c r="A194" s="209" t="s">
        <v>1229</v>
      </c>
      <c r="B194" s="87" t="s">
        <v>1230</v>
      </c>
      <c r="C194" s="114" t="s">
        <v>1157</v>
      </c>
      <c r="D194" s="27">
        <v>3.0</v>
      </c>
      <c r="E194" s="210">
        <v>9.0</v>
      </c>
      <c r="F194" s="198" t="s">
        <v>1232</v>
      </c>
      <c r="G194" s="292" t="s">
        <v>1233</v>
      </c>
      <c r="H194" s="49" t="s">
        <v>1235</v>
      </c>
      <c r="I194" s="49" t="s">
        <v>1238</v>
      </c>
      <c r="J194" s="256" t="s">
        <v>1242</v>
      </c>
      <c r="K194" s="49"/>
      <c r="L194" s="49"/>
      <c r="M194" s="49"/>
    </row>
    <row r="195">
      <c r="A195" s="191" t="s">
        <v>1244</v>
      </c>
      <c r="B195" s="87" t="s">
        <v>1245</v>
      </c>
      <c r="C195" s="114" t="s">
        <v>1247</v>
      </c>
      <c r="D195" s="97"/>
      <c r="E195" s="27">
        <v>1.0</v>
      </c>
      <c r="F195" s="192" t="s">
        <v>1249</v>
      </c>
      <c r="G195" s="293" t="s">
        <v>1251</v>
      </c>
      <c r="H195" s="53"/>
      <c r="I195" s="53"/>
      <c r="J195" s="294"/>
      <c r="K195" s="53"/>
      <c r="L195" s="53"/>
      <c r="M195" s="53"/>
    </row>
    <row r="196">
      <c r="A196" s="194" t="s">
        <v>537</v>
      </c>
      <c r="B196" s="39" t="s">
        <v>1260</v>
      </c>
      <c r="C196" s="41" t="s">
        <v>1261</v>
      </c>
      <c r="D196" s="97"/>
      <c r="E196" s="210">
        <v>2.0</v>
      </c>
      <c r="F196" s="198" t="s">
        <v>1263</v>
      </c>
      <c r="G196" s="196"/>
      <c r="H196" s="53"/>
      <c r="I196" s="53"/>
      <c r="J196" s="53"/>
      <c r="K196" s="53"/>
      <c r="L196" s="53"/>
      <c r="M196" s="53"/>
    </row>
    <row r="197">
      <c r="A197" s="191" t="s">
        <v>1264</v>
      </c>
      <c r="B197" s="87" t="s">
        <v>1260</v>
      </c>
      <c r="C197" s="114" t="s">
        <v>1261</v>
      </c>
      <c r="D197" s="27">
        <v>2.0</v>
      </c>
      <c r="E197" s="97"/>
      <c r="F197" s="215"/>
      <c r="G197" s="97"/>
      <c r="H197" s="53"/>
      <c r="I197" s="53"/>
      <c r="J197" s="53"/>
      <c r="K197" s="53"/>
      <c r="L197" s="53"/>
      <c r="M197" s="53"/>
    </row>
    <row r="198">
      <c r="A198" s="194" t="s">
        <v>1272</v>
      </c>
      <c r="B198" s="87"/>
      <c r="C198" s="114" t="s">
        <v>1261</v>
      </c>
      <c r="D198" s="27"/>
      <c r="E198" s="196"/>
      <c r="F198" s="227"/>
      <c r="G198" s="196"/>
      <c r="H198" s="53"/>
      <c r="I198" s="53"/>
      <c r="J198" s="53"/>
      <c r="K198" s="53"/>
      <c r="L198" s="53"/>
      <c r="M198" s="53"/>
    </row>
    <row r="199">
      <c r="A199" s="199" t="s">
        <v>1275</v>
      </c>
      <c r="B199" s="87" t="s">
        <v>1276</v>
      </c>
      <c r="C199" s="114" t="s">
        <v>1278</v>
      </c>
      <c r="D199" s="43">
        <v>2.0</v>
      </c>
      <c r="E199" s="62"/>
      <c r="F199" s="232" t="s">
        <v>1279</v>
      </c>
      <c r="G199" s="247" t="s">
        <v>1281</v>
      </c>
      <c r="H199" s="53"/>
      <c r="I199" s="53"/>
      <c r="J199" s="53"/>
      <c r="K199" s="53"/>
      <c r="L199" s="53"/>
      <c r="M199" s="53"/>
    </row>
    <row r="200">
      <c r="A200" s="299" t="s">
        <v>1283</v>
      </c>
      <c r="B200" s="157" t="s">
        <v>1284</v>
      </c>
      <c r="C200" s="158" t="s">
        <v>1278</v>
      </c>
      <c r="D200" s="62"/>
      <c r="E200" s="62"/>
      <c r="F200" s="246"/>
      <c r="G200" s="213"/>
      <c r="H200" s="53"/>
      <c r="I200" s="53"/>
      <c r="J200" s="53"/>
      <c r="K200" s="53"/>
      <c r="L200" s="53"/>
      <c r="M200" s="53"/>
    </row>
    <row r="201">
      <c r="A201" s="199" t="s">
        <v>1287</v>
      </c>
      <c r="B201" s="87" t="s">
        <v>1288</v>
      </c>
      <c r="C201" s="114" t="s">
        <v>1278</v>
      </c>
      <c r="D201" s="62"/>
      <c r="E201" s="43">
        <v>2.0</v>
      </c>
      <c r="F201" s="232" t="s">
        <v>1027</v>
      </c>
      <c r="G201" s="300"/>
      <c r="H201" s="49"/>
      <c r="I201" s="53"/>
      <c r="J201" s="53"/>
      <c r="K201" s="53"/>
      <c r="L201" s="53"/>
      <c r="M201" s="53"/>
    </row>
    <row r="202">
      <c r="A202" s="194" t="s">
        <v>1290</v>
      </c>
      <c r="B202" s="39" t="s">
        <v>1291</v>
      </c>
      <c r="C202" s="41" t="s">
        <v>1278</v>
      </c>
      <c r="D202" s="62"/>
      <c r="E202" s="43">
        <v>1.0</v>
      </c>
      <c r="F202" s="212" t="s">
        <v>1292</v>
      </c>
      <c r="G202" s="230" t="s">
        <v>1293</v>
      </c>
      <c r="H202" s="53"/>
      <c r="I202" s="53"/>
      <c r="J202" s="53"/>
      <c r="K202" s="53"/>
      <c r="L202" s="53"/>
      <c r="M202" s="53"/>
    </row>
    <row r="203">
      <c r="A203" s="231" t="s">
        <v>1295</v>
      </c>
      <c r="B203" s="87" t="s">
        <v>1291</v>
      </c>
      <c r="C203" s="60" t="s">
        <v>1278</v>
      </c>
      <c r="D203" s="62"/>
      <c r="E203" s="43">
        <v>4.0</v>
      </c>
      <c r="F203" s="301" t="s">
        <v>1301</v>
      </c>
      <c r="G203" s="302"/>
      <c r="H203" s="49"/>
      <c r="I203" s="53"/>
      <c r="J203" s="53"/>
      <c r="K203" s="53"/>
      <c r="L203" s="53"/>
      <c r="M203" s="53"/>
    </row>
    <row r="204">
      <c r="A204" s="299" t="s">
        <v>1303</v>
      </c>
      <c r="B204" s="157" t="s">
        <v>1305</v>
      </c>
      <c r="C204" s="158" t="s">
        <v>1278</v>
      </c>
      <c r="D204" s="62"/>
      <c r="E204" s="62"/>
      <c r="F204" s="246"/>
      <c r="G204" s="213"/>
      <c r="H204" s="53"/>
      <c r="I204" s="53"/>
      <c r="J204" s="53"/>
      <c r="K204" s="53"/>
      <c r="L204" s="53"/>
      <c r="M204" s="53"/>
    </row>
    <row r="205">
      <c r="A205" s="218" t="s">
        <v>1303</v>
      </c>
      <c r="B205" s="157" t="s">
        <v>1305</v>
      </c>
      <c r="C205" s="158" t="s">
        <v>1278</v>
      </c>
      <c r="D205" s="62"/>
      <c r="E205" s="62"/>
      <c r="F205" s="228"/>
      <c r="G205" s="229"/>
      <c r="H205" s="53"/>
      <c r="I205" s="53"/>
      <c r="J205" s="53"/>
      <c r="K205" s="53"/>
      <c r="L205" s="53"/>
      <c r="M205" s="53"/>
    </row>
    <row r="206">
      <c r="A206" s="194" t="s">
        <v>1313</v>
      </c>
      <c r="B206" s="87" t="s">
        <v>1315</v>
      </c>
      <c r="C206" s="114" t="s">
        <v>1278</v>
      </c>
      <c r="D206" s="97"/>
      <c r="E206" s="62"/>
      <c r="F206" s="246"/>
      <c r="G206" s="213"/>
      <c r="H206" s="53"/>
      <c r="I206" s="53"/>
      <c r="J206" s="53"/>
      <c r="K206" s="53"/>
      <c r="L206" s="53"/>
      <c r="M206" s="53"/>
    </row>
    <row r="207">
      <c r="A207" s="191" t="s">
        <v>1316</v>
      </c>
      <c r="B207" s="39" t="s">
        <v>1318</v>
      </c>
      <c r="C207" s="41" t="s">
        <v>1278</v>
      </c>
      <c r="D207" s="97"/>
      <c r="E207" s="97"/>
      <c r="F207" s="215"/>
      <c r="G207" s="97"/>
      <c r="H207" s="53"/>
      <c r="I207" s="53"/>
      <c r="J207" s="53"/>
      <c r="K207" s="53"/>
      <c r="L207" s="53"/>
      <c r="M207" s="53"/>
    </row>
    <row r="208">
      <c r="A208" s="194" t="s">
        <v>1321</v>
      </c>
      <c r="B208" s="87" t="s">
        <v>1322</v>
      </c>
      <c r="C208" s="114" t="s">
        <v>1278</v>
      </c>
      <c r="D208" s="27"/>
      <c r="E208" s="196"/>
      <c r="F208" s="198"/>
      <c r="G208" s="216"/>
      <c r="H208" s="53"/>
      <c r="I208" s="53"/>
      <c r="J208" s="53"/>
      <c r="K208" s="53"/>
      <c r="L208" s="53"/>
      <c r="M208" s="53"/>
    </row>
    <row r="209">
      <c r="A209" s="191" t="s">
        <v>1323</v>
      </c>
      <c r="B209" s="39" t="s">
        <v>1324</v>
      </c>
      <c r="C209" s="41" t="s">
        <v>1278</v>
      </c>
      <c r="D209" s="97"/>
      <c r="E209" s="27">
        <v>2.0</v>
      </c>
      <c r="F209" s="192" t="s">
        <v>1325</v>
      </c>
      <c r="G209" s="97"/>
      <c r="H209" s="53"/>
      <c r="I209" s="53"/>
      <c r="J209" s="53"/>
      <c r="K209" s="53"/>
      <c r="L209" s="53"/>
      <c r="M209" s="53"/>
    </row>
    <row r="210">
      <c r="A210" s="194" t="s">
        <v>1326</v>
      </c>
      <c r="B210" s="55" t="s">
        <v>1327</v>
      </c>
      <c r="C210" s="60" t="s">
        <v>1278</v>
      </c>
      <c r="D210" s="134"/>
      <c r="E210" s="216"/>
      <c r="F210" s="304"/>
      <c r="G210" s="216"/>
      <c r="H210" s="53"/>
      <c r="I210" s="53"/>
      <c r="J210" s="53"/>
      <c r="K210" s="53"/>
      <c r="L210" s="53"/>
      <c r="M210" s="53"/>
    </row>
    <row r="211">
      <c r="A211" s="191" t="s">
        <v>1330</v>
      </c>
      <c r="B211" s="87" t="s">
        <v>1315</v>
      </c>
      <c r="C211" s="114" t="s">
        <v>1278</v>
      </c>
      <c r="D211" s="97"/>
      <c r="E211" s="97"/>
      <c r="F211" s="215"/>
      <c r="G211" s="97"/>
      <c r="H211" s="53"/>
      <c r="I211" s="53"/>
      <c r="J211" s="53"/>
      <c r="K211" s="53"/>
      <c r="L211" s="53"/>
      <c r="M211" s="53"/>
    </row>
    <row r="212">
      <c r="A212" s="194" t="s">
        <v>1334</v>
      </c>
      <c r="B212" s="87" t="s">
        <v>1288</v>
      </c>
      <c r="C212" s="114" t="s">
        <v>1278</v>
      </c>
      <c r="D212" s="97"/>
      <c r="E212" s="210">
        <v>2.0</v>
      </c>
      <c r="F212" s="306" t="s">
        <v>1335</v>
      </c>
      <c r="G212" s="210" t="s">
        <v>1341</v>
      </c>
      <c r="H212" s="53"/>
      <c r="I212" s="53"/>
      <c r="J212" s="53"/>
      <c r="K212" s="53"/>
      <c r="L212" s="53"/>
      <c r="M212" s="53"/>
    </row>
    <row r="213">
      <c r="A213" s="199" t="s">
        <v>1345</v>
      </c>
      <c r="B213" s="87" t="s">
        <v>1291</v>
      </c>
      <c r="C213" s="114" t="s">
        <v>1278</v>
      </c>
      <c r="D213" s="97"/>
      <c r="E213" s="97"/>
      <c r="F213" s="215"/>
      <c r="G213" s="97"/>
      <c r="H213" s="53"/>
      <c r="I213" s="53"/>
      <c r="J213" s="53"/>
      <c r="K213" s="53"/>
      <c r="L213" s="53"/>
      <c r="M213" s="53"/>
    </row>
    <row r="214">
      <c r="A214" s="194" t="s">
        <v>1348</v>
      </c>
      <c r="B214" s="87" t="s">
        <v>1288</v>
      </c>
      <c r="C214" s="114" t="s">
        <v>1278</v>
      </c>
      <c r="D214" s="27"/>
      <c r="E214" s="210">
        <v>4.0</v>
      </c>
      <c r="F214" s="198" t="s">
        <v>1349</v>
      </c>
      <c r="G214" s="196"/>
      <c r="H214" s="53"/>
      <c r="I214" s="53"/>
      <c r="J214" s="53"/>
      <c r="K214" s="53"/>
      <c r="L214" s="53"/>
      <c r="M214" s="53"/>
    </row>
    <row r="215">
      <c r="A215" s="199" t="s">
        <v>1350</v>
      </c>
      <c r="B215" s="55" t="s">
        <v>1351</v>
      </c>
      <c r="C215" s="60" t="s">
        <v>1278</v>
      </c>
      <c r="D215" s="27">
        <v>2.0</v>
      </c>
      <c r="E215" s="27">
        <v>7.0</v>
      </c>
      <c r="F215" s="192" t="s">
        <v>1357</v>
      </c>
      <c r="G215" s="226" t="s">
        <v>1358</v>
      </c>
      <c r="H215" s="49" t="s">
        <v>1359</v>
      </c>
      <c r="I215" s="49" t="s">
        <v>1360</v>
      </c>
      <c r="J215" s="49" t="s">
        <v>1362</v>
      </c>
      <c r="K215" s="49" t="s">
        <v>1363</v>
      </c>
      <c r="L215" s="49" t="s">
        <v>1365</v>
      </c>
      <c r="M215" s="49"/>
    </row>
    <row r="216">
      <c r="A216" s="194" t="s">
        <v>1366</v>
      </c>
      <c r="B216" s="55" t="s">
        <v>1367</v>
      </c>
      <c r="C216" s="41" t="s">
        <v>1278</v>
      </c>
      <c r="D216" s="97"/>
      <c r="E216" s="210"/>
      <c r="F216" s="248"/>
      <c r="G216" s="292"/>
      <c r="H216" s="49"/>
      <c r="I216" s="53"/>
      <c r="J216" s="53"/>
      <c r="K216" s="53"/>
      <c r="L216" s="53"/>
      <c r="M216" s="53"/>
    </row>
    <row r="217">
      <c r="A217" s="191" t="s">
        <v>1370</v>
      </c>
      <c r="B217" s="87" t="s">
        <v>1372</v>
      </c>
      <c r="C217" s="114" t="s">
        <v>1278</v>
      </c>
      <c r="D217" s="27" t="s">
        <v>1</v>
      </c>
      <c r="E217" s="27">
        <v>5.0</v>
      </c>
      <c r="F217" s="192" t="s">
        <v>1374</v>
      </c>
      <c r="G217" s="226"/>
      <c r="H217" s="49"/>
      <c r="I217" s="53"/>
      <c r="J217" s="53"/>
      <c r="K217" s="53"/>
      <c r="L217" s="53"/>
      <c r="M217" s="53"/>
    </row>
    <row r="218">
      <c r="A218" s="209" t="s">
        <v>1375</v>
      </c>
      <c r="B218" s="39" t="s">
        <v>1291</v>
      </c>
      <c r="C218" s="41" t="s">
        <v>1278</v>
      </c>
      <c r="D218" s="27">
        <v>2.0</v>
      </c>
      <c r="E218" s="210">
        <v>1.0</v>
      </c>
      <c r="F218" s="198" t="s">
        <v>1382</v>
      </c>
      <c r="G218" s="237"/>
      <c r="H218" s="49"/>
      <c r="I218" s="53"/>
      <c r="J218" s="53"/>
      <c r="K218" s="53"/>
      <c r="L218" s="53"/>
      <c r="M218" s="53"/>
    </row>
    <row r="219" ht="82.5" customHeight="1">
      <c r="A219" s="199" t="s">
        <v>1383</v>
      </c>
      <c r="B219" s="39" t="s">
        <v>1315</v>
      </c>
      <c r="C219" s="41" t="s">
        <v>1278</v>
      </c>
      <c r="D219" s="27">
        <v>4.0</v>
      </c>
      <c r="E219" s="27"/>
      <c r="F219" s="192" t="s">
        <v>1389</v>
      </c>
      <c r="G219" s="134"/>
      <c r="H219" s="53"/>
      <c r="I219" s="53"/>
      <c r="J219" s="53"/>
      <c r="K219" s="53"/>
      <c r="L219" s="53"/>
      <c r="M219" s="53"/>
    </row>
    <row r="220" ht="103.5" customHeight="1">
      <c r="A220" s="309" t="s">
        <v>1393</v>
      </c>
      <c r="B220" s="87" t="s">
        <v>1305</v>
      </c>
      <c r="C220" s="114" t="s">
        <v>1278</v>
      </c>
      <c r="D220" s="27">
        <v>1.0</v>
      </c>
      <c r="E220" s="210"/>
      <c r="F220" s="198" t="s">
        <v>1400</v>
      </c>
      <c r="G220" s="196"/>
      <c r="H220" s="53"/>
      <c r="I220" s="53"/>
      <c r="J220" s="53"/>
      <c r="K220" s="53"/>
      <c r="L220" s="53"/>
      <c r="M220" s="53"/>
    </row>
    <row r="221" ht="160.5" customHeight="1">
      <c r="A221" s="199" t="s">
        <v>1403</v>
      </c>
      <c r="B221" s="87" t="s">
        <v>1315</v>
      </c>
      <c r="C221" s="114" t="s">
        <v>1278</v>
      </c>
      <c r="D221" s="311">
        <v>3.0</v>
      </c>
      <c r="E221" s="311"/>
      <c r="F221" s="155" t="s">
        <v>1407</v>
      </c>
      <c r="G221" s="312" t="s">
        <v>1409</v>
      </c>
      <c r="H221" s="285"/>
      <c r="I221" s="285"/>
      <c r="J221" s="285"/>
      <c r="K221" s="285"/>
      <c r="L221" s="285"/>
      <c r="M221" s="285"/>
    </row>
    <row r="222">
      <c r="A222" s="209" t="s">
        <v>1414</v>
      </c>
      <c r="B222" s="87" t="s">
        <v>1315</v>
      </c>
      <c r="C222" s="114" t="s">
        <v>1278</v>
      </c>
      <c r="D222" s="97"/>
      <c r="E222" s="196"/>
      <c r="F222" s="227"/>
      <c r="G222" s="196"/>
      <c r="H222" s="53"/>
      <c r="I222" s="53"/>
      <c r="J222" s="53"/>
      <c r="K222" s="53"/>
      <c r="L222" s="53"/>
      <c r="M222" s="53"/>
    </row>
    <row r="223">
      <c r="A223" s="199" t="s">
        <v>1421</v>
      </c>
      <c r="B223" s="39" t="s">
        <v>1423</v>
      </c>
      <c r="C223" s="41" t="s">
        <v>1278</v>
      </c>
      <c r="D223" s="27"/>
      <c r="E223" s="27"/>
      <c r="F223" s="192"/>
      <c r="G223" s="134"/>
      <c r="H223" s="53"/>
      <c r="I223" s="53"/>
      <c r="J223" s="53"/>
      <c r="K223" s="53"/>
      <c r="L223" s="53"/>
      <c r="M223" s="53"/>
    </row>
    <row r="224">
      <c r="A224" s="194" t="s">
        <v>1426</v>
      </c>
      <c r="B224" s="87" t="s">
        <v>1291</v>
      </c>
      <c r="C224" s="114" t="s">
        <v>1278</v>
      </c>
      <c r="D224" s="97"/>
      <c r="E224" s="196"/>
      <c r="F224" s="227"/>
      <c r="G224" s="196"/>
      <c r="H224" s="53"/>
      <c r="I224" s="53"/>
      <c r="J224" s="53"/>
      <c r="K224" s="53"/>
      <c r="L224" s="53"/>
      <c r="M224" s="53"/>
    </row>
    <row r="225">
      <c r="A225" s="199"/>
      <c r="B225" s="39" t="s">
        <v>1315</v>
      </c>
      <c r="C225" s="41" t="s">
        <v>1278</v>
      </c>
      <c r="D225" s="97"/>
      <c r="E225" s="97"/>
      <c r="F225" s="215"/>
      <c r="G225" s="97"/>
      <c r="H225" s="53"/>
      <c r="I225" s="53"/>
      <c r="J225" s="53"/>
      <c r="K225" s="53"/>
      <c r="L225" s="53"/>
      <c r="M225" s="53"/>
    </row>
    <row r="226">
      <c r="A226" s="209" t="s">
        <v>1437</v>
      </c>
      <c r="B226" s="87" t="s">
        <v>1439</v>
      </c>
      <c r="C226" s="114" t="s">
        <v>1278</v>
      </c>
      <c r="D226" s="27"/>
      <c r="E226" s="196"/>
      <c r="F226" s="198"/>
      <c r="G226" s="196"/>
      <c r="H226" s="53"/>
      <c r="I226" s="53"/>
      <c r="J226" s="53"/>
      <c r="K226" s="53"/>
      <c r="L226" s="53"/>
      <c r="M226" s="53"/>
    </row>
    <row r="227">
      <c r="A227" s="191" t="s">
        <v>1441</v>
      </c>
      <c r="B227" s="55" t="s">
        <v>1288</v>
      </c>
      <c r="C227" s="60" t="s">
        <v>1278</v>
      </c>
      <c r="D227" s="134"/>
      <c r="E227" s="27"/>
      <c r="F227" s="192"/>
      <c r="G227" s="134"/>
      <c r="H227" s="53"/>
      <c r="I227" s="53"/>
      <c r="J227" s="53"/>
      <c r="K227" s="53"/>
      <c r="L227" s="53"/>
      <c r="M227" s="53"/>
    </row>
    <row r="228">
      <c r="A228" s="194" t="s">
        <v>1444</v>
      </c>
      <c r="B228" s="39" t="s">
        <v>1445</v>
      </c>
      <c r="C228" s="41" t="s">
        <v>1278</v>
      </c>
      <c r="D228" s="27"/>
      <c r="E228" s="196"/>
      <c r="F228" s="198"/>
      <c r="G228" s="216"/>
      <c r="H228" s="53"/>
      <c r="I228" s="53"/>
      <c r="J228" s="53"/>
      <c r="K228" s="53"/>
      <c r="L228" s="53"/>
      <c r="M228" s="53"/>
    </row>
    <row r="229">
      <c r="A229" s="191" t="s">
        <v>1448</v>
      </c>
      <c r="B229" s="87" t="s">
        <v>1450</v>
      </c>
      <c r="C229" s="114" t="s">
        <v>1278</v>
      </c>
      <c r="D229" s="97"/>
      <c r="E229" s="97"/>
      <c r="F229" s="215"/>
      <c r="G229" s="97"/>
      <c r="H229" s="53"/>
      <c r="I229" s="53"/>
      <c r="J229" s="53"/>
      <c r="K229" s="53"/>
      <c r="L229" s="53"/>
      <c r="M229" s="53"/>
    </row>
    <row r="230">
      <c r="A230" s="194" t="s">
        <v>1453</v>
      </c>
      <c r="B230" s="87" t="s">
        <v>1291</v>
      </c>
      <c r="C230" s="114" t="s">
        <v>1278</v>
      </c>
      <c r="D230" s="97"/>
      <c r="E230" s="210">
        <v>8.0</v>
      </c>
      <c r="F230" s="198" t="s">
        <v>1455</v>
      </c>
      <c r="G230" s="292" t="s">
        <v>1456</v>
      </c>
      <c r="H230" s="53"/>
      <c r="I230" s="53"/>
      <c r="J230" s="53"/>
      <c r="K230" s="53"/>
      <c r="L230" s="53"/>
      <c r="M230" s="53"/>
    </row>
    <row r="231">
      <c r="A231" s="191" t="s">
        <v>1457</v>
      </c>
      <c r="B231" s="87" t="s">
        <v>1458</v>
      </c>
      <c r="C231" s="41" t="s">
        <v>1278</v>
      </c>
      <c r="D231" s="97"/>
      <c r="E231" s="97"/>
      <c r="F231" s="215"/>
      <c r="G231" s="97"/>
      <c r="H231" s="53"/>
      <c r="I231" s="53"/>
      <c r="J231" s="53"/>
      <c r="K231" s="53"/>
      <c r="L231" s="53"/>
      <c r="M231" s="53"/>
    </row>
    <row r="232">
      <c r="A232" s="194" t="s">
        <v>1462</v>
      </c>
      <c r="B232" s="87" t="s">
        <v>1038</v>
      </c>
      <c r="C232" s="114" t="s">
        <v>1278</v>
      </c>
      <c r="D232" s="27">
        <v>1.0</v>
      </c>
      <c r="E232" s="216"/>
      <c r="F232" s="198"/>
      <c r="G232" s="216"/>
      <c r="H232" s="53"/>
      <c r="I232" s="53"/>
      <c r="J232" s="53"/>
      <c r="K232" s="53"/>
      <c r="L232" s="53"/>
      <c r="M232" s="53"/>
    </row>
    <row r="233">
      <c r="A233" s="191" t="s">
        <v>1464</v>
      </c>
      <c r="B233" s="39" t="s">
        <v>1465</v>
      </c>
      <c r="C233" s="41" t="s">
        <v>1278</v>
      </c>
      <c r="D233" s="27">
        <v>2.0</v>
      </c>
      <c r="E233" s="27">
        <v>2.0</v>
      </c>
      <c r="F233" s="192" t="s">
        <v>1467</v>
      </c>
      <c r="G233" s="315" t="s">
        <v>1468</v>
      </c>
      <c r="H233" s="49" t="s">
        <v>1470</v>
      </c>
      <c r="I233" s="49" t="s">
        <v>1472</v>
      </c>
      <c r="J233" s="49"/>
      <c r="K233" s="49"/>
      <c r="L233" s="49"/>
      <c r="M233" s="49"/>
    </row>
    <row r="234">
      <c r="A234" s="194" t="s">
        <v>1473</v>
      </c>
      <c r="B234" s="87" t="s">
        <v>1291</v>
      </c>
      <c r="C234" s="114" t="s">
        <v>1278</v>
      </c>
      <c r="D234" s="97"/>
      <c r="E234" s="210"/>
      <c r="F234" s="248"/>
      <c r="G234" s="316"/>
      <c r="H234" s="53"/>
      <c r="I234" s="53"/>
      <c r="J234" s="53"/>
      <c r="K234" s="53"/>
      <c r="L234" s="53"/>
      <c r="M234" s="53"/>
    </row>
    <row r="235">
      <c r="A235" s="218" t="s">
        <v>1476</v>
      </c>
      <c r="B235" s="157" t="s">
        <v>1478</v>
      </c>
      <c r="C235" s="158" t="s">
        <v>1278</v>
      </c>
      <c r="D235" s="62"/>
      <c r="E235" s="43"/>
      <c r="F235" s="232"/>
      <c r="G235" s="317"/>
      <c r="H235" s="53"/>
      <c r="I235" s="53"/>
      <c r="J235" s="53"/>
      <c r="K235" s="53"/>
      <c r="L235" s="53"/>
      <c r="M235" s="53"/>
    </row>
    <row r="236">
      <c r="A236" s="209" t="s">
        <v>1480</v>
      </c>
      <c r="B236" s="55" t="s">
        <v>1481</v>
      </c>
      <c r="C236" s="60" t="s">
        <v>1483</v>
      </c>
      <c r="D236" s="62"/>
      <c r="E236" s="43">
        <v>1.0</v>
      </c>
      <c r="F236" s="246"/>
      <c r="G236" s="318"/>
      <c r="H236" s="53"/>
      <c r="I236" s="53"/>
      <c r="J236" s="53"/>
      <c r="K236" s="53"/>
      <c r="L236" s="53"/>
      <c r="M236" s="53"/>
    </row>
    <row r="237">
      <c r="A237" s="199" t="s">
        <v>1486</v>
      </c>
      <c r="B237" s="39" t="s">
        <v>1487</v>
      </c>
      <c r="C237" s="41" t="s">
        <v>1483</v>
      </c>
      <c r="D237" s="43"/>
      <c r="E237" s="62"/>
      <c r="F237" s="228"/>
      <c r="G237" s="317"/>
      <c r="H237" s="53"/>
      <c r="I237" s="53"/>
      <c r="J237" s="53"/>
      <c r="K237" s="53"/>
      <c r="L237" s="53"/>
      <c r="M237" s="53"/>
    </row>
    <row r="238">
      <c r="A238" s="194" t="s">
        <v>896</v>
      </c>
      <c r="B238" s="39" t="s">
        <v>1487</v>
      </c>
      <c r="C238" s="41" t="s">
        <v>1483</v>
      </c>
      <c r="D238" s="62"/>
      <c r="E238" s="43"/>
      <c r="F238" s="253"/>
      <c r="G238" s="319"/>
      <c r="H238" s="53"/>
      <c r="I238" s="53"/>
      <c r="J238" s="53"/>
      <c r="K238" s="53"/>
      <c r="L238" s="53"/>
      <c r="M238" s="53"/>
    </row>
    <row r="239">
      <c r="A239" s="191" t="s">
        <v>1495</v>
      </c>
      <c r="B239" s="87" t="s">
        <v>1497</v>
      </c>
      <c r="C239" s="114" t="s">
        <v>1483</v>
      </c>
      <c r="D239" s="43">
        <v>2.0</v>
      </c>
      <c r="E239" s="43"/>
      <c r="F239" s="232" t="s">
        <v>1498</v>
      </c>
      <c r="G239" s="317"/>
      <c r="H239" s="53"/>
      <c r="I239" s="53"/>
      <c r="J239" s="53"/>
      <c r="K239" s="53"/>
      <c r="L239" s="53"/>
      <c r="M239" s="53"/>
    </row>
    <row r="240">
      <c r="A240" s="194" t="s">
        <v>1499</v>
      </c>
      <c r="B240" s="39" t="s">
        <v>1500</v>
      </c>
      <c r="C240" s="41" t="s">
        <v>1483</v>
      </c>
      <c r="D240" s="97"/>
      <c r="E240" s="210">
        <v>1.0</v>
      </c>
      <c r="F240" s="198" t="s">
        <v>1502</v>
      </c>
      <c r="G240" s="237" t="s">
        <v>1504</v>
      </c>
      <c r="H240" s="49" t="s">
        <v>1506</v>
      </c>
      <c r="I240" s="53"/>
      <c r="J240" s="53"/>
      <c r="K240" s="53"/>
      <c r="L240" s="53"/>
      <c r="M240" s="53"/>
    </row>
    <row r="241">
      <c r="A241" s="191" t="s">
        <v>1508</v>
      </c>
      <c r="B241" s="320" t="s">
        <v>1509</v>
      </c>
      <c r="C241" s="114" t="s">
        <v>1483</v>
      </c>
      <c r="D241" s="97"/>
      <c r="E241" s="97"/>
      <c r="F241" s="215"/>
      <c r="G241" s="321"/>
      <c r="H241" s="53"/>
      <c r="I241" s="53"/>
      <c r="J241" s="53"/>
      <c r="K241" s="53"/>
      <c r="L241" s="53"/>
      <c r="M241" s="53"/>
    </row>
    <row r="242">
      <c r="A242" s="194" t="s">
        <v>1513</v>
      </c>
      <c r="B242" s="55" t="s">
        <v>1487</v>
      </c>
      <c r="C242" s="60" t="s">
        <v>1483</v>
      </c>
      <c r="D242" s="27"/>
      <c r="E242" s="216"/>
      <c r="F242" s="304"/>
      <c r="G242" s="322"/>
      <c r="H242" s="53"/>
      <c r="I242" s="53"/>
      <c r="J242" s="53"/>
      <c r="K242" s="53"/>
      <c r="L242" s="53"/>
      <c r="M242" s="53"/>
    </row>
    <row r="243">
      <c r="A243" s="191" t="s">
        <v>1515</v>
      </c>
      <c r="B243" s="39" t="s">
        <v>1497</v>
      </c>
      <c r="C243" s="41" t="s">
        <v>1483</v>
      </c>
      <c r="D243" s="97"/>
      <c r="E243" s="97"/>
      <c r="F243" s="215"/>
      <c r="G243" s="97"/>
      <c r="H243" s="53"/>
      <c r="I243" s="53"/>
      <c r="J243" s="53"/>
      <c r="K243" s="53"/>
      <c r="L243" s="53"/>
      <c r="M243" s="53"/>
    </row>
    <row r="244">
      <c r="A244" s="194" t="s">
        <v>1518</v>
      </c>
      <c r="B244" s="87" t="s">
        <v>1497</v>
      </c>
      <c r="C244" s="114" t="s">
        <v>1483</v>
      </c>
      <c r="D244" s="27">
        <v>2.0</v>
      </c>
      <c r="E244" s="210"/>
      <c r="F244" s="198" t="s">
        <v>1520</v>
      </c>
      <c r="G244" s="210" t="s">
        <v>1521</v>
      </c>
      <c r="H244" s="53"/>
      <c r="I244" s="53"/>
      <c r="J244" s="53"/>
      <c r="K244" s="53"/>
      <c r="L244" s="53"/>
      <c r="M244" s="53"/>
    </row>
    <row r="245">
      <c r="A245" s="191" t="s">
        <v>1522</v>
      </c>
      <c r="B245" s="87" t="s">
        <v>1497</v>
      </c>
      <c r="C245" s="114" t="s">
        <v>1483</v>
      </c>
      <c r="D245" s="27">
        <v>2.0</v>
      </c>
      <c r="E245" s="27">
        <v>1.0</v>
      </c>
      <c r="F245" s="192" t="s">
        <v>1523</v>
      </c>
      <c r="G245" s="27" t="s">
        <v>1525</v>
      </c>
      <c r="H245" s="53"/>
      <c r="I245" s="53"/>
      <c r="J245" s="53"/>
      <c r="K245" s="53"/>
      <c r="L245" s="53"/>
      <c r="M245" s="53"/>
    </row>
    <row r="246">
      <c r="A246" s="194" t="s">
        <v>1527</v>
      </c>
      <c r="B246" s="39" t="s">
        <v>1528</v>
      </c>
      <c r="C246" s="41" t="s">
        <v>1483</v>
      </c>
      <c r="D246" s="27"/>
      <c r="E246" s="210"/>
      <c r="F246" s="227"/>
      <c r="G246" s="196"/>
      <c r="H246" s="53"/>
      <c r="I246" s="53"/>
      <c r="J246" s="53"/>
      <c r="K246" s="53"/>
      <c r="L246" s="53"/>
      <c r="M246" s="53"/>
    </row>
    <row r="247">
      <c r="A247" s="191" t="s">
        <v>1530</v>
      </c>
      <c r="B247" s="39" t="s">
        <v>1481</v>
      </c>
      <c r="C247" s="41" t="s">
        <v>1483</v>
      </c>
      <c r="D247" s="27">
        <v>1.0</v>
      </c>
      <c r="E247" s="27">
        <v>4.0</v>
      </c>
      <c r="F247" s="192" t="s">
        <v>1534</v>
      </c>
      <c r="G247" s="334" t="s">
        <v>1535</v>
      </c>
      <c r="H247" s="53"/>
      <c r="I247" s="53"/>
      <c r="J247" s="53"/>
      <c r="K247" s="53"/>
      <c r="L247" s="53"/>
      <c r="M247" s="53"/>
    </row>
    <row r="248">
      <c r="A248" s="194" t="s">
        <v>1543</v>
      </c>
      <c r="B248" s="55" t="s">
        <v>1500</v>
      </c>
      <c r="C248" s="60" t="s">
        <v>1483</v>
      </c>
      <c r="D248" s="134"/>
      <c r="E248" s="216"/>
      <c r="F248" s="304"/>
      <c r="G248" s="341"/>
      <c r="H248" s="53"/>
      <c r="I248" s="53"/>
      <c r="J248" s="53"/>
      <c r="K248" s="53"/>
      <c r="L248" s="53"/>
      <c r="M248" s="53"/>
    </row>
    <row r="249">
      <c r="A249" s="191" t="s">
        <v>1553</v>
      </c>
      <c r="B249" s="39" t="s">
        <v>1500</v>
      </c>
      <c r="C249" s="41" t="s">
        <v>1483</v>
      </c>
      <c r="D249" s="27"/>
      <c r="E249" s="97"/>
      <c r="F249" s="192"/>
      <c r="G249" s="347"/>
      <c r="H249" s="53"/>
      <c r="I249" s="53"/>
      <c r="J249" s="53"/>
      <c r="K249" s="53"/>
      <c r="L249" s="53"/>
      <c r="M249" s="53"/>
    </row>
    <row r="250">
      <c r="A250" s="194" t="s">
        <v>1559</v>
      </c>
      <c r="B250" s="55" t="s">
        <v>1509</v>
      </c>
      <c r="C250" s="60" t="s">
        <v>1483</v>
      </c>
      <c r="D250" s="27"/>
      <c r="E250" s="210"/>
      <c r="F250" s="198"/>
      <c r="G250" s="292"/>
      <c r="H250" s="53"/>
      <c r="I250" s="53"/>
      <c r="J250" s="53"/>
      <c r="K250" s="53"/>
      <c r="L250" s="53"/>
      <c r="M250" s="53"/>
    </row>
    <row r="251">
      <c r="A251" s="191" t="s">
        <v>1560</v>
      </c>
      <c r="B251" s="55" t="s">
        <v>900</v>
      </c>
      <c r="C251" s="60" t="s">
        <v>1483</v>
      </c>
      <c r="D251" s="134"/>
      <c r="E251" s="134"/>
      <c r="F251" s="258"/>
      <c r="G251" s="347"/>
      <c r="H251" s="53"/>
      <c r="I251" s="53"/>
      <c r="J251" s="53"/>
      <c r="K251" s="53"/>
      <c r="L251" s="53"/>
      <c r="M251" s="53"/>
    </row>
    <row r="252">
      <c r="A252" s="209" t="s">
        <v>1566</v>
      </c>
      <c r="B252" s="55" t="s">
        <v>1567</v>
      </c>
      <c r="C252" s="60" t="s">
        <v>1483</v>
      </c>
      <c r="D252" s="27"/>
      <c r="E252" s="210">
        <v>4.0</v>
      </c>
      <c r="F252" s="198" t="s">
        <v>1572</v>
      </c>
      <c r="G252" s="292" t="s">
        <v>1573</v>
      </c>
      <c r="H252" s="49" t="s">
        <v>1574</v>
      </c>
      <c r="I252" s="53"/>
      <c r="J252" s="53"/>
      <c r="K252" s="53"/>
      <c r="L252" s="53"/>
      <c r="M252" s="53"/>
    </row>
    <row r="253">
      <c r="A253" s="191" t="s">
        <v>1577</v>
      </c>
      <c r="B253" s="55" t="s">
        <v>1580</v>
      </c>
      <c r="C253" s="114" t="s">
        <v>1483</v>
      </c>
      <c r="D253" s="97"/>
      <c r="E253" s="97"/>
      <c r="F253" s="215"/>
      <c r="G253" s="362"/>
      <c r="H253" s="53"/>
      <c r="I253" s="53"/>
      <c r="J253" s="53"/>
      <c r="K253" s="53"/>
      <c r="L253" s="53"/>
      <c r="M253" s="53"/>
    </row>
    <row r="254">
      <c r="A254" s="194" t="s">
        <v>1588</v>
      </c>
      <c r="B254" s="87" t="s">
        <v>1567</v>
      </c>
      <c r="C254" s="114" t="s">
        <v>1483</v>
      </c>
      <c r="D254" s="97"/>
      <c r="E254" s="210">
        <v>1.0</v>
      </c>
      <c r="F254" s="227"/>
      <c r="G254" s="365"/>
      <c r="H254" s="53"/>
      <c r="I254" s="53"/>
      <c r="J254" s="53"/>
      <c r="K254" s="53"/>
      <c r="L254" s="53"/>
      <c r="M254" s="53"/>
    </row>
    <row r="255">
      <c r="A255" s="191" t="s">
        <v>1598</v>
      </c>
      <c r="B255" s="87" t="s">
        <v>1600</v>
      </c>
      <c r="C255" s="114" t="s">
        <v>1602</v>
      </c>
      <c r="D255" s="27">
        <v>2.0</v>
      </c>
      <c r="E255" s="97"/>
      <c r="F255" s="192"/>
      <c r="G255" s="362"/>
      <c r="H255" s="53"/>
      <c r="I255" s="53"/>
      <c r="J255" s="53"/>
      <c r="K255" s="53"/>
      <c r="L255" s="53"/>
      <c r="M255" s="53"/>
    </row>
    <row r="256">
      <c r="A256" s="194" t="s">
        <v>1612</v>
      </c>
      <c r="B256" s="39" t="s">
        <v>1613</v>
      </c>
      <c r="C256" s="41" t="s">
        <v>1602</v>
      </c>
      <c r="D256" s="27">
        <v>2.0</v>
      </c>
      <c r="E256" s="210">
        <v>1.0</v>
      </c>
      <c r="F256" s="198" t="s">
        <v>1615</v>
      </c>
      <c r="G256" s="292" t="s">
        <v>1616</v>
      </c>
      <c r="H256" s="53"/>
      <c r="I256" s="53"/>
      <c r="J256" s="53"/>
      <c r="K256" s="53"/>
      <c r="L256" s="53"/>
      <c r="M256" s="53"/>
    </row>
    <row r="257">
      <c r="A257" s="191" t="s">
        <v>1619</v>
      </c>
      <c r="B257" s="39" t="s">
        <v>1600</v>
      </c>
      <c r="C257" s="41" t="s">
        <v>1602</v>
      </c>
      <c r="D257" s="27">
        <v>1.0</v>
      </c>
      <c r="E257" s="97"/>
      <c r="F257" s="215"/>
      <c r="G257" s="97"/>
      <c r="H257" s="53"/>
      <c r="I257" s="53"/>
      <c r="J257" s="53"/>
      <c r="K257" s="53"/>
      <c r="L257" s="53"/>
      <c r="M257" s="53"/>
    </row>
    <row r="258">
      <c r="A258" s="194" t="s">
        <v>1625</v>
      </c>
      <c r="B258" s="55" t="s">
        <v>1627</v>
      </c>
      <c r="C258" s="60" t="s">
        <v>1628</v>
      </c>
      <c r="D258" s="134"/>
      <c r="E258" s="216"/>
      <c r="F258" s="304"/>
      <c r="G258" s="216"/>
      <c r="H258" s="53"/>
      <c r="I258" s="53"/>
      <c r="J258" s="53"/>
      <c r="K258" s="53"/>
      <c r="L258" s="53"/>
      <c r="M258" s="53"/>
    </row>
    <row r="259">
      <c r="A259" s="191" t="s">
        <v>1631</v>
      </c>
      <c r="B259" s="39" t="s">
        <v>888</v>
      </c>
      <c r="C259" s="60" t="s">
        <v>1628</v>
      </c>
      <c r="D259" s="27">
        <v>4.0</v>
      </c>
      <c r="E259" s="27">
        <v>1.0</v>
      </c>
      <c r="F259" s="377" t="s">
        <v>1632</v>
      </c>
      <c r="G259" s="315" t="s">
        <v>1635</v>
      </c>
      <c r="H259" s="49"/>
      <c r="I259" s="49"/>
      <c r="J259" s="49"/>
      <c r="K259" s="49"/>
      <c r="L259" s="49"/>
      <c r="M259" s="49"/>
    </row>
    <row r="260">
      <c r="A260" s="209" t="s">
        <v>1642</v>
      </c>
      <c r="B260" s="55" t="s">
        <v>1644</v>
      </c>
      <c r="C260" s="60" t="s">
        <v>1646</v>
      </c>
      <c r="D260" s="380"/>
      <c r="E260" s="201"/>
      <c r="F260" s="382"/>
      <c r="G260" s="388"/>
      <c r="H260" s="53"/>
      <c r="I260" s="53"/>
      <c r="J260" s="53"/>
      <c r="K260" s="53"/>
      <c r="L260" s="53"/>
      <c r="M260" s="53"/>
    </row>
    <row r="261">
      <c r="A261" s="231" t="s">
        <v>1677</v>
      </c>
      <c r="B261" s="87" t="s">
        <v>1679</v>
      </c>
      <c r="C261" s="114" t="s">
        <v>1646</v>
      </c>
      <c r="D261" s="62"/>
      <c r="E261" s="62"/>
      <c r="F261" s="228"/>
      <c r="G261" s="229"/>
      <c r="H261" s="53"/>
      <c r="I261" s="53"/>
      <c r="J261" s="53"/>
      <c r="K261" s="53"/>
      <c r="L261" s="53"/>
      <c r="M261" s="53"/>
    </row>
    <row r="262">
      <c r="A262" s="394" t="s">
        <v>1693</v>
      </c>
      <c r="B262" s="39" t="s">
        <v>1700</v>
      </c>
      <c r="C262" s="41" t="s">
        <v>1646</v>
      </c>
      <c r="D262" s="43">
        <v>1.0</v>
      </c>
      <c r="E262" s="43"/>
      <c r="F262" s="212" t="s">
        <v>1708</v>
      </c>
      <c r="G262" s="213"/>
      <c r="H262" s="53"/>
      <c r="I262" s="53"/>
      <c r="J262" s="53"/>
      <c r="K262" s="53"/>
      <c r="L262" s="53"/>
      <c r="M262" s="53"/>
    </row>
    <row r="263">
      <c r="A263" s="191" t="s">
        <v>1713</v>
      </c>
      <c r="B263" s="87" t="s">
        <v>1714</v>
      </c>
      <c r="C263" s="114" t="s">
        <v>1646</v>
      </c>
      <c r="D263" s="62"/>
      <c r="E263" s="43">
        <v>2.0</v>
      </c>
      <c r="F263" s="400" t="s">
        <v>1717</v>
      </c>
      <c r="G263" s="402" t="s">
        <v>1722</v>
      </c>
      <c r="H263" s="53"/>
      <c r="I263" s="53"/>
      <c r="J263" s="53"/>
      <c r="K263" s="53"/>
      <c r="L263" s="53"/>
      <c r="M263" s="53"/>
    </row>
    <row r="264">
      <c r="A264" s="194" t="s">
        <v>1723</v>
      </c>
      <c r="B264" s="55" t="s">
        <v>1725</v>
      </c>
      <c r="C264" s="60" t="s">
        <v>1646</v>
      </c>
      <c r="D264" s="43"/>
      <c r="E264" s="62"/>
      <c r="F264" s="212"/>
      <c r="G264" s="235"/>
      <c r="H264" s="53"/>
      <c r="I264" s="53"/>
      <c r="J264" s="53"/>
      <c r="K264" s="53"/>
      <c r="L264" s="53"/>
      <c r="M264" s="53"/>
    </row>
    <row r="265">
      <c r="A265" s="191" t="s">
        <v>1734</v>
      </c>
      <c r="B265" s="39" t="s">
        <v>1736</v>
      </c>
      <c r="C265" s="41" t="s">
        <v>1646</v>
      </c>
      <c r="D265" s="43">
        <v>2.0</v>
      </c>
      <c r="E265" s="62"/>
      <c r="F265" s="102" t="s">
        <v>1743</v>
      </c>
      <c r="G265" s="229"/>
      <c r="H265" s="53"/>
      <c r="I265" s="53"/>
      <c r="J265" s="53"/>
      <c r="K265" s="53"/>
      <c r="L265" s="53"/>
      <c r="M265" s="53"/>
    </row>
    <row r="266">
      <c r="A266" s="194" t="s">
        <v>1747</v>
      </c>
      <c r="B266" s="39" t="s">
        <v>1749</v>
      </c>
      <c r="C266" s="41" t="s">
        <v>1646</v>
      </c>
      <c r="D266" s="43"/>
      <c r="E266" s="62"/>
      <c r="F266" s="404"/>
      <c r="G266" s="213"/>
      <c r="H266" s="53"/>
      <c r="I266" s="53"/>
      <c r="J266" s="53"/>
      <c r="K266" s="53"/>
      <c r="L266" s="53"/>
      <c r="M266" s="53"/>
    </row>
    <row r="267">
      <c r="A267" s="191" t="s">
        <v>1756</v>
      </c>
      <c r="B267" s="55" t="s">
        <v>1759</v>
      </c>
      <c r="C267" s="60" t="s">
        <v>1646</v>
      </c>
      <c r="D267" s="134"/>
      <c r="E267" s="134"/>
      <c r="F267" s="405"/>
      <c r="G267" s="134"/>
      <c r="H267" s="53"/>
      <c r="I267" s="53"/>
      <c r="J267" s="53"/>
      <c r="K267" s="53"/>
      <c r="L267" s="53"/>
      <c r="M267" s="53"/>
    </row>
    <row r="268">
      <c r="A268" s="194" t="s">
        <v>1769</v>
      </c>
      <c r="B268" s="87" t="s">
        <v>1770</v>
      </c>
      <c r="C268" s="114" t="s">
        <v>1646</v>
      </c>
      <c r="D268" s="27">
        <v>2.0</v>
      </c>
      <c r="E268" s="210">
        <v>4.0</v>
      </c>
      <c r="F268" s="404"/>
      <c r="G268" s="216"/>
      <c r="H268" s="53"/>
      <c r="I268" s="53"/>
      <c r="J268" s="53"/>
      <c r="K268" s="53"/>
      <c r="L268" s="53"/>
      <c r="M268" s="53"/>
    </row>
    <row r="269">
      <c r="A269" s="191" t="s">
        <v>1787</v>
      </c>
      <c r="B269" s="87" t="s">
        <v>1789</v>
      </c>
      <c r="C269" s="114" t="s">
        <v>1646</v>
      </c>
      <c r="D269" s="97"/>
      <c r="E269" s="27"/>
      <c r="F269" s="407"/>
      <c r="G269" s="27"/>
      <c r="H269" s="53"/>
      <c r="I269" s="53"/>
      <c r="J269" s="53"/>
      <c r="K269" s="53"/>
      <c r="L269" s="53"/>
      <c r="M269" s="53"/>
    </row>
    <row r="270">
      <c r="A270" s="194" t="s">
        <v>1799</v>
      </c>
      <c r="B270" s="87" t="s">
        <v>1803</v>
      </c>
      <c r="C270" s="89" t="s">
        <v>1646</v>
      </c>
      <c r="D270" s="170"/>
      <c r="E270" s="240"/>
      <c r="F270" s="408"/>
      <c r="G270" s="240"/>
      <c r="H270" s="53"/>
      <c r="I270" s="53"/>
      <c r="J270" s="53"/>
      <c r="K270" s="53"/>
      <c r="L270" s="53"/>
      <c r="M270" s="53"/>
    </row>
    <row r="271">
      <c r="A271" s="199" t="s">
        <v>1812</v>
      </c>
      <c r="B271" s="55" t="s">
        <v>1679</v>
      </c>
      <c r="C271" s="409" t="s">
        <v>1646</v>
      </c>
      <c r="D271" s="90"/>
      <c r="E271" s="90">
        <v>1.0</v>
      </c>
      <c r="F271" s="407"/>
      <c r="G271" s="238"/>
      <c r="H271" s="53"/>
      <c r="I271" s="53"/>
      <c r="J271" s="53"/>
      <c r="K271" s="53"/>
      <c r="L271" s="53"/>
      <c r="M271" s="53"/>
    </row>
    <row r="272">
      <c r="A272" s="194" t="s">
        <v>1820</v>
      </c>
      <c r="B272" s="55" t="s">
        <v>1822</v>
      </c>
      <c r="C272" s="60" t="s">
        <v>1646</v>
      </c>
      <c r="D272" s="27">
        <v>1.0</v>
      </c>
      <c r="E272" s="210">
        <v>1.0</v>
      </c>
      <c r="F272" s="412"/>
      <c r="G272" s="237" t="s">
        <v>1826</v>
      </c>
      <c r="H272" s="53"/>
      <c r="I272" s="53"/>
      <c r="J272" s="53"/>
      <c r="K272" s="53"/>
      <c r="L272" s="53"/>
      <c r="M272" s="53"/>
    </row>
    <row r="273">
      <c r="A273" s="191" t="s">
        <v>1746</v>
      </c>
      <c r="B273" s="39" t="s">
        <v>1829</v>
      </c>
      <c r="C273" s="41" t="s">
        <v>1646</v>
      </c>
      <c r="D273" s="97"/>
      <c r="E273" s="27"/>
      <c r="F273" s="415" t="s">
        <v>1830</v>
      </c>
      <c r="G273" s="97"/>
      <c r="H273" s="53"/>
      <c r="I273" s="53"/>
      <c r="J273" s="53"/>
      <c r="K273" s="53"/>
      <c r="L273" s="53"/>
      <c r="M273" s="53"/>
    </row>
    <row r="274" ht="27.75" customHeight="1">
      <c r="A274" s="194" t="s">
        <v>1834</v>
      </c>
      <c r="B274" s="254" t="s">
        <v>1837</v>
      </c>
      <c r="C274" s="41" t="s">
        <v>1646</v>
      </c>
      <c r="D274" s="97"/>
      <c r="E274" s="210">
        <v>1.0</v>
      </c>
      <c r="F274" s="412"/>
      <c r="G274" s="196"/>
      <c r="H274" s="53"/>
      <c r="I274" s="53"/>
      <c r="J274" s="53"/>
      <c r="K274" s="53"/>
      <c r="L274" s="53"/>
      <c r="M274" s="53"/>
    </row>
    <row r="275" ht="33.75" customHeight="1">
      <c r="A275" s="191" t="s">
        <v>1842</v>
      </c>
      <c r="B275" s="39" t="s">
        <v>1845</v>
      </c>
      <c r="C275" s="41" t="s">
        <v>1646</v>
      </c>
      <c r="D275" s="27">
        <v>2.0</v>
      </c>
      <c r="E275" s="97"/>
      <c r="F275" s="102" t="s">
        <v>1850</v>
      </c>
      <c r="G275" s="97"/>
      <c r="H275" s="53"/>
      <c r="I275" s="53"/>
      <c r="J275" s="53"/>
      <c r="K275" s="53"/>
      <c r="L275" s="53"/>
      <c r="M275" s="53"/>
    </row>
    <row r="276">
      <c r="A276" s="194" t="s">
        <v>1854</v>
      </c>
      <c r="B276" s="39" t="s">
        <v>1679</v>
      </c>
      <c r="C276" s="41" t="s">
        <v>1646</v>
      </c>
      <c r="D276" s="421">
        <v>2.0</v>
      </c>
      <c r="E276" s="422"/>
      <c r="F276" s="102" t="s">
        <v>1864</v>
      </c>
      <c r="G276" s="422"/>
      <c r="H276" s="53"/>
      <c r="I276" s="53"/>
      <c r="J276" s="53"/>
      <c r="K276" s="53"/>
      <c r="L276" s="53"/>
      <c r="M276" s="53"/>
    </row>
    <row r="277">
      <c r="A277" s="191" t="s">
        <v>1868</v>
      </c>
      <c r="B277" s="87" t="s">
        <v>1870</v>
      </c>
      <c r="C277" s="114" t="s">
        <v>1646</v>
      </c>
      <c r="D277" s="27">
        <v>5.0</v>
      </c>
      <c r="E277" s="97"/>
      <c r="F277" s="407"/>
      <c r="G277" s="97"/>
      <c r="H277" s="53"/>
      <c r="I277" s="53"/>
      <c r="J277" s="53"/>
      <c r="K277" s="53"/>
      <c r="L277" s="53"/>
      <c r="M277" s="53"/>
    </row>
    <row r="278">
      <c r="A278" s="194" t="s">
        <v>1877</v>
      </c>
      <c r="B278" s="39" t="s">
        <v>1679</v>
      </c>
      <c r="C278" s="41" t="s">
        <v>1646</v>
      </c>
      <c r="D278" s="97"/>
      <c r="E278" s="196"/>
      <c r="F278" s="408"/>
      <c r="G278" s="196"/>
      <c r="H278" s="53"/>
      <c r="I278" s="53"/>
      <c r="J278" s="53"/>
      <c r="K278" s="53"/>
      <c r="L278" s="53"/>
      <c r="M278" s="53"/>
    </row>
    <row r="279">
      <c r="A279" s="191" t="s">
        <v>1886</v>
      </c>
      <c r="B279" s="87" t="s">
        <v>1679</v>
      </c>
      <c r="C279" s="60" t="s">
        <v>1646</v>
      </c>
      <c r="D279" s="27">
        <v>1.0</v>
      </c>
      <c r="E279" s="27">
        <v>2.0</v>
      </c>
      <c r="F279" s="407"/>
      <c r="G279" s="134"/>
      <c r="H279" s="53"/>
      <c r="I279" s="53"/>
      <c r="J279" s="53"/>
      <c r="K279" s="53"/>
      <c r="L279" s="53"/>
      <c r="M279" s="53"/>
    </row>
    <row r="280">
      <c r="A280" s="194" t="s">
        <v>1896</v>
      </c>
      <c r="B280" s="39" t="s">
        <v>1700</v>
      </c>
      <c r="C280" s="41" t="s">
        <v>1646</v>
      </c>
      <c r="D280" s="27">
        <v>2.0</v>
      </c>
      <c r="E280" s="210"/>
      <c r="F280" s="198"/>
      <c r="G280" s="216"/>
      <c r="H280" s="53"/>
      <c r="I280" s="53"/>
      <c r="J280" s="53"/>
      <c r="K280" s="53"/>
      <c r="L280" s="53"/>
      <c r="M280" s="53"/>
    </row>
    <row r="281">
      <c r="A281" s="191" t="s">
        <v>1901</v>
      </c>
      <c r="B281" s="39" t="s">
        <v>1700</v>
      </c>
      <c r="C281" s="41" t="s">
        <v>1646</v>
      </c>
      <c r="D281" s="27">
        <v>4.0</v>
      </c>
      <c r="E281" s="27">
        <v>2.0</v>
      </c>
      <c r="F281" s="192" t="s">
        <v>1905</v>
      </c>
      <c r="G281" s="226" t="s">
        <v>1906</v>
      </c>
      <c r="H281" s="49" t="s">
        <v>1908</v>
      </c>
      <c r="I281" s="435" t="s">
        <v>1909</v>
      </c>
      <c r="J281" s="49"/>
      <c r="K281" s="53"/>
      <c r="L281" s="53"/>
      <c r="M281" s="53"/>
    </row>
    <row r="282">
      <c r="A282" s="194" t="s">
        <v>1914</v>
      </c>
      <c r="B282" s="55" t="s">
        <v>1915</v>
      </c>
      <c r="C282" s="60" t="s">
        <v>1646</v>
      </c>
      <c r="D282" s="27">
        <v>1.0</v>
      </c>
      <c r="E282" s="210">
        <v>2.0</v>
      </c>
      <c r="F282" s="198" t="s">
        <v>1916</v>
      </c>
      <c r="G282" s="210"/>
      <c r="H282" s="53"/>
      <c r="I282" s="53"/>
      <c r="J282" s="53"/>
      <c r="K282" s="53"/>
      <c r="L282" s="53"/>
      <c r="M282" s="53"/>
    </row>
    <row r="283">
      <c r="A283" s="191" t="s">
        <v>1919</v>
      </c>
      <c r="B283" s="39" t="s">
        <v>1920</v>
      </c>
      <c r="C283" s="41" t="s">
        <v>1646</v>
      </c>
      <c r="D283" s="62"/>
      <c r="E283" s="62"/>
      <c r="F283" s="232"/>
      <c r="G283" s="242"/>
      <c r="H283" s="53"/>
      <c r="I283" s="53"/>
      <c r="J283" s="53"/>
      <c r="K283" s="53"/>
      <c r="L283" s="53"/>
      <c r="M283" s="53"/>
    </row>
    <row r="284">
      <c r="A284" s="194" t="s">
        <v>1930</v>
      </c>
      <c r="B284" s="87" t="s">
        <v>1931</v>
      </c>
      <c r="C284" s="114" t="s">
        <v>1933</v>
      </c>
      <c r="D284" s="27"/>
      <c r="E284" s="196"/>
      <c r="F284" s="198"/>
      <c r="G284" s="196"/>
      <c r="H284" s="53"/>
      <c r="I284" s="53"/>
      <c r="J284" s="53"/>
      <c r="K284" s="53"/>
      <c r="L284" s="53"/>
      <c r="M284" s="53"/>
    </row>
    <row r="285">
      <c r="A285" s="191" t="s">
        <v>1936</v>
      </c>
      <c r="B285" s="87" t="s">
        <v>1939</v>
      </c>
      <c r="C285" s="114" t="s">
        <v>1933</v>
      </c>
      <c r="D285" s="27"/>
      <c r="E285" s="134"/>
      <c r="F285" s="192"/>
      <c r="G285" s="134"/>
      <c r="H285" s="53"/>
      <c r="I285" s="53"/>
      <c r="J285" s="53"/>
      <c r="K285" s="53"/>
      <c r="L285" s="53"/>
      <c r="M285" s="53"/>
    </row>
    <row r="286">
      <c r="A286" s="209" t="s">
        <v>1946</v>
      </c>
      <c r="B286" s="39" t="s">
        <v>1948</v>
      </c>
      <c r="C286" s="41" t="s">
        <v>1949</v>
      </c>
      <c r="D286" s="43">
        <v>1.0</v>
      </c>
      <c r="E286" s="62"/>
      <c r="F286" s="212"/>
      <c r="G286" s="235"/>
      <c r="H286" s="53"/>
      <c r="I286" s="53"/>
      <c r="J286" s="53"/>
      <c r="K286" s="53"/>
      <c r="L286" s="53"/>
      <c r="M286" s="53"/>
    </row>
    <row r="287">
      <c r="A287" s="199" t="s">
        <v>1954</v>
      </c>
      <c r="B287" s="39" t="s">
        <v>1102</v>
      </c>
      <c r="C287" s="41" t="s">
        <v>1958</v>
      </c>
      <c r="D287" s="43">
        <v>1.0</v>
      </c>
      <c r="E287" s="62"/>
      <c r="F287" s="232"/>
      <c r="G287" s="250"/>
      <c r="H287" s="49"/>
      <c r="I287" s="53"/>
      <c r="J287" s="53"/>
      <c r="K287" s="53"/>
      <c r="L287" s="53"/>
      <c r="M287" s="53"/>
    </row>
    <row r="288">
      <c r="A288" s="194" t="s">
        <v>1964</v>
      </c>
      <c r="B288" s="87" t="s">
        <v>1965</v>
      </c>
      <c r="C288" s="114" t="s">
        <v>1958</v>
      </c>
      <c r="D288" s="62"/>
      <c r="E288" s="62"/>
      <c r="F288" s="246"/>
      <c r="G288" s="213"/>
      <c r="H288" s="53"/>
      <c r="I288" s="53"/>
      <c r="J288" s="53"/>
      <c r="K288" s="53"/>
      <c r="L288" s="53"/>
      <c r="M288" s="53"/>
    </row>
    <row r="289">
      <c r="A289" s="191" t="s">
        <v>1967</v>
      </c>
      <c r="B289" s="39" t="s">
        <v>1969</v>
      </c>
      <c r="C289" s="41" t="s">
        <v>1958</v>
      </c>
      <c r="D289" s="27">
        <v>1.0</v>
      </c>
      <c r="E289" s="97"/>
      <c r="F289" s="215"/>
      <c r="G289" s="97"/>
      <c r="H289" s="53"/>
      <c r="I289" s="53"/>
      <c r="J289" s="53"/>
      <c r="K289" s="53"/>
      <c r="L289" s="53"/>
      <c r="M289" s="53"/>
    </row>
    <row r="290">
      <c r="A290" s="209" t="s">
        <v>1977</v>
      </c>
      <c r="B290" s="87" t="s">
        <v>1061</v>
      </c>
      <c r="C290" s="114" t="s">
        <v>1958</v>
      </c>
      <c r="D290" s="27"/>
      <c r="E290" s="210">
        <v>2.0</v>
      </c>
      <c r="F290" s="198"/>
      <c r="G290" s="210"/>
      <c r="H290" s="53"/>
      <c r="I290" s="53"/>
      <c r="J290" s="53"/>
      <c r="K290" s="53"/>
      <c r="L290" s="53"/>
      <c r="M290" s="53"/>
    </row>
    <row r="291">
      <c r="A291" s="191" t="s">
        <v>1981</v>
      </c>
      <c r="B291" s="39" t="s">
        <v>1983</v>
      </c>
      <c r="C291" s="41" t="s">
        <v>1958</v>
      </c>
      <c r="D291" s="97"/>
      <c r="E291" s="97"/>
      <c r="F291" s="192"/>
      <c r="G291" s="134"/>
      <c r="H291" s="53"/>
      <c r="I291" s="53"/>
      <c r="J291" s="53"/>
      <c r="K291" s="53"/>
      <c r="L291" s="53"/>
      <c r="M291" s="53"/>
    </row>
    <row r="292">
      <c r="A292" s="209" t="s">
        <v>1988</v>
      </c>
      <c r="B292" s="39" t="s">
        <v>1990</v>
      </c>
      <c r="C292" s="41" t="s">
        <v>1991</v>
      </c>
      <c r="D292" s="97"/>
      <c r="E292" s="196"/>
      <c r="F292" s="227"/>
      <c r="G292" s="196"/>
      <c r="H292" s="53"/>
      <c r="I292" s="53"/>
      <c r="J292" s="53"/>
      <c r="K292" s="53"/>
      <c r="L292" s="53"/>
      <c r="M292" s="53"/>
    </row>
    <row r="293">
      <c r="A293" s="199" t="s">
        <v>1996</v>
      </c>
      <c r="B293" s="55" t="s">
        <v>1998</v>
      </c>
      <c r="C293" s="60" t="s">
        <v>1999</v>
      </c>
      <c r="D293" s="62"/>
      <c r="E293" s="43">
        <v>3.0</v>
      </c>
      <c r="F293" s="228"/>
      <c r="G293" s="229"/>
      <c r="H293" s="53"/>
      <c r="I293" s="53"/>
      <c r="J293" s="53"/>
      <c r="K293" s="53"/>
      <c r="L293" s="53"/>
      <c r="M293" s="53"/>
    </row>
    <row r="294">
      <c r="A294" s="194" t="s">
        <v>2003</v>
      </c>
      <c r="B294" s="39" t="s">
        <v>2004</v>
      </c>
      <c r="C294" s="41" t="s">
        <v>1999</v>
      </c>
      <c r="D294" s="43">
        <v>1.0</v>
      </c>
      <c r="E294" s="62"/>
      <c r="F294" s="445" t="s">
        <v>2008</v>
      </c>
      <c r="G294" s="213"/>
      <c r="H294" s="53"/>
      <c r="I294" s="53"/>
      <c r="J294" s="53"/>
      <c r="K294" s="53"/>
      <c r="L294" s="53"/>
      <c r="M294" s="53"/>
    </row>
    <row r="295">
      <c r="A295" s="191" t="s">
        <v>2012</v>
      </c>
      <c r="B295" s="39" t="s">
        <v>2014</v>
      </c>
      <c r="C295" s="41" t="s">
        <v>1999</v>
      </c>
      <c r="D295" s="97"/>
      <c r="E295" s="97"/>
      <c r="F295" s="215"/>
      <c r="G295" s="97"/>
      <c r="H295" s="53"/>
      <c r="I295" s="53"/>
      <c r="J295" s="53"/>
      <c r="K295" s="53"/>
      <c r="L295" s="53"/>
      <c r="M295" s="53"/>
    </row>
    <row r="296">
      <c r="A296" s="194" t="s">
        <v>2018</v>
      </c>
      <c r="B296" s="39" t="s">
        <v>2020</v>
      </c>
      <c r="C296" s="41" t="s">
        <v>1999</v>
      </c>
      <c r="D296" s="97"/>
      <c r="E296" s="196"/>
      <c r="F296" s="227"/>
      <c r="G296" s="196"/>
      <c r="H296" s="53"/>
      <c r="I296" s="53"/>
      <c r="J296" s="53"/>
      <c r="K296" s="53"/>
      <c r="L296" s="53"/>
      <c r="M296" s="53"/>
    </row>
    <row r="297">
      <c r="A297" s="191" t="s">
        <v>2026</v>
      </c>
      <c r="B297" s="55" t="s">
        <v>1998</v>
      </c>
      <c r="C297" s="60" t="s">
        <v>1999</v>
      </c>
      <c r="D297" s="134"/>
      <c r="E297" s="134"/>
      <c r="F297" s="258"/>
      <c r="G297" s="134"/>
      <c r="H297" s="53"/>
      <c r="I297" s="53"/>
      <c r="J297" s="53"/>
      <c r="K297" s="53"/>
      <c r="L297" s="53"/>
      <c r="M297" s="53"/>
    </row>
    <row r="298">
      <c r="A298" s="209" t="s">
        <v>2032</v>
      </c>
      <c r="B298" s="55" t="s">
        <v>2033</v>
      </c>
      <c r="C298" s="114" t="s">
        <v>1999</v>
      </c>
      <c r="D298" s="97"/>
      <c r="E298" s="196"/>
      <c r="F298" s="198"/>
      <c r="G298" s="216"/>
      <c r="H298" s="53"/>
      <c r="I298" s="53"/>
      <c r="J298" s="53"/>
      <c r="K298" s="53"/>
      <c r="L298" s="53"/>
      <c r="M298" s="53"/>
    </row>
    <row r="299">
      <c r="A299" s="191" t="s">
        <v>2038</v>
      </c>
      <c r="B299" s="87" t="s">
        <v>2033</v>
      </c>
      <c r="C299" s="114" t="s">
        <v>1999</v>
      </c>
      <c r="D299" s="27"/>
      <c r="E299" s="27"/>
      <c r="F299" s="192"/>
      <c r="G299" s="27"/>
      <c r="H299" s="49"/>
      <c r="I299" s="53"/>
      <c r="J299" s="53"/>
      <c r="K299" s="53"/>
      <c r="L299" s="53"/>
      <c r="M299" s="53"/>
    </row>
    <row r="300">
      <c r="A300" s="299" t="s">
        <v>2043</v>
      </c>
      <c r="B300" s="157" t="s">
        <v>2044</v>
      </c>
      <c r="C300" s="158" t="s">
        <v>2045</v>
      </c>
      <c r="D300" s="43">
        <v>1.0</v>
      </c>
      <c r="E300" s="62"/>
      <c r="F300" s="212" t="s">
        <v>2049</v>
      </c>
      <c r="G300" s="235"/>
      <c r="H300" s="53"/>
      <c r="I300" s="53"/>
      <c r="J300" s="53"/>
      <c r="K300" s="53"/>
      <c r="L300" s="53"/>
      <c r="M300" s="53"/>
    </row>
    <row r="301">
      <c r="A301" s="191" t="s">
        <v>2051</v>
      </c>
      <c r="B301" s="39" t="s">
        <v>2052</v>
      </c>
      <c r="C301" s="41" t="s">
        <v>2045</v>
      </c>
      <c r="D301" s="43">
        <v>2.0</v>
      </c>
      <c r="E301" s="43">
        <v>2.0</v>
      </c>
      <c r="F301" s="232" t="s">
        <v>2058</v>
      </c>
      <c r="G301" s="250"/>
      <c r="H301" s="53"/>
      <c r="I301" s="53"/>
      <c r="J301" s="53"/>
      <c r="K301" s="53"/>
      <c r="L301" s="53"/>
      <c r="M301" s="53"/>
    </row>
    <row r="302">
      <c r="A302" s="194" t="s">
        <v>2061</v>
      </c>
      <c r="B302" s="55" t="s">
        <v>2063</v>
      </c>
      <c r="C302" s="41" t="s">
        <v>2045</v>
      </c>
      <c r="D302" s="97"/>
      <c r="E302" s="196"/>
      <c r="F302" s="304"/>
      <c r="G302" s="216"/>
      <c r="H302" s="53"/>
      <c r="I302" s="53"/>
      <c r="J302" s="53"/>
      <c r="K302" s="53"/>
      <c r="L302" s="53"/>
      <c r="M302" s="53"/>
    </row>
    <row r="303">
      <c r="A303" s="191" t="s">
        <v>2074</v>
      </c>
      <c r="B303" s="39" t="s">
        <v>2052</v>
      </c>
      <c r="C303" s="41" t="s">
        <v>2045</v>
      </c>
      <c r="D303" s="97"/>
      <c r="E303" s="27">
        <v>1.0</v>
      </c>
      <c r="F303" s="215"/>
      <c r="G303" s="97"/>
      <c r="H303" s="53"/>
      <c r="I303" s="53"/>
      <c r="J303" s="53"/>
      <c r="K303" s="53"/>
      <c r="L303" s="53"/>
      <c r="M303" s="53"/>
    </row>
    <row r="304">
      <c r="A304" s="194" t="s">
        <v>2085</v>
      </c>
      <c r="B304" s="39" t="s">
        <v>2044</v>
      </c>
      <c r="C304" s="41" t="s">
        <v>2045</v>
      </c>
      <c r="D304" s="27">
        <v>2.0</v>
      </c>
      <c r="E304" s="210"/>
      <c r="F304" s="198" t="s">
        <v>2091</v>
      </c>
      <c r="G304" s="271" t="s">
        <v>2093</v>
      </c>
      <c r="H304" s="53"/>
      <c r="I304" s="53"/>
      <c r="J304" s="53"/>
      <c r="K304" s="53"/>
      <c r="L304" s="53"/>
      <c r="M304" s="53"/>
    </row>
    <row r="305">
      <c r="A305" s="199" t="s">
        <v>2096</v>
      </c>
      <c r="B305" s="55" t="s">
        <v>2099</v>
      </c>
      <c r="C305" s="60" t="s">
        <v>2045</v>
      </c>
      <c r="D305" s="134"/>
      <c r="E305" s="134"/>
      <c r="F305" s="192"/>
      <c r="G305" s="134"/>
      <c r="H305" s="53"/>
      <c r="I305" s="53"/>
      <c r="J305" s="53"/>
      <c r="K305" s="53"/>
      <c r="L305" s="53"/>
      <c r="M305" s="53"/>
    </row>
    <row r="306">
      <c r="A306" s="209" t="s">
        <v>2104</v>
      </c>
      <c r="B306" s="39" t="s">
        <v>2048</v>
      </c>
      <c r="C306" s="41" t="s">
        <v>2045</v>
      </c>
      <c r="D306" s="27">
        <v>1.0</v>
      </c>
      <c r="E306" s="210">
        <v>1.0</v>
      </c>
      <c r="F306" s="198" t="s">
        <v>2110</v>
      </c>
      <c r="G306" s="196"/>
      <c r="H306" s="53"/>
      <c r="I306" s="53"/>
      <c r="J306" s="53"/>
      <c r="K306" s="53"/>
      <c r="L306" s="53"/>
      <c r="M306" s="53"/>
    </row>
    <row r="307">
      <c r="A307" s="199" t="s">
        <v>2112</v>
      </c>
      <c r="B307" s="55" t="s">
        <v>2114</v>
      </c>
      <c r="C307" s="60" t="s">
        <v>2045</v>
      </c>
      <c r="D307" s="27">
        <v>1.0</v>
      </c>
      <c r="E307" s="27"/>
      <c r="F307" s="192"/>
      <c r="G307" s="97"/>
      <c r="H307" s="53"/>
      <c r="I307" s="53"/>
      <c r="J307" s="53"/>
      <c r="K307" s="53"/>
      <c r="L307" s="53"/>
      <c r="M307" s="53"/>
    </row>
    <row r="308">
      <c r="A308" s="194" t="s">
        <v>2122</v>
      </c>
      <c r="B308" s="39" t="s">
        <v>2124</v>
      </c>
      <c r="C308" s="41" t="s">
        <v>2045</v>
      </c>
      <c r="D308" s="97"/>
      <c r="E308" s="210"/>
      <c r="F308" s="198"/>
      <c r="G308" s="216"/>
      <c r="H308" s="53"/>
      <c r="I308" s="53"/>
      <c r="J308" s="53"/>
      <c r="K308" s="53"/>
      <c r="L308" s="53"/>
      <c r="M308" s="53"/>
    </row>
    <row r="309">
      <c r="A309" s="191" t="s">
        <v>2130</v>
      </c>
      <c r="B309" s="39" t="s">
        <v>2132</v>
      </c>
      <c r="C309" s="41" t="s">
        <v>2045</v>
      </c>
      <c r="D309" s="27">
        <v>1.0</v>
      </c>
      <c r="E309" s="27">
        <v>1.0</v>
      </c>
      <c r="F309" s="192"/>
      <c r="G309" s="134"/>
      <c r="H309" s="53"/>
      <c r="I309" s="53"/>
      <c r="J309" s="53"/>
      <c r="K309" s="53"/>
      <c r="L309" s="53"/>
      <c r="M309" s="53"/>
    </row>
    <row r="310">
      <c r="A310" s="457" t="s">
        <v>2139</v>
      </c>
      <c r="B310" s="39" t="s">
        <v>2141</v>
      </c>
      <c r="C310" s="41" t="s">
        <v>2045</v>
      </c>
      <c r="D310" s="27">
        <v>2.0</v>
      </c>
      <c r="E310" s="196"/>
      <c r="F310" s="198" t="s">
        <v>2147</v>
      </c>
      <c r="G310" s="210" t="s">
        <v>2148</v>
      </c>
      <c r="H310" s="49" t="s">
        <v>2149</v>
      </c>
      <c r="I310" s="53"/>
      <c r="J310" s="53"/>
      <c r="K310" s="53"/>
      <c r="L310" s="53"/>
      <c r="M310" s="53"/>
    </row>
    <row r="311">
      <c r="A311" s="199" t="s">
        <v>2152</v>
      </c>
      <c r="B311" s="39" t="s">
        <v>2153</v>
      </c>
      <c r="C311" s="41" t="s">
        <v>2045</v>
      </c>
      <c r="D311" s="97"/>
      <c r="E311" s="27"/>
      <c r="F311" s="215"/>
      <c r="G311" s="97"/>
      <c r="H311" s="53"/>
      <c r="I311" s="53"/>
      <c r="J311" s="53"/>
      <c r="K311" s="53"/>
      <c r="L311" s="53"/>
      <c r="M311" s="53"/>
    </row>
    <row r="312">
      <c r="A312" s="209" t="s">
        <v>2156</v>
      </c>
      <c r="B312" s="55" t="s">
        <v>2157</v>
      </c>
      <c r="C312" s="60" t="s">
        <v>2045</v>
      </c>
      <c r="D312" s="27"/>
      <c r="E312" s="210"/>
      <c r="F312" s="459"/>
      <c r="G312" s="216"/>
      <c r="H312" s="53"/>
      <c r="I312" s="53"/>
      <c r="J312" s="53"/>
      <c r="K312" s="53"/>
      <c r="L312" s="53"/>
      <c r="M312" s="53"/>
    </row>
    <row r="313">
      <c r="A313" s="191" t="s">
        <v>2166</v>
      </c>
      <c r="B313" s="55" t="s">
        <v>2168</v>
      </c>
      <c r="C313" s="60" t="s">
        <v>2045</v>
      </c>
      <c r="D313" s="27"/>
      <c r="E313" s="27"/>
      <c r="F313" s="192"/>
      <c r="G313" s="27"/>
      <c r="H313" s="53"/>
      <c r="I313" s="53"/>
      <c r="J313" s="53"/>
      <c r="K313" s="53"/>
      <c r="L313" s="53"/>
      <c r="M313" s="53"/>
    </row>
    <row r="314">
      <c r="A314" s="194" t="s">
        <v>1240</v>
      </c>
      <c r="B314" s="87" t="s">
        <v>2099</v>
      </c>
      <c r="C314" s="114" t="s">
        <v>2045</v>
      </c>
      <c r="D314" s="27">
        <v>2.0</v>
      </c>
      <c r="E314" s="196"/>
      <c r="F314" s="198" t="s">
        <v>2173</v>
      </c>
      <c r="G314" s="210"/>
      <c r="H314" s="49"/>
      <c r="I314" s="53"/>
      <c r="J314" s="53"/>
      <c r="K314" s="53"/>
      <c r="L314" s="53"/>
      <c r="M314" s="53"/>
    </row>
    <row r="315">
      <c r="A315" s="191" t="s">
        <v>2175</v>
      </c>
      <c r="B315" s="55">
        <v>1.0</v>
      </c>
      <c r="C315" s="114" t="s">
        <v>2045</v>
      </c>
      <c r="D315" s="27">
        <v>2.0</v>
      </c>
      <c r="E315" s="27">
        <v>2.0</v>
      </c>
      <c r="F315" s="192" t="s">
        <v>2179</v>
      </c>
      <c r="G315" s="315" t="s">
        <v>2181</v>
      </c>
      <c r="H315" s="285"/>
      <c r="I315" s="53"/>
      <c r="J315" s="53"/>
      <c r="K315" s="53"/>
      <c r="L315" s="53"/>
      <c r="M315" s="53"/>
    </row>
    <row r="316">
      <c r="A316" s="457" t="s">
        <v>2182</v>
      </c>
      <c r="B316" s="87" t="s">
        <v>2183</v>
      </c>
      <c r="C316" s="114" t="s">
        <v>2045</v>
      </c>
      <c r="D316" s="27">
        <v>2.0</v>
      </c>
      <c r="E316" s="210">
        <v>1.0</v>
      </c>
      <c r="F316" s="198" t="s">
        <v>2188</v>
      </c>
      <c r="G316" s="237" t="s">
        <v>2190</v>
      </c>
      <c r="H316" s="49" t="s">
        <v>2192</v>
      </c>
      <c r="I316" s="53"/>
      <c r="J316" s="53"/>
      <c r="K316" s="53"/>
      <c r="L316" s="53"/>
      <c r="M316" s="53"/>
    </row>
    <row r="317">
      <c r="A317" s="457" t="s">
        <v>1793</v>
      </c>
      <c r="B317" s="39" t="s">
        <v>2052</v>
      </c>
      <c r="C317" s="41" t="s">
        <v>2045</v>
      </c>
      <c r="D317" s="27">
        <v>3.0</v>
      </c>
      <c r="E317" s="27">
        <v>1.0</v>
      </c>
      <c r="F317" s="192"/>
      <c r="G317" s="27"/>
      <c r="H317" s="49"/>
      <c r="I317" s="53"/>
      <c r="J317" s="53"/>
      <c r="K317" s="53"/>
      <c r="L317" s="53"/>
      <c r="M317" s="53"/>
    </row>
    <row r="318">
      <c r="A318" s="209" t="s">
        <v>2198</v>
      </c>
      <c r="B318" s="55" t="s">
        <v>2199</v>
      </c>
      <c r="C318" s="60" t="s">
        <v>2045</v>
      </c>
      <c r="D318" s="27"/>
      <c r="E318" s="210">
        <v>1.0</v>
      </c>
      <c r="F318" s="198" t="s">
        <v>2204</v>
      </c>
      <c r="G318" s="210" t="s">
        <v>2205</v>
      </c>
      <c r="H318" s="53"/>
      <c r="I318" s="53"/>
      <c r="J318" s="53"/>
      <c r="K318" s="53"/>
      <c r="L318" s="53"/>
      <c r="M318" s="53"/>
    </row>
    <row r="319">
      <c r="A319" s="191" t="s">
        <v>2092</v>
      </c>
      <c r="B319" s="87" t="s">
        <v>2207</v>
      </c>
      <c r="C319" s="114" t="s">
        <v>2208</v>
      </c>
      <c r="D319" s="27">
        <v>1.0</v>
      </c>
      <c r="E319" s="27">
        <v>1.0</v>
      </c>
      <c r="F319" s="192" t="s">
        <v>2212</v>
      </c>
      <c r="G319" s="97"/>
      <c r="H319" s="53"/>
      <c r="I319" s="53"/>
      <c r="J319" s="53"/>
      <c r="K319" s="53"/>
      <c r="L319" s="53"/>
      <c r="M319" s="53"/>
    </row>
    <row r="320">
      <c r="A320" s="194" t="s">
        <v>2214</v>
      </c>
      <c r="B320" s="39" t="s">
        <v>2215</v>
      </c>
      <c r="C320" s="41" t="s">
        <v>2216</v>
      </c>
      <c r="D320" s="43">
        <v>1.0</v>
      </c>
      <c r="E320" s="62"/>
      <c r="F320" s="246"/>
      <c r="G320" s="213"/>
      <c r="H320" s="53"/>
      <c r="I320" s="53"/>
      <c r="J320" s="53"/>
      <c r="K320" s="53"/>
      <c r="L320" s="53"/>
      <c r="M320" s="53"/>
    </row>
    <row r="321">
      <c r="A321" s="191" t="s">
        <v>2220</v>
      </c>
      <c r="B321" s="39" t="s">
        <v>2221</v>
      </c>
      <c r="C321" s="41" t="s">
        <v>2216</v>
      </c>
      <c r="D321" s="62"/>
      <c r="E321" s="43">
        <v>1.0</v>
      </c>
      <c r="F321" s="232" t="s">
        <v>2224</v>
      </c>
      <c r="G321" s="464" t="s">
        <v>2225</v>
      </c>
      <c r="H321" s="53"/>
      <c r="I321" s="53"/>
      <c r="J321" s="53"/>
      <c r="K321" s="53"/>
      <c r="L321" s="53"/>
      <c r="M321" s="53"/>
    </row>
    <row r="322">
      <c r="A322" s="194" t="s">
        <v>2227</v>
      </c>
      <c r="B322" s="39" t="s">
        <v>2228</v>
      </c>
      <c r="C322" s="41" t="s">
        <v>2216</v>
      </c>
      <c r="D322" s="27">
        <v>3.0</v>
      </c>
      <c r="E322" s="210">
        <v>1.0</v>
      </c>
      <c r="F322" s="198" t="s">
        <v>2230</v>
      </c>
      <c r="G322" s="216"/>
      <c r="H322" s="53"/>
      <c r="I322" s="53"/>
      <c r="J322" s="53"/>
      <c r="K322" s="53"/>
      <c r="L322" s="53"/>
      <c r="M322" s="53"/>
    </row>
    <row r="323">
      <c r="A323" s="191" t="s">
        <v>2231</v>
      </c>
      <c r="B323" s="39" t="s">
        <v>2233</v>
      </c>
      <c r="C323" s="41" t="s">
        <v>2216</v>
      </c>
      <c r="D323" s="27">
        <v>2.0</v>
      </c>
      <c r="E323" s="97"/>
      <c r="F323" s="192" t="s">
        <v>2234</v>
      </c>
      <c r="G323" s="97"/>
      <c r="H323" s="53"/>
      <c r="I323" s="53"/>
      <c r="J323" s="53"/>
      <c r="K323" s="53"/>
      <c r="L323" s="53"/>
      <c r="M323" s="53"/>
    </row>
    <row r="324">
      <c r="A324" s="194" t="s">
        <v>2235</v>
      </c>
      <c r="B324" s="39" t="s">
        <v>2236</v>
      </c>
      <c r="C324" s="41" t="s">
        <v>2216</v>
      </c>
      <c r="D324" s="27">
        <v>1.0</v>
      </c>
      <c r="E324" s="196"/>
      <c r="F324" s="198" t="s">
        <v>2239</v>
      </c>
      <c r="G324" s="469"/>
      <c r="H324" s="53"/>
      <c r="I324" s="53"/>
      <c r="J324" s="53"/>
      <c r="K324" s="53"/>
      <c r="L324" s="53"/>
      <c r="M324" s="53"/>
    </row>
    <row r="325">
      <c r="A325" s="191" t="s">
        <v>27</v>
      </c>
      <c r="B325" s="39" t="s">
        <v>830</v>
      </c>
      <c r="C325" s="41" t="s">
        <v>2244</v>
      </c>
      <c r="D325" s="27">
        <v>1.0</v>
      </c>
      <c r="E325" s="134"/>
      <c r="F325" s="192"/>
      <c r="G325" s="27"/>
      <c r="H325" s="49"/>
      <c r="I325" s="53"/>
      <c r="J325" s="53"/>
      <c r="K325" s="53"/>
      <c r="L325" s="53"/>
      <c r="M325" s="53"/>
    </row>
    <row r="326">
      <c r="A326" s="209" t="s">
        <v>2247</v>
      </c>
      <c r="B326" s="55" t="s">
        <v>2248</v>
      </c>
      <c r="C326" s="60" t="s">
        <v>2250</v>
      </c>
      <c r="D326" s="27">
        <v>1.0</v>
      </c>
      <c r="E326" s="210">
        <v>1.0</v>
      </c>
      <c r="F326" s="198"/>
      <c r="G326" s="216"/>
      <c r="H326" s="53"/>
      <c r="I326" s="53"/>
      <c r="J326" s="53"/>
      <c r="K326" s="53"/>
      <c r="L326" s="53"/>
      <c r="M326" s="53"/>
    </row>
    <row r="327">
      <c r="A327" s="191" t="s">
        <v>2255</v>
      </c>
      <c r="B327" s="87" t="s">
        <v>2256</v>
      </c>
      <c r="C327" s="114" t="s">
        <v>2250</v>
      </c>
      <c r="D327" s="27"/>
      <c r="E327" s="27"/>
      <c r="F327" s="192"/>
      <c r="G327" s="134"/>
      <c r="H327" s="53"/>
      <c r="I327" s="53"/>
      <c r="J327" s="53"/>
      <c r="K327" s="53"/>
      <c r="L327" s="53"/>
      <c r="M327" s="53"/>
    </row>
    <row r="328">
      <c r="A328" s="476" t="s">
        <v>1792</v>
      </c>
      <c r="B328" s="87" t="s">
        <v>2256</v>
      </c>
      <c r="C328" s="114" t="s">
        <v>2250</v>
      </c>
      <c r="D328" s="27">
        <v>4.0</v>
      </c>
      <c r="E328" s="210">
        <v>3.0</v>
      </c>
      <c r="F328" s="198" t="s">
        <v>2266</v>
      </c>
      <c r="G328" s="237" t="s">
        <v>2267</v>
      </c>
      <c r="H328" s="49" t="s">
        <v>2268</v>
      </c>
      <c r="I328" s="49" t="s">
        <v>2270</v>
      </c>
      <c r="J328" s="53"/>
      <c r="K328" s="53"/>
      <c r="L328" s="53"/>
      <c r="M328" s="53"/>
    </row>
    <row r="329">
      <c r="A329" s="191" t="s">
        <v>2272</v>
      </c>
      <c r="B329" s="39" t="s">
        <v>2256</v>
      </c>
      <c r="C329" s="41" t="s">
        <v>2250</v>
      </c>
      <c r="D329" s="27">
        <v>2.0</v>
      </c>
      <c r="E329" s="134"/>
      <c r="F329" s="315" t="s">
        <v>2278</v>
      </c>
      <c r="G329" s="134"/>
      <c r="H329" s="53"/>
      <c r="I329" s="53"/>
      <c r="J329" s="53"/>
      <c r="K329" s="53"/>
      <c r="L329" s="53"/>
      <c r="M329" s="53"/>
    </row>
    <row r="330">
      <c r="A330" s="209" t="s">
        <v>2280</v>
      </c>
      <c r="B330" s="39" t="s">
        <v>2282</v>
      </c>
      <c r="C330" s="41" t="s">
        <v>2283</v>
      </c>
      <c r="D330" s="43">
        <v>3.0</v>
      </c>
      <c r="E330" s="62"/>
      <c r="F330" s="478" t="s">
        <v>2286</v>
      </c>
      <c r="G330" s="49" t="s">
        <v>2290</v>
      </c>
      <c r="H330" s="53"/>
    </row>
    <row r="331" ht="30.0" customHeight="1">
      <c r="A331" s="191" t="s">
        <v>2292</v>
      </c>
      <c r="B331" s="39" t="s">
        <v>2295</v>
      </c>
      <c r="C331" s="41" t="s">
        <v>2283</v>
      </c>
      <c r="D331" s="97"/>
      <c r="E331" s="97"/>
      <c r="F331" s="192"/>
      <c r="G331" s="134"/>
      <c r="H331" s="53"/>
      <c r="I331" s="53"/>
      <c r="J331" s="53"/>
      <c r="K331" s="53"/>
      <c r="L331" s="53"/>
      <c r="M331" s="53"/>
    </row>
    <row r="332">
      <c r="A332" s="476" t="s">
        <v>2303</v>
      </c>
      <c r="B332" s="39" t="s">
        <v>2304</v>
      </c>
      <c r="C332" s="41" t="s">
        <v>2283</v>
      </c>
      <c r="D332" s="27">
        <v>1.0</v>
      </c>
      <c r="E332" s="210"/>
      <c r="F332" s="198"/>
      <c r="G332" s="237"/>
      <c r="H332" s="49"/>
      <c r="I332" s="49"/>
      <c r="J332" s="49"/>
      <c r="K332" s="49"/>
      <c r="L332" s="49"/>
      <c r="M332" s="49"/>
    </row>
    <row r="333">
      <c r="A333" s="199" t="s">
        <v>2309</v>
      </c>
      <c r="B333" s="87" t="s">
        <v>2312</v>
      </c>
      <c r="C333" s="114" t="s">
        <v>2283</v>
      </c>
      <c r="D333" s="27"/>
      <c r="E333" s="27">
        <v>4.0</v>
      </c>
      <c r="F333" s="484" t="s">
        <v>2318</v>
      </c>
      <c r="G333" s="315" t="s">
        <v>2322</v>
      </c>
      <c r="H333" s="49" t="s">
        <v>2324</v>
      </c>
      <c r="I333" s="435" t="s">
        <v>2325</v>
      </c>
      <c r="J333" s="106" t="s">
        <v>2326</v>
      </c>
      <c r="K333" s="53"/>
      <c r="L333" s="53"/>
      <c r="M333" s="53"/>
    </row>
    <row r="334">
      <c r="A334" s="194" t="s">
        <v>2328</v>
      </c>
      <c r="B334" s="39" t="s">
        <v>1969</v>
      </c>
      <c r="C334" s="41" t="s">
        <v>2329</v>
      </c>
      <c r="D334" s="43"/>
      <c r="E334" s="62"/>
      <c r="F334" s="246"/>
      <c r="G334" s="213"/>
      <c r="H334" s="53"/>
      <c r="I334" s="53"/>
      <c r="J334" s="53"/>
      <c r="K334" s="53"/>
      <c r="L334" s="53"/>
      <c r="M334" s="53"/>
    </row>
    <row r="335">
      <c r="A335" s="199" t="s">
        <v>1303</v>
      </c>
      <c r="B335" s="39" t="s">
        <v>2335</v>
      </c>
      <c r="C335" s="41" t="s">
        <v>2329</v>
      </c>
      <c r="D335" s="97"/>
      <c r="E335" s="97"/>
      <c r="F335" s="215"/>
      <c r="G335" s="97"/>
      <c r="H335" s="53"/>
      <c r="I335" s="53"/>
      <c r="J335" s="53"/>
      <c r="K335" s="53"/>
      <c r="L335" s="53"/>
      <c r="M335" s="53"/>
    </row>
    <row r="336">
      <c r="A336" s="457" t="s">
        <v>2339</v>
      </c>
      <c r="B336" s="39" t="s">
        <v>2342</v>
      </c>
      <c r="C336" s="41" t="s">
        <v>2329</v>
      </c>
      <c r="D336" s="27">
        <v>2.0</v>
      </c>
      <c r="E336" s="196"/>
      <c r="F336" s="198"/>
      <c r="G336" s="216"/>
      <c r="H336" s="53"/>
      <c r="I336" s="53"/>
      <c r="J336" s="53"/>
      <c r="K336" s="53"/>
      <c r="L336" s="53"/>
      <c r="M336" s="53"/>
    </row>
    <row r="337">
      <c r="A337" s="191" t="s">
        <v>2347</v>
      </c>
      <c r="B337" s="55" t="s">
        <v>1968</v>
      </c>
      <c r="C337" s="60"/>
      <c r="D337" s="43"/>
      <c r="E337" s="62"/>
      <c r="F337" s="232"/>
      <c r="G337" s="242"/>
      <c r="H337" s="53"/>
      <c r="I337" s="53"/>
      <c r="J337" s="53"/>
      <c r="K337" s="53"/>
      <c r="L337" s="53"/>
      <c r="M337" s="53"/>
    </row>
    <row r="338">
      <c r="A338" s="194" t="s">
        <v>2360</v>
      </c>
      <c r="B338" s="55" t="s">
        <v>1968</v>
      </c>
      <c r="C338" s="60" t="s">
        <v>1483</v>
      </c>
      <c r="D338" s="489"/>
      <c r="E338" s="489"/>
      <c r="F338" s="246"/>
      <c r="G338" s="213"/>
      <c r="H338" s="490"/>
      <c r="I338" s="490"/>
      <c r="J338" s="490"/>
      <c r="K338" s="490"/>
      <c r="L338" s="490"/>
      <c r="M338" s="490"/>
    </row>
    <row r="339">
      <c r="A339" s="191"/>
      <c r="B339" s="55"/>
      <c r="C339" s="60"/>
      <c r="D339" s="62"/>
      <c r="E339" s="62"/>
      <c r="F339" s="228"/>
      <c r="G339" s="229"/>
      <c r="H339" s="490"/>
      <c r="I339" s="490"/>
      <c r="J339" s="490"/>
      <c r="K339" s="490"/>
      <c r="L339" s="490"/>
      <c r="M339" s="490"/>
    </row>
    <row r="340">
      <c r="A340" s="194"/>
      <c r="B340" s="55"/>
      <c r="C340" s="60"/>
      <c r="D340" s="489"/>
      <c r="E340" s="489"/>
      <c r="F340" s="246"/>
      <c r="G340" s="213"/>
      <c r="H340" s="490"/>
      <c r="I340" s="490"/>
      <c r="J340" s="490"/>
      <c r="K340" s="490"/>
      <c r="L340" s="490"/>
      <c r="M340" s="490"/>
    </row>
    <row r="341">
      <c r="A341" s="191"/>
      <c r="B341" s="55"/>
      <c r="C341" s="60"/>
      <c r="D341" s="62"/>
      <c r="E341" s="62"/>
      <c r="F341" s="228"/>
      <c r="G341" s="229"/>
      <c r="H341" s="490"/>
      <c r="I341" s="490"/>
      <c r="J341" s="490"/>
      <c r="K341" s="490"/>
      <c r="L341" s="490"/>
      <c r="M341" s="490"/>
    </row>
    <row r="342">
      <c r="A342" s="194"/>
      <c r="B342" s="55"/>
      <c r="C342" s="60"/>
      <c r="D342" s="489"/>
      <c r="E342" s="489"/>
      <c r="F342" s="246"/>
      <c r="G342" s="213"/>
      <c r="H342" s="490"/>
      <c r="I342" s="490"/>
      <c r="J342" s="490"/>
      <c r="K342" s="490"/>
      <c r="L342" s="490"/>
      <c r="M342" s="490"/>
    </row>
    <row r="343">
      <c r="A343" s="191"/>
      <c r="B343" s="55"/>
      <c r="C343" s="60"/>
      <c r="D343" s="62"/>
      <c r="E343" s="62"/>
      <c r="F343" s="228"/>
      <c r="G343" s="229"/>
      <c r="H343" s="490"/>
      <c r="I343" s="490"/>
      <c r="J343" s="490"/>
      <c r="K343" s="490"/>
      <c r="L343" s="490"/>
      <c r="M343" s="490"/>
    </row>
    <row r="344">
      <c r="A344" s="194"/>
      <c r="B344" s="55"/>
      <c r="C344" s="60"/>
      <c r="D344" s="489"/>
      <c r="E344" s="489"/>
      <c r="F344" s="246"/>
      <c r="G344" s="213"/>
      <c r="H344" s="490"/>
      <c r="I344" s="490"/>
      <c r="J344" s="490"/>
      <c r="K344" s="490"/>
      <c r="L344" s="490"/>
      <c r="M344" s="490"/>
    </row>
    <row r="345">
      <c r="A345" s="191"/>
      <c r="B345" s="55"/>
      <c r="C345" s="60"/>
      <c r="D345" s="62"/>
      <c r="E345" s="62"/>
      <c r="F345" s="228"/>
      <c r="G345" s="229"/>
      <c r="H345" s="490"/>
      <c r="I345" s="490"/>
      <c r="J345" s="490"/>
      <c r="K345" s="490"/>
      <c r="L345" s="490"/>
      <c r="M345" s="490"/>
    </row>
    <row r="346">
      <c r="A346" s="194"/>
      <c r="B346" s="55"/>
      <c r="C346" s="60"/>
      <c r="D346" s="489"/>
      <c r="E346" s="489"/>
      <c r="F346" s="246"/>
      <c r="G346" s="213"/>
      <c r="H346" s="490"/>
      <c r="I346" s="490"/>
      <c r="J346" s="490"/>
      <c r="K346" s="490"/>
      <c r="L346" s="490"/>
      <c r="M346" s="490"/>
    </row>
    <row r="347">
      <c r="A347" s="191"/>
      <c r="B347" s="55"/>
      <c r="C347" s="60"/>
      <c r="D347" s="62"/>
      <c r="E347" s="62"/>
      <c r="F347" s="228"/>
      <c r="G347" s="229"/>
      <c r="H347" s="490"/>
      <c r="I347" s="490"/>
      <c r="J347" s="490"/>
      <c r="K347" s="490"/>
      <c r="L347" s="490"/>
      <c r="M347" s="490"/>
    </row>
    <row r="348">
      <c r="A348" s="194"/>
      <c r="B348" s="55"/>
      <c r="C348" s="60"/>
      <c r="D348" s="489"/>
      <c r="E348" s="489"/>
      <c r="F348" s="246"/>
      <c r="G348" s="213"/>
      <c r="H348" s="490"/>
      <c r="I348" s="490"/>
      <c r="J348" s="490"/>
      <c r="K348" s="490"/>
      <c r="L348" s="490"/>
      <c r="M348" s="490"/>
    </row>
    <row r="349">
      <c r="A349" s="191"/>
      <c r="B349" s="55"/>
      <c r="C349" s="60"/>
      <c r="D349" s="62"/>
      <c r="E349" s="62"/>
      <c r="F349" s="228"/>
      <c r="G349" s="229"/>
      <c r="H349" s="490"/>
      <c r="I349" s="490"/>
      <c r="J349" s="490"/>
      <c r="K349" s="490"/>
      <c r="L349" s="490"/>
      <c r="M349" s="490"/>
    </row>
    <row r="350">
      <c r="A350" s="194"/>
      <c r="B350" s="55"/>
      <c r="C350" s="60"/>
      <c r="D350" s="489"/>
      <c r="E350" s="489"/>
      <c r="F350" s="246"/>
      <c r="G350" s="213"/>
      <c r="H350" s="490"/>
      <c r="I350" s="490"/>
      <c r="J350" s="490"/>
      <c r="K350" s="490"/>
      <c r="L350" s="490"/>
      <c r="M350" s="490"/>
    </row>
    <row r="351">
      <c r="A351" s="191"/>
      <c r="B351" s="55"/>
      <c r="C351" s="60"/>
      <c r="D351" s="62"/>
      <c r="E351" s="62"/>
      <c r="F351" s="228"/>
      <c r="G351" s="229"/>
      <c r="H351" s="490"/>
      <c r="I351" s="490"/>
      <c r="J351" s="490"/>
      <c r="K351" s="490"/>
      <c r="L351" s="490"/>
      <c r="M351" s="490"/>
    </row>
    <row r="352">
      <c r="A352" s="194"/>
      <c r="B352" s="55"/>
      <c r="C352" s="60"/>
      <c r="D352" s="489"/>
      <c r="E352" s="489"/>
      <c r="F352" s="246"/>
      <c r="G352" s="213"/>
      <c r="H352" s="490"/>
      <c r="I352" s="490"/>
      <c r="J352" s="490"/>
      <c r="K352" s="490"/>
      <c r="L352" s="490"/>
      <c r="M352" s="490"/>
    </row>
    <row r="353">
      <c r="A353" s="191"/>
      <c r="B353" s="55"/>
      <c r="C353" s="60"/>
      <c r="D353" s="62"/>
      <c r="E353" s="62"/>
      <c r="F353" s="228"/>
      <c r="G353" s="229"/>
      <c r="H353" s="490"/>
      <c r="I353" s="490"/>
      <c r="J353" s="490"/>
      <c r="K353" s="490"/>
      <c r="L353" s="490"/>
      <c r="M353" s="490"/>
    </row>
    <row r="354">
      <c r="A354" s="194"/>
      <c r="B354" s="55"/>
      <c r="C354" s="60"/>
      <c r="D354" s="489"/>
      <c r="E354" s="489"/>
      <c r="F354" s="246"/>
      <c r="G354" s="213"/>
      <c r="H354" s="490"/>
      <c r="I354" s="490"/>
      <c r="J354" s="490"/>
      <c r="K354" s="490"/>
      <c r="L354" s="490"/>
      <c r="M354" s="490"/>
    </row>
    <row r="355">
      <c r="A355" s="191"/>
      <c r="B355" s="55"/>
      <c r="C355" s="60"/>
      <c r="D355" s="62"/>
      <c r="E355" s="62"/>
      <c r="F355" s="228"/>
      <c r="G355" s="229"/>
      <c r="H355" s="490"/>
      <c r="I355" s="490"/>
      <c r="J355" s="490"/>
      <c r="K355" s="490"/>
      <c r="L355" s="490"/>
      <c r="M355" s="490"/>
    </row>
    <row r="356">
      <c r="A356" s="194"/>
      <c r="B356" s="55"/>
      <c r="C356" s="60"/>
      <c r="D356" s="489"/>
      <c r="E356" s="489"/>
      <c r="F356" s="246"/>
      <c r="G356" s="213"/>
      <c r="H356" s="490"/>
      <c r="I356" s="490"/>
      <c r="J356" s="490"/>
      <c r="K356" s="490"/>
      <c r="L356" s="490"/>
      <c r="M356" s="490"/>
    </row>
    <row r="357">
      <c r="A357" s="191"/>
      <c r="B357" s="55"/>
      <c r="C357" s="60"/>
      <c r="D357" s="62"/>
      <c r="E357" s="62"/>
      <c r="F357" s="228"/>
      <c r="G357" s="229"/>
      <c r="H357" s="490"/>
      <c r="I357" s="490"/>
      <c r="J357" s="490"/>
      <c r="K357" s="490"/>
      <c r="L357" s="490"/>
      <c r="M357" s="490"/>
    </row>
    <row r="358">
      <c r="A358" s="194"/>
      <c r="B358" s="55"/>
      <c r="C358" s="60"/>
      <c r="D358" s="489"/>
      <c r="E358" s="489"/>
      <c r="F358" s="246"/>
      <c r="G358" s="213"/>
      <c r="H358" s="490"/>
      <c r="I358" s="490"/>
      <c r="J358" s="490"/>
      <c r="K358" s="490"/>
      <c r="L358" s="490"/>
      <c r="M358" s="490"/>
    </row>
    <row r="359">
      <c r="A359" s="191"/>
      <c r="B359" s="55"/>
      <c r="C359" s="60"/>
      <c r="D359" s="62"/>
      <c r="E359" s="62"/>
      <c r="F359" s="228"/>
      <c r="G359" s="229"/>
      <c r="H359" s="490"/>
      <c r="I359" s="490"/>
      <c r="J359" s="490"/>
      <c r="K359" s="490"/>
      <c r="L359" s="490"/>
      <c r="M359" s="490"/>
    </row>
    <row r="360">
      <c r="A360" s="194"/>
      <c r="B360" s="55"/>
      <c r="C360" s="60"/>
      <c r="D360" s="489"/>
      <c r="E360" s="489"/>
      <c r="F360" s="246"/>
      <c r="G360" s="213"/>
      <c r="H360" s="490"/>
      <c r="I360" s="490"/>
      <c r="J360" s="490"/>
      <c r="K360" s="490"/>
      <c r="L360" s="490"/>
      <c r="M360" s="490"/>
    </row>
    <row r="361">
      <c r="A361" s="191"/>
      <c r="B361" s="55"/>
      <c r="C361" s="60"/>
      <c r="D361" s="62"/>
      <c r="E361" s="62"/>
      <c r="F361" s="228"/>
      <c r="G361" s="229"/>
      <c r="H361" s="490"/>
      <c r="I361" s="490"/>
      <c r="J361" s="490"/>
      <c r="K361" s="490"/>
      <c r="L361" s="490"/>
      <c r="M361" s="490"/>
    </row>
    <row r="362">
      <c r="A362" s="194"/>
      <c r="B362" s="55"/>
      <c r="C362" s="60"/>
      <c r="D362" s="489"/>
      <c r="E362" s="489"/>
      <c r="F362" s="246"/>
      <c r="G362" s="213"/>
      <c r="H362" s="490"/>
      <c r="I362" s="490"/>
      <c r="J362" s="490"/>
      <c r="K362" s="490"/>
      <c r="L362" s="490"/>
      <c r="M362" s="490"/>
    </row>
    <row r="363">
      <c r="A363" s="191"/>
      <c r="B363" s="55"/>
      <c r="C363" s="60"/>
      <c r="D363" s="62"/>
      <c r="E363" s="62"/>
      <c r="F363" s="228"/>
      <c r="G363" s="229"/>
      <c r="H363" s="490"/>
      <c r="I363" s="490"/>
      <c r="J363" s="490"/>
      <c r="K363" s="490"/>
      <c r="L363" s="490"/>
      <c r="M363" s="490"/>
    </row>
    <row r="364">
      <c r="A364" s="194"/>
      <c r="B364" s="55"/>
      <c r="C364" s="60"/>
      <c r="D364" s="489"/>
      <c r="E364" s="489"/>
      <c r="F364" s="246"/>
      <c r="G364" s="213"/>
      <c r="H364" s="490"/>
      <c r="I364" s="490"/>
      <c r="J364" s="490"/>
      <c r="K364" s="490"/>
      <c r="L364" s="490"/>
      <c r="M364" s="490"/>
    </row>
    <row r="365">
      <c r="A365" s="191"/>
      <c r="B365" s="55"/>
      <c r="C365" s="60"/>
      <c r="D365" s="62"/>
      <c r="E365" s="62"/>
      <c r="F365" s="228"/>
      <c r="G365" s="229"/>
      <c r="H365" s="490"/>
      <c r="I365" s="490"/>
      <c r="J365" s="490"/>
      <c r="K365" s="490"/>
      <c r="L365" s="490"/>
      <c r="M365" s="490"/>
    </row>
    <row r="366">
      <c r="A366" s="194"/>
      <c r="B366" s="55"/>
      <c r="C366" s="60"/>
      <c r="D366" s="489"/>
      <c r="E366" s="489"/>
      <c r="F366" s="246"/>
      <c r="G366" s="213"/>
      <c r="H366" s="490"/>
      <c r="I366" s="490"/>
      <c r="J366" s="490"/>
      <c r="K366" s="490"/>
      <c r="L366" s="490"/>
      <c r="M366" s="490"/>
    </row>
    <row r="367">
      <c r="A367" s="191"/>
      <c r="B367" s="55"/>
      <c r="C367" s="60"/>
      <c r="D367" s="62"/>
      <c r="E367" s="62"/>
      <c r="F367" s="228"/>
      <c r="G367" s="229"/>
      <c r="H367" s="490"/>
      <c r="I367" s="490"/>
      <c r="J367" s="490"/>
      <c r="K367" s="490"/>
      <c r="L367" s="490"/>
      <c r="M367" s="490"/>
    </row>
    <row r="368">
      <c r="A368" s="194"/>
      <c r="B368" s="55"/>
      <c r="C368" s="60"/>
      <c r="D368" s="489"/>
      <c r="E368" s="489"/>
      <c r="F368" s="246"/>
      <c r="G368" s="213"/>
      <c r="H368" s="490"/>
      <c r="I368" s="490"/>
      <c r="J368" s="490"/>
      <c r="K368" s="490"/>
      <c r="L368" s="490"/>
      <c r="M368" s="490"/>
    </row>
    <row r="369">
      <c r="A369" s="191"/>
      <c r="B369" s="55"/>
      <c r="C369" s="60"/>
      <c r="D369" s="62"/>
      <c r="E369" s="62"/>
      <c r="F369" s="228"/>
      <c r="G369" s="229"/>
      <c r="H369" s="490"/>
      <c r="I369" s="490"/>
      <c r="J369" s="490"/>
      <c r="K369" s="490"/>
      <c r="L369" s="490"/>
      <c r="M369" s="490"/>
    </row>
    <row r="370">
      <c r="A370" s="194"/>
      <c r="B370" s="55"/>
      <c r="C370" s="60"/>
      <c r="D370" s="489"/>
      <c r="E370" s="489"/>
      <c r="F370" s="246"/>
      <c r="G370" s="213"/>
      <c r="H370" s="490"/>
      <c r="I370" s="490"/>
      <c r="J370" s="490"/>
      <c r="K370" s="490"/>
      <c r="L370" s="490"/>
      <c r="M370" s="490"/>
    </row>
    <row r="371">
      <c r="A371" s="191"/>
      <c r="B371" s="55"/>
      <c r="C371" s="60"/>
      <c r="D371" s="62"/>
      <c r="E371" s="62"/>
      <c r="F371" s="228"/>
      <c r="G371" s="229"/>
      <c r="H371" s="490"/>
      <c r="I371" s="490"/>
      <c r="J371" s="490"/>
      <c r="K371" s="490"/>
      <c r="L371" s="490"/>
      <c r="M371" s="490"/>
    </row>
    <row r="372">
      <c r="A372" s="194"/>
      <c r="B372" s="55"/>
      <c r="C372" s="60"/>
      <c r="D372" s="489"/>
      <c r="E372" s="489"/>
      <c r="F372" s="246"/>
      <c r="G372" s="213"/>
      <c r="H372" s="490"/>
      <c r="I372" s="490"/>
      <c r="J372" s="490"/>
      <c r="K372" s="490"/>
      <c r="L372" s="490"/>
      <c r="M372" s="490"/>
    </row>
    <row r="373">
      <c r="A373" s="191"/>
      <c r="B373" s="55"/>
      <c r="C373" s="60"/>
      <c r="D373" s="62"/>
      <c r="E373" s="62"/>
      <c r="F373" s="228"/>
      <c r="G373" s="229"/>
      <c r="H373" s="490"/>
      <c r="I373" s="490"/>
      <c r="J373" s="490"/>
      <c r="K373" s="490"/>
      <c r="L373" s="490"/>
      <c r="M373" s="490"/>
    </row>
    <row r="374">
      <c r="A374" s="194"/>
      <c r="B374" s="55"/>
      <c r="C374" s="60"/>
      <c r="D374" s="489"/>
      <c r="E374" s="489"/>
      <c r="F374" s="246"/>
      <c r="G374" s="213"/>
      <c r="H374" s="490"/>
      <c r="I374" s="490"/>
      <c r="J374" s="490"/>
      <c r="K374" s="490"/>
      <c r="L374" s="490"/>
      <c r="M374" s="490"/>
    </row>
    <row r="375">
      <c r="A375" s="191"/>
      <c r="B375" s="55"/>
      <c r="C375" s="60"/>
      <c r="D375" s="62"/>
      <c r="E375" s="62"/>
      <c r="F375" s="228"/>
      <c r="G375" s="229"/>
      <c r="H375" s="490"/>
      <c r="I375" s="490"/>
      <c r="J375" s="490"/>
      <c r="K375" s="490"/>
      <c r="L375" s="490"/>
      <c r="M375" s="490"/>
    </row>
    <row r="376">
      <c r="A376" s="194"/>
      <c r="B376" s="55"/>
      <c r="C376" s="60"/>
      <c r="D376" s="489"/>
      <c r="E376" s="489"/>
      <c r="F376" s="246"/>
      <c r="G376" s="213"/>
      <c r="H376" s="490"/>
      <c r="I376" s="490"/>
      <c r="J376" s="490"/>
      <c r="K376" s="490"/>
      <c r="L376" s="490"/>
      <c r="M376" s="490"/>
    </row>
    <row r="377">
      <c r="A377" s="191"/>
      <c r="B377" s="55"/>
      <c r="C377" s="60"/>
      <c r="D377" s="62"/>
      <c r="E377" s="62"/>
      <c r="F377" s="228"/>
      <c r="G377" s="229"/>
      <c r="H377" s="490"/>
      <c r="I377" s="490"/>
      <c r="J377" s="490"/>
      <c r="K377" s="490"/>
      <c r="L377" s="490"/>
      <c r="M377" s="490"/>
    </row>
    <row r="378">
      <c r="A378" s="194"/>
      <c r="B378" s="55"/>
      <c r="C378" s="60"/>
      <c r="D378" s="489"/>
      <c r="E378" s="489"/>
      <c r="F378" s="246"/>
      <c r="G378" s="213"/>
      <c r="H378" s="490"/>
      <c r="I378" s="490"/>
      <c r="J378" s="490"/>
      <c r="K378" s="490"/>
      <c r="L378" s="490"/>
      <c r="M378" s="490"/>
    </row>
    <row r="379">
      <c r="A379" s="191"/>
      <c r="B379" s="55"/>
      <c r="C379" s="60"/>
      <c r="D379" s="62"/>
      <c r="E379" s="62"/>
      <c r="F379" s="228"/>
      <c r="G379" s="229"/>
      <c r="H379" s="490"/>
      <c r="I379" s="490"/>
      <c r="J379" s="490"/>
      <c r="K379" s="490"/>
      <c r="L379" s="490"/>
      <c r="M379" s="490"/>
    </row>
    <row r="380">
      <c r="A380" s="194"/>
      <c r="B380" s="55"/>
      <c r="C380" s="60"/>
      <c r="D380" s="489"/>
      <c r="E380" s="489"/>
      <c r="F380" s="246"/>
      <c r="G380" s="213"/>
      <c r="H380" s="490"/>
      <c r="I380" s="490"/>
      <c r="J380" s="490"/>
      <c r="K380" s="490"/>
      <c r="L380" s="490"/>
      <c r="M380" s="490"/>
    </row>
    <row r="381">
      <c r="A381" s="191"/>
      <c r="B381" s="55"/>
      <c r="C381" s="60"/>
      <c r="D381" s="62"/>
      <c r="E381" s="62"/>
      <c r="F381" s="228"/>
      <c r="G381" s="229"/>
      <c r="H381" s="490"/>
      <c r="I381" s="490"/>
      <c r="J381" s="490"/>
      <c r="K381" s="490"/>
      <c r="L381" s="490"/>
      <c r="M381" s="490"/>
    </row>
    <row r="382">
      <c r="A382" s="194"/>
      <c r="B382" s="55"/>
      <c r="C382" s="60"/>
      <c r="D382" s="489"/>
      <c r="E382" s="489"/>
      <c r="F382" s="246"/>
      <c r="G382" s="213"/>
      <c r="H382" s="490"/>
      <c r="I382" s="490"/>
      <c r="J382" s="490"/>
      <c r="K382" s="490"/>
      <c r="L382" s="490"/>
      <c r="M382" s="490"/>
    </row>
    <row r="383">
      <c r="A383" s="191"/>
      <c r="B383" s="55"/>
      <c r="C383" s="60"/>
      <c r="D383" s="62"/>
      <c r="E383" s="62"/>
      <c r="F383" s="228"/>
      <c r="G383" s="229"/>
      <c r="H383" s="490"/>
      <c r="I383" s="490"/>
      <c r="J383" s="490"/>
      <c r="K383" s="490"/>
      <c r="L383" s="490"/>
      <c r="M383" s="490"/>
    </row>
    <row r="384">
      <c r="A384" s="194"/>
      <c r="B384" s="55"/>
      <c r="C384" s="60"/>
      <c r="D384" s="489"/>
      <c r="E384" s="489"/>
      <c r="F384" s="246"/>
      <c r="G384" s="213"/>
      <c r="H384" s="490"/>
      <c r="I384" s="490"/>
      <c r="J384" s="490"/>
      <c r="K384" s="490"/>
      <c r="L384" s="490"/>
      <c r="M384" s="490"/>
    </row>
    <row r="385">
      <c r="A385" s="191"/>
      <c r="B385" s="55"/>
      <c r="C385" s="60"/>
      <c r="D385" s="62"/>
      <c r="E385" s="62"/>
      <c r="F385" s="228"/>
      <c r="G385" s="229"/>
      <c r="H385" s="490"/>
      <c r="I385" s="490"/>
      <c r="J385" s="490"/>
      <c r="K385" s="490"/>
      <c r="L385" s="490"/>
      <c r="M385" s="490"/>
    </row>
    <row r="386">
      <c r="A386" s="194"/>
      <c r="B386" s="55"/>
      <c r="C386" s="60"/>
      <c r="D386" s="489"/>
      <c r="E386" s="489"/>
      <c r="F386" s="246"/>
      <c r="G386" s="213"/>
      <c r="H386" s="490"/>
      <c r="I386" s="490"/>
      <c r="J386" s="490"/>
      <c r="K386" s="490"/>
      <c r="L386" s="490"/>
      <c r="M386" s="490"/>
    </row>
    <row r="387">
      <c r="A387" s="191"/>
      <c r="B387" s="55"/>
      <c r="C387" s="60"/>
      <c r="D387" s="62"/>
      <c r="E387" s="62"/>
      <c r="F387" s="228"/>
      <c r="G387" s="229"/>
      <c r="H387" s="490"/>
      <c r="I387" s="490"/>
      <c r="J387" s="490"/>
      <c r="K387" s="490"/>
      <c r="L387" s="490"/>
      <c r="M387" s="490"/>
    </row>
    <row r="388">
      <c r="A388" s="194"/>
      <c r="B388" s="55"/>
      <c r="C388" s="60"/>
      <c r="D388" s="489"/>
      <c r="E388" s="489"/>
      <c r="F388" s="246"/>
      <c r="G388" s="213"/>
      <c r="H388" s="490"/>
      <c r="I388" s="490"/>
      <c r="J388" s="490"/>
      <c r="K388" s="490"/>
      <c r="L388" s="490"/>
      <c r="M388" s="490"/>
    </row>
    <row r="389">
      <c r="A389" s="191"/>
      <c r="B389" s="55"/>
      <c r="C389" s="60"/>
      <c r="D389" s="62"/>
      <c r="E389" s="62"/>
      <c r="F389" s="228"/>
      <c r="G389" s="229"/>
      <c r="H389" s="490"/>
      <c r="I389" s="490"/>
      <c r="J389" s="490"/>
      <c r="K389" s="490"/>
      <c r="L389" s="490"/>
      <c r="M389" s="490"/>
    </row>
    <row r="390">
      <c r="A390" s="194"/>
      <c r="B390" s="55"/>
      <c r="C390" s="60"/>
      <c r="D390" s="489"/>
      <c r="E390" s="489"/>
      <c r="F390" s="246"/>
      <c r="G390" s="213"/>
      <c r="H390" s="490"/>
      <c r="I390" s="490"/>
      <c r="J390" s="490"/>
      <c r="K390" s="490"/>
      <c r="L390" s="490"/>
      <c r="M390" s="490"/>
    </row>
    <row r="391">
      <c r="A391" s="191"/>
      <c r="B391" s="55"/>
      <c r="C391" s="60"/>
      <c r="D391" s="62"/>
      <c r="E391" s="62"/>
      <c r="F391" s="228"/>
      <c r="G391" s="229"/>
      <c r="H391" s="490"/>
      <c r="I391" s="490"/>
      <c r="J391" s="490"/>
      <c r="K391" s="490"/>
      <c r="L391" s="490"/>
      <c r="M391" s="490"/>
    </row>
    <row r="392">
      <c r="A392" s="194"/>
      <c r="B392" s="55"/>
      <c r="C392" s="60"/>
      <c r="D392" s="489"/>
      <c r="E392" s="489"/>
      <c r="F392" s="246"/>
      <c r="G392" s="213"/>
      <c r="H392" s="490"/>
      <c r="I392" s="490"/>
      <c r="J392" s="490"/>
      <c r="K392" s="490"/>
      <c r="L392" s="490"/>
      <c r="M392" s="490"/>
    </row>
    <row r="393">
      <c r="A393" s="191"/>
      <c r="B393" s="55"/>
      <c r="C393" s="60"/>
      <c r="D393" s="62"/>
      <c r="E393" s="62"/>
      <c r="F393" s="228"/>
      <c r="G393" s="229"/>
      <c r="H393" s="490"/>
      <c r="I393" s="490"/>
      <c r="J393" s="490"/>
      <c r="K393" s="490"/>
      <c r="L393" s="490"/>
      <c r="M393" s="490"/>
    </row>
    <row r="394">
      <c r="A394" s="194"/>
      <c r="B394" s="55"/>
      <c r="C394" s="60"/>
      <c r="D394" s="489"/>
      <c r="E394" s="489"/>
      <c r="F394" s="246"/>
      <c r="G394" s="213"/>
      <c r="H394" s="490"/>
      <c r="I394" s="490"/>
      <c r="J394" s="490"/>
      <c r="K394" s="490"/>
      <c r="L394" s="490"/>
      <c r="M394" s="490"/>
    </row>
    <row r="395">
      <c r="A395" s="191"/>
      <c r="B395" s="55"/>
      <c r="C395" s="60"/>
      <c r="D395" s="62"/>
      <c r="E395" s="62"/>
      <c r="F395" s="228"/>
      <c r="G395" s="229"/>
      <c r="H395" s="490"/>
      <c r="I395" s="490"/>
      <c r="J395" s="490"/>
      <c r="K395" s="490"/>
      <c r="L395" s="490"/>
      <c r="M395" s="490"/>
    </row>
    <row r="396">
      <c r="A396" s="194"/>
      <c r="B396" s="55"/>
      <c r="C396" s="60"/>
      <c r="D396" s="489"/>
      <c r="E396" s="489"/>
      <c r="F396" s="246"/>
      <c r="G396" s="213"/>
      <c r="H396" s="490"/>
      <c r="I396" s="490"/>
      <c r="J396" s="490"/>
      <c r="K396" s="490"/>
      <c r="L396" s="490"/>
      <c r="M396" s="490"/>
    </row>
    <row r="397">
      <c r="A397" s="191"/>
      <c r="B397" s="55"/>
      <c r="C397" s="60"/>
      <c r="D397" s="62"/>
      <c r="E397" s="62"/>
      <c r="F397" s="228"/>
      <c r="G397" s="229"/>
      <c r="H397" s="490"/>
      <c r="I397" s="490"/>
      <c r="J397" s="490"/>
      <c r="K397" s="490"/>
      <c r="L397" s="490"/>
      <c r="M397" s="490"/>
    </row>
    <row r="398">
      <c r="A398" s="194"/>
      <c r="B398" s="55"/>
      <c r="C398" s="60"/>
      <c r="D398" s="489"/>
      <c r="E398" s="489"/>
      <c r="F398" s="246"/>
      <c r="G398" s="213"/>
      <c r="H398" s="490"/>
      <c r="I398" s="490"/>
      <c r="J398" s="490"/>
      <c r="K398" s="490"/>
      <c r="L398" s="490"/>
      <c r="M398" s="490"/>
    </row>
    <row r="399">
      <c r="A399" s="191"/>
      <c r="B399" s="55"/>
      <c r="C399" s="60"/>
      <c r="D399" s="62"/>
      <c r="E399" s="62"/>
      <c r="F399" s="228"/>
      <c r="G399" s="229"/>
      <c r="H399" s="490"/>
      <c r="I399" s="490"/>
      <c r="J399" s="490"/>
      <c r="K399" s="490"/>
      <c r="L399" s="490"/>
      <c r="M399" s="490"/>
    </row>
    <row r="400">
      <c r="A400" s="194"/>
      <c r="B400" s="55"/>
      <c r="C400" s="60"/>
      <c r="D400" s="489"/>
      <c r="E400" s="489"/>
      <c r="F400" s="246"/>
      <c r="G400" s="213"/>
      <c r="H400" s="490"/>
      <c r="I400" s="490"/>
      <c r="J400" s="490"/>
      <c r="K400" s="490"/>
      <c r="L400" s="490"/>
      <c r="M400" s="490"/>
    </row>
    <row r="401">
      <c r="A401" s="191"/>
      <c r="B401" s="55"/>
      <c r="C401" s="60"/>
      <c r="D401" s="62"/>
      <c r="E401" s="62"/>
      <c r="F401" s="228"/>
      <c r="G401" s="229"/>
      <c r="H401" s="490"/>
      <c r="I401" s="490"/>
      <c r="J401" s="490"/>
      <c r="K401" s="490"/>
      <c r="L401" s="490"/>
      <c r="M401" s="490"/>
    </row>
    <row r="402">
      <c r="A402" s="194"/>
      <c r="B402" s="55"/>
      <c r="C402" s="60"/>
      <c r="D402" s="489"/>
      <c r="E402" s="489"/>
      <c r="F402" s="246"/>
      <c r="G402" s="213"/>
      <c r="H402" s="490"/>
      <c r="I402" s="490"/>
      <c r="J402" s="490"/>
      <c r="K402" s="490"/>
      <c r="L402" s="490"/>
      <c r="M402" s="490"/>
    </row>
    <row r="403">
      <c r="A403" s="191"/>
      <c r="B403" s="55"/>
      <c r="C403" s="60"/>
      <c r="D403" s="62"/>
      <c r="E403" s="62"/>
      <c r="F403" s="228"/>
      <c r="G403" s="229"/>
      <c r="H403" s="490"/>
      <c r="I403" s="490"/>
      <c r="J403" s="490"/>
      <c r="K403" s="490"/>
      <c r="L403" s="490"/>
      <c r="M403" s="490"/>
    </row>
    <row r="404">
      <c r="A404" s="194"/>
      <c r="B404" s="55"/>
      <c r="C404" s="60"/>
      <c r="D404" s="489"/>
      <c r="E404" s="489"/>
      <c r="F404" s="246"/>
      <c r="G404" s="213"/>
      <c r="H404" s="490"/>
      <c r="I404" s="490"/>
      <c r="J404" s="490"/>
      <c r="K404" s="490"/>
      <c r="L404" s="490"/>
      <c r="M404" s="490"/>
    </row>
    <row r="405">
      <c r="A405" s="191"/>
      <c r="B405" s="55"/>
      <c r="C405" s="60"/>
      <c r="D405" s="62"/>
      <c r="E405" s="62"/>
      <c r="F405" s="228"/>
      <c r="G405" s="229"/>
      <c r="H405" s="490"/>
      <c r="I405" s="490"/>
      <c r="J405" s="490"/>
      <c r="K405" s="490"/>
      <c r="L405" s="490"/>
      <c r="M405" s="490"/>
    </row>
    <row r="406">
      <c r="A406" s="194"/>
      <c r="B406" s="55"/>
      <c r="C406" s="60"/>
      <c r="D406" s="489"/>
      <c r="E406" s="489"/>
      <c r="F406" s="246"/>
      <c r="G406" s="213"/>
      <c r="H406" s="490"/>
      <c r="I406" s="490"/>
      <c r="J406" s="490"/>
      <c r="K406" s="490"/>
      <c r="L406" s="490"/>
      <c r="M406" s="490"/>
    </row>
    <row r="407">
      <c r="A407" s="191"/>
      <c r="B407" s="55"/>
      <c r="C407" s="60"/>
      <c r="D407" s="62"/>
      <c r="E407" s="62"/>
      <c r="F407" s="228"/>
      <c r="G407" s="229"/>
      <c r="H407" s="490"/>
      <c r="I407" s="490"/>
      <c r="J407" s="490"/>
      <c r="K407" s="490"/>
      <c r="L407" s="490"/>
      <c r="M407" s="490"/>
    </row>
    <row r="408">
      <c r="A408" s="194"/>
      <c r="B408" s="55"/>
      <c r="C408" s="60"/>
      <c r="D408" s="489"/>
      <c r="E408" s="489"/>
      <c r="F408" s="246"/>
      <c r="G408" s="213"/>
      <c r="H408" s="490"/>
      <c r="I408" s="490"/>
      <c r="J408" s="490"/>
      <c r="K408" s="490"/>
      <c r="L408" s="490"/>
      <c r="M408" s="490"/>
    </row>
    <row r="409">
      <c r="A409" s="191"/>
      <c r="B409" s="55"/>
      <c r="C409" s="60"/>
      <c r="D409" s="62"/>
      <c r="E409" s="62"/>
      <c r="F409" s="228"/>
      <c r="G409" s="229"/>
      <c r="H409" s="490"/>
      <c r="I409" s="490"/>
      <c r="J409" s="490"/>
      <c r="K409" s="490"/>
      <c r="L409" s="490"/>
      <c r="M409" s="490"/>
    </row>
    <row r="410">
      <c r="A410" s="194"/>
      <c r="B410" s="55"/>
      <c r="C410" s="60"/>
      <c r="D410" s="489"/>
      <c r="E410" s="489"/>
      <c r="F410" s="246"/>
      <c r="G410" s="213"/>
      <c r="H410" s="490"/>
      <c r="I410" s="490"/>
      <c r="J410" s="490"/>
      <c r="K410" s="490"/>
      <c r="L410" s="490"/>
      <c r="M410" s="490"/>
    </row>
    <row r="411">
      <c r="A411" s="191"/>
      <c r="B411" s="55"/>
      <c r="C411" s="60"/>
      <c r="D411" s="62"/>
      <c r="E411" s="62"/>
      <c r="F411" s="228"/>
      <c r="G411" s="229"/>
      <c r="H411" s="490"/>
      <c r="I411" s="490"/>
      <c r="J411" s="490"/>
      <c r="K411" s="490"/>
      <c r="L411" s="490"/>
      <c r="M411" s="490"/>
    </row>
    <row r="412">
      <c r="A412" s="194"/>
      <c r="B412" s="55"/>
      <c r="C412" s="60"/>
      <c r="D412" s="489"/>
      <c r="E412" s="489"/>
      <c r="F412" s="246"/>
      <c r="G412" s="213"/>
      <c r="H412" s="490"/>
      <c r="I412" s="490"/>
      <c r="J412" s="490"/>
      <c r="K412" s="490"/>
      <c r="L412" s="490"/>
      <c r="M412" s="490"/>
    </row>
    <row r="413">
      <c r="A413" s="191"/>
      <c r="B413" s="55"/>
      <c r="C413" s="60"/>
      <c r="D413" s="62"/>
      <c r="E413" s="62"/>
      <c r="F413" s="228"/>
      <c r="G413" s="229"/>
      <c r="H413" s="490"/>
      <c r="I413" s="490"/>
      <c r="J413" s="490"/>
      <c r="K413" s="490"/>
      <c r="L413" s="490"/>
      <c r="M413" s="490"/>
    </row>
    <row r="414">
      <c r="A414" s="194"/>
      <c r="B414" s="55"/>
      <c r="C414" s="60"/>
      <c r="D414" s="489"/>
      <c r="E414" s="489"/>
      <c r="F414" s="246"/>
      <c r="G414" s="213"/>
      <c r="H414" s="490"/>
      <c r="I414" s="490"/>
      <c r="J414" s="490"/>
      <c r="K414" s="490"/>
      <c r="L414" s="490"/>
      <c r="M414" s="490"/>
    </row>
    <row r="415">
      <c r="A415" s="191"/>
      <c r="B415" s="55"/>
      <c r="C415" s="60"/>
      <c r="D415" s="62"/>
      <c r="E415" s="62"/>
      <c r="F415" s="228"/>
      <c r="G415" s="229"/>
      <c r="H415" s="490"/>
      <c r="I415" s="490"/>
      <c r="J415" s="490"/>
      <c r="K415" s="490"/>
      <c r="L415" s="490"/>
      <c r="M415" s="490"/>
    </row>
    <row r="416">
      <c r="A416" s="194"/>
      <c r="B416" s="55"/>
      <c r="C416" s="60"/>
      <c r="D416" s="489"/>
      <c r="E416" s="489"/>
      <c r="F416" s="246"/>
      <c r="G416" s="213"/>
      <c r="H416" s="490"/>
      <c r="I416" s="490"/>
      <c r="J416" s="490"/>
      <c r="K416" s="490"/>
      <c r="L416" s="490"/>
      <c r="M416" s="490"/>
    </row>
    <row r="417">
      <c r="A417" s="191"/>
      <c r="B417" s="55"/>
      <c r="C417" s="60"/>
      <c r="D417" s="62"/>
      <c r="E417" s="62"/>
      <c r="F417" s="228"/>
      <c r="G417" s="229"/>
      <c r="H417" s="490"/>
      <c r="I417" s="490"/>
      <c r="J417" s="490"/>
      <c r="K417" s="490"/>
      <c r="L417" s="490"/>
      <c r="M417" s="490"/>
    </row>
    <row r="418">
      <c r="A418" s="194"/>
      <c r="B418" s="55"/>
      <c r="C418" s="60"/>
      <c r="D418" s="489"/>
      <c r="E418" s="489"/>
      <c r="F418" s="246"/>
      <c r="G418" s="213"/>
      <c r="H418" s="490"/>
      <c r="I418" s="490"/>
      <c r="J418" s="490"/>
      <c r="K418" s="490"/>
      <c r="L418" s="490"/>
      <c r="M418" s="490"/>
    </row>
    <row r="419">
      <c r="A419" s="191"/>
      <c r="B419" s="55"/>
      <c r="C419" s="60"/>
      <c r="D419" s="62"/>
      <c r="E419" s="62"/>
      <c r="F419" s="228"/>
      <c r="G419" s="229"/>
      <c r="H419" s="490"/>
      <c r="I419" s="490"/>
      <c r="J419" s="490"/>
      <c r="K419" s="490"/>
      <c r="L419" s="490"/>
      <c r="M419" s="490"/>
    </row>
    <row r="420">
      <c r="A420" s="194"/>
      <c r="B420" s="55"/>
      <c r="C420" s="60"/>
      <c r="D420" s="489"/>
      <c r="E420" s="489"/>
      <c r="F420" s="246"/>
      <c r="G420" s="213"/>
      <c r="H420" s="490"/>
      <c r="I420" s="490"/>
      <c r="J420" s="490"/>
      <c r="K420" s="490"/>
      <c r="L420" s="490"/>
      <c r="M420" s="490"/>
    </row>
    <row r="421">
      <c r="A421" s="191"/>
      <c r="B421" s="55"/>
      <c r="C421" s="60"/>
      <c r="D421" s="62"/>
      <c r="E421" s="62"/>
      <c r="F421" s="228"/>
      <c r="G421" s="229"/>
      <c r="H421" s="490"/>
      <c r="I421" s="490"/>
      <c r="J421" s="490"/>
      <c r="K421" s="490"/>
      <c r="L421" s="490"/>
      <c r="M421" s="490"/>
    </row>
    <row r="422">
      <c r="A422" s="194"/>
      <c r="B422" s="55"/>
      <c r="C422" s="60"/>
      <c r="D422" s="489"/>
      <c r="E422" s="489"/>
      <c r="F422" s="246"/>
      <c r="G422" s="213"/>
      <c r="H422" s="490"/>
      <c r="I422" s="490"/>
      <c r="J422" s="490"/>
      <c r="K422" s="490"/>
      <c r="L422" s="490"/>
      <c r="M422" s="490"/>
    </row>
    <row r="423">
      <c r="A423" s="191"/>
      <c r="B423" s="55"/>
      <c r="C423" s="60"/>
      <c r="D423" s="62"/>
      <c r="E423" s="62"/>
      <c r="F423" s="228"/>
      <c r="G423" s="229"/>
      <c r="H423" s="490"/>
      <c r="I423" s="490"/>
      <c r="J423" s="490"/>
      <c r="K423" s="490"/>
      <c r="L423" s="490"/>
      <c r="M423" s="490"/>
    </row>
    <row r="424">
      <c r="A424" s="194"/>
      <c r="B424" s="55"/>
      <c r="C424" s="60"/>
      <c r="D424" s="489"/>
      <c r="E424" s="489"/>
      <c r="F424" s="246"/>
      <c r="G424" s="213"/>
      <c r="H424" s="490"/>
      <c r="I424" s="490"/>
      <c r="J424" s="490"/>
      <c r="K424" s="490"/>
      <c r="L424" s="490"/>
      <c r="M424" s="490"/>
    </row>
    <row r="425">
      <c r="A425" s="191"/>
      <c r="B425" s="55"/>
      <c r="C425" s="60"/>
      <c r="D425" s="62"/>
      <c r="E425" s="62"/>
      <c r="F425" s="228"/>
      <c r="G425" s="229"/>
      <c r="H425" s="490"/>
      <c r="I425" s="490"/>
      <c r="J425" s="490"/>
      <c r="K425" s="490"/>
      <c r="L425" s="490"/>
      <c r="M425" s="490"/>
    </row>
    <row r="426">
      <c r="A426" s="194"/>
      <c r="B426" s="55"/>
      <c r="C426" s="60"/>
      <c r="D426" s="489"/>
      <c r="E426" s="489"/>
      <c r="F426" s="246"/>
      <c r="G426" s="213"/>
      <c r="H426" s="490"/>
      <c r="I426" s="490"/>
      <c r="J426" s="490"/>
      <c r="K426" s="490"/>
      <c r="L426" s="490"/>
      <c r="M426" s="490"/>
    </row>
    <row r="427">
      <c r="A427" s="191"/>
      <c r="B427" s="55"/>
      <c r="C427" s="60"/>
      <c r="D427" s="62"/>
      <c r="E427" s="62"/>
      <c r="F427" s="228"/>
      <c r="G427" s="229"/>
      <c r="H427" s="490"/>
      <c r="I427" s="490"/>
      <c r="J427" s="490"/>
      <c r="K427" s="490"/>
      <c r="L427" s="490"/>
      <c r="M427" s="490"/>
    </row>
    <row r="428">
      <c r="A428" s="194"/>
      <c r="B428" s="55"/>
      <c r="C428" s="60"/>
      <c r="D428" s="489"/>
      <c r="E428" s="489"/>
      <c r="F428" s="246"/>
      <c r="G428" s="213"/>
      <c r="H428" s="490"/>
      <c r="I428" s="490"/>
      <c r="J428" s="490"/>
      <c r="K428" s="490"/>
      <c r="L428" s="490"/>
      <c r="M428" s="490"/>
    </row>
    <row r="429">
      <c r="A429" s="191"/>
      <c r="B429" s="55"/>
      <c r="C429" s="60"/>
      <c r="D429" s="62"/>
      <c r="E429" s="62"/>
      <c r="F429" s="228"/>
      <c r="G429" s="229"/>
      <c r="H429" s="490"/>
      <c r="I429" s="490"/>
      <c r="J429" s="490"/>
      <c r="K429" s="490"/>
      <c r="L429" s="490"/>
      <c r="M429" s="490"/>
    </row>
    <row r="430">
      <c r="A430" s="194"/>
      <c r="B430" s="55"/>
      <c r="C430" s="60"/>
      <c r="D430" s="489"/>
      <c r="E430" s="489"/>
      <c r="F430" s="246"/>
      <c r="G430" s="213"/>
      <c r="H430" s="490"/>
      <c r="I430" s="490"/>
      <c r="J430" s="490"/>
      <c r="K430" s="490"/>
      <c r="L430" s="490"/>
      <c r="M430" s="490"/>
    </row>
    <row r="431">
      <c r="A431" s="191"/>
      <c r="B431" s="55"/>
      <c r="C431" s="60"/>
      <c r="D431" s="62"/>
      <c r="E431" s="62"/>
      <c r="F431" s="228"/>
      <c r="G431" s="229"/>
      <c r="H431" s="490"/>
      <c r="I431" s="490"/>
      <c r="J431" s="490"/>
      <c r="K431" s="490"/>
      <c r="L431" s="490"/>
      <c r="M431" s="490"/>
    </row>
    <row r="432">
      <c r="A432" s="194"/>
      <c r="B432" s="55"/>
      <c r="C432" s="60"/>
      <c r="D432" s="489"/>
      <c r="E432" s="489"/>
      <c r="F432" s="246"/>
      <c r="G432" s="213"/>
      <c r="H432" s="490"/>
      <c r="I432" s="490"/>
      <c r="J432" s="490"/>
      <c r="K432" s="490"/>
      <c r="L432" s="490"/>
      <c r="M432" s="490"/>
    </row>
    <row r="433">
      <c r="A433" s="191"/>
      <c r="B433" s="55"/>
      <c r="C433" s="60"/>
      <c r="D433" s="62"/>
      <c r="E433" s="62"/>
      <c r="F433" s="228"/>
      <c r="G433" s="229"/>
      <c r="H433" s="490"/>
      <c r="I433" s="490"/>
      <c r="J433" s="490"/>
      <c r="K433" s="490"/>
      <c r="L433" s="490"/>
      <c r="M433" s="490"/>
    </row>
    <row r="434">
      <c r="A434" s="194"/>
      <c r="B434" s="55"/>
      <c r="C434" s="60"/>
      <c r="D434" s="489"/>
      <c r="E434" s="489"/>
      <c r="F434" s="246"/>
      <c r="G434" s="213"/>
      <c r="H434" s="490"/>
      <c r="I434" s="490"/>
      <c r="J434" s="490"/>
      <c r="K434" s="490"/>
      <c r="L434" s="490"/>
      <c r="M434" s="490"/>
    </row>
    <row r="435">
      <c r="A435" s="191"/>
      <c r="B435" s="55"/>
      <c r="C435" s="60"/>
      <c r="D435" s="62"/>
      <c r="E435" s="62"/>
      <c r="F435" s="228"/>
      <c r="G435" s="229"/>
      <c r="H435" s="490"/>
      <c r="I435" s="490"/>
      <c r="J435" s="490"/>
      <c r="K435" s="490"/>
      <c r="L435" s="490"/>
      <c r="M435" s="490"/>
    </row>
    <row r="436">
      <c r="A436" s="194"/>
      <c r="B436" s="55"/>
      <c r="C436" s="60"/>
      <c r="D436" s="489"/>
      <c r="E436" s="489"/>
      <c r="F436" s="246"/>
      <c r="G436" s="213"/>
      <c r="H436" s="490"/>
      <c r="I436" s="490"/>
      <c r="J436" s="490"/>
      <c r="K436" s="490"/>
      <c r="L436" s="490"/>
      <c r="M436" s="490"/>
    </row>
    <row r="437">
      <c r="A437" s="191"/>
      <c r="B437" s="55"/>
      <c r="C437" s="60"/>
      <c r="D437" s="62"/>
      <c r="E437" s="62"/>
      <c r="F437" s="228"/>
      <c r="G437" s="229"/>
      <c r="H437" s="490"/>
      <c r="I437" s="490"/>
      <c r="J437" s="490"/>
      <c r="K437" s="490"/>
      <c r="L437" s="490"/>
      <c r="M437" s="490"/>
    </row>
    <row r="438">
      <c r="A438" s="194"/>
      <c r="B438" s="55"/>
      <c r="C438" s="60"/>
      <c r="D438" s="489"/>
      <c r="E438" s="489"/>
      <c r="F438" s="246"/>
      <c r="G438" s="213"/>
      <c r="H438" s="490"/>
      <c r="I438" s="490"/>
      <c r="J438" s="490"/>
      <c r="K438" s="490"/>
      <c r="L438" s="490"/>
      <c r="M438" s="490"/>
    </row>
    <row r="439">
      <c r="A439" s="191"/>
      <c r="B439" s="55"/>
      <c r="C439" s="60"/>
      <c r="D439" s="62"/>
      <c r="E439" s="62"/>
      <c r="F439" s="228"/>
      <c r="G439" s="229"/>
      <c r="H439" s="490"/>
      <c r="I439" s="490"/>
      <c r="J439" s="490"/>
      <c r="K439" s="490"/>
      <c r="L439" s="490"/>
      <c r="M439" s="490"/>
    </row>
    <row r="440">
      <c r="A440" s="194"/>
      <c r="B440" s="55"/>
      <c r="C440" s="60"/>
      <c r="D440" s="489"/>
      <c r="E440" s="489"/>
      <c r="F440" s="246"/>
      <c r="G440" s="213"/>
      <c r="H440" s="490"/>
      <c r="I440" s="490"/>
      <c r="J440" s="490"/>
      <c r="K440" s="490"/>
      <c r="L440" s="490"/>
      <c r="M440" s="490"/>
    </row>
    <row r="441">
      <c r="A441" s="191"/>
      <c r="B441" s="55"/>
      <c r="C441" s="60"/>
      <c r="D441" s="62"/>
      <c r="E441" s="62"/>
      <c r="F441" s="228"/>
      <c r="G441" s="229"/>
      <c r="H441" s="490"/>
      <c r="I441" s="490"/>
      <c r="J441" s="490"/>
      <c r="K441" s="490"/>
      <c r="L441" s="490"/>
      <c r="M441" s="490"/>
    </row>
    <row r="442">
      <c r="A442" s="194"/>
      <c r="B442" s="55"/>
      <c r="C442" s="60"/>
      <c r="D442" s="489"/>
      <c r="E442" s="489"/>
      <c r="F442" s="246"/>
      <c r="G442" s="213"/>
      <c r="H442" s="490"/>
      <c r="I442" s="490"/>
      <c r="J442" s="490"/>
      <c r="K442" s="490"/>
      <c r="L442" s="490"/>
      <c r="M442" s="490"/>
    </row>
    <row r="443">
      <c r="A443" s="191"/>
      <c r="B443" s="55"/>
      <c r="C443" s="60"/>
      <c r="D443" s="62"/>
      <c r="E443" s="62"/>
      <c r="F443" s="228"/>
      <c r="G443" s="229"/>
      <c r="H443" s="490"/>
      <c r="I443" s="490"/>
      <c r="J443" s="490"/>
      <c r="K443" s="490"/>
      <c r="L443" s="490"/>
      <c r="M443" s="490"/>
    </row>
    <row r="444">
      <c r="A444" s="194"/>
      <c r="B444" s="55"/>
      <c r="C444" s="60"/>
      <c r="D444" s="489"/>
      <c r="E444" s="489"/>
      <c r="F444" s="246"/>
      <c r="G444" s="213"/>
      <c r="H444" s="490"/>
      <c r="I444" s="490"/>
      <c r="J444" s="490"/>
      <c r="K444" s="490"/>
      <c r="L444" s="490"/>
      <c r="M444" s="490"/>
    </row>
    <row r="445">
      <c r="A445" s="191"/>
      <c r="B445" s="55"/>
      <c r="C445" s="60"/>
      <c r="D445" s="62"/>
      <c r="E445" s="62"/>
      <c r="F445" s="228"/>
      <c r="G445" s="229"/>
      <c r="H445" s="490"/>
      <c r="I445" s="490"/>
      <c r="J445" s="490"/>
      <c r="K445" s="490"/>
      <c r="L445" s="490"/>
      <c r="M445" s="490"/>
    </row>
    <row r="446">
      <c r="A446" s="194"/>
      <c r="B446" s="55"/>
      <c r="C446" s="60"/>
      <c r="D446" s="489"/>
      <c r="E446" s="489"/>
      <c r="F446" s="246"/>
      <c r="G446" s="213"/>
      <c r="H446" s="490"/>
      <c r="I446" s="490"/>
      <c r="J446" s="490"/>
      <c r="K446" s="490"/>
      <c r="L446" s="490"/>
      <c r="M446" s="490"/>
    </row>
    <row r="447">
      <c r="A447" s="191"/>
      <c r="B447" s="55"/>
      <c r="C447" s="60"/>
      <c r="D447" s="62"/>
      <c r="E447" s="62"/>
      <c r="F447" s="228"/>
      <c r="G447" s="229"/>
      <c r="H447" s="490"/>
      <c r="I447" s="490"/>
      <c r="J447" s="490"/>
      <c r="K447" s="490"/>
      <c r="L447" s="490"/>
      <c r="M447" s="490"/>
    </row>
    <row r="448">
      <c r="A448" s="194"/>
      <c r="B448" s="55"/>
      <c r="C448" s="60"/>
      <c r="D448" s="489"/>
      <c r="E448" s="489"/>
      <c r="F448" s="246"/>
      <c r="G448" s="213"/>
      <c r="H448" s="490"/>
      <c r="I448" s="490"/>
      <c r="J448" s="490"/>
      <c r="K448" s="490"/>
      <c r="L448" s="490"/>
      <c r="M448" s="490"/>
    </row>
    <row r="449">
      <c r="A449" s="191"/>
      <c r="B449" s="55"/>
      <c r="C449" s="60"/>
      <c r="D449" s="62"/>
      <c r="E449" s="62"/>
      <c r="F449" s="228"/>
      <c r="G449" s="229"/>
      <c r="H449" s="490"/>
      <c r="I449" s="490"/>
      <c r="J449" s="490"/>
      <c r="K449" s="490"/>
      <c r="L449" s="490"/>
      <c r="M449" s="490"/>
    </row>
    <row r="450">
      <c r="A450" s="194"/>
      <c r="B450" s="55"/>
      <c r="C450" s="60"/>
      <c r="D450" s="489"/>
      <c r="E450" s="489"/>
      <c r="F450" s="246"/>
      <c r="G450" s="213"/>
      <c r="H450" s="490"/>
      <c r="I450" s="490"/>
      <c r="J450" s="490"/>
      <c r="K450" s="490"/>
      <c r="L450" s="490"/>
      <c r="M450" s="490"/>
    </row>
    <row r="451">
      <c r="A451" s="191"/>
      <c r="B451" s="55"/>
      <c r="C451" s="60"/>
      <c r="D451" s="62"/>
      <c r="E451" s="62"/>
      <c r="F451" s="228"/>
      <c r="G451" s="229"/>
      <c r="H451" s="490"/>
      <c r="I451" s="490"/>
      <c r="J451" s="490"/>
      <c r="K451" s="490"/>
      <c r="L451" s="490"/>
      <c r="M451" s="490"/>
    </row>
    <row r="452">
      <c r="A452" s="194"/>
      <c r="B452" s="55"/>
      <c r="C452" s="60"/>
      <c r="D452" s="489"/>
      <c r="E452" s="489"/>
      <c r="F452" s="246"/>
      <c r="G452" s="213"/>
      <c r="H452" s="490"/>
      <c r="I452" s="490"/>
      <c r="J452" s="490"/>
      <c r="K452" s="490"/>
      <c r="L452" s="490"/>
      <c r="M452" s="490"/>
    </row>
    <row r="453">
      <c r="A453" s="191"/>
      <c r="B453" s="55"/>
      <c r="C453" s="60"/>
      <c r="D453" s="62"/>
      <c r="E453" s="62"/>
      <c r="F453" s="228"/>
      <c r="G453" s="229"/>
      <c r="H453" s="490"/>
      <c r="I453" s="490"/>
      <c r="J453" s="490"/>
      <c r="K453" s="490"/>
      <c r="L453" s="490"/>
      <c r="M453" s="490"/>
    </row>
    <row r="454">
      <c r="A454" s="194"/>
      <c r="B454" s="55"/>
      <c r="C454" s="60"/>
      <c r="D454" s="489"/>
      <c r="E454" s="489"/>
      <c r="F454" s="246"/>
      <c r="G454" s="213"/>
      <c r="H454" s="490"/>
      <c r="I454" s="490"/>
      <c r="J454" s="490"/>
      <c r="K454" s="490"/>
      <c r="L454" s="490"/>
      <c r="M454" s="490"/>
    </row>
    <row r="455">
      <c r="A455" s="191"/>
      <c r="B455" s="55"/>
      <c r="C455" s="60"/>
      <c r="D455" s="62"/>
      <c r="E455" s="62"/>
      <c r="F455" s="228"/>
      <c r="G455" s="229"/>
      <c r="H455" s="490"/>
      <c r="I455" s="490"/>
      <c r="J455" s="490"/>
      <c r="K455" s="490"/>
      <c r="L455" s="490"/>
      <c r="M455" s="490"/>
    </row>
    <row r="456">
      <c r="A456" s="194"/>
      <c r="B456" s="55"/>
      <c r="C456" s="60"/>
      <c r="D456" s="489"/>
      <c r="E456" s="489"/>
      <c r="F456" s="246"/>
      <c r="G456" s="213"/>
      <c r="H456" s="490"/>
      <c r="I456" s="490"/>
      <c r="J456" s="490"/>
      <c r="K456" s="490"/>
      <c r="L456" s="490"/>
      <c r="M456" s="490"/>
    </row>
    <row r="457">
      <c r="A457" s="191"/>
      <c r="B457" s="55"/>
      <c r="C457" s="60"/>
      <c r="D457" s="62"/>
      <c r="E457" s="62"/>
      <c r="F457" s="228"/>
      <c r="G457" s="229"/>
      <c r="H457" s="490"/>
      <c r="I457" s="490"/>
      <c r="J457" s="490"/>
      <c r="K457" s="490"/>
      <c r="L457" s="490"/>
      <c r="M457" s="490"/>
    </row>
    <row r="458">
      <c r="A458" s="194"/>
      <c r="B458" s="55"/>
      <c r="C458" s="60"/>
      <c r="D458" s="489"/>
      <c r="E458" s="489"/>
      <c r="F458" s="246"/>
      <c r="G458" s="213"/>
      <c r="H458" s="490"/>
      <c r="I458" s="490"/>
      <c r="J458" s="490"/>
      <c r="K458" s="490"/>
      <c r="L458" s="490"/>
      <c r="M458" s="490"/>
    </row>
    <row r="459">
      <c r="A459" s="191"/>
      <c r="B459" s="55"/>
      <c r="C459" s="60"/>
      <c r="D459" s="62"/>
      <c r="E459" s="62"/>
      <c r="F459" s="228"/>
      <c r="G459" s="229"/>
      <c r="H459" s="490"/>
      <c r="I459" s="490"/>
      <c r="J459" s="490"/>
      <c r="K459" s="490"/>
      <c r="L459" s="490"/>
      <c r="M459" s="490"/>
    </row>
    <row r="460">
      <c r="A460" s="194"/>
      <c r="B460" s="55"/>
      <c r="C460" s="60"/>
      <c r="D460" s="489"/>
      <c r="E460" s="489"/>
      <c r="F460" s="246"/>
      <c r="G460" s="213"/>
      <c r="H460" s="490"/>
      <c r="I460" s="490"/>
      <c r="J460" s="490"/>
      <c r="K460" s="490"/>
      <c r="L460" s="490"/>
      <c r="M460" s="490"/>
    </row>
    <row r="461">
      <c r="A461" s="191"/>
      <c r="B461" s="55"/>
      <c r="C461" s="60"/>
      <c r="D461" s="62"/>
      <c r="E461" s="62"/>
      <c r="F461" s="228"/>
      <c r="G461" s="229"/>
      <c r="H461" s="490"/>
      <c r="I461" s="490"/>
      <c r="J461" s="490"/>
      <c r="K461" s="490"/>
      <c r="L461" s="490"/>
      <c r="M461" s="490"/>
    </row>
    <row r="462">
      <c r="A462" s="194"/>
      <c r="B462" s="55"/>
      <c r="C462" s="60"/>
      <c r="D462" s="489"/>
      <c r="E462" s="489"/>
      <c r="F462" s="246"/>
      <c r="G462" s="213"/>
      <c r="H462" s="490"/>
      <c r="I462" s="490"/>
      <c r="J462" s="490"/>
      <c r="K462" s="490"/>
      <c r="L462" s="490"/>
      <c r="M462" s="490"/>
    </row>
    <row r="463">
      <c r="A463" s="191"/>
      <c r="B463" s="55"/>
      <c r="C463" s="60"/>
      <c r="D463" s="62"/>
      <c r="E463" s="62"/>
      <c r="F463" s="228"/>
      <c r="G463" s="229"/>
      <c r="H463" s="490"/>
      <c r="I463" s="490"/>
      <c r="J463" s="490"/>
      <c r="K463" s="490"/>
      <c r="L463" s="490"/>
      <c r="M463" s="490"/>
    </row>
    <row r="464">
      <c r="A464" s="194"/>
      <c r="B464" s="55"/>
      <c r="C464" s="60"/>
      <c r="D464" s="489"/>
      <c r="E464" s="489"/>
      <c r="F464" s="246"/>
      <c r="G464" s="213"/>
      <c r="H464" s="490"/>
      <c r="I464" s="490"/>
      <c r="J464" s="490"/>
      <c r="K464" s="490"/>
      <c r="L464" s="490"/>
      <c r="M464" s="490"/>
    </row>
    <row r="465">
      <c r="A465" s="191"/>
      <c r="B465" s="55"/>
      <c r="C465" s="60"/>
      <c r="D465" s="62"/>
      <c r="E465" s="62"/>
      <c r="F465" s="228"/>
      <c r="G465" s="229"/>
      <c r="H465" s="490"/>
      <c r="I465" s="490"/>
      <c r="J465" s="490"/>
      <c r="K465" s="490"/>
      <c r="L465" s="490"/>
      <c r="M465" s="490"/>
    </row>
    <row r="466">
      <c r="A466" s="194"/>
      <c r="B466" s="55"/>
      <c r="C466" s="60"/>
      <c r="D466" s="489"/>
      <c r="E466" s="489"/>
      <c r="F466" s="246"/>
      <c r="G466" s="213"/>
      <c r="H466" s="490"/>
      <c r="I466" s="490"/>
      <c r="J466" s="490"/>
      <c r="K466" s="490"/>
      <c r="L466" s="490"/>
      <c r="M466" s="490"/>
    </row>
    <row r="467">
      <c r="A467" s="191"/>
      <c r="B467" s="55"/>
      <c r="C467" s="60"/>
      <c r="D467" s="62"/>
      <c r="E467" s="62"/>
      <c r="F467" s="228"/>
      <c r="G467" s="229"/>
      <c r="H467" s="490"/>
      <c r="I467" s="490"/>
      <c r="J467" s="490"/>
      <c r="K467" s="490"/>
      <c r="L467" s="490"/>
      <c r="M467" s="490"/>
    </row>
    <row r="468">
      <c r="A468" s="194"/>
      <c r="B468" s="55"/>
      <c r="C468" s="60"/>
      <c r="D468" s="489"/>
      <c r="E468" s="489"/>
      <c r="F468" s="246"/>
      <c r="G468" s="213"/>
      <c r="H468" s="490"/>
      <c r="I468" s="490"/>
      <c r="J468" s="490"/>
      <c r="K468" s="490"/>
      <c r="L468" s="490"/>
      <c r="M468" s="490"/>
    </row>
    <row r="469">
      <c r="A469" s="191"/>
      <c r="B469" s="55"/>
      <c r="C469" s="60"/>
      <c r="D469" s="62"/>
      <c r="E469" s="62"/>
      <c r="F469" s="228"/>
      <c r="G469" s="229"/>
      <c r="H469" s="490"/>
      <c r="I469" s="490"/>
      <c r="J469" s="490"/>
      <c r="K469" s="490"/>
      <c r="L469" s="490"/>
      <c r="M469" s="490"/>
    </row>
    <row r="470">
      <c r="A470" s="194"/>
      <c r="B470" s="55"/>
      <c r="C470" s="60"/>
      <c r="D470" s="489"/>
      <c r="E470" s="489"/>
      <c r="F470" s="246"/>
      <c r="G470" s="213"/>
      <c r="H470" s="490"/>
      <c r="I470" s="490"/>
      <c r="J470" s="490"/>
      <c r="K470" s="490"/>
      <c r="L470" s="490"/>
      <c r="M470" s="490"/>
    </row>
    <row r="471">
      <c r="A471" s="191"/>
      <c r="B471" s="55"/>
      <c r="C471" s="60"/>
      <c r="D471" s="62"/>
      <c r="E471" s="62"/>
      <c r="F471" s="228"/>
      <c r="G471" s="229"/>
      <c r="H471" s="490"/>
      <c r="I471" s="490"/>
      <c r="J471" s="490"/>
      <c r="K471" s="490"/>
      <c r="L471" s="490"/>
      <c r="M471" s="490"/>
    </row>
    <row r="472">
      <c r="A472" s="194"/>
      <c r="B472" s="55"/>
      <c r="C472" s="60"/>
      <c r="D472" s="489"/>
      <c r="E472" s="489"/>
      <c r="F472" s="246"/>
      <c r="G472" s="213"/>
      <c r="H472" s="490"/>
      <c r="I472" s="490"/>
      <c r="J472" s="490"/>
      <c r="K472" s="490"/>
      <c r="L472" s="490"/>
      <c r="M472" s="490"/>
    </row>
    <row r="473">
      <c r="A473" s="191"/>
      <c r="B473" s="55"/>
      <c r="C473" s="60"/>
      <c r="D473" s="62"/>
      <c r="E473" s="62"/>
      <c r="F473" s="228"/>
      <c r="G473" s="229"/>
      <c r="H473" s="490"/>
      <c r="I473" s="490"/>
      <c r="J473" s="490"/>
      <c r="K473" s="490"/>
      <c r="L473" s="490"/>
      <c r="M473" s="490"/>
    </row>
    <row r="474">
      <c r="A474" s="194"/>
      <c r="B474" s="55"/>
      <c r="C474" s="60"/>
      <c r="D474" s="489"/>
      <c r="E474" s="489"/>
      <c r="F474" s="246"/>
      <c r="G474" s="213"/>
      <c r="H474" s="490"/>
      <c r="I474" s="490"/>
      <c r="J474" s="490"/>
      <c r="K474" s="490"/>
      <c r="L474" s="490"/>
      <c r="M474" s="490"/>
    </row>
    <row r="475">
      <c r="A475" s="191"/>
      <c r="B475" s="55"/>
      <c r="C475" s="60"/>
      <c r="D475" s="62"/>
      <c r="E475" s="62"/>
      <c r="F475" s="228"/>
      <c r="G475" s="229"/>
      <c r="H475" s="490"/>
      <c r="I475" s="490"/>
      <c r="J475" s="490"/>
      <c r="K475" s="490"/>
      <c r="L475" s="490"/>
      <c r="M475" s="490"/>
    </row>
    <row r="476">
      <c r="A476" s="194"/>
      <c r="B476" s="55"/>
      <c r="C476" s="60"/>
      <c r="D476" s="489"/>
      <c r="E476" s="489"/>
      <c r="F476" s="246"/>
      <c r="G476" s="213"/>
      <c r="H476" s="490"/>
      <c r="I476" s="490"/>
      <c r="J476" s="490"/>
      <c r="K476" s="490"/>
      <c r="L476" s="490"/>
      <c r="M476" s="490"/>
    </row>
    <row r="477">
      <c r="A477" s="191"/>
      <c r="B477" s="55"/>
      <c r="C477" s="60"/>
      <c r="D477" s="62"/>
      <c r="E477" s="62"/>
      <c r="F477" s="228"/>
      <c r="G477" s="229"/>
      <c r="H477" s="490"/>
      <c r="I477" s="490"/>
      <c r="J477" s="490"/>
      <c r="K477" s="490"/>
      <c r="L477" s="490"/>
      <c r="M477" s="490"/>
    </row>
    <row r="478">
      <c r="A478" s="194"/>
      <c r="B478" s="55"/>
      <c r="C478" s="60"/>
      <c r="D478" s="489"/>
      <c r="E478" s="489"/>
      <c r="F478" s="246"/>
      <c r="G478" s="213"/>
      <c r="H478" s="490"/>
      <c r="I478" s="490"/>
      <c r="J478" s="490"/>
      <c r="K478" s="490"/>
      <c r="L478" s="490"/>
      <c r="M478" s="490"/>
    </row>
    <row r="479">
      <c r="A479" s="191"/>
      <c r="B479" s="55"/>
      <c r="C479" s="60"/>
      <c r="D479" s="62"/>
      <c r="E479" s="62"/>
      <c r="F479" s="228"/>
      <c r="G479" s="229"/>
      <c r="H479" s="490"/>
      <c r="I479" s="490"/>
      <c r="J479" s="490"/>
      <c r="K479" s="490"/>
      <c r="L479" s="490"/>
      <c r="M479" s="490"/>
    </row>
    <row r="480">
      <c r="A480" s="194"/>
      <c r="B480" s="55"/>
      <c r="C480" s="60"/>
      <c r="D480" s="489"/>
      <c r="E480" s="489"/>
      <c r="F480" s="246"/>
      <c r="G480" s="213"/>
      <c r="H480" s="490"/>
      <c r="I480" s="490"/>
      <c r="J480" s="490"/>
      <c r="K480" s="490"/>
      <c r="L480" s="490"/>
      <c r="M480" s="490"/>
    </row>
    <row r="481">
      <c r="A481" s="191"/>
      <c r="B481" s="55"/>
      <c r="C481" s="60"/>
      <c r="D481" s="62"/>
      <c r="E481" s="62"/>
      <c r="F481" s="228"/>
      <c r="G481" s="229"/>
      <c r="H481" s="490"/>
      <c r="I481" s="490"/>
      <c r="J481" s="490"/>
      <c r="K481" s="490"/>
      <c r="L481" s="490"/>
      <c r="M481" s="490"/>
    </row>
    <row r="482">
      <c r="A482" s="194"/>
      <c r="B482" s="55"/>
      <c r="C482" s="60"/>
      <c r="D482" s="489"/>
      <c r="E482" s="489"/>
      <c r="F482" s="246"/>
      <c r="G482" s="213"/>
      <c r="H482" s="490"/>
      <c r="I482" s="490"/>
      <c r="J482" s="490"/>
      <c r="K482" s="490"/>
      <c r="L482" s="490"/>
      <c r="M482" s="490"/>
    </row>
    <row r="483">
      <c r="A483" s="191"/>
      <c r="B483" s="55"/>
      <c r="C483" s="60"/>
      <c r="D483" s="62"/>
      <c r="E483" s="62"/>
      <c r="F483" s="228"/>
      <c r="G483" s="229"/>
      <c r="H483" s="490"/>
      <c r="I483" s="490"/>
      <c r="J483" s="490"/>
      <c r="K483" s="490"/>
      <c r="L483" s="490"/>
      <c r="M483" s="490"/>
    </row>
    <row r="484">
      <c r="A484" s="194"/>
      <c r="B484" s="55"/>
      <c r="C484" s="60"/>
      <c r="D484" s="489"/>
      <c r="E484" s="489"/>
      <c r="F484" s="246"/>
      <c r="G484" s="213"/>
      <c r="H484" s="490"/>
      <c r="I484" s="490"/>
      <c r="J484" s="490"/>
      <c r="K484" s="490"/>
      <c r="L484" s="490"/>
      <c r="M484" s="490"/>
    </row>
    <row r="485">
      <c r="A485" s="191"/>
      <c r="B485" s="55"/>
      <c r="C485" s="60"/>
      <c r="D485" s="62"/>
      <c r="E485" s="62"/>
      <c r="F485" s="228"/>
      <c r="G485" s="229"/>
      <c r="H485" s="490"/>
      <c r="I485" s="490"/>
      <c r="J485" s="490"/>
      <c r="K485" s="490"/>
      <c r="L485" s="490"/>
      <c r="M485" s="490"/>
    </row>
    <row r="486">
      <c r="A486" s="194"/>
      <c r="B486" s="55"/>
      <c r="C486" s="60"/>
      <c r="D486" s="489"/>
      <c r="E486" s="489"/>
      <c r="F486" s="246"/>
      <c r="G486" s="213"/>
      <c r="H486" s="490"/>
      <c r="I486" s="490"/>
      <c r="J486" s="490"/>
      <c r="K486" s="490"/>
      <c r="L486" s="490"/>
      <c r="M486" s="490"/>
    </row>
    <row r="487">
      <c r="A487" s="191"/>
      <c r="B487" s="55"/>
      <c r="C487" s="60"/>
      <c r="D487" s="62"/>
      <c r="E487" s="62"/>
      <c r="F487" s="228"/>
      <c r="G487" s="229"/>
      <c r="H487" s="490"/>
      <c r="I487" s="490"/>
      <c r="J487" s="490"/>
      <c r="K487" s="490"/>
      <c r="L487" s="490"/>
      <c r="M487" s="490"/>
    </row>
    <row r="488">
      <c r="A488" s="194"/>
      <c r="B488" s="55"/>
      <c r="C488" s="60"/>
      <c r="D488" s="489"/>
      <c r="E488" s="489"/>
      <c r="F488" s="246"/>
      <c r="G488" s="213"/>
      <c r="H488" s="490"/>
      <c r="I488" s="490"/>
      <c r="J488" s="490"/>
      <c r="K488" s="490"/>
      <c r="L488" s="490"/>
      <c r="M488" s="490"/>
    </row>
    <row r="489">
      <c r="A489" s="191"/>
      <c r="B489" s="55"/>
      <c r="C489" s="60"/>
      <c r="D489" s="62"/>
      <c r="E489" s="62"/>
      <c r="F489" s="228"/>
      <c r="G489" s="229"/>
      <c r="H489" s="490"/>
      <c r="I489" s="490"/>
      <c r="J489" s="490"/>
      <c r="K489" s="490"/>
      <c r="L489" s="490"/>
      <c r="M489" s="490"/>
    </row>
    <row r="490">
      <c r="A490" s="194"/>
      <c r="B490" s="55"/>
      <c r="C490" s="60"/>
      <c r="D490" s="489"/>
      <c r="E490" s="489"/>
      <c r="F490" s="246"/>
      <c r="G490" s="213"/>
      <c r="H490" s="490"/>
      <c r="I490" s="490"/>
      <c r="J490" s="490"/>
      <c r="K490" s="490"/>
      <c r="L490" s="490"/>
      <c r="M490" s="490"/>
    </row>
    <row r="491">
      <c r="A491" s="191"/>
      <c r="B491" s="55"/>
      <c r="C491" s="60"/>
      <c r="D491" s="62"/>
      <c r="E491" s="62"/>
      <c r="F491" s="228"/>
      <c r="G491" s="229"/>
      <c r="H491" s="490"/>
      <c r="I491" s="490"/>
      <c r="J491" s="490"/>
      <c r="K491" s="490"/>
      <c r="L491" s="490"/>
      <c r="M491" s="490"/>
    </row>
    <row r="492">
      <c r="A492" s="194"/>
      <c r="B492" s="55"/>
      <c r="C492" s="60"/>
      <c r="D492" s="489"/>
      <c r="E492" s="489"/>
      <c r="F492" s="246"/>
      <c r="G492" s="213"/>
      <c r="H492" s="490"/>
      <c r="I492" s="490"/>
      <c r="J492" s="490"/>
      <c r="K492" s="490"/>
      <c r="L492" s="490"/>
      <c r="M492" s="490"/>
    </row>
    <row r="493">
      <c r="A493" s="191"/>
      <c r="B493" s="55"/>
      <c r="C493" s="60"/>
      <c r="D493" s="62"/>
      <c r="E493" s="62"/>
      <c r="F493" s="228"/>
      <c r="G493" s="229"/>
      <c r="H493" s="490"/>
      <c r="I493" s="490"/>
      <c r="J493" s="490"/>
      <c r="K493" s="490"/>
      <c r="L493" s="490"/>
      <c r="M493" s="490"/>
    </row>
    <row r="494">
      <c r="A494" s="194"/>
      <c r="B494" s="55"/>
      <c r="C494" s="60"/>
      <c r="D494" s="489"/>
      <c r="E494" s="489"/>
      <c r="F494" s="246"/>
      <c r="G494" s="213"/>
      <c r="H494" s="490"/>
      <c r="I494" s="490"/>
      <c r="J494" s="490"/>
      <c r="K494" s="490"/>
      <c r="L494" s="490"/>
      <c r="M494" s="490"/>
    </row>
    <row r="495">
      <c r="A495" s="191"/>
      <c r="B495" s="55"/>
      <c r="C495" s="60"/>
      <c r="D495" s="62"/>
      <c r="E495" s="62"/>
      <c r="F495" s="228"/>
      <c r="G495" s="229"/>
      <c r="H495" s="490"/>
      <c r="I495" s="490"/>
      <c r="J495" s="490"/>
      <c r="K495" s="490"/>
      <c r="L495" s="490"/>
      <c r="M495" s="490"/>
    </row>
    <row r="496">
      <c r="A496" s="194"/>
      <c r="B496" s="55"/>
      <c r="C496" s="60"/>
      <c r="D496" s="489"/>
      <c r="E496" s="489"/>
      <c r="F496" s="246"/>
      <c r="G496" s="213"/>
      <c r="H496" s="490"/>
      <c r="I496" s="490"/>
      <c r="J496" s="490"/>
      <c r="K496" s="490"/>
      <c r="L496" s="490"/>
      <c r="M496" s="490"/>
    </row>
    <row r="497">
      <c r="A497" s="191"/>
      <c r="B497" s="55"/>
      <c r="C497" s="60"/>
      <c r="D497" s="62"/>
      <c r="E497" s="62"/>
      <c r="F497" s="228"/>
      <c r="G497" s="229"/>
      <c r="H497" s="490"/>
      <c r="I497" s="490"/>
      <c r="J497" s="490"/>
      <c r="K497" s="490"/>
      <c r="L497" s="490"/>
      <c r="M497" s="490"/>
    </row>
    <row r="498">
      <c r="A498" s="194"/>
      <c r="B498" s="55"/>
      <c r="C498" s="60"/>
      <c r="D498" s="489"/>
      <c r="E498" s="489"/>
      <c r="F498" s="246"/>
      <c r="G498" s="213"/>
      <c r="H498" s="490"/>
      <c r="I498" s="490"/>
      <c r="J498" s="490"/>
      <c r="K498" s="490"/>
      <c r="L498" s="490"/>
      <c r="M498" s="490"/>
    </row>
    <row r="499">
      <c r="A499" s="191"/>
      <c r="B499" s="55"/>
      <c r="C499" s="60"/>
      <c r="D499" s="62"/>
      <c r="E499" s="62"/>
      <c r="F499" s="228"/>
      <c r="G499" s="229"/>
      <c r="H499" s="490"/>
      <c r="I499" s="490"/>
      <c r="J499" s="490"/>
      <c r="K499" s="490"/>
      <c r="L499" s="490"/>
      <c r="M499" s="490"/>
    </row>
    <row r="500">
      <c r="A500" s="194"/>
      <c r="B500" s="55"/>
      <c r="C500" s="60"/>
      <c r="D500" s="489"/>
      <c r="E500" s="489"/>
      <c r="F500" s="246"/>
      <c r="G500" s="213"/>
      <c r="H500" s="490"/>
      <c r="I500" s="490"/>
      <c r="J500" s="490"/>
      <c r="K500" s="490"/>
      <c r="L500" s="490"/>
      <c r="M500" s="490"/>
    </row>
    <row r="501">
      <c r="A501" s="191"/>
      <c r="B501" s="55"/>
      <c r="C501" s="60"/>
      <c r="D501" s="62"/>
      <c r="E501" s="62"/>
      <c r="F501" s="228"/>
      <c r="G501" s="229"/>
      <c r="H501" s="490"/>
      <c r="I501" s="490"/>
      <c r="J501" s="490"/>
      <c r="K501" s="490"/>
      <c r="L501" s="490"/>
      <c r="M501" s="490"/>
    </row>
    <row r="502">
      <c r="A502" s="194"/>
      <c r="B502" s="55"/>
      <c r="C502" s="60"/>
      <c r="D502" s="489"/>
      <c r="E502" s="489"/>
      <c r="F502" s="246"/>
      <c r="G502" s="213"/>
      <c r="H502" s="490"/>
      <c r="I502" s="490"/>
      <c r="J502" s="490"/>
      <c r="K502" s="490"/>
      <c r="L502" s="490"/>
      <c r="M502" s="490"/>
    </row>
    <row r="503">
      <c r="A503" s="191"/>
      <c r="B503" s="55"/>
      <c r="C503" s="60"/>
      <c r="D503" s="62"/>
      <c r="E503" s="62"/>
      <c r="F503" s="228"/>
      <c r="G503" s="229"/>
      <c r="H503" s="490"/>
      <c r="I503" s="490"/>
      <c r="J503" s="490"/>
      <c r="K503" s="490"/>
      <c r="L503" s="490"/>
      <c r="M503" s="490"/>
    </row>
    <row r="504">
      <c r="A504" s="194"/>
      <c r="B504" s="55"/>
      <c r="C504" s="60"/>
      <c r="D504" s="489"/>
      <c r="E504" s="489"/>
      <c r="F504" s="246"/>
      <c r="G504" s="213"/>
      <c r="H504" s="490"/>
      <c r="I504" s="490"/>
      <c r="J504" s="490"/>
      <c r="K504" s="490"/>
      <c r="L504" s="490"/>
      <c r="M504" s="490"/>
    </row>
    <row r="505">
      <c r="A505" s="191"/>
      <c r="B505" s="55"/>
      <c r="C505" s="60"/>
      <c r="D505" s="62"/>
      <c r="E505" s="62"/>
      <c r="F505" s="228"/>
      <c r="G505" s="229"/>
      <c r="H505" s="490"/>
      <c r="I505" s="490"/>
      <c r="J505" s="490"/>
      <c r="K505" s="490"/>
      <c r="L505" s="490"/>
      <c r="M505" s="490"/>
    </row>
    <row r="506">
      <c r="A506" s="194"/>
      <c r="B506" s="55"/>
      <c r="C506" s="60"/>
      <c r="D506" s="489"/>
      <c r="E506" s="489"/>
      <c r="F506" s="246"/>
      <c r="G506" s="213"/>
      <c r="H506" s="490"/>
      <c r="I506" s="490"/>
      <c r="J506" s="490"/>
      <c r="K506" s="490"/>
      <c r="L506" s="490"/>
      <c r="M506" s="490"/>
    </row>
    <row r="507">
      <c r="A507" s="191"/>
      <c r="B507" s="55"/>
      <c r="C507" s="60"/>
      <c r="D507" s="62"/>
      <c r="E507" s="62"/>
      <c r="F507" s="228"/>
      <c r="G507" s="229"/>
      <c r="H507" s="490"/>
      <c r="I507" s="490"/>
      <c r="J507" s="490"/>
      <c r="K507" s="490"/>
      <c r="L507" s="490"/>
      <c r="M507" s="490"/>
    </row>
    <row r="508">
      <c r="A508" s="194"/>
      <c r="B508" s="55"/>
      <c r="C508" s="60"/>
      <c r="D508" s="489"/>
      <c r="E508" s="489"/>
      <c r="F508" s="246"/>
      <c r="G508" s="213"/>
      <c r="H508" s="490"/>
      <c r="I508" s="490"/>
      <c r="J508" s="490"/>
      <c r="K508" s="490"/>
      <c r="L508" s="490"/>
      <c r="M508" s="490"/>
    </row>
    <row r="509">
      <c r="A509" s="191"/>
      <c r="B509" s="55"/>
      <c r="C509" s="60"/>
      <c r="D509" s="62"/>
      <c r="E509" s="62"/>
      <c r="F509" s="228"/>
      <c r="G509" s="229"/>
      <c r="H509" s="490"/>
      <c r="I509" s="490"/>
      <c r="J509" s="490"/>
      <c r="K509" s="490"/>
      <c r="L509" s="490"/>
      <c r="M509" s="490"/>
    </row>
    <row r="510">
      <c r="A510" s="194"/>
      <c r="B510" s="55"/>
      <c r="C510" s="60"/>
      <c r="D510" s="489"/>
      <c r="E510" s="489"/>
      <c r="F510" s="246"/>
      <c r="G510" s="213"/>
      <c r="H510" s="490"/>
      <c r="I510" s="490"/>
      <c r="J510" s="490"/>
      <c r="K510" s="490"/>
      <c r="L510" s="490"/>
      <c r="M510" s="490"/>
    </row>
    <row r="511">
      <c r="A511" s="191"/>
      <c r="B511" s="55"/>
      <c r="C511" s="60"/>
      <c r="D511" s="62"/>
      <c r="E511" s="62"/>
      <c r="F511" s="228"/>
      <c r="G511" s="229"/>
      <c r="H511" s="490"/>
      <c r="I511" s="490"/>
      <c r="J511" s="490"/>
      <c r="K511" s="490"/>
      <c r="L511" s="490"/>
      <c r="M511" s="490"/>
    </row>
    <row r="512">
      <c r="A512" s="194"/>
      <c r="B512" s="55"/>
      <c r="C512" s="60"/>
      <c r="D512" s="489"/>
      <c r="E512" s="489"/>
      <c r="F512" s="246"/>
      <c r="G512" s="213"/>
      <c r="H512" s="490"/>
      <c r="I512" s="490"/>
      <c r="J512" s="490"/>
      <c r="K512" s="490"/>
      <c r="L512" s="490"/>
      <c r="M512" s="490"/>
    </row>
    <row r="513">
      <c r="A513" s="191"/>
      <c r="B513" s="55"/>
      <c r="C513" s="60"/>
      <c r="D513" s="62"/>
      <c r="E513" s="62"/>
      <c r="F513" s="228"/>
      <c r="G513" s="229"/>
      <c r="H513" s="490"/>
      <c r="I513" s="490"/>
      <c r="J513" s="490"/>
      <c r="K513" s="490"/>
      <c r="L513" s="490"/>
      <c r="M513" s="490"/>
    </row>
    <row r="514">
      <c r="A514" s="194"/>
      <c r="B514" s="55"/>
      <c r="C514" s="60"/>
      <c r="D514" s="489"/>
      <c r="E514" s="489"/>
      <c r="F514" s="246"/>
      <c r="G514" s="213"/>
      <c r="H514" s="490"/>
      <c r="I514" s="490"/>
      <c r="J514" s="490"/>
      <c r="K514" s="490"/>
      <c r="L514" s="490"/>
      <c r="M514" s="490"/>
    </row>
    <row r="515">
      <c r="A515" s="191"/>
      <c r="B515" s="55"/>
      <c r="C515" s="60"/>
      <c r="D515" s="62"/>
      <c r="E515" s="62"/>
      <c r="F515" s="228"/>
      <c r="G515" s="229"/>
      <c r="H515" s="490"/>
      <c r="I515" s="490"/>
      <c r="J515" s="490"/>
      <c r="K515" s="490"/>
      <c r="L515" s="490"/>
      <c r="M515" s="490"/>
    </row>
    <row r="516">
      <c r="A516" s="194"/>
      <c r="B516" s="55"/>
      <c r="C516" s="60"/>
      <c r="D516" s="489"/>
      <c r="E516" s="489"/>
      <c r="F516" s="246"/>
      <c r="G516" s="213"/>
      <c r="H516" s="490"/>
      <c r="I516" s="490"/>
      <c r="J516" s="490"/>
      <c r="K516" s="490"/>
      <c r="L516" s="490"/>
      <c r="M516" s="490"/>
    </row>
    <row r="517">
      <c r="A517" s="191"/>
      <c r="B517" s="55"/>
      <c r="C517" s="60"/>
      <c r="D517" s="62"/>
      <c r="E517" s="62"/>
      <c r="F517" s="228"/>
      <c r="G517" s="229"/>
      <c r="H517" s="490"/>
      <c r="I517" s="490"/>
      <c r="J517" s="490"/>
      <c r="K517" s="490"/>
      <c r="L517" s="490"/>
      <c r="M517" s="490"/>
    </row>
    <row r="518">
      <c r="A518" s="194"/>
      <c r="B518" s="55"/>
      <c r="C518" s="60"/>
      <c r="D518" s="489"/>
      <c r="E518" s="489"/>
      <c r="F518" s="246"/>
      <c r="G518" s="213"/>
      <c r="H518" s="490"/>
      <c r="I518" s="490"/>
      <c r="J518" s="490"/>
      <c r="K518" s="490"/>
      <c r="L518" s="490"/>
      <c r="M518" s="490"/>
    </row>
    <row r="519">
      <c r="A519" s="191"/>
      <c r="B519" s="55"/>
      <c r="C519" s="60"/>
      <c r="D519" s="62"/>
      <c r="E519" s="62"/>
      <c r="F519" s="228"/>
      <c r="G519" s="229"/>
      <c r="H519" s="490"/>
      <c r="I519" s="490"/>
      <c r="J519" s="490"/>
      <c r="K519" s="490"/>
      <c r="L519" s="490"/>
      <c r="M519" s="490"/>
    </row>
    <row r="520">
      <c r="A520" s="194"/>
      <c r="B520" s="55"/>
      <c r="C520" s="60"/>
      <c r="D520" s="489"/>
      <c r="E520" s="489"/>
      <c r="F520" s="246"/>
      <c r="G520" s="213"/>
      <c r="H520" s="490"/>
      <c r="I520" s="490"/>
      <c r="J520" s="490"/>
      <c r="K520" s="490"/>
      <c r="L520" s="490"/>
      <c r="M520" s="490"/>
    </row>
    <row r="521">
      <c r="A521" s="191"/>
      <c r="B521" s="55"/>
      <c r="C521" s="60"/>
      <c r="D521" s="62"/>
      <c r="E521" s="62"/>
      <c r="F521" s="228"/>
      <c r="G521" s="229"/>
      <c r="H521" s="490"/>
      <c r="I521" s="490"/>
      <c r="J521" s="490"/>
      <c r="K521" s="490"/>
      <c r="L521" s="490"/>
      <c r="M521" s="490"/>
    </row>
    <row r="522">
      <c r="A522" s="194"/>
      <c r="B522" s="55"/>
      <c r="C522" s="60"/>
      <c r="D522" s="489"/>
      <c r="E522" s="489"/>
      <c r="F522" s="246"/>
      <c r="G522" s="213"/>
      <c r="H522" s="490"/>
      <c r="I522" s="490"/>
      <c r="J522" s="490"/>
      <c r="K522" s="490"/>
      <c r="L522" s="490"/>
      <c r="M522" s="490"/>
    </row>
    <row r="523">
      <c r="A523" s="191"/>
      <c r="B523" s="55"/>
      <c r="C523" s="60"/>
      <c r="D523" s="62"/>
      <c r="E523" s="62"/>
      <c r="F523" s="228"/>
      <c r="G523" s="229"/>
      <c r="H523" s="490"/>
      <c r="I523" s="490"/>
      <c r="J523" s="490"/>
      <c r="K523" s="490"/>
      <c r="L523" s="490"/>
      <c r="M523" s="490"/>
    </row>
    <row r="524">
      <c r="A524" s="194"/>
      <c r="B524" s="55"/>
      <c r="C524" s="60"/>
      <c r="D524" s="489"/>
      <c r="E524" s="489"/>
      <c r="F524" s="246"/>
      <c r="G524" s="213"/>
      <c r="H524" s="490"/>
      <c r="I524" s="490"/>
      <c r="J524" s="490"/>
      <c r="K524" s="490"/>
      <c r="L524" s="490"/>
      <c r="M524" s="490"/>
    </row>
    <row r="525">
      <c r="A525" s="191"/>
      <c r="B525" s="55"/>
      <c r="C525" s="60"/>
      <c r="D525" s="62"/>
      <c r="E525" s="62"/>
      <c r="F525" s="228"/>
      <c r="G525" s="229"/>
      <c r="H525" s="490"/>
      <c r="I525" s="490"/>
      <c r="J525" s="490"/>
      <c r="K525" s="490"/>
      <c r="L525" s="490"/>
      <c r="M525" s="490"/>
    </row>
    <row r="526">
      <c r="A526" s="194"/>
      <c r="B526" s="55"/>
      <c r="C526" s="60"/>
      <c r="D526" s="489"/>
      <c r="E526" s="489"/>
      <c r="F526" s="246"/>
      <c r="G526" s="213"/>
      <c r="H526" s="490"/>
      <c r="I526" s="490"/>
      <c r="J526" s="490"/>
      <c r="K526" s="490"/>
      <c r="L526" s="490"/>
      <c r="M526" s="490"/>
    </row>
    <row r="527">
      <c r="A527" s="191"/>
      <c r="B527" s="55"/>
      <c r="C527" s="60"/>
      <c r="D527" s="62"/>
      <c r="E527" s="62"/>
      <c r="F527" s="228"/>
      <c r="G527" s="229"/>
      <c r="H527" s="490"/>
      <c r="I527" s="490"/>
      <c r="J527" s="490"/>
      <c r="K527" s="490"/>
      <c r="L527" s="490"/>
      <c r="M527" s="490"/>
    </row>
    <row r="528">
      <c r="A528" s="194"/>
      <c r="B528" s="55"/>
      <c r="C528" s="60"/>
      <c r="D528" s="489"/>
      <c r="E528" s="489"/>
      <c r="F528" s="246"/>
      <c r="G528" s="213"/>
      <c r="H528" s="490"/>
      <c r="I528" s="490"/>
      <c r="J528" s="490"/>
      <c r="K528" s="490"/>
      <c r="L528" s="490"/>
      <c r="M528" s="490"/>
    </row>
    <row r="529">
      <c r="A529" s="191"/>
      <c r="B529" s="55"/>
      <c r="C529" s="60"/>
      <c r="D529" s="62"/>
      <c r="E529" s="62"/>
      <c r="F529" s="228"/>
      <c r="G529" s="229"/>
      <c r="H529" s="490"/>
      <c r="I529" s="490"/>
      <c r="J529" s="490"/>
      <c r="K529" s="490"/>
      <c r="L529" s="490"/>
      <c r="M529" s="490"/>
    </row>
    <row r="530">
      <c r="A530" s="194"/>
      <c r="B530" s="55"/>
      <c r="C530" s="60"/>
      <c r="D530" s="489"/>
      <c r="E530" s="489"/>
      <c r="F530" s="246"/>
      <c r="G530" s="213"/>
      <c r="H530" s="490"/>
      <c r="I530" s="490"/>
      <c r="J530" s="490"/>
      <c r="K530" s="490"/>
      <c r="L530" s="490"/>
      <c r="M530" s="490"/>
    </row>
    <row r="531">
      <c r="A531" s="191"/>
      <c r="B531" s="55"/>
      <c r="C531" s="60"/>
      <c r="D531" s="62"/>
      <c r="E531" s="62"/>
      <c r="F531" s="228"/>
      <c r="G531" s="229"/>
      <c r="H531" s="490"/>
      <c r="I531" s="490"/>
      <c r="J531" s="490"/>
      <c r="K531" s="490"/>
      <c r="L531" s="490"/>
      <c r="M531" s="490"/>
    </row>
    <row r="532">
      <c r="A532" s="194"/>
      <c r="B532" s="55"/>
      <c r="C532" s="60"/>
      <c r="D532" s="489"/>
      <c r="E532" s="489"/>
      <c r="F532" s="246"/>
      <c r="G532" s="213"/>
      <c r="H532" s="490"/>
      <c r="I532" s="490"/>
      <c r="J532" s="490"/>
      <c r="K532" s="490"/>
      <c r="L532" s="490"/>
      <c r="M532" s="490"/>
    </row>
    <row r="533">
      <c r="A533" s="191"/>
      <c r="B533" s="55"/>
      <c r="C533" s="60"/>
      <c r="D533" s="62"/>
      <c r="E533" s="62"/>
      <c r="F533" s="228"/>
      <c r="G533" s="229"/>
      <c r="H533" s="490"/>
      <c r="I533" s="490"/>
      <c r="J533" s="490"/>
      <c r="K533" s="490"/>
      <c r="L533" s="490"/>
      <c r="M533" s="490"/>
    </row>
    <row r="534">
      <c r="A534" s="194"/>
      <c r="B534" s="55"/>
      <c r="C534" s="60"/>
      <c r="D534" s="489"/>
      <c r="E534" s="489"/>
      <c r="F534" s="246"/>
      <c r="G534" s="213"/>
      <c r="H534" s="490"/>
      <c r="I534" s="490"/>
      <c r="J534" s="490"/>
      <c r="K534" s="490"/>
      <c r="L534" s="490"/>
      <c r="M534" s="490"/>
    </row>
    <row r="535">
      <c r="A535" s="191"/>
      <c r="B535" s="55"/>
      <c r="C535" s="60"/>
      <c r="D535" s="62"/>
      <c r="E535" s="62"/>
      <c r="F535" s="228"/>
      <c r="G535" s="229"/>
      <c r="H535" s="490"/>
      <c r="I535" s="490"/>
      <c r="J535" s="490"/>
      <c r="K535" s="490"/>
      <c r="L535" s="490"/>
      <c r="M535" s="490"/>
    </row>
    <row r="536">
      <c r="A536" s="194"/>
      <c r="B536" s="55"/>
      <c r="C536" s="60"/>
      <c r="D536" s="489"/>
      <c r="E536" s="489"/>
      <c r="F536" s="246"/>
      <c r="G536" s="213"/>
      <c r="H536" s="490"/>
      <c r="I536" s="490"/>
      <c r="J536" s="490"/>
      <c r="K536" s="490"/>
      <c r="L536" s="490"/>
      <c r="M536" s="490"/>
    </row>
    <row r="537">
      <c r="A537" s="191"/>
      <c r="B537" s="55"/>
      <c r="C537" s="60"/>
      <c r="D537" s="62"/>
      <c r="E537" s="62"/>
      <c r="F537" s="228"/>
      <c r="G537" s="229"/>
      <c r="H537" s="490"/>
      <c r="I537" s="490"/>
      <c r="J537" s="490"/>
      <c r="K537" s="490"/>
      <c r="L537" s="490"/>
      <c r="M537" s="490"/>
    </row>
    <row r="538">
      <c r="A538" s="194"/>
      <c r="B538" s="55"/>
      <c r="C538" s="60"/>
      <c r="D538" s="489"/>
      <c r="E538" s="489"/>
      <c r="F538" s="246"/>
      <c r="G538" s="213"/>
      <c r="H538" s="490"/>
      <c r="I538" s="490"/>
      <c r="J538" s="490"/>
      <c r="K538" s="490"/>
      <c r="L538" s="490"/>
      <c r="M538" s="490"/>
    </row>
    <row r="539">
      <c r="A539" s="191"/>
      <c r="B539" s="55"/>
      <c r="C539" s="60"/>
      <c r="D539" s="62"/>
      <c r="E539" s="62"/>
      <c r="F539" s="228"/>
      <c r="G539" s="229"/>
      <c r="H539" s="490"/>
      <c r="I539" s="490"/>
      <c r="J539" s="490"/>
      <c r="K539" s="490"/>
      <c r="L539" s="490"/>
      <c r="M539" s="490"/>
    </row>
    <row r="540">
      <c r="A540" s="194"/>
      <c r="B540" s="55"/>
      <c r="C540" s="60"/>
      <c r="D540" s="489"/>
      <c r="E540" s="489"/>
      <c r="F540" s="246"/>
      <c r="G540" s="213"/>
      <c r="H540" s="490"/>
      <c r="I540" s="490"/>
      <c r="J540" s="490"/>
      <c r="K540" s="490"/>
      <c r="L540" s="490"/>
      <c r="M540" s="490"/>
    </row>
    <row r="541">
      <c r="A541" s="191"/>
      <c r="B541" s="55"/>
      <c r="C541" s="60"/>
      <c r="D541" s="62"/>
      <c r="E541" s="62"/>
      <c r="F541" s="228"/>
      <c r="G541" s="229"/>
      <c r="H541" s="490"/>
      <c r="I541" s="490"/>
      <c r="J541" s="490"/>
      <c r="K541" s="490"/>
      <c r="L541" s="490"/>
      <c r="M541" s="490"/>
    </row>
    <row r="542">
      <c r="A542" s="194"/>
      <c r="B542" s="55"/>
      <c r="C542" s="60"/>
      <c r="D542" s="489"/>
      <c r="E542" s="489"/>
      <c r="F542" s="246"/>
      <c r="G542" s="213"/>
      <c r="H542" s="490"/>
      <c r="I542" s="490"/>
      <c r="J542" s="490"/>
      <c r="K542" s="490"/>
      <c r="L542" s="490"/>
      <c r="M542" s="490"/>
    </row>
    <row r="543">
      <c r="A543" s="191"/>
      <c r="B543" s="55"/>
      <c r="C543" s="60"/>
      <c r="D543" s="62"/>
      <c r="E543" s="62"/>
      <c r="F543" s="228"/>
      <c r="G543" s="229"/>
      <c r="H543" s="490"/>
      <c r="I543" s="490"/>
      <c r="J543" s="490"/>
      <c r="K543" s="490"/>
      <c r="L543" s="490"/>
      <c r="M543" s="490"/>
    </row>
    <row r="544">
      <c r="A544" s="194"/>
      <c r="B544" s="55"/>
      <c r="C544" s="60"/>
      <c r="D544" s="489"/>
      <c r="E544" s="489"/>
      <c r="F544" s="246"/>
      <c r="G544" s="213"/>
      <c r="H544" s="490"/>
      <c r="I544" s="490"/>
      <c r="J544" s="490"/>
      <c r="K544" s="490"/>
      <c r="L544" s="490"/>
      <c r="M544" s="490"/>
    </row>
    <row r="545">
      <c r="A545" s="191"/>
      <c r="B545" s="55"/>
      <c r="C545" s="60"/>
      <c r="D545" s="62"/>
      <c r="E545" s="62"/>
      <c r="F545" s="228"/>
      <c r="G545" s="229"/>
      <c r="H545" s="490"/>
      <c r="I545" s="490"/>
      <c r="J545" s="490"/>
      <c r="K545" s="490"/>
      <c r="L545" s="490"/>
      <c r="M545" s="490"/>
    </row>
    <row r="546">
      <c r="A546" s="194"/>
      <c r="B546" s="55"/>
      <c r="C546" s="60"/>
      <c r="D546" s="489"/>
      <c r="E546" s="489"/>
      <c r="F546" s="246"/>
      <c r="G546" s="213"/>
      <c r="H546" s="490"/>
      <c r="I546" s="490"/>
      <c r="J546" s="490"/>
      <c r="K546" s="490"/>
      <c r="L546" s="490"/>
      <c r="M546" s="490"/>
    </row>
    <row r="547">
      <c r="A547" s="191"/>
      <c r="B547" s="55"/>
      <c r="C547" s="60"/>
      <c r="D547" s="62"/>
      <c r="E547" s="62"/>
      <c r="F547" s="228"/>
      <c r="G547" s="229"/>
      <c r="H547" s="490"/>
      <c r="I547" s="490"/>
      <c r="J547" s="490"/>
      <c r="K547" s="490"/>
      <c r="L547" s="490"/>
      <c r="M547" s="490"/>
    </row>
    <row r="548">
      <c r="A548" s="194"/>
      <c r="B548" s="55"/>
      <c r="C548" s="60"/>
      <c r="D548" s="489"/>
      <c r="E548" s="489"/>
      <c r="F548" s="246"/>
      <c r="G548" s="213"/>
      <c r="H548" s="490"/>
      <c r="I548" s="490"/>
      <c r="J548" s="490"/>
      <c r="K548" s="490"/>
      <c r="L548" s="490"/>
      <c r="M548" s="490"/>
    </row>
    <row r="549">
      <c r="A549" s="191"/>
      <c r="B549" s="55"/>
      <c r="C549" s="60"/>
      <c r="D549" s="62"/>
      <c r="E549" s="62"/>
      <c r="F549" s="228"/>
      <c r="G549" s="229"/>
      <c r="H549" s="490"/>
      <c r="I549" s="490"/>
      <c r="J549" s="490"/>
      <c r="K549" s="490"/>
      <c r="L549" s="490"/>
      <c r="M549" s="490"/>
    </row>
    <row r="550">
      <c r="A550" s="194"/>
      <c r="B550" s="55"/>
      <c r="C550" s="60"/>
      <c r="D550" s="489"/>
      <c r="E550" s="489"/>
      <c r="F550" s="246"/>
      <c r="G550" s="213"/>
      <c r="H550" s="490"/>
      <c r="I550" s="490"/>
      <c r="J550" s="490"/>
      <c r="K550" s="490"/>
      <c r="L550" s="490"/>
      <c r="M550" s="490"/>
    </row>
    <row r="551">
      <c r="A551" s="191"/>
      <c r="B551" s="55"/>
      <c r="C551" s="60"/>
      <c r="D551" s="62"/>
      <c r="E551" s="62"/>
      <c r="F551" s="228"/>
      <c r="G551" s="229"/>
      <c r="H551" s="490"/>
      <c r="I551" s="490"/>
      <c r="J551" s="490"/>
      <c r="K551" s="490"/>
      <c r="L551" s="490"/>
      <c r="M551" s="490"/>
    </row>
    <row r="552">
      <c r="A552" s="194"/>
      <c r="B552" s="55"/>
      <c r="C552" s="60"/>
      <c r="D552" s="489"/>
      <c r="E552" s="489"/>
      <c r="F552" s="246"/>
      <c r="G552" s="213"/>
      <c r="H552" s="490"/>
      <c r="I552" s="490"/>
      <c r="J552" s="490"/>
      <c r="K552" s="490"/>
      <c r="L552" s="490"/>
      <c r="M552" s="490"/>
    </row>
    <row r="553">
      <c r="A553" s="191"/>
      <c r="B553" s="55"/>
      <c r="C553" s="60"/>
      <c r="D553" s="62"/>
      <c r="E553" s="62"/>
      <c r="F553" s="228"/>
      <c r="G553" s="229"/>
      <c r="H553" s="490"/>
      <c r="I553" s="490"/>
      <c r="J553" s="490"/>
      <c r="K553" s="490"/>
      <c r="L553" s="490"/>
      <c r="M553" s="490"/>
    </row>
    <row r="554">
      <c r="A554" s="194"/>
      <c r="B554" s="55"/>
      <c r="C554" s="60"/>
      <c r="D554" s="489"/>
      <c r="E554" s="489"/>
      <c r="F554" s="246"/>
      <c r="G554" s="213"/>
      <c r="H554" s="490"/>
      <c r="I554" s="490"/>
      <c r="J554" s="490"/>
      <c r="K554" s="490"/>
      <c r="L554" s="490"/>
      <c r="M554" s="490"/>
    </row>
    <row r="555">
      <c r="A555" s="191"/>
      <c r="B555" s="55"/>
      <c r="C555" s="60"/>
      <c r="D555" s="62"/>
      <c r="E555" s="62"/>
      <c r="F555" s="228"/>
      <c r="G555" s="229"/>
      <c r="H555" s="490"/>
      <c r="I555" s="490"/>
      <c r="J555" s="490"/>
      <c r="K555" s="490"/>
      <c r="L555" s="490"/>
      <c r="M555" s="490"/>
    </row>
    <row r="556">
      <c r="A556" s="194"/>
      <c r="B556" s="55"/>
      <c r="C556" s="60"/>
      <c r="D556" s="489"/>
      <c r="E556" s="489"/>
      <c r="F556" s="246"/>
      <c r="G556" s="213"/>
      <c r="H556" s="490"/>
      <c r="I556" s="490"/>
      <c r="J556" s="490"/>
      <c r="K556" s="490"/>
      <c r="L556" s="490"/>
      <c r="M556" s="490"/>
    </row>
    <row r="557">
      <c r="A557" s="191"/>
      <c r="B557" s="55"/>
      <c r="C557" s="60"/>
      <c r="D557" s="62"/>
      <c r="E557" s="62"/>
      <c r="F557" s="228"/>
      <c r="G557" s="229"/>
      <c r="H557" s="490"/>
      <c r="I557" s="490"/>
      <c r="J557" s="490"/>
      <c r="K557" s="490"/>
      <c r="L557" s="490"/>
      <c r="M557" s="490"/>
    </row>
    <row r="558">
      <c r="A558" s="194"/>
      <c r="B558" s="55"/>
      <c r="C558" s="60"/>
      <c r="D558" s="489"/>
      <c r="E558" s="489"/>
      <c r="F558" s="246"/>
      <c r="G558" s="213"/>
      <c r="H558" s="490"/>
      <c r="I558" s="490"/>
      <c r="J558" s="490"/>
      <c r="K558" s="490"/>
      <c r="L558" s="490"/>
      <c r="M558" s="490"/>
    </row>
    <row r="559">
      <c r="A559" s="191"/>
      <c r="B559" s="55"/>
      <c r="C559" s="60"/>
      <c r="D559" s="62"/>
      <c r="E559" s="62"/>
      <c r="F559" s="228"/>
      <c r="G559" s="229"/>
      <c r="H559" s="490"/>
      <c r="I559" s="490"/>
      <c r="J559" s="490"/>
      <c r="K559" s="490"/>
      <c r="L559" s="490"/>
      <c r="M559" s="490"/>
    </row>
    <row r="560">
      <c r="A560" s="194"/>
      <c r="B560" s="55"/>
      <c r="C560" s="60"/>
      <c r="D560" s="489"/>
      <c r="E560" s="489"/>
      <c r="F560" s="246"/>
      <c r="G560" s="213"/>
      <c r="H560" s="490"/>
      <c r="I560" s="490"/>
      <c r="J560" s="490"/>
      <c r="K560" s="490"/>
      <c r="L560" s="490"/>
      <c r="M560" s="490"/>
    </row>
    <row r="561">
      <c r="A561" s="191"/>
      <c r="B561" s="55"/>
      <c r="C561" s="60"/>
      <c r="D561" s="62"/>
      <c r="E561" s="62"/>
      <c r="F561" s="228"/>
      <c r="G561" s="229"/>
      <c r="H561" s="490"/>
      <c r="I561" s="490"/>
      <c r="J561" s="490"/>
      <c r="K561" s="490"/>
      <c r="L561" s="490"/>
      <c r="M561" s="490"/>
    </row>
    <row r="562">
      <c r="A562" s="194"/>
      <c r="B562" s="55"/>
      <c r="C562" s="60"/>
      <c r="D562" s="489"/>
      <c r="E562" s="489"/>
      <c r="F562" s="246"/>
      <c r="G562" s="213"/>
      <c r="H562" s="490"/>
      <c r="I562" s="490"/>
      <c r="J562" s="490"/>
      <c r="K562" s="490"/>
      <c r="L562" s="490"/>
      <c r="M562" s="490"/>
    </row>
    <row r="563">
      <c r="A563" s="191"/>
      <c r="B563" s="55"/>
      <c r="C563" s="60"/>
      <c r="D563" s="62"/>
      <c r="E563" s="62"/>
      <c r="F563" s="228"/>
      <c r="G563" s="229"/>
      <c r="H563" s="490"/>
      <c r="I563" s="490"/>
      <c r="J563" s="490"/>
      <c r="K563" s="490"/>
      <c r="L563" s="490"/>
      <c r="M563" s="490"/>
    </row>
    <row r="564">
      <c r="A564" s="194"/>
      <c r="B564" s="55"/>
      <c r="C564" s="60"/>
      <c r="D564" s="489"/>
      <c r="E564" s="489"/>
      <c r="F564" s="246"/>
      <c r="G564" s="213"/>
      <c r="H564" s="490"/>
      <c r="I564" s="490"/>
      <c r="J564" s="490"/>
      <c r="K564" s="490"/>
      <c r="L564" s="490"/>
      <c r="M564" s="490"/>
    </row>
    <row r="565">
      <c r="A565" s="191"/>
      <c r="B565" s="55"/>
      <c r="C565" s="60"/>
      <c r="D565" s="62"/>
      <c r="E565" s="62"/>
      <c r="F565" s="228"/>
      <c r="G565" s="229"/>
      <c r="H565" s="490"/>
      <c r="I565" s="490"/>
      <c r="J565" s="490"/>
      <c r="K565" s="490"/>
      <c r="L565" s="490"/>
      <c r="M565" s="490"/>
    </row>
    <row r="566">
      <c r="A566" s="194"/>
      <c r="B566" s="55"/>
      <c r="C566" s="60"/>
      <c r="D566" s="489"/>
      <c r="E566" s="489"/>
      <c r="F566" s="246"/>
      <c r="G566" s="213"/>
      <c r="H566" s="490"/>
      <c r="I566" s="490"/>
      <c r="J566" s="490"/>
      <c r="K566" s="490"/>
      <c r="L566" s="490"/>
      <c r="M566" s="490"/>
    </row>
    <row r="567">
      <c r="A567" s="191"/>
      <c r="B567" s="55"/>
      <c r="C567" s="60"/>
      <c r="D567" s="62"/>
      <c r="E567" s="62"/>
      <c r="F567" s="228"/>
      <c r="G567" s="229"/>
      <c r="H567" s="490"/>
      <c r="I567" s="490"/>
      <c r="J567" s="490"/>
      <c r="K567" s="490"/>
      <c r="L567" s="490"/>
      <c r="M567" s="490"/>
    </row>
    <row r="568">
      <c r="A568" s="194"/>
      <c r="B568" s="55"/>
      <c r="C568" s="60"/>
      <c r="D568" s="489"/>
      <c r="E568" s="489"/>
      <c r="F568" s="246"/>
      <c r="G568" s="213"/>
      <c r="H568" s="490"/>
      <c r="I568" s="490"/>
      <c r="J568" s="490"/>
      <c r="K568" s="490"/>
      <c r="L568" s="490"/>
      <c r="M568" s="490"/>
    </row>
    <row r="569">
      <c r="A569" s="191"/>
      <c r="B569" s="55"/>
      <c r="C569" s="60"/>
      <c r="D569" s="62"/>
      <c r="E569" s="62"/>
      <c r="F569" s="228"/>
      <c r="G569" s="229"/>
      <c r="H569" s="490"/>
      <c r="I569" s="490"/>
      <c r="J569" s="490"/>
      <c r="K569" s="490"/>
      <c r="L569" s="490"/>
      <c r="M569" s="490"/>
    </row>
    <row r="570">
      <c r="A570" s="194"/>
      <c r="B570" s="55"/>
      <c r="C570" s="60"/>
      <c r="D570" s="489"/>
      <c r="E570" s="489"/>
      <c r="F570" s="246"/>
      <c r="G570" s="213"/>
      <c r="H570" s="490"/>
      <c r="I570" s="490"/>
      <c r="J570" s="490"/>
      <c r="K570" s="490"/>
      <c r="L570" s="490"/>
      <c r="M570" s="490"/>
    </row>
    <row r="571">
      <c r="A571" s="191"/>
      <c r="B571" s="55"/>
      <c r="C571" s="60"/>
      <c r="D571" s="62"/>
      <c r="E571" s="62"/>
      <c r="F571" s="228"/>
      <c r="G571" s="229"/>
      <c r="H571" s="490"/>
      <c r="I571" s="490"/>
      <c r="J571" s="490"/>
      <c r="K571" s="490"/>
      <c r="L571" s="490"/>
      <c r="M571" s="490"/>
    </row>
    <row r="572">
      <c r="A572" s="194"/>
      <c r="B572" s="55"/>
      <c r="C572" s="60"/>
      <c r="D572" s="489"/>
      <c r="E572" s="489"/>
      <c r="F572" s="246"/>
      <c r="G572" s="213"/>
      <c r="H572" s="490"/>
      <c r="I572" s="490"/>
      <c r="J572" s="490"/>
      <c r="K572" s="490"/>
      <c r="L572" s="490"/>
      <c r="M572" s="490"/>
    </row>
    <row r="573">
      <c r="A573" s="191"/>
      <c r="B573" s="55"/>
      <c r="C573" s="60"/>
      <c r="D573" s="62"/>
      <c r="E573" s="62"/>
      <c r="F573" s="228"/>
      <c r="G573" s="229"/>
      <c r="H573" s="490"/>
      <c r="I573" s="490"/>
      <c r="J573" s="490"/>
      <c r="K573" s="490"/>
      <c r="L573" s="490"/>
      <c r="M573" s="490"/>
    </row>
    <row r="574">
      <c r="A574" s="194"/>
      <c r="B574" s="55"/>
      <c r="C574" s="60"/>
      <c r="D574" s="489"/>
      <c r="E574" s="489"/>
      <c r="F574" s="246"/>
      <c r="G574" s="213"/>
      <c r="H574" s="490"/>
      <c r="I574" s="490"/>
      <c r="J574" s="490"/>
      <c r="K574" s="490"/>
      <c r="L574" s="490"/>
      <c r="M574" s="490"/>
    </row>
    <row r="575">
      <c r="A575" s="191"/>
      <c r="B575" s="55"/>
      <c r="C575" s="60"/>
      <c r="D575" s="62"/>
      <c r="E575" s="62"/>
      <c r="F575" s="228"/>
      <c r="G575" s="229"/>
      <c r="H575" s="490"/>
      <c r="I575" s="490"/>
      <c r="J575" s="490"/>
      <c r="K575" s="490"/>
      <c r="L575" s="490"/>
      <c r="M575" s="490"/>
    </row>
    <row r="576">
      <c r="A576" s="194"/>
      <c r="B576" s="55"/>
      <c r="C576" s="60"/>
      <c r="D576" s="489"/>
      <c r="E576" s="489"/>
      <c r="F576" s="246"/>
      <c r="G576" s="213"/>
      <c r="H576" s="490"/>
      <c r="I576" s="490"/>
      <c r="J576" s="490"/>
      <c r="K576" s="490"/>
      <c r="L576" s="490"/>
      <c r="M576" s="490"/>
    </row>
    <row r="577">
      <c r="A577" s="191"/>
      <c r="B577" s="55"/>
      <c r="C577" s="60"/>
      <c r="D577" s="62"/>
      <c r="E577" s="62"/>
      <c r="F577" s="228"/>
      <c r="G577" s="229"/>
      <c r="H577" s="490"/>
      <c r="I577" s="490"/>
      <c r="J577" s="490"/>
      <c r="K577" s="490"/>
      <c r="L577" s="490"/>
      <c r="M577" s="490"/>
    </row>
    <row r="578">
      <c r="A578" s="194"/>
      <c r="B578" s="55"/>
      <c r="C578" s="60"/>
      <c r="D578" s="489"/>
      <c r="E578" s="489"/>
      <c r="F578" s="246"/>
      <c r="G578" s="213"/>
      <c r="H578" s="490"/>
      <c r="I578" s="490"/>
      <c r="J578" s="490"/>
      <c r="K578" s="490"/>
      <c r="L578" s="490"/>
      <c r="M578" s="490"/>
    </row>
    <row r="579">
      <c r="A579" s="191"/>
      <c r="B579" s="55"/>
      <c r="C579" s="60"/>
      <c r="D579" s="62"/>
      <c r="E579" s="62"/>
      <c r="F579" s="228"/>
      <c r="G579" s="229"/>
      <c r="H579" s="490"/>
      <c r="I579" s="490"/>
      <c r="J579" s="490"/>
      <c r="K579" s="490"/>
      <c r="L579" s="490"/>
      <c r="M579" s="490"/>
    </row>
    <row r="580">
      <c r="A580" s="194"/>
      <c r="B580" s="55"/>
      <c r="C580" s="60"/>
      <c r="D580" s="489"/>
      <c r="E580" s="489"/>
      <c r="F580" s="246"/>
      <c r="G580" s="213"/>
      <c r="H580" s="490"/>
      <c r="I580" s="490"/>
      <c r="J580" s="490"/>
      <c r="K580" s="490"/>
      <c r="L580" s="490"/>
      <c r="M580" s="490"/>
    </row>
    <row r="581">
      <c r="A581" s="191"/>
      <c r="B581" s="55"/>
      <c r="C581" s="60"/>
      <c r="D581" s="62"/>
      <c r="E581" s="62"/>
      <c r="F581" s="228"/>
      <c r="G581" s="229"/>
      <c r="H581" s="490"/>
      <c r="I581" s="490"/>
      <c r="J581" s="490"/>
      <c r="K581" s="490"/>
      <c r="L581" s="490"/>
      <c r="M581" s="490"/>
    </row>
    <row r="582">
      <c r="A582" s="194"/>
      <c r="B582" s="55"/>
      <c r="C582" s="60"/>
      <c r="D582" s="489"/>
      <c r="E582" s="489"/>
      <c r="F582" s="246"/>
      <c r="G582" s="213"/>
      <c r="H582" s="490"/>
      <c r="I582" s="490"/>
      <c r="J582" s="490"/>
      <c r="K582" s="490"/>
      <c r="L582" s="490"/>
      <c r="M582" s="490"/>
    </row>
    <row r="583">
      <c r="A583" s="191"/>
      <c r="B583" s="55"/>
      <c r="C583" s="60"/>
      <c r="D583" s="62"/>
      <c r="E583" s="62"/>
      <c r="F583" s="228"/>
      <c r="G583" s="229"/>
      <c r="H583" s="490"/>
      <c r="I583" s="490"/>
      <c r="J583" s="490"/>
      <c r="K583" s="490"/>
      <c r="L583" s="490"/>
      <c r="M583" s="490"/>
    </row>
    <row r="584">
      <c r="A584" s="194"/>
      <c r="B584" s="55"/>
      <c r="C584" s="60"/>
      <c r="D584" s="489"/>
      <c r="E584" s="489"/>
      <c r="F584" s="246"/>
      <c r="G584" s="213"/>
      <c r="H584" s="490"/>
      <c r="I584" s="490"/>
      <c r="J584" s="490"/>
      <c r="K584" s="490"/>
      <c r="L584" s="490"/>
      <c r="M584" s="490"/>
    </row>
    <row r="585">
      <c r="A585" s="191"/>
      <c r="B585" s="55"/>
      <c r="C585" s="60"/>
      <c r="D585" s="62"/>
      <c r="E585" s="62"/>
      <c r="F585" s="228"/>
      <c r="G585" s="229"/>
      <c r="H585" s="490"/>
      <c r="I585" s="490"/>
      <c r="J585" s="490"/>
      <c r="K585" s="490"/>
      <c r="L585" s="490"/>
      <c r="M585" s="490"/>
    </row>
    <row r="586">
      <c r="A586" s="194"/>
      <c r="B586" s="55"/>
      <c r="C586" s="60"/>
      <c r="D586" s="489"/>
      <c r="E586" s="489"/>
      <c r="F586" s="246"/>
      <c r="G586" s="213"/>
      <c r="H586" s="490"/>
      <c r="I586" s="490"/>
      <c r="J586" s="490"/>
      <c r="K586" s="490"/>
      <c r="L586" s="490"/>
      <c r="M586" s="490"/>
    </row>
    <row r="587">
      <c r="A587" s="191"/>
      <c r="B587" s="55"/>
      <c r="C587" s="60"/>
      <c r="D587" s="62"/>
      <c r="E587" s="62"/>
      <c r="F587" s="228"/>
      <c r="G587" s="229"/>
      <c r="H587" s="490"/>
      <c r="I587" s="490"/>
      <c r="J587" s="490"/>
      <c r="K587" s="490"/>
      <c r="L587" s="490"/>
      <c r="M587" s="490"/>
    </row>
    <row r="588">
      <c r="A588" s="194"/>
      <c r="B588" s="55"/>
      <c r="C588" s="60"/>
      <c r="D588" s="489"/>
      <c r="E588" s="489"/>
      <c r="F588" s="246"/>
      <c r="G588" s="213"/>
      <c r="H588" s="490"/>
      <c r="I588" s="490"/>
      <c r="J588" s="490"/>
      <c r="K588" s="490"/>
      <c r="L588" s="490"/>
      <c r="M588" s="490"/>
    </row>
    <row r="589">
      <c r="A589" s="191"/>
      <c r="B589" s="55"/>
      <c r="C589" s="60"/>
      <c r="D589" s="62"/>
      <c r="E589" s="62"/>
      <c r="F589" s="228"/>
      <c r="G589" s="229"/>
      <c r="H589" s="490"/>
      <c r="I589" s="490"/>
      <c r="J589" s="490"/>
      <c r="K589" s="490"/>
      <c r="L589" s="490"/>
      <c r="M589" s="490"/>
    </row>
    <row r="590">
      <c r="A590" s="194"/>
      <c r="B590" s="55"/>
      <c r="C590" s="60"/>
      <c r="D590" s="489"/>
      <c r="E590" s="489"/>
      <c r="F590" s="246"/>
      <c r="G590" s="213"/>
      <c r="H590" s="490"/>
      <c r="I590" s="490"/>
      <c r="J590" s="490"/>
      <c r="K590" s="490"/>
      <c r="L590" s="490"/>
      <c r="M590" s="490"/>
    </row>
    <row r="591">
      <c r="A591" s="191"/>
      <c r="B591" s="55"/>
      <c r="C591" s="60"/>
      <c r="D591" s="62"/>
      <c r="E591" s="62"/>
      <c r="F591" s="228"/>
      <c r="G591" s="229"/>
      <c r="H591" s="490"/>
      <c r="I591" s="490"/>
      <c r="J591" s="490"/>
      <c r="K591" s="490"/>
      <c r="L591" s="490"/>
      <c r="M591" s="490"/>
    </row>
    <row r="592">
      <c r="A592" s="194"/>
      <c r="B592" s="55"/>
      <c r="C592" s="60"/>
      <c r="D592" s="489"/>
      <c r="E592" s="489"/>
      <c r="F592" s="246"/>
      <c r="G592" s="213"/>
      <c r="H592" s="490"/>
      <c r="I592" s="490"/>
      <c r="J592" s="490"/>
      <c r="K592" s="490"/>
      <c r="L592" s="490"/>
      <c r="M592" s="490"/>
    </row>
    <row r="593">
      <c r="A593" s="191"/>
      <c r="B593" s="55"/>
      <c r="C593" s="60"/>
      <c r="D593" s="62"/>
      <c r="E593" s="62"/>
      <c r="F593" s="228"/>
      <c r="G593" s="229"/>
      <c r="H593" s="490"/>
      <c r="I593" s="490"/>
      <c r="J593" s="490"/>
      <c r="K593" s="490"/>
      <c r="L593" s="490"/>
      <c r="M593" s="490"/>
    </row>
    <row r="594">
      <c r="A594" s="194"/>
      <c r="B594" s="55"/>
      <c r="C594" s="60"/>
      <c r="D594" s="489"/>
      <c r="E594" s="489"/>
      <c r="F594" s="246"/>
      <c r="G594" s="213"/>
      <c r="H594" s="490"/>
      <c r="I594" s="490"/>
      <c r="J594" s="490"/>
      <c r="K594" s="490"/>
      <c r="L594" s="490"/>
      <c r="M594" s="490"/>
    </row>
    <row r="595">
      <c r="A595" s="191"/>
      <c r="B595" s="55"/>
      <c r="C595" s="60"/>
      <c r="D595" s="62"/>
      <c r="E595" s="62"/>
      <c r="F595" s="228"/>
      <c r="G595" s="229"/>
      <c r="H595" s="490"/>
      <c r="I595" s="490"/>
      <c r="J595" s="490"/>
      <c r="K595" s="490"/>
      <c r="L595" s="490"/>
      <c r="M595" s="490"/>
    </row>
    <row r="596">
      <c r="A596" s="194"/>
      <c r="B596" s="55"/>
      <c r="C596" s="60"/>
      <c r="D596" s="489"/>
      <c r="E596" s="489"/>
      <c r="F596" s="246"/>
      <c r="G596" s="213"/>
      <c r="H596" s="490"/>
      <c r="I596" s="490"/>
      <c r="J596" s="490"/>
      <c r="K596" s="490"/>
      <c r="L596" s="490"/>
      <c r="M596" s="490"/>
    </row>
    <row r="597">
      <c r="A597" s="191"/>
      <c r="B597" s="55"/>
      <c r="C597" s="60"/>
      <c r="D597" s="62"/>
      <c r="E597" s="62"/>
      <c r="F597" s="228"/>
      <c r="G597" s="229"/>
      <c r="H597" s="490"/>
      <c r="I597" s="490"/>
      <c r="J597" s="490"/>
      <c r="K597" s="490"/>
      <c r="L597" s="490"/>
      <c r="M597" s="490"/>
    </row>
    <row r="598">
      <c r="A598" s="194"/>
      <c r="B598" s="55"/>
      <c r="C598" s="60"/>
      <c r="D598" s="489"/>
      <c r="E598" s="489"/>
      <c r="F598" s="246"/>
      <c r="G598" s="213"/>
      <c r="H598" s="490"/>
      <c r="I598" s="490"/>
      <c r="J598" s="490"/>
      <c r="K598" s="490"/>
      <c r="L598" s="490"/>
      <c r="M598" s="490"/>
    </row>
    <row r="599">
      <c r="A599" s="191"/>
      <c r="B599" s="55"/>
      <c r="C599" s="60"/>
      <c r="D599" s="62"/>
      <c r="E599" s="62"/>
      <c r="F599" s="228"/>
      <c r="G599" s="229"/>
      <c r="H599" s="490"/>
      <c r="I599" s="490"/>
      <c r="J599" s="490"/>
      <c r="K599" s="490"/>
      <c r="L599" s="490"/>
      <c r="M599" s="490"/>
    </row>
    <row r="600">
      <c r="A600" s="194"/>
      <c r="B600" s="55"/>
      <c r="C600" s="60"/>
      <c r="D600" s="489"/>
      <c r="E600" s="489"/>
      <c r="F600" s="246"/>
      <c r="G600" s="213"/>
      <c r="H600" s="490"/>
      <c r="I600" s="490"/>
      <c r="J600" s="490"/>
      <c r="K600" s="490"/>
      <c r="L600" s="490"/>
      <c r="M600" s="490"/>
    </row>
    <row r="601">
      <c r="A601" s="191"/>
      <c r="B601" s="55"/>
      <c r="C601" s="60"/>
      <c r="D601" s="62"/>
      <c r="E601" s="62"/>
      <c r="F601" s="228"/>
      <c r="G601" s="229"/>
      <c r="H601" s="490"/>
      <c r="I601" s="490"/>
      <c r="J601" s="490"/>
      <c r="K601" s="490"/>
      <c r="L601" s="490"/>
      <c r="M601" s="490"/>
    </row>
    <row r="602">
      <c r="A602" s="194"/>
      <c r="B602" s="55"/>
      <c r="C602" s="60"/>
      <c r="D602" s="489"/>
      <c r="E602" s="489"/>
      <c r="F602" s="246"/>
      <c r="G602" s="213"/>
      <c r="H602" s="490"/>
      <c r="I602" s="490"/>
      <c r="J602" s="490"/>
      <c r="K602" s="490"/>
      <c r="L602" s="490"/>
      <c r="M602" s="490"/>
    </row>
    <row r="603">
      <c r="A603" s="191"/>
      <c r="B603" s="55"/>
      <c r="C603" s="60"/>
      <c r="D603" s="62"/>
      <c r="E603" s="62"/>
      <c r="F603" s="228"/>
      <c r="G603" s="229"/>
      <c r="H603" s="490"/>
      <c r="I603" s="490"/>
      <c r="J603" s="490"/>
      <c r="K603" s="490"/>
      <c r="L603" s="490"/>
      <c r="M603" s="490"/>
    </row>
    <row r="604">
      <c r="A604" s="194"/>
      <c r="B604" s="55"/>
      <c r="C604" s="60"/>
      <c r="D604" s="489"/>
      <c r="E604" s="489"/>
      <c r="F604" s="246"/>
      <c r="G604" s="213"/>
      <c r="H604" s="490"/>
      <c r="I604" s="490"/>
      <c r="J604" s="490"/>
      <c r="K604" s="490"/>
      <c r="L604" s="490"/>
      <c r="M604" s="490"/>
    </row>
    <row r="605">
      <c r="A605" s="191"/>
      <c r="B605" s="55"/>
      <c r="C605" s="60"/>
      <c r="D605" s="62"/>
      <c r="E605" s="62"/>
      <c r="F605" s="228"/>
      <c r="G605" s="229"/>
      <c r="H605" s="490"/>
      <c r="I605" s="490"/>
      <c r="J605" s="490"/>
      <c r="K605" s="490"/>
      <c r="L605" s="490"/>
      <c r="M605" s="490"/>
    </row>
    <row r="606">
      <c r="A606" s="194"/>
      <c r="B606" s="55"/>
      <c r="C606" s="60"/>
      <c r="D606" s="489"/>
      <c r="E606" s="489"/>
      <c r="F606" s="246"/>
      <c r="G606" s="213"/>
      <c r="H606" s="490"/>
      <c r="I606" s="490"/>
      <c r="J606" s="490"/>
      <c r="K606" s="490"/>
      <c r="L606" s="490"/>
      <c r="M606" s="490"/>
    </row>
    <row r="607">
      <c r="A607" s="191"/>
      <c r="B607" s="55"/>
      <c r="C607" s="60"/>
      <c r="D607" s="62"/>
      <c r="E607" s="62"/>
      <c r="F607" s="228"/>
      <c r="G607" s="229"/>
      <c r="H607" s="490"/>
      <c r="I607" s="490"/>
      <c r="J607" s="490"/>
      <c r="K607" s="490"/>
      <c r="L607" s="490"/>
      <c r="M607" s="490"/>
    </row>
    <row r="608">
      <c r="A608" s="194"/>
      <c r="B608" s="55"/>
      <c r="C608" s="60"/>
      <c r="D608" s="489"/>
      <c r="E608" s="489"/>
      <c r="F608" s="246"/>
      <c r="G608" s="213"/>
      <c r="H608" s="490"/>
      <c r="I608" s="490"/>
      <c r="J608" s="490"/>
      <c r="K608" s="490"/>
      <c r="L608" s="490"/>
      <c r="M608" s="490"/>
    </row>
    <row r="609">
      <c r="A609" s="191"/>
      <c r="B609" s="55"/>
      <c r="C609" s="60"/>
      <c r="D609" s="62"/>
      <c r="E609" s="62"/>
      <c r="F609" s="228"/>
      <c r="G609" s="229"/>
      <c r="H609" s="490"/>
      <c r="I609" s="490"/>
      <c r="J609" s="490"/>
      <c r="K609" s="490"/>
      <c r="L609" s="490"/>
      <c r="M609" s="490"/>
    </row>
    <row r="610">
      <c r="A610" s="194"/>
      <c r="B610" s="55"/>
      <c r="C610" s="60"/>
      <c r="D610" s="489"/>
      <c r="E610" s="489"/>
      <c r="F610" s="246"/>
      <c r="G610" s="213"/>
      <c r="H610" s="490"/>
      <c r="I610" s="490"/>
      <c r="J610" s="490"/>
      <c r="K610" s="490"/>
      <c r="L610" s="490"/>
      <c r="M610" s="490"/>
    </row>
    <row r="611">
      <c r="A611" s="191"/>
      <c r="B611" s="55"/>
      <c r="C611" s="60"/>
      <c r="D611" s="62"/>
      <c r="E611" s="62"/>
      <c r="F611" s="228"/>
      <c r="G611" s="229"/>
      <c r="H611" s="490"/>
      <c r="I611" s="490"/>
      <c r="J611" s="490"/>
      <c r="K611" s="490"/>
      <c r="L611" s="490"/>
      <c r="M611" s="490"/>
    </row>
    <row r="612">
      <c r="A612" s="194"/>
      <c r="B612" s="55"/>
      <c r="C612" s="60"/>
      <c r="D612" s="489"/>
      <c r="E612" s="489"/>
      <c r="F612" s="246"/>
      <c r="G612" s="213"/>
      <c r="H612" s="490"/>
      <c r="I612" s="490"/>
      <c r="J612" s="490"/>
      <c r="K612" s="490"/>
      <c r="L612" s="490"/>
      <c r="M612" s="490"/>
    </row>
    <row r="613">
      <c r="A613" s="191"/>
      <c r="B613" s="55"/>
      <c r="C613" s="60"/>
      <c r="D613" s="62"/>
      <c r="E613" s="62"/>
      <c r="F613" s="228"/>
      <c r="G613" s="229"/>
      <c r="H613" s="490"/>
      <c r="I613" s="490"/>
      <c r="J613" s="490"/>
      <c r="K613" s="490"/>
      <c r="L613" s="490"/>
      <c r="M613" s="490"/>
    </row>
    <row r="614">
      <c r="A614" s="194"/>
      <c r="B614" s="55"/>
      <c r="C614" s="60"/>
      <c r="D614" s="489"/>
      <c r="E614" s="489"/>
      <c r="F614" s="246"/>
      <c r="G614" s="213"/>
      <c r="H614" s="490"/>
      <c r="I614" s="490"/>
      <c r="J614" s="490"/>
      <c r="K614" s="490"/>
      <c r="L614" s="490"/>
      <c r="M614" s="490"/>
    </row>
    <row r="615">
      <c r="A615" s="191"/>
      <c r="B615" s="55"/>
      <c r="C615" s="60"/>
      <c r="D615" s="62"/>
      <c r="E615" s="62"/>
      <c r="F615" s="228"/>
      <c r="G615" s="229"/>
      <c r="H615" s="490"/>
      <c r="I615" s="490"/>
      <c r="J615" s="490"/>
      <c r="K615" s="490"/>
      <c r="L615" s="490"/>
      <c r="M615" s="490"/>
    </row>
    <row r="616">
      <c r="A616" s="194"/>
      <c r="B616" s="55"/>
      <c r="C616" s="60"/>
      <c r="D616" s="489"/>
      <c r="E616" s="489"/>
      <c r="F616" s="246"/>
      <c r="G616" s="213"/>
      <c r="H616" s="490"/>
      <c r="I616" s="490"/>
      <c r="J616" s="490"/>
      <c r="K616" s="490"/>
      <c r="L616" s="490"/>
      <c r="M616" s="490"/>
    </row>
    <row r="617">
      <c r="A617" s="191"/>
      <c r="B617" s="55"/>
      <c r="C617" s="60"/>
      <c r="D617" s="62"/>
      <c r="E617" s="62"/>
      <c r="F617" s="228"/>
      <c r="G617" s="229"/>
      <c r="H617" s="490"/>
      <c r="I617" s="490"/>
      <c r="J617" s="490"/>
      <c r="K617" s="490"/>
      <c r="L617" s="490"/>
      <c r="M617" s="490"/>
    </row>
    <row r="618">
      <c r="A618" s="194"/>
      <c r="B618" s="55"/>
      <c r="C618" s="60"/>
      <c r="D618" s="489"/>
      <c r="E618" s="489"/>
      <c r="F618" s="246"/>
      <c r="G618" s="213"/>
      <c r="H618" s="490"/>
      <c r="I618" s="490"/>
      <c r="J618" s="490"/>
      <c r="K618" s="490"/>
      <c r="L618" s="490"/>
      <c r="M618" s="490"/>
    </row>
    <row r="619">
      <c r="A619" s="191"/>
      <c r="B619" s="55"/>
      <c r="C619" s="60"/>
      <c r="D619" s="62"/>
      <c r="E619" s="62"/>
      <c r="F619" s="228"/>
      <c r="G619" s="229"/>
      <c r="H619" s="490"/>
      <c r="I619" s="490"/>
      <c r="J619" s="490"/>
      <c r="K619" s="490"/>
      <c r="L619" s="490"/>
      <c r="M619" s="490"/>
    </row>
    <row r="620">
      <c r="A620" s="194"/>
      <c r="B620" s="55"/>
      <c r="C620" s="60"/>
      <c r="D620" s="489"/>
      <c r="E620" s="489"/>
      <c r="F620" s="246"/>
      <c r="G620" s="213"/>
      <c r="H620" s="490"/>
      <c r="I620" s="490"/>
      <c r="J620" s="490"/>
      <c r="K620" s="490"/>
      <c r="L620" s="490"/>
      <c r="M620" s="490"/>
    </row>
    <row r="621">
      <c r="A621" s="191"/>
      <c r="B621" s="55"/>
      <c r="C621" s="60"/>
      <c r="D621" s="62"/>
      <c r="E621" s="62"/>
      <c r="F621" s="228"/>
      <c r="G621" s="229"/>
      <c r="H621" s="490"/>
      <c r="I621" s="490"/>
      <c r="J621" s="490"/>
      <c r="K621" s="490"/>
      <c r="L621" s="490"/>
      <c r="M621" s="490"/>
    </row>
    <row r="622">
      <c r="A622" s="194"/>
      <c r="B622" s="55"/>
      <c r="C622" s="60"/>
      <c r="D622" s="489"/>
      <c r="E622" s="489"/>
      <c r="F622" s="246"/>
      <c r="G622" s="213"/>
      <c r="H622" s="490"/>
      <c r="I622" s="490"/>
      <c r="J622" s="490"/>
      <c r="K622" s="490"/>
      <c r="L622" s="490"/>
      <c r="M622" s="490"/>
    </row>
    <row r="623">
      <c r="A623" s="191"/>
      <c r="B623" s="55"/>
      <c r="C623" s="60"/>
      <c r="D623" s="62"/>
      <c r="E623" s="62"/>
      <c r="F623" s="228"/>
      <c r="G623" s="229"/>
      <c r="H623" s="490"/>
      <c r="I623" s="490"/>
      <c r="J623" s="490"/>
      <c r="K623" s="490"/>
      <c r="L623" s="490"/>
      <c r="M623" s="490"/>
    </row>
    <row r="624">
      <c r="A624" s="194"/>
      <c r="B624" s="55"/>
      <c r="C624" s="60"/>
      <c r="D624" s="489"/>
      <c r="E624" s="489"/>
      <c r="F624" s="246"/>
      <c r="G624" s="213"/>
      <c r="H624" s="490"/>
      <c r="I624" s="490"/>
      <c r="J624" s="490"/>
      <c r="K624" s="490"/>
      <c r="L624" s="490"/>
      <c r="M624" s="490"/>
    </row>
    <row r="625">
      <c r="A625" s="191"/>
      <c r="B625" s="55"/>
      <c r="C625" s="60"/>
      <c r="D625" s="62"/>
      <c r="E625" s="62"/>
      <c r="F625" s="228"/>
      <c r="G625" s="229"/>
      <c r="H625" s="490"/>
      <c r="I625" s="490"/>
      <c r="J625" s="490"/>
      <c r="K625" s="490"/>
      <c r="L625" s="490"/>
      <c r="M625" s="490"/>
    </row>
    <row r="626">
      <c r="A626" s="194"/>
      <c r="B626" s="55"/>
      <c r="C626" s="60"/>
      <c r="D626" s="489"/>
      <c r="E626" s="489"/>
      <c r="F626" s="246"/>
      <c r="G626" s="213"/>
      <c r="H626" s="490"/>
      <c r="I626" s="490"/>
      <c r="J626" s="490"/>
      <c r="K626" s="490"/>
      <c r="L626" s="490"/>
      <c r="M626" s="490"/>
    </row>
    <row r="627">
      <c r="A627" s="191"/>
      <c r="B627" s="55"/>
      <c r="C627" s="60"/>
      <c r="D627" s="62"/>
      <c r="E627" s="62"/>
      <c r="F627" s="228"/>
      <c r="G627" s="229"/>
      <c r="H627" s="490"/>
      <c r="I627" s="490"/>
      <c r="J627" s="490"/>
      <c r="K627" s="490"/>
      <c r="L627" s="490"/>
      <c r="M627" s="490"/>
    </row>
    <row r="628">
      <c r="A628" s="194"/>
      <c r="B628" s="55"/>
      <c r="C628" s="60"/>
      <c r="D628" s="489"/>
      <c r="E628" s="489"/>
      <c r="F628" s="246"/>
      <c r="G628" s="213"/>
      <c r="H628" s="490"/>
      <c r="I628" s="490"/>
      <c r="J628" s="490"/>
      <c r="K628" s="490"/>
      <c r="L628" s="490"/>
      <c r="M628" s="490"/>
    </row>
    <row r="629">
      <c r="A629" s="191"/>
      <c r="B629" s="55"/>
      <c r="C629" s="60"/>
      <c r="D629" s="62"/>
      <c r="E629" s="62"/>
      <c r="F629" s="228"/>
      <c r="G629" s="229"/>
      <c r="H629" s="490"/>
      <c r="I629" s="490"/>
      <c r="J629" s="490"/>
      <c r="K629" s="490"/>
      <c r="L629" s="490"/>
      <c r="M629" s="490"/>
    </row>
    <row r="630">
      <c r="A630" s="194"/>
      <c r="B630" s="55"/>
      <c r="C630" s="60"/>
      <c r="D630" s="489"/>
      <c r="E630" s="489"/>
      <c r="F630" s="246"/>
      <c r="G630" s="213"/>
      <c r="H630" s="490"/>
      <c r="I630" s="490"/>
      <c r="J630" s="490"/>
      <c r="K630" s="490"/>
      <c r="L630" s="490"/>
      <c r="M630" s="490"/>
    </row>
    <row r="631">
      <c r="A631" s="191"/>
      <c r="B631" s="55"/>
      <c r="C631" s="60"/>
      <c r="D631" s="62"/>
      <c r="E631" s="62"/>
      <c r="F631" s="228"/>
      <c r="G631" s="229"/>
      <c r="H631" s="490"/>
      <c r="I631" s="490"/>
      <c r="J631" s="490"/>
      <c r="K631" s="490"/>
      <c r="L631" s="490"/>
      <c r="M631" s="490"/>
    </row>
    <row r="632">
      <c r="A632" s="194"/>
      <c r="B632" s="55"/>
      <c r="C632" s="60"/>
      <c r="D632" s="489"/>
      <c r="E632" s="489"/>
      <c r="F632" s="246"/>
      <c r="G632" s="213"/>
      <c r="H632" s="490"/>
      <c r="I632" s="490"/>
      <c r="J632" s="490"/>
      <c r="K632" s="490"/>
      <c r="L632" s="490"/>
      <c r="M632" s="490"/>
    </row>
    <row r="633">
      <c r="A633" s="191"/>
      <c r="B633" s="55"/>
      <c r="C633" s="60"/>
      <c r="D633" s="62"/>
      <c r="E633" s="62"/>
      <c r="F633" s="228"/>
      <c r="G633" s="229"/>
      <c r="H633" s="490"/>
      <c r="I633" s="490"/>
      <c r="J633" s="490"/>
      <c r="K633" s="490"/>
      <c r="L633" s="490"/>
      <c r="M633" s="490"/>
    </row>
    <row r="634">
      <c r="A634" s="194"/>
      <c r="B634" s="55"/>
      <c r="C634" s="60"/>
      <c r="D634" s="489"/>
      <c r="E634" s="489"/>
      <c r="F634" s="246"/>
      <c r="G634" s="213"/>
      <c r="H634" s="490"/>
      <c r="I634" s="490"/>
      <c r="J634" s="490"/>
      <c r="K634" s="490"/>
      <c r="L634" s="490"/>
      <c r="M634" s="490"/>
    </row>
    <row r="635">
      <c r="A635" s="191"/>
      <c r="B635" s="55"/>
      <c r="C635" s="60"/>
      <c r="D635" s="62"/>
      <c r="E635" s="62"/>
      <c r="F635" s="228"/>
      <c r="G635" s="229"/>
      <c r="H635" s="490"/>
      <c r="I635" s="490"/>
      <c r="J635" s="490"/>
      <c r="K635" s="490"/>
      <c r="L635" s="490"/>
      <c r="M635" s="490"/>
    </row>
    <row r="636">
      <c r="A636" s="194"/>
      <c r="B636" s="55"/>
      <c r="C636" s="60"/>
      <c r="D636" s="489"/>
      <c r="E636" s="489"/>
      <c r="F636" s="246"/>
      <c r="G636" s="213"/>
      <c r="H636" s="490"/>
      <c r="I636" s="490"/>
      <c r="J636" s="490"/>
      <c r="K636" s="490"/>
      <c r="L636" s="490"/>
      <c r="M636" s="490"/>
    </row>
    <row r="637">
      <c r="A637" s="191"/>
      <c r="B637" s="55"/>
      <c r="C637" s="60"/>
      <c r="D637" s="62"/>
      <c r="E637" s="62"/>
      <c r="F637" s="228"/>
      <c r="G637" s="229"/>
      <c r="H637" s="490"/>
      <c r="I637" s="490"/>
      <c r="J637" s="490"/>
      <c r="K637" s="490"/>
      <c r="L637" s="490"/>
      <c r="M637" s="490"/>
    </row>
    <row r="638">
      <c r="A638" s="194"/>
      <c r="B638" s="55"/>
      <c r="C638" s="60"/>
      <c r="D638" s="489"/>
      <c r="E638" s="489"/>
      <c r="F638" s="246"/>
      <c r="G638" s="213"/>
      <c r="H638" s="490"/>
      <c r="I638" s="490"/>
      <c r="J638" s="490"/>
      <c r="K638" s="490"/>
      <c r="L638" s="490"/>
      <c r="M638" s="490"/>
    </row>
    <row r="639">
      <c r="A639" s="191"/>
      <c r="B639" s="55"/>
      <c r="C639" s="60"/>
      <c r="D639" s="62"/>
      <c r="E639" s="62"/>
      <c r="F639" s="228"/>
      <c r="G639" s="229"/>
      <c r="H639" s="490"/>
      <c r="I639" s="490"/>
      <c r="J639" s="490"/>
      <c r="K639" s="490"/>
      <c r="L639" s="490"/>
      <c r="M639" s="490"/>
    </row>
    <row r="640">
      <c r="A640" s="194"/>
      <c r="B640" s="55"/>
      <c r="C640" s="60"/>
      <c r="D640" s="489"/>
      <c r="E640" s="489"/>
      <c r="F640" s="246"/>
      <c r="G640" s="213"/>
      <c r="H640" s="490"/>
      <c r="I640" s="490"/>
      <c r="J640" s="490"/>
      <c r="K640" s="490"/>
      <c r="L640" s="490"/>
      <c r="M640" s="490"/>
    </row>
    <row r="641">
      <c r="A641" s="191"/>
      <c r="B641" s="55"/>
      <c r="C641" s="60"/>
      <c r="D641" s="62"/>
      <c r="E641" s="62"/>
      <c r="F641" s="228"/>
      <c r="G641" s="229"/>
      <c r="H641" s="490"/>
      <c r="I641" s="490"/>
      <c r="J641" s="490"/>
      <c r="K641" s="490"/>
      <c r="L641" s="490"/>
      <c r="M641" s="490"/>
    </row>
    <row r="642">
      <c r="A642" s="194"/>
      <c r="B642" s="55"/>
      <c r="C642" s="60"/>
      <c r="D642" s="489"/>
      <c r="E642" s="489"/>
      <c r="F642" s="246"/>
      <c r="G642" s="213"/>
      <c r="H642" s="490"/>
      <c r="I642" s="490"/>
      <c r="J642" s="490"/>
      <c r="K642" s="490"/>
      <c r="L642" s="490"/>
      <c r="M642" s="490"/>
    </row>
    <row r="643">
      <c r="A643" s="191"/>
      <c r="B643" s="55"/>
      <c r="C643" s="60"/>
      <c r="D643" s="62"/>
      <c r="E643" s="62"/>
      <c r="F643" s="228"/>
      <c r="G643" s="229"/>
      <c r="H643" s="490"/>
      <c r="I643" s="490"/>
      <c r="J643" s="490"/>
      <c r="K643" s="490"/>
      <c r="L643" s="490"/>
      <c r="M643" s="490"/>
    </row>
    <row r="644">
      <c r="A644" s="194"/>
      <c r="B644" s="55"/>
      <c r="C644" s="60"/>
      <c r="D644" s="489"/>
      <c r="E644" s="489"/>
      <c r="F644" s="246"/>
      <c r="G644" s="213"/>
      <c r="H644" s="490"/>
      <c r="I644" s="490"/>
      <c r="J644" s="490"/>
      <c r="K644" s="490"/>
      <c r="L644" s="490"/>
      <c r="M644" s="490"/>
    </row>
    <row r="645">
      <c r="A645" s="191"/>
      <c r="B645" s="55"/>
      <c r="C645" s="60"/>
      <c r="D645" s="62"/>
      <c r="E645" s="62"/>
      <c r="F645" s="228"/>
      <c r="G645" s="229"/>
      <c r="H645" s="490"/>
      <c r="I645" s="490"/>
      <c r="J645" s="490"/>
      <c r="K645" s="490"/>
      <c r="L645" s="490"/>
      <c r="M645" s="490"/>
    </row>
    <row r="646">
      <c r="A646" s="194"/>
      <c r="B646" s="55"/>
      <c r="C646" s="60"/>
      <c r="D646" s="489"/>
      <c r="E646" s="489"/>
      <c r="F646" s="246"/>
      <c r="G646" s="213"/>
      <c r="H646" s="490"/>
      <c r="I646" s="490"/>
      <c r="J646" s="490"/>
      <c r="K646" s="490"/>
      <c r="L646" s="490"/>
      <c r="M646" s="490"/>
    </row>
    <row r="647">
      <c r="A647" s="191"/>
      <c r="B647" s="55"/>
      <c r="C647" s="60"/>
      <c r="D647" s="62"/>
      <c r="E647" s="62"/>
      <c r="F647" s="228"/>
      <c r="G647" s="229"/>
      <c r="H647" s="490"/>
      <c r="I647" s="490"/>
      <c r="J647" s="490"/>
      <c r="K647" s="490"/>
      <c r="L647" s="490"/>
      <c r="M647" s="490"/>
    </row>
    <row r="648">
      <c r="A648" s="194"/>
      <c r="B648" s="55"/>
      <c r="C648" s="60"/>
      <c r="D648" s="489"/>
      <c r="E648" s="489"/>
      <c r="F648" s="246"/>
      <c r="G648" s="213"/>
      <c r="H648" s="490"/>
      <c r="I648" s="490"/>
      <c r="J648" s="490"/>
      <c r="K648" s="490"/>
      <c r="L648" s="490"/>
      <c r="M648" s="490"/>
    </row>
    <row r="649">
      <c r="A649" s="191"/>
      <c r="B649" s="55"/>
      <c r="C649" s="60"/>
      <c r="D649" s="62"/>
      <c r="E649" s="62"/>
      <c r="F649" s="228"/>
      <c r="G649" s="229"/>
      <c r="H649" s="490"/>
      <c r="I649" s="490"/>
      <c r="J649" s="490"/>
      <c r="K649" s="490"/>
      <c r="L649" s="490"/>
      <c r="M649" s="490"/>
    </row>
    <row r="650">
      <c r="A650" s="194"/>
      <c r="B650" s="55"/>
      <c r="C650" s="60"/>
      <c r="D650" s="489"/>
      <c r="E650" s="489"/>
      <c r="F650" s="246"/>
      <c r="G650" s="213"/>
      <c r="H650" s="490"/>
      <c r="I650" s="490"/>
      <c r="J650" s="490"/>
      <c r="K650" s="490"/>
      <c r="L650" s="490"/>
      <c r="M650" s="490"/>
    </row>
    <row r="651">
      <c r="A651" s="191"/>
      <c r="B651" s="55"/>
      <c r="C651" s="60"/>
      <c r="D651" s="62"/>
      <c r="E651" s="62"/>
      <c r="F651" s="228"/>
      <c r="G651" s="229"/>
      <c r="H651" s="490"/>
      <c r="I651" s="490"/>
      <c r="J651" s="490"/>
      <c r="K651" s="490"/>
      <c r="L651" s="490"/>
      <c r="M651" s="490"/>
    </row>
    <row r="652">
      <c r="A652" s="194"/>
      <c r="B652" s="55"/>
      <c r="C652" s="60"/>
      <c r="D652" s="489"/>
      <c r="E652" s="489"/>
      <c r="F652" s="246"/>
      <c r="G652" s="213"/>
      <c r="H652" s="490"/>
      <c r="I652" s="490"/>
      <c r="J652" s="490"/>
      <c r="K652" s="490"/>
      <c r="L652" s="490"/>
      <c r="M652" s="490"/>
    </row>
    <row r="653">
      <c r="A653" s="191"/>
      <c r="B653" s="55"/>
      <c r="C653" s="60"/>
      <c r="D653" s="62"/>
      <c r="E653" s="62"/>
      <c r="F653" s="228"/>
      <c r="G653" s="229"/>
      <c r="H653" s="490"/>
      <c r="I653" s="490"/>
      <c r="J653" s="490"/>
      <c r="K653" s="490"/>
      <c r="L653" s="490"/>
      <c r="M653" s="490"/>
    </row>
    <row r="654">
      <c r="A654" s="194"/>
      <c r="B654" s="55"/>
      <c r="C654" s="60"/>
      <c r="D654" s="489"/>
      <c r="E654" s="489"/>
      <c r="F654" s="246"/>
      <c r="G654" s="213"/>
      <c r="H654" s="490"/>
      <c r="I654" s="490"/>
      <c r="J654" s="490"/>
      <c r="K654" s="490"/>
      <c r="L654" s="490"/>
      <c r="M654" s="490"/>
    </row>
    <row r="655">
      <c r="A655" s="191"/>
      <c r="B655" s="55"/>
      <c r="C655" s="60"/>
      <c r="D655" s="62"/>
      <c r="E655" s="62"/>
      <c r="F655" s="228"/>
      <c r="G655" s="229"/>
      <c r="H655" s="490"/>
      <c r="I655" s="490"/>
      <c r="J655" s="490"/>
      <c r="K655" s="490"/>
      <c r="L655" s="490"/>
      <c r="M655" s="490"/>
    </row>
    <row r="656">
      <c r="A656" s="194"/>
      <c r="B656" s="55"/>
      <c r="C656" s="60"/>
      <c r="D656" s="489"/>
      <c r="E656" s="489"/>
      <c r="F656" s="246"/>
      <c r="G656" s="213"/>
      <c r="H656" s="490"/>
      <c r="I656" s="490"/>
      <c r="J656" s="490"/>
      <c r="K656" s="490"/>
      <c r="L656" s="490"/>
      <c r="M656" s="490"/>
    </row>
    <row r="657">
      <c r="A657" s="191"/>
      <c r="B657" s="55"/>
      <c r="C657" s="60"/>
      <c r="D657" s="62"/>
      <c r="E657" s="62"/>
      <c r="F657" s="228"/>
      <c r="G657" s="229"/>
      <c r="H657" s="490"/>
      <c r="I657" s="490"/>
      <c r="J657" s="490"/>
      <c r="K657" s="490"/>
      <c r="L657" s="490"/>
      <c r="M657" s="490"/>
    </row>
    <row r="658">
      <c r="A658" s="194"/>
      <c r="B658" s="55"/>
      <c r="C658" s="60"/>
      <c r="D658" s="489"/>
      <c r="E658" s="489"/>
      <c r="F658" s="246"/>
      <c r="G658" s="213"/>
      <c r="H658" s="490"/>
      <c r="I658" s="490"/>
      <c r="J658" s="490"/>
      <c r="K658" s="490"/>
      <c r="L658" s="490"/>
      <c r="M658" s="490"/>
    </row>
    <row r="659">
      <c r="A659" s="191"/>
      <c r="B659" s="55"/>
      <c r="C659" s="60"/>
      <c r="D659" s="62"/>
      <c r="E659" s="62"/>
      <c r="F659" s="228"/>
      <c r="G659" s="229"/>
      <c r="H659" s="490"/>
      <c r="I659" s="490"/>
      <c r="J659" s="490"/>
      <c r="K659" s="490"/>
      <c r="L659" s="490"/>
      <c r="M659" s="490"/>
    </row>
    <row r="660">
      <c r="A660" s="194"/>
      <c r="B660" s="55"/>
      <c r="C660" s="60"/>
      <c r="D660" s="489"/>
      <c r="E660" s="489"/>
      <c r="F660" s="246"/>
      <c r="G660" s="213"/>
      <c r="H660" s="490"/>
      <c r="I660" s="490"/>
      <c r="J660" s="490"/>
      <c r="K660" s="490"/>
      <c r="L660" s="490"/>
      <c r="M660" s="490"/>
    </row>
    <row r="661">
      <c r="A661" s="191"/>
      <c r="B661" s="55"/>
      <c r="C661" s="60"/>
      <c r="D661" s="62"/>
      <c r="E661" s="62"/>
      <c r="F661" s="228"/>
      <c r="G661" s="229"/>
      <c r="H661" s="490"/>
      <c r="I661" s="490"/>
      <c r="J661" s="490"/>
      <c r="K661" s="490"/>
      <c r="L661" s="490"/>
      <c r="M661" s="490"/>
    </row>
    <row r="662">
      <c r="A662" s="194"/>
      <c r="B662" s="55"/>
      <c r="C662" s="60"/>
      <c r="D662" s="489"/>
      <c r="E662" s="489"/>
      <c r="F662" s="246"/>
      <c r="G662" s="213"/>
      <c r="H662" s="490"/>
      <c r="I662" s="490"/>
      <c r="J662" s="490"/>
      <c r="K662" s="490"/>
      <c r="L662" s="490"/>
      <c r="M662" s="490"/>
    </row>
    <row r="663">
      <c r="A663" s="191"/>
      <c r="B663" s="55"/>
      <c r="C663" s="60"/>
      <c r="D663" s="62"/>
      <c r="E663" s="62"/>
      <c r="F663" s="228"/>
      <c r="G663" s="229"/>
      <c r="H663" s="490"/>
      <c r="I663" s="490"/>
      <c r="J663" s="490"/>
      <c r="K663" s="490"/>
      <c r="L663" s="490"/>
      <c r="M663" s="490"/>
    </row>
    <row r="664">
      <c r="A664" s="194"/>
      <c r="B664" s="55"/>
      <c r="C664" s="60"/>
      <c r="D664" s="489"/>
      <c r="E664" s="489"/>
      <c r="F664" s="246"/>
      <c r="G664" s="213"/>
      <c r="H664" s="490"/>
      <c r="I664" s="490"/>
      <c r="J664" s="490"/>
      <c r="K664" s="490"/>
      <c r="L664" s="490"/>
      <c r="M664" s="490"/>
    </row>
    <row r="665">
      <c r="A665" s="191"/>
      <c r="B665" s="55"/>
      <c r="C665" s="60"/>
      <c r="D665" s="62"/>
      <c r="E665" s="62"/>
      <c r="F665" s="228"/>
      <c r="G665" s="229"/>
      <c r="H665" s="490"/>
      <c r="I665" s="490"/>
      <c r="J665" s="490"/>
      <c r="K665" s="490"/>
      <c r="L665" s="490"/>
      <c r="M665" s="490"/>
    </row>
    <row r="666">
      <c r="A666" s="194"/>
      <c r="B666" s="55"/>
      <c r="C666" s="60"/>
      <c r="D666" s="489"/>
      <c r="E666" s="489"/>
      <c r="F666" s="246"/>
      <c r="G666" s="213"/>
      <c r="H666" s="490"/>
      <c r="I666" s="490"/>
      <c r="J666" s="490"/>
      <c r="K666" s="490"/>
      <c r="L666" s="490"/>
      <c r="M666" s="490"/>
    </row>
    <row r="667">
      <c r="A667" s="191"/>
      <c r="B667" s="55"/>
      <c r="C667" s="60"/>
      <c r="D667" s="62"/>
      <c r="E667" s="62"/>
      <c r="F667" s="228"/>
      <c r="G667" s="229"/>
      <c r="H667" s="490"/>
      <c r="I667" s="490"/>
      <c r="J667" s="490"/>
      <c r="K667" s="490"/>
      <c r="L667" s="490"/>
      <c r="M667" s="490"/>
    </row>
    <row r="668">
      <c r="A668" s="194"/>
      <c r="B668" s="55"/>
      <c r="C668" s="60"/>
      <c r="D668" s="489"/>
      <c r="E668" s="489"/>
      <c r="F668" s="246"/>
      <c r="G668" s="213"/>
      <c r="H668" s="490"/>
      <c r="I668" s="490"/>
      <c r="J668" s="490"/>
      <c r="K668" s="490"/>
      <c r="L668" s="490"/>
      <c r="M668" s="490"/>
    </row>
    <row r="669">
      <c r="A669" s="191"/>
      <c r="B669" s="55"/>
      <c r="C669" s="60"/>
      <c r="D669" s="62"/>
      <c r="E669" s="62"/>
      <c r="F669" s="228"/>
      <c r="G669" s="229"/>
      <c r="H669" s="490"/>
      <c r="I669" s="490"/>
      <c r="J669" s="490"/>
      <c r="K669" s="490"/>
      <c r="L669" s="490"/>
      <c r="M669" s="490"/>
    </row>
    <row r="670">
      <c r="A670" s="194"/>
      <c r="B670" s="55"/>
      <c r="C670" s="60"/>
      <c r="D670" s="489"/>
      <c r="E670" s="489"/>
      <c r="F670" s="246"/>
      <c r="G670" s="213"/>
      <c r="H670" s="490"/>
      <c r="I670" s="490"/>
      <c r="J670" s="490"/>
      <c r="K670" s="490"/>
      <c r="L670" s="490"/>
      <c r="M670" s="490"/>
    </row>
    <row r="671">
      <c r="A671" s="191"/>
      <c r="B671" s="55"/>
      <c r="C671" s="60"/>
      <c r="D671" s="62"/>
      <c r="E671" s="62"/>
      <c r="F671" s="228"/>
      <c r="G671" s="229"/>
      <c r="H671" s="490"/>
      <c r="I671" s="490"/>
      <c r="J671" s="490"/>
      <c r="K671" s="490"/>
      <c r="L671" s="490"/>
      <c r="M671" s="490"/>
    </row>
    <row r="672">
      <c r="A672" s="194"/>
      <c r="B672" s="55"/>
      <c r="C672" s="60"/>
      <c r="D672" s="489"/>
      <c r="E672" s="489"/>
      <c r="F672" s="246"/>
      <c r="G672" s="213"/>
      <c r="H672" s="490"/>
      <c r="I672" s="490"/>
      <c r="J672" s="490"/>
      <c r="K672" s="490"/>
      <c r="L672" s="490"/>
      <c r="M672" s="490"/>
    </row>
    <row r="673">
      <c r="A673" s="191"/>
      <c r="B673" s="55"/>
      <c r="C673" s="60"/>
      <c r="D673" s="62"/>
      <c r="E673" s="62"/>
      <c r="F673" s="228"/>
      <c r="G673" s="229"/>
      <c r="H673" s="490"/>
      <c r="I673" s="490"/>
      <c r="J673" s="490"/>
      <c r="K673" s="490"/>
      <c r="L673" s="490"/>
      <c r="M673" s="490"/>
    </row>
    <row r="674">
      <c r="A674" s="194"/>
      <c r="B674" s="55"/>
      <c r="C674" s="60"/>
      <c r="D674" s="489"/>
      <c r="E674" s="489"/>
      <c r="F674" s="246"/>
      <c r="G674" s="213"/>
      <c r="H674" s="490"/>
      <c r="I674" s="490"/>
      <c r="J674" s="490"/>
      <c r="K674" s="490"/>
      <c r="L674" s="490"/>
      <c r="M674" s="490"/>
    </row>
    <row r="675">
      <c r="A675" s="191"/>
      <c r="B675" s="55"/>
      <c r="C675" s="60"/>
      <c r="D675" s="62"/>
      <c r="E675" s="62"/>
      <c r="F675" s="228"/>
      <c r="G675" s="229"/>
      <c r="H675" s="490"/>
      <c r="I675" s="490"/>
      <c r="J675" s="490"/>
      <c r="K675" s="490"/>
      <c r="L675" s="490"/>
      <c r="M675" s="490"/>
    </row>
    <row r="676">
      <c r="A676" s="194"/>
      <c r="B676" s="55"/>
      <c r="C676" s="60"/>
      <c r="D676" s="489"/>
      <c r="E676" s="489"/>
      <c r="F676" s="246"/>
      <c r="G676" s="213"/>
      <c r="H676" s="490"/>
      <c r="I676" s="490"/>
      <c r="J676" s="490"/>
      <c r="K676" s="490"/>
      <c r="L676" s="490"/>
      <c r="M676" s="490"/>
    </row>
    <row r="677">
      <c r="A677" s="191"/>
      <c r="B677" s="55"/>
      <c r="C677" s="60"/>
      <c r="D677" s="62"/>
      <c r="E677" s="62"/>
      <c r="F677" s="228"/>
      <c r="G677" s="229"/>
      <c r="H677" s="490"/>
      <c r="I677" s="490"/>
      <c r="J677" s="490"/>
      <c r="K677" s="490"/>
      <c r="L677" s="490"/>
      <c r="M677" s="490"/>
    </row>
    <row r="678">
      <c r="A678" s="194"/>
      <c r="B678" s="55"/>
      <c r="C678" s="60"/>
      <c r="D678" s="489"/>
      <c r="E678" s="489"/>
      <c r="F678" s="246"/>
      <c r="G678" s="213"/>
      <c r="H678" s="490"/>
      <c r="I678" s="490"/>
      <c r="J678" s="490"/>
      <c r="K678" s="490"/>
      <c r="L678" s="490"/>
      <c r="M678" s="490"/>
    </row>
    <row r="679">
      <c r="A679" s="191"/>
      <c r="B679" s="55"/>
      <c r="C679" s="60"/>
      <c r="D679" s="62"/>
      <c r="E679" s="62"/>
      <c r="F679" s="228"/>
      <c r="G679" s="229"/>
      <c r="H679" s="490"/>
      <c r="I679" s="490"/>
      <c r="J679" s="490"/>
      <c r="K679" s="490"/>
      <c r="L679" s="490"/>
      <c r="M679" s="490"/>
    </row>
    <row r="680">
      <c r="A680" s="194"/>
      <c r="B680" s="55"/>
      <c r="C680" s="60"/>
      <c r="D680" s="489"/>
      <c r="E680" s="489"/>
      <c r="F680" s="246"/>
      <c r="G680" s="213"/>
      <c r="H680" s="490"/>
      <c r="I680" s="490"/>
      <c r="J680" s="490"/>
      <c r="K680" s="490"/>
      <c r="L680" s="490"/>
      <c r="M680" s="490"/>
    </row>
    <row r="681">
      <c r="A681" s="191"/>
      <c r="B681" s="55"/>
      <c r="C681" s="60"/>
      <c r="D681" s="62"/>
      <c r="E681" s="62"/>
      <c r="F681" s="228"/>
      <c r="G681" s="229"/>
      <c r="H681" s="490"/>
      <c r="I681" s="490"/>
      <c r="J681" s="490"/>
      <c r="K681" s="490"/>
      <c r="L681" s="490"/>
      <c r="M681" s="490"/>
    </row>
    <row r="682">
      <c r="A682" s="194"/>
      <c r="B682" s="55"/>
      <c r="C682" s="60"/>
      <c r="D682" s="489"/>
      <c r="E682" s="489"/>
      <c r="F682" s="246"/>
      <c r="G682" s="213"/>
      <c r="H682" s="490"/>
      <c r="I682" s="490"/>
      <c r="J682" s="490"/>
      <c r="K682" s="490"/>
      <c r="L682" s="490"/>
      <c r="M682" s="490"/>
    </row>
    <row r="683">
      <c r="A683" s="191"/>
      <c r="B683" s="55"/>
      <c r="C683" s="60"/>
      <c r="D683" s="62"/>
      <c r="E683" s="62"/>
      <c r="F683" s="228"/>
      <c r="G683" s="229"/>
      <c r="H683" s="490"/>
      <c r="I683" s="490"/>
      <c r="J683" s="490"/>
      <c r="K683" s="490"/>
      <c r="L683" s="490"/>
      <c r="M683" s="490"/>
    </row>
    <row r="684">
      <c r="A684" s="194"/>
      <c r="B684" s="55"/>
      <c r="C684" s="60"/>
      <c r="D684" s="489"/>
      <c r="E684" s="489"/>
      <c r="F684" s="246"/>
      <c r="G684" s="213"/>
      <c r="H684" s="490"/>
      <c r="I684" s="490"/>
      <c r="J684" s="490"/>
      <c r="K684" s="490"/>
      <c r="L684" s="490"/>
      <c r="M684" s="490"/>
    </row>
    <row r="685">
      <c r="A685" s="191"/>
      <c r="B685" s="55"/>
      <c r="C685" s="60"/>
      <c r="D685" s="62"/>
      <c r="E685" s="62"/>
      <c r="F685" s="228"/>
      <c r="G685" s="229"/>
      <c r="H685" s="490"/>
      <c r="I685" s="490"/>
      <c r="J685" s="490"/>
      <c r="K685" s="490"/>
      <c r="L685" s="490"/>
      <c r="M685" s="490"/>
    </row>
    <row r="686">
      <c r="A686" s="194"/>
      <c r="B686" s="55"/>
      <c r="C686" s="60"/>
      <c r="D686" s="489"/>
      <c r="E686" s="489"/>
      <c r="F686" s="246"/>
      <c r="G686" s="213"/>
      <c r="H686" s="490"/>
      <c r="I686" s="490"/>
      <c r="J686" s="490"/>
      <c r="K686" s="490"/>
      <c r="L686" s="490"/>
      <c r="M686" s="490"/>
    </row>
    <row r="687">
      <c r="A687" s="191"/>
      <c r="B687" s="55"/>
      <c r="C687" s="60"/>
      <c r="D687" s="62"/>
      <c r="E687" s="62"/>
      <c r="F687" s="228"/>
      <c r="G687" s="229"/>
      <c r="H687" s="490"/>
      <c r="I687" s="490"/>
      <c r="J687" s="490"/>
      <c r="K687" s="490"/>
      <c r="L687" s="490"/>
      <c r="M687" s="490"/>
    </row>
    <row r="688">
      <c r="A688" s="194"/>
      <c r="B688" s="55"/>
      <c r="C688" s="60"/>
      <c r="D688" s="489"/>
      <c r="E688" s="489"/>
      <c r="F688" s="246"/>
      <c r="G688" s="213"/>
      <c r="H688" s="490"/>
      <c r="I688" s="490"/>
      <c r="J688" s="490"/>
      <c r="K688" s="490"/>
      <c r="L688" s="490"/>
      <c r="M688" s="490"/>
    </row>
    <row r="689">
      <c r="A689" s="191"/>
      <c r="B689" s="55"/>
      <c r="C689" s="60"/>
      <c r="D689" s="62"/>
      <c r="E689" s="62"/>
      <c r="F689" s="228"/>
      <c r="G689" s="229"/>
      <c r="H689" s="490"/>
      <c r="I689" s="490"/>
      <c r="J689" s="490"/>
      <c r="K689" s="490"/>
      <c r="L689" s="490"/>
      <c r="M689" s="490"/>
    </row>
    <row r="690">
      <c r="A690" s="194"/>
      <c r="B690" s="55"/>
      <c r="C690" s="60"/>
      <c r="D690" s="489"/>
      <c r="E690" s="489"/>
      <c r="F690" s="246"/>
      <c r="G690" s="213"/>
      <c r="H690" s="490"/>
      <c r="I690" s="490"/>
      <c r="J690" s="490"/>
      <c r="K690" s="490"/>
      <c r="L690" s="490"/>
      <c r="M690" s="490"/>
    </row>
    <row r="691">
      <c r="A691" s="191"/>
      <c r="B691" s="55"/>
      <c r="C691" s="60"/>
      <c r="D691" s="62"/>
      <c r="E691" s="62"/>
      <c r="F691" s="228"/>
      <c r="G691" s="229"/>
      <c r="H691" s="490"/>
      <c r="I691" s="490"/>
      <c r="J691" s="490"/>
      <c r="K691" s="490"/>
      <c r="L691" s="490"/>
      <c r="M691" s="490"/>
    </row>
    <row r="692">
      <c r="A692" s="194"/>
      <c r="B692" s="55"/>
      <c r="C692" s="60"/>
      <c r="D692" s="489"/>
      <c r="E692" s="489"/>
      <c r="F692" s="246"/>
      <c r="G692" s="213"/>
      <c r="H692" s="490"/>
      <c r="I692" s="490"/>
      <c r="J692" s="490"/>
      <c r="K692" s="490"/>
      <c r="L692" s="490"/>
      <c r="M692" s="490"/>
    </row>
    <row r="693">
      <c r="A693" s="191"/>
      <c r="B693" s="55"/>
      <c r="C693" s="60"/>
      <c r="D693" s="62"/>
      <c r="E693" s="62"/>
      <c r="F693" s="228"/>
      <c r="G693" s="229"/>
      <c r="H693" s="490"/>
      <c r="I693" s="490"/>
      <c r="J693" s="490"/>
      <c r="K693" s="490"/>
      <c r="L693" s="490"/>
      <c r="M693" s="490"/>
    </row>
    <row r="694">
      <c r="A694" s="194"/>
      <c r="B694" s="55"/>
      <c r="C694" s="60"/>
      <c r="D694" s="489"/>
      <c r="E694" s="489"/>
      <c r="F694" s="246"/>
      <c r="G694" s="213"/>
      <c r="H694" s="490"/>
      <c r="I694" s="490"/>
      <c r="J694" s="490"/>
      <c r="K694" s="490"/>
      <c r="L694" s="490"/>
      <c r="M694" s="490"/>
    </row>
    <row r="695">
      <c r="A695" s="191"/>
      <c r="B695" s="55"/>
      <c r="C695" s="60"/>
      <c r="D695" s="62"/>
      <c r="E695" s="62"/>
      <c r="F695" s="228"/>
      <c r="G695" s="229"/>
      <c r="H695" s="490"/>
      <c r="I695" s="490"/>
      <c r="J695" s="490"/>
      <c r="K695" s="490"/>
      <c r="L695" s="490"/>
      <c r="M695" s="490"/>
    </row>
    <row r="696">
      <c r="A696" s="194"/>
      <c r="B696" s="55"/>
      <c r="C696" s="60"/>
      <c r="D696" s="489"/>
      <c r="E696" s="489"/>
      <c r="F696" s="246"/>
      <c r="G696" s="213"/>
      <c r="H696" s="490"/>
      <c r="I696" s="490"/>
      <c r="J696" s="490"/>
      <c r="K696" s="490"/>
      <c r="L696" s="490"/>
      <c r="M696" s="490"/>
    </row>
    <row r="697">
      <c r="A697" s="191"/>
      <c r="B697" s="55"/>
      <c r="C697" s="60"/>
      <c r="D697" s="62"/>
      <c r="E697" s="62"/>
      <c r="F697" s="228"/>
      <c r="G697" s="229"/>
      <c r="H697" s="490"/>
      <c r="I697" s="490"/>
      <c r="J697" s="490"/>
      <c r="K697" s="490"/>
      <c r="L697" s="490"/>
      <c r="M697" s="490"/>
    </row>
    <row r="698">
      <c r="A698" s="194"/>
      <c r="B698" s="55"/>
      <c r="C698" s="60"/>
      <c r="D698" s="489"/>
      <c r="E698" s="489"/>
      <c r="F698" s="246"/>
      <c r="G698" s="213"/>
      <c r="H698" s="490"/>
      <c r="I698" s="490"/>
      <c r="J698" s="490"/>
      <c r="K698" s="490"/>
      <c r="L698" s="490"/>
      <c r="M698" s="490"/>
    </row>
    <row r="699">
      <c r="A699" s="191"/>
      <c r="B699" s="55"/>
      <c r="C699" s="60"/>
      <c r="D699" s="62"/>
      <c r="E699" s="62"/>
      <c r="F699" s="228"/>
      <c r="G699" s="229"/>
      <c r="H699" s="490"/>
      <c r="I699" s="490"/>
      <c r="J699" s="490"/>
      <c r="K699" s="490"/>
      <c r="L699" s="490"/>
      <c r="M699" s="490"/>
    </row>
    <row r="700">
      <c r="A700" s="194"/>
      <c r="B700" s="55"/>
      <c r="C700" s="60"/>
      <c r="D700" s="489"/>
      <c r="E700" s="489"/>
      <c r="F700" s="246"/>
      <c r="G700" s="213"/>
      <c r="H700" s="490"/>
      <c r="I700" s="490"/>
      <c r="J700" s="490"/>
      <c r="K700" s="490"/>
      <c r="L700" s="490"/>
      <c r="M700" s="490"/>
    </row>
    <row r="701">
      <c r="A701" s="191"/>
      <c r="B701" s="55"/>
      <c r="C701" s="60"/>
      <c r="D701" s="62"/>
      <c r="E701" s="62"/>
      <c r="F701" s="228"/>
      <c r="G701" s="229"/>
      <c r="H701" s="490"/>
      <c r="I701" s="490"/>
      <c r="J701" s="490"/>
      <c r="K701" s="490"/>
      <c r="L701" s="490"/>
      <c r="M701" s="490"/>
    </row>
    <row r="702">
      <c r="A702" s="194"/>
      <c r="B702" s="55"/>
      <c r="C702" s="60"/>
      <c r="D702" s="489"/>
      <c r="E702" s="489"/>
      <c r="F702" s="246"/>
      <c r="G702" s="213"/>
      <c r="H702" s="490"/>
      <c r="I702" s="490"/>
      <c r="J702" s="490"/>
      <c r="K702" s="490"/>
      <c r="L702" s="490"/>
      <c r="M702" s="490"/>
    </row>
    <row r="703">
      <c r="A703" s="191"/>
      <c r="B703" s="55"/>
      <c r="C703" s="60"/>
      <c r="D703" s="62"/>
      <c r="E703" s="62"/>
      <c r="F703" s="228"/>
      <c r="G703" s="229"/>
      <c r="H703" s="490"/>
      <c r="I703" s="490"/>
      <c r="J703" s="490"/>
      <c r="K703" s="490"/>
      <c r="L703" s="490"/>
      <c r="M703" s="490"/>
    </row>
    <row r="704">
      <c r="A704" s="194"/>
      <c r="B704" s="55"/>
      <c r="C704" s="60"/>
      <c r="D704" s="489"/>
      <c r="E704" s="489"/>
      <c r="F704" s="246"/>
      <c r="G704" s="213"/>
      <c r="H704" s="490"/>
      <c r="I704" s="490"/>
      <c r="J704" s="490"/>
      <c r="K704" s="490"/>
      <c r="L704" s="490"/>
      <c r="M704" s="490"/>
    </row>
    <row r="705">
      <c r="A705" s="191"/>
      <c r="B705" s="55"/>
      <c r="C705" s="60"/>
      <c r="D705" s="62"/>
      <c r="E705" s="62"/>
      <c r="F705" s="228"/>
      <c r="G705" s="229"/>
      <c r="H705" s="490"/>
      <c r="I705" s="490"/>
      <c r="J705" s="490"/>
      <c r="K705" s="490"/>
      <c r="L705" s="490"/>
      <c r="M705" s="490"/>
    </row>
    <row r="706">
      <c r="A706" s="194"/>
      <c r="B706" s="55"/>
      <c r="C706" s="60"/>
      <c r="D706" s="489"/>
      <c r="E706" s="489"/>
      <c r="F706" s="246"/>
      <c r="G706" s="213"/>
      <c r="H706" s="490"/>
      <c r="I706" s="490"/>
      <c r="J706" s="490"/>
      <c r="K706" s="490"/>
      <c r="L706" s="490"/>
      <c r="M706" s="490"/>
    </row>
    <row r="707">
      <c r="A707" s="191"/>
      <c r="B707" s="55"/>
      <c r="C707" s="60"/>
      <c r="D707" s="62"/>
      <c r="E707" s="62"/>
      <c r="F707" s="228"/>
      <c r="G707" s="229"/>
      <c r="H707" s="490"/>
      <c r="I707" s="490"/>
      <c r="J707" s="490"/>
      <c r="K707" s="490"/>
      <c r="L707" s="490"/>
      <c r="M707" s="490"/>
    </row>
    <row r="708">
      <c r="A708" s="194"/>
      <c r="B708" s="55"/>
      <c r="C708" s="60"/>
      <c r="D708" s="489"/>
      <c r="E708" s="489"/>
      <c r="F708" s="246"/>
      <c r="G708" s="213"/>
      <c r="H708" s="490"/>
      <c r="I708" s="490"/>
      <c r="J708" s="490"/>
      <c r="K708" s="490"/>
      <c r="L708" s="490"/>
      <c r="M708" s="490"/>
    </row>
    <row r="709">
      <c r="A709" s="191"/>
      <c r="B709" s="55"/>
      <c r="C709" s="60"/>
      <c r="D709" s="62"/>
      <c r="E709" s="62"/>
      <c r="F709" s="228"/>
      <c r="G709" s="229"/>
      <c r="H709" s="490"/>
      <c r="I709" s="490"/>
      <c r="J709" s="490"/>
      <c r="K709" s="490"/>
      <c r="L709" s="490"/>
      <c r="M709" s="490"/>
    </row>
    <row r="710">
      <c r="A710" s="194"/>
      <c r="B710" s="55"/>
      <c r="C710" s="60"/>
      <c r="D710" s="489"/>
      <c r="E710" s="489"/>
      <c r="F710" s="246"/>
      <c r="G710" s="213"/>
      <c r="H710" s="490"/>
      <c r="I710" s="490"/>
      <c r="J710" s="490"/>
      <c r="K710" s="490"/>
      <c r="L710" s="490"/>
      <c r="M710" s="490"/>
    </row>
    <row r="711">
      <c r="A711" s="191"/>
      <c r="B711" s="55"/>
      <c r="C711" s="60"/>
      <c r="D711" s="62"/>
      <c r="E711" s="62"/>
      <c r="F711" s="228"/>
      <c r="G711" s="229"/>
      <c r="H711" s="490"/>
      <c r="I711" s="490"/>
      <c r="J711" s="490"/>
      <c r="K711" s="490"/>
      <c r="L711" s="490"/>
      <c r="M711" s="490"/>
    </row>
    <row r="712">
      <c r="A712" s="194"/>
      <c r="B712" s="55"/>
      <c r="C712" s="60"/>
      <c r="D712" s="489"/>
      <c r="E712" s="489"/>
      <c r="F712" s="246"/>
      <c r="G712" s="213"/>
      <c r="H712" s="490"/>
      <c r="I712" s="490"/>
      <c r="J712" s="490"/>
      <c r="K712" s="490"/>
      <c r="L712" s="490"/>
      <c r="M712" s="490"/>
    </row>
    <row r="713">
      <c r="A713" s="191"/>
      <c r="B713" s="55"/>
      <c r="C713" s="60"/>
      <c r="D713" s="62"/>
      <c r="E713" s="62"/>
      <c r="F713" s="228"/>
      <c r="G713" s="229"/>
      <c r="H713" s="490"/>
      <c r="I713" s="490"/>
      <c r="J713" s="490"/>
      <c r="K713" s="490"/>
      <c r="L713" s="490"/>
      <c r="M713" s="490"/>
    </row>
    <row r="714">
      <c r="A714" s="194"/>
      <c r="B714" s="55"/>
      <c r="C714" s="60"/>
      <c r="D714" s="489"/>
      <c r="E714" s="489"/>
      <c r="F714" s="246"/>
      <c r="G714" s="213"/>
      <c r="H714" s="490"/>
      <c r="I714" s="490"/>
      <c r="J714" s="490"/>
      <c r="K714" s="490"/>
      <c r="L714" s="490"/>
      <c r="M714" s="490"/>
    </row>
    <row r="715">
      <c r="A715" s="191"/>
      <c r="B715" s="55"/>
      <c r="C715" s="60"/>
      <c r="D715" s="62"/>
      <c r="E715" s="62"/>
      <c r="F715" s="228"/>
      <c r="G715" s="229"/>
      <c r="H715" s="490"/>
      <c r="I715" s="490"/>
      <c r="J715" s="490"/>
      <c r="K715" s="490"/>
      <c r="L715" s="490"/>
      <c r="M715" s="490"/>
    </row>
    <row r="716">
      <c r="A716" s="194"/>
      <c r="B716" s="55"/>
      <c r="C716" s="60"/>
      <c r="D716" s="489"/>
      <c r="E716" s="489"/>
      <c r="F716" s="246"/>
      <c r="G716" s="213"/>
      <c r="H716" s="490"/>
      <c r="I716" s="490"/>
      <c r="J716" s="490"/>
      <c r="K716" s="490"/>
      <c r="L716" s="490"/>
      <c r="M716" s="490"/>
    </row>
    <row r="717">
      <c r="A717" s="191"/>
      <c r="B717" s="55"/>
      <c r="C717" s="60"/>
      <c r="D717" s="62"/>
      <c r="E717" s="62"/>
      <c r="F717" s="228"/>
      <c r="G717" s="229"/>
      <c r="H717" s="490"/>
      <c r="I717" s="490"/>
      <c r="J717" s="490"/>
      <c r="K717" s="490"/>
      <c r="L717" s="490"/>
      <c r="M717" s="490"/>
    </row>
    <row r="718">
      <c r="A718" s="194"/>
      <c r="B718" s="55"/>
      <c r="C718" s="60"/>
      <c r="D718" s="489"/>
      <c r="E718" s="489"/>
      <c r="F718" s="246"/>
      <c r="G718" s="213"/>
      <c r="H718" s="490"/>
      <c r="I718" s="490"/>
      <c r="J718" s="490"/>
      <c r="K718" s="490"/>
      <c r="L718" s="490"/>
      <c r="M718" s="490"/>
    </row>
    <row r="719">
      <c r="A719" s="191"/>
      <c r="B719" s="55"/>
      <c r="C719" s="60"/>
      <c r="D719" s="62"/>
      <c r="E719" s="62"/>
      <c r="F719" s="228"/>
      <c r="G719" s="229"/>
      <c r="H719" s="490"/>
      <c r="I719" s="490"/>
      <c r="J719" s="490"/>
      <c r="K719" s="490"/>
      <c r="L719" s="490"/>
      <c r="M719" s="490"/>
    </row>
    <row r="720">
      <c r="A720" s="194"/>
      <c r="B720" s="55"/>
      <c r="C720" s="60"/>
      <c r="D720" s="489"/>
      <c r="E720" s="489"/>
      <c r="F720" s="246"/>
      <c r="G720" s="213"/>
      <c r="H720" s="490"/>
      <c r="I720" s="490"/>
      <c r="J720" s="490"/>
      <c r="K720" s="490"/>
      <c r="L720" s="490"/>
      <c r="M720" s="490"/>
    </row>
    <row r="721">
      <c r="A721" s="191"/>
      <c r="B721" s="55"/>
      <c r="C721" s="60"/>
      <c r="D721" s="62"/>
      <c r="E721" s="62"/>
      <c r="F721" s="228"/>
      <c r="G721" s="229"/>
      <c r="H721" s="490"/>
      <c r="I721" s="490"/>
      <c r="J721" s="490"/>
      <c r="K721" s="490"/>
      <c r="L721" s="490"/>
      <c r="M721" s="490"/>
    </row>
    <row r="722">
      <c r="A722" s="194"/>
      <c r="B722" s="55"/>
      <c r="C722" s="60"/>
      <c r="D722" s="489"/>
      <c r="E722" s="489"/>
      <c r="F722" s="246"/>
      <c r="G722" s="213"/>
      <c r="H722" s="490"/>
      <c r="I722" s="490"/>
      <c r="J722" s="490"/>
      <c r="K722" s="490"/>
      <c r="L722" s="490"/>
      <c r="M722" s="490"/>
    </row>
    <row r="723">
      <c r="A723" s="191"/>
      <c r="B723" s="55"/>
      <c r="C723" s="60"/>
      <c r="D723" s="62"/>
      <c r="E723" s="62"/>
      <c r="F723" s="228"/>
      <c r="G723" s="229"/>
      <c r="H723" s="490"/>
      <c r="I723" s="490"/>
      <c r="J723" s="490"/>
      <c r="K723" s="490"/>
      <c r="L723" s="490"/>
      <c r="M723" s="490"/>
    </row>
    <row r="724">
      <c r="A724" s="194"/>
      <c r="B724" s="55"/>
      <c r="C724" s="60"/>
      <c r="D724" s="489"/>
      <c r="E724" s="489"/>
      <c r="F724" s="246"/>
      <c r="G724" s="213"/>
      <c r="H724" s="490"/>
      <c r="I724" s="490"/>
      <c r="J724" s="490"/>
      <c r="K724" s="490"/>
      <c r="L724" s="490"/>
      <c r="M724" s="490"/>
    </row>
    <row r="725">
      <c r="A725" s="191"/>
      <c r="B725" s="55"/>
      <c r="C725" s="60"/>
      <c r="D725" s="62"/>
      <c r="E725" s="62"/>
      <c r="F725" s="228"/>
      <c r="G725" s="229"/>
      <c r="H725" s="490"/>
      <c r="I725" s="490"/>
      <c r="J725" s="490"/>
      <c r="K725" s="490"/>
      <c r="L725" s="490"/>
      <c r="M725" s="490"/>
    </row>
    <row r="726">
      <c r="A726" s="194"/>
      <c r="B726" s="55"/>
      <c r="C726" s="60"/>
      <c r="D726" s="489"/>
      <c r="E726" s="489"/>
      <c r="F726" s="246"/>
      <c r="G726" s="213"/>
      <c r="H726" s="490"/>
      <c r="I726" s="490"/>
      <c r="J726" s="490"/>
      <c r="K726" s="490"/>
      <c r="L726" s="490"/>
      <c r="M726" s="490"/>
    </row>
    <row r="727">
      <c r="A727" s="191"/>
      <c r="B727" s="55"/>
      <c r="C727" s="60"/>
      <c r="D727" s="62"/>
      <c r="E727" s="62"/>
      <c r="F727" s="228"/>
      <c r="G727" s="229"/>
      <c r="H727" s="490"/>
      <c r="I727" s="490"/>
      <c r="J727" s="490"/>
      <c r="K727" s="490"/>
      <c r="L727" s="490"/>
      <c r="M727" s="490"/>
    </row>
    <row r="728">
      <c r="A728" s="194"/>
      <c r="B728" s="55"/>
      <c r="C728" s="60"/>
      <c r="D728" s="489"/>
      <c r="E728" s="489"/>
      <c r="F728" s="246"/>
      <c r="G728" s="213"/>
      <c r="H728" s="490"/>
      <c r="I728" s="490"/>
      <c r="J728" s="490"/>
      <c r="K728" s="490"/>
      <c r="L728" s="490"/>
      <c r="M728" s="490"/>
    </row>
    <row r="729">
      <c r="A729" s="191"/>
      <c r="B729" s="55"/>
      <c r="C729" s="60"/>
      <c r="D729" s="62"/>
      <c r="E729" s="62"/>
      <c r="F729" s="228"/>
      <c r="G729" s="229"/>
      <c r="H729" s="490"/>
      <c r="I729" s="490"/>
      <c r="J729" s="490"/>
      <c r="K729" s="490"/>
      <c r="L729" s="490"/>
      <c r="M729" s="490"/>
    </row>
    <row r="730">
      <c r="A730" s="194"/>
      <c r="B730" s="55"/>
      <c r="C730" s="60"/>
      <c r="D730" s="489"/>
      <c r="E730" s="489"/>
      <c r="F730" s="246"/>
      <c r="G730" s="213"/>
      <c r="H730" s="490"/>
      <c r="I730" s="490"/>
      <c r="J730" s="490"/>
      <c r="K730" s="490"/>
      <c r="L730" s="490"/>
      <c r="M730" s="490"/>
    </row>
    <row r="731">
      <c r="A731" s="191"/>
      <c r="B731" s="55"/>
      <c r="C731" s="60"/>
      <c r="D731" s="62"/>
      <c r="E731" s="62"/>
      <c r="F731" s="228"/>
      <c r="G731" s="229"/>
      <c r="H731" s="490"/>
      <c r="I731" s="490"/>
      <c r="J731" s="490"/>
      <c r="K731" s="490"/>
      <c r="L731" s="490"/>
      <c r="M731" s="490"/>
    </row>
    <row r="732">
      <c r="A732" s="194"/>
      <c r="B732" s="55"/>
      <c r="C732" s="60"/>
      <c r="D732" s="489"/>
      <c r="E732" s="489"/>
      <c r="F732" s="246"/>
      <c r="G732" s="213"/>
      <c r="H732" s="490"/>
      <c r="I732" s="490"/>
      <c r="J732" s="490"/>
      <c r="K732" s="490"/>
      <c r="L732" s="490"/>
      <c r="M732" s="490"/>
    </row>
    <row r="733">
      <c r="A733" s="191"/>
      <c r="B733" s="55"/>
      <c r="C733" s="60"/>
      <c r="D733" s="62"/>
      <c r="E733" s="62"/>
      <c r="F733" s="228"/>
      <c r="G733" s="229"/>
      <c r="H733" s="490"/>
      <c r="I733" s="490"/>
      <c r="J733" s="490"/>
      <c r="K733" s="490"/>
      <c r="L733" s="490"/>
      <c r="M733" s="490"/>
    </row>
    <row r="734">
      <c r="A734" s="194"/>
      <c r="B734" s="55"/>
      <c r="C734" s="60"/>
      <c r="D734" s="489"/>
      <c r="E734" s="489"/>
      <c r="F734" s="246"/>
      <c r="G734" s="213"/>
      <c r="H734" s="490"/>
      <c r="I734" s="490"/>
      <c r="J734" s="490"/>
      <c r="K734" s="490"/>
      <c r="L734" s="490"/>
      <c r="M734" s="490"/>
    </row>
    <row r="735">
      <c r="A735" s="191"/>
      <c r="B735" s="55"/>
      <c r="C735" s="60"/>
      <c r="D735" s="62"/>
      <c r="E735" s="62"/>
      <c r="F735" s="228"/>
      <c r="G735" s="229"/>
      <c r="H735" s="490"/>
      <c r="I735" s="490"/>
      <c r="J735" s="490"/>
      <c r="K735" s="490"/>
      <c r="L735" s="490"/>
      <c r="M735" s="490"/>
    </row>
    <row r="736">
      <c r="A736" s="194"/>
      <c r="B736" s="55"/>
      <c r="C736" s="60"/>
      <c r="D736" s="489"/>
      <c r="E736" s="489"/>
      <c r="F736" s="246"/>
      <c r="G736" s="213"/>
      <c r="H736" s="490"/>
      <c r="I736" s="490"/>
      <c r="J736" s="490"/>
      <c r="K736" s="490"/>
      <c r="L736" s="490"/>
      <c r="M736" s="490"/>
    </row>
    <row r="737">
      <c r="A737" s="191"/>
      <c r="B737" s="55"/>
      <c r="C737" s="60"/>
      <c r="D737" s="62"/>
      <c r="E737" s="62"/>
      <c r="F737" s="228"/>
      <c r="G737" s="229"/>
      <c r="H737" s="490"/>
      <c r="I737" s="490"/>
      <c r="J737" s="490"/>
      <c r="K737" s="490"/>
      <c r="L737" s="490"/>
      <c r="M737" s="490"/>
    </row>
    <row r="738">
      <c r="A738" s="194"/>
      <c r="B738" s="55"/>
      <c r="C738" s="60"/>
      <c r="D738" s="489"/>
      <c r="E738" s="489"/>
      <c r="F738" s="246"/>
      <c r="G738" s="213"/>
      <c r="H738" s="490"/>
      <c r="I738" s="490"/>
      <c r="J738" s="490"/>
      <c r="K738" s="490"/>
      <c r="L738" s="490"/>
      <c r="M738" s="490"/>
    </row>
    <row r="739">
      <c r="A739" s="191"/>
      <c r="B739" s="55"/>
      <c r="C739" s="60"/>
      <c r="D739" s="62"/>
      <c r="E739" s="62"/>
      <c r="F739" s="228"/>
      <c r="G739" s="229"/>
      <c r="H739" s="490"/>
      <c r="I739" s="490"/>
      <c r="J739" s="490"/>
      <c r="K739" s="490"/>
      <c r="L739" s="490"/>
      <c r="M739" s="490"/>
    </row>
    <row r="740">
      <c r="A740" s="194"/>
      <c r="B740" s="55"/>
      <c r="C740" s="60"/>
      <c r="D740" s="489"/>
      <c r="E740" s="489"/>
      <c r="F740" s="246"/>
      <c r="G740" s="213"/>
      <c r="H740" s="490"/>
      <c r="I740" s="490"/>
      <c r="J740" s="490"/>
      <c r="K740" s="490"/>
      <c r="L740" s="490"/>
      <c r="M740" s="490"/>
    </row>
    <row r="741">
      <c r="A741" s="191"/>
      <c r="B741" s="55"/>
      <c r="C741" s="60"/>
      <c r="D741" s="62"/>
      <c r="E741" s="62"/>
      <c r="F741" s="228"/>
      <c r="G741" s="229"/>
      <c r="H741" s="490"/>
      <c r="I741" s="490"/>
      <c r="J741" s="490"/>
      <c r="K741" s="490"/>
      <c r="L741" s="490"/>
      <c r="M741" s="490"/>
    </row>
    <row r="742">
      <c r="A742" s="194"/>
      <c r="B742" s="55"/>
      <c r="C742" s="60"/>
      <c r="D742" s="489"/>
      <c r="E742" s="489"/>
      <c r="F742" s="246"/>
      <c r="G742" s="213"/>
      <c r="H742" s="490"/>
      <c r="I742" s="490"/>
      <c r="J742" s="490"/>
      <c r="K742" s="490"/>
      <c r="L742" s="490"/>
      <c r="M742" s="490"/>
    </row>
    <row r="743">
      <c r="A743" s="191"/>
      <c r="B743" s="55"/>
      <c r="C743" s="60"/>
      <c r="D743" s="62"/>
      <c r="E743" s="62"/>
      <c r="F743" s="228"/>
      <c r="G743" s="229"/>
      <c r="H743" s="490"/>
      <c r="I743" s="490"/>
      <c r="J743" s="490"/>
      <c r="K743" s="490"/>
      <c r="L743" s="490"/>
      <c r="M743" s="490"/>
    </row>
    <row r="744">
      <c r="A744" s="194"/>
      <c r="B744" s="55"/>
      <c r="C744" s="60"/>
      <c r="D744" s="489"/>
      <c r="E744" s="489"/>
      <c r="F744" s="246"/>
      <c r="G744" s="213"/>
      <c r="H744" s="490"/>
      <c r="I744" s="490"/>
      <c r="J744" s="490"/>
      <c r="K744" s="490"/>
      <c r="L744" s="490"/>
      <c r="M744" s="490"/>
    </row>
    <row r="745">
      <c r="A745" s="191"/>
      <c r="B745" s="55"/>
      <c r="C745" s="60"/>
      <c r="D745" s="62"/>
      <c r="E745" s="62"/>
      <c r="F745" s="228"/>
      <c r="G745" s="229"/>
      <c r="H745" s="490"/>
      <c r="I745" s="490"/>
      <c r="J745" s="490"/>
      <c r="K745" s="490"/>
      <c r="L745" s="490"/>
      <c r="M745" s="490"/>
    </row>
    <row r="746">
      <c r="A746" s="194"/>
      <c r="B746" s="55"/>
      <c r="C746" s="60"/>
      <c r="D746" s="489"/>
      <c r="E746" s="489"/>
      <c r="F746" s="246"/>
      <c r="G746" s="213"/>
      <c r="H746" s="490"/>
      <c r="I746" s="490"/>
      <c r="J746" s="490"/>
      <c r="K746" s="490"/>
      <c r="L746" s="490"/>
      <c r="M746" s="490"/>
    </row>
    <row r="747">
      <c r="A747" s="191"/>
      <c r="B747" s="55"/>
      <c r="C747" s="60"/>
      <c r="D747" s="62"/>
      <c r="E747" s="62"/>
      <c r="F747" s="228"/>
      <c r="G747" s="229"/>
      <c r="H747" s="490"/>
      <c r="I747" s="490"/>
      <c r="J747" s="490"/>
      <c r="K747" s="490"/>
      <c r="L747" s="490"/>
      <c r="M747" s="490"/>
    </row>
    <row r="748">
      <c r="A748" s="194"/>
      <c r="B748" s="55"/>
      <c r="C748" s="60"/>
      <c r="D748" s="489"/>
      <c r="E748" s="489"/>
      <c r="F748" s="246"/>
      <c r="G748" s="213"/>
      <c r="H748" s="490"/>
      <c r="I748" s="490"/>
      <c r="J748" s="490"/>
      <c r="K748" s="490"/>
      <c r="L748" s="490"/>
      <c r="M748" s="490"/>
    </row>
    <row r="749">
      <c r="A749" s="191"/>
      <c r="B749" s="55"/>
      <c r="C749" s="60"/>
      <c r="D749" s="62"/>
      <c r="E749" s="62"/>
      <c r="F749" s="228"/>
      <c r="G749" s="229"/>
      <c r="H749" s="490"/>
      <c r="I749" s="490"/>
      <c r="J749" s="490"/>
      <c r="K749" s="490"/>
      <c r="L749" s="490"/>
      <c r="M749" s="490"/>
    </row>
    <row r="750">
      <c r="A750" s="194"/>
      <c r="B750" s="55"/>
      <c r="C750" s="60"/>
      <c r="D750" s="489"/>
      <c r="E750" s="489"/>
      <c r="F750" s="246"/>
      <c r="G750" s="213"/>
      <c r="H750" s="490"/>
      <c r="I750" s="490"/>
      <c r="J750" s="490"/>
      <c r="K750" s="490"/>
      <c r="L750" s="490"/>
      <c r="M750" s="490"/>
    </row>
    <row r="751">
      <c r="A751" s="191"/>
      <c r="B751" s="55"/>
      <c r="C751" s="60"/>
      <c r="D751" s="62"/>
      <c r="E751" s="62"/>
      <c r="F751" s="228"/>
      <c r="G751" s="229"/>
      <c r="H751" s="490"/>
      <c r="I751" s="490"/>
      <c r="J751" s="490"/>
      <c r="K751" s="490"/>
      <c r="L751" s="490"/>
      <c r="M751" s="490"/>
    </row>
    <row r="752">
      <c r="A752" s="194"/>
      <c r="B752" s="55"/>
      <c r="C752" s="60"/>
      <c r="D752" s="489"/>
      <c r="E752" s="489"/>
      <c r="F752" s="246"/>
      <c r="G752" s="213"/>
      <c r="H752" s="490"/>
      <c r="I752" s="490"/>
      <c r="J752" s="490"/>
      <c r="K752" s="490"/>
      <c r="L752" s="490"/>
      <c r="M752" s="490"/>
    </row>
    <row r="753">
      <c r="A753" s="191"/>
      <c r="B753" s="55"/>
      <c r="C753" s="60"/>
      <c r="D753" s="62"/>
      <c r="E753" s="62"/>
      <c r="F753" s="228"/>
      <c r="G753" s="229"/>
      <c r="H753" s="490"/>
      <c r="I753" s="490"/>
      <c r="J753" s="490"/>
      <c r="K753" s="490"/>
      <c r="L753" s="490"/>
      <c r="M753" s="490"/>
    </row>
    <row r="754">
      <c r="A754" s="194"/>
      <c r="B754" s="55"/>
      <c r="C754" s="60"/>
      <c r="D754" s="489"/>
      <c r="E754" s="489"/>
      <c r="F754" s="246"/>
      <c r="G754" s="213"/>
      <c r="H754" s="490"/>
      <c r="I754" s="490"/>
      <c r="J754" s="490"/>
      <c r="K754" s="490"/>
      <c r="L754" s="490"/>
      <c r="M754" s="490"/>
    </row>
    <row r="755">
      <c r="A755" s="191"/>
      <c r="B755" s="55"/>
      <c r="C755" s="60"/>
      <c r="D755" s="62"/>
      <c r="E755" s="62"/>
      <c r="F755" s="228"/>
      <c r="G755" s="229"/>
      <c r="H755" s="490"/>
      <c r="I755" s="490"/>
      <c r="J755" s="490"/>
      <c r="K755" s="490"/>
      <c r="L755" s="490"/>
      <c r="M755" s="490"/>
    </row>
    <row r="756">
      <c r="A756" s="194"/>
      <c r="B756" s="55"/>
      <c r="C756" s="60"/>
      <c r="D756" s="489"/>
      <c r="E756" s="489"/>
      <c r="F756" s="246"/>
      <c r="G756" s="213"/>
      <c r="H756" s="490"/>
      <c r="I756" s="490"/>
      <c r="J756" s="490"/>
      <c r="K756" s="490"/>
      <c r="L756" s="490"/>
      <c r="M756" s="490"/>
    </row>
    <row r="757">
      <c r="A757" s="191"/>
      <c r="B757" s="55"/>
      <c r="C757" s="60"/>
      <c r="D757" s="62"/>
      <c r="E757" s="62"/>
      <c r="F757" s="228"/>
      <c r="G757" s="229"/>
      <c r="H757" s="490"/>
      <c r="I757" s="490"/>
      <c r="J757" s="490"/>
      <c r="K757" s="490"/>
      <c r="L757" s="490"/>
      <c r="M757" s="490"/>
    </row>
    <row r="758">
      <c r="A758" s="194"/>
      <c r="B758" s="55"/>
      <c r="C758" s="60"/>
      <c r="D758" s="489"/>
      <c r="E758" s="489"/>
      <c r="F758" s="246"/>
      <c r="G758" s="213"/>
      <c r="H758" s="490"/>
      <c r="I758" s="490"/>
      <c r="J758" s="490"/>
      <c r="K758" s="490"/>
      <c r="L758" s="490"/>
      <c r="M758" s="490"/>
    </row>
    <row r="759">
      <c r="A759" s="191"/>
      <c r="B759" s="55"/>
      <c r="C759" s="60"/>
      <c r="D759" s="62"/>
      <c r="E759" s="62"/>
      <c r="F759" s="228"/>
      <c r="G759" s="229"/>
      <c r="H759" s="490"/>
      <c r="I759" s="490"/>
      <c r="J759" s="490"/>
      <c r="K759" s="490"/>
      <c r="L759" s="490"/>
      <c r="M759" s="490"/>
    </row>
    <row r="760">
      <c r="A760" s="194"/>
      <c r="B760" s="55"/>
      <c r="C760" s="60"/>
      <c r="D760" s="489"/>
      <c r="E760" s="489"/>
      <c r="F760" s="246"/>
      <c r="G760" s="213"/>
      <c r="H760" s="490"/>
      <c r="I760" s="490"/>
      <c r="J760" s="490"/>
      <c r="K760" s="490"/>
      <c r="L760" s="490"/>
      <c r="M760" s="490"/>
    </row>
    <row r="761">
      <c r="A761" s="191"/>
      <c r="B761" s="55"/>
      <c r="C761" s="60"/>
      <c r="D761" s="62"/>
      <c r="E761" s="62"/>
      <c r="F761" s="228"/>
      <c r="G761" s="229"/>
      <c r="H761" s="490"/>
      <c r="I761" s="490"/>
      <c r="J761" s="490"/>
      <c r="K761" s="490"/>
      <c r="L761" s="490"/>
      <c r="M761" s="490"/>
    </row>
    <row r="762">
      <c r="A762" s="194"/>
      <c r="B762" s="55"/>
      <c r="C762" s="60"/>
      <c r="D762" s="489"/>
      <c r="E762" s="489"/>
      <c r="F762" s="246"/>
      <c r="G762" s="213"/>
      <c r="H762" s="490"/>
      <c r="I762" s="490"/>
      <c r="J762" s="490"/>
      <c r="K762" s="490"/>
      <c r="L762" s="490"/>
      <c r="M762" s="490"/>
    </row>
    <row r="763">
      <c r="A763" s="191"/>
      <c r="B763" s="55"/>
      <c r="C763" s="60"/>
      <c r="D763" s="62"/>
      <c r="E763" s="62"/>
      <c r="F763" s="228"/>
      <c r="G763" s="229"/>
      <c r="H763" s="490"/>
      <c r="I763" s="490"/>
      <c r="J763" s="490"/>
      <c r="K763" s="490"/>
      <c r="L763" s="490"/>
      <c r="M763" s="490"/>
    </row>
    <row r="764">
      <c r="A764" s="194"/>
      <c r="B764" s="55"/>
      <c r="C764" s="60"/>
      <c r="D764" s="489"/>
      <c r="E764" s="489"/>
      <c r="F764" s="246"/>
      <c r="G764" s="213"/>
      <c r="H764" s="490"/>
      <c r="I764" s="490"/>
      <c r="J764" s="490"/>
      <c r="K764" s="490"/>
      <c r="L764" s="490"/>
      <c r="M764" s="490"/>
    </row>
    <row r="765">
      <c r="A765" s="191"/>
      <c r="B765" s="55"/>
      <c r="C765" s="60"/>
      <c r="D765" s="62"/>
      <c r="E765" s="62"/>
      <c r="F765" s="228"/>
      <c r="G765" s="229"/>
      <c r="H765" s="490"/>
      <c r="I765" s="490"/>
      <c r="J765" s="490"/>
      <c r="K765" s="490"/>
      <c r="L765" s="490"/>
      <c r="M765" s="490"/>
    </row>
    <row r="766">
      <c r="A766" s="194"/>
      <c r="B766" s="55"/>
      <c r="C766" s="60"/>
      <c r="D766" s="489"/>
      <c r="E766" s="489"/>
      <c r="F766" s="246"/>
      <c r="G766" s="213"/>
      <c r="H766" s="490"/>
      <c r="I766" s="490"/>
      <c r="J766" s="490"/>
      <c r="K766" s="490"/>
      <c r="L766" s="490"/>
      <c r="M766" s="490"/>
    </row>
    <row r="767">
      <c r="A767" s="191"/>
      <c r="B767" s="55"/>
      <c r="C767" s="60"/>
      <c r="D767" s="62"/>
      <c r="E767" s="62"/>
      <c r="F767" s="228"/>
      <c r="G767" s="229"/>
      <c r="H767" s="490"/>
      <c r="I767" s="490"/>
      <c r="J767" s="490"/>
      <c r="K767" s="490"/>
      <c r="L767" s="490"/>
      <c r="M767" s="490"/>
    </row>
    <row r="768">
      <c r="A768" s="194"/>
      <c r="B768" s="55"/>
      <c r="C768" s="60"/>
      <c r="D768" s="489"/>
      <c r="E768" s="489"/>
      <c r="F768" s="246"/>
      <c r="G768" s="213"/>
      <c r="H768" s="490"/>
      <c r="I768" s="490"/>
      <c r="J768" s="490"/>
      <c r="K768" s="490"/>
      <c r="L768" s="490"/>
      <c r="M768" s="490"/>
    </row>
    <row r="769">
      <c r="A769" s="191"/>
      <c r="B769" s="55"/>
      <c r="C769" s="60"/>
      <c r="D769" s="62"/>
      <c r="E769" s="62"/>
      <c r="F769" s="228"/>
      <c r="G769" s="229"/>
      <c r="H769" s="490"/>
      <c r="I769" s="490"/>
      <c r="J769" s="490"/>
      <c r="K769" s="490"/>
      <c r="L769" s="490"/>
      <c r="M769" s="490"/>
    </row>
    <row r="770">
      <c r="A770" s="194"/>
      <c r="B770" s="55"/>
      <c r="C770" s="60"/>
      <c r="D770" s="489"/>
      <c r="E770" s="489"/>
      <c r="F770" s="246"/>
      <c r="G770" s="213"/>
      <c r="H770" s="490"/>
      <c r="I770" s="490"/>
      <c r="J770" s="490"/>
      <c r="K770" s="490"/>
      <c r="L770" s="490"/>
      <c r="M770" s="490"/>
    </row>
    <row r="771">
      <c r="A771" s="191"/>
      <c r="B771" s="55"/>
      <c r="C771" s="60"/>
      <c r="D771" s="62"/>
      <c r="E771" s="62"/>
      <c r="F771" s="228"/>
      <c r="G771" s="229"/>
      <c r="H771" s="490"/>
      <c r="I771" s="490"/>
      <c r="J771" s="490"/>
      <c r="K771" s="490"/>
      <c r="L771" s="490"/>
      <c r="M771" s="490"/>
    </row>
    <row r="772">
      <c r="A772" s="194"/>
      <c r="B772" s="55"/>
      <c r="C772" s="60"/>
      <c r="D772" s="489"/>
      <c r="E772" s="489"/>
      <c r="F772" s="246"/>
      <c r="G772" s="213"/>
      <c r="H772" s="490"/>
      <c r="I772" s="490"/>
      <c r="J772" s="490"/>
      <c r="K772" s="490"/>
      <c r="L772" s="490"/>
      <c r="M772" s="490"/>
    </row>
    <row r="773">
      <c r="A773" s="191"/>
      <c r="B773" s="55"/>
      <c r="C773" s="60"/>
      <c r="D773" s="62"/>
      <c r="E773" s="62"/>
      <c r="F773" s="228"/>
      <c r="G773" s="229"/>
      <c r="H773" s="490"/>
      <c r="I773" s="490"/>
      <c r="J773" s="490"/>
      <c r="K773" s="490"/>
      <c r="L773" s="490"/>
      <c r="M773" s="490"/>
    </row>
    <row r="774">
      <c r="A774" s="194"/>
      <c r="B774" s="55"/>
      <c r="C774" s="60"/>
      <c r="D774" s="489"/>
      <c r="E774" s="489"/>
      <c r="F774" s="246"/>
      <c r="G774" s="213"/>
      <c r="H774" s="490"/>
      <c r="I774" s="490"/>
      <c r="J774" s="490"/>
      <c r="K774" s="490"/>
      <c r="L774" s="490"/>
      <c r="M774" s="490"/>
    </row>
    <row r="775">
      <c r="A775" s="191"/>
      <c r="B775" s="55"/>
      <c r="C775" s="60"/>
      <c r="D775" s="62"/>
      <c r="E775" s="62"/>
      <c r="F775" s="228"/>
      <c r="G775" s="229"/>
      <c r="H775" s="490"/>
      <c r="I775" s="490"/>
      <c r="J775" s="490"/>
      <c r="K775" s="490"/>
      <c r="L775" s="490"/>
      <c r="M775" s="490"/>
    </row>
    <row r="776">
      <c r="A776" s="194"/>
      <c r="B776" s="55"/>
      <c r="C776" s="60"/>
      <c r="D776" s="489"/>
      <c r="E776" s="489"/>
      <c r="F776" s="246"/>
      <c r="G776" s="213"/>
      <c r="H776" s="490"/>
      <c r="I776" s="490"/>
      <c r="J776" s="490"/>
      <c r="K776" s="490"/>
      <c r="L776" s="490"/>
      <c r="M776" s="490"/>
    </row>
    <row r="777">
      <c r="A777" s="191"/>
      <c r="B777" s="55"/>
      <c r="C777" s="60"/>
      <c r="D777" s="62"/>
      <c r="E777" s="62"/>
      <c r="F777" s="228"/>
      <c r="G777" s="229"/>
      <c r="H777" s="490"/>
      <c r="I777" s="490"/>
      <c r="J777" s="490"/>
      <c r="K777" s="490"/>
      <c r="L777" s="490"/>
      <c r="M777" s="490"/>
    </row>
    <row r="778">
      <c r="A778" s="194"/>
      <c r="B778" s="55"/>
      <c r="C778" s="60"/>
      <c r="D778" s="489"/>
      <c r="E778" s="489"/>
      <c r="F778" s="246"/>
      <c r="G778" s="213"/>
      <c r="H778" s="490"/>
      <c r="I778" s="490"/>
      <c r="J778" s="490"/>
      <c r="K778" s="490"/>
      <c r="L778" s="490"/>
      <c r="M778" s="490"/>
    </row>
    <row r="779">
      <c r="A779" s="191"/>
      <c r="B779" s="55"/>
      <c r="C779" s="60"/>
      <c r="D779" s="62"/>
      <c r="E779" s="62"/>
      <c r="F779" s="228"/>
      <c r="G779" s="229"/>
      <c r="H779" s="490"/>
      <c r="I779" s="490"/>
      <c r="J779" s="490"/>
      <c r="K779" s="490"/>
      <c r="L779" s="490"/>
      <c r="M779" s="490"/>
    </row>
    <row r="780">
      <c r="A780" s="194"/>
      <c r="B780" s="55"/>
      <c r="C780" s="60"/>
      <c r="D780" s="489"/>
      <c r="E780" s="489"/>
      <c r="F780" s="246"/>
      <c r="G780" s="213"/>
      <c r="H780" s="490"/>
      <c r="I780" s="490"/>
      <c r="J780" s="490"/>
      <c r="K780" s="490"/>
      <c r="L780" s="490"/>
      <c r="M780" s="490"/>
    </row>
    <row r="781">
      <c r="A781" s="191"/>
      <c r="B781" s="55"/>
      <c r="C781" s="60"/>
      <c r="D781" s="62"/>
      <c r="E781" s="62"/>
      <c r="F781" s="228"/>
      <c r="G781" s="229"/>
      <c r="H781" s="490"/>
      <c r="I781" s="490"/>
      <c r="J781" s="490"/>
      <c r="K781" s="490"/>
      <c r="L781" s="490"/>
      <c r="M781" s="490"/>
    </row>
    <row r="782">
      <c r="A782" s="194"/>
      <c r="B782" s="55"/>
      <c r="C782" s="60"/>
      <c r="D782" s="489"/>
      <c r="E782" s="489"/>
      <c r="F782" s="246"/>
      <c r="G782" s="213"/>
      <c r="H782" s="490"/>
      <c r="I782" s="490"/>
      <c r="J782" s="490"/>
      <c r="K782" s="490"/>
      <c r="L782" s="490"/>
      <c r="M782" s="490"/>
    </row>
    <row r="783">
      <c r="A783" s="191"/>
      <c r="B783" s="55"/>
      <c r="C783" s="60"/>
      <c r="D783" s="62"/>
      <c r="E783" s="62"/>
      <c r="F783" s="228"/>
      <c r="G783" s="229"/>
      <c r="H783" s="490"/>
      <c r="I783" s="490"/>
      <c r="J783" s="490"/>
      <c r="K783" s="490"/>
      <c r="L783" s="490"/>
      <c r="M783" s="490"/>
    </row>
    <row r="784">
      <c r="A784" s="194"/>
      <c r="B784" s="55"/>
      <c r="C784" s="60"/>
      <c r="D784" s="489"/>
      <c r="E784" s="489"/>
      <c r="F784" s="246"/>
      <c r="G784" s="213"/>
      <c r="H784" s="490"/>
      <c r="I784" s="490"/>
      <c r="J784" s="490"/>
      <c r="K784" s="490"/>
      <c r="L784" s="490"/>
      <c r="M784" s="490"/>
    </row>
    <row r="785">
      <c r="A785" s="191"/>
      <c r="B785" s="55"/>
      <c r="C785" s="60"/>
      <c r="D785" s="62"/>
      <c r="E785" s="62"/>
      <c r="F785" s="228"/>
      <c r="G785" s="229"/>
      <c r="H785" s="490"/>
      <c r="I785" s="490"/>
      <c r="J785" s="490"/>
      <c r="K785" s="490"/>
      <c r="L785" s="490"/>
      <c r="M785" s="490"/>
    </row>
    <row r="786">
      <c r="A786" s="194"/>
      <c r="B786" s="55"/>
      <c r="C786" s="60"/>
      <c r="D786" s="489"/>
      <c r="E786" s="489"/>
      <c r="F786" s="246"/>
      <c r="G786" s="213"/>
      <c r="H786" s="490"/>
      <c r="I786" s="490"/>
      <c r="J786" s="490"/>
      <c r="K786" s="490"/>
      <c r="L786" s="490"/>
      <c r="M786" s="490"/>
    </row>
    <row r="787">
      <c r="A787" s="191"/>
      <c r="B787" s="55"/>
      <c r="C787" s="60"/>
      <c r="D787" s="62"/>
      <c r="E787" s="62"/>
      <c r="F787" s="228"/>
      <c r="G787" s="229"/>
      <c r="H787" s="490"/>
      <c r="I787" s="490"/>
      <c r="J787" s="490"/>
      <c r="K787" s="490"/>
      <c r="L787" s="490"/>
      <c r="M787" s="490"/>
    </row>
    <row r="788">
      <c r="A788" s="194"/>
      <c r="B788" s="55"/>
      <c r="C788" s="60"/>
      <c r="D788" s="489"/>
      <c r="E788" s="489"/>
      <c r="F788" s="246"/>
      <c r="G788" s="213"/>
      <c r="H788" s="490"/>
      <c r="I788" s="490"/>
      <c r="J788" s="490"/>
      <c r="K788" s="490"/>
      <c r="L788" s="490"/>
      <c r="M788" s="490"/>
    </row>
    <row r="789">
      <c r="A789" s="191"/>
      <c r="B789" s="55"/>
      <c r="C789" s="60"/>
      <c r="D789" s="62"/>
      <c r="E789" s="62"/>
      <c r="F789" s="228"/>
      <c r="G789" s="229"/>
      <c r="H789" s="490"/>
      <c r="I789" s="490"/>
      <c r="J789" s="490"/>
      <c r="K789" s="490"/>
      <c r="L789" s="490"/>
      <c r="M789" s="490"/>
    </row>
    <row r="790">
      <c r="A790" s="194"/>
      <c r="B790" s="55"/>
      <c r="C790" s="60"/>
      <c r="D790" s="489"/>
      <c r="E790" s="489"/>
      <c r="F790" s="246"/>
      <c r="G790" s="213"/>
      <c r="H790" s="490"/>
      <c r="I790" s="490"/>
      <c r="J790" s="490"/>
      <c r="K790" s="490"/>
      <c r="L790" s="490"/>
      <c r="M790" s="490"/>
    </row>
    <row r="791">
      <c r="A791" s="191"/>
      <c r="B791" s="55"/>
      <c r="C791" s="60"/>
      <c r="D791" s="62"/>
      <c r="E791" s="62"/>
      <c r="F791" s="228"/>
      <c r="G791" s="229"/>
      <c r="H791" s="490"/>
      <c r="I791" s="490"/>
      <c r="J791" s="490"/>
      <c r="K791" s="490"/>
      <c r="L791" s="490"/>
      <c r="M791" s="490"/>
    </row>
    <row r="792">
      <c r="A792" s="194"/>
      <c r="B792" s="55"/>
      <c r="C792" s="60"/>
      <c r="D792" s="489"/>
      <c r="E792" s="489"/>
      <c r="F792" s="246"/>
      <c r="G792" s="213"/>
      <c r="H792" s="490"/>
      <c r="I792" s="490"/>
      <c r="J792" s="490"/>
      <c r="K792" s="490"/>
      <c r="L792" s="490"/>
      <c r="M792" s="490"/>
    </row>
    <row r="793">
      <c r="A793" s="191"/>
      <c r="B793" s="55"/>
      <c r="C793" s="60"/>
      <c r="D793" s="62"/>
      <c r="E793" s="62"/>
      <c r="F793" s="228"/>
      <c r="G793" s="229"/>
      <c r="H793" s="490"/>
      <c r="I793" s="490"/>
      <c r="J793" s="490"/>
      <c r="K793" s="490"/>
      <c r="L793" s="490"/>
      <c r="M793" s="490"/>
    </row>
    <row r="794">
      <c r="A794" s="194"/>
      <c r="B794" s="55"/>
      <c r="C794" s="60"/>
      <c r="D794" s="489"/>
      <c r="E794" s="489"/>
      <c r="F794" s="246"/>
      <c r="G794" s="213"/>
      <c r="H794" s="490"/>
      <c r="I794" s="490"/>
      <c r="J794" s="490"/>
      <c r="K794" s="490"/>
      <c r="L794" s="490"/>
      <c r="M794" s="490"/>
    </row>
    <row r="795">
      <c r="A795" s="191"/>
      <c r="B795" s="55"/>
      <c r="C795" s="60"/>
      <c r="D795" s="62"/>
      <c r="E795" s="62"/>
      <c r="F795" s="228"/>
      <c r="G795" s="229"/>
      <c r="H795" s="490"/>
      <c r="I795" s="490"/>
      <c r="J795" s="490"/>
      <c r="K795" s="490"/>
      <c r="L795" s="490"/>
      <c r="M795" s="490"/>
    </row>
    <row r="796">
      <c r="A796" s="194"/>
      <c r="B796" s="55"/>
      <c r="C796" s="60"/>
      <c r="D796" s="489"/>
      <c r="E796" s="489"/>
      <c r="F796" s="246"/>
      <c r="G796" s="213"/>
      <c r="H796" s="490"/>
      <c r="I796" s="490"/>
      <c r="J796" s="490"/>
      <c r="K796" s="490"/>
      <c r="L796" s="490"/>
      <c r="M796" s="490"/>
    </row>
    <row r="797">
      <c r="A797" s="191"/>
      <c r="B797" s="55"/>
      <c r="C797" s="60"/>
      <c r="D797" s="62"/>
      <c r="E797" s="62"/>
      <c r="F797" s="228"/>
      <c r="G797" s="229"/>
      <c r="H797" s="490"/>
      <c r="I797" s="490"/>
      <c r="J797" s="490"/>
      <c r="K797" s="490"/>
      <c r="L797" s="490"/>
      <c r="M797" s="490"/>
    </row>
    <row r="798">
      <c r="A798" s="194"/>
      <c r="B798" s="55"/>
      <c r="C798" s="60"/>
      <c r="D798" s="489"/>
      <c r="E798" s="489"/>
      <c r="F798" s="246"/>
      <c r="G798" s="213"/>
      <c r="H798" s="490"/>
      <c r="I798" s="490"/>
      <c r="J798" s="490"/>
      <c r="K798" s="490"/>
      <c r="L798" s="490"/>
      <c r="M798" s="490"/>
    </row>
    <row r="799">
      <c r="A799" s="191"/>
      <c r="B799" s="55"/>
      <c r="C799" s="60"/>
      <c r="D799" s="62"/>
      <c r="E799" s="62"/>
      <c r="F799" s="228"/>
      <c r="G799" s="229"/>
      <c r="H799" s="490"/>
      <c r="I799" s="490"/>
      <c r="J799" s="490"/>
      <c r="K799" s="490"/>
      <c r="L799" s="490"/>
      <c r="M799" s="490"/>
    </row>
    <row r="800">
      <c r="A800" s="194"/>
      <c r="B800" s="55"/>
      <c r="C800" s="60"/>
      <c r="D800" s="489"/>
      <c r="E800" s="489"/>
      <c r="F800" s="246"/>
      <c r="G800" s="213"/>
      <c r="H800" s="490"/>
      <c r="I800" s="490"/>
      <c r="J800" s="490"/>
      <c r="K800" s="490"/>
      <c r="L800" s="490"/>
      <c r="M800" s="490"/>
    </row>
    <row r="801">
      <c r="A801" s="191"/>
      <c r="B801" s="55"/>
      <c r="C801" s="60"/>
      <c r="D801" s="62"/>
      <c r="E801" s="62"/>
      <c r="F801" s="228"/>
      <c r="G801" s="229"/>
      <c r="H801" s="490"/>
      <c r="I801" s="490"/>
      <c r="J801" s="490"/>
      <c r="K801" s="490"/>
      <c r="L801" s="490"/>
      <c r="M801" s="490"/>
    </row>
    <row r="802">
      <c r="A802" s="194"/>
      <c r="B802" s="55"/>
      <c r="C802" s="60"/>
      <c r="D802" s="489"/>
      <c r="E802" s="489"/>
      <c r="F802" s="246"/>
      <c r="G802" s="213"/>
      <c r="H802" s="490"/>
      <c r="I802" s="490"/>
      <c r="J802" s="490"/>
      <c r="K802" s="490"/>
      <c r="L802" s="490"/>
      <c r="M802" s="490"/>
    </row>
    <row r="803">
      <c r="A803" s="191"/>
      <c r="B803" s="55"/>
      <c r="C803" s="60"/>
      <c r="D803" s="62"/>
      <c r="E803" s="62"/>
      <c r="F803" s="228"/>
      <c r="G803" s="229"/>
      <c r="H803" s="490"/>
      <c r="I803" s="490"/>
      <c r="J803" s="490"/>
      <c r="K803" s="490"/>
      <c r="L803" s="490"/>
      <c r="M803" s="490"/>
    </row>
    <row r="804">
      <c r="A804" s="194"/>
      <c r="B804" s="55"/>
      <c r="C804" s="60"/>
      <c r="D804" s="489"/>
      <c r="E804" s="489"/>
      <c r="F804" s="246"/>
      <c r="G804" s="213"/>
      <c r="H804" s="490"/>
      <c r="I804" s="490"/>
      <c r="J804" s="490"/>
      <c r="K804" s="490"/>
      <c r="L804" s="490"/>
      <c r="M804" s="490"/>
    </row>
    <row r="805">
      <c r="A805" s="191"/>
      <c r="B805" s="55"/>
      <c r="C805" s="60"/>
      <c r="D805" s="62"/>
      <c r="E805" s="62"/>
      <c r="F805" s="228"/>
      <c r="G805" s="229"/>
      <c r="H805" s="490"/>
      <c r="I805" s="490"/>
      <c r="J805" s="490"/>
      <c r="K805" s="490"/>
      <c r="L805" s="490"/>
      <c r="M805" s="490"/>
    </row>
    <row r="806">
      <c r="A806" s="194"/>
      <c r="B806" s="55"/>
      <c r="C806" s="60"/>
      <c r="D806" s="489"/>
      <c r="E806" s="489"/>
      <c r="F806" s="246"/>
      <c r="G806" s="213"/>
      <c r="H806" s="490"/>
      <c r="I806" s="490"/>
      <c r="J806" s="490"/>
      <c r="K806" s="490"/>
      <c r="L806" s="490"/>
      <c r="M806" s="490"/>
    </row>
    <row r="807">
      <c r="A807" s="191"/>
      <c r="B807" s="55"/>
      <c r="C807" s="60"/>
      <c r="D807" s="62"/>
      <c r="E807" s="62"/>
      <c r="F807" s="228"/>
      <c r="G807" s="229"/>
      <c r="H807" s="490"/>
      <c r="I807" s="490"/>
      <c r="J807" s="490"/>
      <c r="K807" s="490"/>
      <c r="L807" s="490"/>
      <c r="M807" s="490"/>
    </row>
    <row r="808">
      <c r="A808" s="194"/>
      <c r="B808" s="55"/>
      <c r="C808" s="60"/>
      <c r="D808" s="489"/>
      <c r="E808" s="489"/>
      <c r="F808" s="246"/>
      <c r="G808" s="213"/>
      <c r="H808" s="490"/>
      <c r="I808" s="490"/>
      <c r="J808" s="490"/>
      <c r="K808" s="490"/>
      <c r="L808" s="490"/>
      <c r="M808" s="490"/>
    </row>
    <row r="809">
      <c r="A809" s="191"/>
      <c r="B809" s="55"/>
      <c r="C809" s="60"/>
      <c r="D809" s="62"/>
      <c r="E809" s="62"/>
      <c r="F809" s="228"/>
      <c r="G809" s="229"/>
      <c r="H809" s="490"/>
      <c r="I809" s="490"/>
      <c r="J809" s="490"/>
      <c r="K809" s="490"/>
      <c r="L809" s="490"/>
      <c r="M809" s="490"/>
    </row>
    <row r="810">
      <c r="A810" s="194"/>
      <c r="B810" s="55"/>
      <c r="C810" s="60"/>
      <c r="D810" s="489"/>
      <c r="E810" s="489"/>
      <c r="F810" s="246"/>
      <c r="G810" s="213"/>
      <c r="H810" s="490"/>
      <c r="I810" s="490"/>
      <c r="J810" s="490"/>
      <c r="K810" s="490"/>
      <c r="L810" s="490"/>
      <c r="M810" s="490"/>
    </row>
    <row r="811">
      <c r="A811" s="191"/>
      <c r="B811" s="55"/>
      <c r="C811" s="60"/>
      <c r="D811" s="62"/>
      <c r="E811" s="62"/>
      <c r="F811" s="228"/>
      <c r="G811" s="229"/>
      <c r="H811" s="490"/>
      <c r="I811" s="490"/>
      <c r="J811" s="490"/>
      <c r="K811" s="490"/>
      <c r="L811" s="490"/>
      <c r="M811" s="490"/>
    </row>
    <row r="812">
      <c r="A812" s="194"/>
      <c r="B812" s="55"/>
      <c r="C812" s="60"/>
      <c r="D812" s="489"/>
      <c r="E812" s="489"/>
      <c r="F812" s="246"/>
      <c r="G812" s="213"/>
      <c r="H812" s="490"/>
      <c r="I812" s="490"/>
      <c r="J812" s="490"/>
      <c r="K812" s="490"/>
      <c r="L812" s="490"/>
      <c r="M812" s="490"/>
    </row>
    <row r="813">
      <c r="A813" s="191"/>
      <c r="B813" s="55"/>
      <c r="C813" s="60"/>
      <c r="D813" s="62"/>
      <c r="E813" s="62"/>
      <c r="F813" s="228"/>
      <c r="G813" s="229"/>
      <c r="H813" s="490"/>
      <c r="I813" s="490"/>
      <c r="J813" s="490"/>
      <c r="K813" s="490"/>
      <c r="L813" s="490"/>
      <c r="M813" s="490"/>
    </row>
    <row r="814">
      <c r="A814" s="194"/>
      <c r="B814" s="55"/>
      <c r="C814" s="60"/>
      <c r="D814" s="489"/>
      <c r="E814" s="489"/>
      <c r="F814" s="246"/>
      <c r="G814" s="213"/>
      <c r="H814" s="490"/>
      <c r="I814" s="490"/>
      <c r="J814" s="490"/>
      <c r="K814" s="490"/>
      <c r="L814" s="490"/>
      <c r="M814" s="490"/>
    </row>
    <row r="815">
      <c r="A815" s="191"/>
      <c r="B815" s="55"/>
      <c r="C815" s="60"/>
      <c r="D815" s="62"/>
      <c r="E815" s="62"/>
      <c r="F815" s="228"/>
      <c r="G815" s="229"/>
      <c r="H815" s="490"/>
      <c r="I815" s="490"/>
      <c r="J815" s="490"/>
      <c r="K815" s="490"/>
      <c r="L815" s="490"/>
      <c r="M815" s="490"/>
    </row>
    <row r="816">
      <c r="A816" s="194"/>
      <c r="B816" s="55"/>
      <c r="C816" s="60"/>
      <c r="D816" s="489"/>
      <c r="E816" s="489"/>
      <c r="F816" s="246"/>
      <c r="G816" s="213"/>
      <c r="H816" s="490"/>
      <c r="I816" s="490"/>
      <c r="J816" s="490"/>
      <c r="K816" s="490"/>
      <c r="L816" s="490"/>
      <c r="M816" s="490"/>
    </row>
    <row r="817">
      <c r="A817" s="191"/>
      <c r="B817" s="55"/>
      <c r="C817" s="60"/>
      <c r="D817" s="62"/>
      <c r="E817" s="62"/>
      <c r="F817" s="228"/>
      <c r="G817" s="229"/>
      <c r="H817" s="490"/>
      <c r="I817" s="490"/>
      <c r="J817" s="490"/>
      <c r="K817" s="490"/>
      <c r="L817" s="490"/>
      <c r="M817" s="490"/>
    </row>
    <row r="818">
      <c r="A818" s="194"/>
      <c r="B818" s="55"/>
      <c r="C818" s="60"/>
      <c r="D818" s="489"/>
      <c r="E818" s="489"/>
      <c r="F818" s="246"/>
      <c r="G818" s="213"/>
      <c r="H818" s="490"/>
      <c r="I818" s="490"/>
      <c r="J818" s="490"/>
      <c r="K818" s="490"/>
      <c r="L818" s="490"/>
      <c r="M818" s="490"/>
    </row>
    <row r="819">
      <c r="A819" s="191"/>
      <c r="B819" s="55"/>
      <c r="C819" s="60"/>
      <c r="D819" s="62"/>
      <c r="E819" s="62"/>
      <c r="F819" s="228"/>
      <c r="G819" s="229"/>
      <c r="H819" s="490"/>
      <c r="I819" s="490"/>
      <c r="J819" s="490"/>
      <c r="K819" s="490"/>
      <c r="L819" s="490"/>
      <c r="M819" s="490"/>
    </row>
    <row r="820">
      <c r="A820" s="194"/>
      <c r="B820" s="55"/>
      <c r="C820" s="60"/>
      <c r="D820" s="489"/>
      <c r="E820" s="489"/>
      <c r="F820" s="246"/>
      <c r="G820" s="213"/>
      <c r="H820" s="490"/>
      <c r="I820" s="490"/>
      <c r="J820" s="490"/>
      <c r="K820" s="490"/>
      <c r="L820" s="490"/>
      <c r="M820" s="490"/>
    </row>
    <row r="821">
      <c r="A821" s="191"/>
      <c r="B821" s="55"/>
      <c r="C821" s="60"/>
      <c r="D821" s="62"/>
      <c r="E821" s="62"/>
      <c r="F821" s="228"/>
      <c r="G821" s="229"/>
      <c r="H821" s="490"/>
      <c r="I821" s="490"/>
      <c r="J821" s="490"/>
      <c r="K821" s="490"/>
      <c r="L821" s="490"/>
      <c r="M821" s="490"/>
    </row>
    <row r="822">
      <c r="A822" s="194"/>
      <c r="B822" s="55"/>
      <c r="C822" s="60"/>
      <c r="D822" s="489"/>
      <c r="E822" s="489"/>
      <c r="F822" s="246"/>
      <c r="G822" s="213"/>
      <c r="H822" s="490"/>
      <c r="I822" s="490"/>
      <c r="J822" s="490"/>
      <c r="K822" s="490"/>
      <c r="L822" s="490"/>
      <c r="M822" s="490"/>
    </row>
    <row r="823">
      <c r="A823" s="191"/>
      <c r="B823" s="55"/>
      <c r="C823" s="60"/>
      <c r="D823" s="62"/>
      <c r="E823" s="62"/>
      <c r="F823" s="228"/>
      <c r="G823" s="229"/>
      <c r="H823" s="490"/>
      <c r="I823" s="490"/>
      <c r="J823" s="490"/>
      <c r="K823" s="490"/>
      <c r="L823" s="490"/>
      <c r="M823" s="490"/>
    </row>
    <row r="824">
      <c r="A824" s="194"/>
      <c r="B824" s="55"/>
      <c r="C824" s="60"/>
      <c r="D824" s="489"/>
      <c r="E824" s="489"/>
      <c r="F824" s="246"/>
      <c r="G824" s="213"/>
      <c r="H824" s="490"/>
      <c r="I824" s="490"/>
      <c r="J824" s="490"/>
      <c r="K824" s="490"/>
      <c r="L824" s="490"/>
      <c r="M824" s="490"/>
    </row>
    <row r="825">
      <c r="A825" s="191"/>
      <c r="B825" s="55"/>
      <c r="C825" s="60"/>
      <c r="D825" s="62"/>
      <c r="E825" s="62"/>
      <c r="F825" s="228"/>
      <c r="G825" s="229"/>
      <c r="H825" s="490"/>
      <c r="I825" s="490"/>
      <c r="J825" s="490"/>
      <c r="K825" s="490"/>
      <c r="L825" s="490"/>
      <c r="M825" s="490"/>
    </row>
    <row r="826">
      <c r="A826" s="194"/>
      <c r="B826" s="55"/>
      <c r="C826" s="60"/>
      <c r="D826" s="489"/>
      <c r="E826" s="489"/>
      <c r="F826" s="246"/>
      <c r="G826" s="213"/>
      <c r="H826" s="490"/>
      <c r="I826" s="490"/>
      <c r="J826" s="490"/>
      <c r="K826" s="490"/>
      <c r="L826" s="490"/>
      <c r="M826" s="490"/>
    </row>
    <row r="827">
      <c r="A827" s="191"/>
      <c r="B827" s="55"/>
      <c r="C827" s="60"/>
      <c r="D827" s="62"/>
      <c r="E827" s="62"/>
      <c r="F827" s="228"/>
      <c r="G827" s="229"/>
      <c r="H827" s="490"/>
      <c r="I827" s="490"/>
      <c r="J827" s="490"/>
      <c r="K827" s="490"/>
      <c r="L827" s="490"/>
      <c r="M827" s="490"/>
    </row>
    <row r="828">
      <c r="A828" s="194"/>
      <c r="B828" s="55"/>
      <c r="C828" s="60"/>
      <c r="D828" s="489"/>
      <c r="E828" s="489"/>
      <c r="F828" s="246"/>
      <c r="G828" s="213"/>
      <c r="H828" s="490"/>
      <c r="I828" s="490"/>
      <c r="J828" s="490"/>
      <c r="K828" s="490"/>
      <c r="L828" s="490"/>
      <c r="M828" s="490"/>
    </row>
    <row r="829">
      <c r="A829" s="191"/>
      <c r="B829" s="55"/>
      <c r="C829" s="60"/>
      <c r="D829" s="62"/>
      <c r="E829" s="62"/>
      <c r="F829" s="228"/>
      <c r="G829" s="229"/>
      <c r="H829" s="490"/>
      <c r="I829" s="490"/>
      <c r="J829" s="490"/>
      <c r="K829" s="490"/>
      <c r="L829" s="490"/>
      <c r="M829" s="490"/>
    </row>
    <row r="830">
      <c r="A830" s="194"/>
      <c r="B830" s="55"/>
      <c r="C830" s="60"/>
      <c r="D830" s="489"/>
      <c r="E830" s="489"/>
      <c r="F830" s="246"/>
      <c r="G830" s="213"/>
      <c r="H830" s="490"/>
      <c r="I830" s="490"/>
      <c r="J830" s="490"/>
      <c r="K830" s="490"/>
      <c r="L830" s="490"/>
      <c r="M830" s="490"/>
    </row>
    <row r="831">
      <c r="A831" s="191"/>
      <c r="B831" s="55"/>
      <c r="C831" s="60"/>
      <c r="D831" s="62"/>
      <c r="E831" s="62"/>
      <c r="F831" s="228"/>
      <c r="G831" s="229"/>
      <c r="H831" s="490"/>
      <c r="I831" s="490"/>
      <c r="J831" s="490"/>
      <c r="K831" s="490"/>
      <c r="L831" s="490"/>
      <c r="M831" s="490"/>
    </row>
    <row r="832">
      <c r="A832" s="194"/>
      <c r="B832" s="55"/>
      <c r="C832" s="60"/>
      <c r="D832" s="489"/>
      <c r="E832" s="489"/>
      <c r="F832" s="246"/>
      <c r="G832" s="213"/>
      <c r="H832" s="490"/>
      <c r="I832" s="490"/>
      <c r="J832" s="490"/>
      <c r="K832" s="490"/>
      <c r="L832" s="490"/>
      <c r="M832" s="490"/>
    </row>
    <row r="833">
      <c r="A833" s="191"/>
      <c r="B833" s="55"/>
      <c r="C833" s="60"/>
      <c r="D833" s="62"/>
      <c r="E833" s="62"/>
      <c r="F833" s="228"/>
      <c r="G833" s="229"/>
      <c r="H833" s="490"/>
      <c r="I833" s="490"/>
      <c r="J833" s="490"/>
      <c r="K833" s="490"/>
      <c r="L833" s="490"/>
      <c r="M833" s="490"/>
    </row>
    <row r="834">
      <c r="A834" s="194"/>
      <c r="B834" s="55"/>
      <c r="C834" s="60"/>
      <c r="D834" s="489"/>
      <c r="E834" s="489"/>
      <c r="F834" s="246"/>
      <c r="G834" s="213"/>
      <c r="H834" s="490"/>
      <c r="I834" s="490"/>
      <c r="J834" s="490"/>
      <c r="K834" s="490"/>
      <c r="L834" s="490"/>
      <c r="M834" s="490"/>
    </row>
    <row r="835">
      <c r="A835" s="191"/>
      <c r="B835" s="55"/>
      <c r="C835" s="60"/>
      <c r="D835" s="62"/>
      <c r="E835" s="62"/>
      <c r="F835" s="228"/>
      <c r="G835" s="229"/>
      <c r="H835" s="490"/>
      <c r="I835" s="490"/>
      <c r="J835" s="490"/>
      <c r="K835" s="490"/>
      <c r="L835" s="490"/>
      <c r="M835" s="490"/>
    </row>
    <row r="836">
      <c r="A836" s="194"/>
      <c r="B836" s="55"/>
      <c r="C836" s="60"/>
      <c r="D836" s="489"/>
      <c r="E836" s="489"/>
      <c r="F836" s="246"/>
      <c r="G836" s="213"/>
      <c r="H836" s="490"/>
      <c r="I836" s="490"/>
      <c r="J836" s="490"/>
      <c r="K836" s="490"/>
      <c r="L836" s="490"/>
      <c r="M836" s="490"/>
    </row>
    <row r="837">
      <c r="A837" s="191"/>
      <c r="B837" s="55"/>
      <c r="C837" s="60"/>
      <c r="D837" s="62"/>
      <c r="E837" s="62"/>
      <c r="F837" s="228"/>
      <c r="G837" s="229"/>
      <c r="H837" s="490"/>
      <c r="I837" s="490"/>
      <c r="J837" s="490"/>
      <c r="K837" s="490"/>
      <c r="L837" s="490"/>
      <c r="M837" s="490"/>
    </row>
    <row r="838">
      <c r="A838" s="194"/>
      <c r="B838" s="55"/>
      <c r="C838" s="60"/>
      <c r="D838" s="489"/>
      <c r="E838" s="489"/>
      <c r="F838" s="246"/>
      <c r="G838" s="213"/>
      <c r="H838" s="490"/>
      <c r="I838" s="490"/>
      <c r="J838" s="490"/>
      <c r="K838" s="490"/>
      <c r="L838" s="490"/>
      <c r="M838" s="490"/>
    </row>
    <row r="839">
      <c r="A839" s="191"/>
      <c r="B839" s="55"/>
      <c r="C839" s="60"/>
      <c r="D839" s="62"/>
      <c r="E839" s="62"/>
      <c r="F839" s="228"/>
      <c r="G839" s="229"/>
      <c r="H839" s="490"/>
      <c r="I839" s="490"/>
      <c r="J839" s="490"/>
      <c r="K839" s="490"/>
      <c r="L839" s="490"/>
      <c r="M839" s="490"/>
    </row>
    <row r="840">
      <c r="A840" s="194"/>
      <c r="B840" s="55"/>
      <c r="C840" s="60"/>
      <c r="D840" s="489"/>
      <c r="E840" s="489"/>
      <c r="F840" s="246"/>
      <c r="G840" s="213"/>
      <c r="H840" s="490"/>
      <c r="I840" s="490"/>
      <c r="J840" s="490"/>
      <c r="K840" s="490"/>
      <c r="L840" s="490"/>
      <c r="M840" s="490"/>
    </row>
    <row r="841">
      <c r="A841" s="191"/>
      <c r="B841" s="55"/>
      <c r="C841" s="60"/>
      <c r="D841" s="62"/>
      <c r="E841" s="62"/>
      <c r="F841" s="228"/>
      <c r="G841" s="229"/>
      <c r="H841" s="490"/>
      <c r="I841" s="490"/>
      <c r="J841" s="490"/>
      <c r="K841" s="490"/>
      <c r="L841" s="490"/>
      <c r="M841" s="490"/>
    </row>
    <row r="842">
      <c r="A842" s="194"/>
      <c r="B842" s="55"/>
      <c r="C842" s="60"/>
      <c r="D842" s="489"/>
      <c r="E842" s="489"/>
      <c r="F842" s="246"/>
      <c r="G842" s="213"/>
      <c r="H842" s="490"/>
      <c r="I842" s="490"/>
      <c r="J842" s="490"/>
      <c r="K842" s="490"/>
      <c r="L842" s="490"/>
      <c r="M842" s="490"/>
    </row>
    <row r="843">
      <c r="A843" s="191"/>
      <c r="B843" s="55"/>
      <c r="C843" s="60"/>
      <c r="D843" s="62"/>
      <c r="E843" s="62"/>
      <c r="F843" s="228"/>
      <c r="G843" s="229"/>
      <c r="H843" s="490"/>
      <c r="I843" s="490"/>
      <c r="J843" s="490"/>
      <c r="K843" s="490"/>
      <c r="L843" s="490"/>
      <c r="M843" s="490"/>
    </row>
    <row r="844">
      <c r="A844" s="194"/>
      <c r="B844" s="55"/>
      <c r="C844" s="60"/>
      <c r="D844" s="489"/>
      <c r="E844" s="489"/>
      <c r="F844" s="246"/>
      <c r="G844" s="213"/>
      <c r="H844" s="490"/>
      <c r="I844" s="490"/>
      <c r="J844" s="490"/>
      <c r="K844" s="490"/>
      <c r="L844" s="490"/>
      <c r="M844" s="490"/>
    </row>
    <row r="845">
      <c r="A845" s="191"/>
      <c r="B845" s="55"/>
      <c r="C845" s="60"/>
      <c r="D845" s="62"/>
      <c r="E845" s="62"/>
      <c r="F845" s="228"/>
      <c r="G845" s="229"/>
      <c r="H845" s="490"/>
      <c r="I845" s="490"/>
      <c r="J845" s="490"/>
      <c r="K845" s="490"/>
      <c r="L845" s="490"/>
      <c r="M845" s="490"/>
    </row>
    <row r="846">
      <c r="A846" s="194"/>
      <c r="B846" s="55"/>
      <c r="C846" s="60"/>
      <c r="D846" s="489"/>
      <c r="E846" s="489"/>
      <c r="F846" s="246"/>
      <c r="G846" s="213"/>
      <c r="H846" s="490"/>
      <c r="I846" s="490"/>
      <c r="J846" s="490"/>
      <c r="K846" s="490"/>
      <c r="L846" s="490"/>
      <c r="M846" s="490"/>
    </row>
    <row r="847">
      <c r="A847" s="191"/>
      <c r="B847" s="55"/>
      <c r="C847" s="60"/>
      <c r="D847" s="62"/>
      <c r="E847" s="62"/>
      <c r="F847" s="228"/>
      <c r="G847" s="229"/>
      <c r="H847" s="490"/>
      <c r="I847" s="490"/>
      <c r="J847" s="490"/>
      <c r="K847" s="490"/>
      <c r="L847" s="490"/>
      <c r="M847" s="490"/>
    </row>
    <row r="848">
      <c r="A848" s="194"/>
      <c r="B848" s="55"/>
      <c r="C848" s="60"/>
      <c r="D848" s="489"/>
      <c r="E848" s="489"/>
      <c r="F848" s="246"/>
      <c r="G848" s="213"/>
      <c r="H848" s="490"/>
      <c r="I848" s="490"/>
      <c r="J848" s="490"/>
      <c r="K848" s="490"/>
      <c r="L848" s="490"/>
      <c r="M848" s="490"/>
    </row>
    <row r="849">
      <c r="A849" s="191"/>
      <c r="B849" s="55"/>
      <c r="C849" s="60"/>
      <c r="D849" s="62"/>
      <c r="E849" s="62"/>
      <c r="F849" s="228"/>
      <c r="G849" s="229"/>
      <c r="H849" s="490"/>
      <c r="I849" s="490"/>
      <c r="J849" s="490"/>
      <c r="K849" s="490"/>
      <c r="L849" s="490"/>
      <c r="M849" s="490"/>
    </row>
    <row r="850">
      <c r="A850" s="194"/>
      <c r="B850" s="55"/>
      <c r="C850" s="60"/>
      <c r="D850" s="489"/>
      <c r="E850" s="489"/>
      <c r="F850" s="246"/>
      <c r="G850" s="213"/>
      <c r="H850" s="490"/>
      <c r="I850" s="490"/>
      <c r="J850" s="490"/>
      <c r="K850" s="490"/>
      <c r="L850" s="490"/>
      <c r="M850" s="490"/>
    </row>
    <row r="851">
      <c r="A851" s="191"/>
      <c r="B851" s="55"/>
      <c r="C851" s="60"/>
      <c r="D851" s="62"/>
      <c r="E851" s="62"/>
      <c r="F851" s="228"/>
      <c r="G851" s="229"/>
      <c r="H851" s="490"/>
      <c r="I851" s="490"/>
      <c r="J851" s="490"/>
      <c r="K851" s="490"/>
      <c r="L851" s="490"/>
      <c r="M851" s="490"/>
    </row>
    <row r="852">
      <c r="A852" s="194"/>
      <c r="B852" s="55"/>
      <c r="C852" s="60"/>
      <c r="D852" s="489"/>
      <c r="E852" s="489"/>
      <c r="F852" s="246"/>
      <c r="G852" s="213"/>
      <c r="H852" s="490"/>
      <c r="I852" s="490"/>
      <c r="J852" s="490"/>
      <c r="K852" s="490"/>
      <c r="L852" s="490"/>
      <c r="M852" s="490"/>
    </row>
    <row r="853">
      <c r="A853" s="191"/>
      <c r="B853" s="55"/>
      <c r="C853" s="60"/>
      <c r="D853" s="62"/>
      <c r="E853" s="62"/>
      <c r="F853" s="228"/>
      <c r="G853" s="229"/>
      <c r="H853" s="490"/>
      <c r="I853" s="490"/>
      <c r="J853" s="490"/>
      <c r="K853" s="490"/>
      <c r="L853" s="490"/>
      <c r="M853" s="490"/>
    </row>
    <row r="854">
      <c r="A854" s="194"/>
      <c r="B854" s="55"/>
      <c r="C854" s="60"/>
      <c r="D854" s="489"/>
      <c r="E854" s="489"/>
      <c r="F854" s="246"/>
      <c r="G854" s="213"/>
      <c r="H854" s="490"/>
      <c r="I854" s="490"/>
      <c r="J854" s="490"/>
      <c r="K854" s="490"/>
      <c r="L854" s="490"/>
      <c r="M854" s="490"/>
    </row>
    <row r="855">
      <c r="A855" s="191"/>
      <c r="B855" s="55"/>
      <c r="C855" s="60"/>
      <c r="D855" s="62"/>
      <c r="E855" s="62"/>
      <c r="F855" s="228"/>
      <c r="G855" s="229"/>
      <c r="H855" s="490"/>
      <c r="I855" s="490"/>
      <c r="J855" s="490"/>
      <c r="K855" s="490"/>
      <c r="L855" s="490"/>
      <c r="M855" s="490"/>
    </row>
    <row r="856">
      <c r="A856" s="194"/>
      <c r="B856" s="55"/>
      <c r="C856" s="60"/>
      <c r="D856" s="489"/>
      <c r="E856" s="489"/>
      <c r="F856" s="246"/>
      <c r="G856" s="213"/>
      <c r="H856" s="490"/>
      <c r="I856" s="490"/>
      <c r="J856" s="490"/>
      <c r="K856" s="490"/>
      <c r="L856" s="490"/>
      <c r="M856" s="490"/>
    </row>
    <row r="857">
      <c r="A857" s="191"/>
      <c r="B857" s="55"/>
      <c r="C857" s="60"/>
      <c r="D857" s="62"/>
      <c r="E857" s="62"/>
      <c r="F857" s="228"/>
      <c r="G857" s="229"/>
      <c r="H857" s="490"/>
      <c r="I857" s="490"/>
      <c r="J857" s="490"/>
      <c r="K857" s="490"/>
      <c r="L857" s="490"/>
      <c r="M857" s="490"/>
    </row>
    <row r="858">
      <c r="A858" s="194"/>
      <c r="B858" s="55"/>
      <c r="C858" s="60"/>
      <c r="D858" s="489"/>
      <c r="E858" s="489"/>
      <c r="F858" s="246"/>
      <c r="G858" s="213"/>
      <c r="H858" s="490"/>
      <c r="I858" s="490"/>
      <c r="J858" s="490"/>
      <c r="K858" s="490"/>
      <c r="L858" s="490"/>
      <c r="M858" s="490"/>
    </row>
    <row r="859">
      <c r="A859" s="191"/>
      <c r="B859" s="55"/>
      <c r="C859" s="60"/>
      <c r="D859" s="62"/>
      <c r="E859" s="62"/>
      <c r="F859" s="228"/>
      <c r="G859" s="229"/>
      <c r="H859" s="490"/>
      <c r="I859" s="490"/>
      <c r="J859" s="490"/>
      <c r="K859" s="490"/>
      <c r="L859" s="490"/>
      <c r="M859" s="490"/>
    </row>
    <row r="860">
      <c r="A860" s="194"/>
      <c r="B860" s="55"/>
      <c r="C860" s="60"/>
      <c r="D860" s="489"/>
      <c r="E860" s="489"/>
      <c r="F860" s="246"/>
      <c r="G860" s="213"/>
      <c r="H860" s="490"/>
      <c r="I860" s="490"/>
      <c r="J860" s="490"/>
      <c r="K860" s="490"/>
      <c r="L860" s="490"/>
      <c r="M860" s="490"/>
    </row>
    <row r="861">
      <c r="A861" s="191"/>
      <c r="B861" s="55"/>
      <c r="C861" s="60"/>
      <c r="D861" s="62"/>
      <c r="E861" s="62"/>
      <c r="F861" s="228"/>
      <c r="G861" s="229"/>
      <c r="H861" s="490"/>
      <c r="I861" s="490"/>
      <c r="J861" s="490"/>
      <c r="K861" s="490"/>
      <c r="L861" s="490"/>
      <c r="M861" s="490"/>
    </row>
    <row r="862">
      <c r="A862" s="194"/>
      <c r="B862" s="55"/>
      <c r="C862" s="60"/>
      <c r="D862" s="489"/>
      <c r="E862" s="489"/>
      <c r="F862" s="246"/>
      <c r="G862" s="213"/>
      <c r="H862" s="490"/>
      <c r="I862" s="490"/>
      <c r="J862" s="490"/>
      <c r="K862" s="490"/>
      <c r="L862" s="490"/>
      <c r="M862" s="490"/>
    </row>
    <row r="863">
      <c r="A863" s="191"/>
      <c r="B863" s="55"/>
      <c r="C863" s="60"/>
      <c r="D863" s="62"/>
      <c r="E863" s="62"/>
      <c r="F863" s="228"/>
      <c r="G863" s="229"/>
      <c r="H863" s="490"/>
      <c r="I863" s="490"/>
      <c r="J863" s="490"/>
      <c r="K863" s="490"/>
      <c r="L863" s="490"/>
      <c r="M863" s="490"/>
    </row>
    <row r="864">
      <c r="A864" s="194"/>
      <c r="B864" s="55"/>
      <c r="C864" s="60"/>
      <c r="D864" s="489"/>
      <c r="E864" s="489"/>
      <c r="F864" s="246"/>
      <c r="G864" s="213"/>
      <c r="H864" s="490"/>
      <c r="I864" s="490"/>
      <c r="J864" s="490"/>
      <c r="K864" s="490"/>
      <c r="L864" s="490"/>
      <c r="M864" s="490"/>
    </row>
    <row r="865">
      <c r="A865" s="191"/>
      <c r="B865" s="55"/>
      <c r="C865" s="60"/>
      <c r="D865" s="62"/>
      <c r="E865" s="62"/>
      <c r="F865" s="228"/>
      <c r="G865" s="229"/>
      <c r="H865" s="490"/>
      <c r="I865" s="490"/>
      <c r="J865" s="490"/>
      <c r="K865" s="490"/>
      <c r="L865" s="490"/>
      <c r="M865" s="490"/>
    </row>
    <row r="866">
      <c r="A866" s="194"/>
      <c r="B866" s="55"/>
      <c r="C866" s="60"/>
      <c r="D866" s="489"/>
      <c r="E866" s="489"/>
      <c r="F866" s="246"/>
      <c r="G866" s="213"/>
      <c r="H866" s="490"/>
      <c r="I866" s="490"/>
      <c r="J866" s="490"/>
      <c r="K866" s="490"/>
      <c r="L866" s="490"/>
      <c r="M866" s="490"/>
    </row>
    <row r="867">
      <c r="A867" s="191"/>
      <c r="B867" s="55"/>
      <c r="C867" s="60"/>
      <c r="D867" s="62"/>
      <c r="E867" s="62"/>
      <c r="F867" s="228"/>
      <c r="G867" s="229"/>
      <c r="H867" s="490"/>
      <c r="I867" s="490"/>
      <c r="J867" s="490"/>
      <c r="K867" s="490"/>
      <c r="L867" s="490"/>
      <c r="M867" s="490"/>
    </row>
    <row r="868">
      <c r="A868" s="194"/>
      <c r="B868" s="55"/>
      <c r="C868" s="60"/>
      <c r="D868" s="489"/>
      <c r="E868" s="489"/>
      <c r="F868" s="246"/>
      <c r="G868" s="213"/>
      <c r="H868" s="490"/>
      <c r="I868" s="490"/>
      <c r="J868" s="490"/>
      <c r="K868" s="490"/>
      <c r="L868" s="490"/>
      <c r="M868" s="490"/>
    </row>
    <row r="869">
      <c r="A869" s="191"/>
      <c r="B869" s="55"/>
      <c r="C869" s="60"/>
      <c r="D869" s="62"/>
      <c r="E869" s="62"/>
      <c r="F869" s="228"/>
      <c r="G869" s="229"/>
      <c r="H869" s="490"/>
      <c r="I869" s="490"/>
      <c r="J869" s="490"/>
      <c r="K869" s="490"/>
      <c r="L869" s="490"/>
      <c r="M869" s="490"/>
    </row>
    <row r="870">
      <c r="A870" s="194"/>
      <c r="B870" s="55"/>
      <c r="C870" s="60"/>
      <c r="D870" s="489"/>
      <c r="E870" s="489"/>
      <c r="F870" s="246"/>
      <c r="G870" s="213"/>
      <c r="H870" s="490"/>
      <c r="I870" s="490"/>
      <c r="J870" s="490"/>
      <c r="K870" s="490"/>
      <c r="L870" s="490"/>
      <c r="M870" s="490"/>
    </row>
    <row r="871">
      <c r="A871" s="191"/>
      <c r="B871" s="55"/>
      <c r="C871" s="60"/>
      <c r="D871" s="62"/>
      <c r="E871" s="62"/>
      <c r="F871" s="228"/>
      <c r="G871" s="229"/>
      <c r="H871" s="490"/>
      <c r="I871" s="490"/>
      <c r="J871" s="490"/>
      <c r="K871" s="490"/>
      <c r="L871" s="490"/>
      <c r="M871" s="490"/>
    </row>
    <row r="872">
      <c r="A872" s="194"/>
      <c r="B872" s="55"/>
      <c r="C872" s="60"/>
      <c r="D872" s="489"/>
      <c r="E872" s="489"/>
      <c r="F872" s="246"/>
      <c r="G872" s="213"/>
      <c r="H872" s="490"/>
      <c r="I872" s="490"/>
      <c r="J872" s="490"/>
      <c r="K872" s="490"/>
      <c r="L872" s="490"/>
      <c r="M872" s="490"/>
    </row>
    <row r="873">
      <c r="A873" s="191"/>
      <c r="B873" s="55"/>
      <c r="C873" s="60"/>
      <c r="D873" s="62"/>
      <c r="E873" s="62"/>
      <c r="F873" s="228"/>
      <c r="G873" s="229"/>
      <c r="H873" s="490"/>
      <c r="I873" s="490"/>
      <c r="J873" s="490"/>
      <c r="K873" s="490"/>
      <c r="L873" s="490"/>
      <c r="M873" s="490"/>
    </row>
    <row r="874">
      <c r="A874" s="194"/>
      <c r="B874" s="55"/>
      <c r="C874" s="60"/>
      <c r="D874" s="489"/>
      <c r="E874" s="489"/>
      <c r="F874" s="246"/>
      <c r="G874" s="213"/>
      <c r="H874" s="490"/>
      <c r="I874" s="490"/>
      <c r="J874" s="490"/>
      <c r="K874" s="490"/>
      <c r="L874" s="490"/>
      <c r="M874" s="490"/>
    </row>
    <row r="875">
      <c r="A875" s="191"/>
      <c r="B875" s="55"/>
      <c r="C875" s="60"/>
      <c r="D875" s="62"/>
      <c r="E875" s="62"/>
      <c r="F875" s="228"/>
      <c r="G875" s="229"/>
      <c r="H875" s="490"/>
      <c r="I875" s="490"/>
      <c r="J875" s="490"/>
      <c r="K875" s="490"/>
      <c r="L875" s="490"/>
      <c r="M875" s="490"/>
    </row>
    <row r="876">
      <c r="A876" s="194"/>
      <c r="B876" s="55"/>
      <c r="C876" s="60"/>
      <c r="D876" s="489"/>
      <c r="E876" s="489"/>
      <c r="F876" s="246"/>
      <c r="G876" s="213"/>
      <c r="H876" s="490"/>
      <c r="I876" s="490"/>
      <c r="J876" s="490"/>
      <c r="K876" s="490"/>
      <c r="L876" s="490"/>
      <c r="M876" s="490"/>
    </row>
    <row r="877">
      <c r="A877" s="191"/>
      <c r="B877" s="55"/>
      <c r="C877" s="60"/>
      <c r="D877" s="62"/>
      <c r="E877" s="62"/>
      <c r="F877" s="228"/>
      <c r="G877" s="229"/>
      <c r="H877" s="490"/>
      <c r="I877" s="490"/>
      <c r="J877" s="490"/>
      <c r="K877" s="490"/>
      <c r="L877" s="490"/>
      <c r="M877" s="490"/>
    </row>
    <row r="878">
      <c r="A878" s="194"/>
      <c r="B878" s="55"/>
      <c r="C878" s="60"/>
      <c r="D878" s="489"/>
      <c r="E878" s="489"/>
      <c r="F878" s="246"/>
      <c r="G878" s="213"/>
      <c r="H878" s="490"/>
      <c r="I878" s="490"/>
      <c r="J878" s="490"/>
      <c r="K878" s="490"/>
      <c r="L878" s="490"/>
      <c r="M878" s="490"/>
    </row>
    <row r="879">
      <c r="A879" s="191"/>
      <c r="B879" s="55"/>
      <c r="C879" s="60"/>
      <c r="D879" s="62"/>
      <c r="E879" s="62"/>
      <c r="F879" s="228"/>
      <c r="G879" s="229"/>
      <c r="H879" s="490"/>
      <c r="I879" s="490"/>
      <c r="J879" s="490"/>
      <c r="K879" s="490"/>
      <c r="L879" s="490"/>
      <c r="M879" s="490"/>
    </row>
    <row r="880">
      <c r="A880" s="194"/>
      <c r="B880" s="55"/>
      <c r="C880" s="60"/>
      <c r="D880" s="489"/>
      <c r="E880" s="489"/>
      <c r="F880" s="246"/>
      <c r="G880" s="213"/>
      <c r="H880" s="490"/>
      <c r="I880" s="490"/>
      <c r="J880" s="490"/>
      <c r="K880" s="490"/>
      <c r="L880" s="490"/>
      <c r="M880" s="490"/>
    </row>
    <row r="881">
      <c r="A881" s="191"/>
      <c r="B881" s="55"/>
      <c r="C881" s="60"/>
      <c r="D881" s="62"/>
      <c r="E881" s="62"/>
      <c r="F881" s="228"/>
      <c r="G881" s="229"/>
      <c r="H881" s="490"/>
      <c r="I881" s="490"/>
      <c r="J881" s="490"/>
      <c r="K881" s="490"/>
      <c r="L881" s="490"/>
      <c r="M881" s="490"/>
    </row>
    <row r="882">
      <c r="A882" s="194"/>
      <c r="B882" s="55"/>
      <c r="C882" s="60"/>
      <c r="D882" s="489"/>
      <c r="E882" s="489"/>
      <c r="F882" s="246"/>
      <c r="G882" s="213"/>
      <c r="H882" s="490"/>
      <c r="I882" s="490"/>
      <c r="J882" s="490"/>
      <c r="K882" s="490"/>
      <c r="L882" s="490"/>
      <c r="M882" s="490"/>
    </row>
    <row r="883">
      <c r="A883" s="191"/>
      <c r="B883" s="55"/>
      <c r="C883" s="60"/>
      <c r="D883" s="62"/>
      <c r="E883" s="62"/>
      <c r="F883" s="228"/>
      <c r="G883" s="229"/>
      <c r="H883" s="490"/>
      <c r="I883" s="490"/>
      <c r="J883" s="490"/>
      <c r="K883" s="490"/>
      <c r="L883" s="490"/>
      <c r="M883" s="490"/>
    </row>
    <row r="884">
      <c r="A884" s="194"/>
      <c r="B884" s="55"/>
      <c r="C884" s="60"/>
      <c r="D884" s="489"/>
      <c r="E884" s="489"/>
      <c r="F884" s="246"/>
      <c r="G884" s="213"/>
      <c r="H884" s="490"/>
      <c r="I884" s="490"/>
      <c r="J884" s="490"/>
      <c r="K884" s="490"/>
      <c r="L884" s="490"/>
      <c r="M884" s="490"/>
    </row>
    <row r="885">
      <c r="A885" s="191"/>
      <c r="B885" s="55"/>
      <c r="C885" s="60"/>
      <c r="D885" s="62"/>
      <c r="E885" s="62"/>
      <c r="F885" s="228"/>
      <c r="G885" s="229"/>
      <c r="H885" s="490"/>
      <c r="I885" s="490"/>
      <c r="J885" s="490"/>
      <c r="K885" s="490"/>
      <c r="L885" s="490"/>
      <c r="M885" s="490"/>
    </row>
    <row r="886">
      <c r="A886" s="194"/>
      <c r="B886" s="55"/>
      <c r="C886" s="60"/>
      <c r="D886" s="489"/>
      <c r="E886" s="489"/>
      <c r="F886" s="246"/>
      <c r="G886" s="213"/>
      <c r="H886" s="490"/>
      <c r="I886" s="490"/>
      <c r="J886" s="490"/>
      <c r="K886" s="490"/>
      <c r="L886" s="490"/>
      <c r="M886" s="490"/>
    </row>
    <row r="887">
      <c r="A887" s="191"/>
      <c r="B887" s="55"/>
      <c r="C887" s="60"/>
      <c r="D887" s="62"/>
      <c r="E887" s="62"/>
      <c r="F887" s="228"/>
      <c r="G887" s="229"/>
      <c r="H887" s="490"/>
      <c r="I887" s="490"/>
      <c r="J887" s="490"/>
      <c r="K887" s="490"/>
      <c r="L887" s="490"/>
      <c r="M887" s="490"/>
    </row>
    <row r="888">
      <c r="A888" s="194"/>
      <c r="B888" s="55"/>
      <c r="C888" s="60"/>
      <c r="D888" s="489"/>
      <c r="E888" s="489"/>
      <c r="F888" s="246"/>
      <c r="G888" s="213"/>
      <c r="H888" s="490"/>
      <c r="I888" s="490"/>
      <c r="J888" s="490"/>
      <c r="K888" s="490"/>
      <c r="L888" s="490"/>
      <c r="M888" s="490"/>
    </row>
    <row r="889">
      <c r="A889" s="191"/>
      <c r="B889" s="55"/>
      <c r="C889" s="60"/>
      <c r="D889" s="62"/>
      <c r="E889" s="62"/>
      <c r="F889" s="228"/>
      <c r="G889" s="229"/>
      <c r="H889" s="490"/>
      <c r="I889" s="490"/>
      <c r="J889" s="490"/>
      <c r="K889" s="490"/>
      <c r="L889" s="490"/>
      <c r="M889" s="490"/>
    </row>
    <row r="890">
      <c r="A890" s="194"/>
      <c r="B890" s="55"/>
      <c r="C890" s="60"/>
      <c r="D890" s="489"/>
      <c r="E890" s="489"/>
      <c r="F890" s="246"/>
      <c r="G890" s="213"/>
      <c r="H890" s="490"/>
      <c r="I890" s="490"/>
      <c r="J890" s="490"/>
      <c r="K890" s="490"/>
      <c r="L890" s="490"/>
      <c r="M890" s="490"/>
    </row>
    <row r="891">
      <c r="A891" s="191"/>
      <c r="B891" s="55"/>
      <c r="C891" s="60"/>
      <c r="D891" s="62"/>
      <c r="E891" s="62"/>
      <c r="F891" s="228"/>
      <c r="G891" s="229"/>
      <c r="H891" s="490"/>
      <c r="I891" s="490"/>
      <c r="J891" s="490"/>
      <c r="K891" s="490"/>
      <c r="L891" s="490"/>
      <c r="M891" s="490"/>
    </row>
    <row r="892">
      <c r="A892" s="194"/>
      <c r="B892" s="55"/>
      <c r="C892" s="60"/>
      <c r="D892" s="489"/>
      <c r="E892" s="489"/>
      <c r="F892" s="246"/>
      <c r="G892" s="213"/>
      <c r="H892" s="490"/>
      <c r="I892" s="490"/>
      <c r="J892" s="490"/>
      <c r="K892" s="490"/>
      <c r="L892" s="490"/>
      <c r="M892" s="490"/>
    </row>
    <row r="893">
      <c r="A893" s="191"/>
      <c r="B893" s="55"/>
      <c r="C893" s="60"/>
      <c r="D893" s="62"/>
      <c r="E893" s="62"/>
      <c r="F893" s="228"/>
      <c r="G893" s="229"/>
      <c r="H893" s="490"/>
      <c r="I893" s="490"/>
      <c r="J893" s="490"/>
      <c r="K893" s="490"/>
      <c r="L893" s="490"/>
      <c r="M893" s="490"/>
    </row>
    <row r="894">
      <c r="A894" s="194"/>
      <c r="B894" s="55"/>
      <c r="C894" s="60"/>
      <c r="D894" s="489"/>
      <c r="E894" s="489"/>
      <c r="F894" s="246"/>
      <c r="G894" s="213"/>
      <c r="H894" s="490"/>
      <c r="I894" s="490"/>
      <c r="J894" s="490"/>
      <c r="K894" s="490"/>
      <c r="L894" s="490"/>
      <c r="M894" s="490"/>
    </row>
    <row r="895">
      <c r="A895" s="191"/>
      <c r="B895" s="55"/>
      <c r="C895" s="60"/>
      <c r="D895" s="62"/>
      <c r="E895" s="62"/>
      <c r="F895" s="228"/>
      <c r="G895" s="229"/>
      <c r="H895" s="490"/>
      <c r="I895" s="490"/>
      <c r="J895" s="490"/>
      <c r="K895" s="490"/>
      <c r="L895" s="490"/>
      <c r="M895" s="490"/>
    </row>
    <row r="896">
      <c r="A896" s="194"/>
      <c r="B896" s="55"/>
      <c r="C896" s="60"/>
      <c r="D896" s="489"/>
      <c r="E896" s="489"/>
      <c r="F896" s="246"/>
      <c r="G896" s="213"/>
      <c r="H896" s="490"/>
      <c r="I896" s="490"/>
      <c r="J896" s="490"/>
      <c r="K896" s="490"/>
      <c r="L896" s="490"/>
      <c r="M896" s="490"/>
    </row>
    <row r="897">
      <c r="A897" s="191"/>
      <c r="B897" s="55"/>
      <c r="C897" s="60"/>
      <c r="D897" s="62"/>
      <c r="E897" s="62"/>
      <c r="F897" s="228"/>
      <c r="G897" s="229"/>
      <c r="H897" s="490"/>
      <c r="I897" s="490"/>
      <c r="J897" s="490"/>
      <c r="K897" s="490"/>
      <c r="L897" s="490"/>
      <c r="M897" s="490"/>
    </row>
    <row r="898">
      <c r="A898" s="194"/>
      <c r="B898" s="55"/>
      <c r="C898" s="60"/>
      <c r="D898" s="489"/>
      <c r="E898" s="489"/>
      <c r="F898" s="246"/>
      <c r="G898" s="213"/>
      <c r="H898" s="490"/>
      <c r="I898" s="490"/>
      <c r="J898" s="490"/>
      <c r="K898" s="490"/>
      <c r="L898" s="490"/>
      <c r="M898" s="490"/>
    </row>
    <row r="899">
      <c r="A899" s="191"/>
      <c r="B899" s="55"/>
      <c r="C899" s="60"/>
      <c r="D899" s="62"/>
      <c r="E899" s="62"/>
      <c r="F899" s="228"/>
      <c r="G899" s="229"/>
      <c r="H899" s="490"/>
      <c r="I899" s="490"/>
      <c r="J899" s="490"/>
      <c r="K899" s="490"/>
      <c r="L899" s="490"/>
      <c r="M899" s="490"/>
    </row>
    <row r="900">
      <c r="A900" s="194"/>
      <c r="B900" s="55"/>
      <c r="C900" s="60"/>
      <c r="D900" s="489"/>
      <c r="E900" s="489"/>
      <c r="F900" s="246"/>
      <c r="G900" s="213"/>
      <c r="H900" s="490"/>
      <c r="I900" s="490"/>
      <c r="J900" s="490"/>
      <c r="K900" s="490"/>
      <c r="L900" s="490"/>
      <c r="M900" s="490"/>
    </row>
    <row r="901">
      <c r="A901" s="191"/>
      <c r="B901" s="55"/>
      <c r="C901" s="60"/>
      <c r="D901" s="62"/>
      <c r="E901" s="62"/>
      <c r="F901" s="228"/>
      <c r="G901" s="229"/>
      <c r="H901" s="490"/>
      <c r="I901" s="490"/>
      <c r="J901" s="490"/>
      <c r="K901" s="490"/>
      <c r="L901" s="490"/>
      <c r="M901" s="490"/>
    </row>
    <row r="902">
      <c r="A902" s="194"/>
      <c r="B902" s="55"/>
      <c r="C902" s="60"/>
      <c r="D902" s="489"/>
      <c r="E902" s="489"/>
      <c r="F902" s="246"/>
      <c r="G902" s="213"/>
      <c r="H902" s="490"/>
      <c r="I902" s="490"/>
      <c r="J902" s="490"/>
      <c r="K902" s="490"/>
      <c r="L902" s="490"/>
      <c r="M902" s="490"/>
    </row>
    <row r="903">
      <c r="A903" s="191"/>
      <c r="B903" s="55"/>
      <c r="C903" s="60"/>
      <c r="D903" s="62"/>
      <c r="E903" s="62"/>
      <c r="F903" s="228"/>
      <c r="G903" s="229"/>
      <c r="H903" s="490"/>
      <c r="I903" s="490"/>
      <c r="J903" s="490"/>
      <c r="K903" s="490"/>
      <c r="L903" s="490"/>
      <c r="M903" s="490"/>
    </row>
    <row r="904">
      <c r="A904" s="194"/>
      <c r="B904" s="55"/>
      <c r="C904" s="60"/>
      <c r="D904" s="489"/>
      <c r="E904" s="489"/>
      <c r="F904" s="246"/>
      <c r="G904" s="213"/>
      <c r="H904" s="490"/>
      <c r="I904" s="490"/>
      <c r="J904" s="490"/>
      <c r="K904" s="490"/>
      <c r="L904" s="490"/>
      <c r="M904" s="490"/>
    </row>
    <row r="905">
      <c r="A905" s="191"/>
      <c r="B905" s="55"/>
      <c r="C905" s="60"/>
      <c r="D905" s="62"/>
      <c r="E905" s="62"/>
      <c r="F905" s="228"/>
      <c r="G905" s="229"/>
      <c r="H905" s="490"/>
      <c r="I905" s="490"/>
      <c r="J905" s="490"/>
      <c r="K905" s="490"/>
      <c r="L905" s="490"/>
      <c r="M905" s="490"/>
    </row>
    <row r="906">
      <c r="A906" s="194"/>
      <c r="B906" s="55"/>
      <c r="C906" s="60"/>
      <c r="D906" s="489"/>
      <c r="E906" s="489"/>
      <c r="F906" s="246"/>
      <c r="G906" s="213"/>
      <c r="H906" s="490"/>
      <c r="I906" s="490"/>
      <c r="J906" s="490"/>
      <c r="K906" s="490"/>
      <c r="L906" s="490"/>
      <c r="M906" s="490"/>
    </row>
    <row r="907">
      <c r="A907" s="191"/>
      <c r="B907" s="55"/>
      <c r="C907" s="60"/>
      <c r="D907" s="62"/>
      <c r="E907" s="62"/>
      <c r="F907" s="228"/>
      <c r="G907" s="229"/>
      <c r="H907" s="490"/>
      <c r="I907" s="490"/>
      <c r="J907" s="490"/>
      <c r="K907" s="490"/>
      <c r="L907" s="490"/>
      <c r="M907" s="490"/>
    </row>
    <row r="908">
      <c r="A908" s="194"/>
      <c r="B908" s="55"/>
      <c r="C908" s="60"/>
      <c r="D908" s="489"/>
      <c r="E908" s="489"/>
      <c r="F908" s="246"/>
      <c r="G908" s="213"/>
      <c r="H908" s="490"/>
      <c r="I908" s="490"/>
      <c r="J908" s="490"/>
      <c r="K908" s="490"/>
      <c r="L908" s="490"/>
      <c r="M908" s="490"/>
    </row>
    <row r="909">
      <c r="A909" s="191"/>
      <c r="B909" s="55"/>
      <c r="C909" s="60"/>
      <c r="D909" s="62"/>
      <c r="E909" s="62"/>
      <c r="F909" s="228"/>
      <c r="G909" s="229"/>
      <c r="H909" s="490"/>
      <c r="I909" s="490"/>
      <c r="J909" s="490"/>
      <c r="K909" s="490"/>
      <c r="L909" s="490"/>
      <c r="M909" s="490"/>
    </row>
    <row r="910">
      <c r="A910" s="194"/>
      <c r="B910" s="55"/>
      <c r="C910" s="60"/>
      <c r="D910" s="489"/>
      <c r="E910" s="489"/>
      <c r="F910" s="246"/>
      <c r="G910" s="213"/>
      <c r="H910" s="490"/>
      <c r="I910" s="490"/>
      <c r="J910" s="490"/>
      <c r="K910" s="490"/>
      <c r="L910" s="490"/>
      <c r="M910" s="490"/>
    </row>
    <row r="911">
      <c r="A911" s="191"/>
      <c r="B911" s="55"/>
      <c r="C911" s="60"/>
      <c r="D911" s="62"/>
      <c r="E911" s="62"/>
      <c r="F911" s="228"/>
      <c r="G911" s="229"/>
      <c r="H911" s="490"/>
      <c r="I911" s="490"/>
      <c r="J911" s="490"/>
      <c r="K911" s="490"/>
      <c r="L911" s="490"/>
      <c r="M911" s="490"/>
    </row>
    <row r="912">
      <c r="A912" s="194"/>
      <c r="B912" s="55"/>
      <c r="C912" s="60"/>
      <c r="D912" s="489"/>
      <c r="E912" s="489"/>
      <c r="F912" s="246"/>
      <c r="G912" s="213"/>
      <c r="H912" s="490"/>
      <c r="I912" s="490"/>
      <c r="J912" s="490"/>
      <c r="K912" s="490"/>
      <c r="L912" s="490"/>
      <c r="M912" s="490"/>
    </row>
    <row r="913">
      <c r="A913" s="191"/>
      <c r="B913" s="55"/>
      <c r="C913" s="60"/>
      <c r="D913" s="62"/>
      <c r="E913" s="62"/>
      <c r="F913" s="228"/>
      <c r="G913" s="229"/>
      <c r="H913" s="490"/>
      <c r="I913" s="490"/>
      <c r="J913" s="490"/>
      <c r="K913" s="490"/>
      <c r="L913" s="490"/>
      <c r="M913" s="490"/>
    </row>
    <row r="914">
      <c r="A914" s="194"/>
      <c r="B914" s="55"/>
      <c r="C914" s="60"/>
      <c r="D914" s="489"/>
      <c r="E914" s="489"/>
      <c r="F914" s="246"/>
      <c r="G914" s="213"/>
      <c r="H914" s="490"/>
      <c r="I914" s="490"/>
      <c r="J914" s="490"/>
      <c r="K914" s="490"/>
      <c r="L914" s="490"/>
      <c r="M914" s="490"/>
    </row>
    <row r="915">
      <c r="A915" s="191"/>
      <c r="B915" s="55"/>
      <c r="C915" s="60"/>
      <c r="D915" s="62"/>
      <c r="E915" s="62"/>
      <c r="F915" s="228"/>
      <c r="G915" s="229"/>
      <c r="H915" s="490"/>
      <c r="I915" s="490"/>
      <c r="J915" s="490"/>
      <c r="K915" s="490"/>
      <c r="L915" s="490"/>
      <c r="M915" s="490"/>
    </row>
    <row r="916">
      <c r="A916" s="194"/>
      <c r="B916" s="55"/>
      <c r="C916" s="60"/>
      <c r="D916" s="489"/>
      <c r="E916" s="489"/>
      <c r="F916" s="246"/>
      <c r="G916" s="213"/>
      <c r="H916" s="490"/>
      <c r="I916" s="490"/>
      <c r="J916" s="490"/>
      <c r="K916" s="490"/>
      <c r="L916" s="490"/>
      <c r="M916" s="490"/>
    </row>
    <row r="917">
      <c r="A917" s="191"/>
      <c r="B917" s="55"/>
      <c r="C917" s="60"/>
      <c r="D917" s="62"/>
      <c r="E917" s="62"/>
      <c r="F917" s="228"/>
      <c r="G917" s="229"/>
      <c r="H917" s="490"/>
      <c r="I917" s="490"/>
      <c r="J917" s="490"/>
      <c r="K917" s="490"/>
      <c r="L917" s="490"/>
      <c r="M917" s="490"/>
    </row>
    <row r="918">
      <c r="A918" s="194"/>
      <c r="B918" s="55"/>
      <c r="C918" s="60"/>
      <c r="D918" s="489"/>
      <c r="E918" s="489"/>
      <c r="F918" s="246"/>
      <c r="G918" s="213"/>
      <c r="H918" s="490"/>
      <c r="I918" s="490"/>
      <c r="J918" s="490"/>
      <c r="K918" s="490"/>
      <c r="L918" s="490"/>
      <c r="M918" s="490"/>
    </row>
    <row r="919">
      <c r="A919" s="191"/>
      <c r="B919" s="55"/>
      <c r="C919" s="60"/>
      <c r="D919" s="62"/>
      <c r="E919" s="62"/>
      <c r="F919" s="228"/>
      <c r="G919" s="229"/>
      <c r="H919" s="490"/>
      <c r="I919" s="490"/>
      <c r="J919" s="490"/>
      <c r="K919" s="490"/>
      <c r="L919" s="490"/>
      <c r="M919" s="490"/>
    </row>
    <row r="920">
      <c r="A920" s="194"/>
      <c r="B920" s="55"/>
      <c r="C920" s="60"/>
      <c r="D920" s="489"/>
      <c r="E920" s="489"/>
      <c r="F920" s="246"/>
      <c r="G920" s="213"/>
      <c r="H920" s="490"/>
      <c r="I920" s="490"/>
      <c r="J920" s="490"/>
      <c r="K920" s="490"/>
      <c r="L920" s="490"/>
      <c r="M920" s="490"/>
    </row>
    <row r="921">
      <c r="A921" s="191"/>
      <c r="B921" s="55"/>
      <c r="C921" s="60"/>
      <c r="D921" s="62"/>
      <c r="E921" s="62"/>
      <c r="F921" s="228"/>
      <c r="G921" s="229"/>
      <c r="H921" s="490"/>
      <c r="I921" s="490"/>
      <c r="J921" s="490"/>
      <c r="K921" s="490"/>
      <c r="L921" s="490"/>
      <c r="M921" s="490"/>
    </row>
    <row r="922">
      <c r="A922" s="194"/>
      <c r="B922" s="55"/>
      <c r="C922" s="60"/>
      <c r="D922" s="489"/>
      <c r="E922" s="489"/>
      <c r="F922" s="246"/>
      <c r="G922" s="213"/>
      <c r="H922" s="490"/>
      <c r="I922" s="490"/>
      <c r="J922" s="490"/>
      <c r="K922" s="490"/>
      <c r="L922" s="490"/>
      <c r="M922" s="490"/>
    </row>
    <row r="923">
      <c r="A923" s="191"/>
      <c r="B923" s="55"/>
      <c r="C923" s="60"/>
      <c r="D923" s="62"/>
      <c r="E923" s="62"/>
      <c r="F923" s="228"/>
      <c r="G923" s="229"/>
      <c r="H923" s="490"/>
      <c r="I923" s="490"/>
      <c r="J923" s="490"/>
      <c r="K923" s="490"/>
      <c r="L923" s="490"/>
      <c r="M923" s="490"/>
    </row>
    <row r="924">
      <c r="A924" s="194"/>
      <c r="B924" s="55"/>
      <c r="C924" s="60"/>
      <c r="D924" s="489"/>
      <c r="E924" s="489"/>
      <c r="F924" s="246"/>
      <c r="G924" s="213"/>
      <c r="H924" s="490"/>
      <c r="I924" s="490"/>
      <c r="J924" s="490"/>
      <c r="K924" s="490"/>
      <c r="L924" s="490"/>
      <c r="M924" s="490"/>
    </row>
    <row r="925">
      <c r="A925" s="191"/>
      <c r="B925" s="55"/>
      <c r="C925" s="60"/>
      <c r="D925" s="62"/>
      <c r="E925" s="62"/>
      <c r="F925" s="228"/>
      <c r="G925" s="229"/>
      <c r="H925" s="490"/>
      <c r="I925" s="490"/>
      <c r="J925" s="490"/>
      <c r="K925" s="490"/>
      <c r="L925" s="490"/>
      <c r="M925" s="490"/>
    </row>
    <row r="926">
      <c r="A926" s="194"/>
      <c r="B926" s="55"/>
      <c r="C926" s="60"/>
      <c r="D926" s="489"/>
      <c r="E926" s="489"/>
      <c r="F926" s="246"/>
      <c r="G926" s="213"/>
      <c r="H926" s="490"/>
      <c r="I926" s="490"/>
      <c r="J926" s="490"/>
      <c r="K926" s="490"/>
      <c r="L926" s="490"/>
      <c r="M926" s="490"/>
    </row>
    <row r="927">
      <c r="A927" s="191"/>
      <c r="B927" s="55"/>
      <c r="C927" s="60"/>
      <c r="D927" s="62"/>
      <c r="E927" s="62"/>
      <c r="F927" s="228"/>
      <c r="G927" s="229"/>
      <c r="H927" s="490"/>
      <c r="I927" s="490"/>
      <c r="J927" s="490"/>
      <c r="K927" s="490"/>
      <c r="L927" s="490"/>
      <c r="M927" s="490"/>
    </row>
    <row r="928">
      <c r="A928" s="194"/>
      <c r="B928" s="55"/>
      <c r="C928" s="60"/>
      <c r="D928" s="489"/>
      <c r="E928" s="489"/>
      <c r="F928" s="246"/>
      <c r="G928" s="213"/>
      <c r="H928" s="490"/>
      <c r="I928" s="490"/>
      <c r="J928" s="490"/>
      <c r="K928" s="490"/>
      <c r="L928" s="490"/>
      <c r="M928" s="490"/>
    </row>
    <row r="929">
      <c r="A929" s="191"/>
      <c r="B929" s="55"/>
      <c r="C929" s="60"/>
      <c r="D929" s="62"/>
      <c r="E929" s="62"/>
      <c r="F929" s="228"/>
      <c r="G929" s="229"/>
      <c r="H929" s="490"/>
      <c r="I929" s="490"/>
      <c r="J929" s="490"/>
      <c r="K929" s="490"/>
      <c r="L929" s="490"/>
      <c r="M929" s="490"/>
    </row>
    <row r="930">
      <c r="A930" s="194"/>
      <c r="B930" s="55"/>
      <c r="C930" s="60"/>
      <c r="D930" s="489"/>
      <c r="E930" s="489"/>
      <c r="F930" s="246"/>
      <c r="G930" s="213"/>
      <c r="H930" s="490"/>
      <c r="I930" s="490"/>
      <c r="J930" s="490"/>
      <c r="K930" s="490"/>
      <c r="L930" s="490"/>
      <c r="M930" s="490"/>
    </row>
    <row r="931">
      <c r="A931" s="191"/>
      <c r="B931" s="55"/>
      <c r="C931" s="60"/>
      <c r="D931" s="62"/>
      <c r="E931" s="62"/>
      <c r="F931" s="228"/>
      <c r="G931" s="229"/>
      <c r="H931" s="490"/>
      <c r="I931" s="490"/>
      <c r="J931" s="490"/>
      <c r="K931" s="490"/>
      <c r="L931" s="490"/>
      <c r="M931" s="490"/>
    </row>
    <row r="932">
      <c r="A932" s="194"/>
      <c r="B932" s="55"/>
      <c r="C932" s="60"/>
      <c r="D932" s="489"/>
      <c r="E932" s="489"/>
      <c r="F932" s="246"/>
      <c r="G932" s="213"/>
      <c r="H932" s="490"/>
      <c r="I932" s="490"/>
      <c r="J932" s="490"/>
      <c r="K932" s="490"/>
      <c r="L932" s="490"/>
      <c r="M932" s="490"/>
    </row>
    <row r="933">
      <c r="A933" s="191"/>
      <c r="B933" s="55"/>
      <c r="C933" s="60"/>
      <c r="D933" s="62"/>
      <c r="E933" s="62"/>
      <c r="F933" s="228"/>
      <c r="G933" s="229"/>
      <c r="H933" s="490"/>
      <c r="I933" s="490"/>
      <c r="J933" s="490"/>
      <c r="K933" s="490"/>
      <c r="L933" s="490"/>
      <c r="M933" s="490"/>
    </row>
    <row r="934">
      <c r="A934" s="194"/>
      <c r="B934" s="55"/>
      <c r="C934" s="60"/>
      <c r="D934" s="489"/>
      <c r="E934" s="489"/>
      <c r="F934" s="246"/>
      <c r="G934" s="213"/>
      <c r="H934" s="490"/>
      <c r="I934" s="490"/>
      <c r="J934" s="490"/>
      <c r="K934" s="490"/>
      <c r="L934" s="490"/>
      <c r="M934" s="490"/>
    </row>
    <row r="935">
      <c r="A935" s="191"/>
      <c r="B935" s="55"/>
      <c r="C935" s="60"/>
      <c r="D935" s="62"/>
      <c r="E935" s="62"/>
      <c r="F935" s="228"/>
      <c r="G935" s="229"/>
      <c r="H935" s="490"/>
      <c r="I935" s="490"/>
      <c r="J935" s="490"/>
      <c r="K935" s="490"/>
      <c r="L935" s="490"/>
      <c r="M935" s="490"/>
    </row>
    <row r="936">
      <c r="A936" s="194"/>
      <c r="B936" s="55"/>
      <c r="C936" s="60"/>
      <c r="D936" s="489"/>
      <c r="E936" s="489"/>
      <c r="F936" s="246"/>
      <c r="G936" s="213"/>
      <c r="H936" s="490"/>
      <c r="I936" s="490"/>
      <c r="J936" s="490"/>
      <c r="K936" s="490"/>
      <c r="L936" s="490"/>
      <c r="M936" s="490"/>
    </row>
    <row r="937">
      <c r="A937" s="191"/>
      <c r="B937" s="55"/>
      <c r="C937" s="60"/>
      <c r="D937" s="62"/>
      <c r="E937" s="62"/>
      <c r="F937" s="228"/>
      <c r="G937" s="229"/>
      <c r="H937" s="490"/>
      <c r="I937" s="490"/>
      <c r="J937" s="490"/>
      <c r="K937" s="490"/>
      <c r="L937" s="490"/>
      <c r="M937" s="490"/>
    </row>
    <row r="938">
      <c r="A938" s="194"/>
      <c r="B938" s="55"/>
      <c r="C938" s="60"/>
      <c r="D938" s="489"/>
      <c r="E938" s="489"/>
      <c r="F938" s="246"/>
      <c r="G938" s="213"/>
      <c r="H938" s="490"/>
      <c r="I938" s="490"/>
      <c r="J938" s="490"/>
      <c r="K938" s="490"/>
      <c r="L938" s="490"/>
      <c r="M938" s="490"/>
    </row>
    <row r="939">
      <c r="A939" s="191"/>
      <c r="B939" s="55"/>
      <c r="C939" s="60"/>
      <c r="D939" s="62"/>
      <c r="E939" s="62"/>
      <c r="F939" s="228"/>
      <c r="G939" s="229"/>
      <c r="H939" s="490"/>
      <c r="I939" s="490"/>
      <c r="J939" s="490"/>
      <c r="K939" s="490"/>
      <c r="L939" s="490"/>
      <c r="M939" s="490"/>
    </row>
    <row r="940">
      <c r="A940" s="194"/>
      <c r="B940" s="55"/>
      <c r="C940" s="60"/>
      <c r="D940" s="489"/>
      <c r="E940" s="489"/>
      <c r="F940" s="246"/>
      <c r="G940" s="213"/>
      <c r="H940" s="490"/>
      <c r="I940" s="490"/>
      <c r="J940" s="490"/>
      <c r="K940" s="490"/>
      <c r="L940" s="490"/>
      <c r="M940" s="490"/>
    </row>
    <row r="941">
      <c r="A941" s="191"/>
      <c r="B941" s="55"/>
      <c r="C941" s="60"/>
      <c r="D941" s="62"/>
      <c r="E941" s="62"/>
      <c r="F941" s="228"/>
      <c r="G941" s="229"/>
      <c r="H941" s="490"/>
      <c r="I941" s="490"/>
      <c r="J941" s="490"/>
      <c r="K941" s="490"/>
      <c r="L941" s="490"/>
      <c r="M941" s="490"/>
    </row>
    <row r="942">
      <c r="A942" s="194"/>
      <c r="B942" s="55"/>
      <c r="C942" s="60"/>
      <c r="D942" s="489"/>
      <c r="E942" s="489"/>
      <c r="F942" s="246"/>
      <c r="G942" s="213"/>
      <c r="H942" s="490"/>
      <c r="I942" s="490"/>
      <c r="J942" s="490"/>
      <c r="K942" s="490"/>
      <c r="L942" s="490"/>
      <c r="M942" s="490"/>
    </row>
    <row r="943">
      <c r="A943" s="191"/>
      <c r="B943" s="55"/>
      <c r="C943" s="60"/>
      <c r="D943" s="62"/>
      <c r="E943" s="62"/>
      <c r="F943" s="228"/>
      <c r="G943" s="229"/>
      <c r="H943" s="490"/>
      <c r="I943" s="490"/>
      <c r="J943" s="490"/>
      <c r="K943" s="490"/>
      <c r="L943" s="490"/>
      <c r="M943" s="490"/>
    </row>
    <row r="944">
      <c r="A944" s="194"/>
      <c r="B944" s="55"/>
      <c r="C944" s="60"/>
      <c r="D944" s="489"/>
      <c r="E944" s="489"/>
      <c r="F944" s="246"/>
      <c r="G944" s="213"/>
      <c r="H944" s="490"/>
      <c r="I944" s="490"/>
      <c r="J944" s="490"/>
      <c r="K944" s="490"/>
      <c r="L944" s="490"/>
      <c r="M944" s="490"/>
    </row>
    <row r="945">
      <c r="A945" s="191"/>
      <c r="B945" s="55"/>
      <c r="C945" s="60"/>
      <c r="D945" s="62"/>
      <c r="E945" s="62"/>
      <c r="F945" s="228"/>
      <c r="G945" s="229"/>
      <c r="H945" s="490"/>
      <c r="I945" s="490"/>
      <c r="J945" s="490"/>
      <c r="K945" s="490"/>
      <c r="L945" s="490"/>
      <c r="M945" s="490"/>
    </row>
    <row r="946">
      <c r="A946" s="194"/>
      <c r="B946" s="55"/>
      <c r="C946" s="60"/>
      <c r="D946" s="489"/>
      <c r="E946" s="489"/>
      <c r="F946" s="246"/>
      <c r="G946" s="213"/>
      <c r="H946" s="490"/>
      <c r="I946" s="490"/>
      <c r="J946" s="490"/>
      <c r="K946" s="490"/>
      <c r="L946" s="490"/>
      <c r="M946" s="490"/>
    </row>
    <row r="947">
      <c r="A947" s="191"/>
      <c r="B947" s="55"/>
      <c r="C947" s="60"/>
      <c r="D947" s="62"/>
      <c r="E947" s="62"/>
      <c r="F947" s="228"/>
      <c r="G947" s="229"/>
      <c r="H947" s="490"/>
      <c r="I947" s="490"/>
      <c r="J947" s="490"/>
      <c r="K947" s="490"/>
      <c r="L947" s="490"/>
      <c r="M947" s="490"/>
    </row>
    <row r="948">
      <c r="A948" s="194"/>
      <c r="B948" s="55"/>
      <c r="C948" s="60"/>
      <c r="D948" s="489"/>
      <c r="E948" s="489"/>
      <c r="F948" s="246"/>
      <c r="G948" s="213"/>
      <c r="H948" s="490"/>
      <c r="I948" s="490"/>
      <c r="J948" s="490"/>
      <c r="K948" s="490"/>
      <c r="L948" s="490"/>
      <c r="M948" s="490"/>
    </row>
    <row r="949">
      <c r="A949" s="191"/>
      <c r="B949" s="55"/>
      <c r="C949" s="60"/>
      <c r="D949" s="62"/>
      <c r="E949" s="62"/>
      <c r="F949" s="228"/>
      <c r="G949" s="229"/>
      <c r="H949" s="490"/>
      <c r="I949" s="490"/>
      <c r="J949" s="490"/>
      <c r="K949" s="490"/>
      <c r="L949" s="490"/>
      <c r="M949" s="490"/>
    </row>
    <row r="950">
      <c r="A950" s="194"/>
      <c r="B950" s="55"/>
      <c r="C950" s="60"/>
      <c r="D950" s="489"/>
      <c r="E950" s="489"/>
      <c r="F950" s="246"/>
      <c r="G950" s="213"/>
      <c r="H950" s="490"/>
      <c r="I950" s="490"/>
      <c r="J950" s="490"/>
      <c r="K950" s="490"/>
      <c r="L950" s="490"/>
      <c r="M950" s="490"/>
    </row>
    <row r="951">
      <c r="A951" s="191"/>
      <c r="B951" s="55"/>
      <c r="C951" s="60"/>
      <c r="D951" s="62"/>
      <c r="E951" s="62"/>
      <c r="F951" s="228"/>
      <c r="G951" s="229"/>
      <c r="H951" s="490"/>
      <c r="I951" s="490"/>
      <c r="J951" s="490"/>
      <c r="K951" s="490"/>
      <c r="L951" s="490"/>
      <c r="M951" s="490"/>
    </row>
    <row r="952">
      <c r="A952" s="194"/>
      <c r="B952" s="55"/>
      <c r="C952" s="60"/>
      <c r="D952" s="489"/>
      <c r="E952" s="489"/>
      <c r="F952" s="246"/>
      <c r="G952" s="213"/>
      <c r="H952" s="490"/>
      <c r="I952" s="490"/>
      <c r="J952" s="490"/>
      <c r="K952" s="490"/>
      <c r="L952" s="490"/>
      <c r="M952" s="490"/>
    </row>
    <row r="953">
      <c r="A953" s="191"/>
      <c r="B953" s="55"/>
      <c r="C953" s="60"/>
      <c r="D953" s="62"/>
      <c r="E953" s="62"/>
      <c r="F953" s="228"/>
      <c r="G953" s="229"/>
      <c r="H953" s="490"/>
      <c r="I953" s="490"/>
      <c r="J953" s="490"/>
      <c r="K953" s="490"/>
      <c r="L953" s="490"/>
      <c r="M953" s="490"/>
    </row>
    <row r="954">
      <c r="A954" s="194"/>
      <c r="B954" s="55"/>
      <c r="C954" s="60"/>
      <c r="D954" s="489"/>
      <c r="E954" s="489"/>
      <c r="F954" s="246"/>
      <c r="G954" s="213"/>
      <c r="H954" s="490"/>
      <c r="I954" s="490"/>
      <c r="J954" s="490"/>
      <c r="K954" s="490"/>
      <c r="L954" s="490"/>
      <c r="M954" s="490"/>
    </row>
    <row r="955">
      <c r="A955" s="191"/>
      <c r="B955" s="55"/>
      <c r="C955" s="60"/>
      <c r="D955" s="62"/>
      <c r="E955" s="62"/>
      <c r="F955" s="228"/>
      <c r="G955" s="229"/>
      <c r="H955" s="490"/>
      <c r="I955" s="490"/>
      <c r="J955" s="490"/>
      <c r="K955" s="490"/>
      <c r="L955" s="490"/>
      <c r="M955" s="490"/>
    </row>
    <row r="956">
      <c r="A956" s="194"/>
      <c r="B956" s="55"/>
      <c r="C956" s="60"/>
      <c r="D956" s="489"/>
      <c r="E956" s="489"/>
      <c r="F956" s="246"/>
      <c r="G956" s="213"/>
      <c r="H956" s="490"/>
      <c r="I956" s="490"/>
      <c r="J956" s="490"/>
      <c r="K956" s="490"/>
      <c r="L956" s="490"/>
      <c r="M956" s="490"/>
    </row>
    <row r="957">
      <c r="A957" s="191"/>
      <c r="B957" s="55"/>
      <c r="C957" s="60"/>
      <c r="D957" s="62"/>
      <c r="E957" s="62"/>
      <c r="F957" s="228"/>
      <c r="G957" s="229"/>
      <c r="H957" s="490"/>
      <c r="I957" s="490"/>
      <c r="J957" s="490"/>
      <c r="K957" s="490"/>
      <c r="L957" s="490"/>
      <c r="M957" s="490"/>
    </row>
    <row r="958">
      <c r="A958" s="194"/>
      <c r="B958" s="55"/>
      <c r="C958" s="60"/>
      <c r="D958" s="489"/>
      <c r="E958" s="489"/>
      <c r="F958" s="246"/>
      <c r="G958" s="213"/>
      <c r="H958" s="490"/>
      <c r="I958" s="490"/>
      <c r="J958" s="490"/>
      <c r="K958" s="490"/>
      <c r="L958" s="490"/>
      <c r="M958" s="490"/>
    </row>
    <row r="959">
      <c r="A959" s="191"/>
      <c r="B959" s="55"/>
      <c r="C959" s="60"/>
      <c r="D959" s="62"/>
      <c r="E959" s="62"/>
      <c r="F959" s="228"/>
      <c r="G959" s="229"/>
      <c r="H959" s="490"/>
      <c r="I959" s="490"/>
      <c r="J959" s="490"/>
      <c r="K959" s="490"/>
      <c r="L959" s="490"/>
      <c r="M959" s="490"/>
    </row>
    <row r="960">
      <c r="A960" s="194"/>
      <c r="B960" s="55"/>
      <c r="C960" s="60"/>
      <c r="D960" s="489"/>
      <c r="E960" s="489"/>
      <c r="F960" s="246"/>
      <c r="G960" s="213"/>
      <c r="H960" s="490"/>
      <c r="I960" s="490"/>
      <c r="J960" s="490"/>
      <c r="K960" s="490"/>
      <c r="L960" s="490"/>
      <c r="M960" s="490"/>
    </row>
    <row r="961">
      <c r="A961" s="191"/>
      <c r="B961" s="55"/>
      <c r="C961" s="60"/>
      <c r="D961" s="62"/>
      <c r="E961" s="62"/>
      <c r="F961" s="228"/>
      <c r="G961" s="229"/>
      <c r="H961" s="490"/>
      <c r="I961" s="490"/>
      <c r="J961" s="490"/>
      <c r="K961" s="490"/>
      <c r="L961" s="490"/>
      <c r="M961" s="490"/>
    </row>
    <row r="962">
      <c r="A962" s="194"/>
      <c r="B962" s="55"/>
      <c r="C962" s="60"/>
      <c r="D962" s="489"/>
      <c r="E962" s="489"/>
      <c r="F962" s="246"/>
      <c r="G962" s="213"/>
      <c r="H962" s="490"/>
      <c r="I962" s="490"/>
      <c r="J962" s="490"/>
      <c r="K962" s="490"/>
      <c r="L962" s="490"/>
      <c r="M962" s="490"/>
    </row>
    <row r="963">
      <c r="A963" s="191"/>
      <c r="B963" s="55"/>
      <c r="C963" s="60"/>
      <c r="D963" s="62"/>
      <c r="E963" s="62"/>
      <c r="F963" s="228"/>
      <c r="G963" s="229"/>
      <c r="H963" s="490"/>
      <c r="I963" s="490"/>
      <c r="J963" s="490"/>
      <c r="K963" s="490"/>
      <c r="L963" s="490"/>
      <c r="M963" s="490"/>
    </row>
    <row r="964">
      <c r="A964" s="194"/>
      <c r="B964" s="55"/>
      <c r="C964" s="60"/>
      <c r="D964" s="489"/>
      <c r="E964" s="489"/>
      <c r="F964" s="246"/>
      <c r="G964" s="213"/>
      <c r="H964" s="490"/>
      <c r="I964" s="490"/>
      <c r="J964" s="490"/>
      <c r="K964" s="490"/>
      <c r="L964" s="490"/>
      <c r="M964" s="490"/>
    </row>
    <row r="965">
      <c r="A965" s="191"/>
      <c r="B965" s="55"/>
      <c r="C965" s="60"/>
      <c r="D965" s="62"/>
      <c r="E965" s="62"/>
      <c r="F965" s="228"/>
      <c r="G965" s="229"/>
      <c r="H965" s="490"/>
      <c r="I965" s="490"/>
      <c r="J965" s="490"/>
      <c r="K965" s="490"/>
      <c r="L965" s="490"/>
      <c r="M965" s="490"/>
    </row>
    <row r="966">
      <c r="A966" s="194"/>
      <c r="B966" s="55"/>
      <c r="C966" s="60"/>
      <c r="D966" s="489"/>
      <c r="E966" s="489"/>
      <c r="F966" s="246"/>
      <c r="G966" s="213"/>
      <c r="H966" s="490"/>
      <c r="I966" s="490"/>
      <c r="J966" s="490"/>
      <c r="K966" s="490"/>
      <c r="L966" s="490"/>
      <c r="M966" s="490"/>
    </row>
    <row r="967">
      <c r="A967" s="191"/>
      <c r="B967" s="55"/>
      <c r="C967" s="60"/>
      <c r="D967" s="62"/>
      <c r="E967" s="62"/>
      <c r="F967" s="228"/>
      <c r="G967" s="229"/>
      <c r="H967" s="490"/>
      <c r="I967" s="490"/>
      <c r="J967" s="490"/>
      <c r="K967" s="490"/>
      <c r="L967" s="490"/>
      <c r="M967" s="490"/>
    </row>
    <row r="968">
      <c r="A968" s="194"/>
      <c r="B968" s="55"/>
      <c r="C968" s="60"/>
      <c r="D968" s="489"/>
      <c r="E968" s="489"/>
      <c r="F968" s="246"/>
      <c r="G968" s="213"/>
      <c r="H968" s="490"/>
      <c r="I968" s="490"/>
      <c r="J968" s="490"/>
      <c r="K968" s="490"/>
      <c r="L968" s="490"/>
      <c r="M968" s="490"/>
    </row>
    <row r="969">
      <c r="A969" s="191"/>
      <c r="B969" s="55"/>
      <c r="C969" s="60"/>
      <c r="D969" s="62"/>
      <c r="E969" s="62"/>
      <c r="F969" s="228"/>
      <c r="G969" s="229"/>
      <c r="H969" s="490"/>
      <c r="I969" s="490"/>
      <c r="J969" s="490"/>
      <c r="K969" s="490"/>
      <c r="L969" s="490"/>
      <c r="M969" s="490"/>
    </row>
    <row r="970">
      <c r="A970" s="194"/>
      <c r="B970" s="55"/>
      <c r="C970" s="60"/>
      <c r="D970" s="489"/>
      <c r="E970" s="489"/>
      <c r="F970" s="246"/>
      <c r="G970" s="213"/>
      <c r="H970" s="490"/>
      <c r="I970" s="490"/>
      <c r="J970" s="490"/>
      <c r="K970" s="490"/>
      <c r="L970" s="490"/>
      <c r="M970" s="490"/>
    </row>
    <row r="971">
      <c r="A971" s="191"/>
      <c r="B971" s="55"/>
      <c r="C971" s="60"/>
      <c r="D971" s="62"/>
      <c r="E971" s="62"/>
      <c r="F971" s="228"/>
      <c r="G971" s="229"/>
      <c r="H971" s="490"/>
      <c r="I971" s="490"/>
      <c r="J971" s="490"/>
      <c r="K971" s="490"/>
      <c r="L971" s="490"/>
      <c r="M971" s="490"/>
    </row>
    <row r="972">
      <c r="A972" s="194"/>
      <c r="B972" s="55"/>
      <c r="C972" s="60"/>
      <c r="D972" s="489"/>
      <c r="E972" s="489"/>
      <c r="F972" s="246"/>
      <c r="G972" s="213"/>
      <c r="H972" s="490"/>
      <c r="I972" s="490"/>
      <c r="J972" s="490"/>
      <c r="K972" s="490"/>
      <c r="L972" s="490"/>
      <c r="M972" s="490"/>
    </row>
    <row r="973">
      <c r="A973" s="191"/>
      <c r="B973" s="55"/>
      <c r="C973" s="60"/>
      <c r="D973" s="62"/>
      <c r="E973" s="62"/>
      <c r="F973" s="228"/>
      <c r="G973" s="229"/>
      <c r="H973" s="490"/>
      <c r="I973" s="490"/>
      <c r="J973" s="490"/>
      <c r="K973" s="490"/>
      <c r="L973" s="490"/>
      <c r="M973" s="490"/>
    </row>
    <row r="974">
      <c r="A974" s="194"/>
      <c r="B974" s="55"/>
      <c r="C974" s="60"/>
      <c r="D974" s="489"/>
      <c r="E974" s="489"/>
      <c r="F974" s="246"/>
      <c r="G974" s="213"/>
      <c r="H974" s="490"/>
      <c r="I974" s="490"/>
      <c r="J974" s="490"/>
      <c r="K974" s="490"/>
      <c r="L974" s="490"/>
      <c r="M974" s="490"/>
    </row>
    <row r="975">
      <c r="A975" s="191"/>
      <c r="B975" s="55"/>
      <c r="C975" s="60"/>
      <c r="D975" s="62"/>
      <c r="E975" s="62"/>
      <c r="F975" s="228"/>
      <c r="G975" s="229"/>
      <c r="H975" s="490"/>
      <c r="I975" s="490"/>
      <c r="J975" s="490"/>
      <c r="K975" s="490"/>
      <c r="L975" s="490"/>
      <c r="M975" s="490"/>
    </row>
    <row r="976">
      <c r="A976" s="194"/>
      <c r="B976" s="55"/>
      <c r="C976" s="60"/>
      <c r="D976" s="489"/>
      <c r="E976" s="489"/>
      <c r="F976" s="246"/>
      <c r="G976" s="213"/>
      <c r="H976" s="490"/>
      <c r="I976" s="490"/>
      <c r="J976" s="490"/>
      <c r="K976" s="490"/>
      <c r="L976" s="490"/>
      <c r="M976" s="490"/>
    </row>
    <row r="977">
      <c r="A977" s="191"/>
      <c r="B977" s="55"/>
      <c r="C977" s="60"/>
      <c r="D977" s="62"/>
      <c r="E977" s="62"/>
      <c r="F977" s="228"/>
      <c r="G977" s="229"/>
      <c r="H977" s="490"/>
      <c r="I977" s="490"/>
      <c r="J977" s="490"/>
      <c r="K977" s="490"/>
      <c r="L977" s="490"/>
      <c r="M977" s="490"/>
    </row>
    <row r="978">
      <c r="A978" s="194"/>
      <c r="B978" s="55"/>
      <c r="C978" s="60"/>
      <c r="D978" s="489"/>
      <c r="E978" s="489"/>
      <c r="F978" s="246"/>
      <c r="G978" s="213"/>
      <c r="H978" s="490"/>
      <c r="I978" s="490"/>
      <c r="J978" s="490"/>
      <c r="K978" s="490"/>
      <c r="L978" s="490"/>
      <c r="M978" s="490"/>
    </row>
    <row r="979">
      <c r="A979" s="191"/>
      <c r="B979" s="55"/>
      <c r="C979" s="60"/>
      <c r="D979" s="62"/>
      <c r="E979" s="62"/>
      <c r="F979" s="228"/>
      <c r="G979" s="229"/>
      <c r="H979" s="490"/>
      <c r="I979" s="490"/>
      <c r="J979" s="490"/>
      <c r="K979" s="490"/>
      <c r="L979" s="490"/>
      <c r="M979" s="490"/>
    </row>
    <row r="980">
      <c r="A980" s="194"/>
      <c r="B980" s="55"/>
      <c r="C980" s="60"/>
      <c r="D980" s="489"/>
      <c r="E980" s="489"/>
      <c r="F980" s="246"/>
      <c r="G980" s="213"/>
      <c r="H980" s="490"/>
      <c r="I980" s="490"/>
      <c r="J980" s="490"/>
      <c r="K980" s="490"/>
      <c r="L980" s="490"/>
      <c r="M980" s="490"/>
    </row>
    <row r="981">
      <c r="A981" s="191"/>
      <c r="B981" s="55"/>
      <c r="C981" s="60"/>
      <c r="D981" s="62"/>
      <c r="E981" s="62"/>
      <c r="F981" s="228"/>
      <c r="G981" s="229"/>
      <c r="H981" s="490"/>
      <c r="I981" s="490"/>
      <c r="J981" s="490"/>
      <c r="K981" s="490"/>
      <c r="L981" s="490"/>
      <c r="M981" s="490"/>
    </row>
    <row r="982">
      <c r="A982" s="194"/>
      <c r="B982" s="55"/>
      <c r="C982" s="60"/>
      <c r="D982" s="489"/>
      <c r="E982" s="489"/>
      <c r="F982" s="246"/>
      <c r="G982" s="213"/>
      <c r="H982" s="490"/>
      <c r="I982" s="490"/>
      <c r="J982" s="490"/>
      <c r="K982" s="490"/>
      <c r="L982" s="490"/>
      <c r="M982" s="490"/>
    </row>
    <row r="983">
      <c r="A983" s="191"/>
      <c r="B983" s="55"/>
      <c r="C983" s="60"/>
      <c r="D983" s="62"/>
      <c r="E983" s="62"/>
      <c r="F983" s="228"/>
      <c r="G983" s="229"/>
      <c r="H983" s="490"/>
      <c r="I983" s="490"/>
      <c r="J983" s="490"/>
      <c r="K983" s="490"/>
      <c r="L983" s="490"/>
      <c r="M983" s="490"/>
    </row>
    <row r="984">
      <c r="A984" s="194"/>
      <c r="B984" s="55"/>
      <c r="C984" s="60"/>
      <c r="D984" s="489"/>
      <c r="E984" s="489"/>
      <c r="F984" s="246"/>
      <c r="G984" s="213"/>
      <c r="H984" s="490"/>
      <c r="I984" s="490"/>
      <c r="J984" s="490"/>
      <c r="K984" s="490"/>
      <c r="L984" s="490"/>
      <c r="M984" s="490"/>
    </row>
    <row r="985">
      <c r="A985" s="191"/>
      <c r="B985" s="55"/>
      <c r="C985" s="60"/>
      <c r="D985" s="62"/>
      <c r="E985" s="62"/>
      <c r="F985" s="228"/>
      <c r="G985" s="229"/>
      <c r="H985" s="490"/>
      <c r="I985" s="490"/>
      <c r="J985" s="490"/>
      <c r="K985" s="490"/>
      <c r="L985" s="490"/>
      <c r="M985" s="490"/>
    </row>
    <row r="986">
      <c r="A986" s="194"/>
      <c r="B986" s="55"/>
      <c r="C986" s="60"/>
      <c r="D986" s="489"/>
      <c r="E986" s="489"/>
      <c r="F986" s="246"/>
      <c r="G986" s="213"/>
      <c r="H986" s="490"/>
      <c r="I986" s="490"/>
      <c r="J986" s="490"/>
      <c r="K986" s="490"/>
      <c r="L986" s="490"/>
      <c r="M986" s="490"/>
    </row>
    <row r="987">
      <c r="A987" s="191"/>
      <c r="B987" s="55"/>
      <c r="C987" s="60"/>
      <c r="D987" s="62"/>
      <c r="E987" s="62"/>
      <c r="F987" s="228"/>
      <c r="G987" s="229"/>
      <c r="H987" s="490"/>
      <c r="I987" s="490"/>
      <c r="J987" s="490"/>
      <c r="K987" s="490"/>
      <c r="L987" s="490"/>
      <c r="M987" s="490"/>
    </row>
    <row r="988">
      <c r="A988" s="194"/>
      <c r="B988" s="55"/>
      <c r="C988" s="60"/>
      <c r="D988" s="489"/>
      <c r="E988" s="489"/>
      <c r="F988" s="246"/>
      <c r="G988" s="213"/>
      <c r="H988" s="490"/>
      <c r="I988" s="490"/>
      <c r="J988" s="490"/>
      <c r="K988" s="490"/>
      <c r="L988" s="490"/>
      <c r="M988" s="490"/>
    </row>
    <row r="989">
      <c r="A989" s="191"/>
      <c r="B989" s="55"/>
      <c r="C989" s="60"/>
      <c r="D989" s="62"/>
      <c r="E989" s="62"/>
      <c r="F989" s="228"/>
      <c r="G989" s="229"/>
      <c r="H989" s="490"/>
      <c r="I989" s="490"/>
      <c r="J989" s="490"/>
      <c r="K989" s="490"/>
      <c r="L989" s="490"/>
      <c r="M989" s="490"/>
    </row>
    <row r="990">
      <c r="A990" s="194"/>
      <c r="B990" s="55"/>
      <c r="C990" s="60"/>
      <c r="D990" s="489"/>
      <c r="E990" s="489"/>
      <c r="F990" s="246"/>
      <c r="G990" s="213"/>
      <c r="H990" s="490"/>
      <c r="I990" s="490"/>
      <c r="J990" s="490"/>
      <c r="K990" s="490"/>
      <c r="L990" s="490"/>
      <c r="M990" s="490"/>
    </row>
    <row r="991">
      <c r="A991" s="191"/>
      <c r="B991" s="55"/>
      <c r="C991" s="60"/>
      <c r="D991" s="62"/>
      <c r="E991" s="62"/>
      <c r="F991" s="228"/>
      <c r="G991" s="229"/>
      <c r="H991" s="490"/>
      <c r="I991" s="490"/>
      <c r="J991" s="490"/>
      <c r="K991" s="490"/>
      <c r="L991" s="490"/>
      <c r="M991" s="490"/>
    </row>
    <row r="992">
      <c r="A992" s="194"/>
      <c r="B992" s="55"/>
      <c r="C992" s="60"/>
      <c r="D992" s="489"/>
      <c r="E992" s="489"/>
      <c r="F992" s="246"/>
      <c r="G992" s="213"/>
      <c r="H992" s="490"/>
      <c r="I992" s="490"/>
      <c r="J992" s="490"/>
      <c r="K992" s="490"/>
      <c r="L992" s="490"/>
      <c r="M992" s="490"/>
    </row>
    <row r="993">
      <c r="A993" s="191"/>
      <c r="B993" s="55"/>
      <c r="C993" s="60"/>
      <c r="D993" s="62"/>
      <c r="E993" s="62"/>
      <c r="F993" s="228"/>
      <c r="G993" s="229"/>
      <c r="H993" s="490"/>
      <c r="I993" s="490"/>
      <c r="J993" s="490"/>
      <c r="K993" s="490"/>
      <c r="L993" s="490"/>
      <c r="M993" s="490"/>
    </row>
    <row r="994">
      <c r="A994" s="194"/>
      <c r="B994" s="55"/>
      <c r="C994" s="60"/>
      <c r="D994" s="489"/>
      <c r="E994" s="489"/>
      <c r="F994" s="246"/>
      <c r="G994" s="213"/>
      <c r="H994" s="490"/>
      <c r="I994" s="490"/>
      <c r="J994" s="490"/>
      <c r="K994" s="490"/>
      <c r="L994" s="490"/>
      <c r="M994" s="490"/>
    </row>
    <row r="995">
      <c r="A995" s="191"/>
      <c r="B995" s="55"/>
      <c r="C995" s="60"/>
      <c r="D995" s="62"/>
      <c r="E995" s="62"/>
      <c r="F995" s="228"/>
      <c r="G995" s="229"/>
      <c r="H995" s="490"/>
      <c r="I995" s="490"/>
      <c r="J995" s="490"/>
      <c r="K995" s="490"/>
      <c r="L995" s="490"/>
      <c r="M995" s="490"/>
    </row>
    <row r="996">
      <c r="A996" s="194"/>
      <c r="B996" s="55"/>
      <c r="C996" s="60"/>
      <c r="D996" s="489"/>
      <c r="E996" s="489"/>
      <c r="F996" s="246"/>
      <c r="G996" s="213"/>
      <c r="H996" s="490"/>
      <c r="I996" s="490"/>
      <c r="J996" s="490"/>
      <c r="K996" s="490"/>
      <c r="L996" s="490"/>
      <c r="M996" s="490"/>
    </row>
    <row r="997">
      <c r="A997" s="191"/>
      <c r="B997" s="55"/>
      <c r="C997" s="60"/>
      <c r="D997" s="62"/>
      <c r="E997" s="62"/>
      <c r="F997" s="228"/>
      <c r="G997" s="229"/>
      <c r="H997" s="490"/>
      <c r="I997" s="490"/>
      <c r="J997" s="490"/>
      <c r="K997" s="490"/>
      <c r="L997" s="490"/>
      <c r="M997" s="490"/>
    </row>
    <row r="998">
      <c r="A998" s="194"/>
      <c r="B998" s="55"/>
      <c r="C998" s="60"/>
      <c r="D998" s="489"/>
      <c r="E998" s="489"/>
      <c r="F998" s="246"/>
      <c r="G998" s="213"/>
      <c r="H998" s="490"/>
      <c r="I998" s="490"/>
      <c r="J998" s="490"/>
      <c r="K998" s="490"/>
      <c r="L998" s="490"/>
      <c r="M998" s="490"/>
    </row>
    <row r="999">
      <c r="A999" s="191"/>
      <c r="B999" s="55"/>
      <c r="C999" s="60"/>
      <c r="D999" s="62"/>
      <c r="E999" s="62"/>
      <c r="F999" s="228"/>
      <c r="G999" s="229"/>
      <c r="H999" s="490"/>
      <c r="I999" s="490"/>
      <c r="J999" s="490"/>
      <c r="K999" s="490"/>
      <c r="L999" s="490"/>
      <c r="M999" s="490"/>
    </row>
    <row r="1000">
      <c r="A1000" s="194"/>
      <c r="B1000" s="55"/>
      <c r="C1000" s="60"/>
      <c r="D1000" s="489"/>
      <c r="E1000" s="489"/>
      <c r="F1000" s="246"/>
      <c r="G1000" s="213"/>
      <c r="H1000" s="490"/>
      <c r="I1000" s="490"/>
      <c r="J1000" s="490"/>
      <c r="K1000" s="490"/>
      <c r="L1000" s="490"/>
      <c r="M1000" s="490"/>
    </row>
    <row r="1001">
      <c r="A1001" s="191"/>
      <c r="B1001" s="55"/>
      <c r="C1001" s="60"/>
      <c r="D1001" s="62"/>
      <c r="E1001" s="62"/>
      <c r="F1001" s="228"/>
      <c r="G1001" s="229"/>
      <c r="H1001" s="490"/>
      <c r="I1001" s="490"/>
      <c r="J1001" s="490"/>
      <c r="K1001" s="490"/>
      <c r="L1001" s="490"/>
      <c r="M1001" s="490"/>
    </row>
    <row r="1002">
      <c r="A1002" s="194"/>
      <c r="B1002" s="55"/>
      <c r="C1002" s="60"/>
      <c r="D1002" s="489"/>
      <c r="E1002" s="489"/>
      <c r="F1002" s="246"/>
      <c r="G1002" s="213"/>
      <c r="H1002" s="490"/>
      <c r="I1002" s="490"/>
      <c r="J1002" s="490"/>
      <c r="K1002" s="490"/>
      <c r="L1002" s="490"/>
      <c r="M1002" s="490"/>
    </row>
    <row r="1003">
      <c r="A1003" s="191"/>
      <c r="B1003" s="55"/>
      <c r="C1003" s="60"/>
      <c r="D1003" s="62"/>
      <c r="E1003" s="62"/>
      <c r="F1003" s="228"/>
      <c r="G1003" s="229"/>
      <c r="H1003" s="490"/>
      <c r="I1003" s="490"/>
      <c r="J1003" s="490"/>
      <c r="K1003" s="490"/>
      <c r="L1003" s="490"/>
      <c r="M1003" s="490"/>
    </row>
    <row r="1004">
      <c r="A1004" s="194"/>
      <c r="B1004" s="55"/>
      <c r="C1004" s="60"/>
      <c r="D1004" s="489"/>
      <c r="E1004" s="489"/>
      <c r="F1004" s="246"/>
      <c r="G1004" s="213"/>
      <c r="H1004" s="490"/>
      <c r="I1004" s="490"/>
      <c r="J1004" s="490"/>
      <c r="K1004" s="490"/>
      <c r="L1004" s="490"/>
      <c r="M1004" s="490"/>
    </row>
    <row r="1005">
      <c r="A1005" s="191"/>
      <c r="B1005" s="55"/>
      <c r="C1005" s="60"/>
      <c r="D1005" s="62"/>
      <c r="E1005" s="62"/>
      <c r="F1005" s="228"/>
      <c r="G1005" s="229"/>
      <c r="H1005" s="490"/>
      <c r="I1005" s="490"/>
      <c r="J1005" s="490"/>
      <c r="K1005" s="490"/>
      <c r="L1005" s="490"/>
      <c r="M1005" s="490"/>
    </row>
    <row r="1006">
      <c r="A1006" s="194"/>
      <c r="B1006" s="55"/>
      <c r="C1006" s="60"/>
      <c r="D1006" s="489"/>
      <c r="E1006" s="489"/>
      <c r="F1006" s="246"/>
      <c r="G1006" s="213"/>
      <c r="H1006" s="490"/>
      <c r="I1006" s="490"/>
      <c r="J1006" s="490"/>
      <c r="K1006" s="490"/>
      <c r="L1006" s="490"/>
      <c r="M1006" s="490"/>
    </row>
    <row r="1007">
      <c r="A1007" s="191"/>
      <c r="B1007" s="55"/>
      <c r="C1007" s="60"/>
      <c r="D1007" s="62"/>
      <c r="E1007" s="62"/>
      <c r="F1007" s="228"/>
      <c r="G1007" s="229"/>
      <c r="H1007" s="490"/>
      <c r="I1007" s="490"/>
      <c r="J1007" s="490"/>
      <c r="K1007" s="490"/>
      <c r="L1007" s="490"/>
      <c r="M1007" s="490"/>
    </row>
    <row r="1008">
      <c r="A1008" s="194"/>
      <c r="B1008" s="55"/>
      <c r="C1008" s="60"/>
      <c r="D1008" s="489"/>
      <c r="E1008" s="489"/>
      <c r="F1008" s="246"/>
      <c r="G1008" s="213"/>
      <c r="H1008" s="490"/>
      <c r="I1008" s="490"/>
      <c r="J1008" s="490"/>
      <c r="K1008" s="490"/>
      <c r="L1008" s="490"/>
      <c r="M1008" s="490"/>
    </row>
    <row r="1009">
      <c r="A1009" s="191"/>
      <c r="B1009" s="55"/>
      <c r="C1009" s="60"/>
      <c r="D1009" s="62"/>
      <c r="E1009" s="62"/>
      <c r="F1009" s="228"/>
      <c r="G1009" s="229"/>
      <c r="H1009" s="490"/>
      <c r="I1009" s="490"/>
      <c r="J1009" s="490"/>
      <c r="K1009" s="490"/>
      <c r="L1009" s="490"/>
      <c r="M1009" s="490"/>
    </row>
    <row r="1010">
      <c r="A1010" s="194"/>
      <c r="B1010" s="55"/>
      <c r="C1010" s="60"/>
      <c r="D1010" s="489"/>
      <c r="E1010" s="489"/>
      <c r="F1010" s="246"/>
      <c r="G1010" s="213"/>
      <c r="H1010" s="490"/>
      <c r="I1010" s="490"/>
      <c r="J1010" s="490"/>
      <c r="K1010" s="490"/>
      <c r="L1010" s="490"/>
      <c r="M1010" s="490"/>
    </row>
    <row r="1011">
      <c r="A1011" s="191"/>
      <c r="B1011" s="55"/>
      <c r="C1011" s="60"/>
      <c r="D1011" s="62"/>
      <c r="E1011" s="62"/>
      <c r="F1011" s="228"/>
      <c r="G1011" s="229"/>
      <c r="H1011" s="490"/>
      <c r="I1011" s="490"/>
      <c r="J1011" s="490"/>
      <c r="K1011" s="490"/>
      <c r="L1011" s="490"/>
      <c r="M1011" s="490"/>
    </row>
    <row r="1012">
      <c r="A1012" s="194"/>
      <c r="B1012" s="55"/>
      <c r="C1012" s="60"/>
      <c r="D1012" s="489"/>
      <c r="E1012" s="489"/>
      <c r="F1012" s="246"/>
      <c r="G1012" s="213"/>
      <c r="H1012" s="490"/>
      <c r="I1012" s="490"/>
      <c r="J1012" s="490"/>
      <c r="K1012" s="490"/>
      <c r="L1012" s="490"/>
      <c r="M1012" s="490"/>
    </row>
    <row r="1013">
      <c r="A1013" s="191"/>
      <c r="B1013" s="55"/>
      <c r="C1013" s="60"/>
      <c r="D1013" s="62"/>
      <c r="E1013" s="62"/>
      <c r="F1013" s="228"/>
      <c r="G1013" s="229"/>
      <c r="H1013" s="490"/>
      <c r="I1013" s="490"/>
      <c r="J1013" s="490"/>
      <c r="K1013" s="490"/>
      <c r="L1013" s="490"/>
      <c r="M1013" s="490"/>
    </row>
    <row r="1014">
      <c r="A1014" s="194"/>
      <c r="B1014" s="55"/>
      <c r="C1014" s="60"/>
      <c r="D1014" s="489"/>
      <c r="E1014" s="489"/>
      <c r="F1014" s="246"/>
      <c r="G1014" s="213"/>
      <c r="H1014" s="490"/>
      <c r="I1014" s="490"/>
      <c r="J1014" s="490"/>
      <c r="K1014" s="490"/>
      <c r="L1014" s="490"/>
      <c r="M1014" s="490"/>
    </row>
    <row r="1015">
      <c r="A1015" s="191"/>
      <c r="B1015" s="55"/>
      <c r="C1015" s="60"/>
      <c r="D1015" s="62"/>
      <c r="E1015" s="62"/>
      <c r="F1015" s="228"/>
      <c r="G1015" s="229"/>
      <c r="H1015" s="490"/>
      <c r="I1015" s="490"/>
      <c r="J1015" s="490"/>
      <c r="K1015" s="490"/>
      <c r="L1015" s="490"/>
      <c r="M1015" s="490"/>
    </row>
    <row r="1016">
      <c r="A1016" s="194"/>
      <c r="B1016" s="55"/>
      <c r="C1016" s="60"/>
      <c r="D1016" s="489"/>
      <c r="E1016" s="489"/>
      <c r="F1016" s="246"/>
      <c r="G1016" s="213"/>
      <c r="H1016" s="490"/>
      <c r="I1016" s="490"/>
      <c r="J1016" s="490"/>
      <c r="K1016" s="490"/>
      <c r="L1016" s="490"/>
      <c r="M1016" s="490"/>
    </row>
    <row r="1017">
      <c r="A1017" s="191"/>
      <c r="B1017" s="55"/>
      <c r="C1017" s="60"/>
      <c r="D1017" s="62"/>
      <c r="E1017" s="62"/>
      <c r="F1017" s="228"/>
      <c r="G1017" s="229"/>
      <c r="H1017" s="490"/>
      <c r="I1017" s="490"/>
      <c r="J1017" s="490"/>
      <c r="K1017" s="490"/>
      <c r="L1017" s="490"/>
      <c r="M1017" s="490"/>
    </row>
    <row r="1018">
      <c r="A1018" s="194"/>
      <c r="B1018" s="55"/>
      <c r="C1018" s="60"/>
      <c r="D1018" s="489"/>
      <c r="E1018" s="489"/>
      <c r="F1018" s="246"/>
      <c r="G1018" s="213"/>
      <c r="H1018" s="490"/>
      <c r="I1018" s="490"/>
      <c r="J1018" s="490"/>
      <c r="K1018" s="490"/>
      <c r="L1018" s="490"/>
      <c r="M1018" s="490"/>
    </row>
    <row r="1019">
      <c r="A1019" s="191"/>
      <c r="B1019" s="55"/>
      <c r="C1019" s="60"/>
      <c r="D1019" s="62"/>
      <c r="E1019" s="62"/>
      <c r="F1019" s="228"/>
      <c r="G1019" s="229"/>
      <c r="H1019" s="490"/>
      <c r="I1019" s="490"/>
      <c r="J1019" s="490"/>
      <c r="K1019" s="490"/>
      <c r="L1019" s="490"/>
      <c r="M1019" s="490"/>
    </row>
    <row r="1020">
      <c r="A1020" s="194"/>
      <c r="B1020" s="55"/>
      <c r="C1020" s="60"/>
      <c r="D1020" s="489"/>
      <c r="E1020" s="489"/>
      <c r="F1020" s="246"/>
      <c r="G1020" s="213"/>
      <c r="H1020" s="490"/>
      <c r="I1020" s="490"/>
      <c r="J1020" s="490"/>
      <c r="K1020" s="490"/>
      <c r="L1020" s="490"/>
      <c r="M1020" s="490"/>
    </row>
    <row r="1021">
      <c r="A1021" s="191"/>
      <c r="B1021" s="55"/>
      <c r="C1021" s="60"/>
      <c r="D1021" s="62"/>
      <c r="E1021" s="62"/>
      <c r="F1021" s="228"/>
      <c r="G1021" s="229"/>
      <c r="H1021" s="490"/>
      <c r="I1021" s="490"/>
      <c r="J1021" s="490"/>
      <c r="K1021" s="490"/>
      <c r="L1021" s="490"/>
      <c r="M1021" s="490"/>
    </row>
    <row r="1022">
      <c r="A1022" s="194"/>
      <c r="B1022" s="55"/>
      <c r="C1022" s="60"/>
      <c r="D1022" s="489"/>
      <c r="E1022" s="489"/>
      <c r="F1022" s="246"/>
      <c r="G1022" s="213"/>
      <c r="H1022" s="490"/>
      <c r="I1022" s="490"/>
      <c r="J1022" s="490"/>
      <c r="K1022" s="490"/>
      <c r="L1022" s="490"/>
      <c r="M1022" s="490"/>
    </row>
    <row r="1023">
      <c r="A1023" s="191"/>
      <c r="B1023" s="55"/>
      <c r="C1023" s="60"/>
      <c r="D1023" s="62"/>
      <c r="E1023" s="62"/>
      <c r="F1023" s="228"/>
      <c r="G1023" s="229"/>
      <c r="H1023" s="490"/>
      <c r="I1023" s="490"/>
      <c r="J1023" s="490"/>
      <c r="K1023" s="490"/>
      <c r="L1023" s="490"/>
      <c r="M1023" s="490"/>
    </row>
    <row r="1024">
      <c r="A1024" s="194"/>
      <c r="B1024" s="55"/>
      <c r="C1024" s="60"/>
      <c r="D1024" s="489"/>
      <c r="E1024" s="489"/>
      <c r="F1024" s="246"/>
      <c r="G1024" s="213"/>
      <c r="H1024" s="490"/>
      <c r="I1024" s="490"/>
      <c r="J1024" s="490"/>
      <c r="K1024" s="490"/>
      <c r="L1024" s="490"/>
      <c r="M1024" s="490"/>
    </row>
    <row r="1025">
      <c r="A1025" s="191"/>
      <c r="B1025" s="55"/>
      <c r="C1025" s="60"/>
      <c r="D1025" s="62"/>
      <c r="E1025" s="62"/>
      <c r="F1025" s="228"/>
      <c r="G1025" s="229"/>
      <c r="H1025" s="490"/>
      <c r="I1025" s="490"/>
      <c r="J1025" s="490"/>
      <c r="K1025" s="490"/>
      <c r="L1025" s="490"/>
      <c r="M1025" s="490"/>
    </row>
    <row r="1026">
      <c r="A1026" s="194"/>
      <c r="B1026" s="55"/>
      <c r="C1026" s="60"/>
      <c r="D1026" s="489"/>
      <c r="E1026" s="489"/>
      <c r="F1026" s="246"/>
      <c r="G1026" s="213"/>
      <c r="H1026" s="490"/>
      <c r="I1026" s="490"/>
      <c r="J1026" s="490"/>
      <c r="K1026" s="490"/>
      <c r="L1026" s="490"/>
      <c r="M1026" s="490"/>
    </row>
    <row r="1027">
      <c r="A1027" s="191"/>
      <c r="B1027" s="55"/>
      <c r="C1027" s="60"/>
      <c r="D1027" s="62"/>
      <c r="E1027" s="62"/>
      <c r="F1027" s="228"/>
      <c r="G1027" s="229"/>
      <c r="H1027" s="490"/>
      <c r="I1027" s="490"/>
      <c r="J1027" s="490"/>
      <c r="K1027" s="490"/>
      <c r="L1027" s="490"/>
      <c r="M1027" s="490"/>
    </row>
    <row r="1028">
      <c r="A1028" s="194"/>
      <c r="B1028" s="55"/>
      <c r="C1028" s="60"/>
      <c r="D1028" s="489"/>
      <c r="E1028" s="489"/>
      <c r="F1028" s="246"/>
      <c r="G1028" s="213"/>
      <c r="H1028" s="490"/>
      <c r="I1028" s="490"/>
      <c r="J1028" s="490"/>
      <c r="K1028" s="490"/>
      <c r="L1028" s="490"/>
      <c r="M1028" s="490"/>
    </row>
    <row r="1029">
      <c r="A1029" s="191"/>
      <c r="B1029" s="55"/>
      <c r="C1029" s="60"/>
      <c r="D1029" s="62"/>
      <c r="E1029" s="62"/>
      <c r="F1029" s="228"/>
      <c r="G1029" s="229"/>
      <c r="H1029" s="490"/>
      <c r="I1029" s="490"/>
      <c r="J1029" s="490"/>
      <c r="K1029" s="490"/>
      <c r="L1029" s="490"/>
      <c r="M1029" s="490"/>
    </row>
    <row r="1030">
      <c r="A1030" s="194"/>
      <c r="B1030" s="55"/>
      <c r="C1030" s="60"/>
      <c r="D1030" s="489"/>
      <c r="E1030" s="489"/>
      <c r="F1030" s="246"/>
      <c r="G1030" s="213"/>
      <c r="H1030" s="490"/>
      <c r="I1030" s="490"/>
      <c r="J1030" s="490"/>
      <c r="K1030" s="490"/>
      <c r="L1030" s="490"/>
      <c r="M1030" s="490"/>
    </row>
    <row r="1031">
      <c r="A1031" s="191"/>
      <c r="B1031" s="55"/>
      <c r="C1031" s="60"/>
      <c r="D1031" s="62"/>
      <c r="E1031" s="62"/>
      <c r="F1031" s="228"/>
      <c r="G1031" s="229"/>
      <c r="H1031" s="490"/>
      <c r="I1031" s="490"/>
      <c r="J1031" s="490"/>
      <c r="K1031" s="490"/>
      <c r="L1031" s="490"/>
      <c r="M1031" s="490"/>
    </row>
    <row r="1032">
      <c r="A1032" s="194"/>
      <c r="B1032" s="55"/>
      <c r="C1032" s="60"/>
      <c r="D1032" s="489"/>
      <c r="E1032" s="489"/>
      <c r="F1032" s="246"/>
      <c r="G1032" s="213"/>
      <c r="H1032" s="490"/>
      <c r="I1032" s="490"/>
      <c r="J1032" s="490"/>
      <c r="K1032" s="490"/>
      <c r="L1032" s="490"/>
      <c r="M1032" s="490"/>
    </row>
    <row r="1033">
      <c r="A1033" s="191"/>
      <c r="B1033" s="55"/>
      <c r="C1033" s="60"/>
      <c r="D1033" s="62"/>
      <c r="E1033" s="62"/>
      <c r="F1033" s="228"/>
      <c r="G1033" s="229"/>
      <c r="H1033" s="490"/>
      <c r="I1033" s="490"/>
      <c r="J1033" s="490"/>
      <c r="K1033" s="490"/>
      <c r="L1033" s="490"/>
      <c r="M1033" s="490"/>
    </row>
    <row r="1034">
      <c r="A1034" s="194"/>
      <c r="B1034" s="55"/>
      <c r="C1034" s="60"/>
      <c r="D1034" s="489"/>
      <c r="E1034" s="489"/>
      <c r="F1034" s="246"/>
      <c r="G1034" s="213"/>
      <c r="H1034" s="490"/>
      <c r="I1034" s="490"/>
      <c r="J1034" s="490"/>
      <c r="K1034" s="490"/>
      <c r="L1034" s="490"/>
      <c r="M1034" s="490"/>
    </row>
    <row r="1035">
      <c r="A1035" s="191"/>
      <c r="B1035" s="55"/>
      <c r="C1035" s="60"/>
      <c r="D1035" s="62"/>
      <c r="E1035" s="62"/>
      <c r="F1035" s="228"/>
      <c r="G1035" s="229"/>
      <c r="H1035" s="490"/>
      <c r="I1035" s="490"/>
      <c r="J1035" s="490"/>
      <c r="K1035" s="490"/>
      <c r="L1035" s="490"/>
      <c r="M1035" s="490"/>
    </row>
    <row r="1036">
      <c r="A1036" s="194"/>
      <c r="B1036" s="55"/>
      <c r="C1036" s="60"/>
      <c r="D1036" s="489"/>
      <c r="E1036" s="489"/>
      <c r="F1036" s="246"/>
      <c r="G1036" s="213"/>
      <c r="H1036" s="490"/>
      <c r="I1036" s="490"/>
      <c r="J1036" s="490"/>
      <c r="K1036" s="490"/>
      <c r="L1036" s="490"/>
      <c r="M1036" s="490"/>
    </row>
    <row r="1037">
      <c r="A1037" s="191"/>
      <c r="B1037" s="55"/>
      <c r="C1037" s="60"/>
      <c r="D1037" s="62"/>
      <c r="E1037" s="62"/>
      <c r="F1037" s="228"/>
      <c r="G1037" s="229"/>
      <c r="H1037" s="490"/>
      <c r="I1037" s="490"/>
      <c r="J1037" s="490"/>
      <c r="K1037" s="490"/>
      <c r="L1037" s="490"/>
      <c r="M1037" s="490"/>
    </row>
    <row r="1038">
      <c r="A1038" s="194"/>
      <c r="B1038" s="55"/>
      <c r="C1038" s="60"/>
      <c r="D1038" s="489"/>
      <c r="E1038" s="489"/>
      <c r="F1038" s="246"/>
      <c r="G1038" s="213"/>
      <c r="H1038" s="490"/>
      <c r="I1038" s="490"/>
      <c r="J1038" s="490"/>
      <c r="K1038" s="490"/>
      <c r="L1038" s="490"/>
      <c r="M1038" s="490"/>
    </row>
    <row r="1039">
      <c r="A1039" s="191"/>
      <c r="B1039" s="55"/>
      <c r="C1039" s="60"/>
      <c r="D1039" s="62"/>
      <c r="E1039" s="62"/>
      <c r="F1039" s="228"/>
      <c r="G1039" s="229"/>
      <c r="H1039" s="490"/>
      <c r="I1039" s="490"/>
      <c r="J1039" s="490"/>
      <c r="K1039" s="490"/>
      <c r="L1039" s="490"/>
      <c r="M1039" s="490"/>
    </row>
    <row r="1040">
      <c r="A1040" s="194"/>
      <c r="B1040" s="55"/>
      <c r="C1040" s="60"/>
      <c r="D1040" s="489"/>
      <c r="E1040" s="489"/>
      <c r="F1040" s="246"/>
      <c r="G1040" s="213"/>
      <c r="H1040" s="490"/>
      <c r="I1040" s="490"/>
      <c r="J1040" s="490"/>
      <c r="K1040" s="490"/>
      <c r="L1040" s="490"/>
      <c r="M1040" s="490"/>
    </row>
    <row r="1041">
      <c r="A1041" s="191"/>
      <c r="B1041" s="55"/>
      <c r="C1041" s="60"/>
      <c r="D1041" s="62"/>
      <c r="E1041" s="62"/>
      <c r="F1041" s="228"/>
      <c r="G1041" s="229"/>
      <c r="H1041" s="490"/>
      <c r="I1041" s="490"/>
      <c r="J1041" s="490"/>
      <c r="K1041" s="490"/>
      <c r="L1041" s="490"/>
      <c r="M1041" s="490"/>
    </row>
    <row r="1042">
      <c r="A1042" s="194"/>
      <c r="B1042" s="55"/>
      <c r="C1042" s="60"/>
      <c r="D1042" s="489"/>
      <c r="E1042" s="489"/>
      <c r="F1042" s="246"/>
      <c r="G1042" s="213"/>
      <c r="H1042" s="490"/>
      <c r="I1042" s="490"/>
      <c r="J1042" s="490"/>
      <c r="K1042" s="490"/>
      <c r="L1042" s="490"/>
      <c r="M1042" s="490"/>
    </row>
    <row r="1043">
      <c r="A1043" s="191"/>
      <c r="B1043" s="55"/>
      <c r="C1043" s="60"/>
      <c r="D1043" s="62"/>
      <c r="E1043" s="62"/>
      <c r="F1043" s="228"/>
      <c r="G1043" s="229"/>
      <c r="H1043" s="490"/>
      <c r="I1043" s="490"/>
      <c r="J1043" s="490"/>
      <c r="K1043" s="490"/>
      <c r="L1043" s="490"/>
      <c r="M1043" s="490"/>
    </row>
    <row r="1044">
      <c r="A1044" s="194"/>
      <c r="B1044" s="55"/>
      <c r="C1044" s="60"/>
      <c r="D1044" s="489"/>
      <c r="E1044" s="489"/>
      <c r="F1044" s="246"/>
      <c r="G1044" s="213"/>
      <c r="H1044" s="490"/>
      <c r="I1044" s="490"/>
      <c r="J1044" s="490"/>
      <c r="K1044" s="490"/>
      <c r="L1044" s="490"/>
      <c r="M1044" s="490"/>
    </row>
    <row r="1045">
      <c r="A1045" s="191"/>
      <c r="B1045" s="55"/>
      <c r="C1045" s="60"/>
      <c r="D1045" s="62"/>
      <c r="E1045" s="62"/>
      <c r="F1045" s="228"/>
      <c r="G1045" s="229"/>
      <c r="H1045" s="490"/>
      <c r="I1045" s="490"/>
      <c r="J1045" s="490"/>
      <c r="K1045" s="490"/>
      <c r="L1045" s="490"/>
      <c r="M1045" s="490"/>
    </row>
    <row r="1046">
      <c r="A1046" s="194"/>
      <c r="B1046" s="55"/>
      <c r="C1046" s="60"/>
      <c r="D1046" s="489"/>
      <c r="E1046" s="489"/>
      <c r="F1046" s="246"/>
      <c r="G1046" s="213"/>
      <c r="H1046" s="490"/>
      <c r="I1046" s="490"/>
      <c r="J1046" s="490"/>
      <c r="K1046" s="490"/>
      <c r="L1046" s="490"/>
      <c r="M1046" s="490"/>
    </row>
    <row r="1047">
      <c r="A1047" s="191"/>
      <c r="B1047" s="55"/>
      <c r="C1047" s="60"/>
      <c r="D1047" s="62"/>
      <c r="E1047" s="62"/>
      <c r="F1047" s="228"/>
      <c r="G1047" s="229"/>
      <c r="H1047" s="490"/>
      <c r="I1047" s="490"/>
      <c r="J1047" s="490"/>
      <c r="K1047" s="490"/>
      <c r="L1047" s="490"/>
      <c r="M1047" s="490"/>
    </row>
    <row r="1048">
      <c r="A1048" s="194"/>
      <c r="B1048" s="55"/>
      <c r="C1048" s="60"/>
      <c r="D1048" s="489"/>
      <c r="E1048" s="489"/>
      <c r="F1048" s="246"/>
      <c r="G1048" s="213"/>
      <c r="H1048" s="490"/>
      <c r="I1048" s="490"/>
      <c r="J1048" s="490"/>
      <c r="K1048" s="490"/>
      <c r="L1048" s="490"/>
      <c r="M1048" s="490"/>
    </row>
    <row r="1049">
      <c r="A1049" s="191"/>
      <c r="B1049" s="55"/>
      <c r="C1049" s="60"/>
      <c r="D1049" s="62"/>
      <c r="E1049" s="62"/>
      <c r="F1049" s="228"/>
      <c r="G1049" s="229"/>
      <c r="H1049" s="490"/>
      <c r="I1049" s="490"/>
      <c r="J1049" s="490"/>
      <c r="K1049" s="490"/>
      <c r="L1049" s="490"/>
      <c r="M1049" s="490"/>
    </row>
    <row r="1050">
      <c r="A1050" s="194"/>
      <c r="B1050" s="55"/>
      <c r="C1050" s="60"/>
      <c r="D1050" s="489"/>
      <c r="E1050" s="489"/>
      <c r="F1050" s="246"/>
      <c r="G1050" s="213"/>
      <c r="H1050" s="490"/>
      <c r="I1050" s="490"/>
      <c r="J1050" s="490"/>
      <c r="K1050" s="490"/>
      <c r="L1050" s="490"/>
      <c r="M1050" s="490"/>
    </row>
    <row r="1051">
      <c r="A1051" s="191"/>
      <c r="B1051" s="55"/>
      <c r="C1051" s="60"/>
      <c r="D1051" s="62"/>
      <c r="E1051" s="62"/>
      <c r="F1051" s="228"/>
      <c r="G1051" s="229"/>
      <c r="H1051" s="490"/>
      <c r="I1051" s="490"/>
      <c r="J1051" s="490"/>
      <c r="K1051" s="490"/>
      <c r="L1051" s="490"/>
      <c r="M1051" s="490"/>
    </row>
    <row r="1052">
      <c r="A1052" s="194"/>
      <c r="B1052" s="55"/>
      <c r="C1052" s="60"/>
      <c r="D1052" s="489"/>
      <c r="E1052" s="489"/>
      <c r="F1052" s="246"/>
      <c r="G1052" s="213"/>
      <c r="H1052" s="490"/>
      <c r="I1052" s="490"/>
      <c r="J1052" s="490"/>
      <c r="K1052" s="490"/>
      <c r="L1052" s="490"/>
      <c r="M1052" s="490"/>
    </row>
    <row r="1053">
      <c r="A1053" s="191"/>
      <c r="B1053" s="55"/>
      <c r="C1053" s="60"/>
      <c r="D1053" s="62"/>
      <c r="E1053" s="62"/>
      <c r="F1053" s="228"/>
      <c r="G1053" s="229"/>
      <c r="H1053" s="490"/>
      <c r="I1053" s="490"/>
      <c r="J1053" s="490"/>
      <c r="K1053" s="490"/>
      <c r="L1053" s="490"/>
      <c r="M1053" s="490"/>
    </row>
    <row r="1054">
      <c r="A1054" s="194"/>
      <c r="B1054" s="55"/>
      <c r="C1054" s="60"/>
      <c r="D1054" s="489"/>
      <c r="E1054" s="489"/>
      <c r="F1054" s="246"/>
      <c r="G1054" s="213"/>
      <c r="H1054" s="490"/>
      <c r="I1054" s="490"/>
      <c r="J1054" s="490"/>
      <c r="K1054" s="490"/>
      <c r="L1054" s="490"/>
      <c r="M1054" s="490"/>
    </row>
    <row r="1055">
      <c r="A1055" s="191"/>
      <c r="B1055" s="55"/>
      <c r="C1055" s="60"/>
      <c r="D1055" s="62"/>
      <c r="E1055" s="62"/>
      <c r="F1055" s="228"/>
      <c r="G1055" s="229"/>
      <c r="H1055" s="490"/>
      <c r="I1055" s="490"/>
      <c r="J1055" s="490"/>
      <c r="K1055" s="490"/>
      <c r="L1055" s="490"/>
      <c r="M1055" s="490"/>
    </row>
    <row r="1056">
      <c r="A1056" s="194"/>
      <c r="B1056" s="55"/>
      <c r="C1056" s="60"/>
      <c r="D1056" s="489"/>
      <c r="E1056" s="489"/>
      <c r="F1056" s="246"/>
      <c r="G1056" s="213"/>
      <c r="H1056" s="490"/>
      <c r="I1056" s="490"/>
      <c r="J1056" s="490"/>
      <c r="K1056" s="490"/>
      <c r="L1056" s="490"/>
      <c r="M1056" s="490"/>
    </row>
    <row r="1057">
      <c r="A1057" s="191"/>
      <c r="B1057" s="55"/>
      <c r="C1057" s="60"/>
      <c r="D1057" s="62"/>
      <c r="E1057" s="62"/>
      <c r="F1057" s="228"/>
      <c r="G1057" s="229"/>
      <c r="H1057" s="490"/>
      <c r="I1057" s="490"/>
      <c r="J1057" s="490"/>
      <c r="K1057" s="490"/>
      <c r="L1057" s="490"/>
      <c r="M1057" s="490"/>
    </row>
    <row r="1058">
      <c r="A1058" s="194"/>
      <c r="B1058" s="55"/>
      <c r="C1058" s="60"/>
      <c r="D1058" s="489"/>
      <c r="E1058" s="489"/>
      <c r="F1058" s="246"/>
      <c r="G1058" s="213"/>
      <c r="H1058" s="490"/>
      <c r="I1058" s="490"/>
      <c r="J1058" s="490"/>
      <c r="K1058" s="490"/>
      <c r="L1058" s="490"/>
      <c r="M1058" s="490"/>
    </row>
    <row r="1059">
      <c r="A1059" s="191"/>
      <c r="B1059" s="55"/>
      <c r="C1059" s="60"/>
      <c r="D1059" s="62"/>
      <c r="E1059" s="62"/>
      <c r="F1059" s="228"/>
      <c r="G1059" s="229"/>
      <c r="H1059" s="490"/>
      <c r="I1059" s="490"/>
      <c r="J1059" s="490"/>
      <c r="K1059" s="490"/>
      <c r="L1059" s="490"/>
      <c r="M1059" s="490"/>
    </row>
    <row r="1060">
      <c r="A1060" s="194"/>
      <c r="B1060" s="55"/>
      <c r="C1060" s="60"/>
      <c r="D1060" s="489"/>
      <c r="E1060" s="489"/>
      <c r="F1060" s="246"/>
      <c r="G1060" s="213"/>
      <c r="H1060" s="490"/>
      <c r="I1060" s="490"/>
      <c r="J1060" s="490"/>
      <c r="K1060" s="490"/>
      <c r="L1060" s="490"/>
      <c r="M1060" s="490"/>
    </row>
    <row r="1061">
      <c r="A1061" s="191"/>
      <c r="B1061" s="55"/>
      <c r="C1061" s="60"/>
      <c r="D1061" s="62"/>
      <c r="E1061" s="62"/>
      <c r="F1061" s="228"/>
      <c r="G1061" s="229"/>
      <c r="H1061" s="490"/>
      <c r="I1061" s="490"/>
      <c r="J1061" s="490"/>
      <c r="K1061" s="490"/>
      <c r="L1061" s="490"/>
      <c r="M1061" s="490"/>
    </row>
    <row r="1062">
      <c r="A1062" s="194"/>
      <c r="B1062" s="55"/>
      <c r="C1062" s="60"/>
      <c r="D1062" s="489"/>
      <c r="E1062" s="489"/>
      <c r="F1062" s="246"/>
      <c r="G1062" s="213"/>
      <c r="H1062" s="490"/>
      <c r="I1062" s="490"/>
      <c r="J1062" s="490"/>
      <c r="K1062" s="490"/>
      <c r="L1062" s="490"/>
      <c r="M1062" s="490"/>
    </row>
    <row r="1063">
      <c r="A1063" s="191"/>
      <c r="B1063" s="55"/>
      <c r="C1063" s="60"/>
      <c r="D1063" s="62"/>
      <c r="E1063" s="62"/>
      <c r="F1063" s="228"/>
      <c r="G1063" s="229"/>
      <c r="H1063" s="490"/>
      <c r="I1063" s="490"/>
      <c r="J1063" s="490"/>
      <c r="K1063" s="490"/>
      <c r="L1063" s="490"/>
      <c r="M1063" s="490"/>
    </row>
    <row r="1064">
      <c r="A1064" s="194"/>
      <c r="B1064" s="55"/>
      <c r="C1064" s="60"/>
      <c r="D1064" s="489"/>
      <c r="E1064" s="489"/>
      <c r="F1064" s="246"/>
      <c r="G1064" s="213"/>
      <c r="H1064" s="490"/>
      <c r="I1064" s="490"/>
      <c r="J1064" s="490"/>
      <c r="K1064" s="490"/>
      <c r="L1064" s="490"/>
      <c r="M1064" s="490"/>
    </row>
    <row r="1065">
      <c r="A1065" s="191"/>
      <c r="B1065" s="55"/>
      <c r="C1065" s="60"/>
      <c r="D1065" s="62"/>
      <c r="E1065" s="62"/>
      <c r="F1065" s="228"/>
      <c r="G1065" s="229"/>
      <c r="H1065" s="490"/>
      <c r="I1065" s="490"/>
      <c r="J1065" s="490"/>
      <c r="K1065" s="490"/>
      <c r="L1065" s="490"/>
      <c r="M1065" s="490"/>
    </row>
    <row r="1066">
      <c r="A1066" s="194"/>
      <c r="B1066" s="55"/>
      <c r="C1066" s="60"/>
      <c r="D1066" s="489"/>
      <c r="E1066" s="489"/>
      <c r="F1066" s="246"/>
      <c r="G1066" s="213"/>
      <c r="H1066" s="490"/>
      <c r="I1066" s="490"/>
      <c r="J1066" s="490"/>
      <c r="K1066" s="490"/>
      <c r="L1066" s="490"/>
      <c r="M1066" s="490"/>
    </row>
    <row r="1067">
      <c r="A1067" s="191"/>
      <c r="B1067" s="55"/>
      <c r="C1067" s="60"/>
      <c r="D1067" s="62"/>
      <c r="E1067" s="62"/>
      <c r="F1067" s="228"/>
      <c r="G1067" s="229"/>
      <c r="H1067" s="490"/>
      <c r="I1067" s="490"/>
      <c r="J1067" s="490"/>
      <c r="K1067" s="490"/>
      <c r="L1067" s="490"/>
      <c r="M1067" s="490"/>
    </row>
    <row r="1068">
      <c r="A1068" s="194"/>
      <c r="B1068" s="55"/>
      <c r="C1068" s="60"/>
      <c r="D1068" s="489"/>
      <c r="E1068" s="489"/>
      <c r="F1068" s="246"/>
      <c r="G1068" s="213"/>
      <c r="H1068" s="490"/>
      <c r="I1068" s="490"/>
      <c r="J1068" s="490"/>
      <c r="K1068" s="490"/>
      <c r="L1068" s="490"/>
      <c r="M1068" s="490"/>
    </row>
    <row r="1069">
      <c r="A1069" s="191"/>
      <c r="B1069" s="55"/>
      <c r="C1069" s="60"/>
      <c r="D1069" s="62"/>
      <c r="E1069" s="62"/>
      <c r="F1069" s="228"/>
      <c r="G1069" s="229"/>
      <c r="H1069" s="490"/>
      <c r="I1069" s="490"/>
      <c r="J1069" s="490"/>
      <c r="K1069" s="490"/>
      <c r="L1069" s="490"/>
      <c r="M1069" s="490"/>
    </row>
    <row r="1070">
      <c r="A1070" s="194"/>
      <c r="B1070" s="55"/>
      <c r="C1070" s="60"/>
      <c r="D1070" s="489"/>
      <c r="E1070" s="489"/>
      <c r="F1070" s="246"/>
      <c r="G1070" s="213"/>
      <c r="H1070" s="490"/>
      <c r="I1070" s="490"/>
      <c r="J1070" s="490"/>
      <c r="K1070" s="490"/>
      <c r="L1070" s="490"/>
      <c r="M1070" s="490"/>
    </row>
    <row r="1071">
      <c r="A1071" s="191"/>
      <c r="B1071" s="55"/>
      <c r="C1071" s="60"/>
      <c r="D1071" s="62"/>
      <c r="E1071" s="62"/>
      <c r="F1071" s="228"/>
      <c r="G1071" s="229"/>
      <c r="H1071" s="490"/>
      <c r="I1071" s="490"/>
      <c r="J1071" s="490"/>
      <c r="K1071" s="490"/>
      <c r="L1071" s="490"/>
      <c r="M1071" s="490"/>
    </row>
    <row r="1072">
      <c r="A1072" s="194"/>
      <c r="B1072" s="55"/>
      <c r="C1072" s="60"/>
      <c r="D1072" s="489"/>
      <c r="E1072" s="489"/>
      <c r="F1072" s="246"/>
      <c r="G1072" s="213"/>
      <c r="H1072" s="490"/>
      <c r="I1072" s="490"/>
      <c r="J1072" s="490"/>
      <c r="K1072" s="490"/>
      <c r="L1072" s="490"/>
      <c r="M1072" s="490"/>
    </row>
    <row r="1073">
      <c r="A1073" s="191"/>
      <c r="B1073" s="55"/>
      <c r="C1073" s="60"/>
      <c r="D1073" s="62"/>
      <c r="E1073" s="62"/>
      <c r="F1073" s="228"/>
      <c r="G1073" s="229"/>
      <c r="H1073" s="490"/>
      <c r="I1073" s="490"/>
      <c r="J1073" s="490"/>
      <c r="K1073" s="490"/>
      <c r="L1073" s="490"/>
      <c r="M1073" s="490"/>
    </row>
    <row r="1074">
      <c r="A1074" s="194"/>
      <c r="B1074" s="55"/>
      <c r="C1074" s="60"/>
      <c r="D1074" s="489"/>
      <c r="E1074" s="489"/>
      <c r="F1074" s="246"/>
      <c r="G1074" s="213"/>
      <c r="H1074" s="490"/>
      <c r="I1074" s="490"/>
      <c r="J1074" s="490"/>
      <c r="K1074" s="490"/>
      <c r="L1074" s="490"/>
      <c r="M1074" s="490"/>
    </row>
    <row r="1075">
      <c r="A1075" s="191"/>
      <c r="B1075" s="55"/>
      <c r="C1075" s="60"/>
      <c r="D1075" s="62"/>
      <c r="E1075" s="62"/>
      <c r="F1075" s="228"/>
      <c r="G1075" s="229"/>
      <c r="H1075" s="490"/>
      <c r="I1075" s="490"/>
      <c r="J1075" s="490"/>
      <c r="K1075" s="490"/>
      <c r="L1075" s="490"/>
      <c r="M1075" s="490"/>
    </row>
    <row r="1076">
      <c r="A1076" s="194"/>
      <c r="B1076" s="55"/>
      <c r="C1076" s="60"/>
      <c r="D1076" s="489"/>
      <c r="E1076" s="489"/>
      <c r="F1076" s="246"/>
      <c r="G1076" s="213"/>
      <c r="H1076" s="490"/>
      <c r="I1076" s="490"/>
      <c r="J1076" s="490"/>
      <c r="K1076" s="490"/>
      <c r="L1076" s="490"/>
      <c r="M1076" s="490"/>
    </row>
    <row r="1077">
      <c r="A1077" s="191"/>
      <c r="B1077" s="55"/>
      <c r="C1077" s="60"/>
      <c r="D1077" s="62"/>
      <c r="E1077" s="62"/>
      <c r="F1077" s="228"/>
      <c r="G1077" s="229"/>
      <c r="H1077" s="490"/>
      <c r="I1077" s="490"/>
      <c r="J1077" s="490"/>
      <c r="K1077" s="490"/>
      <c r="L1077" s="490"/>
      <c r="M1077" s="490"/>
    </row>
    <row r="1078">
      <c r="A1078" s="194"/>
      <c r="B1078" s="55"/>
      <c r="C1078" s="60"/>
      <c r="D1078" s="489"/>
      <c r="E1078" s="489"/>
      <c r="F1078" s="246"/>
      <c r="G1078" s="213"/>
      <c r="H1078" s="490"/>
      <c r="I1078" s="490"/>
      <c r="J1078" s="490"/>
      <c r="K1078" s="490"/>
      <c r="L1078" s="490"/>
      <c r="M1078" s="490"/>
    </row>
    <row r="1079">
      <c r="A1079" s="191"/>
      <c r="B1079" s="55"/>
      <c r="C1079" s="60"/>
      <c r="D1079" s="62"/>
      <c r="E1079" s="62"/>
      <c r="F1079" s="228"/>
      <c r="G1079" s="229"/>
      <c r="H1079" s="490"/>
      <c r="I1079" s="490"/>
      <c r="J1079" s="490"/>
      <c r="K1079" s="490"/>
      <c r="L1079" s="490"/>
      <c r="M1079" s="490"/>
    </row>
    <row r="1080">
      <c r="A1080" s="194"/>
      <c r="B1080" s="55"/>
      <c r="C1080" s="60"/>
      <c r="D1080" s="489"/>
      <c r="E1080" s="489"/>
      <c r="F1080" s="246"/>
      <c r="G1080" s="213"/>
      <c r="H1080" s="490"/>
      <c r="I1080" s="490"/>
      <c r="J1080" s="490"/>
      <c r="K1080" s="490"/>
      <c r="L1080" s="490"/>
      <c r="M1080" s="490"/>
    </row>
    <row r="1081">
      <c r="A1081" s="191"/>
      <c r="B1081" s="55"/>
      <c r="C1081" s="60"/>
      <c r="D1081" s="62"/>
      <c r="E1081" s="62"/>
      <c r="F1081" s="228"/>
      <c r="G1081" s="229"/>
      <c r="H1081" s="490"/>
      <c r="I1081" s="490"/>
      <c r="J1081" s="490"/>
      <c r="K1081" s="490"/>
      <c r="L1081" s="490"/>
      <c r="M1081" s="490"/>
    </row>
    <row r="1082">
      <c r="A1082" s="194"/>
      <c r="B1082" s="55"/>
      <c r="C1082" s="60"/>
      <c r="D1082" s="489"/>
      <c r="E1082" s="489"/>
      <c r="F1082" s="246"/>
      <c r="G1082" s="213"/>
      <c r="H1082" s="490"/>
      <c r="I1082" s="490"/>
      <c r="J1082" s="490"/>
      <c r="K1082" s="490"/>
      <c r="L1082" s="490"/>
      <c r="M1082" s="490"/>
    </row>
    <row r="1083">
      <c r="A1083" s="191"/>
      <c r="B1083" s="55"/>
      <c r="C1083" s="60"/>
      <c r="D1083" s="62"/>
      <c r="E1083" s="62"/>
      <c r="F1083" s="228"/>
      <c r="G1083" s="229"/>
      <c r="H1083" s="490"/>
      <c r="I1083" s="490"/>
      <c r="J1083" s="490"/>
      <c r="K1083" s="490"/>
      <c r="L1083" s="490"/>
      <c r="M1083" s="490"/>
    </row>
    <row r="1084">
      <c r="A1084" s="194"/>
      <c r="B1084" s="55"/>
      <c r="C1084" s="60"/>
      <c r="D1084" s="489"/>
      <c r="E1084" s="489"/>
      <c r="F1084" s="246"/>
      <c r="G1084" s="213"/>
      <c r="H1084" s="490"/>
      <c r="I1084" s="490"/>
      <c r="J1084" s="490"/>
      <c r="K1084" s="490"/>
      <c r="L1084" s="490"/>
      <c r="M1084" s="490"/>
    </row>
    <row r="1085">
      <c r="A1085" s="191"/>
      <c r="B1085" s="55"/>
      <c r="C1085" s="60"/>
      <c r="D1085" s="62"/>
      <c r="E1085" s="62"/>
      <c r="F1085" s="228"/>
      <c r="G1085" s="229"/>
      <c r="H1085" s="490"/>
      <c r="I1085" s="490"/>
      <c r="J1085" s="490"/>
      <c r="K1085" s="490"/>
      <c r="L1085" s="490"/>
      <c r="M1085" s="490"/>
    </row>
    <row r="1086">
      <c r="A1086" s="194"/>
      <c r="B1086" s="55"/>
      <c r="C1086" s="60"/>
      <c r="D1086" s="489"/>
      <c r="E1086" s="489"/>
      <c r="F1086" s="246"/>
      <c r="G1086" s="213"/>
      <c r="H1086" s="490"/>
      <c r="I1086" s="490"/>
      <c r="J1086" s="490"/>
      <c r="K1086" s="490"/>
      <c r="L1086" s="490"/>
      <c r="M1086" s="490"/>
    </row>
    <row r="1087">
      <c r="A1087" s="191"/>
      <c r="B1087" s="55"/>
      <c r="C1087" s="60"/>
      <c r="D1087" s="62"/>
      <c r="E1087" s="62"/>
      <c r="F1087" s="228"/>
      <c r="G1087" s="229"/>
      <c r="H1087" s="490"/>
      <c r="I1087" s="490"/>
      <c r="J1087" s="490"/>
      <c r="K1087" s="490"/>
      <c r="L1087" s="490"/>
      <c r="M1087" s="490"/>
    </row>
    <row r="1088">
      <c r="A1088" s="194"/>
      <c r="B1088" s="55"/>
      <c r="C1088" s="60"/>
      <c r="D1088" s="489"/>
      <c r="E1088" s="489"/>
      <c r="F1088" s="246"/>
      <c r="G1088" s="213"/>
      <c r="H1088" s="490"/>
      <c r="I1088" s="490"/>
      <c r="J1088" s="490"/>
      <c r="K1088" s="490"/>
      <c r="L1088" s="490"/>
      <c r="M1088" s="490"/>
    </row>
    <row r="1089">
      <c r="A1089" s="191"/>
      <c r="B1089" s="55"/>
      <c r="C1089" s="60"/>
      <c r="D1089" s="62"/>
      <c r="E1089" s="62"/>
      <c r="F1089" s="228"/>
      <c r="G1089" s="229"/>
      <c r="H1089" s="490"/>
      <c r="I1089" s="490"/>
      <c r="J1089" s="490"/>
      <c r="K1089" s="490"/>
      <c r="L1089" s="490"/>
      <c r="M1089" s="490"/>
    </row>
    <row r="1090">
      <c r="A1090" s="194"/>
      <c r="B1090" s="55"/>
      <c r="C1090" s="60"/>
      <c r="D1090" s="489"/>
      <c r="E1090" s="489"/>
      <c r="F1090" s="246"/>
      <c r="G1090" s="213"/>
      <c r="H1090" s="490"/>
      <c r="I1090" s="490"/>
      <c r="J1090" s="490"/>
      <c r="K1090" s="490"/>
      <c r="L1090" s="490"/>
      <c r="M1090" s="490"/>
    </row>
    <row r="1091">
      <c r="A1091" s="191"/>
      <c r="B1091" s="55"/>
      <c r="C1091" s="60"/>
      <c r="D1091" s="62"/>
      <c r="E1091" s="62"/>
      <c r="F1091" s="228"/>
      <c r="G1091" s="229"/>
      <c r="H1091" s="490"/>
      <c r="I1091" s="490"/>
      <c r="J1091" s="490"/>
      <c r="K1091" s="490"/>
      <c r="L1091" s="490"/>
      <c r="M1091" s="490"/>
    </row>
    <row r="1092">
      <c r="A1092" s="194"/>
      <c r="B1092" s="55"/>
      <c r="C1092" s="60"/>
      <c r="D1092" s="489"/>
      <c r="E1092" s="489"/>
      <c r="F1092" s="246"/>
      <c r="G1092" s="213"/>
      <c r="H1092" s="490"/>
      <c r="I1092" s="490"/>
      <c r="J1092" s="490"/>
      <c r="K1092" s="490"/>
      <c r="L1092" s="490"/>
      <c r="M1092" s="490"/>
    </row>
    <row r="1093">
      <c r="A1093" s="191"/>
      <c r="B1093" s="55"/>
      <c r="C1093" s="60"/>
      <c r="D1093" s="62"/>
      <c r="E1093" s="62"/>
      <c r="F1093" s="228"/>
      <c r="G1093" s="229"/>
      <c r="H1093" s="490"/>
      <c r="I1093" s="490"/>
      <c r="J1093" s="490"/>
      <c r="K1093" s="490"/>
      <c r="L1093" s="490"/>
      <c r="M1093" s="490"/>
    </row>
    <row r="1094">
      <c r="A1094" s="194"/>
      <c r="B1094" s="55"/>
      <c r="C1094" s="60"/>
      <c r="D1094" s="489"/>
      <c r="E1094" s="489"/>
      <c r="F1094" s="246"/>
      <c r="G1094" s="213"/>
      <c r="H1094" s="490"/>
      <c r="I1094" s="490"/>
      <c r="J1094" s="490"/>
      <c r="K1094" s="490"/>
      <c r="L1094" s="490"/>
      <c r="M1094" s="490"/>
    </row>
    <row r="1095">
      <c r="A1095" s="191"/>
      <c r="B1095" s="55"/>
      <c r="C1095" s="60"/>
      <c r="D1095" s="62"/>
      <c r="E1095" s="62"/>
      <c r="F1095" s="228"/>
      <c r="G1095" s="229"/>
      <c r="H1095" s="490"/>
      <c r="I1095" s="490"/>
      <c r="J1095" s="490"/>
      <c r="K1095" s="490"/>
      <c r="L1095" s="490"/>
      <c r="M1095" s="490"/>
    </row>
    <row r="1096">
      <c r="A1096" s="194"/>
      <c r="B1096" s="55"/>
      <c r="C1096" s="60"/>
      <c r="D1096" s="489"/>
      <c r="E1096" s="489"/>
      <c r="F1096" s="246"/>
      <c r="G1096" s="213"/>
      <c r="H1096" s="490"/>
      <c r="I1096" s="490"/>
      <c r="J1096" s="490"/>
      <c r="K1096" s="490"/>
      <c r="L1096" s="490"/>
      <c r="M1096" s="490"/>
    </row>
    <row r="1097">
      <c r="A1097" s="191"/>
      <c r="B1097" s="55"/>
      <c r="C1097" s="60"/>
      <c r="D1097" s="62"/>
      <c r="E1097" s="62"/>
      <c r="F1097" s="228"/>
      <c r="G1097" s="229"/>
      <c r="H1097" s="490"/>
      <c r="I1097" s="490"/>
      <c r="J1097" s="490"/>
      <c r="K1097" s="490"/>
      <c r="L1097" s="490"/>
      <c r="M1097" s="490"/>
    </row>
    <row r="1098">
      <c r="A1098" s="194"/>
      <c r="B1098" s="55"/>
      <c r="C1098" s="60"/>
      <c r="D1098" s="489"/>
      <c r="E1098" s="489"/>
      <c r="F1098" s="246"/>
      <c r="G1098" s="213"/>
      <c r="H1098" s="490"/>
      <c r="I1098" s="490"/>
      <c r="J1098" s="490"/>
      <c r="K1098" s="490"/>
      <c r="L1098" s="490"/>
      <c r="M1098" s="490"/>
    </row>
    <row r="1099">
      <c r="A1099" s="191"/>
      <c r="B1099" s="55"/>
      <c r="C1099" s="60"/>
      <c r="D1099" s="62"/>
      <c r="E1099" s="62"/>
      <c r="F1099" s="228"/>
      <c r="G1099" s="229"/>
      <c r="H1099" s="490"/>
      <c r="I1099" s="490"/>
      <c r="J1099" s="490"/>
      <c r="K1099" s="490"/>
      <c r="L1099" s="490"/>
      <c r="M1099" s="490"/>
    </row>
    <row r="1100">
      <c r="A1100" s="194"/>
      <c r="B1100" s="55"/>
      <c r="C1100" s="60"/>
      <c r="D1100" s="489"/>
      <c r="E1100" s="489"/>
      <c r="F1100" s="246"/>
      <c r="G1100" s="213"/>
      <c r="H1100" s="490"/>
      <c r="I1100" s="490"/>
      <c r="J1100" s="490"/>
      <c r="K1100" s="490"/>
      <c r="L1100" s="490"/>
      <c r="M1100" s="490"/>
    </row>
    <row r="1101">
      <c r="A1101" s="191"/>
      <c r="B1101" s="55"/>
      <c r="C1101" s="60"/>
      <c r="D1101" s="62"/>
      <c r="E1101" s="62"/>
      <c r="F1101" s="228"/>
      <c r="G1101" s="229"/>
      <c r="H1101" s="490"/>
      <c r="I1101" s="490"/>
      <c r="J1101" s="490"/>
      <c r="K1101" s="490"/>
      <c r="L1101" s="490"/>
      <c r="M1101" s="490"/>
    </row>
    <row r="1102">
      <c r="A1102" s="194"/>
      <c r="B1102" s="55"/>
      <c r="C1102" s="60"/>
      <c r="D1102" s="489"/>
      <c r="E1102" s="489"/>
      <c r="F1102" s="246"/>
      <c r="G1102" s="213"/>
      <c r="H1102" s="490"/>
      <c r="I1102" s="490"/>
      <c r="J1102" s="490"/>
      <c r="K1102" s="490"/>
      <c r="L1102" s="490"/>
      <c r="M1102" s="490"/>
    </row>
    <row r="1103">
      <c r="A1103" s="191"/>
      <c r="B1103" s="55"/>
      <c r="C1103" s="60"/>
      <c r="D1103" s="62"/>
      <c r="E1103" s="62"/>
      <c r="F1103" s="228"/>
      <c r="G1103" s="229"/>
      <c r="H1103" s="490"/>
      <c r="I1103" s="490"/>
      <c r="J1103" s="490"/>
      <c r="K1103" s="490"/>
      <c r="L1103" s="490"/>
      <c r="M1103" s="490"/>
    </row>
    <row r="1104">
      <c r="A1104" s="194"/>
      <c r="B1104" s="55"/>
      <c r="C1104" s="60"/>
      <c r="D1104" s="489"/>
      <c r="E1104" s="489"/>
      <c r="F1104" s="246"/>
      <c r="G1104" s="213"/>
      <c r="H1104" s="490"/>
      <c r="I1104" s="490"/>
      <c r="J1104" s="490"/>
      <c r="K1104" s="490"/>
      <c r="L1104" s="490"/>
      <c r="M1104" s="490"/>
    </row>
    <row r="1105">
      <c r="A1105" s="191"/>
      <c r="B1105" s="55"/>
      <c r="C1105" s="60"/>
      <c r="D1105" s="62"/>
      <c r="E1105" s="62"/>
      <c r="F1105" s="228"/>
      <c r="G1105" s="229"/>
      <c r="H1105" s="490"/>
      <c r="I1105" s="490"/>
      <c r="J1105" s="490"/>
      <c r="K1105" s="490"/>
      <c r="L1105" s="490"/>
      <c r="M1105" s="490"/>
    </row>
    <row r="1106">
      <c r="A1106" s="194"/>
      <c r="B1106" s="55"/>
      <c r="C1106" s="60"/>
      <c r="D1106" s="489"/>
      <c r="E1106" s="489"/>
      <c r="F1106" s="246"/>
      <c r="G1106" s="213"/>
      <c r="H1106" s="490"/>
      <c r="I1106" s="490"/>
      <c r="J1106" s="490"/>
      <c r="K1106" s="490"/>
      <c r="L1106" s="490"/>
      <c r="M1106" s="490"/>
    </row>
    <row r="1107">
      <c r="A1107" s="191"/>
      <c r="B1107" s="55"/>
      <c r="C1107" s="60"/>
      <c r="D1107" s="62"/>
      <c r="E1107" s="62"/>
      <c r="F1107" s="228"/>
      <c r="G1107" s="229"/>
      <c r="H1107" s="490"/>
      <c r="I1107" s="490"/>
      <c r="J1107" s="490"/>
      <c r="K1107" s="490"/>
      <c r="L1107" s="490"/>
      <c r="M1107" s="490"/>
    </row>
    <row r="1108">
      <c r="A1108" s="194"/>
      <c r="B1108" s="55"/>
      <c r="C1108" s="60"/>
      <c r="D1108" s="489"/>
      <c r="E1108" s="489"/>
      <c r="F1108" s="246"/>
      <c r="G1108" s="213"/>
      <c r="H1108" s="490"/>
      <c r="I1108" s="490"/>
      <c r="J1108" s="490"/>
      <c r="K1108" s="490"/>
      <c r="L1108" s="490"/>
      <c r="M1108" s="490"/>
    </row>
    <row r="1109">
      <c r="A1109" s="191"/>
      <c r="B1109" s="55"/>
      <c r="C1109" s="60"/>
      <c r="D1109" s="62"/>
      <c r="E1109" s="62"/>
      <c r="F1109" s="228"/>
      <c r="G1109" s="229"/>
      <c r="H1109" s="490"/>
      <c r="I1109" s="490"/>
      <c r="J1109" s="490"/>
      <c r="K1109" s="490"/>
      <c r="L1109" s="490"/>
      <c r="M1109" s="490"/>
    </row>
    <row r="1110">
      <c r="A1110" s="194"/>
      <c r="B1110" s="55"/>
      <c r="C1110" s="60"/>
      <c r="D1110" s="489"/>
      <c r="E1110" s="489"/>
      <c r="F1110" s="246"/>
      <c r="G1110" s="213"/>
      <c r="H1110" s="490"/>
      <c r="I1110" s="490"/>
      <c r="J1110" s="490"/>
      <c r="K1110" s="490"/>
      <c r="L1110" s="490"/>
      <c r="M1110" s="490"/>
    </row>
    <row r="1111">
      <c r="A1111" s="191"/>
      <c r="B1111" s="55"/>
      <c r="C1111" s="60"/>
      <c r="D1111" s="62"/>
      <c r="E1111" s="62"/>
      <c r="F1111" s="228"/>
      <c r="G1111" s="229"/>
      <c r="H1111" s="490"/>
      <c r="I1111" s="490"/>
      <c r="J1111" s="490"/>
      <c r="K1111" s="490"/>
      <c r="L1111" s="490"/>
      <c r="M1111" s="490"/>
    </row>
    <row r="1112">
      <c r="A1112" s="194"/>
      <c r="B1112" s="55"/>
      <c r="C1112" s="60"/>
      <c r="D1112" s="489"/>
      <c r="E1112" s="489"/>
      <c r="F1112" s="246"/>
      <c r="G1112" s="213"/>
      <c r="H1112" s="490"/>
      <c r="I1112" s="490"/>
      <c r="J1112" s="490"/>
      <c r="K1112" s="490"/>
      <c r="L1112" s="490"/>
      <c r="M1112" s="490"/>
    </row>
    <row r="1113">
      <c r="A1113" s="191"/>
      <c r="B1113" s="55"/>
      <c r="C1113" s="60"/>
      <c r="D1113" s="62"/>
      <c r="E1113" s="62"/>
      <c r="F1113" s="228"/>
      <c r="G1113" s="229"/>
      <c r="H1113" s="490"/>
      <c r="I1113" s="490"/>
      <c r="J1113" s="490"/>
      <c r="K1113" s="490"/>
      <c r="L1113" s="490"/>
      <c r="M1113" s="490"/>
    </row>
    <row r="1114">
      <c r="A1114" s="194"/>
      <c r="B1114" s="55"/>
      <c r="C1114" s="60"/>
      <c r="D1114" s="489"/>
      <c r="E1114" s="489"/>
      <c r="F1114" s="246"/>
      <c r="G1114" s="213"/>
      <c r="H1114" s="490"/>
      <c r="I1114" s="490"/>
      <c r="J1114" s="490"/>
      <c r="K1114" s="490"/>
      <c r="L1114" s="490"/>
      <c r="M1114" s="490"/>
    </row>
    <row r="1115">
      <c r="A1115" s="191"/>
      <c r="B1115" s="55"/>
      <c r="C1115" s="60"/>
      <c r="D1115" s="62"/>
      <c r="E1115" s="62"/>
      <c r="F1115" s="228"/>
      <c r="G1115" s="229"/>
      <c r="H1115" s="490"/>
      <c r="I1115" s="490"/>
      <c r="J1115" s="490"/>
      <c r="K1115" s="490"/>
      <c r="L1115" s="490"/>
      <c r="M1115" s="490"/>
    </row>
    <row r="1116">
      <c r="A1116" s="194"/>
      <c r="B1116" s="55"/>
      <c r="C1116" s="60"/>
      <c r="D1116" s="489"/>
      <c r="E1116" s="489"/>
      <c r="F1116" s="246"/>
      <c r="G1116" s="213"/>
      <c r="H1116" s="490"/>
      <c r="I1116" s="490"/>
      <c r="J1116" s="490"/>
      <c r="K1116" s="490"/>
      <c r="L1116" s="490"/>
      <c r="M1116" s="490"/>
    </row>
    <row r="1117">
      <c r="A1117" s="191"/>
      <c r="B1117" s="55"/>
      <c r="C1117" s="60"/>
      <c r="D1117" s="62"/>
      <c r="E1117" s="62"/>
      <c r="F1117" s="228"/>
      <c r="G1117" s="229"/>
      <c r="H1117" s="490"/>
      <c r="I1117" s="490"/>
      <c r="J1117" s="490"/>
      <c r="K1117" s="490"/>
      <c r="L1117" s="490"/>
      <c r="M1117" s="490"/>
    </row>
    <row r="1118">
      <c r="A1118" s="194"/>
      <c r="B1118" s="55"/>
      <c r="C1118" s="60"/>
      <c r="D1118" s="489"/>
      <c r="E1118" s="489"/>
      <c r="F1118" s="246"/>
      <c r="G1118" s="213"/>
      <c r="H1118" s="490"/>
      <c r="I1118" s="490"/>
      <c r="J1118" s="490"/>
      <c r="K1118" s="490"/>
      <c r="L1118" s="490"/>
      <c r="M1118" s="490"/>
    </row>
    <row r="1119">
      <c r="A1119" s="191"/>
      <c r="B1119" s="55"/>
      <c r="C1119" s="60"/>
      <c r="D1119" s="62"/>
      <c r="E1119" s="62"/>
      <c r="F1119" s="228"/>
      <c r="G1119" s="229"/>
      <c r="H1119" s="490"/>
      <c r="I1119" s="490"/>
      <c r="J1119" s="490"/>
      <c r="K1119" s="490"/>
      <c r="L1119" s="490"/>
      <c r="M1119" s="490"/>
    </row>
    <row r="1120">
      <c r="A1120" s="194"/>
      <c r="B1120" s="55"/>
      <c r="C1120" s="60"/>
      <c r="D1120" s="489"/>
      <c r="E1120" s="489"/>
      <c r="F1120" s="246"/>
      <c r="G1120" s="213"/>
      <c r="H1120" s="490"/>
      <c r="I1120" s="490"/>
      <c r="J1120" s="490"/>
      <c r="K1120" s="490"/>
      <c r="L1120" s="490"/>
      <c r="M1120" s="490"/>
    </row>
    <row r="1121">
      <c r="A1121" s="191"/>
      <c r="B1121" s="55"/>
      <c r="C1121" s="60"/>
      <c r="D1121" s="62"/>
      <c r="E1121" s="62"/>
      <c r="F1121" s="228"/>
      <c r="G1121" s="229"/>
      <c r="H1121" s="490"/>
      <c r="I1121" s="490"/>
      <c r="J1121" s="490"/>
      <c r="K1121" s="490"/>
      <c r="L1121" s="490"/>
      <c r="M1121" s="490"/>
    </row>
    <row r="1122">
      <c r="A1122" s="194"/>
      <c r="B1122" s="55"/>
      <c r="C1122" s="60"/>
      <c r="D1122" s="489"/>
      <c r="E1122" s="489"/>
      <c r="F1122" s="246"/>
      <c r="G1122" s="213"/>
      <c r="H1122" s="490"/>
      <c r="I1122" s="490"/>
      <c r="J1122" s="490"/>
      <c r="K1122" s="490"/>
      <c r="L1122" s="490"/>
      <c r="M1122" s="490"/>
    </row>
    <row r="1123">
      <c r="A1123" s="191"/>
      <c r="B1123" s="55"/>
      <c r="C1123" s="60"/>
      <c r="D1123" s="62"/>
      <c r="E1123" s="62"/>
      <c r="F1123" s="228"/>
      <c r="G1123" s="229"/>
      <c r="H1123" s="490"/>
      <c r="I1123" s="490"/>
      <c r="J1123" s="490"/>
      <c r="K1123" s="490"/>
      <c r="L1123" s="490"/>
      <c r="M1123" s="490"/>
    </row>
    <row r="1124">
      <c r="A1124" s="194"/>
      <c r="B1124" s="55"/>
      <c r="C1124" s="60"/>
      <c r="D1124" s="489"/>
      <c r="E1124" s="489"/>
      <c r="F1124" s="246"/>
      <c r="G1124" s="213"/>
      <c r="H1124" s="490"/>
      <c r="I1124" s="490"/>
      <c r="J1124" s="490"/>
      <c r="K1124" s="490"/>
      <c r="L1124" s="490"/>
      <c r="M1124" s="490"/>
    </row>
    <row r="1125">
      <c r="A1125" s="191"/>
      <c r="B1125" s="55"/>
      <c r="C1125" s="60"/>
      <c r="D1125" s="62"/>
      <c r="E1125" s="62"/>
      <c r="F1125" s="228"/>
      <c r="G1125" s="229"/>
      <c r="H1125" s="490"/>
      <c r="I1125" s="490"/>
      <c r="J1125" s="490"/>
      <c r="K1125" s="490"/>
      <c r="L1125" s="490"/>
      <c r="M1125" s="490"/>
    </row>
    <row r="1126">
      <c r="A1126" s="194"/>
      <c r="B1126" s="55"/>
      <c r="C1126" s="60"/>
      <c r="D1126" s="489"/>
      <c r="E1126" s="489"/>
      <c r="F1126" s="246"/>
      <c r="G1126" s="213"/>
      <c r="H1126" s="490"/>
      <c r="I1126" s="490"/>
      <c r="J1126" s="490"/>
      <c r="K1126" s="490"/>
      <c r="L1126" s="490"/>
      <c r="M1126" s="490"/>
    </row>
    <row r="1127">
      <c r="A1127" s="191"/>
      <c r="B1127" s="55"/>
      <c r="C1127" s="60"/>
      <c r="D1127" s="62"/>
      <c r="E1127" s="62"/>
      <c r="F1127" s="228"/>
      <c r="G1127" s="229"/>
      <c r="H1127" s="490"/>
      <c r="I1127" s="490"/>
      <c r="J1127" s="490"/>
      <c r="K1127" s="490"/>
      <c r="L1127" s="490"/>
      <c r="M1127" s="490"/>
    </row>
    <row r="1128">
      <c r="A1128" s="194"/>
      <c r="B1128" s="55"/>
      <c r="C1128" s="60"/>
      <c r="D1128" s="489"/>
      <c r="E1128" s="489"/>
      <c r="F1128" s="246"/>
      <c r="G1128" s="213"/>
      <c r="H1128" s="490"/>
      <c r="I1128" s="490"/>
      <c r="J1128" s="490"/>
      <c r="K1128" s="490"/>
      <c r="L1128" s="490"/>
      <c r="M1128" s="490"/>
    </row>
    <row r="1129">
      <c r="A1129" s="191"/>
      <c r="B1129" s="55"/>
      <c r="C1129" s="60"/>
      <c r="D1129" s="62"/>
      <c r="E1129" s="62"/>
      <c r="F1129" s="228"/>
      <c r="G1129" s="229"/>
      <c r="H1129" s="490"/>
      <c r="I1129" s="490"/>
      <c r="J1129" s="490"/>
      <c r="K1129" s="490"/>
      <c r="L1129" s="490"/>
      <c r="M1129" s="490"/>
    </row>
    <row r="1130">
      <c r="A1130" s="194"/>
      <c r="B1130" s="55"/>
      <c r="C1130" s="60"/>
      <c r="D1130" s="489"/>
      <c r="E1130" s="489"/>
      <c r="F1130" s="246"/>
      <c r="G1130" s="213"/>
      <c r="H1130" s="490"/>
      <c r="I1130" s="490"/>
      <c r="J1130" s="490"/>
      <c r="K1130" s="490"/>
      <c r="L1130" s="490"/>
      <c r="M1130" s="490"/>
    </row>
    <row r="1131">
      <c r="A1131" s="191"/>
      <c r="B1131" s="55"/>
      <c r="C1131" s="60"/>
      <c r="D1131" s="62"/>
      <c r="E1131" s="62"/>
      <c r="F1131" s="228"/>
      <c r="G1131" s="229"/>
      <c r="H1131" s="490"/>
      <c r="I1131" s="490"/>
      <c r="J1131" s="490"/>
      <c r="K1131" s="490"/>
      <c r="L1131" s="490"/>
      <c r="M1131" s="490"/>
    </row>
    <row r="1132">
      <c r="A1132" s="194"/>
      <c r="B1132" s="55"/>
      <c r="C1132" s="60"/>
      <c r="D1132" s="489"/>
      <c r="E1132" s="489"/>
      <c r="F1132" s="246"/>
      <c r="G1132" s="213"/>
      <c r="H1132" s="490"/>
      <c r="I1132" s="490"/>
      <c r="J1132" s="490"/>
      <c r="K1132" s="490"/>
      <c r="L1132" s="490"/>
      <c r="M1132" s="490"/>
    </row>
    <row r="1133">
      <c r="A1133" s="191"/>
      <c r="B1133" s="55"/>
      <c r="C1133" s="60"/>
      <c r="D1133" s="62"/>
      <c r="E1133" s="62"/>
      <c r="F1133" s="228"/>
      <c r="G1133" s="229"/>
      <c r="H1133" s="490"/>
      <c r="I1133" s="490"/>
      <c r="J1133" s="490"/>
      <c r="K1133" s="490"/>
      <c r="L1133" s="490"/>
      <c r="M1133" s="490"/>
    </row>
    <row r="1134">
      <c r="A1134" s="194"/>
      <c r="B1134" s="55"/>
      <c r="C1134" s="60"/>
      <c r="D1134" s="489"/>
      <c r="E1134" s="489"/>
      <c r="F1134" s="246"/>
      <c r="G1134" s="213"/>
      <c r="H1134" s="490"/>
      <c r="I1134" s="490"/>
      <c r="J1134" s="490"/>
      <c r="K1134" s="490"/>
      <c r="L1134" s="490"/>
      <c r="M1134" s="490"/>
    </row>
    <row r="1135">
      <c r="A1135" s="191"/>
      <c r="B1135" s="55"/>
      <c r="C1135" s="60"/>
      <c r="D1135" s="62"/>
      <c r="E1135" s="62"/>
      <c r="F1135" s="228"/>
      <c r="G1135" s="229"/>
      <c r="H1135" s="490"/>
      <c r="I1135" s="490"/>
      <c r="J1135" s="490"/>
      <c r="K1135" s="490"/>
      <c r="L1135" s="490"/>
      <c r="M1135" s="490"/>
    </row>
    <row r="1136">
      <c r="A1136" s="194"/>
      <c r="B1136" s="55"/>
      <c r="C1136" s="60"/>
      <c r="D1136" s="489"/>
      <c r="E1136" s="489"/>
      <c r="F1136" s="246"/>
      <c r="G1136" s="213"/>
      <c r="H1136" s="490"/>
      <c r="I1136" s="490"/>
      <c r="J1136" s="490"/>
      <c r="K1136" s="490"/>
      <c r="L1136" s="490"/>
      <c r="M1136" s="490"/>
    </row>
    <row r="1137">
      <c r="A1137" s="191"/>
      <c r="B1137" s="55"/>
      <c r="C1137" s="60"/>
      <c r="D1137" s="62"/>
      <c r="E1137" s="62"/>
      <c r="F1137" s="228"/>
      <c r="G1137" s="229"/>
      <c r="H1137" s="490"/>
      <c r="I1137" s="490"/>
      <c r="J1137" s="490"/>
      <c r="K1137" s="490"/>
      <c r="L1137" s="490"/>
      <c r="M1137" s="490"/>
    </row>
    <row r="1138">
      <c r="A1138" s="194"/>
      <c r="B1138" s="55"/>
      <c r="C1138" s="60"/>
      <c r="D1138" s="489"/>
      <c r="E1138" s="489"/>
      <c r="F1138" s="246"/>
      <c r="G1138" s="213"/>
      <c r="H1138" s="490"/>
      <c r="I1138" s="490"/>
      <c r="J1138" s="490"/>
      <c r="K1138" s="490"/>
      <c r="L1138" s="490"/>
      <c r="M1138" s="490"/>
    </row>
    <row r="1139">
      <c r="A1139" s="191"/>
      <c r="B1139" s="55"/>
      <c r="C1139" s="60"/>
      <c r="D1139" s="62"/>
      <c r="E1139" s="62"/>
      <c r="F1139" s="228"/>
      <c r="G1139" s="229"/>
      <c r="H1139" s="490"/>
      <c r="I1139" s="490"/>
      <c r="J1139" s="490"/>
      <c r="K1139" s="490"/>
      <c r="L1139" s="490"/>
      <c r="M1139" s="490"/>
    </row>
    <row r="1140">
      <c r="A1140" s="194"/>
      <c r="B1140" s="55"/>
      <c r="C1140" s="60"/>
      <c r="D1140" s="489"/>
      <c r="E1140" s="489"/>
      <c r="F1140" s="246"/>
      <c r="G1140" s="213"/>
      <c r="H1140" s="490"/>
      <c r="I1140" s="490"/>
      <c r="J1140" s="490"/>
      <c r="K1140" s="490"/>
      <c r="L1140" s="490"/>
      <c r="M1140" s="490"/>
    </row>
    <row r="1141">
      <c r="A1141" s="191"/>
      <c r="B1141" s="55"/>
      <c r="C1141" s="60"/>
      <c r="D1141" s="62"/>
      <c r="E1141" s="62"/>
      <c r="F1141" s="228"/>
      <c r="G1141" s="229"/>
      <c r="H1141" s="490"/>
      <c r="I1141" s="490"/>
      <c r="J1141" s="490"/>
      <c r="K1141" s="490"/>
      <c r="L1141" s="490"/>
      <c r="M1141" s="490"/>
    </row>
    <row r="1142">
      <c r="A1142" s="194"/>
      <c r="B1142" s="55"/>
      <c r="C1142" s="60"/>
      <c r="D1142" s="489"/>
      <c r="E1142" s="489"/>
      <c r="F1142" s="246"/>
      <c r="G1142" s="213"/>
      <c r="H1142" s="490"/>
      <c r="I1142" s="490"/>
      <c r="J1142" s="490"/>
      <c r="K1142" s="490"/>
      <c r="L1142" s="490"/>
      <c r="M1142" s="490"/>
    </row>
    <row r="1143">
      <c r="A1143" s="191"/>
      <c r="B1143" s="55"/>
      <c r="C1143" s="60"/>
      <c r="D1143" s="62"/>
      <c r="E1143" s="62"/>
      <c r="F1143" s="228"/>
      <c r="G1143" s="229"/>
      <c r="H1143" s="490"/>
      <c r="I1143" s="490"/>
      <c r="J1143" s="490"/>
      <c r="K1143" s="490"/>
      <c r="L1143" s="490"/>
      <c r="M1143" s="490"/>
    </row>
    <row r="1144">
      <c r="A1144" s="194"/>
      <c r="B1144" s="55"/>
      <c r="C1144" s="60"/>
      <c r="D1144" s="489"/>
      <c r="E1144" s="489"/>
      <c r="F1144" s="246"/>
      <c r="G1144" s="213"/>
      <c r="H1144" s="490"/>
      <c r="I1144" s="490"/>
      <c r="J1144" s="490"/>
      <c r="K1144" s="490"/>
      <c r="L1144" s="490"/>
      <c r="M1144" s="490"/>
    </row>
    <row r="1145">
      <c r="A1145" s="191"/>
      <c r="B1145" s="55"/>
      <c r="C1145" s="60"/>
      <c r="D1145" s="62"/>
      <c r="E1145" s="62"/>
      <c r="F1145" s="228"/>
      <c r="G1145" s="229"/>
      <c r="H1145" s="490"/>
      <c r="I1145" s="490"/>
      <c r="J1145" s="490"/>
      <c r="K1145" s="490"/>
      <c r="L1145" s="490"/>
      <c r="M1145" s="490"/>
    </row>
    <row r="1146">
      <c r="A1146" s="194"/>
      <c r="B1146" s="55"/>
      <c r="C1146" s="60"/>
      <c r="D1146" s="489"/>
      <c r="E1146" s="489"/>
      <c r="F1146" s="246"/>
      <c r="G1146" s="213"/>
      <c r="H1146" s="490"/>
      <c r="I1146" s="490"/>
      <c r="J1146" s="490"/>
      <c r="K1146" s="490"/>
      <c r="L1146" s="490"/>
      <c r="M1146" s="490"/>
    </row>
    <row r="1147">
      <c r="A1147" s="191"/>
      <c r="B1147" s="55"/>
      <c r="C1147" s="60"/>
      <c r="D1147" s="62"/>
      <c r="E1147" s="62"/>
      <c r="F1147" s="228"/>
      <c r="G1147" s="229"/>
      <c r="H1147" s="490"/>
      <c r="I1147" s="490"/>
      <c r="J1147" s="490"/>
      <c r="K1147" s="490"/>
      <c r="L1147" s="490"/>
      <c r="M1147" s="490"/>
    </row>
    <row r="1148">
      <c r="A1148" s="194"/>
      <c r="B1148" s="55"/>
      <c r="C1148" s="60"/>
      <c r="D1148" s="489"/>
      <c r="E1148" s="489"/>
      <c r="F1148" s="246"/>
      <c r="G1148" s="213"/>
      <c r="H1148" s="490"/>
      <c r="I1148" s="490"/>
      <c r="J1148" s="490"/>
      <c r="K1148" s="490"/>
      <c r="L1148" s="490"/>
      <c r="M1148" s="490"/>
    </row>
    <row r="1149">
      <c r="A1149" s="191"/>
      <c r="B1149" s="55"/>
      <c r="C1149" s="60"/>
      <c r="D1149" s="62"/>
      <c r="E1149" s="62"/>
      <c r="F1149" s="228"/>
      <c r="G1149" s="229"/>
      <c r="H1149" s="490"/>
      <c r="I1149" s="490"/>
      <c r="J1149" s="490"/>
      <c r="K1149" s="490"/>
      <c r="L1149" s="490"/>
      <c r="M1149" s="490"/>
    </row>
    <row r="1150">
      <c r="A1150" s="194"/>
      <c r="B1150" s="55"/>
      <c r="C1150" s="60"/>
      <c r="D1150" s="489"/>
      <c r="E1150" s="489"/>
      <c r="F1150" s="246"/>
      <c r="G1150" s="213"/>
      <c r="H1150" s="490"/>
      <c r="I1150" s="490"/>
      <c r="J1150" s="490"/>
      <c r="K1150" s="490"/>
      <c r="L1150" s="490"/>
      <c r="M1150" s="490"/>
    </row>
    <row r="1151">
      <c r="A1151" s="191"/>
      <c r="B1151" s="55"/>
      <c r="C1151" s="60"/>
      <c r="D1151" s="62"/>
      <c r="E1151" s="62"/>
      <c r="F1151" s="228"/>
      <c r="G1151" s="229"/>
      <c r="H1151" s="490"/>
      <c r="I1151" s="490"/>
      <c r="J1151" s="490"/>
      <c r="K1151" s="490"/>
      <c r="L1151" s="490"/>
      <c r="M1151" s="490"/>
    </row>
    <row r="1152">
      <c r="A1152" s="194"/>
      <c r="B1152" s="55"/>
      <c r="C1152" s="60"/>
      <c r="D1152" s="489"/>
      <c r="E1152" s="489"/>
      <c r="F1152" s="246"/>
      <c r="G1152" s="213"/>
      <c r="H1152" s="490"/>
      <c r="I1152" s="490"/>
      <c r="J1152" s="490"/>
      <c r="K1152" s="490"/>
      <c r="L1152" s="490"/>
      <c r="M1152" s="490"/>
    </row>
    <row r="1153">
      <c r="A1153" s="191"/>
      <c r="B1153" s="55"/>
      <c r="C1153" s="60"/>
      <c r="D1153" s="62"/>
      <c r="E1153" s="62"/>
      <c r="F1153" s="228"/>
      <c r="G1153" s="229"/>
      <c r="H1153" s="490"/>
      <c r="I1153" s="490"/>
      <c r="J1153" s="490"/>
      <c r="K1153" s="490"/>
      <c r="L1153" s="490"/>
      <c r="M1153" s="490"/>
    </row>
    <row r="1154">
      <c r="A1154" s="194"/>
      <c r="B1154" s="55"/>
      <c r="C1154" s="60"/>
      <c r="D1154" s="489"/>
      <c r="E1154" s="489"/>
      <c r="F1154" s="246"/>
      <c r="G1154" s="213"/>
      <c r="H1154" s="490"/>
      <c r="I1154" s="490"/>
      <c r="J1154" s="490"/>
      <c r="K1154" s="490"/>
      <c r="L1154" s="490"/>
      <c r="M1154" s="490"/>
    </row>
    <row r="1155">
      <c r="A1155" s="191"/>
      <c r="B1155" s="55"/>
      <c r="C1155" s="60"/>
      <c r="D1155" s="62"/>
      <c r="E1155" s="62"/>
      <c r="F1155" s="228"/>
      <c r="G1155" s="229"/>
      <c r="H1155" s="490"/>
      <c r="I1155" s="490"/>
      <c r="J1155" s="490"/>
      <c r="K1155" s="490"/>
      <c r="L1155" s="490"/>
      <c r="M1155" s="490"/>
    </row>
    <row r="1156">
      <c r="A1156" s="194"/>
      <c r="B1156" s="55"/>
      <c r="C1156" s="60"/>
      <c r="D1156" s="489"/>
      <c r="E1156" s="489"/>
      <c r="F1156" s="246"/>
      <c r="G1156" s="213"/>
      <c r="H1156" s="490"/>
      <c r="I1156" s="490"/>
      <c r="J1156" s="490"/>
      <c r="K1156" s="490"/>
      <c r="L1156" s="490"/>
      <c r="M1156" s="490"/>
    </row>
    <row r="1157">
      <c r="A1157" s="191"/>
      <c r="B1157" s="55"/>
      <c r="C1157" s="60"/>
      <c r="D1157" s="62"/>
      <c r="E1157" s="62"/>
      <c r="F1157" s="228"/>
      <c r="G1157" s="229"/>
      <c r="H1157" s="490"/>
      <c r="I1157" s="490"/>
      <c r="J1157" s="490"/>
      <c r="K1157" s="490"/>
      <c r="L1157" s="490"/>
      <c r="M1157" s="490"/>
    </row>
    <row r="1158">
      <c r="A1158" s="194"/>
      <c r="B1158" s="55"/>
      <c r="C1158" s="60"/>
      <c r="D1158" s="489"/>
      <c r="E1158" s="489"/>
      <c r="F1158" s="246"/>
      <c r="G1158" s="213"/>
      <c r="H1158" s="490"/>
      <c r="I1158" s="490"/>
      <c r="J1158" s="490"/>
      <c r="K1158" s="490"/>
      <c r="L1158" s="490"/>
      <c r="M1158" s="490"/>
    </row>
    <row r="1159">
      <c r="A1159" s="191"/>
      <c r="B1159" s="55"/>
      <c r="C1159" s="60"/>
      <c r="D1159" s="62"/>
      <c r="E1159" s="62"/>
      <c r="F1159" s="228"/>
      <c r="G1159" s="229"/>
      <c r="H1159" s="490"/>
      <c r="I1159" s="490"/>
      <c r="J1159" s="490"/>
      <c r="K1159" s="490"/>
      <c r="L1159" s="490"/>
      <c r="M1159" s="490"/>
    </row>
    <row r="1160">
      <c r="A1160" s="194"/>
      <c r="B1160" s="55"/>
      <c r="C1160" s="60"/>
      <c r="D1160" s="489"/>
      <c r="E1160" s="489"/>
      <c r="F1160" s="246"/>
      <c r="G1160" s="213"/>
      <c r="H1160" s="490"/>
      <c r="I1160" s="490"/>
      <c r="J1160" s="490"/>
      <c r="K1160" s="490"/>
      <c r="L1160" s="490"/>
      <c r="M1160" s="490"/>
    </row>
    <row r="1161">
      <c r="A1161" s="191"/>
      <c r="B1161" s="55"/>
      <c r="C1161" s="60"/>
      <c r="D1161" s="62"/>
      <c r="E1161" s="62"/>
      <c r="F1161" s="228"/>
      <c r="G1161" s="229"/>
      <c r="H1161" s="490"/>
      <c r="I1161" s="490"/>
      <c r="J1161" s="490"/>
      <c r="K1161" s="490"/>
      <c r="L1161" s="490"/>
      <c r="M1161" s="490"/>
    </row>
    <row r="1162">
      <c r="A1162" s="194"/>
      <c r="B1162" s="55"/>
      <c r="C1162" s="60"/>
      <c r="D1162" s="489"/>
      <c r="E1162" s="489"/>
      <c r="F1162" s="246"/>
      <c r="G1162" s="213"/>
      <c r="H1162" s="490"/>
      <c r="I1162" s="490"/>
      <c r="J1162" s="490"/>
      <c r="K1162" s="490"/>
      <c r="L1162" s="490"/>
      <c r="M1162" s="490"/>
    </row>
    <row r="1163">
      <c r="A1163" s="191"/>
      <c r="B1163" s="55"/>
      <c r="C1163" s="60"/>
      <c r="D1163" s="62"/>
      <c r="E1163" s="62"/>
      <c r="F1163" s="228"/>
      <c r="G1163" s="229"/>
      <c r="H1163" s="490"/>
      <c r="I1163" s="490"/>
      <c r="J1163" s="490"/>
      <c r="K1163" s="490"/>
      <c r="L1163" s="490"/>
      <c r="M1163" s="490"/>
    </row>
    <row r="1164">
      <c r="A1164" s="194"/>
      <c r="B1164" s="55"/>
      <c r="C1164" s="60"/>
      <c r="D1164" s="489"/>
      <c r="E1164" s="489"/>
      <c r="F1164" s="246"/>
      <c r="G1164" s="213"/>
      <c r="H1164" s="490"/>
      <c r="I1164" s="490"/>
      <c r="J1164" s="490"/>
      <c r="K1164" s="490"/>
      <c r="L1164" s="490"/>
      <c r="M1164" s="490"/>
    </row>
    <row r="1165">
      <c r="A1165" s="191"/>
      <c r="B1165" s="55"/>
      <c r="C1165" s="60"/>
      <c r="D1165" s="62"/>
      <c r="E1165" s="62"/>
      <c r="F1165" s="228"/>
      <c r="G1165" s="229"/>
      <c r="H1165" s="490"/>
      <c r="I1165" s="490"/>
      <c r="J1165" s="490"/>
      <c r="K1165" s="490"/>
      <c r="L1165" s="490"/>
      <c r="M1165" s="490"/>
    </row>
    <row r="1166">
      <c r="A1166" s="194"/>
      <c r="B1166" s="55"/>
      <c r="C1166" s="60"/>
      <c r="D1166" s="489"/>
      <c r="E1166" s="489"/>
      <c r="F1166" s="246"/>
      <c r="G1166" s="213"/>
      <c r="H1166" s="490"/>
      <c r="I1166" s="490"/>
      <c r="J1166" s="490"/>
      <c r="K1166" s="490"/>
      <c r="L1166" s="490"/>
      <c r="M1166" s="490"/>
    </row>
    <row r="1167">
      <c r="A1167" s="191"/>
      <c r="B1167" s="55"/>
      <c r="C1167" s="60"/>
      <c r="D1167" s="62"/>
      <c r="E1167" s="62"/>
      <c r="F1167" s="228"/>
      <c r="G1167" s="229"/>
      <c r="H1167" s="490"/>
      <c r="I1167" s="490"/>
      <c r="J1167" s="490"/>
      <c r="K1167" s="490"/>
      <c r="L1167" s="490"/>
      <c r="M1167" s="490"/>
    </row>
    <row r="1168">
      <c r="A1168" s="194"/>
      <c r="B1168" s="55"/>
      <c r="C1168" s="60"/>
      <c r="D1168" s="489"/>
      <c r="E1168" s="489"/>
      <c r="F1168" s="246"/>
      <c r="G1168" s="213"/>
      <c r="H1168" s="490"/>
      <c r="I1168" s="490"/>
      <c r="J1168" s="490"/>
      <c r="K1168" s="490"/>
      <c r="L1168" s="490"/>
      <c r="M1168" s="490"/>
    </row>
    <row r="1169">
      <c r="A1169" s="191"/>
      <c r="B1169" s="55"/>
      <c r="C1169" s="60"/>
      <c r="D1169" s="62"/>
      <c r="E1169" s="62"/>
      <c r="F1169" s="228"/>
      <c r="G1169" s="229"/>
      <c r="H1169" s="490"/>
      <c r="I1169" s="490"/>
      <c r="J1169" s="490"/>
      <c r="K1169" s="490"/>
      <c r="L1169" s="490"/>
      <c r="M1169" s="490"/>
    </row>
    <row r="1170">
      <c r="A1170" s="194"/>
      <c r="B1170" s="55"/>
      <c r="C1170" s="60"/>
      <c r="D1170" s="489"/>
      <c r="E1170" s="489"/>
      <c r="F1170" s="246"/>
      <c r="G1170" s="213"/>
      <c r="H1170" s="490"/>
      <c r="I1170" s="490"/>
      <c r="J1170" s="490"/>
      <c r="K1170" s="490"/>
      <c r="L1170" s="490"/>
      <c r="M1170" s="490"/>
    </row>
    <row r="1171">
      <c r="A1171" s="191"/>
      <c r="B1171" s="55"/>
      <c r="C1171" s="60"/>
      <c r="D1171" s="62"/>
      <c r="E1171" s="62"/>
      <c r="F1171" s="228"/>
      <c r="G1171" s="229"/>
      <c r="H1171" s="490"/>
      <c r="I1171" s="490"/>
      <c r="J1171" s="490"/>
      <c r="K1171" s="490"/>
      <c r="L1171" s="490"/>
      <c r="M1171" s="490"/>
    </row>
    <row r="1172">
      <c r="A1172" s="194"/>
      <c r="B1172" s="55"/>
      <c r="C1172" s="60"/>
      <c r="D1172" s="489"/>
      <c r="E1172" s="489"/>
      <c r="F1172" s="246"/>
      <c r="G1172" s="213"/>
      <c r="H1172" s="490"/>
      <c r="I1172" s="490"/>
      <c r="J1172" s="490"/>
      <c r="K1172" s="490"/>
      <c r="L1172" s="490"/>
      <c r="M1172" s="490"/>
    </row>
    <row r="1173">
      <c r="A1173" s="191"/>
      <c r="B1173" s="55"/>
      <c r="C1173" s="60"/>
      <c r="D1173" s="62"/>
      <c r="E1173" s="62"/>
      <c r="F1173" s="228"/>
      <c r="G1173" s="229"/>
      <c r="H1173" s="490"/>
      <c r="I1173" s="490"/>
      <c r="J1173" s="490"/>
      <c r="K1173" s="490"/>
      <c r="L1173" s="490"/>
      <c r="M1173" s="490"/>
    </row>
    <row r="1174">
      <c r="A1174" s="194"/>
      <c r="B1174" s="55"/>
      <c r="C1174" s="60"/>
      <c r="D1174" s="489"/>
      <c r="E1174" s="489"/>
      <c r="F1174" s="246"/>
      <c r="G1174" s="213"/>
      <c r="H1174" s="490"/>
      <c r="I1174" s="490"/>
      <c r="J1174" s="490"/>
      <c r="K1174" s="490"/>
      <c r="L1174" s="490"/>
      <c r="M1174" s="490"/>
    </row>
    <row r="1175">
      <c r="A1175" s="191"/>
      <c r="B1175" s="55"/>
      <c r="C1175" s="60"/>
      <c r="D1175" s="62"/>
      <c r="E1175" s="62"/>
      <c r="F1175" s="228"/>
      <c r="G1175" s="229"/>
      <c r="H1175" s="490"/>
      <c r="I1175" s="490"/>
      <c r="J1175" s="490"/>
      <c r="K1175" s="490"/>
      <c r="L1175" s="490"/>
      <c r="M1175" s="490"/>
    </row>
    <row r="1176">
      <c r="A1176" s="194"/>
      <c r="B1176" s="55"/>
      <c r="C1176" s="60"/>
      <c r="D1176" s="489"/>
      <c r="E1176" s="489"/>
      <c r="F1176" s="246"/>
      <c r="G1176" s="213"/>
      <c r="H1176" s="490"/>
      <c r="I1176" s="490"/>
      <c r="J1176" s="490"/>
      <c r="K1176" s="490"/>
      <c r="L1176" s="490"/>
      <c r="M1176" s="490"/>
    </row>
    <row r="1177">
      <c r="A1177" s="191"/>
      <c r="B1177" s="55"/>
      <c r="C1177" s="60"/>
      <c r="D1177" s="62"/>
      <c r="E1177" s="62"/>
      <c r="F1177" s="228"/>
      <c r="G1177" s="229"/>
      <c r="H1177" s="490"/>
      <c r="I1177" s="490"/>
      <c r="J1177" s="490"/>
      <c r="K1177" s="490"/>
      <c r="L1177" s="490"/>
      <c r="M1177" s="490"/>
    </row>
    <row r="1178">
      <c r="A1178" s="194"/>
      <c r="B1178" s="55"/>
      <c r="C1178" s="60"/>
      <c r="D1178" s="489"/>
      <c r="E1178" s="489"/>
      <c r="F1178" s="246"/>
      <c r="G1178" s="213"/>
      <c r="H1178" s="490"/>
      <c r="I1178" s="490"/>
      <c r="J1178" s="490"/>
      <c r="K1178" s="490"/>
      <c r="L1178" s="490"/>
      <c r="M1178" s="490"/>
    </row>
    <row r="1179">
      <c r="A1179" s="191"/>
      <c r="B1179" s="55"/>
      <c r="C1179" s="60"/>
      <c r="D1179" s="62"/>
      <c r="E1179" s="62"/>
      <c r="F1179" s="228"/>
      <c r="G1179" s="229"/>
      <c r="H1179" s="490"/>
      <c r="I1179" s="490"/>
      <c r="J1179" s="490"/>
      <c r="K1179" s="490"/>
      <c r="L1179" s="490"/>
      <c r="M1179" s="490"/>
    </row>
    <row r="1180">
      <c r="A1180" s="194"/>
      <c r="B1180" s="55"/>
      <c r="C1180" s="60"/>
      <c r="D1180" s="489"/>
      <c r="E1180" s="489"/>
      <c r="F1180" s="246"/>
      <c r="G1180" s="213"/>
      <c r="H1180" s="490"/>
      <c r="I1180" s="490"/>
      <c r="J1180" s="490"/>
      <c r="K1180" s="490"/>
      <c r="L1180" s="490"/>
      <c r="M1180" s="490"/>
    </row>
    <row r="1181">
      <c r="A1181" s="191"/>
      <c r="B1181" s="55"/>
      <c r="C1181" s="60"/>
      <c r="D1181" s="62"/>
      <c r="E1181" s="62"/>
      <c r="F1181" s="228"/>
      <c r="G1181" s="229"/>
      <c r="H1181" s="490"/>
      <c r="I1181" s="490"/>
      <c r="J1181" s="490"/>
      <c r="K1181" s="490"/>
      <c r="L1181" s="490"/>
      <c r="M1181" s="490"/>
    </row>
    <row r="1182">
      <c r="A1182" s="194"/>
      <c r="B1182" s="55"/>
      <c r="C1182" s="60"/>
      <c r="D1182" s="489"/>
      <c r="E1182" s="489"/>
      <c r="F1182" s="246"/>
      <c r="G1182" s="213"/>
      <c r="H1182" s="490"/>
      <c r="I1182" s="490"/>
      <c r="J1182" s="490"/>
      <c r="K1182" s="490"/>
      <c r="L1182" s="490"/>
      <c r="M1182" s="490"/>
    </row>
    <row r="1183">
      <c r="A1183" s="191"/>
      <c r="B1183" s="55"/>
      <c r="C1183" s="60"/>
      <c r="D1183" s="62"/>
      <c r="E1183" s="62"/>
      <c r="F1183" s="228"/>
      <c r="G1183" s="229"/>
      <c r="H1183" s="490"/>
      <c r="I1183" s="490"/>
      <c r="J1183" s="490"/>
      <c r="K1183" s="490"/>
      <c r="L1183" s="490"/>
      <c r="M1183" s="490"/>
    </row>
    <row r="1184">
      <c r="A1184" s="194"/>
      <c r="B1184" s="55"/>
      <c r="C1184" s="60"/>
      <c r="D1184" s="489"/>
      <c r="E1184" s="489"/>
      <c r="F1184" s="246"/>
      <c r="G1184" s="213"/>
      <c r="H1184" s="490"/>
      <c r="I1184" s="490"/>
      <c r="J1184" s="490"/>
      <c r="K1184" s="490"/>
      <c r="L1184" s="490"/>
      <c r="M1184" s="490"/>
    </row>
    <row r="1185">
      <c r="A1185" s="191"/>
      <c r="B1185" s="55"/>
      <c r="C1185" s="60"/>
      <c r="D1185" s="62"/>
      <c r="E1185" s="62"/>
      <c r="F1185" s="228"/>
      <c r="G1185" s="229"/>
      <c r="H1185" s="490"/>
      <c r="I1185" s="490"/>
      <c r="J1185" s="490"/>
      <c r="K1185" s="490"/>
      <c r="L1185" s="490"/>
      <c r="M1185" s="490"/>
    </row>
    <row r="1186">
      <c r="A1186" s="194"/>
      <c r="B1186" s="55"/>
      <c r="C1186" s="60"/>
      <c r="D1186" s="489"/>
      <c r="E1186" s="489"/>
      <c r="F1186" s="246"/>
      <c r="G1186" s="213"/>
      <c r="H1186" s="490"/>
      <c r="I1186" s="490"/>
      <c r="J1186" s="490"/>
      <c r="K1186" s="490"/>
      <c r="L1186" s="490"/>
      <c r="M1186" s="490"/>
    </row>
    <row r="1187">
      <c r="A1187" s="191"/>
      <c r="B1187" s="55"/>
      <c r="C1187" s="60"/>
      <c r="D1187" s="62"/>
      <c r="E1187" s="62"/>
      <c r="F1187" s="228"/>
      <c r="G1187" s="229"/>
      <c r="H1187" s="490"/>
      <c r="I1187" s="490"/>
      <c r="J1187" s="490"/>
      <c r="K1187" s="490"/>
      <c r="L1187" s="490"/>
      <c r="M1187" s="490"/>
    </row>
    <row r="1188">
      <c r="A1188" s="194"/>
      <c r="B1188" s="55"/>
      <c r="C1188" s="60"/>
      <c r="D1188" s="489"/>
      <c r="E1188" s="489"/>
      <c r="F1188" s="246"/>
      <c r="G1188" s="213"/>
      <c r="H1188" s="490"/>
      <c r="I1188" s="490"/>
      <c r="J1188" s="490"/>
      <c r="K1188" s="490"/>
      <c r="L1188" s="490"/>
      <c r="M1188" s="490"/>
    </row>
    <row r="1189">
      <c r="A1189" s="191"/>
      <c r="B1189" s="55"/>
      <c r="C1189" s="60"/>
      <c r="D1189" s="62"/>
      <c r="E1189" s="62"/>
      <c r="F1189" s="228"/>
      <c r="G1189" s="229"/>
      <c r="H1189" s="490"/>
      <c r="I1189" s="490"/>
      <c r="J1189" s="490"/>
      <c r="K1189" s="490"/>
      <c r="L1189" s="490"/>
      <c r="M1189" s="490"/>
    </row>
    <row r="1190">
      <c r="A1190" s="194"/>
      <c r="B1190" s="55"/>
      <c r="C1190" s="60"/>
      <c r="D1190" s="489"/>
      <c r="E1190" s="489"/>
      <c r="F1190" s="246"/>
      <c r="G1190" s="213"/>
      <c r="H1190" s="490"/>
      <c r="I1190" s="490"/>
      <c r="J1190" s="490"/>
      <c r="K1190" s="490"/>
      <c r="L1190" s="490"/>
      <c r="M1190" s="490"/>
    </row>
    <row r="1191">
      <c r="A1191" s="191"/>
      <c r="B1191" s="55"/>
      <c r="C1191" s="60"/>
      <c r="D1191" s="62"/>
      <c r="E1191" s="62"/>
      <c r="F1191" s="228"/>
      <c r="G1191" s="229"/>
      <c r="H1191" s="490"/>
      <c r="I1191" s="490"/>
      <c r="J1191" s="490"/>
      <c r="K1191" s="490"/>
      <c r="L1191" s="490"/>
      <c r="M1191" s="490"/>
    </row>
    <row r="1192">
      <c r="A1192" s="194"/>
      <c r="B1192" s="55"/>
      <c r="C1192" s="60"/>
      <c r="D1192" s="489"/>
      <c r="E1192" s="489"/>
      <c r="F1192" s="246"/>
      <c r="G1192" s="213"/>
      <c r="H1192" s="490"/>
      <c r="I1192" s="490"/>
      <c r="J1192" s="490"/>
      <c r="K1192" s="490"/>
      <c r="L1192" s="490"/>
      <c r="M1192" s="490"/>
    </row>
    <row r="1193">
      <c r="A1193" s="191"/>
      <c r="B1193" s="55"/>
      <c r="C1193" s="60"/>
      <c r="D1193" s="62"/>
      <c r="E1193" s="62"/>
      <c r="F1193" s="228"/>
      <c r="G1193" s="229"/>
      <c r="H1193" s="490"/>
      <c r="I1193" s="490"/>
      <c r="J1193" s="490"/>
      <c r="K1193" s="490"/>
      <c r="L1193" s="490"/>
      <c r="M1193" s="490"/>
    </row>
    <row r="1194">
      <c r="A1194" s="194"/>
      <c r="B1194" s="55"/>
      <c r="C1194" s="60"/>
      <c r="D1194" s="489"/>
      <c r="E1194" s="489"/>
      <c r="F1194" s="246"/>
      <c r="G1194" s="213"/>
      <c r="H1194" s="490"/>
      <c r="I1194" s="490"/>
      <c r="J1194" s="490"/>
      <c r="K1194" s="490"/>
      <c r="L1194" s="490"/>
      <c r="M1194" s="490"/>
    </row>
    <row r="1195">
      <c r="A1195" s="191"/>
      <c r="B1195" s="55"/>
      <c r="C1195" s="60"/>
      <c r="D1195" s="62"/>
      <c r="E1195" s="62"/>
      <c r="F1195" s="228"/>
      <c r="G1195" s="229"/>
      <c r="H1195" s="490"/>
      <c r="I1195" s="490"/>
      <c r="J1195" s="490"/>
      <c r="K1195" s="490"/>
      <c r="L1195" s="490"/>
      <c r="M1195" s="490"/>
    </row>
    <row r="1196">
      <c r="A1196" s="194"/>
      <c r="B1196" s="55"/>
      <c r="C1196" s="60"/>
      <c r="D1196" s="489"/>
      <c r="E1196" s="489"/>
      <c r="F1196" s="246"/>
      <c r="G1196" s="213"/>
      <c r="H1196" s="490"/>
      <c r="I1196" s="490"/>
      <c r="J1196" s="490"/>
      <c r="K1196" s="490"/>
      <c r="L1196" s="490"/>
      <c r="M1196" s="490"/>
    </row>
    <row r="1197">
      <c r="A1197" s="191"/>
      <c r="B1197" s="55"/>
      <c r="C1197" s="60"/>
      <c r="D1197" s="62"/>
      <c r="E1197" s="62"/>
      <c r="F1197" s="228"/>
      <c r="G1197" s="229"/>
      <c r="H1197" s="490"/>
      <c r="I1197" s="490"/>
      <c r="J1197" s="490"/>
      <c r="K1197" s="490"/>
      <c r="L1197" s="490"/>
      <c r="M1197" s="490"/>
    </row>
    <row r="1198">
      <c r="A1198" s="194"/>
      <c r="B1198" s="55"/>
      <c r="C1198" s="60"/>
      <c r="D1198" s="489"/>
      <c r="E1198" s="489"/>
      <c r="F1198" s="246"/>
      <c r="G1198" s="213"/>
      <c r="H1198" s="490"/>
      <c r="I1198" s="490"/>
      <c r="J1198" s="490"/>
      <c r="K1198" s="490"/>
      <c r="L1198" s="490"/>
      <c r="M1198" s="490"/>
    </row>
    <row r="1199">
      <c r="A1199" s="191"/>
      <c r="B1199" s="55"/>
      <c r="C1199" s="60"/>
      <c r="D1199" s="62"/>
      <c r="E1199" s="62"/>
      <c r="F1199" s="228"/>
      <c r="G1199" s="229"/>
      <c r="H1199" s="490"/>
      <c r="I1199" s="490"/>
      <c r="J1199" s="490"/>
      <c r="K1199" s="490"/>
      <c r="L1199" s="490"/>
      <c r="M1199" s="490"/>
    </row>
    <row r="1200">
      <c r="A1200" s="194"/>
      <c r="B1200" s="55"/>
      <c r="C1200" s="60"/>
      <c r="D1200" s="489"/>
      <c r="E1200" s="489"/>
      <c r="F1200" s="246"/>
      <c r="G1200" s="213"/>
      <c r="H1200" s="490"/>
      <c r="I1200" s="490"/>
      <c r="J1200" s="490"/>
      <c r="K1200" s="490"/>
      <c r="L1200" s="490"/>
      <c r="M1200" s="490"/>
    </row>
    <row r="1201">
      <c r="A1201" s="191"/>
      <c r="B1201" s="55"/>
      <c r="C1201" s="60"/>
      <c r="D1201" s="62"/>
      <c r="E1201" s="62"/>
      <c r="F1201" s="228"/>
      <c r="G1201" s="229"/>
      <c r="H1201" s="490"/>
      <c r="I1201" s="490"/>
      <c r="J1201" s="490"/>
      <c r="K1201" s="490"/>
      <c r="L1201" s="490"/>
      <c r="M1201" s="490"/>
    </row>
    <row r="1202">
      <c r="A1202" s="194"/>
      <c r="B1202" s="55"/>
      <c r="C1202" s="60"/>
      <c r="D1202" s="489"/>
      <c r="E1202" s="489"/>
      <c r="F1202" s="246"/>
      <c r="G1202" s="213"/>
      <c r="H1202" s="490"/>
      <c r="I1202" s="490"/>
      <c r="J1202" s="490"/>
      <c r="K1202" s="490"/>
      <c r="L1202" s="490"/>
      <c r="M1202" s="490"/>
    </row>
    <row r="1203">
      <c r="A1203" s="191"/>
      <c r="B1203" s="55"/>
      <c r="C1203" s="60"/>
      <c r="D1203" s="62"/>
      <c r="E1203" s="62"/>
      <c r="F1203" s="228"/>
      <c r="G1203" s="229"/>
      <c r="H1203" s="490"/>
      <c r="I1203" s="490"/>
      <c r="J1203" s="490"/>
      <c r="K1203" s="490"/>
      <c r="L1203" s="490"/>
      <c r="M1203" s="490"/>
    </row>
    <row r="1204">
      <c r="A1204" s="194"/>
      <c r="B1204" s="55"/>
      <c r="C1204" s="60"/>
      <c r="D1204" s="489"/>
      <c r="E1204" s="489"/>
      <c r="F1204" s="246"/>
      <c r="G1204" s="213"/>
      <c r="H1204" s="490"/>
      <c r="I1204" s="490"/>
      <c r="J1204" s="490"/>
      <c r="K1204" s="490"/>
      <c r="L1204" s="490"/>
      <c r="M1204" s="490"/>
    </row>
    <row r="1205">
      <c r="A1205" s="191"/>
      <c r="B1205" s="55"/>
      <c r="C1205" s="60"/>
      <c r="D1205" s="62"/>
      <c r="E1205" s="62"/>
      <c r="F1205" s="228"/>
      <c r="G1205" s="229"/>
      <c r="H1205" s="490"/>
      <c r="I1205" s="490"/>
      <c r="J1205" s="490"/>
      <c r="K1205" s="490"/>
      <c r="L1205" s="490"/>
      <c r="M1205" s="490"/>
    </row>
    <row r="1206">
      <c r="A1206" s="194"/>
      <c r="B1206" s="55"/>
      <c r="C1206" s="60"/>
      <c r="D1206" s="489"/>
      <c r="E1206" s="489"/>
      <c r="F1206" s="246"/>
      <c r="G1206" s="213"/>
      <c r="H1206" s="490"/>
      <c r="I1206" s="490"/>
      <c r="J1206" s="490"/>
      <c r="K1206" s="490"/>
      <c r="L1206" s="490"/>
      <c r="M1206" s="490"/>
    </row>
    <row r="1207">
      <c r="A1207" s="191"/>
      <c r="B1207" s="55"/>
      <c r="C1207" s="60"/>
      <c r="D1207" s="62"/>
      <c r="E1207" s="62"/>
      <c r="F1207" s="228"/>
      <c r="G1207" s="229"/>
      <c r="H1207" s="490"/>
      <c r="I1207" s="490"/>
      <c r="J1207" s="490"/>
      <c r="K1207" s="490"/>
      <c r="L1207" s="490"/>
      <c r="M1207" s="490"/>
    </row>
    <row r="1208">
      <c r="A1208" s="194"/>
      <c r="B1208" s="55"/>
      <c r="C1208" s="60"/>
      <c r="D1208" s="489"/>
      <c r="E1208" s="489"/>
      <c r="F1208" s="246"/>
      <c r="G1208" s="213"/>
      <c r="H1208" s="490"/>
      <c r="I1208" s="490"/>
      <c r="J1208" s="490"/>
      <c r="K1208" s="490"/>
      <c r="L1208" s="490"/>
      <c r="M1208" s="490"/>
    </row>
    <row r="1209">
      <c r="A1209" s="191"/>
      <c r="B1209" s="55"/>
      <c r="C1209" s="60"/>
      <c r="D1209" s="62"/>
      <c r="E1209" s="62"/>
      <c r="F1209" s="228"/>
      <c r="G1209" s="229"/>
      <c r="H1209" s="490"/>
      <c r="I1209" s="490"/>
      <c r="J1209" s="490"/>
      <c r="K1209" s="490"/>
      <c r="L1209" s="490"/>
      <c r="M1209" s="490"/>
    </row>
    <row r="1210">
      <c r="A1210" s="194"/>
      <c r="B1210" s="55"/>
      <c r="C1210" s="60"/>
      <c r="D1210" s="489"/>
      <c r="E1210" s="489"/>
      <c r="F1210" s="246"/>
      <c r="G1210" s="213"/>
      <c r="H1210" s="490"/>
      <c r="I1210" s="490"/>
      <c r="J1210" s="490"/>
      <c r="K1210" s="490"/>
      <c r="L1210" s="490"/>
      <c r="M1210" s="490"/>
    </row>
    <row r="1211">
      <c r="A1211" s="191"/>
      <c r="B1211" s="55"/>
      <c r="C1211" s="60"/>
      <c r="D1211" s="62"/>
      <c r="E1211" s="62"/>
      <c r="F1211" s="228"/>
      <c r="G1211" s="229"/>
      <c r="H1211" s="490"/>
      <c r="I1211" s="490"/>
      <c r="J1211" s="490"/>
      <c r="K1211" s="490"/>
      <c r="L1211" s="490"/>
      <c r="M1211" s="490"/>
    </row>
    <row r="1212">
      <c r="A1212" s="194"/>
      <c r="B1212" s="55"/>
      <c r="C1212" s="60"/>
      <c r="D1212" s="489"/>
      <c r="E1212" s="489"/>
      <c r="F1212" s="246"/>
      <c r="G1212" s="213"/>
      <c r="H1212" s="490"/>
      <c r="I1212" s="490"/>
      <c r="J1212" s="490"/>
      <c r="K1212" s="490"/>
      <c r="L1212" s="490"/>
      <c r="M1212" s="490"/>
    </row>
    <row r="1213">
      <c r="A1213" s="191"/>
      <c r="B1213" s="55"/>
      <c r="C1213" s="60"/>
      <c r="D1213" s="62"/>
      <c r="E1213" s="62"/>
      <c r="F1213" s="228"/>
      <c r="G1213" s="229"/>
      <c r="H1213" s="490"/>
      <c r="I1213" s="490"/>
      <c r="J1213" s="490"/>
      <c r="K1213" s="490"/>
      <c r="L1213" s="490"/>
      <c r="M1213" s="490"/>
    </row>
    <row r="1214">
      <c r="A1214" s="194"/>
      <c r="B1214" s="55"/>
      <c r="C1214" s="60"/>
      <c r="D1214" s="489"/>
      <c r="E1214" s="489"/>
      <c r="F1214" s="246"/>
      <c r="G1214" s="213"/>
      <c r="H1214" s="490"/>
      <c r="I1214" s="490"/>
      <c r="J1214" s="490"/>
      <c r="K1214" s="490"/>
      <c r="L1214" s="490"/>
      <c r="M1214" s="490"/>
    </row>
    <row r="1215">
      <c r="A1215" s="191"/>
      <c r="B1215" s="55"/>
      <c r="C1215" s="60"/>
      <c r="D1215" s="62"/>
      <c r="E1215" s="62"/>
      <c r="F1215" s="228"/>
      <c r="G1215" s="229"/>
      <c r="H1215" s="490"/>
      <c r="I1215" s="490"/>
      <c r="J1215" s="490"/>
      <c r="K1215" s="490"/>
      <c r="L1215" s="490"/>
      <c r="M1215" s="490"/>
    </row>
    <row r="1216">
      <c r="A1216" s="194"/>
      <c r="B1216" s="55"/>
      <c r="C1216" s="60"/>
      <c r="D1216" s="489"/>
      <c r="E1216" s="489"/>
      <c r="F1216" s="246"/>
      <c r="G1216" s="213"/>
      <c r="H1216" s="490"/>
      <c r="I1216" s="490"/>
      <c r="J1216" s="490"/>
      <c r="K1216" s="490"/>
      <c r="L1216" s="490"/>
      <c r="M1216" s="490"/>
    </row>
    <row r="1217">
      <c r="A1217" s="191"/>
      <c r="B1217" s="55"/>
      <c r="C1217" s="60"/>
      <c r="D1217" s="62"/>
      <c r="E1217" s="62"/>
      <c r="F1217" s="228"/>
      <c r="G1217" s="229"/>
      <c r="H1217" s="490"/>
      <c r="I1217" s="490"/>
      <c r="J1217" s="490"/>
      <c r="K1217" s="490"/>
      <c r="L1217" s="490"/>
      <c r="M1217" s="490"/>
    </row>
    <row r="1218">
      <c r="A1218" s="194"/>
      <c r="B1218" s="55"/>
      <c r="C1218" s="60"/>
      <c r="D1218" s="489"/>
      <c r="E1218" s="489"/>
      <c r="F1218" s="246"/>
      <c r="G1218" s="213"/>
      <c r="H1218" s="490"/>
      <c r="I1218" s="490"/>
      <c r="J1218" s="490"/>
      <c r="K1218" s="490"/>
      <c r="L1218" s="490"/>
      <c r="M1218" s="490"/>
    </row>
    <row r="1219">
      <c r="A1219" s="191"/>
      <c r="B1219" s="55"/>
      <c r="C1219" s="60"/>
      <c r="D1219" s="62"/>
      <c r="E1219" s="62"/>
      <c r="F1219" s="228"/>
      <c r="G1219" s="229"/>
      <c r="H1219" s="490"/>
      <c r="I1219" s="490"/>
      <c r="J1219" s="490"/>
      <c r="K1219" s="490"/>
      <c r="L1219" s="490"/>
      <c r="M1219" s="490"/>
    </row>
    <row r="1220">
      <c r="A1220" s="194"/>
      <c r="B1220" s="55"/>
      <c r="C1220" s="60"/>
      <c r="D1220" s="489"/>
      <c r="E1220" s="489"/>
      <c r="F1220" s="246"/>
      <c r="G1220" s="213"/>
      <c r="H1220" s="490"/>
      <c r="I1220" s="490"/>
      <c r="J1220" s="490"/>
      <c r="K1220" s="490"/>
      <c r="L1220" s="490"/>
      <c r="M1220" s="490"/>
    </row>
    <row r="1221">
      <c r="A1221" s="191"/>
      <c r="B1221" s="55"/>
      <c r="C1221" s="60"/>
      <c r="D1221" s="62"/>
      <c r="E1221" s="62"/>
      <c r="F1221" s="228"/>
      <c r="G1221" s="229"/>
      <c r="H1221" s="490"/>
      <c r="I1221" s="490"/>
      <c r="J1221" s="490"/>
      <c r="K1221" s="490"/>
      <c r="L1221" s="490"/>
      <c r="M1221" s="490"/>
    </row>
    <row r="1222">
      <c r="A1222" s="194"/>
      <c r="B1222" s="55"/>
      <c r="C1222" s="60"/>
      <c r="D1222" s="489"/>
      <c r="E1222" s="489"/>
      <c r="F1222" s="246"/>
      <c r="G1222" s="213"/>
      <c r="H1222" s="490"/>
      <c r="I1222" s="490"/>
      <c r="J1222" s="490"/>
      <c r="K1222" s="490"/>
      <c r="L1222" s="490"/>
      <c r="M1222" s="490"/>
    </row>
    <row r="1223">
      <c r="A1223" s="191"/>
      <c r="B1223" s="55"/>
      <c r="C1223" s="60"/>
      <c r="D1223" s="62"/>
      <c r="E1223" s="62"/>
      <c r="F1223" s="228"/>
      <c r="G1223" s="229"/>
      <c r="H1223" s="490"/>
      <c r="I1223" s="490"/>
      <c r="J1223" s="490"/>
      <c r="K1223" s="490"/>
      <c r="L1223" s="490"/>
      <c r="M1223" s="490"/>
    </row>
    <row r="1224">
      <c r="A1224" s="194"/>
      <c r="B1224" s="55"/>
      <c r="C1224" s="60"/>
      <c r="D1224" s="489"/>
      <c r="E1224" s="489"/>
      <c r="F1224" s="246"/>
      <c r="G1224" s="213"/>
      <c r="H1224" s="490"/>
      <c r="I1224" s="490"/>
      <c r="J1224" s="490"/>
      <c r="K1224" s="490"/>
      <c r="L1224" s="490"/>
      <c r="M1224" s="490"/>
    </row>
    <row r="1225">
      <c r="A1225" s="191"/>
      <c r="B1225" s="55"/>
      <c r="C1225" s="60"/>
      <c r="D1225" s="62"/>
      <c r="E1225" s="62"/>
      <c r="F1225" s="228"/>
      <c r="G1225" s="229"/>
      <c r="H1225" s="490"/>
      <c r="I1225" s="490"/>
      <c r="J1225" s="490"/>
      <c r="K1225" s="490"/>
      <c r="L1225" s="490"/>
      <c r="M1225" s="490"/>
    </row>
    <row r="1226">
      <c r="A1226" s="194"/>
      <c r="B1226" s="55"/>
      <c r="C1226" s="60"/>
      <c r="D1226" s="489"/>
      <c r="E1226" s="489"/>
      <c r="F1226" s="246"/>
      <c r="G1226" s="213"/>
      <c r="H1226" s="490"/>
      <c r="I1226" s="490"/>
      <c r="J1226" s="490"/>
      <c r="K1226" s="490"/>
      <c r="L1226" s="490"/>
      <c r="M1226" s="490"/>
    </row>
    <row r="1227">
      <c r="A1227" s="191"/>
      <c r="B1227" s="55"/>
      <c r="C1227" s="60"/>
      <c r="D1227" s="62"/>
      <c r="E1227" s="62"/>
      <c r="F1227" s="228"/>
      <c r="G1227" s="229"/>
      <c r="H1227" s="490"/>
      <c r="I1227" s="490"/>
      <c r="J1227" s="490"/>
      <c r="K1227" s="490"/>
      <c r="L1227" s="490"/>
      <c r="M1227" s="490"/>
    </row>
    <row r="1228">
      <c r="A1228" s="194"/>
      <c r="B1228" s="55"/>
      <c r="C1228" s="60"/>
      <c r="D1228" s="489"/>
      <c r="E1228" s="489"/>
      <c r="F1228" s="246"/>
      <c r="G1228" s="213"/>
      <c r="H1228" s="490"/>
      <c r="I1228" s="490"/>
      <c r="J1228" s="490"/>
      <c r="K1228" s="490"/>
      <c r="L1228" s="490"/>
      <c r="M1228" s="490"/>
    </row>
    <row r="1229">
      <c r="A1229" s="191"/>
      <c r="B1229" s="55"/>
      <c r="C1229" s="60"/>
      <c r="D1229" s="62"/>
      <c r="E1229" s="62"/>
      <c r="F1229" s="228"/>
      <c r="G1229" s="229"/>
      <c r="H1229" s="490"/>
      <c r="I1229" s="490"/>
      <c r="J1229" s="490"/>
      <c r="K1229" s="490"/>
      <c r="L1229" s="490"/>
      <c r="M1229" s="490"/>
    </row>
    <row r="1230">
      <c r="A1230" s="194"/>
      <c r="B1230" s="55"/>
      <c r="C1230" s="60"/>
      <c r="D1230" s="489"/>
      <c r="E1230" s="489"/>
      <c r="F1230" s="246"/>
      <c r="G1230" s="213"/>
      <c r="H1230" s="490"/>
      <c r="I1230" s="490"/>
      <c r="J1230" s="490"/>
      <c r="K1230" s="490"/>
      <c r="L1230" s="490"/>
      <c r="M1230" s="490"/>
    </row>
    <row r="1231">
      <c r="A1231" s="191"/>
      <c r="B1231" s="55"/>
      <c r="C1231" s="60"/>
      <c r="D1231" s="62"/>
      <c r="E1231" s="62"/>
      <c r="F1231" s="228"/>
      <c r="G1231" s="229"/>
      <c r="H1231" s="490"/>
      <c r="I1231" s="490"/>
      <c r="J1231" s="490"/>
      <c r="K1231" s="490"/>
      <c r="L1231" s="490"/>
      <c r="M1231" s="490"/>
    </row>
    <row r="1232">
      <c r="A1232" s="194"/>
      <c r="B1232" s="55"/>
      <c r="C1232" s="60"/>
      <c r="D1232" s="489"/>
      <c r="E1232" s="489"/>
      <c r="F1232" s="246"/>
      <c r="G1232" s="213"/>
      <c r="H1232" s="490"/>
      <c r="I1232" s="490"/>
      <c r="J1232" s="490"/>
      <c r="K1232" s="490"/>
      <c r="L1232" s="490"/>
      <c r="M1232" s="490"/>
    </row>
    <row r="1233">
      <c r="A1233" s="191"/>
      <c r="B1233" s="55"/>
      <c r="C1233" s="60"/>
      <c r="D1233" s="62"/>
      <c r="E1233" s="62"/>
      <c r="F1233" s="228"/>
      <c r="G1233" s="229"/>
      <c r="H1233" s="490"/>
      <c r="I1233" s="490"/>
      <c r="J1233" s="490"/>
      <c r="K1233" s="490"/>
      <c r="L1233" s="490"/>
      <c r="M1233" s="490"/>
    </row>
    <row r="1234">
      <c r="A1234" s="194"/>
      <c r="B1234" s="55"/>
      <c r="C1234" s="60"/>
      <c r="D1234" s="489"/>
      <c r="E1234" s="489"/>
      <c r="F1234" s="246"/>
      <c r="G1234" s="213"/>
      <c r="H1234" s="490"/>
      <c r="I1234" s="490"/>
      <c r="J1234" s="490"/>
      <c r="K1234" s="490"/>
      <c r="L1234" s="490"/>
      <c r="M1234" s="490"/>
    </row>
    <row r="1235">
      <c r="A1235" s="191"/>
      <c r="B1235" s="55"/>
      <c r="C1235" s="60"/>
      <c r="D1235" s="62"/>
      <c r="E1235" s="62"/>
      <c r="F1235" s="228"/>
      <c r="G1235" s="229"/>
      <c r="H1235" s="490"/>
      <c r="I1235" s="490"/>
      <c r="J1235" s="490"/>
      <c r="K1235" s="490"/>
      <c r="L1235" s="490"/>
      <c r="M1235" s="490"/>
    </row>
    <row r="1236">
      <c r="A1236" s="194"/>
      <c r="B1236" s="55"/>
      <c r="C1236" s="60"/>
      <c r="D1236" s="489"/>
      <c r="E1236" s="489"/>
      <c r="F1236" s="246"/>
      <c r="G1236" s="213"/>
      <c r="H1236" s="490"/>
      <c r="I1236" s="490"/>
      <c r="J1236" s="490"/>
      <c r="K1236" s="490"/>
      <c r="L1236" s="490"/>
      <c r="M1236" s="490"/>
    </row>
    <row r="1237">
      <c r="A1237" s="191"/>
      <c r="B1237" s="55"/>
      <c r="C1237" s="60"/>
      <c r="D1237" s="62"/>
      <c r="E1237" s="62"/>
      <c r="F1237" s="228"/>
      <c r="G1237" s="229"/>
      <c r="H1237" s="490"/>
      <c r="I1237" s="490"/>
      <c r="J1237" s="490"/>
      <c r="K1237" s="490"/>
      <c r="L1237" s="490"/>
      <c r="M1237" s="490"/>
    </row>
    <row r="1238">
      <c r="A1238" s="194"/>
      <c r="B1238" s="55"/>
      <c r="C1238" s="60"/>
      <c r="D1238" s="489"/>
      <c r="E1238" s="489"/>
      <c r="F1238" s="246"/>
      <c r="G1238" s="213"/>
      <c r="H1238" s="490"/>
      <c r="I1238" s="490"/>
      <c r="J1238" s="490"/>
      <c r="K1238" s="490"/>
      <c r="L1238" s="490"/>
      <c r="M1238" s="490"/>
    </row>
    <row r="1239">
      <c r="A1239" s="191"/>
      <c r="B1239" s="55"/>
      <c r="C1239" s="60"/>
      <c r="D1239" s="62"/>
      <c r="E1239" s="62"/>
      <c r="F1239" s="228"/>
      <c r="G1239" s="229"/>
      <c r="H1239" s="490"/>
      <c r="I1239" s="490"/>
      <c r="J1239" s="490"/>
      <c r="K1239" s="490"/>
      <c r="L1239" s="490"/>
      <c r="M1239" s="490"/>
    </row>
    <row r="1240">
      <c r="A1240" s="194"/>
      <c r="B1240" s="55"/>
      <c r="C1240" s="60"/>
      <c r="D1240" s="489"/>
      <c r="E1240" s="489"/>
      <c r="F1240" s="246"/>
      <c r="G1240" s="213"/>
      <c r="H1240" s="490"/>
      <c r="I1240" s="490"/>
      <c r="J1240" s="490"/>
      <c r="K1240" s="490"/>
      <c r="L1240" s="490"/>
      <c r="M1240" s="490"/>
    </row>
    <row r="1241">
      <c r="A1241" s="191"/>
      <c r="B1241" s="55"/>
      <c r="C1241" s="60"/>
      <c r="D1241" s="62"/>
      <c r="E1241" s="62"/>
      <c r="F1241" s="228"/>
      <c r="G1241" s="229"/>
      <c r="H1241" s="490"/>
      <c r="I1241" s="490"/>
      <c r="J1241" s="490"/>
      <c r="K1241" s="490"/>
      <c r="L1241" s="490"/>
      <c r="M1241" s="490"/>
    </row>
    <row r="1242">
      <c r="A1242" s="194"/>
      <c r="B1242" s="55"/>
      <c r="C1242" s="60"/>
      <c r="D1242" s="489"/>
      <c r="E1242" s="489"/>
      <c r="F1242" s="246"/>
      <c r="G1242" s="213"/>
      <c r="H1242" s="490"/>
      <c r="I1242" s="490"/>
      <c r="J1242" s="490"/>
      <c r="K1242" s="490"/>
      <c r="L1242" s="490"/>
      <c r="M1242" s="490"/>
    </row>
    <row r="1243">
      <c r="A1243" s="191"/>
      <c r="B1243" s="55"/>
      <c r="C1243" s="60"/>
      <c r="D1243" s="62"/>
      <c r="E1243" s="62"/>
      <c r="F1243" s="228"/>
      <c r="G1243" s="229"/>
      <c r="H1243" s="490"/>
      <c r="I1243" s="490"/>
      <c r="J1243" s="490"/>
      <c r="K1243" s="490"/>
      <c r="L1243" s="490"/>
      <c r="M1243" s="490"/>
    </row>
    <row r="1244">
      <c r="A1244" s="194"/>
      <c r="B1244" s="55"/>
      <c r="C1244" s="60"/>
      <c r="D1244" s="489"/>
      <c r="E1244" s="489"/>
      <c r="F1244" s="246"/>
      <c r="G1244" s="213"/>
      <c r="H1244" s="490"/>
      <c r="I1244" s="490"/>
      <c r="J1244" s="490"/>
      <c r="K1244" s="490"/>
      <c r="L1244" s="490"/>
      <c r="M1244" s="490"/>
    </row>
    <row r="1245">
      <c r="A1245" s="191"/>
      <c r="B1245" s="55"/>
      <c r="C1245" s="60"/>
      <c r="D1245" s="62"/>
      <c r="E1245" s="62"/>
      <c r="F1245" s="228"/>
      <c r="G1245" s="229"/>
      <c r="H1245" s="490"/>
      <c r="I1245" s="490"/>
      <c r="J1245" s="490"/>
      <c r="K1245" s="490"/>
      <c r="L1245" s="490"/>
      <c r="M1245" s="490"/>
    </row>
    <row r="1246">
      <c r="A1246" s="194"/>
      <c r="B1246" s="55"/>
      <c r="C1246" s="60"/>
      <c r="D1246" s="489"/>
      <c r="E1246" s="489"/>
      <c r="F1246" s="246"/>
      <c r="G1246" s="213"/>
      <c r="H1246" s="490"/>
      <c r="I1246" s="490"/>
      <c r="J1246" s="490"/>
      <c r="K1246" s="490"/>
      <c r="L1246" s="490"/>
      <c r="M1246" s="490"/>
    </row>
    <row r="1247">
      <c r="A1247" s="191"/>
      <c r="B1247" s="55"/>
      <c r="C1247" s="60"/>
      <c r="D1247" s="62"/>
      <c r="E1247" s="62"/>
      <c r="F1247" s="228"/>
      <c r="G1247" s="229"/>
      <c r="H1247" s="490"/>
      <c r="I1247" s="490"/>
      <c r="J1247" s="490"/>
      <c r="K1247" s="490"/>
      <c r="L1247" s="490"/>
      <c r="M1247" s="490"/>
    </row>
    <row r="1248">
      <c r="A1248" s="194"/>
      <c r="B1248" s="55"/>
      <c r="C1248" s="60"/>
      <c r="D1248" s="489"/>
      <c r="E1248" s="489"/>
      <c r="F1248" s="246"/>
      <c r="G1248" s="213"/>
      <c r="H1248" s="490"/>
      <c r="I1248" s="490"/>
      <c r="J1248" s="490"/>
      <c r="K1248" s="490"/>
      <c r="L1248" s="490"/>
      <c r="M1248" s="490"/>
    </row>
    <row r="1249">
      <c r="A1249" s="191"/>
      <c r="B1249" s="55"/>
      <c r="C1249" s="60"/>
      <c r="D1249" s="62"/>
      <c r="E1249" s="62"/>
      <c r="F1249" s="228"/>
      <c r="G1249" s="229"/>
      <c r="H1249" s="490"/>
      <c r="I1249" s="490"/>
      <c r="J1249" s="490"/>
      <c r="K1249" s="490"/>
      <c r="L1249" s="490"/>
      <c r="M1249" s="490"/>
    </row>
    <row r="1250">
      <c r="A1250" s="194"/>
      <c r="B1250" s="55"/>
      <c r="C1250" s="60"/>
      <c r="D1250" s="489"/>
      <c r="E1250" s="489"/>
      <c r="F1250" s="246"/>
      <c r="G1250" s="213"/>
      <c r="H1250" s="490"/>
      <c r="I1250" s="490"/>
      <c r="J1250" s="490"/>
      <c r="K1250" s="490"/>
      <c r="L1250" s="490"/>
      <c r="M1250" s="490"/>
    </row>
    <row r="1251">
      <c r="A1251" s="191"/>
      <c r="B1251" s="55"/>
      <c r="C1251" s="60"/>
      <c r="D1251" s="62"/>
      <c r="E1251" s="62"/>
      <c r="F1251" s="228"/>
      <c r="G1251" s="229"/>
      <c r="H1251" s="490"/>
      <c r="I1251" s="490"/>
      <c r="J1251" s="490"/>
      <c r="K1251" s="490"/>
      <c r="L1251" s="490"/>
      <c r="M1251" s="490"/>
    </row>
    <row r="1252">
      <c r="A1252" s="194"/>
      <c r="B1252" s="55"/>
      <c r="C1252" s="60"/>
      <c r="D1252" s="489"/>
      <c r="E1252" s="489"/>
      <c r="F1252" s="246"/>
      <c r="G1252" s="213"/>
      <c r="H1252" s="490"/>
      <c r="I1252" s="490"/>
      <c r="J1252" s="490"/>
      <c r="K1252" s="490"/>
      <c r="L1252" s="490"/>
      <c r="M1252" s="490"/>
    </row>
    <row r="1253">
      <c r="A1253" s="191"/>
      <c r="B1253" s="55"/>
      <c r="C1253" s="60"/>
      <c r="D1253" s="62"/>
      <c r="E1253" s="62"/>
      <c r="F1253" s="228"/>
      <c r="G1253" s="229"/>
      <c r="H1253" s="490"/>
      <c r="I1253" s="490"/>
      <c r="J1253" s="490"/>
      <c r="K1253" s="490"/>
      <c r="L1253" s="490"/>
      <c r="M1253" s="490"/>
    </row>
    <row r="1254">
      <c r="A1254" s="194"/>
      <c r="B1254" s="55"/>
      <c r="C1254" s="60"/>
      <c r="D1254" s="489"/>
      <c r="E1254" s="489"/>
      <c r="F1254" s="246"/>
      <c r="G1254" s="213"/>
      <c r="H1254" s="490"/>
      <c r="I1254" s="490"/>
      <c r="J1254" s="490"/>
      <c r="K1254" s="490"/>
      <c r="L1254" s="490"/>
      <c r="M1254" s="490"/>
    </row>
    <row r="1255">
      <c r="A1255" s="191"/>
      <c r="B1255" s="55"/>
      <c r="C1255" s="60"/>
      <c r="D1255" s="62"/>
      <c r="E1255" s="62"/>
      <c r="F1255" s="228"/>
      <c r="G1255" s="229"/>
      <c r="H1255" s="490"/>
      <c r="I1255" s="490"/>
      <c r="J1255" s="490"/>
      <c r="K1255" s="490"/>
      <c r="L1255" s="490"/>
      <c r="M1255" s="490"/>
    </row>
    <row r="1256">
      <c r="A1256" s="194"/>
      <c r="B1256" s="55"/>
      <c r="C1256" s="60"/>
      <c r="D1256" s="489"/>
      <c r="E1256" s="489"/>
      <c r="F1256" s="246"/>
      <c r="G1256" s="213"/>
      <c r="H1256" s="490"/>
      <c r="I1256" s="490"/>
      <c r="J1256" s="490"/>
      <c r="K1256" s="490"/>
      <c r="L1256" s="490"/>
      <c r="M1256" s="490"/>
    </row>
    <row r="1257">
      <c r="A1257" s="191"/>
      <c r="B1257" s="55"/>
      <c r="C1257" s="60"/>
      <c r="D1257" s="62"/>
      <c r="E1257" s="62"/>
      <c r="F1257" s="228"/>
      <c r="G1257" s="229"/>
      <c r="H1257" s="490"/>
      <c r="I1257" s="490"/>
      <c r="J1257" s="490"/>
      <c r="K1257" s="490"/>
      <c r="L1257" s="490"/>
      <c r="M1257" s="490"/>
    </row>
    <row r="1258">
      <c r="A1258" s="194"/>
      <c r="B1258" s="55"/>
      <c r="C1258" s="60"/>
      <c r="D1258" s="489"/>
      <c r="E1258" s="489"/>
      <c r="F1258" s="246"/>
      <c r="G1258" s="213"/>
      <c r="H1258" s="490"/>
      <c r="I1258" s="490"/>
      <c r="J1258" s="490"/>
      <c r="K1258" s="490"/>
      <c r="L1258" s="490"/>
      <c r="M1258" s="490"/>
    </row>
    <row r="1259">
      <c r="A1259" s="191"/>
      <c r="B1259" s="55"/>
      <c r="C1259" s="60"/>
      <c r="D1259" s="62"/>
      <c r="E1259" s="62"/>
      <c r="F1259" s="228"/>
      <c r="G1259" s="229"/>
      <c r="H1259" s="490"/>
      <c r="I1259" s="490"/>
      <c r="J1259" s="490"/>
      <c r="K1259" s="490"/>
      <c r="L1259" s="490"/>
      <c r="M1259" s="490"/>
    </row>
    <row r="1260">
      <c r="A1260" s="194"/>
      <c r="B1260" s="55"/>
      <c r="C1260" s="60"/>
      <c r="D1260" s="489"/>
      <c r="E1260" s="489"/>
      <c r="F1260" s="246"/>
      <c r="G1260" s="213"/>
      <c r="H1260" s="490"/>
      <c r="I1260" s="490"/>
      <c r="J1260" s="490"/>
      <c r="K1260" s="490"/>
      <c r="L1260" s="490"/>
      <c r="M1260" s="490"/>
    </row>
    <row r="1261">
      <c r="A1261" s="191"/>
      <c r="B1261" s="55"/>
      <c r="C1261" s="60"/>
      <c r="D1261" s="62"/>
      <c r="E1261" s="62"/>
      <c r="F1261" s="228"/>
      <c r="G1261" s="229"/>
      <c r="H1261" s="490"/>
      <c r="I1261" s="490"/>
      <c r="J1261" s="490"/>
      <c r="K1261" s="490"/>
      <c r="L1261" s="490"/>
      <c r="M1261" s="490"/>
    </row>
    <row r="1262">
      <c r="A1262" s="194"/>
      <c r="B1262" s="55"/>
      <c r="C1262" s="60"/>
      <c r="D1262" s="489"/>
      <c r="E1262" s="489"/>
      <c r="F1262" s="246"/>
      <c r="G1262" s="213"/>
      <c r="H1262" s="490"/>
      <c r="I1262" s="490"/>
      <c r="J1262" s="490"/>
      <c r="K1262" s="490"/>
      <c r="L1262" s="490"/>
      <c r="M1262" s="490"/>
    </row>
    <row r="1263">
      <c r="A1263" s="191"/>
      <c r="B1263" s="55"/>
      <c r="C1263" s="60"/>
      <c r="D1263" s="62"/>
      <c r="E1263" s="62"/>
      <c r="F1263" s="228"/>
      <c r="G1263" s="229"/>
      <c r="H1263" s="490"/>
      <c r="I1263" s="490"/>
      <c r="J1263" s="490"/>
      <c r="K1263" s="490"/>
      <c r="L1263" s="490"/>
      <c r="M1263" s="490"/>
    </row>
    <row r="1264">
      <c r="A1264" s="194"/>
      <c r="B1264" s="55"/>
      <c r="C1264" s="60"/>
      <c r="D1264" s="489"/>
      <c r="E1264" s="489"/>
      <c r="F1264" s="246"/>
      <c r="G1264" s="213"/>
      <c r="H1264" s="490"/>
      <c r="I1264" s="490"/>
      <c r="J1264" s="490"/>
      <c r="K1264" s="490"/>
      <c r="L1264" s="490"/>
      <c r="M1264" s="490"/>
    </row>
    <row r="1265">
      <c r="A1265" s="191"/>
      <c r="B1265" s="55"/>
      <c r="C1265" s="60"/>
      <c r="D1265" s="62"/>
      <c r="E1265" s="62"/>
      <c r="F1265" s="228"/>
      <c r="G1265" s="229"/>
      <c r="H1265" s="490"/>
      <c r="I1265" s="490"/>
      <c r="J1265" s="490"/>
      <c r="K1265" s="490"/>
      <c r="L1265" s="490"/>
      <c r="M1265" s="490"/>
    </row>
    <row r="1266">
      <c r="A1266" s="194"/>
      <c r="B1266" s="55"/>
      <c r="C1266" s="60"/>
      <c r="D1266" s="489"/>
      <c r="E1266" s="489"/>
      <c r="F1266" s="246"/>
      <c r="G1266" s="213"/>
      <c r="H1266" s="490"/>
      <c r="I1266" s="490"/>
      <c r="J1266" s="490"/>
      <c r="K1266" s="490"/>
      <c r="L1266" s="490"/>
      <c r="M1266" s="490"/>
    </row>
    <row r="1267">
      <c r="A1267" s="191"/>
      <c r="B1267" s="55"/>
      <c r="C1267" s="60"/>
      <c r="D1267" s="62"/>
      <c r="E1267" s="62"/>
      <c r="F1267" s="228"/>
      <c r="G1267" s="229"/>
      <c r="H1267" s="490"/>
      <c r="I1267" s="490"/>
      <c r="J1267" s="490"/>
      <c r="K1267" s="490"/>
      <c r="L1267" s="490"/>
      <c r="M1267" s="490"/>
    </row>
    <row r="1268">
      <c r="A1268" s="194"/>
      <c r="B1268" s="55"/>
      <c r="C1268" s="60"/>
      <c r="D1268" s="489"/>
      <c r="E1268" s="489"/>
      <c r="F1268" s="246"/>
      <c r="G1268" s="213"/>
      <c r="H1268" s="490"/>
      <c r="I1268" s="490"/>
      <c r="J1268" s="490"/>
      <c r="K1268" s="490"/>
      <c r="L1268" s="490"/>
      <c r="M1268" s="490"/>
    </row>
    <row r="1269">
      <c r="A1269" s="191"/>
      <c r="B1269" s="55"/>
      <c r="C1269" s="60"/>
      <c r="D1269" s="62"/>
      <c r="E1269" s="62"/>
      <c r="F1269" s="228"/>
      <c r="G1269" s="229"/>
      <c r="H1269" s="490"/>
      <c r="I1269" s="490"/>
      <c r="J1269" s="490"/>
      <c r="K1269" s="490"/>
      <c r="L1269" s="490"/>
      <c r="M1269" s="490"/>
    </row>
    <row r="1270">
      <c r="A1270" s="194"/>
      <c r="B1270" s="55"/>
      <c r="C1270" s="60"/>
      <c r="D1270" s="489"/>
      <c r="E1270" s="489"/>
      <c r="F1270" s="246"/>
      <c r="G1270" s="213"/>
      <c r="H1270" s="490"/>
      <c r="I1270" s="490"/>
      <c r="J1270" s="490"/>
      <c r="K1270" s="490"/>
      <c r="L1270" s="490"/>
      <c r="M1270" s="490"/>
    </row>
    <row r="1271">
      <c r="A1271" s="191"/>
      <c r="B1271" s="55"/>
      <c r="C1271" s="60"/>
      <c r="D1271" s="62"/>
      <c r="E1271" s="62"/>
      <c r="F1271" s="228"/>
      <c r="G1271" s="229"/>
      <c r="H1271" s="490"/>
      <c r="I1271" s="490"/>
      <c r="J1271" s="490"/>
      <c r="K1271" s="490"/>
      <c r="L1271" s="490"/>
      <c r="M1271" s="490"/>
    </row>
    <row r="1272">
      <c r="A1272" s="194"/>
      <c r="B1272" s="55"/>
      <c r="C1272" s="60"/>
      <c r="D1272" s="489"/>
      <c r="E1272" s="489"/>
      <c r="F1272" s="246"/>
      <c r="G1272" s="213"/>
      <c r="H1272" s="490"/>
      <c r="I1272" s="490"/>
      <c r="J1272" s="490"/>
      <c r="K1272" s="490"/>
      <c r="L1272" s="490"/>
      <c r="M1272" s="490"/>
    </row>
    <row r="1273">
      <c r="A1273" s="191"/>
      <c r="B1273" s="55"/>
      <c r="C1273" s="60"/>
      <c r="D1273" s="62"/>
      <c r="E1273" s="62"/>
      <c r="F1273" s="228"/>
      <c r="G1273" s="229"/>
      <c r="H1273" s="490"/>
      <c r="I1273" s="490"/>
      <c r="J1273" s="490"/>
      <c r="K1273" s="490"/>
      <c r="L1273" s="490"/>
      <c r="M1273" s="490"/>
    </row>
    <row r="1274">
      <c r="A1274" s="194"/>
      <c r="B1274" s="55"/>
      <c r="C1274" s="60"/>
      <c r="D1274" s="489"/>
      <c r="E1274" s="489"/>
      <c r="F1274" s="246"/>
      <c r="G1274" s="213"/>
      <c r="H1274" s="490"/>
      <c r="I1274" s="490"/>
      <c r="J1274" s="490"/>
      <c r="K1274" s="490"/>
      <c r="L1274" s="490"/>
      <c r="M1274" s="490"/>
    </row>
    <row r="1275">
      <c r="A1275" s="191"/>
      <c r="B1275" s="55"/>
      <c r="C1275" s="60"/>
      <c r="D1275" s="62"/>
      <c r="E1275" s="62"/>
      <c r="F1275" s="228"/>
      <c r="G1275" s="229"/>
      <c r="H1275" s="490"/>
      <c r="I1275" s="490"/>
      <c r="J1275" s="490"/>
      <c r="K1275" s="490"/>
      <c r="L1275" s="490"/>
      <c r="M1275" s="490"/>
    </row>
    <row r="1276">
      <c r="A1276" s="194"/>
      <c r="B1276" s="55"/>
      <c r="C1276" s="60"/>
      <c r="D1276" s="489"/>
      <c r="E1276" s="489"/>
      <c r="F1276" s="246"/>
      <c r="G1276" s="213"/>
      <c r="H1276" s="490"/>
      <c r="I1276" s="490"/>
      <c r="J1276" s="490"/>
      <c r="K1276" s="490"/>
      <c r="L1276" s="490"/>
      <c r="M1276" s="490"/>
    </row>
    <row r="1277">
      <c r="A1277" s="191"/>
      <c r="B1277" s="55"/>
      <c r="C1277" s="60"/>
      <c r="D1277" s="62"/>
      <c r="E1277" s="62"/>
      <c r="F1277" s="228"/>
      <c r="G1277" s="229"/>
      <c r="H1277" s="490"/>
      <c r="I1277" s="490"/>
      <c r="J1277" s="490"/>
      <c r="K1277" s="490"/>
      <c r="L1277" s="490"/>
      <c r="M1277" s="490"/>
    </row>
    <row r="1278">
      <c r="A1278" s="194"/>
      <c r="B1278" s="55"/>
      <c r="C1278" s="60"/>
      <c r="D1278" s="489"/>
      <c r="E1278" s="489"/>
      <c r="F1278" s="246"/>
      <c r="G1278" s="213"/>
      <c r="H1278" s="490"/>
      <c r="I1278" s="490"/>
      <c r="J1278" s="490"/>
      <c r="K1278" s="490"/>
      <c r="L1278" s="490"/>
      <c r="M1278" s="490"/>
    </row>
    <row r="1279">
      <c r="A1279" s="191"/>
      <c r="B1279" s="55"/>
      <c r="C1279" s="60"/>
      <c r="D1279" s="62"/>
      <c r="E1279" s="62"/>
      <c r="F1279" s="228"/>
      <c r="G1279" s="229"/>
      <c r="H1279" s="490"/>
      <c r="I1279" s="490"/>
      <c r="J1279" s="490"/>
      <c r="K1279" s="490"/>
      <c r="L1279" s="490"/>
      <c r="M1279" s="490"/>
    </row>
    <row r="1280">
      <c r="A1280" s="194"/>
      <c r="B1280" s="55"/>
      <c r="C1280" s="60"/>
      <c r="D1280" s="489"/>
      <c r="E1280" s="489"/>
      <c r="F1280" s="246"/>
      <c r="G1280" s="213"/>
      <c r="H1280" s="490"/>
      <c r="I1280" s="490"/>
      <c r="J1280" s="490"/>
      <c r="K1280" s="490"/>
      <c r="L1280" s="490"/>
      <c r="M1280" s="490"/>
    </row>
    <row r="1281">
      <c r="A1281" s="191"/>
      <c r="B1281" s="55"/>
      <c r="C1281" s="60"/>
      <c r="D1281" s="62"/>
      <c r="E1281" s="62"/>
      <c r="F1281" s="228"/>
      <c r="G1281" s="229"/>
      <c r="H1281" s="490"/>
      <c r="I1281" s="490"/>
      <c r="J1281" s="490"/>
      <c r="K1281" s="490"/>
      <c r="L1281" s="490"/>
      <c r="M1281" s="490"/>
    </row>
    <row r="1282">
      <c r="A1282" s="194"/>
      <c r="B1282" s="55"/>
      <c r="C1282" s="60"/>
      <c r="D1282" s="489"/>
      <c r="E1282" s="489"/>
      <c r="F1282" s="246"/>
      <c r="G1282" s="213"/>
      <c r="H1282" s="490"/>
      <c r="I1282" s="490"/>
      <c r="J1282" s="490"/>
      <c r="K1282" s="490"/>
      <c r="L1282" s="490"/>
      <c r="M1282" s="490"/>
    </row>
    <row r="1283">
      <c r="A1283" s="191"/>
      <c r="B1283" s="55"/>
      <c r="C1283" s="60"/>
      <c r="D1283" s="62"/>
      <c r="E1283" s="62"/>
      <c r="F1283" s="228"/>
      <c r="G1283" s="229"/>
      <c r="H1283" s="490"/>
      <c r="I1283" s="490"/>
      <c r="J1283" s="490"/>
      <c r="K1283" s="490"/>
      <c r="L1283" s="490"/>
      <c r="M1283" s="490"/>
    </row>
    <row r="1284">
      <c r="A1284" s="194"/>
      <c r="B1284" s="55"/>
      <c r="C1284" s="60"/>
      <c r="D1284" s="489"/>
      <c r="E1284" s="489"/>
      <c r="F1284" s="246"/>
      <c r="G1284" s="213"/>
      <c r="H1284" s="490"/>
      <c r="I1284" s="490"/>
      <c r="J1284" s="490"/>
      <c r="K1284" s="490"/>
      <c r="L1284" s="490"/>
      <c r="M1284" s="490"/>
    </row>
    <row r="1285">
      <c r="A1285" s="191"/>
      <c r="B1285" s="55"/>
      <c r="C1285" s="60"/>
      <c r="D1285" s="62"/>
      <c r="E1285" s="62"/>
      <c r="F1285" s="228"/>
      <c r="G1285" s="229"/>
      <c r="H1285" s="490"/>
      <c r="I1285" s="490"/>
      <c r="J1285" s="490"/>
      <c r="K1285" s="490"/>
      <c r="L1285" s="490"/>
      <c r="M1285" s="490"/>
    </row>
    <row r="1286">
      <c r="A1286" s="194"/>
      <c r="B1286" s="55"/>
      <c r="C1286" s="60"/>
      <c r="D1286" s="489"/>
      <c r="E1286" s="489"/>
      <c r="F1286" s="246"/>
      <c r="G1286" s="213"/>
      <c r="H1286" s="490"/>
      <c r="I1286" s="490"/>
      <c r="J1286" s="490"/>
      <c r="K1286" s="490"/>
      <c r="L1286" s="490"/>
      <c r="M1286" s="490"/>
    </row>
    <row r="1287">
      <c r="A1287" s="191"/>
      <c r="B1287" s="55"/>
      <c r="C1287" s="60"/>
      <c r="D1287" s="62"/>
      <c r="E1287" s="62"/>
      <c r="F1287" s="228"/>
      <c r="G1287" s="229"/>
      <c r="H1287" s="490"/>
      <c r="I1287" s="490"/>
      <c r="J1287" s="490"/>
      <c r="K1287" s="490"/>
      <c r="L1287" s="490"/>
      <c r="M1287" s="490"/>
    </row>
    <row r="1288">
      <c r="A1288" s="194"/>
      <c r="B1288" s="55"/>
      <c r="C1288" s="60"/>
      <c r="D1288" s="489"/>
      <c r="E1288" s="489"/>
      <c r="F1288" s="246"/>
      <c r="G1288" s="213"/>
      <c r="H1288" s="490"/>
      <c r="I1288" s="490"/>
      <c r="J1288" s="490"/>
      <c r="K1288" s="490"/>
      <c r="L1288" s="490"/>
      <c r="M1288" s="490"/>
    </row>
    <row r="1289">
      <c r="A1289" s="191"/>
      <c r="B1289" s="55"/>
      <c r="C1289" s="60"/>
      <c r="D1289" s="62"/>
      <c r="E1289" s="62"/>
      <c r="F1289" s="228"/>
      <c r="G1289" s="229"/>
      <c r="H1289" s="490"/>
      <c r="I1289" s="490"/>
      <c r="J1289" s="490"/>
      <c r="K1289" s="490"/>
      <c r="L1289" s="490"/>
      <c r="M1289" s="490"/>
    </row>
    <row r="1290">
      <c r="A1290" s="194"/>
      <c r="B1290" s="55"/>
      <c r="C1290" s="60"/>
      <c r="D1290" s="489"/>
      <c r="E1290" s="489"/>
      <c r="F1290" s="246"/>
      <c r="G1290" s="213"/>
      <c r="H1290" s="490"/>
      <c r="I1290" s="490"/>
      <c r="J1290" s="490"/>
      <c r="K1290" s="490"/>
      <c r="L1290" s="490"/>
      <c r="M1290" s="490"/>
    </row>
    <row r="1291">
      <c r="A1291" s="191"/>
      <c r="B1291" s="55"/>
      <c r="C1291" s="60"/>
      <c r="D1291" s="62"/>
      <c r="E1291" s="62"/>
      <c r="F1291" s="228"/>
      <c r="G1291" s="229"/>
      <c r="H1291" s="490"/>
      <c r="I1291" s="490"/>
      <c r="J1291" s="490"/>
      <c r="K1291" s="490"/>
      <c r="L1291" s="490"/>
      <c r="M1291" s="490"/>
    </row>
    <row r="1292">
      <c r="A1292" s="194"/>
      <c r="B1292" s="55"/>
      <c r="C1292" s="60"/>
      <c r="D1292" s="489"/>
      <c r="E1292" s="489"/>
      <c r="F1292" s="246"/>
      <c r="G1292" s="213"/>
      <c r="H1292" s="490"/>
      <c r="I1292" s="490"/>
      <c r="J1292" s="490"/>
      <c r="K1292" s="490"/>
      <c r="L1292" s="490"/>
      <c r="M1292" s="490"/>
    </row>
    <row r="1293">
      <c r="A1293" s="191"/>
      <c r="B1293" s="55"/>
      <c r="C1293" s="60"/>
      <c r="D1293" s="62"/>
      <c r="E1293" s="62"/>
      <c r="F1293" s="228"/>
      <c r="G1293" s="229"/>
      <c r="H1293" s="490"/>
      <c r="I1293" s="490"/>
      <c r="J1293" s="490"/>
      <c r="K1293" s="490"/>
      <c r="L1293" s="490"/>
      <c r="M1293" s="490"/>
    </row>
    <row r="1294">
      <c r="A1294" s="194"/>
      <c r="B1294" s="55"/>
      <c r="C1294" s="60"/>
      <c r="D1294" s="489"/>
      <c r="E1294" s="489"/>
      <c r="F1294" s="246"/>
      <c r="G1294" s="213"/>
      <c r="H1294" s="490"/>
      <c r="I1294" s="490"/>
      <c r="J1294" s="490"/>
      <c r="K1294" s="490"/>
      <c r="L1294" s="490"/>
      <c r="M1294" s="490"/>
    </row>
    <row r="1295">
      <c r="A1295" s="191"/>
      <c r="B1295" s="55"/>
      <c r="C1295" s="60"/>
      <c r="D1295" s="62"/>
      <c r="E1295" s="62"/>
      <c r="F1295" s="228"/>
      <c r="G1295" s="229"/>
      <c r="H1295" s="490"/>
      <c r="I1295" s="490"/>
      <c r="J1295" s="490"/>
      <c r="K1295" s="490"/>
      <c r="L1295" s="490"/>
      <c r="M1295" s="490"/>
    </row>
    <row r="1296">
      <c r="A1296" s="194"/>
      <c r="B1296" s="55"/>
      <c r="C1296" s="60"/>
      <c r="D1296" s="489"/>
      <c r="E1296" s="489"/>
      <c r="F1296" s="246"/>
      <c r="G1296" s="213"/>
      <c r="H1296" s="490"/>
      <c r="I1296" s="490"/>
      <c r="J1296" s="490"/>
      <c r="K1296" s="490"/>
      <c r="L1296" s="490"/>
      <c r="M1296" s="490"/>
    </row>
    <row r="1297">
      <c r="A1297" s="191"/>
      <c r="B1297" s="55"/>
      <c r="C1297" s="60"/>
      <c r="D1297" s="62"/>
      <c r="E1297" s="62"/>
      <c r="F1297" s="228"/>
      <c r="G1297" s="229"/>
      <c r="H1297" s="490"/>
      <c r="I1297" s="490"/>
      <c r="J1297" s="490"/>
      <c r="K1297" s="490"/>
      <c r="L1297" s="490"/>
      <c r="M1297" s="490"/>
    </row>
    <row r="1298">
      <c r="A1298" s="194"/>
      <c r="B1298" s="55"/>
      <c r="C1298" s="60"/>
      <c r="D1298" s="489"/>
      <c r="E1298" s="489"/>
      <c r="F1298" s="246"/>
      <c r="G1298" s="213"/>
      <c r="H1298" s="490"/>
      <c r="I1298" s="490"/>
      <c r="J1298" s="490"/>
      <c r="K1298" s="490"/>
      <c r="L1298" s="490"/>
      <c r="M1298" s="490"/>
    </row>
    <row r="1299">
      <c r="A1299" s="191"/>
      <c r="B1299" s="55"/>
      <c r="C1299" s="60"/>
      <c r="D1299" s="62"/>
      <c r="E1299" s="62"/>
      <c r="F1299" s="228"/>
      <c r="G1299" s="229"/>
      <c r="H1299" s="490"/>
      <c r="I1299" s="490"/>
      <c r="J1299" s="490"/>
      <c r="K1299" s="490"/>
      <c r="L1299" s="490"/>
      <c r="M1299" s="490"/>
    </row>
    <row r="1300">
      <c r="A1300" s="194"/>
      <c r="B1300" s="55"/>
      <c r="C1300" s="60"/>
      <c r="D1300" s="489"/>
      <c r="E1300" s="489"/>
      <c r="F1300" s="246"/>
      <c r="G1300" s="213"/>
      <c r="H1300" s="490"/>
      <c r="I1300" s="490"/>
      <c r="J1300" s="490"/>
      <c r="K1300" s="490"/>
      <c r="L1300" s="490"/>
      <c r="M1300" s="490"/>
    </row>
    <row r="1301">
      <c r="A1301" s="191"/>
      <c r="B1301" s="55"/>
      <c r="C1301" s="60"/>
      <c r="D1301" s="62"/>
      <c r="E1301" s="62"/>
      <c r="F1301" s="228"/>
      <c r="G1301" s="229"/>
      <c r="H1301" s="490"/>
      <c r="I1301" s="490"/>
      <c r="J1301" s="490"/>
      <c r="K1301" s="490"/>
      <c r="L1301" s="490"/>
      <c r="M1301" s="490"/>
    </row>
    <row r="1302">
      <c r="A1302" s="194"/>
      <c r="B1302" s="55"/>
      <c r="C1302" s="60"/>
      <c r="D1302" s="489"/>
      <c r="E1302" s="489"/>
      <c r="F1302" s="246"/>
      <c r="G1302" s="213"/>
      <c r="H1302" s="490"/>
      <c r="I1302" s="490"/>
      <c r="J1302" s="490"/>
      <c r="K1302" s="490"/>
      <c r="L1302" s="490"/>
      <c r="M1302" s="490"/>
    </row>
    <row r="1303">
      <c r="A1303" s="191"/>
      <c r="B1303" s="55"/>
      <c r="C1303" s="60"/>
      <c r="D1303" s="62"/>
      <c r="E1303" s="62"/>
      <c r="F1303" s="228"/>
      <c r="G1303" s="229"/>
      <c r="H1303" s="490"/>
      <c r="I1303" s="490"/>
      <c r="J1303" s="490"/>
      <c r="K1303" s="490"/>
      <c r="L1303" s="490"/>
      <c r="M1303" s="490"/>
    </row>
    <row r="1304">
      <c r="A1304" s="194"/>
      <c r="B1304" s="55"/>
      <c r="C1304" s="60"/>
      <c r="D1304" s="489"/>
      <c r="E1304" s="489"/>
      <c r="F1304" s="246"/>
      <c r="G1304" s="213"/>
      <c r="H1304" s="490"/>
      <c r="I1304" s="490"/>
      <c r="J1304" s="490"/>
      <c r="K1304" s="490"/>
      <c r="L1304" s="490"/>
      <c r="M1304" s="490"/>
    </row>
    <row r="1305">
      <c r="A1305" s="191"/>
      <c r="B1305" s="55"/>
      <c r="C1305" s="60"/>
      <c r="D1305" s="62"/>
      <c r="E1305" s="62"/>
      <c r="F1305" s="228"/>
      <c r="G1305" s="229"/>
      <c r="H1305" s="490"/>
      <c r="I1305" s="490"/>
      <c r="J1305" s="490"/>
      <c r="K1305" s="490"/>
      <c r="L1305" s="490"/>
      <c r="M1305" s="490"/>
    </row>
    <row r="1306">
      <c r="A1306" s="194"/>
      <c r="B1306" s="55"/>
      <c r="C1306" s="60"/>
      <c r="D1306" s="489"/>
      <c r="E1306" s="489"/>
      <c r="F1306" s="246"/>
      <c r="G1306" s="213"/>
      <c r="H1306" s="490"/>
      <c r="I1306" s="490"/>
      <c r="J1306" s="490"/>
      <c r="K1306" s="490"/>
      <c r="L1306" s="490"/>
      <c r="M1306" s="490"/>
    </row>
    <row r="1307">
      <c r="A1307" s="191"/>
      <c r="B1307" s="55"/>
      <c r="C1307" s="60"/>
      <c r="D1307" s="62"/>
      <c r="E1307" s="62"/>
      <c r="F1307" s="228"/>
      <c r="G1307" s="229"/>
      <c r="H1307" s="490"/>
      <c r="I1307" s="490"/>
      <c r="J1307" s="490"/>
      <c r="K1307" s="490"/>
      <c r="L1307" s="490"/>
      <c r="M1307" s="490"/>
    </row>
    <row r="1308">
      <c r="A1308" s="194"/>
      <c r="B1308" s="55"/>
      <c r="C1308" s="60"/>
      <c r="D1308" s="489"/>
      <c r="E1308" s="489"/>
      <c r="F1308" s="246"/>
      <c r="G1308" s="213"/>
      <c r="H1308" s="490"/>
      <c r="I1308" s="490"/>
      <c r="J1308" s="490"/>
      <c r="K1308" s="490"/>
      <c r="L1308" s="490"/>
      <c r="M1308" s="490"/>
    </row>
    <row r="1309">
      <c r="A1309" s="191"/>
      <c r="B1309" s="55"/>
      <c r="C1309" s="60"/>
      <c r="D1309" s="62"/>
      <c r="E1309" s="62"/>
      <c r="F1309" s="228"/>
      <c r="G1309" s="229"/>
      <c r="H1309" s="490"/>
      <c r="I1309" s="490"/>
      <c r="J1309" s="490"/>
      <c r="K1309" s="490"/>
      <c r="L1309" s="490"/>
      <c r="M1309" s="490"/>
    </row>
    <row r="1310">
      <c r="A1310" s="194"/>
      <c r="B1310" s="55"/>
      <c r="C1310" s="60"/>
      <c r="D1310" s="489"/>
      <c r="E1310" s="489"/>
      <c r="F1310" s="246"/>
      <c r="G1310" s="213"/>
      <c r="H1310" s="490"/>
      <c r="I1310" s="490"/>
      <c r="J1310" s="490"/>
      <c r="K1310" s="490"/>
      <c r="L1310" s="490"/>
      <c r="M1310" s="490"/>
    </row>
    <row r="1311">
      <c r="A1311" s="191"/>
      <c r="B1311" s="55"/>
      <c r="C1311" s="60"/>
      <c r="D1311" s="62"/>
      <c r="E1311" s="62"/>
      <c r="F1311" s="228"/>
      <c r="G1311" s="229"/>
      <c r="H1311" s="490"/>
      <c r="I1311" s="490"/>
      <c r="J1311" s="490"/>
      <c r="K1311" s="490"/>
      <c r="L1311" s="490"/>
      <c r="M1311" s="490"/>
    </row>
    <row r="1312">
      <c r="A1312" s="194"/>
      <c r="B1312" s="55"/>
      <c r="C1312" s="60"/>
      <c r="D1312" s="489"/>
      <c r="E1312" s="489"/>
      <c r="F1312" s="246"/>
      <c r="G1312" s="213"/>
      <c r="H1312" s="490"/>
      <c r="I1312" s="490"/>
      <c r="J1312" s="490"/>
      <c r="K1312" s="490"/>
      <c r="L1312" s="490"/>
      <c r="M1312" s="490"/>
    </row>
    <row r="1313">
      <c r="A1313" s="191"/>
      <c r="B1313" s="55"/>
      <c r="C1313" s="60"/>
      <c r="D1313" s="62"/>
      <c r="E1313" s="62"/>
      <c r="F1313" s="228"/>
      <c r="G1313" s="229"/>
      <c r="H1313" s="490"/>
      <c r="I1313" s="490"/>
      <c r="J1313" s="490"/>
      <c r="K1313" s="490"/>
      <c r="L1313" s="490"/>
      <c r="M1313" s="490"/>
    </row>
    <row r="1314">
      <c r="A1314" s="194"/>
      <c r="B1314" s="55"/>
      <c r="C1314" s="60"/>
      <c r="D1314" s="489"/>
      <c r="E1314" s="489"/>
      <c r="F1314" s="246"/>
      <c r="G1314" s="213"/>
      <c r="H1314" s="490"/>
      <c r="I1314" s="490"/>
      <c r="J1314" s="490"/>
      <c r="K1314" s="490"/>
      <c r="L1314" s="490"/>
      <c r="M1314" s="490"/>
    </row>
    <row r="1315">
      <c r="A1315" s="191"/>
      <c r="B1315" s="55"/>
      <c r="C1315" s="60"/>
      <c r="D1315" s="62"/>
      <c r="E1315" s="62"/>
      <c r="F1315" s="228"/>
      <c r="G1315" s="229"/>
      <c r="H1315" s="490"/>
      <c r="I1315" s="490"/>
      <c r="J1315" s="490"/>
      <c r="K1315" s="490"/>
      <c r="L1315" s="490"/>
      <c r="M1315" s="490"/>
    </row>
    <row r="1316">
      <c r="A1316" s="194"/>
      <c r="B1316" s="55"/>
      <c r="C1316" s="60"/>
      <c r="D1316" s="489"/>
      <c r="E1316" s="489"/>
      <c r="F1316" s="246"/>
      <c r="G1316" s="213"/>
      <c r="H1316" s="490"/>
      <c r="I1316" s="490"/>
      <c r="J1316" s="490"/>
      <c r="K1316" s="490"/>
      <c r="L1316" s="490"/>
      <c r="M1316" s="490"/>
    </row>
    <row r="1317">
      <c r="A1317" s="191"/>
      <c r="B1317" s="55"/>
      <c r="C1317" s="60"/>
      <c r="D1317" s="62"/>
      <c r="E1317" s="62"/>
      <c r="F1317" s="228"/>
      <c r="G1317" s="229"/>
      <c r="H1317" s="490"/>
      <c r="I1317" s="490"/>
      <c r="J1317" s="490"/>
      <c r="K1317" s="490"/>
      <c r="L1317" s="490"/>
      <c r="M1317" s="490"/>
    </row>
    <row r="1318">
      <c r="A1318" s="194"/>
      <c r="B1318" s="55"/>
      <c r="C1318" s="60"/>
      <c r="D1318" s="489"/>
      <c r="E1318" s="489"/>
      <c r="F1318" s="246"/>
      <c r="G1318" s="213"/>
      <c r="H1318" s="490"/>
      <c r="I1318" s="490"/>
      <c r="J1318" s="490"/>
      <c r="K1318" s="490"/>
      <c r="L1318" s="490"/>
      <c r="M1318" s="490"/>
    </row>
    <row r="1319">
      <c r="A1319" s="191"/>
      <c r="B1319" s="55"/>
      <c r="C1319" s="60"/>
      <c r="D1319" s="62"/>
      <c r="E1319" s="62"/>
      <c r="F1319" s="228"/>
      <c r="G1319" s="229"/>
      <c r="H1319" s="490"/>
      <c r="I1319" s="490"/>
      <c r="J1319" s="490"/>
      <c r="K1319" s="490"/>
      <c r="L1319" s="490"/>
      <c r="M1319" s="490"/>
    </row>
    <row r="1320">
      <c r="A1320" s="194"/>
      <c r="B1320" s="55"/>
      <c r="C1320" s="60"/>
      <c r="D1320" s="489"/>
      <c r="E1320" s="489"/>
      <c r="F1320" s="246"/>
      <c r="G1320" s="213"/>
      <c r="H1320" s="490"/>
      <c r="I1320" s="490"/>
      <c r="J1320" s="490"/>
      <c r="K1320" s="490"/>
      <c r="L1320" s="490"/>
      <c r="M1320" s="490"/>
    </row>
    <row r="1321">
      <c r="A1321" s="191"/>
      <c r="B1321" s="55"/>
      <c r="C1321" s="60"/>
      <c r="D1321" s="62"/>
      <c r="E1321" s="62"/>
      <c r="F1321" s="228"/>
      <c r="G1321" s="229"/>
      <c r="H1321" s="490"/>
      <c r="I1321" s="490"/>
      <c r="J1321" s="490"/>
      <c r="K1321" s="490"/>
      <c r="L1321" s="490"/>
      <c r="M1321" s="490"/>
    </row>
    <row r="1322">
      <c r="A1322" s="194"/>
      <c r="B1322" s="55"/>
      <c r="C1322" s="60"/>
      <c r="D1322" s="489"/>
      <c r="E1322" s="489"/>
      <c r="F1322" s="246"/>
      <c r="G1322" s="213"/>
      <c r="H1322" s="490"/>
      <c r="I1322" s="490"/>
      <c r="J1322" s="490"/>
      <c r="K1322" s="490"/>
      <c r="L1322" s="490"/>
      <c r="M1322" s="490"/>
    </row>
    <row r="1323">
      <c r="A1323" s="191"/>
      <c r="B1323" s="55"/>
      <c r="C1323" s="60"/>
      <c r="D1323" s="62"/>
      <c r="E1323" s="62"/>
      <c r="F1323" s="228"/>
      <c r="G1323" s="229"/>
      <c r="H1323" s="490"/>
      <c r="I1323" s="490"/>
      <c r="J1323" s="490"/>
      <c r="K1323" s="490"/>
      <c r="L1323" s="490"/>
      <c r="M1323" s="490"/>
    </row>
    <row r="1324">
      <c r="A1324" s="194"/>
      <c r="B1324" s="55"/>
      <c r="C1324" s="60"/>
      <c r="D1324" s="489"/>
      <c r="E1324" s="489"/>
      <c r="F1324" s="246"/>
      <c r="G1324" s="213"/>
      <c r="H1324" s="490"/>
      <c r="I1324" s="490"/>
      <c r="J1324" s="490"/>
      <c r="K1324" s="490"/>
      <c r="L1324" s="490"/>
      <c r="M1324" s="490"/>
    </row>
    <row r="1325">
      <c r="A1325" s="191"/>
      <c r="B1325" s="55"/>
      <c r="C1325" s="60"/>
      <c r="D1325" s="62"/>
      <c r="E1325" s="62"/>
      <c r="F1325" s="228"/>
      <c r="G1325" s="229"/>
      <c r="H1325" s="490"/>
      <c r="I1325" s="490"/>
      <c r="J1325" s="490"/>
      <c r="K1325" s="490"/>
      <c r="L1325" s="490"/>
      <c r="M1325" s="490"/>
    </row>
    <row r="1326">
      <c r="A1326" s="194"/>
      <c r="B1326" s="55"/>
      <c r="C1326" s="60"/>
      <c r="D1326" s="489"/>
      <c r="E1326" s="489"/>
      <c r="F1326" s="246"/>
      <c r="G1326" s="213"/>
      <c r="H1326" s="490"/>
      <c r="I1326" s="490"/>
      <c r="J1326" s="490"/>
      <c r="K1326" s="490"/>
      <c r="L1326" s="490"/>
      <c r="M1326" s="490"/>
    </row>
    <row r="1327">
      <c r="A1327" s="191"/>
      <c r="B1327" s="55"/>
      <c r="C1327" s="60"/>
      <c r="D1327" s="62"/>
      <c r="E1327" s="62"/>
      <c r="F1327" s="228"/>
      <c r="G1327" s="229"/>
      <c r="H1327" s="490"/>
      <c r="I1327" s="490"/>
      <c r="J1327" s="490"/>
      <c r="K1327" s="490"/>
      <c r="L1327" s="490"/>
      <c r="M1327" s="490"/>
    </row>
    <row r="1328">
      <c r="A1328" s="194"/>
      <c r="B1328" s="55"/>
      <c r="C1328" s="60"/>
      <c r="D1328" s="489"/>
      <c r="E1328" s="489"/>
      <c r="F1328" s="246"/>
      <c r="G1328" s="213"/>
      <c r="H1328" s="490"/>
      <c r="I1328" s="490"/>
      <c r="J1328" s="490"/>
      <c r="K1328" s="490"/>
      <c r="L1328" s="490"/>
      <c r="M1328" s="490"/>
    </row>
    <row r="1329">
      <c r="A1329" s="191"/>
      <c r="B1329" s="55"/>
      <c r="C1329" s="60"/>
      <c r="D1329" s="62"/>
      <c r="E1329" s="62"/>
      <c r="F1329" s="228"/>
      <c r="G1329" s="229"/>
      <c r="H1329" s="490"/>
      <c r="I1329" s="490"/>
      <c r="J1329" s="490"/>
      <c r="K1329" s="490"/>
      <c r="L1329" s="490"/>
      <c r="M1329" s="490"/>
    </row>
    <row r="1330">
      <c r="A1330" s="194"/>
      <c r="B1330" s="55"/>
      <c r="C1330" s="60"/>
      <c r="D1330" s="489"/>
      <c r="E1330" s="489"/>
      <c r="F1330" s="246"/>
      <c r="G1330" s="213"/>
      <c r="H1330" s="490"/>
      <c r="I1330" s="490"/>
      <c r="J1330" s="490"/>
      <c r="K1330" s="490"/>
      <c r="L1330" s="490"/>
      <c r="M1330" s="490"/>
    </row>
    <row r="1331">
      <c r="A1331" s="191"/>
      <c r="B1331" s="55"/>
      <c r="C1331" s="60"/>
      <c r="D1331" s="62"/>
      <c r="E1331" s="62"/>
      <c r="F1331" s="228"/>
      <c r="G1331" s="229"/>
      <c r="H1331" s="490"/>
      <c r="I1331" s="490"/>
      <c r="J1331" s="490"/>
      <c r="K1331" s="490"/>
      <c r="L1331" s="490"/>
      <c r="M1331" s="490"/>
    </row>
    <row r="1332">
      <c r="A1332" s="194"/>
      <c r="B1332" s="55"/>
      <c r="C1332" s="60"/>
      <c r="D1332" s="489"/>
      <c r="E1332" s="489"/>
      <c r="F1332" s="246"/>
      <c r="G1332" s="213"/>
      <c r="H1332" s="490"/>
      <c r="I1332" s="490"/>
      <c r="J1332" s="490"/>
      <c r="K1332" s="490"/>
      <c r="L1332" s="490"/>
      <c r="M1332" s="490"/>
    </row>
    <row r="1333">
      <c r="A1333" s="191"/>
      <c r="B1333" s="55"/>
      <c r="C1333" s="60"/>
      <c r="D1333" s="62"/>
      <c r="E1333" s="62"/>
      <c r="F1333" s="228"/>
      <c r="G1333" s="229"/>
      <c r="H1333" s="490"/>
      <c r="I1333" s="490"/>
      <c r="J1333" s="490"/>
      <c r="K1333" s="490"/>
      <c r="L1333" s="490"/>
      <c r="M1333" s="490"/>
    </row>
    <row r="1334">
      <c r="A1334" s="194"/>
      <c r="B1334" s="55"/>
      <c r="C1334" s="60"/>
      <c r="D1334" s="489"/>
      <c r="E1334" s="489"/>
      <c r="F1334" s="246"/>
      <c r="G1334" s="213"/>
      <c r="H1334" s="490"/>
      <c r="I1334" s="490"/>
      <c r="J1334" s="490"/>
      <c r="K1334" s="490"/>
      <c r="L1334" s="490"/>
      <c r="M1334" s="490"/>
    </row>
    <row r="1335">
      <c r="A1335" s="191"/>
      <c r="B1335" s="55"/>
      <c r="C1335" s="60"/>
      <c r="D1335" s="62"/>
      <c r="E1335" s="62"/>
      <c r="F1335" s="228"/>
      <c r="G1335" s="229"/>
      <c r="H1335" s="490"/>
      <c r="I1335" s="490"/>
      <c r="J1335" s="490"/>
      <c r="K1335" s="490"/>
      <c r="L1335" s="490"/>
      <c r="M1335" s="490"/>
    </row>
    <row r="1336">
      <c r="A1336" s="194"/>
      <c r="B1336" s="55"/>
      <c r="C1336" s="60"/>
      <c r="D1336" s="489"/>
      <c r="E1336" s="489"/>
      <c r="F1336" s="246"/>
      <c r="G1336" s="213"/>
      <c r="H1336" s="490"/>
      <c r="I1336" s="490"/>
      <c r="J1336" s="490"/>
      <c r="K1336" s="490"/>
      <c r="L1336" s="490"/>
      <c r="M1336" s="490"/>
    </row>
    <row r="1337">
      <c r="A1337" s="191"/>
      <c r="B1337" s="55"/>
      <c r="C1337" s="60"/>
      <c r="D1337" s="62"/>
      <c r="E1337" s="62"/>
      <c r="F1337" s="228"/>
      <c r="G1337" s="229"/>
      <c r="H1337" s="490"/>
      <c r="I1337" s="490"/>
      <c r="J1337" s="490"/>
      <c r="K1337" s="490"/>
      <c r="L1337" s="490"/>
      <c r="M1337" s="490"/>
    </row>
    <row r="1338">
      <c r="A1338" s="194"/>
      <c r="B1338" s="55"/>
      <c r="C1338" s="60"/>
      <c r="D1338" s="489"/>
      <c r="E1338" s="489"/>
      <c r="F1338" s="246"/>
      <c r="G1338" s="213"/>
      <c r="H1338" s="490"/>
      <c r="I1338" s="490"/>
      <c r="J1338" s="490"/>
      <c r="K1338" s="490"/>
      <c r="L1338" s="490"/>
      <c r="M1338" s="490"/>
    </row>
  </sheetData>
  <autoFilter ref="$E$124"/>
  <conditionalFormatting sqref="F113">
    <cfRule type="notContainsBlanks" dxfId="9" priority="1">
      <formula>LEN(TRIM(F113))&gt;0</formula>
    </cfRule>
  </conditionalFormatting>
  <conditionalFormatting sqref="D1:D23 E2:E1338 F2:F140 G2:G1338 H2:H38 I2:M1338 D25:D1338 H40:H1338 F142:F293 F295:F1338">
    <cfRule type="expression" dxfId="10" priority="2">
      <formula>ISEVEN(ROW())</formula>
    </cfRule>
  </conditionalFormatting>
  <conditionalFormatting sqref="D1:D23 E2:E1338 F2:F140 G2:G1338 H2:H38 I2:M1338 D25:D1338 H40:H1338 F142:F293 F295:F1338">
    <cfRule type="expression" dxfId="11" priority="3">
      <formula>ISODD(ROW())</formula>
    </cfRule>
  </conditionalFormatting>
  <hyperlinks>
    <hyperlink r:id="rId1" ref="A38"/>
    <hyperlink r:id="rId2" ref="G45"/>
    <hyperlink r:id="rId3" ref="A81"/>
    <hyperlink r:id="rId4" ref="A88"/>
    <hyperlink r:id="rId5" ref="G195"/>
    <hyperlink r:id="rId6" ref="F212"/>
    <hyperlink r:id="rId7" ref="A220"/>
    <hyperlink r:id="rId8" ref="G247"/>
  </hyperlinks>
  <printOptions gridLines="1" horizontalCentered="1"/>
  <pageMargins bottom="0.75" footer="0.0" header="0.0" left="0.7" right="0.7" top="0.75"/>
  <pageSetup fitToHeight="0" paperSize="9" cellComments="atEnd" orientation="landscape" pageOrder="overThenDown"/>
  <drawing r:id="rId9"/>
  <tableParts count="3">
    <tablePart r:id="rId13"/>
    <tablePart r:id="rId14"/>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77.13"/>
    <col customWidth="1" min="3" max="3" width="89.63"/>
    <col customWidth="1" min="4" max="4" width="54.13"/>
    <col customWidth="1" min="5" max="5" width="56.13"/>
    <col customWidth="1" min="6" max="6" width="67.88"/>
    <col customWidth="1" min="7" max="7" width="640.38"/>
    <col customWidth="1" min="8" max="8" width="325.38"/>
    <col customWidth="1" min="9" max="9" width="31.75"/>
    <col customWidth="1" min="10" max="10" width="84.75"/>
    <col customWidth="1" min="11" max="11" width="36.13"/>
    <col customWidth="1" min="12" max="12" width="47.5"/>
    <col customWidth="1" min="13" max="13" width="25.0"/>
    <col customWidth="1" min="14" max="14" width="26.88"/>
    <col customWidth="1" min="15" max="15" width="13.13"/>
    <col customWidth="1" min="16" max="16" width="20.75"/>
    <col customWidth="1" min="17" max="17" width="12.5"/>
    <col customWidth="1" min="18" max="19" width="12.63"/>
    <col customWidth="1" min="20" max="21" width="12.25"/>
    <col customWidth="1" min="22" max="22" width="17.88"/>
    <col customWidth="1" min="23" max="23" width="12.0"/>
  </cols>
  <sheetData>
    <row r="1" ht="62.25" customHeight="1">
      <c r="A1" s="4" t="s">
        <v>3</v>
      </c>
      <c r="B1" s="6" t="s">
        <v>4</v>
      </c>
      <c r="C1" s="7" t="s">
        <v>6</v>
      </c>
      <c r="D1" s="9" t="s">
        <v>7</v>
      </c>
      <c r="E1" s="11"/>
      <c r="F1" s="11"/>
      <c r="G1" s="11"/>
      <c r="H1" s="11"/>
      <c r="I1" s="11"/>
      <c r="J1" s="11"/>
      <c r="K1" s="13"/>
      <c r="L1" s="13"/>
      <c r="M1" s="13"/>
      <c r="N1" s="13"/>
      <c r="O1" s="13"/>
      <c r="P1" s="13"/>
      <c r="Q1" s="13"/>
      <c r="R1" s="13"/>
      <c r="S1" s="13"/>
      <c r="T1" s="13"/>
      <c r="U1" s="13"/>
      <c r="V1" s="13"/>
      <c r="W1" s="13"/>
      <c r="X1" s="16"/>
      <c r="Y1" s="16"/>
      <c r="Z1" s="16"/>
      <c r="AA1" s="16"/>
      <c r="AB1" s="16"/>
      <c r="AC1" s="16"/>
    </row>
    <row r="2">
      <c r="A2" s="19" t="s">
        <v>20</v>
      </c>
      <c r="B2" s="21" t="s">
        <v>22</v>
      </c>
      <c r="C2" s="21" t="s">
        <v>24</v>
      </c>
      <c r="D2" s="21"/>
      <c r="E2" s="26" t="str">
        <f>IFERROR(__xludf.DUMMYFUNCTION("AI("""")"),"Depends on your current interview count, but late October is definitely on the later side.")</f>
        <v>Depends on your current interview count, but late October is definitely on the later side.</v>
      </c>
      <c r="F2" s="26"/>
      <c r="G2" s="26"/>
      <c r="H2" s="26"/>
      <c r="I2" s="26"/>
      <c r="J2" s="28"/>
      <c r="K2" s="28"/>
      <c r="L2" s="28"/>
      <c r="M2" s="28"/>
      <c r="N2" s="28"/>
      <c r="O2" s="28"/>
      <c r="P2" s="28"/>
      <c r="Q2" s="28"/>
      <c r="R2" s="28"/>
      <c r="S2" s="28"/>
      <c r="T2" s="28"/>
      <c r="U2" s="28"/>
      <c r="V2" s="28"/>
      <c r="W2" s="28"/>
      <c r="X2" s="28"/>
      <c r="Y2" s="28"/>
      <c r="Z2" s="28"/>
      <c r="AA2" s="28"/>
      <c r="AB2" s="28"/>
      <c r="AC2" s="28"/>
    </row>
    <row r="3">
      <c r="A3" s="32">
        <v>6705153.0</v>
      </c>
      <c r="B3" s="34" t="s">
        <v>30</v>
      </c>
      <c r="C3" s="36" t="s">
        <v>1</v>
      </c>
      <c r="D3" s="38"/>
      <c r="E3" s="34"/>
      <c r="F3" s="42"/>
      <c r="G3" s="42"/>
      <c r="H3" s="42"/>
      <c r="I3" s="42"/>
      <c r="J3" s="42"/>
      <c r="K3" s="44"/>
      <c r="L3" s="44"/>
      <c r="M3" s="44"/>
      <c r="N3" s="44"/>
      <c r="O3" s="44"/>
      <c r="P3" s="44"/>
      <c r="Q3" s="44"/>
      <c r="R3" s="44"/>
      <c r="S3" s="44"/>
      <c r="T3" s="44"/>
      <c r="U3" s="44"/>
      <c r="V3" s="44"/>
      <c r="W3" s="44"/>
      <c r="X3" s="28"/>
      <c r="Y3" s="28"/>
      <c r="Z3" s="28"/>
      <c r="AA3" s="28"/>
      <c r="AB3" s="28"/>
      <c r="AC3" s="28"/>
    </row>
    <row r="4">
      <c r="A4" s="48">
        <v>861320.0</v>
      </c>
      <c r="B4" s="50" t="s">
        <v>39</v>
      </c>
      <c r="C4" s="50" t="s">
        <v>40</v>
      </c>
      <c r="D4" s="50"/>
      <c r="E4" s="52"/>
      <c r="F4" s="50" t="s">
        <v>42</v>
      </c>
      <c r="G4" s="50" t="s">
        <v>43</v>
      </c>
      <c r="H4" s="50" t="s">
        <v>44</v>
      </c>
      <c r="I4" s="50" t="s">
        <v>45</v>
      </c>
      <c r="J4" s="52"/>
      <c r="K4" s="54"/>
      <c r="L4" s="54"/>
      <c r="M4" s="54"/>
      <c r="N4" s="54"/>
      <c r="O4" s="54"/>
      <c r="P4" s="54"/>
      <c r="Q4" s="54"/>
      <c r="R4" s="54"/>
      <c r="S4" s="54"/>
      <c r="T4" s="54"/>
      <c r="U4" s="54"/>
      <c r="V4" s="54"/>
      <c r="W4" s="54"/>
      <c r="X4" s="54"/>
      <c r="Y4" s="54"/>
      <c r="Z4" s="54"/>
      <c r="AA4" s="54"/>
      <c r="AB4" s="54"/>
      <c r="AC4" s="54"/>
    </row>
    <row r="5">
      <c r="A5" s="58">
        <v>45930.0</v>
      </c>
      <c r="B5" s="72" t="s">
        <v>49</v>
      </c>
      <c r="C5" s="73" t="s">
        <v>62</v>
      </c>
      <c r="D5" s="6"/>
      <c r="E5" s="76"/>
      <c r="F5" s="9"/>
      <c r="G5" s="11"/>
      <c r="H5" s="11"/>
      <c r="I5" s="13"/>
      <c r="J5" s="13"/>
      <c r="K5" s="13"/>
      <c r="L5" s="13"/>
      <c r="M5" s="13"/>
      <c r="N5" s="13"/>
      <c r="O5" s="13"/>
      <c r="P5" s="13"/>
      <c r="Q5" s="13"/>
      <c r="R5" s="13"/>
      <c r="S5" s="13"/>
      <c r="T5" s="13"/>
      <c r="U5" s="13"/>
      <c r="V5" s="16"/>
      <c r="W5" s="16"/>
      <c r="X5" s="16"/>
      <c r="Y5" s="16"/>
      <c r="Z5" s="16"/>
      <c r="AA5" s="16"/>
    </row>
    <row r="6">
      <c r="A6" s="58">
        <v>45907.0</v>
      </c>
      <c r="C6" s="85" t="s">
        <v>76</v>
      </c>
      <c r="D6" s="6"/>
      <c r="E6" s="76"/>
      <c r="F6" s="9"/>
      <c r="G6" s="11"/>
      <c r="H6" s="11"/>
      <c r="I6" s="13"/>
      <c r="J6" s="13"/>
      <c r="K6" s="13"/>
      <c r="L6" s="13"/>
      <c r="M6" s="13"/>
      <c r="N6" s="13"/>
      <c r="O6" s="13"/>
      <c r="P6" s="13"/>
      <c r="Q6" s="13"/>
      <c r="R6" s="13"/>
      <c r="S6" s="13"/>
      <c r="T6" s="13"/>
      <c r="U6" s="13"/>
      <c r="V6" s="16"/>
      <c r="W6" s="16"/>
      <c r="X6" s="16"/>
      <c r="Y6" s="16"/>
      <c r="Z6" s="16"/>
      <c r="AA6" s="16"/>
    </row>
    <row r="7">
      <c r="A7" s="58">
        <v>45868.0</v>
      </c>
      <c r="B7" s="6" t="s">
        <v>87</v>
      </c>
      <c r="C7" s="73"/>
      <c r="D7" s="6" t="s">
        <v>90</v>
      </c>
      <c r="E7" s="76"/>
      <c r="F7" s="9"/>
      <c r="G7" s="11"/>
      <c r="H7" s="11"/>
      <c r="I7" s="13"/>
      <c r="J7" s="13"/>
      <c r="K7" s="13"/>
      <c r="L7" s="13"/>
      <c r="M7" s="13"/>
      <c r="N7" s="13"/>
      <c r="O7" s="13"/>
      <c r="P7" s="13"/>
      <c r="Q7" s="13"/>
      <c r="R7" s="13"/>
      <c r="S7" s="13"/>
      <c r="T7" s="13"/>
      <c r="U7" s="13"/>
      <c r="V7" s="16"/>
      <c r="W7" s="16"/>
      <c r="X7" s="16"/>
      <c r="Y7" s="16"/>
      <c r="Z7" s="16"/>
      <c r="AA7" s="16"/>
    </row>
    <row r="8" ht="130.5" customHeight="1">
      <c r="A8" s="58">
        <v>45822.0</v>
      </c>
      <c r="B8" s="6" t="s">
        <v>97</v>
      </c>
      <c r="C8" s="73" t="s">
        <v>98</v>
      </c>
      <c r="D8" s="6"/>
      <c r="E8" s="76" t="s">
        <v>99</v>
      </c>
      <c r="F8" s="9"/>
      <c r="G8" s="11"/>
      <c r="H8" s="11"/>
      <c r="I8" s="13"/>
      <c r="J8" s="13"/>
      <c r="K8" s="13"/>
      <c r="L8" s="13"/>
      <c r="M8" s="13"/>
      <c r="N8" s="13"/>
      <c r="O8" s="13"/>
      <c r="P8" s="13"/>
      <c r="Q8" s="13"/>
      <c r="R8" s="13"/>
      <c r="S8" s="13"/>
      <c r="T8" s="13"/>
      <c r="U8" s="13"/>
      <c r="V8" s="16"/>
      <c r="W8" s="16"/>
      <c r="X8" s="16"/>
      <c r="Y8" s="16"/>
      <c r="Z8" s="16"/>
      <c r="AA8" s="16"/>
    </row>
    <row r="9" ht="130.5" customHeight="1">
      <c r="A9" s="58">
        <v>45775.0</v>
      </c>
      <c r="B9" s="6" t="s">
        <v>101</v>
      </c>
      <c r="C9" s="73"/>
      <c r="D9" s="6" t="s">
        <v>110</v>
      </c>
      <c r="E9" s="76" t="s">
        <v>112</v>
      </c>
      <c r="F9" s="9"/>
      <c r="G9" s="11"/>
      <c r="H9" s="11"/>
      <c r="I9" s="13"/>
      <c r="J9" s="13"/>
      <c r="K9" s="13"/>
      <c r="L9" s="13"/>
      <c r="M9" s="13"/>
      <c r="N9" s="13"/>
      <c r="O9" s="13"/>
      <c r="P9" s="13"/>
      <c r="Q9" s="13"/>
      <c r="R9" s="13"/>
      <c r="S9" s="13"/>
      <c r="T9" s="13"/>
      <c r="U9" s="13"/>
      <c r="V9" s="16"/>
      <c r="W9" s="16"/>
      <c r="X9" s="16"/>
      <c r="Y9" s="16"/>
      <c r="Z9" s="16"/>
      <c r="AA9" s="16"/>
    </row>
    <row r="10" ht="130.5" customHeight="1">
      <c r="A10" s="58">
        <v>45764.0</v>
      </c>
      <c r="B10" s="106" t="s">
        <v>120</v>
      </c>
      <c r="C10" s="73"/>
      <c r="D10" s="108" t="s">
        <v>123</v>
      </c>
      <c r="E10" s="76"/>
      <c r="F10" s="9"/>
      <c r="G10" s="11"/>
      <c r="H10" s="11"/>
      <c r="I10" s="13"/>
      <c r="J10" s="13"/>
      <c r="K10" s="13"/>
      <c r="L10" s="13"/>
      <c r="M10" s="13"/>
      <c r="N10" s="13"/>
      <c r="O10" s="13"/>
      <c r="P10" s="13"/>
      <c r="Q10" s="13"/>
      <c r="R10" s="13"/>
      <c r="S10" s="13"/>
      <c r="T10" s="13"/>
      <c r="U10" s="13"/>
      <c r="V10" s="16"/>
      <c r="W10" s="16"/>
      <c r="X10" s="16"/>
      <c r="Y10" s="16"/>
      <c r="Z10" s="16"/>
      <c r="AA10" s="16"/>
    </row>
    <row r="11" ht="130.5" customHeight="1">
      <c r="A11" s="58">
        <v>45759.0</v>
      </c>
      <c r="B11" s="6" t="s">
        <v>131</v>
      </c>
      <c r="C11" s="73"/>
      <c r="D11" s="108" t="s">
        <v>134</v>
      </c>
      <c r="E11" s="76"/>
      <c r="F11" s="9"/>
      <c r="G11" s="11"/>
      <c r="H11" s="11"/>
      <c r="I11" s="13"/>
      <c r="J11" s="13"/>
      <c r="K11" s="13"/>
      <c r="L11" s="13"/>
      <c r="M11" s="13"/>
      <c r="N11" s="13"/>
      <c r="O11" s="13"/>
      <c r="P11" s="13"/>
      <c r="Q11" s="13"/>
      <c r="R11" s="13"/>
      <c r="S11" s="13"/>
      <c r="T11" s="13"/>
      <c r="U11" s="13"/>
      <c r="V11" s="16"/>
      <c r="W11" s="16"/>
      <c r="X11" s="16"/>
      <c r="Y11" s="16"/>
      <c r="Z11" s="16"/>
      <c r="AA11" s="16"/>
    </row>
    <row r="12" ht="196.5" customHeight="1">
      <c r="A12" s="58">
        <v>45758.0</v>
      </c>
      <c r="B12" s="6" t="s">
        <v>139</v>
      </c>
      <c r="C12" s="73"/>
      <c r="D12" s="108" t="s">
        <v>141</v>
      </c>
      <c r="E12" s="76"/>
      <c r="F12" s="9"/>
      <c r="G12" s="11"/>
      <c r="H12" s="11"/>
      <c r="I12" s="13"/>
      <c r="J12" s="13"/>
      <c r="K12" s="13"/>
      <c r="L12" s="13"/>
      <c r="M12" s="13"/>
      <c r="N12" s="13"/>
      <c r="O12" s="13"/>
      <c r="P12" s="13"/>
      <c r="Q12" s="13"/>
      <c r="R12" s="13"/>
      <c r="S12" s="13"/>
      <c r="T12" s="13"/>
      <c r="U12" s="13"/>
      <c r="V12" s="16"/>
      <c r="W12" s="16"/>
      <c r="X12" s="16"/>
      <c r="Y12" s="16"/>
      <c r="Z12" s="16"/>
      <c r="AA12" s="16"/>
    </row>
    <row r="13" ht="130.5" customHeight="1">
      <c r="A13" s="58">
        <v>45746.0</v>
      </c>
      <c r="B13" s="6" t="s">
        <v>152</v>
      </c>
      <c r="C13" s="73"/>
      <c r="D13" s="108"/>
      <c r="E13" s="76"/>
      <c r="F13" s="9"/>
      <c r="G13" s="11"/>
      <c r="H13" s="11"/>
      <c r="I13" s="13"/>
      <c r="J13" s="13"/>
      <c r="K13" s="13"/>
      <c r="L13" s="13"/>
      <c r="M13" s="13"/>
      <c r="N13" s="13"/>
      <c r="O13" s="13"/>
      <c r="P13" s="13"/>
      <c r="Q13" s="13"/>
      <c r="R13" s="13"/>
      <c r="S13" s="13"/>
      <c r="T13" s="13"/>
      <c r="U13" s="13"/>
      <c r="V13" s="16"/>
      <c r="W13" s="16"/>
      <c r="X13" s="16"/>
      <c r="Y13" s="16"/>
      <c r="Z13" s="16"/>
      <c r="AA13" s="16"/>
    </row>
    <row r="14" ht="130.5" customHeight="1">
      <c r="A14" s="58">
        <v>45743.0</v>
      </c>
      <c r="B14" s="6" t="s">
        <v>158</v>
      </c>
      <c r="C14" s="73" t="s">
        <v>159</v>
      </c>
      <c r="D14" s="108" t="s">
        <v>162</v>
      </c>
      <c r="E14" s="76" t="s">
        <v>164</v>
      </c>
      <c r="F14" s="9"/>
      <c r="G14" s="11"/>
      <c r="H14" s="11"/>
      <c r="I14" s="13"/>
      <c r="J14" s="13"/>
      <c r="K14" s="13"/>
      <c r="L14" s="13"/>
      <c r="M14" s="13"/>
      <c r="N14" s="13"/>
      <c r="O14" s="13"/>
      <c r="P14" s="13"/>
      <c r="Q14" s="13"/>
      <c r="R14" s="13"/>
      <c r="S14" s="13"/>
      <c r="T14" s="13"/>
      <c r="U14" s="13"/>
      <c r="V14" s="16"/>
      <c r="W14" s="16"/>
      <c r="X14" s="16"/>
      <c r="Y14" s="16"/>
      <c r="Z14" s="16"/>
      <c r="AA14" s="16"/>
    </row>
    <row r="15" ht="130.5" customHeight="1">
      <c r="A15" s="58">
        <v>45741.0</v>
      </c>
      <c r="B15" s="6" t="s">
        <v>176</v>
      </c>
      <c r="C15" s="76"/>
      <c r="D15" s="120" t="s">
        <v>177</v>
      </c>
      <c r="E15" s="9" t="s">
        <v>179</v>
      </c>
      <c r="F15" s="73"/>
      <c r="G15" s="9"/>
      <c r="H15" s="11"/>
      <c r="I15" s="11"/>
      <c r="J15" s="13"/>
      <c r="K15" s="13"/>
      <c r="L15" s="13"/>
      <c r="M15" s="13"/>
      <c r="N15" s="13"/>
      <c r="O15" s="13"/>
      <c r="P15" s="13"/>
      <c r="Q15" s="13"/>
      <c r="R15" s="13"/>
      <c r="S15" s="13"/>
      <c r="T15" s="13"/>
      <c r="U15" s="13"/>
      <c r="V15" s="13"/>
      <c r="W15" s="16"/>
      <c r="X15" s="16"/>
      <c r="Y15" s="16"/>
      <c r="Z15" s="16"/>
      <c r="AA15" s="16"/>
      <c r="AB15" s="16"/>
    </row>
    <row r="16" ht="130.5" customHeight="1">
      <c r="A16" s="58">
        <v>45740.0</v>
      </c>
      <c r="B16" s="6" t="s">
        <v>203</v>
      </c>
      <c r="C16" s="76"/>
      <c r="D16" s="120"/>
      <c r="E16" s="9"/>
      <c r="F16" s="73"/>
      <c r="G16" s="9"/>
      <c r="H16" s="11"/>
      <c r="I16" s="11"/>
      <c r="J16" s="13"/>
      <c r="K16" s="13"/>
      <c r="L16" s="13"/>
      <c r="M16" s="13"/>
      <c r="N16" s="13"/>
      <c r="O16" s="13"/>
      <c r="P16" s="13"/>
      <c r="Q16" s="13"/>
      <c r="R16" s="13"/>
      <c r="S16" s="13"/>
      <c r="T16" s="13"/>
      <c r="U16" s="13"/>
      <c r="V16" s="13"/>
      <c r="W16" s="16"/>
      <c r="X16" s="16"/>
      <c r="Y16" s="16"/>
      <c r="Z16" s="16"/>
      <c r="AA16" s="16"/>
      <c r="AB16" s="16"/>
    </row>
    <row r="17" ht="130.5" customHeight="1">
      <c r="A17" s="58">
        <v>45740.0</v>
      </c>
      <c r="B17" s="6" t="s">
        <v>210</v>
      </c>
      <c r="C17" s="76"/>
      <c r="D17" s="130" t="s">
        <v>213</v>
      </c>
      <c r="E17" s="9" t="s">
        <v>216</v>
      </c>
      <c r="F17" s="73"/>
      <c r="G17" s="9"/>
      <c r="H17" s="11"/>
      <c r="I17" s="11"/>
      <c r="J17" s="13"/>
      <c r="K17" s="13"/>
      <c r="L17" s="13"/>
      <c r="M17" s="13"/>
      <c r="N17" s="13"/>
      <c r="O17" s="13"/>
      <c r="P17" s="13"/>
      <c r="Q17" s="13"/>
      <c r="R17" s="13"/>
      <c r="S17" s="13"/>
      <c r="T17" s="13"/>
      <c r="U17" s="13"/>
      <c r="V17" s="13"/>
      <c r="W17" s="16"/>
      <c r="X17" s="16"/>
      <c r="Y17" s="16"/>
      <c r="Z17" s="16"/>
      <c r="AA17" s="16"/>
      <c r="AB17" s="16"/>
    </row>
    <row r="18" ht="130.5" customHeight="1">
      <c r="A18" s="58">
        <v>45737.0</v>
      </c>
      <c r="B18" s="6" t="s">
        <v>226</v>
      </c>
      <c r="C18" s="76"/>
      <c r="D18" s="132" t="s">
        <v>227</v>
      </c>
      <c r="E18" s="9"/>
      <c r="F18" s="73"/>
      <c r="G18" s="9"/>
      <c r="H18" s="11"/>
      <c r="I18" s="11"/>
      <c r="J18" s="13"/>
      <c r="K18" s="13"/>
      <c r="L18" s="13"/>
      <c r="M18" s="13"/>
      <c r="N18" s="13"/>
      <c r="O18" s="13"/>
      <c r="P18" s="13"/>
      <c r="Q18" s="13"/>
      <c r="R18" s="13"/>
      <c r="S18" s="13"/>
      <c r="T18" s="13"/>
      <c r="U18" s="13"/>
      <c r="V18" s="13"/>
      <c r="W18" s="16"/>
      <c r="X18" s="16"/>
      <c r="Y18" s="16"/>
      <c r="Z18" s="16"/>
      <c r="AA18" s="16"/>
      <c r="AB18" s="16"/>
    </row>
    <row r="19" ht="130.5" customHeight="1">
      <c r="A19" s="58">
        <v>45737.0</v>
      </c>
      <c r="B19" s="6" t="s">
        <v>238</v>
      </c>
      <c r="C19" s="76"/>
      <c r="D19" s="120" t="s">
        <v>241</v>
      </c>
      <c r="E19" s="9" t="s">
        <v>242</v>
      </c>
      <c r="F19" s="73"/>
      <c r="G19" s="9"/>
      <c r="H19" s="11"/>
      <c r="I19" s="11"/>
      <c r="J19" s="13"/>
      <c r="K19" s="13"/>
      <c r="L19" s="13"/>
      <c r="M19" s="13"/>
      <c r="N19" s="13"/>
      <c r="O19" s="13"/>
      <c r="P19" s="13"/>
      <c r="Q19" s="13"/>
      <c r="R19" s="13"/>
      <c r="S19" s="13"/>
      <c r="T19" s="13"/>
      <c r="U19" s="13"/>
      <c r="V19" s="13"/>
      <c r="W19" s="16"/>
      <c r="X19" s="16"/>
      <c r="Y19" s="16"/>
      <c r="Z19" s="16"/>
      <c r="AA19" s="16"/>
      <c r="AB19" s="16"/>
    </row>
    <row r="20" ht="130.5" customHeight="1">
      <c r="A20" s="58">
        <v>45737.0</v>
      </c>
      <c r="B20" s="6" t="s">
        <v>252</v>
      </c>
      <c r="C20" s="76"/>
      <c r="D20" s="130"/>
      <c r="E20" s="9"/>
      <c r="F20" s="73"/>
      <c r="G20" s="9"/>
      <c r="H20" s="11"/>
      <c r="I20" s="11"/>
      <c r="J20" s="13"/>
      <c r="K20" s="13"/>
      <c r="L20" s="13"/>
      <c r="M20" s="13"/>
      <c r="N20" s="13"/>
      <c r="O20" s="13"/>
      <c r="P20" s="13"/>
      <c r="Q20" s="13"/>
      <c r="R20" s="13"/>
      <c r="S20" s="13"/>
      <c r="T20" s="13"/>
      <c r="U20" s="13"/>
      <c r="V20" s="13"/>
      <c r="W20" s="16"/>
      <c r="X20" s="16"/>
      <c r="Y20" s="16"/>
      <c r="Z20" s="16"/>
      <c r="AA20" s="16"/>
      <c r="AB20" s="16"/>
    </row>
    <row r="21" ht="130.5" customHeight="1">
      <c r="A21" s="58">
        <v>45736.0</v>
      </c>
      <c r="B21" s="6" t="s">
        <v>261</v>
      </c>
      <c r="C21" s="76"/>
      <c r="D21" s="130" t="s">
        <v>264</v>
      </c>
      <c r="E21" s="9"/>
      <c r="F21" s="73"/>
      <c r="G21" s="9"/>
      <c r="H21" s="11"/>
      <c r="I21" s="11"/>
      <c r="J21" s="13"/>
      <c r="K21" s="13"/>
      <c r="L21" s="13"/>
      <c r="M21" s="13"/>
      <c r="N21" s="13"/>
      <c r="O21" s="13"/>
      <c r="P21" s="13"/>
      <c r="Q21" s="13"/>
      <c r="R21" s="13"/>
      <c r="S21" s="13"/>
      <c r="T21" s="13"/>
      <c r="U21" s="13"/>
      <c r="V21" s="13"/>
      <c r="W21" s="16"/>
      <c r="X21" s="16"/>
      <c r="Y21" s="16"/>
      <c r="Z21" s="16"/>
      <c r="AA21" s="16"/>
      <c r="AB21" s="16"/>
    </row>
    <row r="22" ht="130.5" customHeight="1">
      <c r="A22" s="58">
        <v>45736.0</v>
      </c>
      <c r="B22" s="6" t="s">
        <v>276</v>
      </c>
      <c r="C22" s="9" t="s">
        <v>278</v>
      </c>
      <c r="D22" s="139" t="s">
        <v>281</v>
      </c>
      <c r="E22" s="139" t="s">
        <v>283</v>
      </c>
      <c r="F22" s="73" t="s">
        <v>284</v>
      </c>
      <c r="G22" s="73" t="s">
        <v>285</v>
      </c>
      <c r="H22" s="13"/>
      <c r="I22" s="13"/>
      <c r="J22" s="13"/>
      <c r="K22" s="13"/>
      <c r="L22" s="13"/>
      <c r="M22" s="13"/>
      <c r="N22" s="13"/>
      <c r="O22" s="13"/>
      <c r="P22" s="13"/>
      <c r="Q22" s="13"/>
      <c r="R22" s="16"/>
      <c r="S22" s="16"/>
      <c r="T22" s="16"/>
      <c r="U22" s="16"/>
      <c r="V22" s="16"/>
      <c r="W22" s="16"/>
    </row>
    <row r="23" ht="123.75" customHeight="1">
      <c r="A23" s="58">
        <v>45736.0</v>
      </c>
      <c r="B23" s="6" t="s">
        <v>288</v>
      </c>
      <c r="C23" s="76"/>
      <c r="D23" s="130" t="s">
        <v>290</v>
      </c>
      <c r="E23" s="9" t="s">
        <v>291</v>
      </c>
      <c r="F23" s="73"/>
      <c r="G23" s="9"/>
      <c r="H23" s="11"/>
      <c r="I23" s="11"/>
      <c r="J23" s="13"/>
      <c r="K23" s="13"/>
      <c r="L23" s="13"/>
      <c r="M23" s="13"/>
      <c r="N23" s="13"/>
      <c r="O23" s="13"/>
      <c r="P23" s="13"/>
      <c r="Q23" s="13"/>
      <c r="R23" s="13"/>
      <c r="S23" s="13"/>
      <c r="T23" s="13"/>
      <c r="U23" s="13"/>
      <c r="V23" s="13"/>
      <c r="W23" s="16"/>
      <c r="X23" s="16"/>
      <c r="Y23" s="16"/>
      <c r="Z23" s="16"/>
      <c r="AA23" s="16"/>
      <c r="AB23" s="16"/>
    </row>
    <row r="24" ht="130.5" customHeight="1">
      <c r="A24" s="58">
        <v>45735.0</v>
      </c>
      <c r="B24" s="6" t="s">
        <v>297</v>
      </c>
      <c r="C24" s="76"/>
      <c r="D24" s="130" t="s">
        <v>300</v>
      </c>
      <c r="E24" s="9"/>
      <c r="F24" s="73"/>
      <c r="G24" s="9"/>
      <c r="H24" s="11"/>
      <c r="I24" s="11"/>
      <c r="J24" s="13"/>
      <c r="K24" s="13"/>
      <c r="L24" s="13"/>
      <c r="M24" s="13"/>
      <c r="N24" s="13"/>
      <c r="O24" s="13"/>
      <c r="P24" s="13"/>
      <c r="Q24" s="13"/>
      <c r="R24" s="13"/>
      <c r="S24" s="13"/>
      <c r="T24" s="13"/>
      <c r="U24" s="13"/>
      <c r="V24" s="13"/>
      <c r="W24" s="16"/>
      <c r="X24" s="16"/>
      <c r="Y24" s="16"/>
      <c r="Z24" s="16"/>
      <c r="AA24" s="16"/>
      <c r="AB24" s="16"/>
    </row>
    <row r="25" ht="130.5" customHeight="1">
      <c r="A25" s="58">
        <v>45735.0</v>
      </c>
      <c r="B25" s="6" t="s">
        <v>309</v>
      </c>
      <c r="C25" s="76"/>
      <c r="D25" s="130" t="s">
        <v>312</v>
      </c>
      <c r="E25" s="9"/>
      <c r="F25" s="73"/>
      <c r="G25" s="9"/>
      <c r="H25" s="11"/>
      <c r="I25" s="11"/>
      <c r="J25" s="13"/>
      <c r="K25" s="13"/>
      <c r="L25" s="13"/>
      <c r="M25" s="13"/>
      <c r="N25" s="13"/>
      <c r="O25" s="13"/>
      <c r="P25" s="13"/>
      <c r="Q25" s="13"/>
      <c r="R25" s="13"/>
      <c r="S25" s="13"/>
      <c r="T25" s="13"/>
      <c r="U25" s="13"/>
      <c r="V25" s="13"/>
      <c r="W25" s="16"/>
      <c r="X25" s="16"/>
      <c r="Y25" s="16"/>
      <c r="Z25" s="16"/>
      <c r="AA25" s="16"/>
      <c r="AB25" s="16"/>
    </row>
    <row r="26" ht="75.0" customHeight="1">
      <c r="A26" s="58">
        <v>45735.0</v>
      </c>
      <c r="B26" s="6" t="s">
        <v>325</v>
      </c>
      <c r="C26" s="76"/>
      <c r="D26" s="130" t="s">
        <v>327</v>
      </c>
      <c r="E26" s="9" t="s">
        <v>330</v>
      </c>
      <c r="F26" s="73"/>
      <c r="G26" s="9"/>
      <c r="H26" s="11"/>
      <c r="I26" s="11"/>
      <c r="J26" s="13"/>
      <c r="K26" s="13"/>
      <c r="L26" s="13"/>
      <c r="M26" s="13"/>
      <c r="N26" s="13"/>
      <c r="O26" s="13"/>
      <c r="P26" s="13"/>
      <c r="Q26" s="13"/>
      <c r="R26" s="13"/>
      <c r="S26" s="13"/>
      <c r="T26" s="13"/>
      <c r="U26" s="13"/>
      <c r="V26" s="13"/>
      <c r="W26" s="16"/>
      <c r="X26" s="16"/>
      <c r="Y26" s="16"/>
      <c r="Z26" s="16"/>
      <c r="AA26" s="16"/>
      <c r="AB26" s="16"/>
    </row>
    <row r="27" ht="75.0" customHeight="1">
      <c r="A27" s="58">
        <v>45734.0</v>
      </c>
      <c r="B27" s="6" t="s">
        <v>336</v>
      </c>
      <c r="C27" s="76"/>
      <c r="D27" s="130" t="s">
        <v>339</v>
      </c>
      <c r="E27" s="9" t="s">
        <v>340</v>
      </c>
      <c r="F27" s="73"/>
      <c r="G27" s="9"/>
      <c r="H27" s="11"/>
      <c r="I27" s="11"/>
      <c r="J27" s="13"/>
      <c r="K27" s="13"/>
      <c r="L27" s="13"/>
      <c r="M27" s="13"/>
      <c r="N27" s="13"/>
      <c r="O27" s="13"/>
      <c r="P27" s="13"/>
      <c r="Q27" s="13"/>
      <c r="R27" s="13"/>
      <c r="S27" s="13"/>
      <c r="T27" s="13"/>
      <c r="U27" s="13"/>
      <c r="V27" s="13"/>
      <c r="W27" s="16"/>
      <c r="X27" s="16"/>
      <c r="Y27" s="16"/>
      <c r="Z27" s="16"/>
      <c r="AA27" s="16"/>
      <c r="AB27" s="16"/>
    </row>
    <row r="28" ht="75.0" customHeight="1">
      <c r="A28" s="58">
        <v>45734.0</v>
      </c>
      <c r="B28" s="6" t="s">
        <v>345</v>
      </c>
      <c r="C28" s="76"/>
      <c r="D28" s="130" t="s">
        <v>347</v>
      </c>
      <c r="E28" s="9"/>
      <c r="F28" s="73"/>
      <c r="G28" s="9"/>
      <c r="H28" s="11"/>
      <c r="I28" s="11"/>
      <c r="J28" s="13"/>
      <c r="K28" s="13"/>
      <c r="L28" s="13"/>
      <c r="M28" s="13"/>
      <c r="N28" s="13"/>
      <c r="O28" s="13"/>
      <c r="P28" s="13"/>
      <c r="Q28" s="13"/>
      <c r="R28" s="13"/>
      <c r="S28" s="13"/>
      <c r="T28" s="13"/>
      <c r="U28" s="13"/>
      <c r="V28" s="13"/>
      <c r="W28" s="16"/>
      <c r="X28" s="16"/>
      <c r="Y28" s="16"/>
      <c r="Z28" s="16"/>
      <c r="AA28" s="16"/>
      <c r="AB28" s="16"/>
    </row>
    <row r="29" ht="75.0" customHeight="1">
      <c r="A29" s="58">
        <v>45733.0</v>
      </c>
      <c r="B29" s="6" t="s">
        <v>355</v>
      </c>
      <c r="C29" s="76"/>
      <c r="D29" s="6"/>
      <c r="E29" s="9"/>
      <c r="F29" s="73"/>
      <c r="G29" s="9"/>
      <c r="H29" s="11"/>
      <c r="I29" s="11"/>
      <c r="J29" s="13"/>
      <c r="K29" s="13"/>
      <c r="L29" s="13"/>
      <c r="M29" s="13"/>
      <c r="N29" s="13"/>
      <c r="O29" s="13"/>
      <c r="P29" s="13"/>
      <c r="Q29" s="13"/>
      <c r="R29" s="13"/>
      <c r="S29" s="13"/>
      <c r="T29" s="13"/>
      <c r="U29" s="13"/>
      <c r="V29" s="13"/>
      <c r="W29" s="16"/>
      <c r="X29" s="16"/>
      <c r="Y29" s="16"/>
      <c r="Z29" s="16"/>
      <c r="AA29" s="16"/>
      <c r="AB29" s="16"/>
    </row>
    <row r="30" ht="75.0" customHeight="1">
      <c r="A30" s="58">
        <v>45733.0</v>
      </c>
      <c r="B30" s="6" t="s">
        <v>360</v>
      </c>
      <c r="C30" s="76"/>
      <c r="D30" s="130" t="s">
        <v>363</v>
      </c>
      <c r="E30" s="9" t="s">
        <v>365</v>
      </c>
      <c r="F30" s="73"/>
      <c r="G30" s="9"/>
      <c r="H30" s="11"/>
      <c r="I30" s="11"/>
      <c r="J30" s="13"/>
      <c r="K30" s="13"/>
      <c r="L30" s="13"/>
      <c r="M30" s="13"/>
      <c r="N30" s="13"/>
      <c r="O30" s="13"/>
      <c r="P30" s="13"/>
      <c r="Q30" s="13"/>
      <c r="R30" s="13"/>
      <c r="S30" s="13"/>
      <c r="T30" s="13"/>
      <c r="U30" s="13"/>
      <c r="V30" s="13"/>
      <c r="W30" s="16"/>
      <c r="X30" s="16"/>
      <c r="Y30" s="16"/>
      <c r="Z30" s="16"/>
      <c r="AA30" s="16"/>
      <c r="AB30" s="16"/>
    </row>
    <row r="31" ht="75.0" customHeight="1">
      <c r="A31" s="58">
        <v>45733.0</v>
      </c>
      <c r="B31" s="6" t="s">
        <v>372</v>
      </c>
      <c r="C31" s="76"/>
      <c r="D31" s="130" t="s">
        <v>375</v>
      </c>
      <c r="E31" s="9"/>
      <c r="F31" s="73"/>
      <c r="G31" s="9"/>
      <c r="H31" s="11"/>
      <c r="I31" s="11"/>
      <c r="J31" s="13"/>
      <c r="K31" s="13"/>
      <c r="L31" s="13"/>
      <c r="M31" s="13"/>
      <c r="N31" s="13"/>
      <c r="O31" s="13"/>
      <c r="P31" s="13"/>
      <c r="Q31" s="13"/>
      <c r="R31" s="13"/>
      <c r="S31" s="13"/>
      <c r="T31" s="13"/>
      <c r="U31" s="13"/>
      <c r="V31" s="13"/>
      <c r="W31" s="16"/>
      <c r="X31" s="16"/>
      <c r="Y31" s="16"/>
      <c r="Z31" s="16"/>
      <c r="AA31" s="16"/>
      <c r="AB31" s="16"/>
    </row>
    <row r="32" ht="75.0" customHeight="1">
      <c r="A32" s="58">
        <v>45733.0</v>
      </c>
      <c r="B32" s="6" t="s">
        <v>385</v>
      </c>
      <c r="C32" s="76"/>
      <c r="D32" s="130" t="s">
        <v>388</v>
      </c>
      <c r="E32" s="9"/>
      <c r="F32" s="73"/>
      <c r="G32" s="9"/>
      <c r="H32" s="11"/>
      <c r="I32" s="11"/>
      <c r="J32" s="13"/>
      <c r="K32" s="13"/>
      <c r="L32" s="13"/>
      <c r="M32" s="13"/>
      <c r="N32" s="13"/>
      <c r="O32" s="13"/>
      <c r="P32" s="13"/>
      <c r="Q32" s="13"/>
      <c r="R32" s="13"/>
      <c r="S32" s="13"/>
      <c r="T32" s="13"/>
      <c r="U32" s="13"/>
      <c r="V32" s="13"/>
      <c r="W32" s="16"/>
      <c r="X32" s="16"/>
      <c r="Y32" s="16"/>
      <c r="Z32" s="16"/>
      <c r="AA32" s="16"/>
      <c r="AB32" s="16"/>
    </row>
    <row r="33" ht="75.0" customHeight="1">
      <c r="A33" s="58">
        <v>45733.0</v>
      </c>
      <c r="B33" s="6" t="s">
        <v>395</v>
      </c>
      <c r="C33" s="154" t="s">
        <v>396</v>
      </c>
      <c r="D33" s="130" t="s">
        <v>401</v>
      </c>
      <c r="E33" s="9" t="s">
        <v>403</v>
      </c>
      <c r="F33" s="73"/>
      <c r="G33" s="9"/>
      <c r="H33" s="11"/>
      <c r="I33" s="11"/>
      <c r="J33" s="13"/>
      <c r="K33" s="13"/>
      <c r="L33" s="13"/>
      <c r="M33" s="13"/>
      <c r="N33" s="13"/>
      <c r="O33" s="13"/>
      <c r="P33" s="13"/>
      <c r="Q33" s="13"/>
      <c r="R33" s="13"/>
      <c r="S33" s="13"/>
      <c r="T33" s="13"/>
      <c r="U33" s="13"/>
      <c r="V33" s="13"/>
      <c r="W33" s="16"/>
      <c r="X33" s="16"/>
      <c r="Y33" s="16"/>
      <c r="Z33" s="16"/>
      <c r="AA33" s="16"/>
      <c r="AB33" s="16"/>
    </row>
    <row r="34" ht="75.0" customHeight="1">
      <c r="A34" s="58">
        <v>45732.0</v>
      </c>
      <c r="B34" s="6" t="s">
        <v>412</v>
      </c>
      <c r="C34" s="76"/>
      <c r="D34" s="130" t="s">
        <v>413</v>
      </c>
      <c r="E34" s="9"/>
      <c r="F34" s="73"/>
      <c r="G34" s="9"/>
      <c r="H34" s="11"/>
      <c r="I34" s="11"/>
      <c r="J34" s="13"/>
      <c r="K34" s="13"/>
      <c r="L34" s="13"/>
      <c r="M34" s="13"/>
      <c r="N34" s="13"/>
      <c r="O34" s="13"/>
      <c r="P34" s="13"/>
      <c r="Q34" s="13"/>
      <c r="R34" s="13"/>
      <c r="S34" s="13"/>
      <c r="T34" s="13"/>
      <c r="U34" s="13"/>
      <c r="V34" s="13"/>
      <c r="W34" s="16"/>
      <c r="X34" s="16"/>
      <c r="Y34" s="16"/>
      <c r="Z34" s="16"/>
      <c r="AA34" s="16"/>
      <c r="AB34" s="16"/>
    </row>
    <row r="35" ht="75.0" customHeight="1">
      <c r="A35" s="58">
        <v>45732.0</v>
      </c>
      <c r="B35" s="6" t="s">
        <v>424</v>
      </c>
      <c r="C35" s="76"/>
      <c r="D35" s="130" t="s">
        <v>428</v>
      </c>
      <c r="E35" s="9" t="s">
        <v>430</v>
      </c>
      <c r="F35" s="73"/>
      <c r="G35" s="9"/>
      <c r="H35" s="11"/>
      <c r="I35" s="11"/>
      <c r="J35" s="13"/>
      <c r="K35" s="13"/>
      <c r="L35" s="13"/>
      <c r="M35" s="13"/>
      <c r="N35" s="13"/>
      <c r="O35" s="13"/>
      <c r="P35" s="13"/>
      <c r="Q35" s="13"/>
      <c r="R35" s="13"/>
      <c r="S35" s="13"/>
      <c r="T35" s="13"/>
      <c r="U35" s="13"/>
      <c r="V35" s="13"/>
      <c r="W35" s="16"/>
      <c r="X35" s="16"/>
      <c r="Y35" s="16"/>
      <c r="Z35" s="16"/>
      <c r="AA35" s="16"/>
      <c r="AB35" s="16"/>
    </row>
    <row r="36" ht="75.0" customHeight="1">
      <c r="A36" s="58">
        <v>45732.0</v>
      </c>
      <c r="B36" s="6" t="s">
        <v>441</v>
      </c>
      <c r="C36" s="76"/>
      <c r="D36" s="130" t="s">
        <v>444</v>
      </c>
      <c r="E36" s="9"/>
      <c r="F36" s="73"/>
      <c r="G36" s="9"/>
      <c r="H36" s="11"/>
      <c r="I36" s="11"/>
      <c r="J36" s="13"/>
      <c r="K36" s="13"/>
      <c r="L36" s="13"/>
      <c r="M36" s="13"/>
      <c r="N36" s="13"/>
      <c r="O36" s="13"/>
      <c r="P36" s="13"/>
      <c r="Q36" s="13"/>
      <c r="R36" s="13"/>
      <c r="S36" s="13"/>
      <c r="T36" s="13"/>
      <c r="U36" s="13"/>
      <c r="V36" s="13"/>
      <c r="W36" s="16"/>
      <c r="X36" s="16"/>
      <c r="Y36" s="16"/>
      <c r="Z36" s="16"/>
      <c r="AA36" s="16"/>
      <c r="AB36" s="16"/>
    </row>
    <row r="37" ht="75.0" customHeight="1">
      <c r="A37" s="58">
        <v>45731.0</v>
      </c>
      <c r="B37" s="6" t="s">
        <v>452</v>
      </c>
      <c r="C37" s="76" t="s">
        <v>453</v>
      </c>
      <c r="D37" s="130" t="s">
        <v>455</v>
      </c>
      <c r="E37" s="9" t="s">
        <v>456</v>
      </c>
      <c r="F37" s="73" t="s">
        <v>458</v>
      </c>
      <c r="G37" s="9"/>
      <c r="H37" s="11"/>
      <c r="I37" s="11"/>
      <c r="J37" s="13"/>
      <c r="K37" s="13"/>
      <c r="L37" s="13"/>
      <c r="M37" s="13"/>
      <c r="N37" s="13"/>
      <c r="O37" s="13"/>
      <c r="P37" s="13"/>
      <c r="Q37" s="13"/>
      <c r="R37" s="13"/>
      <c r="S37" s="13"/>
      <c r="T37" s="13"/>
      <c r="U37" s="13"/>
      <c r="V37" s="13"/>
      <c r="W37" s="16"/>
      <c r="X37" s="16"/>
      <c r="Y37" s="16"/>
      <c r="Z37" s="16"/>
      <c r="AA37" s="16"/>
      <c r="AB37" s="16"/>
    </row>
    <row r="38" ht="75.0" customHeight="1">
      <c r="A38" s="58">
        <v>45731.0</v>
      </c>
      <c r="B38" s="6" t="s">
        <v>467</v>
      </c>
      <c r="C38" s="76"/>
      <c r="D38" s="130"/>
      <c r="E38" s="9"/>
      <c r="F38" s="73"/>
      <c r="G38" s="9"/>
      <c r="H38" s="11"/>
      <c r="I38" s="11"/>
      <c r="J38" s="13"/>
      <c r="K38" s="13"/>
      <c r="L38" s="13"/>
      <c r="M38" s="13"/>
      <c r="N38" s="13"/>
      <c r="O38" s="13"/>
      <c r="P38" s="13"/>
      <c r="Q38" s="13"/>
      <c r="R38" s="13"/>
      <c r="S38" s="13"/>
      <c r="T38" s="13"/>
      <c r="U38" s="13"/>
      <c r="V38" s="13"/>
      <c r="W38" s="16"/>
      <c r="X38" s="16"/>
      <c r="Y38" s="16"/>
      <c r="Z38" s="16"/>
      <c r="AA38" s="16"/>
      <c r="AB38" s="16"/>
    </row>
    <row r="39" ht="75.0" customHeight="1">
      <c r="A39" s="58">
        <v>45730.0</v>
      </c>
      <c r="B39" s="6" t="s">
        <v>478</v>
      </c>
      <c r="C39" s="76" t="s">
        <v>479</v>
      </c>
      <c r="D39" s="130" t="s">
        <v>480</v>
      </c>
      <c r="E39" s="9" t="s">
        <v>484</v>
      </c>
      <c r="F39" s="9" t="s">
        <v>485</v>
      </c>
      <c r="G39" s="9"/>
      <c r="H39" s="11"/>
      <c r="I39" s="11"/>
      <c r="J39" s="13"/>
      <c r="K39" s="13"/>
      <c r="L39" s="13"/>
      <c r="M39" s="13"/>
      <c r="N39" s="13"/>
      <c r="O39" s="13"/>
      <c r="P39" s="13"/>
      <c r="Q39" s="13"/>
      <c r="R39" s="13"/>
      <c r="S39" s="13"/>
      <c r="T39" s="13"/>
      <c r="U39" s="13"/>
      <c r="V39" s="13"/>
      <c r="W39" s="16"/>
      <c r="X39" s="16"/>
      <c r="Y39" s="16"/>
      <c r="Z39" s="16"/>
      <c r="AA39" s="16"/>
      <c r="AB39" s="16"/>
    </row>
    <row r="40" ht="75.0" customHeight="1">
      <c r="A40" s="58">
        <v>45729.0</v>
      </c>
      <c r="B40" s="6" t="s">
        <v>492</v>
      </c>
      <c r="C40" s="76" t="s">
        <v>493</v>
      </c>
      <c r="D40" s="130" t="s">
        <v>494</v>
      </c>
      <c r="E40" s="9" t="s">
        <v>495</v>
      </c>
      <c r="F40" s="73" t="s">
        <v>496</v>
      </c>
      <c r="G40" s="9" t="s">
        <v>497</v>
      </c>
      <c r="H40" s="11"/>
      <c r="I40" s="11"/>
      <c r="J40" s="13"/>
      <c r="K40" s="13"/>
      <c r="L40" s="13"/>
      <c r="M40" s="13"/>
      <c r="N40" s="13"/>
      <c r="O40" s="13"/>
      <c r="P40" s="13"/>
      <c r="Q40" s="13"/>
      <c r="R40" s="13"/>
      <c r="S40" s="13"/>
      <c r="T40" s="13"/>
      <c r="U40" s="13"/>
      <c r="V40" s="13"/>
      <c r="W40" s="16"/>
      <c r="X40" s="16"/>
      <c r="Y40" s="16"/>
      <c r="Z40" s="16"/>
      <c r="AA40" s="16"/>
      <c r="AB40" s="16"/>
    </row>
    <row r="41" ht="75.0" customHeight="1">
      <c r="A41" s="58">
        <v>45728.0</v>
      </c>
      <c r="B41" s="6" t="s">
        <v>505</v>
      </c>
      <c r="C41" s="11"/>
      <c r="D41" s="9"/>
      <c r="E41" s="73"/>
      <c r="F41" s="11"/>
      <c r="G41" s="11"/>
      <c r="H41" s="11"/>
      <c r="I41" s="13"/>
      <c r="J41" s="13"/>
      <c r="K41" s="13"/>
      <c r="L41" s="13"/>
      <c r="M41" s="13"/>
      <c r="N41" s="13"/>
      <c r="O41" s="13"/>
      <c r="P41" s="13"/>
      <c r="Q41" s="13"/>
      <c r="R41" s="13"/>
      <c r="S41" s="13"/>
      <c r="T41" s="13"/>
      <c r="U41" s="13"/>
      <c r="V41" s="16"/>
      <c r="W41" s="16"/>
      <c r="X41" s="16"/>
      <c r="Y41" s="16"/>
      <c r="Z41" s="16"/>
      <c r="AA41" s="16"/>
    </row>
    <row r="42" ht="75.0" customHeight="1">
      <c r="A42" s="58">
        <v>45728.0</v>
      </c>
      <c r="B42" s="6" t="s">
        <v>516</v>
      </c>
      <c r="C42" s="73"/>
      <c r="D42" s="130"/>
      <c r="E42" s="9"/>
      <c r="F42" s="11"/>
      <c r="G42" s="11"/>
      <c r="H42" s="11"/>
      <c r="I42" s="11"/>
      <c r="J42" s="13"/>
      <c r="K42" s="13"/>
      <c r="L42" s="13"/>
      <c r="M42" s="13"/>
      <c r="N42" s="13"/>
      <c r="O42" s="13"/>
      <c r="P42" s="13"/>
      <c r="Q42" s="13"/>
      <c r="R42" s="13"/>
      <c r="S42" s="13"/>
      <c r="T42" s="13"/>
      <c r="U42" s="13"/>
      <c r="V42" s="13"/>
      <c r="W42" s="16"/>
      <c r="X42" s="16"/>
      <c r="Y42" s="16"/>
      <c r="Z42" s="16"/>
      <c r="AA42" s="16"/>
      <c r="AB42" s="16"/>
    </row>
    <row r="43" ht="75.0" customHeight="1">
      <c r="A43" s="58">
        <v>45726.0</v>
      </c>
      <c r="B43" s="6" t="s">
        <v>527</v>
      </c>
      <c r="C43" s="73" t="s">
        <v>529</v>
      </c>
      <c r="D43" s="130" t="s">
        <v>530</v>
      </c>
      <c r="E43" s="9" t="s">
        <v>534</v>
      </c>
      <c r="F43" s="9" t="s">
        <v>535</v>
      </c>
      <c r="G43" s="11"/>
      <c r="H43" s="11"/>
      <c r="I43" s="11"/>
      <c r="J43" s="13"/>
      <c r="K43" s="13"/>
      <c r="L43" s="13"/>
      <c r="M43" s="13"/>
      <c r="N43" s="13"/>
      <c r="O43" s="13"/>
      <c r="P43" s="13"/>
      <c r="Q43" s="13"/>
      <c r="R43" s="13"/>
      <c r="S43" s="13"/>
      <c r="T43" s="13"/>
      <c r="U43" s="13"/>
      <c r="V43" s="13"/>
      <c r="W43" s="16"/>
      <c r="X43" s="16"/>
      <c r="Y43" s="16"/>
      <c r="Z43" s="16"/>
      <c r="AA43" s="16"/>
      <c r="AB43" s="16"/>
    </row>
    <row r="44" ht="75.0" customHeight="1">
      <c r="A44" s="58">
        <v>45726.0</v>
      </c>
      <c r="B44" s="6" t="s">
        <v>544</v>
      </c>
      <c r="C44" s="73"/>
      <c r="D44" s="130" t="s">
        <v>545</v>
      </c>
      <c r="E44" s="9"/>
      <c r="F44" s="11"/>
      <c r="G44" s="11"/>
      <c r="H44" s="11"/>
      <c r="I44" s="11"/>
      <c r="J44" s="13"/>
      <c r="K44" s="13"/>
      <c r="L44" s="13"/>
      <c r="M44" s="13"/>
      <c r="N44" s="13"/>
      <c r="O44" s="13"/>
      <c r="P44" s="13"/>
      <c r="Q44" s="13"/>
      <c r="R44" s="13"/>
      <c r="S44" s="13"/>
      <c r="T44" s="13"/>
      <c r="U44" s="13"/>
      <c r="V44" s="13"/>
      <c r="W44" s="16"/>
      <c r="X44" s="16"/>
      <c r="Y44" s="16"/>
      <c r="Z44" s="16"/>
      <c r="AA44" s="16"/>
      <c r="AB44" s="16"/>
    </row>
    <row r="45" ht="75.0" customHeight="1">
      <c r="A45" s="58">
        <v>45725.0</v>
      </c>
      <c r="B45" s="6" t="s">
        <v>553</v>
      </c>
      <c r="C45" s="11"/>
      <c r="D45" s="130" t="s">
        <v>555</v>
      </c>
      <c r="E45" s="11"/>
      <c r="F45" s="11"/>
      <c r="G45" s="11"/>
      <c r="H45" s="13"/>
      <c r="I45" s="13"/>
      <c r="J45" s="13"/>
      <c r="K45" s="13"/>
      <c r="L45" s="13"/>
      <c r="M45" s="13"/>
      <c r="N45" s="13"/>
      <c r="O45" s="13"/>
      <c r="P45" s="13"/>
      <c r="Q45" s="13"/>
      <c r="R45" s="13"/>
      <c r="S45" s="13"/>
      <c r="T45" s="13"/>
      <c r="U45" s="16"/>
      <c r="V45" s="16"/>
      <c r="W45" s="16"/>
      <c r="X45" s="16"/>
      <c r="Y45" s="16"/>
      <c r="Z45" s="16"/>
    </row>
    <row r="46" ht="75.0" customHeight="1">
      <c r="A46" s="58">
        <v>45724.0</v>
      </c>
      <c r="B46" s="6" t="s">
        <v>560</v>
      </c>
      <c r="C46" s="7"/>
      <c r="D46" s="130" t="s">
        <v>562</v>
      </c>
      <c r="E46" s="9" t="s">
        <v>563</v>
      </c>
      <c r="F46" s="11"/>
      <c r="G46" s="11"/>
      <c r="H46" s="11"/>
      <c r="I46" s="11"/>
      <c r="J46" s="11"/>
      <c r="K46" s="13"/>
      <c r="L46" s="13"/>
      <c r="M46" s="13"/>
      <c r="N46" s="13"/>
      <c r="O46" s="13"/>
      <c r="P46" s="13"/>
      <c r="Q46" s="13"/>
      <c r="R46" s="13"/>
      <c r="S46" s="13"/>
      <c r="T46" s="13"/>
      <c r="U46" s="13"/>
      <c r="V46" s="13"/>
      <c r="W46" s="13"/>
      <c r="X46" s="16"/>
      <c r="Y46" s="16"/>
      <c r="Z46" s="16"/>
      <c r="AA46" s="16"/>
      <c r="AB46" s="16"/>
      <c r="AC46" s="16"/>
    </row>
    <row r="47" ht="75.0" customHeight="1">
      <c r="A47" s="58">
        <v>45724.0</v>
      </c>
      <c r="B47" s="182" t="s">
        <v>571</v>
      </c>
      <c r="C47" s="7"/>
      <c r="D47" s="130"/>
      <c r="E47" s="9"/>
      <c r="F47" s="11"/>
      <c r="G47" s="11"/>
      <c r="H47" s="11"/>
      <c r="I47" s="11"/>
      <c r="J47" s="11"/>
      <c r="K47" s="13"/>
      <c r="L47" s="13"/>
      <c r="M47" s="13"/>
      <c r="N47" s="13"/>
      <c r="O47" s="13"/>
      <c r="P47" s="13"/>
      <c r="Q47" s="13"/>
      <c r="R47" s="13"/>
      <c r="S47" s="13"/>
      <c r="T47" s="13"/>
      <c r="U47" s="13"/>
      <c r="V47" s="13"/>
      <c r="W47" s="13"/>
      <c r="X47" s="16"/>
      <c r="Y47" s="16"/>
      <c r="Z47" s="16"/>
      <c r="AA47" s="16"/>
      <c r="AB47" s="16"/>
      <c r="AC47" s="16"/>
    </row>
    <row r="48" ht="187.5" customHeight="1">
      <c r="A48" s="58">
        <v>45723.0</v>
      </c>
      <c r="B48" s="130" t="s">
        <v>586</v>
      </c>
      <c r="C48" s="7"/>
      <c r="D48" s="130" t="s">
        <v>588</v>
      </c>
      <c r="E48" s="9"/>
      <c r="F48" s="11"/>
      <c r="G48" s="11"/>
      <c r="H48" s="11"/>
      <c r="I48" s="11"/>
      <c r="J48" s="11"/>
      <c r="K48" s="13"/>
      <c r="L48" s="13"/>
      <c r="M48" s="13"/>
      <c r="N48" s="13"/>
      <c r="O48" s="13"/>
      <c r="P48" s="13"/>
      <c r="Q48" s="13"/>
      <c r="R48" s="13"/>
      <c r="S48" s="13"/>
      <c r="T48" s="13"/>
      <c r="U48" s="13"/>
      <c r="V48" s="13"/>
      <c r="W48" s="13"/>
      <c r="X48" s="16"/>
      <c r="Y48" s="16"/>
      <c r="Z48" s="16"/>
      <c r="AA48" s="16"/>
      <c r="AB48" s="16"/>
      <c r="AC48" s="16"/>
    </row>
    <row r="49" ht="78.0" customHeight="1">
      <c r="A49" s="58">
        <v>45722.0</v>
      </c>
      <c r="B49" s="130" t="s">
        <v>595</v>
      </c>
      <c r="C49" s="85" t="s">
        <v>597</v>
      </c>
      <c r="D49" s="130" t="s">
        <v>605</v>
      </c>
      <c r="E49" s="186" t="s">
        <v>606</v>
      </c>
      <c r="F49" s="9" t="s">
        <v>607</v>
      </c>
      <c r="G49" s="11"/>
      <c r="H49" s="11"/>
      <c r="I49" s="11"/>
      <c r="J49" s="13"/>
      <c r="K49" s="13"/>
      <c r="L49" s="13"/>
      <c r="M49" s="13"/>
      <c r="N49" s="13"/>
      <c r="O49" s="13"/>
      <c r="P49" s="13"/>
      <c r="Q49" s="13"/>
      <c r="R49" s="13"/>
      <c r="S49" s="13"/>
      <c r="T49" s="13"/>
      <c r="U49" s="13"/>
      <c r="V49" s="13"/>
      <c r="W49" s="16"/>
      <c r="X49" s="16"/>
      <c r="Y49" s="16"/>
      <c r="Z49" s="16"/>
      <c r="AA49" s="16"/>
      <c r="AB49" s="16"/>
    </row>
    <row r="50" ht="78.0" customHeight="1">
      <c r="A50" s="58">
        <v>45722.0</v>
      </c>
      <c r="B50" s="130" t="s">
        <v>618</v>
      </c>
      <c r="C50" s="7"/>
      <c r="D50" s="130" t="s">
        <v>620</v>
      </c>
      <c r="E50" s="9"/>
      <c r="F50" s="11"/>
      <c r="G50" s="11"/>
      <c r="H50" s="11"/>
      <c r="I50" s="11"/>
      <c r="J50" s="11"/>
      <c r="K50" s="13"/>
      <c r="L50" s="13"/>
      <c r="M50" s="13"/>
      <c r="N50" s="13"/>
      <c r="O50" s="13"/>
      <c r="P50" s="13"/>
      <c r="Q50" s="13"/>
      <c r="R50" s="13"/>
      <c r="S50" s="13"/>
      <c r="T50" s="13"/>
      <c r="U50" s="13"/>
      <c r="V50" s="13"/>
      <c r="W50" s="13"/>
      <c r="X50" s="16"/>
      <c r="Y50" s="16"/>
      <c r="Z50" s="16"/>
      <c r="AA50" s="16"/>
      <c r="AB50" s="16"/>
      <c r="AC50" s="16"/>
    </row>
    <row r="51" ht="78.0" customHeight="1">
      <c r="A51" s="58">
        <v>45721.0</v>
      </c>
      <c r="B51" s="130" t="s">
        <v>624</v>
      </c>
      <c r="C51" s="7"/>
      <c r="D51" s="130"/>
      <c r="E51" s="9"/>
      <c r="F51" s="11"/>
      <c r="G51" s="11"/>
      <c r="H51" s="11"/>
      <c r="I51" s="11"/>
      <c r="J51" s="11"/>
      <c r="K51" s="13"/>
      <c r="L51" s="13"/>
      <c r="M51" s="13"/>
      <c r="N51" s="13"/>
      <c r="O51" s="13"/>
      <c r="P51" s="13"/>
      <c r="Q51" s="13"/>
      <c r="R51" s="13"/>
      <c r="S51" s="13"/>
      <c r="T51" s="13"/>
      <c r="U51" s="13"/>
      <c r="V51" s="13"/>
      <c r="W51" s="13"/>
      <c r="X51" s="16"/>
      <c r="Y51" s="16"/>
      <c r="Z51" s="16"/>
      <c r="AA51" s="16"/>
      <c r="AB51" s="16"/>
      <c r="AC51" s="16"/>
    </row>
    <row r="52" ht="78.0" customHeight="1">
      <c r="A52" s="58">
        <v>45721.0</v>
      </c>
      <c r="B52" s="130" t="s">
        <v>629</v>
      </c>
      <c r="C52" s="7"/>
      <c r="D52" s="190" t="s">
        <v>630</v>
      </c>
      <c r="E52" s="9" t="s">
        <v>631</v>
      </c>
      <c r="F52" s="11"/>
      <c r="G52" s="11"/>
      <c r="H52" s="11"/>
      <c r="I52" s="11"/>
      <c r="J52" s="11"/>
      <c r="K52" s="13"/>
      <c r="L52" s="13"/>
      <c r="M52" s="13"/>
      <c r="N52" s="13"/>
      <c r="O52" s="13"/>
      <c r="P52" s="13"/>
      <c r="Q52" s="13"/>
      <c r="R52" s="13"/>
      <c r="S52" s="13"/>
      <c r="T52" s="13"/>
      <c r="U52" s="13"/>
      <c r="V52" s="13"/>
      <c r="W52" s="13"/>
      <c r="X52" s="16"/>
      <c r="Y52" s="16"/>
      <c r="Z52" s="16"/>
      <c r="AA52" s="16"/>
      <c r="AB52" s="16"/>
      <c r="AC52" s="16"/>
    </row>
    <row r="53" ht="78.0" customHeight="1">
      <c r="A53" s="58">
        <v>45721.0</v>
      </c>
      <c r="B53" s="130" t="s">
        <v>634</v>
      </c>
      <c r="C53" s="7"/>
      <c r="D53" s="130" t="s">
        <v>635</v>
      </c>
      <c r="E53" s="9" t="s">
        <v>636</v>
      </c>
      <c r="F53" s="11"/>
      <c r="G53" s="11"/>
      <c r="H53" s="11"/>
      <c r="I53" s="11"/>
      <c r="J53" s="11"/>
      <c r="K53" s="13"/>
      <c r="L53" s="13"/>
      <c r="M53" s="13"/>
      <c r="N53" s="13"/>
      <c r="O53" s="13"/>
      <c r="P53" s="13"/>
      <c r="Q53" s="13"/>
      <c r="R53" s="13"/>
      <c r="S53" s="13"/>
      <c r="T53" s="13"/>
      <c r="U53" s="13"/>
      <c r="V53" s="13"/>
      <c r="W53" s="13"/>
      <c r="X53" s="16"/>
      <c r="Y53" s="16"/>
      <c r="Z53" s="16"/>
      <c r="AA53" s="16"/>
      <c r="AB53" s="16"/>
      <c r="AC53" s="16"/>
    </row>
    <row r="54" ht="78.0" customHeight="1">
      <c r="A54" s="58">
        <v>45721.0</v>
      </c>
      <c r="B54" s="130" t="s">
        <v>639</v>
      </c>
      <c r="C54" s="11"/>
      <c r="D54" s="9" t="s">
        <v>640</v>
      </c>
      <c r="E54" s="130"/>
      <c r="F54" s="11"/>
      <c r="G54" s="11"/>
      <c r="H54" s="11"/>
      <c r="I54" s="11"/>
      <c r="J54" s="13"/>
      <c r="K54" s="13"/>
      <c r="L54" s="13"/>
      <c r="M54" s="13"/>
      <c r="N54" s="13"/>
      <c r="O54" s="13"/>
      <c r="P54" s="13"/>
      <c r="Q54" s="13"/>
      <c r="R54" s="13"/>
      <c r="S54" s="13"/>
      <c r="T54" s="13"/>
      <c r="U54" s="13"/>
      <c r="V54" s="13"/>
      <c r="W54" s="16"/>
      <c r="X54" s="16"/>
      <c r="Y54" s="16"/>
      <c r="Z54" s="16"/>
      <c r="AA54" s="16"/>
      <c r="AB54" s="16"/>
    </row>
    <row r="55" ht="78.0" customHeight="1">
      <c r="A55" s="58">
        <v>45721.0</v>
      </c>
      <c r="B55" s="130" t="s">
        <v>641</v>
      </c>
      <c r="C55" s="7"/>
      <c r="D55" s="130"/>
      <c r="E55" s="9"/>
      <c r="F55" s="11"/>
      <c r="G55" s="11"/>
      <c r="H55" s="11"/>
      <c r="I55" s="11"/>
      <c r="J55" s="11"/>
      <c r="K55" s="13"/>
      <c r="L55" s="13"/>
      <c r="M55" s="13"/>
      <c r="N55" s="13"/>
      <c r="O55" s="13"/>
      <c r="P55" s="13"/>
      <c r="Q55" s="13"/>
      <c r="R55" s="13"/>
      <c r="S55" s="13"/>
      <c r="T55" s="13"/>
      <c r="U55" s="13"/>
      <c r="V55" s="13"/>
      <c r="W55" s="13"/>
      <c r="X55" s="16"/>
      <c r="Y55" s="16"/>
      <c r="Z55" s="16"/>
      <c r="AA55" s="16"/>
      <c r="AB55" s="16"/>
      <c r="AC55" s="16"/>
    </row>
    <row r="56" ht="78.0" customHeight="1">
      <c r="A56" s="58">
        <v>45721.0</v>
      </c>
      <c r="B56" s="130" t="s">
        <v>644</v>
      </c>
      <c r="C56" s="7"/>
      <c r="D56" s="130" t="s">
        <v>645</v>
      </c>
      <c r="E56" s="9"/>
      <c r="F56" s="11"/>
      <c r="G56" s="11"/>
      <c r="H56" s="11"/>
      <c r="I56" s="11"/>
      <c r="J56" s="11"/>
      <c r="K56" s="13"/>
      <c r="L56" s="13"/>
      <c r="M56" s="13"/>
      <c r="N56" s="13"/>
      <c r="O56" s="13"/>
      <c r="P56" s="13"/>
      <c r="Q56" s="13"/>
      <c r="R56" s="13"/>
      <c r="S56" s="13"/>
      <c r="T56" s="13"/>
      <c r="U56" s="13"/>
      <c r="V56" s="13"/>
      <c r="W56" s="13"/>
      <c r="X56" s="16"/>
      <c r="Y56" s="16"/>
      <c r="Z56" s="16"/>
      <c r="AA56" s="16"/>
      <c r="AB56" s="16"/>
      <c r="AC56" s="16"/>
    </row>
    <row r="57" ht="78.0" customHeight="1">
      <c r="A57" s="58">
        <v>45721.0</v>
      </c>
      <c r="B57" s="130" t="s">
        <v>649</v>
      </c>
      <c r="C57" s="7"/>
      <c r="D57" s="130" t="s">
        <v>650</v>
      </c>
      <c r="E57" s="9"/>
      <c r="F57" s="11"/>
      <c r="G57" s="11"/>
      <c r="H57" s="11"/>
      <c r="I57" s="11"/>
      <c r="J57" s="11"/>
      <c r="K57" s="13"/>
      <c r="L57" s="13"/>
      <c r="M57" s="13"/>
      <c r="N57" s="13"/>
      <c r="O57" s="13"/>
      <c r="P57" s="13"/>
      <c r="Q57" s="13"/>
      <c r="R57" s="13"/>
      <c r="S57" s="13"/>
      <c r="T57" s="13"/>
      <c r="U57" s="13"/>
      <c r="V57" s="13"/>
      <c r="W57" s="13"/>
      <c r="X57" s="16"/>
      <c r="Y57" s="16"/>
      <c r="Z57" s="16"/>
      <c r="AA57" s="16"/>
      <c r="AB57" s="16"/>
      <c r="AC57" s="16"/>
    </row>
    <row r="58" ht="78.0" customHeight="1">
      <c r="A58" s="58">
        <v>45721.0</v>
      </c>
      <c r="B58" s="130" t="s">
        <v>657</v>
      </c>
      <c r="C58" s="200" t="s">
        <v>658</v>
      </c>
      <c r="D58" s="130" t="s">
        <v>659</v>
      </c>
      <c r="E58" s="9" t="s">
        <v>661</v>
      </c>
      <c r="F58" s="11"/>
      <c r="G58" s="11"/>
      <c r="H58" s="11"/>
      <c r="I58" s="11"/>
      <c r="J58" s="11"/>
      <c r="K58" s="13"/>
      <c r="L58" s="13"/>
      <c r="M58" s="13"/>
      <c r="N58" s="13"/>
      <c r="O58" s="13"/>
      <c r="P58" s="13"/>
      <c r="Q58" s="13"/>
      <c r="R58" s="13"/>
      <c r="S58" s="13"/>
      <c r="T58" s="13"/>
      <c r="U58" s="13"/>
      <c r="V58" s="13"/>
      <c r="W58" s="13"/>
      <c r="X58" s="16"/>
      <c r="Y58" s="16"/>
      <c r="Z58" s="16"/>
      <c r="AA58" s="16"/>
      <c r="AB58" s="16"/>
      <c r="AC58" s="16"/>
    </row>
    <row r="59" ht="78.0" customHeight="1">
      <c r="A59" s="58">
        <v>45721.0</v>
      </c>
      <c r="B59" s="130" t="s">
        <v>664</v>
      </c>
      <c r="C59" s="7"/>
      <c r="D59" s="130" t="s">
        <v>665</v>
      </c>
      <c r="E59" s="9" t="s">
        <v>666</v>
      </c>
      <c r="F59" s="11"/>
      <c r="G59" s="11"/>
      <c r="H59" s="11"/>
      <c r="I59" s="11"/>
      <c r="J59" s="11"/>
      <c r="K59" s="13"/>
      <c r="L59" s="13"/>
      <c r="M59" s="13"/>
      <c r="N59" s="13"/>
      <c r="O59" s="13"/>
      <c r="P59" s="13"/>
      <c r="Q59" s="13"/>
      <c r="R59" s="13"/>
      <c r="S59" s="13"/>
      <c r="T59" s="13"/>
      <c r="U59" s="13"/>
      <c r="V59" s="13"/>
      <c r="W59" s="13"/>
      <c r="X59" s="16"/>
      <c r="Y59" s="16"/>
      <c r="Z59" s="16"/>
      <c r="AA59" s="16"/>
      <c r="AB59" s="16"/>
      <c r="AC59" s="16"/>
    </row>
    <row r="60" ht="78.0" customHeight="1">
      <c r="A60" s="58">
        <v>45721.0</v>
      </c>
      <c r="B60" s="130" t="s">
        <v>671</v>
      </c>
      <c r="C60" s="9" t="s">
        <v>672</v>
      </c>
      <c r="D60" s="130" t="s">
        <v>673</v>
      </c>
      <c r="E60" s="9" t="s">
        <v>675</v>
      </c>
      <c r="F60" s="11"/>
      <c r="G60" s="11"/>
      <c r="H60" s="11"/>
      <c r="I60" s="11"/>
      <c r="J60" s="11"/>
      <c r="K60" s="13"/>
      <c r="L60" s="13"/>
      <c r="M60" s="13"/>
      <c r="N60" s="13"/>
      <c r="O60" s="13"/>
      <c r="P60" s="13"/>
      <c r="Q60" s="13"/>
      <c r="R60" s="13"/>
      <c r="S60" s="13"/>
      <c r="T60" s="13"/>
      <c r="U60" s="13"/>
      <c r="V60" s="13"/>
      <c r="W60" s="13"/>
      <c r="X60" s="16"/>
      <c r="Y60" s="16"/>
      <c r="Z60" s="16"/>
      <c r="AA60" s="16"/>
      <c r="AB60" s="16"/>
      <c r="AC60" s="16"/>
    </row>
    <row r="61" ht="78.0" customHeight="1">
      <c r="A61" s="58">
        <v>45720.0</v>
      </c>
      <c r="B61" s="130" t="s">
        <v>679</v>
      </c>
      <c r="C61" s="7"/>
      <c r="D61" s="130" t="s">
        <v>681</v>
      </c>
      <c r="E61" s="9"/>
      <c r="F61" s="11"/>
      <c r="G61" s="11"/>
      <c r="H61" s="11"/>
      <c r="I61" s="11"/>
      <c r="J61" s="11"/>
      <c r="K61" s="13"/>
      <c r="L61" s="13"/>
      <c r="M61" s="13"/>
      <c r="N61" s="13"/>
      <c r="O61" s="13"/>
      <c r="P61" s="13"/>
      <c r="Q61" s="13"/>
      <c r="R61" s="13"/>
      <c r="S61" s="13"/>
      <c r="T61" s="13"/>
      <c r="U61" s="13"/>
      <c r="V61" s="13"/>
      <c r="W61" s="13"/>
      <c r="X61" s="16"/>
      <c r="Y61" s="16"/>
      <c r="Z61" s="16"/>
      <c r="AA61" s="16"/>
      <c r="AB61" s="16"/>
      <c r="AC61" s="16"/>
    </row>
    <row r="62" ht="99.0" customHeight="1">
      <c r="A62" s="58">
        <v>45720.0</v>
      </c>
      <c r="B62" s="130" t="s">
        <v>684</v>
      </c>
      <c r="C62" s="7"/>
      <c r="D62" s="130" t="s">
        <v>685</v>
      </c>
      <c r="E62" s="9" t="s">
        <v>686</v>
      </c>
      <c r="F62" s="11"/>
      <c r="G62" s="11"/>
      <c r="H62" s="11"/>
      <c r="I62" s="11"/>
      <c r="J62" s="11"/>
      <c r="K62" s="13"/>
      <c r="L62" s="13"/>
      <c r="M62" s="13"/>
      <c r="N62" s="13"/>
      <c r="O62" s="13"/>
      <c r="P62" s="13"/>
      <c r="Q62" s="13"/>
      <c r="R62" s="13"/>
      <c r="S62" s="13"/>
      <c r="T62" s="13"/>
      <c r="U62" s="13"/>
      <c r="V62" s="13"/>
      <c r="W62" s="13"/>
      <c r="X62" s="16"/>
      <c r="Y62" s="16"/>
      <c r="Z62" s="16"/>
      <c r="AA62" s="16"/>
      <c r="AB62" s="16"/>
      <c r="AC62" s="16"/>
    </row>
    <row r="63" ht="78.0" customHeight="1">
      <c r="A63" s="58">
        <v>45720.0</v>
      </c>
      <c r="B63" s="130" t="s">
        <v>689</v>
      </c>
      <c r="C63" s="7"/>
      <c r="D63" s="130"/>
      <c r="E63" s="9"/>
      <c r="F63" s="11"/>
      <c r="G63" s="11"/>
      <c r="H63" s="11"/>
      <c r="I63" s="11"/>
      <c r="J63" s="11"/>
      <c r="K63" s="13"/>
      <c r="L63" s="13"/>
      <c r="M63" s="13"/>
      <c r="N63" s="13"/>
      <c r="O63" s="13"/>
      <c r="P63" s="13"/>
      <c r="Q63" s="13"/>
      <c r="R63" s="13"/>
      <c r="S63" s="13"/>
      <c r="T63" s="13"/>
      <c r="U63" s="13"/>
      <c r="V63" s="13"/>
      <c r="W63" s="13"/>
      <c r="X63" s="16"/>
      <c r="Y63" s="16"/>
      <c r="Z63" s="16"/>
      <c r="AA63" s="16"/>
      <c r="AB63" s="16"/>
      <c r="AC63" s="16"/>
    </row>
    <row r="64" ht="78.0" customHeight="1">
      <c r="A64" s="58">
        <v>45720.0</v>
      </c>
      <c r="B64" s="130" t="s">
        <v>693</v>
      </c>
      <c r="C64" s="7"/>
      <c r="D64" s="130" t="s">
        <v>694</v>
      </c>
      <c r="E64" s="9" t="s">
        <v>697</v>
      </c>
      <c r="F64" s="11"/>
      <c r="G64" s="11"/>
      <c r="H64" s="11"/>
      <c r="I64" s="11"/>
      <c r="J64" s="11"/>
      <c r="K64" s="13"/>
      <c r="L64" s="13"/>
      <c r="M64" s="13"/>
      <c r="N64" s="13"/>
      <c r="O64" s="13"/>
      <c r="P64" s="13"/>
      <c r="Q64" s="13"/>
      <c r="R64" s="13"/>
      <c r="S64" s="13"/>
      <c r="T64" s="13"/>
      <c r="U64" s="13"/>
      <c r="V64" s="13"/>
      <c r="W64" s="13"/>
      <c r="X64" s="16"/>
      <c r="Y64" s="16"/>
      <c r="Z64" s="16"/>
      <c r="AA64" s="16"/>
      <c r="AB64" s="16"/>
      <c r="AC64" s="16"/>
    </row>
    <row r="65" ht="78.0" customHeight="1">
      <c r="A65" s="58">
        <v>45720.0</v>
      </c>
      <c r="B65" s="130" t="s">
        <v>702</v>
      </c>
      <c r="C65" s="7"/>
      <c r="D65" s="130" t="s">
        <v>703</v>
      </c>
      <c r="E65" s="73" t="s">
        <v>705</v>
      </c>
      <c r="F65" s="11"/>
      <c r="G65" s="11"/>
      <c r="H65" s="11"/>
      <c r="I65" s="11"/>
      <c r="J65" s="11"/>
      <c r="K65" s="13"/>
      <c r="L65" s="13"/>
      <c r="M65" s="13"/>
      <c r="N65" s="13"/>
      <c r="O65" s="13"/>
      <c r="P65" s="13"/>
      <c r="Q65" s="13"/>
      <c r="R65" s="13"/>
      <c r="S65" s="13"/>
      <c r="T65" s="13"/>
      <c r="U65" s="13"/>
      <c r="V65" s="13"/>
      <c r="W65" s="13"/>
      <c r="X65" s="16"/>
      <c r="Y65" s="16"/>
      <c r="Z65" s="16"/>
      <c r="AA65" s="16"/>
      <c r="AB65" s="16"/>
      <c r="AC65" s="16"/>
    </row>
    <row r="66" ht="78.0" customHeight="1">
      <c r="A66" s="58">
        <v>45720.0</v>
      </c>
      <c r="B66" s="130" t="s">
        <v>707</v>
      </c>
      <c r="C66" s="7"/>
      <c r="D66" s="130" t="s">
        <v>708</v>
      </c>
      <c r="E66" s="73" t="s">
        <v>710</v>
      </c>
      <c r="F66" s="11"/>
      <c r="G66" s="11"/>
      <c r="H66" s="11"/>
      <c r="I66" s="11"/>
      <c r="J66" s="11"/>
      <c r="K66" s="13"/>
      <c r="L66" s="13"/>
      <c r="M66" s="13"/>
      <c r="N66" s="13"/>
      <c r="O66" s="13"/>
      <c r="P66" s="13"/>
      <c r="Q66" s="13"/>
      <c r="R66" s="13"/>
      <c r="S66" s="13"/>
      <c r="T66" s="13"/>
      <c r="U66" s="13"/>
      <c r="V66" s="13"/>
      <c r="W66" s="13"/>
      <c r="X66" s="16"/>
      <c r="Y66" s="16"/>
      <c r="Z66" s="16"/>
      <c r="AA66" s="16"/>
      <c r="AB66" s="16"/>
      <c r="AC66" s="16"/>
    </row>
    <row r="67" ht="78.0" customHeight="1">
      <c r="A67" s="58">
        <v>45719.0</v>
      </c>
      <c r="B67" s="130" t="s">
        <v>714</v>
      </c>
      <c r="C67" s="200" t="s">
        <v>716</v>
      </c>
      <c r="D67" s="130" t="s">
        <v>717</v>
      </c>
      <c r="E67" s="73" t="s">
        <v>718</v>
      </c>
      <c r="F67" s="73" t="s">
        <v>720</v>
      </c>
      <c r="G67" s="11"/>
      <c r="H67" s="11"/>
      <c r="I67" s="11"/>
      <c r="J67" s="11"/>
      <c r="K67" s="13"/>
      <c r="L67" s="13"/>
      <c r="M67" s="13"/>
      <c r="N67" s="13"/>
      <c r="O67" s="13"/>
      <c r="P67" s="13"/>
      <c r="Q67" s="13"/>
      <c r="R67" s="13"/>
      <c r="S67" s="13"/>
      <c r="T67" s="13"/>
      <c r="U67" s="13"/>
      <c r="V67" s="13"/>
      <c r="W67" s="13"/>
      <c r="X67" s="16"/>
      <c r="Y67" s="16"/>
      <c r="Z67" s="16"/>
      <c r="AA67" s="16"/>
      <c r="AB67" s="16"/>
      <c r="AC67" s="16"/>
    </row>
    <row r="68" ht="78.0" customHeight="1">
      <c r="A68" s="58">
        <v>45719.0</v>
      </c>
      <c r="B68" s="130" t="s">
        <v>724</v>
      </c>
      <c r="C68" s="186"/>
      <c r="D68" s="130" t="s">
        <v>726</v>
      </c>
      <c r="E68" s="9" t="s">
        <v>729</v>
      </c>
      <c r="F68" s="73" t="s">
        <v>730</v>
      </c>
      <c r="G68" s="11"/>
      <c r="H68" s="11"/>
      <c r="I68" s="11"/>
      <c r="J68" s="11"/>
      <c r="K68" s="13"/>
      <c r="L68" s="13"/>
      <c r="M68" s="13"/>
      <c r="N68" s="13"/>
      <c r="O68" s="13"/>
      <c r="P68" s="13"/>
      <c r="Q68" s="13"/>
      <c r="R68" s="13"/>
      <c r="S68" s="13"/>
      <c r="T68" s="13"/>
      <c r="U68" s="13"/>
      <c r="V68" s="13"/>
      <c r="W68" s="13"/>
      <c r="X68" s="16"/>
      <c r="Y68" s="16"/>
      <c r="Z68" s="16"/>
      <c r="AA68" s="16"/>
      <c r="AB68" s="16"/>
      <c r="AC68" s="16"/>
    </row>
    <row r="69" ht="88.5" customHeight="1">
      <c r="A69" s="58">
        <v>45719.0</v>
      </c>
      <c r="B69" s="130" t="s">
        <v>740</v>
      </c>
      <c r="C69" s="7"/>
      <c r="D69" s="130"/>
      <c r="E69" s="73"/>
      <c r="F69" s="11"/>
      <c r="G69" s="11"/>
      <c r="H69" s="11"/>
      <c r="I69" s="11"/>
      <c r="J69" s="11"/>
      <c r="K69" s="13"/>
      <c r="L69" s="13"/>
      <c r="M69" s="13"/>
      <c r="N69" s="13"/>
      <c r="O69" s="13"/>
      <c r="P69" s="13"/>
      <c r="Q69" s="13"/>
      <c r="R69" s="13"/>
      <c r="S69" s="13"/>
      <c r="T69" s="13"/>
      <c r="U69" s="13"/>
      <c r="V69" s="13"/>
      <c r="W69" s="13"/>
      <c r="X69" s="16"/>
      <c r="Y69" s="16"/>
      <c r="Z69" s="16"/>
      <c r="AA69" s="16"/>
      <c r="AB69" s="16"/>
      <c r="AC69" s="16"/>
    </row>
    <row r="70" ht="78.0" customHeight="1">
      <c r="A70" s="58">
        <v>45719.0</v>
      </c>
      <c r="B70" s="130" t="s">
        <v>745</v>
      </c>
      <c r="C70" s="7"/>
      <c r="D70" s="130" t="s">
        <v>746</v>
      </c>
      <c r="E70" s="73" t="s">
        <v>748</v>
      </c>
      <c r="F70" s="11"/>
      <c r="G70" s="11"/>
      <c r="H70" s="11"/>
      <c r="I70" s="11"/>
      <c r="J70" s="11"/>
      <c r="K70" s="13"/>
      <c r="L70" s="13"/>
      <c r="M70" s="13"/>
      <c r="N70" s="13"/>
      <c r="O70" s="13"/>
      <c r="P70" s="13"/>
      <c r="Q70" s="13"/>
      <c r="R70" s="13"/>
      <c r="S70" s="13"/>
      <c r="T70" s="13"/>
      <c r="U70" s="13"/>
      <c r="V70" s="13"/>
      <c r="W70" s="13"/>
      <c r="X70" s="16"/>
      <c r="Y70" s="16"/>
      <c r="Z70" s="16"/>
      <c r="AA70" s="16"/>
      <c r="AB70" s="16"/>
      <c r="AC70" s="16"/>
    </row>
    <row r="71" ht="78.0" customHeight="1">
      <c r="A71" s="58">
        <v>45718.0</v>
      </c>
      <c r="B71" s="130" t="s">
        <v>754</v>
      </c>
      <c r="C71" s="7"/>
      <c r="D71" s="130" t="s">
        <v>755</v>
      </c>
      <c r="E71" s="73" t="s">
        <v>756</v>
      </c>
      <c r="F71" s="11"/>
      <c r="G71" s="11"/>
      <c r="H71" s="11"/>
      <c r="I71" s="11"/>
      <c r="J71" s="11"/>
      <c r="K71" s="13"/>
      <c r="L71" s="13"/>
      <c r="M71" s="13"/>
      <c r="N71" s="13"/>
      <c r="O71" s="13"/>
      <c r="P71" s="13"/>
      <c r="Q71" s="13"/>
      <c r="R71" s="13"/>
      <c r="S71" s="13"/>
      <c r="T71" s="13"/>
      <c r="U71" s="13"/>
      <c r="V71" s="13"/>
      <c r="W71" s="13"/>
      <c r="X71" s="16"/>
      <c r="Y71" s="16"/>
      <c r="Z71" s="16"/>
      <c r="AA71" s="16"/>
      <c r="AB71" s="16"/>
      <c r="AC71" s="16"/>
    </row>
    <row r="72" ht="78.0" customHeight="1">
      <c r="A72" s="58">
        <v>45718.0</v>
      </c>
      <c r="B72" s="130" t="s">
        <v>759</v>
      </c>
      <c r="C72" s="7"/>
      <c r="D72" s="130" t="s">
        <v>760</v>
      </c>
      <c r="E72" s="73"/>
      <c r="F72" s="11"/>
      <c r="G72" s="11"/>
      <c r="H72" s="11"/>
      <c r="I72" s="11"/>
      <c r="J72" s="11"/>
      <c r="K72" s="13"/>
      <c r="L72" s="13"/>
      <c r="M72" s="13"/>
      <c r="N72" s="13"/>
      <c r="O72" s="13"/>
      <c r="P72" s="13"/>
      <c r="Q72" s="13"/>
      <c r="R72" s="13"/>
      <c r="S72" s="13"/>
      <c r="T72" s="13"/>
      <c r="U72" s="13"/>
      <c r="V72" s="13"/>
      <c r="W72" s="13"/>
      <c r="X72" s="16"/>
      <c r="Y72" s="16"/>
      <c r="Z72" s="16"/>
      <c r="AA72" s="16"/>
      <c r="AB72" s="16"/>
      <c r="AC72" s="16"/>
    </row>
    <row r="73" ht="78.0" customHeight="1">
      <c r="A73" s="58">
        <v>45718.0</v>
      </c>
      <c r="B73" s="130" t="s">
        <v>764</v>
      </c>
      <c r="C73" s="7"/>
      <c r="D73" s="130" t="s">
        <v>765</v>
      </c>
      <c r="E73" s="73" t="s">
        <v>766</v>
      </c>
      <c r="F73" s="11"/>
      <c r="G73" s="11"/>
      <c r="H73" s="11"/>
      <c r="I73" s="11"/>
      <c r="J73" s="11"/>
      <c r="K73" s="13"/>
      <c r="L73" s="13"/>
      <c r="M73" s="13"/>
      <c r="N73" s="13"/>
      <c r="O73" s="13"/>
      <c r="P73" s="13"/>
      <c r="Q73" s="13"/>
      <c r="R73" s="13"/>
      <c r="S73" s="13"/>
      <c r="T73" s="13"/>
      <c r="U73" s="13"/>
      <c r="V73" s="13"/>
      <c r="W73" s="13"/>
      <c r="X73" s="16"/>
      <c r="Y73" s="16"/>
      <c r="Z73" s="16"/>
      <c r="AA73" s="16"/>
      <c r="AB73" s="16"/>
      <c r="AC73" s="16"/>
    </row>
    <row r="74" ht="78.0" customHeight="1">
      <c r="A74" s="58">
        <v>45718.0</v>
      </c>
      <c r="B74" s="130" t="s">
        <v>769</v>
      </c>
      <c r="C74" s="7"/>
      <c r="D74" s="130" t="s">
        <v>772</v>
      </c>
      <c r="E74" s="73"/>
      <c r="F74" s="11"/>
      <c r="G74" s="11"/>
      <c r="H74" s="11"/>
      <c r="I74" s="11"/>
      <c r="J74" s="11"/>
      <c r="K74" s="13"/>
      <c r="L74" s="13"/>
      <c r="M74" s="13"/>
      <c r="N74" s="13"/>
      <c r="O74" s="13"/>
      <c r="P74" s="13"/>
      <c r="Q74" s="13"/>
      <c r="R74" s="13"/>
      <c r="S74" s="13"/>
      <c r="T74" s="13"/>
      <c r="U74" s="13"/>
      <c r="V74" s="13"/>
      <c r="W74" s="13"/>
      <c r="X74" s="16"/>
      <c r="Y74" s="16"/>
      <c r="Z74" s="16"/>
      <c r="AA74" s="16"/>
      <c r="AB74" s="16"/>
      <c r="AC74" s="16"/>
    </row>
    <row r="75" ht="126.0" customHeight="1">
      <c r="A75" s="58">
        <v>45717.0</v>
      </c>
      <c r="B75" s="130" t="s">
        <v>781</v>
      </c>
      <c r="C75" s="7"/>
      <c r="D75" s="130" t="s">
        <v>782</v>
      </c>
      <c r="E75" s="73"/>
      <c r="F75" s="11"/>
      <c r="G75" s="11"/>
      <c r="H75" s="11"/>
      <c r="I75" s="11"/>
      <c r="J75" s="11"/>
      <c r="K75" s="13"/>
      <c r="L75" s="13"/>
      <c r="M75" s="13"/>
      <c r="N75" s="13"/>
      <c r="O75" s="13"/>
      <c r="P75" s="13"/>
      <c r="Q75" s="13"/>
      <c r="R75" s="13"/>
      <c r="S75" s="13"/>
      <c r="T75" s="13"/>
      <c r="U75" s="13"/>
      <c r="V75" s="13"/>
      <c r="W75" s="13"/>
      <c r="X75" s="16"/>
      <c r="Y75" s="16"/>
      <c r="Z75" s="16"/>
      <c r="AA75" s="16"/>
      <c r="AB75" s="16"/>
      <c r="AC75" s="16"/>
    </row>
    <row r="76" ht="78.0" customHeight="1">
      <c r="A76" s="58">
        <v>45717.0</v>
      </c>
      <c r="B76" s="130" t="s">
        <v>788</v>
      </c>
      <c r="C76" s="7"/>
      <c r="D76" s="130" t="s">
        <v>791</v>
      </c>
      <c r="E76" s="73"/>
      <c r="F76" s="11"/>
      <c r="G76" s="11"/>
      <c r="H76" s="11"/>
      <c r="I76" s="11"/>
      <c r="J76" s="11"/>
      <c r="K76" s="13"/>
      <c r="L76" s="13"/>
      <c r="M76" s="13"/>
      <c r="N76" s="13"/>
      <c r="O76" s="13"/>
      <c r="P76" s="13"/>
      <c r="Q76" s="13"/>
      <c r="R76" s="13"/>
      <c r="S76" s="13"/>
      <c r="T76" s="13"/>
      <c r="U76" s="13"/>
      <c r="V76" s="13"/>
      <c r="W76" s="13"/>
      <c r="X76" s="16"/>
      <c r="Y76" s="16"/>
      <c r="Z76" s="16"/>
      <c r="AA76" s="16"/>
      <c r="AB76" s="16"/>
      <c r="AC76" s="16"/>
    </row>
    <row r="77" ht="78.0" customHeight="1">
      <c r="A77" s="58">
        <v>45717.0</v>
      </c>
      <c r="B77" s="130" t="s">
        <v>795</v>
      </c>
      <c r="C77" s="7"/>
      <c r="D77" s="130"/>
      <c r="E77" s="73"/>
      <c r="F77" s="11"/>
      <c r="G77" s="11"/>
      <c r="H77" s="11"/>
      <c r="I77" s="11"/>
      <c r="J77" s="11"/>
      <c r="K77" s="13"/>
      <c r="L77" s="13"/>
      <c r="M77" s="13"/>
      <c r="N77" s="13"/>
      <c r="O77" s="13"/>
      <c r="P77" s="13"/>
      <c r="Q77" s="13"/>
      <c r="R77" s="13"/>
      <c r="S77" s="13"/>
      <c r="T77" s="13"/>
      <c r="U77" s="13"/>
      <c r="V77" s="13"/>
      <c r="W77" s="13"/>
      <c r="X77" s="16"/>
      <c r="Y77" s="16"/>
      <c r="Z77" s="16"/>
      <c r="AA77" s="16"/>
      <c r="AB77" s="16"/>
      <c r="AC77" s="16"/>
    </row>
    <row r="78" ht="78.0" customHeight="1">
      <c r="A78" s="58">
        <v>45716.0</v>
      </c>
      <c r="B78" s="130" t="s">
        <v>800</v>
      </c>
      <c r="C78" s="7"/>
      <c r="D78" s="130" t="s">
        <v>802</v>
      </c>
      <c r="E78" s="73"/>
      <c r="F78" s="11"/>
      <c r="G78" s="11"/>
      <c r="H78" s="11"/>
      <c r="I78" s="11"/>
      <c r="J78" s="11"/>
      <c r="K78" s="13"/>
      <c r="L78" s="13"/>
      <c r="M78" s="13"/>
      <c r="N78" s="13"/>
      <c r="O78" s="13"/>
      <c r="P78" s="13"/>
      <c r="Q78" s="13"/>
      <c r="R78" s="13"/>
      <c r="S78" s="13"/>
      <c r="T78" s="13"/>
      <c r="U78" s="13"/>
      <c r="V78" s="13"/>
      <c r="W78" s="13"/>
      <c r="X78" s="16"/>
      <c r="Y78" s="16"/>
      <c r="Z78" s="16"/>
      <c r="AA78" s="16"/>
      <c r="AB78" s="16"/>
      <c r="AC78" s="16"/>
    </row>
    <row r="79" ht="78.0" customHeight="1">
      <c r="A79" s="58">
        <v>45716.0</v>
      </c>
      <c r="B79" s="130" t="s">
        <v>808</v>
      </c>
      <c r="C79" s="7"/>
      <c r="D79" s="9" t="s">
        <v>717</v>
      </c>
      <c r="E79" s="73"/>
      <c r="F79" s="11"/>
      <c r="G79" s="11"/>
      <c r="H79" s="11"/>
      <c r="I79" s="11"/>
      <c r="J79" s="11"/>
      <c r="K79" s="13"/>
      <c r="L79" s="13"/>
      <c r="M79" s="13"/>
      <c r="N79" s="13"/>
      <c r="O79" s="13"/>
      <c r="P79" s="13"/>
      <c r="Q79" s="13"/>
      <c r="R79" s="13"/>
      <c r="S79" s="13"/>
      <c r="T79" s="13"/>
      <c r="U79" s="13"/>
      <c r="V79" s="13"/>
      <c r="W79" s="13"/>
      <c r="X79" s="16"/>
      <c r="Y79" s="16"/>
      <c r="Z79" s="16"/>
      <c r="AA79" s="16"/>
      <c r="AB79" s="16"/>
      <c r="AC79" s="16"/>
    </row>
    <row r="80" ht="78.0" customHeight="1">
      <c r="A80" s="58">
        <v>45716.0</v>
      </c>
      <c r="B80" s="130" t="s">
        <v>813</v>
      </c>
      <c r="C80" s="7"/>
      <c r="D80" s="9" t="s">
        <v>717</v>
      </c>
      <c r="E80" s="73"/>
      <c r="F80" s="11"/>
      <c r="G80" s="11"/>
      <c r="H80" s="11"/>
      <c r="I80" s="11"/>
      <c r="J80" s="11"/>
      <c r="K80" s="13"/>
      <c r="L80" s="13"/>
      <c r="M80" s="13"/>
      <c r="N80" s="13"/>
      <c r="O80" s="13"/>
      <c r="P80" s="13"/>
      <c r="Q80" s="13"/>
      <c r="R80" s="13"/>
      <c r="S80" s="13"/>
      <c r="T80" s="13"/>
      <c r="U80" s="13"/>
      <c r="V80" s="13"/>
      <c r="W80" s="13"/>
      <c r="X80" s="16"/>
      <c r="Y80" s="16"/>
      <c r="Z80" s="16"/>
      <c r="AA80" s="16"/>
      <c r="AB80" s="16"/>
      <c r="AC80" s="16"/>
    </row>
    <row r="81" ht="78.0" customHeight="1">
      <c r="A81" s="58">
        <v>45716.0</v>
      </c>
      <c r="B81" s="130" t="s">
        <v>817</v>
      </c>
      <c r="C81" s="7"/>
      <c r="D81" s="9" t="s">
        <v>819</v>
      </c>
      <c r="E81" s="73"/>
      <c r="F81" s="11"/>
      <c r="G81" s="11"/>
      <c r="H81" s="11"/>
      <c r="I81" s="11"/>
      <c r="J81" s="11"/>
      <c r="K81" s="13"/>
      <c r="L81" s="13"/>
      <c r="M81" s="13"/>
      <c r="N81" s="13"/>
      <c r="O81" s="13"/>
      <c r="P81" s="13"/>
      <c r="Q81" s="13"/>
      <c r="R81" s="13"/>
      <c r="S81" s="13"/>
      <c r="T81" s="13"/>
      <c r="U81" s="13"/>
      <c r="V81" s="13"/>
      <c r="W81" s="13"/>
      <c r="X81" s="16"/>
      <c r="Y81" s="16"/>
      <c r="Z81" s="16"/>
      <c r="AA81" s="16"/>
      <c r="AB81" s="16"/>
      <c r="AC81" s="16"/>
    </row>
    <row r="82" ht="78.0" customHeight="1">
      <c r="A82" s="58">
        <v>45716.0</v>
      </c>
      <c r="B82" s="130" t="s">
        <v>821</v>
      </c>
      <c r="C82" s="7"/>
      <c r="D82" s="9" t="s">
        <v>823</v>
      </c>
      <c r="E82" s="73"/>
      <c r="F82" s="11"/>
      <c r="G82" s="11"/>
      <c r="H82" s="11"/>
      <c r="I82" s="11"/>
      <c r="J82" s="11"/>
      <c r="K82" s="13"/>
      <c r="L82" s="13"/>
      <c r="M82" s="13"/>
      <c r="N82" s="13"/>
      <c r="O82" s="13"/>
      <c r="P82" s="13"/>
      <c r="Q82" s="13"/>
      <c r="R82" s="13"/>
      <c r="S82" s="13"/>
      <c r="T82" s="13"/>
      <c r="U82" s="13"/>
      <c r="V82" s="13"/>
      <c r="W82" s="13"/>
      <c r="X82" s="16"/>
      <c r="Y82" s="16"/>
      <c r="Z82" s="16"/>
      <c r="AA82" s="16"/>
      <c r="AB82" s="16"/>
      <c r="AC82" s="16"/>
    </row>
    <row r="83" ht="78.0" customHeight="1">
      <c r="A83" s="58">
        <v>45716.0</v>
      </c>
      <c r="B83" s="130" t="s">
        <v>825</v>
      </c>
      <c r="C83" s="7"/>
      <c r="D83" s="9" t="s">
        <v>826</v>
      </c>
      <c r="E83" s="9" t="s">
        <v>827</v>
      </c>
      <c r="F83" s="11"/>
      <c r="G83" s="11"/>
      <c r="H83" s="11"/>
      <c r="I83" s="11"/>
      <c r="J83" s="11"/>
      <c r="K83" s="13"/>
      <c r="L83" s="13"/>
      <c r="M83" s="13"/>
      <c r="N83" s="13"/>
      <c r="O83" s="13"/>
      <c r="P83" s="13"/>
      <c r="Q83" s="13"/>
      <c r="R83" s="13"/>
      <c r="S83" s="13"/>
      <c r="T83" s="13"/>
      <c r="U83" s="13"/>
      <c r="V83" s="13"/>
      <c r="W83" s="13"/>
      <c r="X83" s="16"/>
      <c r="Y83" s="16"/>
      <c r="Z83" s="16"/>
      <c r="AA83" s="16"/>
      <c r="AB83" s="16"/>
      <c r="AC83" s="16"/>
    </row>
    <row r="84" ht="99.75" customHeight="1">
      <c r="A84" s="58">
        <v>45715.0</v>
      </c>
      <c r="B84" s="130" t="s">
        <v>833</v>
      </c>
      <c r="C84" s="7"/>
      <c r="D84" s="9" t="s">
        <v>834</v>
      </c>
      <c r="E84" s="11"/>
      <c r="F84" s="11"/>
      <c r="G84" s="11"/>
      <c r="H84" s="11"/>
      <c r="I84" s="11"/>
      <c r="J84" s="11"/>
      <c r="K84" s="13"/>
      <c r="L84" s="13"/>
      <c r="M84" s="13"/>
      <c r="N84" s="13"/>
      <c r="O84" s="13"/>
      <c r="P84" s="13"/>
      <c r="Q84" s="13"/>
      <c r="R84" s="13"/>
      <c r="S84" s="13"/>
      <c r="T84" s="13"/>
      <c r="U84" s="13"/>
      <c r="V84" s="13"/>
      <c r="W84" s="13"/>
      <c r="X84" s="16"/>
      <c r="Y84" s="16"/>
      <c r="Z84" s="16"/>
      <c r="AA84" s="16"/>
      <c r="AB84" s="16"/>
      <c r="AC84" s="16"/>
    </row>
    <row r="85" ht="78.0" customHeight="1">
      <c r="A85" s="58">
        <v>45715.0</v>
      </c>
      <c r="B85" s="130" t="s">
        <v>838</v>
      </c>
      <c r="C85" s="7"/>
      <c r="D85" s="9"/>
      <c r="E85" s="11"/>
      <c r="F85" s="11"/>
      <c r="G85" s="11"/>
      <c r="H85" s="11"/>
      <c r="I85" s="11"/>
      <c r="J85" s="11"/>
      <c r="K85" s="13"/>
      <c r="L85" s="13"/>
      <c r="M85" s="13"/>
      <c r="N85" s="13"/>
      <c r="O85" s="13"/>
      <c r="P85" s="13"/>
      <c r="Q85" s="13"/>
      <c r="R85" s="13"/>
      <c r="S85" s="13"/>
      <c r="T85" s="13"/>
      <c r="U85" s="13"/>
      <c r="V85" s="13"/>
      <c r="W85" s="13"/>
      <c r="X85" s="16"/>
      <c r="Y85" s="16"/>
      <c r="Z85" s="16"/>
      <c r="AA85" s="16"/>
      <c r="AB85" s="16"/>
      <c r="AC85" s="16"/>
    </row>
    <row r="86" ht="78.0" customHeight="1">
      <c r="A86" s="58">
        <v>45712.0</v>
      </c>
      <c r="B86" s="130" t="s">
        <v>841</v>
      </c>
      <c r="C86" s="7"/>
      <c r="D86" s="9" t="s">
        <v>844</v>
      </c>
      <c r="E86" s="11"/>
      <c r="F86" s="11"/>
      <c r="G86" s="11"/>
      <c r="H86" s="11"/>
      <c r="I86" s="11"/>
      <c r="J86" s="11"/>
      <c r="K86" s="13"/>
      <c r="L86" s="13"/>
      <c r="M86" s="13"/>
      <c r="N86" s="13"/>
      <c r="O86" s="13"/>
      <c r="P86" s="13"/>
      <c r="Q86" s="13"/>
      <c r="R86" s="13"/>
      <c r="S86" s="13"/>
      <c r="T86" s="13"/>
      <c r="U86" s="13"/>
      <c r="V86" s="13"/>
      <c r="W86" s="13"/>
      <c r="X86" s="16"/>
      <c r="Y86" s="16"/>
      <c r="Z86" s="16"/>
      <c r="AA86" s="16"/>
      <c r="AB86" s="16"/>
      <c r="AC86" s="16"/>
    </row>
    <row r="87" ht="78.0" customHeight="1">
      <c r="A87" s="58">
        <v>45712.0</v>
      </c>
      <c r="B87" s="130" t="s">
        <v>848</v>
      </c>
      <c r="C87" s="7"/>
      <c r="D87" s="239"/>
      <c r="E87" s="11"/>
      <c r="F87" s="11"/>
      <c r="G87" s="11"/>
      <c r="H87" s="11"/>
      <c r="I87" s="11"/>
      <c r="J87" s="11"/>
      <c r="K87" s="13"/>
      <c r="L87" s="13"/>
      <c r="M87" s="13"/>
      <c r="N87" s="13"/>
      <c r="O87" s="13"/>
      <c r="P87" s="13"/>
      <c r="Q87" s="13"/>
      <c r="R87" s="13"/>
      <c r="S87" s="13"/>
      <c r="T87" s="13"/>
      <c r="U87" s="13"/>
      <c r="V87" s="13"/>
      <c r="W87" s="13"/>
      <c r="X87" s="16"/>
      <c r="Y87" s="16"/>
      <c r="Z87" s="16"/>
      <c r="AA87" s="16"/>
      <c r="AB87" s="16"/>
      <c r="AC87" s="16"/>
    </row>
    <row r="88" ht="78.0" customHeight="1">
      <c r="A88" s="58">
        <v>45712.0</v>
      </c>
      <c r="B88" s="130" t="s">
        <v>852</v>
      </c>
      <c r="C88" s="7"/>
      <c r="D88" s="9" t="s">
        <v>853</v>
      </c>
      <c r="E88" s="9" t="s">
        <v>854</v>
      </c>
      <c r="F88" s="11"/>
      <c r="G88" s="11"/>
      <c r="H88" s="11"/>
      <c r="I88" s="11"/>
      <c r="J88" s="11"/>
      <c r="K88" s="13"/>
      <c r="L88" s="13"/>
      <c r="M88" s="13"/>
      <c r="N88" s="13"/>
      <c r="O88" s="13"/>
      <c r="P88" s="13"/>
      <c r="Q88" s="13"/>
      <c r="R88" s="13"/>
      <c r="S88" s="13"/>
      <c r="T88" s="13"/>
      <c r="U88" s="13"/>
      <c r="V88" s="13"/>
      <c r="W88" s="13"/>
      <c r="X88" s="16"/>
      <c r="Y88" s="16"/>
      <c r="Z88" s="16"/>
      <c r="AA88" s="16"/>
      <c r="AB88" s="16"/>
      <c r="AC88" s="16"/>
    </row>
    <row r="89" ht="78.0" customHeight="1">
      <c r="A89" s="58">
        <v>45711.0</v>
      </c>
      <c r="B89" s="130" t="s">
        <v>858</v>
      </c>
      <c r="C89" s="7"/>
      <c r="D89" s="9" t="s">
        <v>859</v>
      </c>
      <c r="E89" s="9" t="s">
        <v>861</v>
      </c>
      <c r="F89" s="11"/>
      <c r="G89" s="11"/>
      <c r="H89" s="11"/>
      <c r="I89" s="11"/>
      <c r="J89" s="11"/>
      <c r="K89" s="13"/>
      <c r="L89" s="13"/>
      <c r="M89" s="13"/>
      <c r="N89" s="13"/>
      <c r="O89" s="13"/>
      <c r="P89" s="13"/>
      <c r="Q89" s="13"/>
      <c r="R89" s="13"/>
      <c r="S89" s="13"/>
      <c r="T89" s="13"/>
      <c r="U89" s="13"/>
      <c r="V89" s="13"/>
      <c r="W89" s="13"/>
      <c r="X89" s="16"/>
      <c r="Y89" s="16"/>
      <c r="Z89" s="16"/>
      <c r="AA89" s="16"/>
      <c r="AB89" s="16"/>
      <c r="AC89" s="16"/>
    </row>
    <row r="90" ht="89.25" customHeight="1">
      <c r="A90" s="58">
        <v>45711.0</v>
      </c>
      <c r="B90" s="243" t="s">
        <v>864</v>
      </c>
      <c r="C90" s="7"/>
      <c r="D90" s="9" t="s">
        <v>865</v>
      </c>
      <c r="E90" s="9"/>
      <c r="F90" s="73"/>
      <c r="G90" s="11"/>
      <c r="H90" s="11"/>
      <c r="I90" s="11"/>
      <c r="J90" s="11"/>
      <c r="K90" s="13"/>
      <c r="L90" s="13"/>
      <c r="M90" s="13"/>
      <c r="N90" s="13"/>
      <c r="O90" s="13"/>
      <c r="P90" s="13"/>
      <c r="Q90" s="13"/>
      <c r="R90" s="13"/>
      <c r="S90" s="13"/>
      <c r="T90" s="13"/>
      <c r="U90" s="13"/>
      <c r="V90" s="13"/>
      <c r="W90" s="13"/>
      <c r="X90" s="16"/>
      <c r="Y90" s="16"/>
      <c r="Z90" s="16"/>
      <c r="AA90" s="16"/>
      <c r="AB90" s="16"/>
      <c r="AC90" s="16"/>
    </row>
    <row r="91" ht="78.0" customHeight="1">
      <c r="A91" s="58">
        <v>45711.0</v>
      </c>
      <c r="B91" s="243" t="s">
        <v>868</v>
      </c>
      <c r="C91" s="9" t="s">
        <v>869</v>
      </c>
      <c r="D91" s="9" t="s">
        <v>871</v>
      </c>
      <c r="E91" s="9" t="s">
        <v>872</v>
      </c>
      <c r="F91" s="9" t="s">
        <v>873</v>
      </c>
      <c r="G91" s="9" t="s">
        <v>875</v>
      </c>
      <c r="H91" s="73" t="s">
        <v>876</v>
      </c>
      <c r="I91" s="11"/>
      <c r="J91" s="11"/>
      <c r="K91" s="13"/>
      <c r="L91" s="13"/>
      <c r="M91" s="13"/>
      <c r="N91" s="13"/>
      <c r="O91" s="13"/>
      <c r="P91" s="13"/>
      <c r="Q91" s="13"/>
      <c r="R91" s="13"/>
      <c r="S91" s="13"/>
      <c r="T91" s="13"/>
      <c r="U91" s="13"/>
      <c r="V91" s="13"/>
      <c r="W91" s="13"/>
      <c r="X91" s="16"/>
      <c r="Y91" s="16"/>
      <c r="Z91" s="16"/>
      <c r="AA91" s="16"/>
      <c r="AB91" s="16"/>
      <c r="AC91" s="16"/>
    </row>
    <row r="92" ht="78.0" customHeight="1">
      <c r="A92" s="58">
        <v>45710.0</v>
      </c>
      <c r="B92" s="132" t="s">
        <v>877</v>
      </c>
      <c r="C92" s="7"/>
      <c r="D92" s="9" t="s">
        <v>879</v>
      </c>
      <c r="E92" s="11"/>
      <c r="F92" s="11"/>
      <c r="G92" s="11"/>
      <c r="H92" s="11"/>
      <c r="I92" s="11"/>
      <c r="J92" s="11"/>
      <c r="K92" s="13"/>
      <c r="L92" s="13"/>
      <c r="M92" s="13"/>
      <c r="N92" s="13"/>
      <c r="O92" s="13"/>
      <c r="P92" s="13"/>
      <c r="Q92" s="13"/>
      <c r="R92" s="13"/>
      <c r="S92" s="13"/>
      <c r="T92" s="13"/>
      <c r="U92" s="13"/>
      <c r="V92" s="13"/>
      <c r="W92" s="13"/>
      <c r="X92" s="16"/>
      <c r="Y92" s="16"/>
      <c r="Z92" s="16"/>
      <c r="AA92" s="16"/>
      <c r="AB92" s="16"/>
      <c r="AC92" s="16"/>
    </row>
    <row r="93" ht="78.0" customHeight="1">
      <c r="A93" s="58">
        <v>45709.0</v>
      </c>
      <c r="B93" s="132" t="s">
        <v>886</v>
      </c>
      <c r="C93" s="7"/>
      <c r="D93" s="9"/>
      <c r="E93" s="11"/>
      <c r="F93" s="11"/>
      <c r="G93" s="11"/>
      <c r="H93" s="11"/>
      <c r="I93" s="11"/>
      <c r="J93" s="11"/>
      <c r="K93" s="13"/>
      <c r="L93" s="13"/>
      <c r="M93" s="13"/>
      <c r="N93" s="13"/>
      <c r="O93" s="13"/>
      <c r="P93" s="13"/>
      <c r="Q93" s="13"/>
      <c r="R93" s="13"/>
      <c r="S93" s="13"/>
      <c r="T93" s="13"/>
      <c r="U93" s="13"/>
      <c r="V93" s="13"/>
      <c r="W93" s="13"/>
      <c r="X93" s="16"/>
      <c r="Y93" s="16"/>
      <c r="Z93" s="16"/>
      <c r="AA93" s="16"/>
      <c r="AB93" s="16"/>
      <c r="AC93" s="16"/>
    </row>
    <row r="94" ht="78.0" customHeight="1">
      <c r="A94" s="58">
        <v>45709.0</v>
      </c>
      <c r="B94" s="132" t="s">
        <v>891</v>
      </c>
      <c r="C94" s="7"/>
      <c r="D94" s="9" t="s">
        <v>892</v>
      </c>
      <c r="E94" s="11"/>
      <c r="F94" s="11"/>
      <c r="G94" s="11"/>
      <c r="H94" s="11"/>
      <c r="I94" s="11"/>
      <c r="J94" s="11"/>
      <c r="K94" s="13"/>
      <c r="L94" s="13"/>
      <c r="M94" s="13"/>
      <c r="N94" s="13"/>
      <c r="O94" s="13"/>
      <c r="P94" s="13"/>
      <c r="Q94" s="13"/>
      <c r="R94" s="13"/>
      <c r="S94" s="13"/>
      <c r="T94" s="13"/>
      <c r="U94" s="13"/>
      <c r="V94" s="13"/>
      <c r="W94" s="13"/>
      <c r="X94" s="16"/>
      <c r="Y94" s="16"/>
      <c r="Z94" s="16"/>
      <c r="AA94" s="16"/>
      <c r="AB94" s="16"/>
      <c r="AC94" s="16"/>
    </row>
    <row r="95" ht="78.0" customHeight="1">
      <c r="A95" s="58">
        <v>45708.0</v>
      </c>
      <c r="B95" s="132" t="s">
        <v>898</v>
      </c>
      <c r="C95" s="7"/>
      <c r="D95" s="239"/>
      <c r="E95" s="11"/>
      <c r="F95" s="11"/>
      <c r="G95" s="11"/>
      <c r="H95" s="11"/>
      <c r="I95" s="11"/>
      <c r="J95" s="11"/>
      <c r="K95" s="13"/>
      <c r="L95" s="13"/>
      <c r="M95" s="13"/>
      <c r="N95" s="13"/>
      <c r="O95" s="13"/>
      <c r="P95" s="13"/>
      <c r="Q95" s="13"/>
      <c r="R95" s="13"/>
      <c r="S95" s="13"/>
      <c r="T95" s="13"/>
      <c r="U95" s="13"/>
      <c r="V95" s="13"/>
      <c r="W95" s="13"/>
      <c r="X95" s="16"/>
      <c r="Y95" s="16"/>
      <c r="Z95" s="16"/>
      <c r="AA95" s="16"/>
      <c r="AB95" s="16"/>
      <c r="AC95" s="16"/>
    </row>
    <row r="96" ht="78.0" customHeight="1">
      <c r="A96" s="58">
        <v>45708.0</v>
      </c>
      <c r="B96" s="132" t="s">
        <v>901</v>
      </c>
      <c r="C96" s="7"/>
      <c r="D96" s="9"/>
      <c r="E96" s="11"/>
      <c r="F96" s="11"/>
      <c r="G96" s="11"/>
      <c r="H96" s="11"/>
      <c r="I96" s="11"/>
      <c r="J96" s="11"/>
      <c r="K96" s="13"/>
      <c r="L96" s="13"/>
      <c r="M96" s="13"/>
      <c r="N96" s="13"/>
      <c r="O96" s="13"/>
      <c r="P96" s="13"/>
      <c r="Q96" s="13"/>
      <c r="R96" s="13"/>
      <c r="S96" s="13"/>
      <c r="T96" s="13"/>
      <c r="U96" s="13"/>
      <c r="V96" s="13"/>
      <c r="W96" s="13"/>
      <c r="X96" s="16"/>
      <c r="Y96" s="16"/>
      <c r="Z96" s="16"/>
      <c r="AA96" s="16"/>
      <c r="AB96" s="16"/>
      <c r="AC96" s="16"/>
    </row>
    <row r="97" ht="78.0" customHeight="1">
      <c r="A97" s="58">
        <v>45708.0</v>
      </c>
      <c r="B97" s="132" t="s">
        <v>907</v>
      </c>
      <c r="C97" s="7"/>
      <c r="D97" s="9" t="s">
        <v>909</v>
      </c>
      <c r="E97" s="11"/>
      <c r="F97" s="11"/>
      <c r="G97" s="11"/>
      <c r="H97" s="11"/>
      <c r="I97" s="11"/>
      <c r="J97" s="11"/>
      <c r="K97" s="13"/>
      <c r="L97" s="13"/>
      <c r="M97" s="13"/>
      <c r="N97" s="13"/>
      <c r="O97" s="13"/>
      <c r="P97" s="13"/>
      <c r="Q97" s="13"/>
      <c r="R97" s="13"/>
      <c r="S97" s="13"/>
      <c r="T97" s="13"/>
      <c r="U97" s="13"/>
      <c r="V97" s="13"/>
      <c r="W97" s="13"/>
      <c r="X97" s="16"/>
      <c r="Y97" s="16"/>
      <c r="Z97" s="16"/>
      <c r="AA97" s="16"/>
      <c r="AB97" s="16"/>
      <c r="AC97" s="16"/>
    </row>
    <row r="98" ht="78.0" customHeight="1">
      <c r="A98" s="58">
        <v>45708.0</v>
      </c>
      <c r="B98" s="132" t="s">
        <v>919</v>
      </c>
      <c r="C98" s="7"/>
      <c r="D98" s="9" t="s">
        <v>920</v>
      </c>
      <c r="E98" s="11"/>
      <c r="F98" s="11"/>
      <c r="G98" s="11"/>
      <c r="H98" s="11"/>
      <c r="I98" s="11"/>
      <c r="J98" s="11"/>
      <c r="K98" s="13"/>
      <c r="L98" s="13"/>
      <c r="M98" s="13"/>
      <c r="N98" s="13"/>
      <c r="O98" s="13"/>
      <c r="P98" s="13"/>
      <c r="Q98" s="13"/>
      <c r="R98" s="13"/>
      <c r="S98" s="13"/>
      <c r="T98" s="13"/>
      <c r="U98" s="13"/>
      <c r="V98" s="13"/>
      <c r="W98" s="13"/>
      <c r="X98" s="16"/>
      <c r="Y98" s="16"/>
      <c r="Z98" s="16"/>
      <c r="AA98" s="16"/>
      <c r="AB98" s="16"/>
      <c r="AC98" s="16"/>
    </row>
    <row r="99" ht="78.0" customHeight="1">
      <c r="A99" s="58">
        <v>45707.0</v>
      </c>
      <c r="B99" s="243" t="s">
        <v>924</v>
      </c>
      <c r="C99" s="7"/>
      <c r="D99" s="9" t="s">
        <v>926</v>
      </c>
      <c r="E99" s="11"/>
      <c r="F99" s="11"/>
      <c r="G99" s="11"/>
      <c r="H99" s="11"/>
      <c r="I99" s="11"/>
      <c r="J99" s="11"/>
      <c r="K99" s="13"/>
      <c r="L99" s="13"/>
      <c r="M99" s="13"/>
      <c r="N99" s="13"/>
      <c r="O99" s="13"/>
      <c r="P99" s="13"/>
      <c r="Q99" s="13"/>
      <c r="R99" s="13"/>
      <c r="S99" s="13"/>
      <c r="T99" s="13"/>
      <c r="U99" s="13"/>
      <c r="V99" s="13"/>
      <c r="W99" s="13"/>
      <c r="X99" s="16"/>
      <c r="Y99" s="16"/>
      <c r="Z99" s="16"/>
      <c r="AA99" s="16"/>
      <c r="AB99" s="16"/>
      <c r="AC99" s="16"/>
    </row>
    <row r="100" ht="78.0" customHeight="1">
      <c r="A100" s="58">
        <v>45707.0</v>
      </c>
      <c r="B100" s="251" t="s">
        <v>933</v>
      </c>
      <c r="C100" s="7"/>
      <c r="D100" s="9" t="s">
        <v>935</v>
      </c>
      <c r="E100" s="11"/>
      <c r="F100" s="11"/>
      <c r="G100" s="11"/>
      <c r="H100" s="11"/>
      <c r="I100" s="11"/>
      <c r="J100" s="11"/>
      <c r="K100" s="13"/>
      <c r="L100" s="13"/>
      <c r="M100" s="13"/>
      <c r="N100" s="13"/>
      <c r="O100" s="13"/>
      <c r="P100" s="13"/>
      <c r="Q100" s="13"/>
      <c r="R100" s="13"/>
      <c r="S100" s="13"/>
      <c r="T100" s="13"/>
      <c r="U100" s="13"/>
      <c r="V100" s="13"/>
      <c r="W100" s="13"/>
      <c r="X100" s="16"/>
      <c r="Y100" s="16"/>
      <c r="Z100" s="16"/>
      <c r="AA100" s="16"/>
      <c r="AB100" s="16"/>
      <c r="AC100" s="16"/>
    </row>
    <row r="101" ht="78.0" customHeight="1">
      <c r="A101" s="58">
        <v>45707.0</v>
      </c>
      <c r="B101" s="252" t="s">
        <v>939</v>
      </c>
      <c r="C101" s="7"/>
      <c r="D101" s="9" t="s">
        <v>941</v>
      </c>
      <c r="E101" s="11"/>
      <c r="F101" s="11"/>
      <c r="G101" s="11"/>
      <c r="H101" s="11"/>
      <c r="I101" s="11"/>
      <c r="J101" s="11"/>
      <c r="K101" s="13"/>
      <c r="L101" s="13"/>
      <c r="M101" s="13"/>
      <c r="N101" s="13"/>
      <c r="O101" s="13"/>
      <c r="P101" s="13"/>
      <c r="Q101" s="13"/>
      <c r="R101" s="13"/>
      <c r="S101" s="13"/>
      <c r="T101" s="13"/>
      <c r="U101" s="13"/>
      <c r="V101" s="13"/>
      <c r="W101" s="13"/>
      <c r="X101" s="16"/>
      <c r="Y101" s="16"/>
      <c r="Z101" s="16"/>
      <c r="AA101" s="16"/>
      <c r="AB101" s="16"/>
      <c r="AC101" s="16"/>
    </row>
    <row r="102" ht="78.0" customHeight="1">
      <c r="A102" s="32">
        <v>45707.0</v>
      </c>
      <c r="B102" s="34" t="s">
        <v>944</v>
      </c>
      <c r="C102" s="34"/>
      <c r="D102" s="106"/>
      <c r="E102" s="34"/>
      <c r="F102" s="34"/>
      <c r="G102" s="34"/>
      <c r="H102" s="42"/>
      <c r="I102" s="42"/>
      <c r="J102" s="42"/>
      <c r="K102" s="44"/>
      <c r="L102" s="44"/>
      <c r="M102" s="44"/>
      <c r="N102" s="44"/>
      <c r="O102" s="44"/>
      <c r="P102" s="44"/>
      <c r="Q102" s="44"/>
      <c r="R102" s="44"/>
      <c r="S102" s="44"/>
      <c r="T102" s="44"/>
      <c r="U102" s="44"/>
      <c r="V102" s="44"/>
      <c r="W102" s="44"/>
      <c r="X102" s="28"/>
      <c r="Y102" s="28"/>
      <c r="Z102" s="28"/>
      <c r="AA102" s="28"/>
      <c r="AB102" s="28"/>
      <c r="AC102" s="28"/>
    </row>
    <row r="103" ht="78.0" customHeight="1">
      <c r="A103" s="32">
        <v>45706.0</v>
      </c>
      <c r="B103" s="34" t="s">
        <v>949</v>
      </c>
      <c r="C103" s="34"/>
      <c r="D103" s="106" t="s">
        <v>950</v>
      </c>
      <c r="E103" s="34" t="s">
        <v>951</v>
      </c>
      <c r="F103" s="34"/>
      <c r="G103" s="34"/>
      <c r="H103" s="42"/>
      <c r="I103" s="42"/>
      <c r="J103" s="42"/>
      <c r="K103" s="44"/>
      <c r="L103" s="44"/>
      <c r="M103" s="44"/>
      <c r="N103" s="44"/>
      <c r="O103" s="44"/>
      <c r="P103" s="44"/>
      <c r="Q103" s="44"/>
      <c r="R103" s="44"/>
      <c r="S103" s="44"/>
      <c r="T103" s="44"/>
      <c r="U103" s="44"/>
      <c r="V103" s="44"/>
      <c r="W103" s="44"/>
      <c r="X103" s="28"/>
      <c r="Y103" s="28"/>
      <c r="Z103" s="28"/>
      <c r="AA103" s="28"/>
      <c r="AB103" s="28"/>
      <c r="AC103" s="28"/>
    </row>
    <row r="104" ht="78.0" customHeight="1">
      <c r="A104" s="32">
        <v>45706.0</v>
      </c>
      <c r="B104" s="34" t="s">
        <v>958</v>
      </c>
      <c r="C104" s="34"/>
      <c r="D104" s="38" t="s">
        <v>959</v>
      </c>
      <c r="E104" s="34"/>
      <c r="F104" s="34"/>
      <c r="G104" s="34"/>
      <c r="H104" s="42"/>
      <c r="I104" s="42"/>
      <c r="J104" s="42"/>
      <c r="K104" s="44"/>
      <c r="L104" s="44"/>
      <c r="M104" s="44"/>
      <c r="N104" s="44"/>
      <c r="O104" s="44"/>
      <c r="P104" s="44"/>
      <c r="Q104" s="44"/>
      <c r="R104" s="44"/>
      <c r="S104" s="44"/>
      <c r="T104" s="44"/>
      <c r="U104" s="44"/>
      <c r="V104" s="44"/>
      <c r="W104" s="44"/>
      <c r="X104" s="28"/>
      <c r="Y104" s="28"/>
      <c r="Z104" s="28"/>
      <c r="AA104" s="28"/>
      <c r="AB104" s="28"/>
      <c r="AC104" s="28"/>
    </row>
    <row r="105" ht="78.0" customHeight="1">
      <c r="A105" s="32">
        <v>45705.0</v>
      </c>
      <c r="B105" s="34" t="s">
        <v>964</v>
      </c>
      <c r="C105" s="34" t="s">
        <v>967</v>
      </c>
      <c r="D105" s="38" t="s">
        <v>968</v>
      </c>
      <c r="E105" s="34" t="s">
        <v>970</v>
      </c>
      <c r="F105" s="34" t="s">
        <v>972</v>
      </c>
      <c r="G105" s="34" t="s">
        <v>973</v>
      </c>
      <c r="H105" s="42"/>
      <c r="I105" s="42"/>
      <c r="J105" s="42"/>
      <c r="K105" s="44"/>
      <c r="L105" s="44"/>
      <c r="M105" s="44"/>
      <c r="N105" s="44"/>
      <c r="O105" s="44"/>
      <c r="P105" s="44"/>
      <c r="Q105" s="44"/>
      <c r="R105" s="44"/>
      <c r="S105" s="44"/>
      <c r="T105" s="44"/>
      <c r="U105" s="44"/>
      <c r="V105" s="44"/>
      <c r="W105" s="44"/>
      <c r="X105" s="28"/>
      <c r="Y105" s="28"/>
      <c r="Z105" s="28"/>
      <c r="AA105" s="28"/>
      <c r="AB105" s="28"/>
      <c r="AC105" s="28"/>
    </row>
    <row r="106" ht="78.0" customHeight="1">
      <c r="A106" s="32">
        <v>45704.0</v>
      </c>
      <c r="B106" s="34" t="s">
        <v>976</v>
      </c>
      <c r="C106" s="36" t="s">
        <v>978</v>
      </c>
      <c r="D106" s="38" t="s">
        <v>980</v>
      </c>
      <c r="E106" s="34" t="s">
        <v>981</v>
      </c>
      <c r="F106" s="36" t="s">
        <v>982</v>
      </c>
      <c r="G106" s="36" t="s">
        <v>983</v>
      </c>
      <c r="H106" s="36" t="s">
        <v>984</v>
      </c>
      <c r="I106" s="42"/>
      <c r="J106" s="42"/>
      <c r="K106" s="44"/>
      <c r="L106" s="44"/>
      <c r="M106" s="44"/>
      <c r="N106" s="44"/>
      <c r="O106" s="44"/>
      <c r="P106" s="44"/>
      <c r="Q106" s="44"/>
      <c r="R106" s="44"/>
      <c r="S106" s="44"/>
      <c r="T106" s="44"/>
      <c r="U106" s="44"/>
      <c r="V106" s="44"/>
      <c r="W106" s="44"/>
      <c r="X106" s="28"/>
      <c r="Y106" s="28"/>
      <c r="Z106" s="28"/>
      <c r="AA106" s="28"/>
      <c r="AB106" s="28"/>
      <c r="AC106" s="28"/>
    </row>
    <row r="107" ht="78.0" customHeight="1">
      <c r="A107" s="32">
        <v>45703.0</v>
      </c>
      <c r="B107" s="256" t="s">
        <v>987</v>
      </c>
      <c r="C107" s="36"/>
      <c r="D107" s="38" t="s">
        <v>988</v>
      </c>
      <c r="E107" s="34"/>
      <c r="F107" s="42"/>
      <c r="G107" s="42"/>
      <c r="H107" s="42"/>
      <c r="I107" s="42"/>
      <c r="J107" s="42"/>
      <c r="K107" s="44"/>
      <c r="L107" s="44"/>
      <c r="M107" s="44"/>
      <c r="N107" s="44"/>
      <c r="O107" s="44"/>
      <c r="P107" s="44"/>
      <c r="Q107" s="44"/>
      <c r="R107" s="44"/>
      <c r="S107" s="44"/>
      <c r="T107" s="44"/>
      <c r="U107" s="44"/>
      <c r="V107" s="44"/>
      <c r="W107" s="44"/>
      <c r="X107" s="28"/>
      <c r="Y107" s="28"/>
      <c r="Z107" s="28"/>
      <c r="AA107" s="28"/>
      <c r="AB107" s="28"/>
      <c r="AC107" s="28"/>
    </row>
    <row r="108" ht="78.0" customHeight="1">
      <c r="A108" s="32">
        <v>45703.0</v>
      </c>
      <c r="B108" s="34" t="s">
        <v>992</v>
      </c>
      <c r="C108" s="36" t="s">
        <v>993</v>
      </c>
      <c r="D108" s="38" t="s">
        <v>994</v>
      </c>
      <c r="E108" s="34" t="s">
        <v>995</v>
      </c>
      <c r="F108" s="34" t="s">
        <v>997</v>
      </c>
      <c r="G108" s="42"/>
      <c r="H108" s="42"/>
      <c r="I108" s="42"/>
      <c r="J108" s="42"/>
      <c r="K108" s="44"/>
      <c r="L108" s="44"/>
      <c r="M108" s="44"/>
      <c r="N108" s="44"/>
      <c r="O108" s="44"/>
      <c r="P108" s="44"/>
      <c r="Q108" s="44"/>
      <c r="R108" s="44"/>
      <c r="S108" s="44"/>
      <c r="T108" s="44"/>
      <c r="U108" s="44"/>
      <c r="V108" s="44"/>
      <c r="W108" s="44"/>
      <c r="X108" s="28"/>
      <c r="Y108" s="28"/>
      <c r="Z108" s="28"/>
      <c r="AA108" s="28"/>
      <c r="AB108" s="28"/>
      <c r="AC108" s="28"/>
    </row>
    <row r="109" ht="78.0" customHeight="1">
      <c r="A109" s="32">
        <v>45702.0</v>
      </c>
      <c r="B109" s="34" t="s">
        <v>1000</v>
      </c>
      <c r="C109" s="36" t="s">
        <v>1001</v>
      </c>
      <c r="D109" s="38" t="s">
        <v>1002</v>
      </c>
      <c r="E109" s="34" t="s">
        <v>1003</v>
      </c>
      <c r="F109" s="42"/>
      <c r="G109" s="42"/>
      <c r="H109" s="42"/>
      <c r="I109" s="42"/>
      <c r="J109" s="42"/>
      <c r="K109" s="44"/>
      <c r="L109" s="44"/>
      <c r="M109" s="44"/>
      <c r="N109" s="44"/>
      <c r="O109" s="44"/>
      <c r="P109" s="44"/>
      <c r="Q109" s="44"/>
      <c r="R109" s="44"/>
      <c r="S109" s="44"/>
      <c r="T109" s="44"/>
      <c r="U109" s="44"/>
      <c r="V109" s="44"/>
      <c r="W109" s="44"/>
      <c r="X109" s="28"/>
      <c r="Y109" s="28"/>
      <c r="Z109" s="28"/>
      <c r="AA109" s="28"/>
      <c r="AB109" s="28"/>
      <c r="AC109" s="28"/>
    </row>
    <row r="110" ht="78.0" customHeight="1">
      <c r="A110" s="32">
        <v>45702.0</v>
      </c>
      <c r="B110" s="34" t="s">
        <v>1006</v>
      </c>
      <c r="C110" s="36"/>
      <c r="D110" s="38" t="s">
        <v>1008</v>
      </c>
      <c r="E110" s="34" t="s">
        <v>1009</v>
      </c>
      <c r="F110" s="42"/>
      <c r="G110" s="42"/>
      <c r="H110" s="42"/>
      <c r="I110" s="42"/>
      <c r="J110" s="42"/>
      <c r="K110" s="44"/>
      <c r="L110" s="44"/>
      <c r="M110" s="44"/>
      <c r="N110" s="44"/>
      <c r="O110" s="44"/>
      <c r="P110" s="44"/>
      <c r="Q110" s="44"/>
      <c r="R110" s="44"/>
      <c r="S110" s="44"/>
      <c r="T110" s="44"/>
      <c r="U110" s="44"/>
      <c r="V110" s="44"/>
      <c r="W110" s="44"/>
      <c r="X110" s="28"/>
      <c r="Y110" s="28"/>
      <c r="Z110" s="28"/>
      <c r="AA110" s="28"/>
      <c r="AB110" s="28"/>
      <c r="AC110" s="28"/>
    </row>
    <row r="111" ht="78.0" customHeight="1">
      <c r="A111" s="32">
        <v>45702.0</v>
      </c>
      <c r="B111" s="34" t="s">
        <v>1012</v>
      </c>
      <c r="C111" s="36"/>
      <c r="D111" s="38" t="s">
        <v>1013</v>
      </c>
      <c r="E111" s="34"/>
      <c r="F111" s="42"/>
      <c r="G111" s="42"/>
      <c r="H111" s="42"/>
      <c r="I111" s="42"/>
      <c r="J111" s="42"/>
      <c r="K111" s="44"/>
      <c r="L111" s="44"/>
      <c r="M111" s="44"/>
      <c r="N111" s="44"/>
      <c r="O111" s="44"/>
      <c r="P111" s="44"/>
      <c r="Q111" s="44"/>
      <c r="R111" s="44"/>
      <c r="S111" s="44"/>
      <c r="T111" s="44"/>
      <c r="U111" s="44"/>
      <c r="V111" s="44"/>
      <c r="W111" s="44"/>
      <c r="X111" s="28"/>
      <c r="Y111" s="28"/>
      <c r="Z111" s="28"/>
      <c r="AA111" s="28"/>
      <c r="AB111" s="28"/>
      <c r="AC111" s="28"/>
    </row>
    <row r="112" ht="78.0" customHeight="1">
      <c r="A112" s="32">
        <v>45702.0</v>
      </c>
      <c r="B112" s="34" t="s">
        <v>1017</v>
      </c>
      <c r="C112" s="36" t="s">
        <v>1019</v>
      </c>
      <c r="D112" s="38" t="s">
        <v>1020</v>
      </c>
      <c r="E112" s="34" t="s">
        <v>1021</v>
      </c>
      <c r="F112" s="42"/>
      <c r="G112" s="42"/>
      <c r="H112" s="42"/>
      <c r="I112" s="42"/>
      <c r="J112" s="42"/>
      <c r="K112" s="44"/>
      <c r="L112" s="44"/>
      <c r="M112" s="44"/>
      <c r="N112" s="44"/>
      <c r="O112" s="44"/>
      <c r="P112" s="44"/>
      <c r="Q112" s="44"/>
      <c r="R112" s="44"/>
      <c r="S112" s="44"/>
      <c r="T112" s="44"/>
      <c r="U112" s="44"/>
      <c r="V112" s="44"/>
      <c r="W112" s="44"/>
      <c r="X112" s="28"/>
      <c r="Y112" s="28"/>
      <c r="Z112" s="28"/>
      <c r="AA112" s="28"/>
      <c r="AB112" s="28"/>
      <c r="AC112" s="28"/>
    </row>
    <row r="113" ht="78.0" customHeight="1">
      <c r="A113" s="32">
        <v>45702.0</v>
      </c>
      <c r="B113" s="34" t="s">
        <v>1026</v>
      </c>
      <c r="C113" s="36"/>
      <c r="D113" s="38" t="s">
        <v>1027</v>
      </c>
      <c r="E113" s="34"/>
      <c r="F113" s="42"/>
      <c r="G113" s="42"/>
      <c r="H113" s="42"/>
      <c r="I113" s="42"/>
      <c r="J113" s="42"/>
      <c r="K113" s="44"/>
      <c r="L113" s="44"/>
      <c r="M113" s="44"/>
      <c r="N113" s="44"/>
      <c r="O113" s="44"/>
      <c r="P113" s="44"/>
      <c r="Q113" s="44"/>
      <c r="R113" s="44"/>
      <c r="S113" s="44"/>
      <c r="T113" s="44"/>
      <c r="U113" s="44"/>
      <c r="V113" s="44"/>
      <c r="W113" s="44"/>
      <c r="X113" s="28"/>
      <c r="Y113" s="28"/>
      <c r="Z113" s="28"/>
      <c r="AA113" s="28"/>
      <c r="AB113" s="28"/>
      <c r="AC113" s="28"/>
    </row>
    <row r="114" ht="78.0" customHeight="1">
      <c r="A114" s="32">
        <v>45701.0</v>
      </c>
      <c r="B114" s="34" t="s">
        <v>1034</v>
      </c>
      <c r="C114" s="36"/>
      <c r="D114" s="38" t="s">
        <v>1035</v>
      </c>
      <c r="E114" s="34"/>
      <c r="F114" s="42"/>
      <c r="G114" s="42"/>
      <c r="H114" s="42"/>
      <c r="I114" s="42"/>
      <c r="J114" s="42"/>
      <c r="K114" s="44"/>
      <c r="L114" s="44"/>
      <c r="M114" s="44"/>
      <c r="N114" s="44"/>
      <c r="O114" s="44"/>
      <c r="P114" s="44"/>
      <c r="Q114" s="44"/>
      <c r="R114" s="44"/>
      <c r="S114" s="44"/>
      <c r="T114" s="44"/>
      <c r="U114" s="44"/>
      <c r="V114" s="44"/>
      <c r="W114" s="44"/>
      <c r="X114" s="28"/>
      <c r="Y114" s="28"/>
      <c r="Z114" s="28"/>
      <c r="AA114" s="28"/>
      <c r="AB114" s="28"/>
      <c r="AC114" s="28"/>
    </row>
    <row r="115" ht="78.0" customHeight="1">
      <c r="A115" s="32">
        <v>45701.0</v>
      </c>
      <c r="B115" s="34" t="s">
        <v>1040</v>
      </c>
      <c r="C115" s="36"/>
      <c r="D115" s="38" t="s">
        <v>1041</v>
      </c>
      <c r="E115" s="34"/>
      <c r="F115" s="42"/>
      <c r="G115" s="42"/>
      <c r="H115" s="42"/>
      <c r="I115" s="42"/>
      <c r="J115" s="42"/>
      <c r="K115" s="44"/>
      <c r="L115" s="44"/>
      <c r="M115" s="44"/>
      <c r="N115" s="44"/>
      <c r="O115" s="44"/>
      <c r="P115" s="44"/>
      <c r="Q115" s="44"/>
      <c r="R115" s="44"/>
      <c r="S115" s="44"/>
      <c r="T115" s="44"/>
      <c r="U115" s="44"/>
      <c r="V115" s="44"/>
      <c r="W115" s="44"/>
      <c r="X115" s="28"/>
      <c r="Y115" s="28"/>
      <c r="Z115" s="28"/>
      <c r="AA115" s="28"/>
      <c r="AB115" s="28"/>
      <c r="AC115" s="28"/>
    </row>
    <row r="116" ht="78.0" customHeight="1">
      <c r="A116" s="32">
        <v>45701.0</v>
      </c>
      <c r="B116" s="34" t="s">
        <v>1047</v>
      </c>
      <c r="C116" s="36"/>
      <c r="D116" s="38"/>
      <c r="E116" s="34"/>
      <c r="F116" s="42"/>
      <c r="G116" s="42"/>
      <c r="H116" s="42"/>
      <c r="I116" s="42"/>
      <c r="J116" s="42"/>
      <c r="K116" s="44"/>
      <c r="L116" s="44"/>
      <c r="M116" s="44"/>
      <c r="N116" s="44"/>
      <c r="O116" s="44"/>
      <c r="P116" s="44"/>
      <c r="Q116" s="44"/>
      <c r="R116" s="44"/>
      <c r="S116" s="44"/>
      <c r="T116" s="44"/>
      <c r="U116" s="44"/>
      <c r="V116" s="44"/>
      <c r="W116" s="44"/>
      <c r="X116" s="28"/>
      <c r="Y116" s="28"/>
      <c r="Z116" s="28"/>
      <c r="AA116" s="28"/>
      <c r="AB116" s="28"/>
      <c r="AC116" s="28"/>
    </row>
    <row r="117" ht="78.0" customHeight="1">
      <c r="A117" s="32">
        <v>45701.0</v>
      </c>
      <c r="B117" s="34" t="s">
        <v>1052</v>
      </c>
      <c r="C117" s="36"/>
      <c r="D117" s="38" t="s">
        <v>1053</v>
      </c>
      <c r="E117" s="34"/>
      <c r="F117" s="42"/>
      <c r="G117" s="42"/>
      <c r="H117" s="42"/>
      <c r="I117" s="42"/>
      <c r="J117" s="42"/>
      <c r="K117" s="44"/>
      <c r="L117" s="44"/>
      <c r="M117" s="44"/>
      <c r="N117" s="44"/>
      <c r="O117" s="44"/>
      <c r="P117" s="44"/>
      <c r="Q117" s="44"/>
      <c r="R117" s="44"/>
      <c r="S117" s="44"/>
      <c r="T117" s="44"/>
      <c r="U117" s="44"/>
      <c r="V117" s="44"/>
      <c r="W117" s="44"/>
      <c r="X117" s="28"/>
      <c r="Y117" s="28"/>
      <c r="Z117" s="28"/>
      <c r="AA117" s="28"/>
      <c r="AB117" s="28"/>
      <c r="AC117" s="28"/>
    </row>
    <row r="118" ht="78.0" customHeight="1">
      <c r="A118" s="32">
        <v>45701.0</v>
      </c>
      <c r="B118" s="34" t="s">
        <v>1057</v>
      </c>
      <c r="C118" s="36"/>
      <c r="D118" s="38" t="s">
        <v>1059</v>
      </c>
      <c r="E118" s="34"/>
      <c r="F118" s="42"/>
      <c r="G118" s="42"/>
      <c r="H118" s="42"/>
      <c r="I118" s="42"/>
      <c r="J118" s="42"/>
      <c r="K118" s="44"/>
      <c r="L118" s="44"/>
      <c r="M118" s="44"/>
      <c r="N118" s="44"/>
      <c r="O118" s="44"/>
      <c r="P118" s="44"/>
      <c r="Q118" s="44"/>
      <c r="R118" s="44"/>
      <c r="S118" s="44"/>
      <c r="T118" s="44"/>
      <c r="U118" s="44"/>
      <c r="V118" s="44"/>
      <c r="W118" s="44"/>
      <c r="X118" s="28"/>
      <c r="Y118" s="28"/>
      <c r="Z118" s="28"/>
      <c r="AA118" s="28"/>
      <c r="AB118" s="28"/>
      <c r="AC118" s="28"/>
    </row>
    <row r="119" ht="78.0" customHeight="1">
      <c r="A119" s="32">
        <v>45701.0</v>
      </c>
      <c r="B119" s="34" t="s">
        <v>1062</v>
      </c>
      <c r="C119" s="36"/>
      <c r="D119" s="38"/>
      <c r="E119" s="34"/>
      <c r="F119" s="42"/>
      <c r="G119" s="42"/>
      <c r="H119" s="42"/>
      <c r="I119" s="42"/>
      <c r="J119" s="42"/>
      <c r="K119" s="44"/>
      <c r="L119" s="44"/>
      <c r="M119" s="44"/>
      <c r="N119" s="44"/>
      <c r="O119" s="44"/>
      <c r="P119" s="44"/>
      <c r="Q119" s="44"/>
      <c r="R119" s="44"/>
      <c r="S119" s="44"/>
      <c r="T119" s="44"/>
      <c r="U119" s="44"/>
      <c r="V119" s="44"/>
      <c r="W119" s="44"/>
      <c r="X119" s="28"/>
      <c r="Y119" s="28"/>
      <c r="Z119" s="28"/>
      <c r="AA119" s="28"/>
      <c r="AB119" s="28"/>
      <c r="AC119" s="28"/>
    </row>
    <row r="120" ht="78.0" customHeight="1">
      <c r="A120" s="32">
        <v>45701.0</v>
      </c>
      <c r="B120" s="34" t="s">
        <v>1066</v>
      </c>
      <c r="C120" s="36"/>
      <c r="D120" s="38" t="s">
        <v>1067</v>
      </c>
      <c r="E120" s="34" t="s">
        <v>1069</v>
      </c>
      <c r="F120" s="42"/>
      <c r="G120" s="42"/>
      <c r="H120" s="42"/>
      <c r="I120" s="42"/>
      <c r="J120" s="42"/>
      <c r="K120" s="44"/>
      <c r="L120" s="44"/>
      <c r="M120" s="44"/>
      <c r="N120" s="44"/>
      <c r="O120" s="44"/>
      <c r="P120" s="44"/>
      <c r="Q120" s="44"/>
      <c r="R120" s="44"/>
      <c r="S120" s="44"/>
      <c r="T120" s="44"/>
      <c r="U120" s="44"/>
      <c r="V120" s="44"/>
      <c r="W120" s="44"/>
      <c r="X120" s="28"/>
      <c r="Y120" s="28"/>
      <c r="Z120" s="28"/>
      <c r="AA120" s="28"/>
      <c r="AB120" s="28"/>
      <c r="AC120" s="28"/>
    </row>
    <row r="121" ht="78.0" customHeight="1">
      <c r="A121" s="32">
        <v>45701.0</v>
      </c>
      <c r="B121" s="34" t="s">
        <v>1080</v>
      </c>
      <c r="C121" s="36"/>
      <c r="D121" s="38" t="s">
        <v>1082</v>
      </c>
      <c r="E121" s="34"/>
      <c r="F121" s="42"/>
      <c r="G121" s="42"/>
      <c r="H121" s="42"/>
      <c r="I121" s="42"/>
      <c r="J121" s="42"/>
      <c r="K121" s="44"/>
      <c r="L121" s="44"/>
      <c r="M121" s="44"/>
      <c r="N121" s="44"/>
      <c r="O121" s="44"/>
      <c r="P121" s="44"/>
      <c r="Q121" s="44"/>
      <c r="R121" s="44"/>
      <c r="S121" s="44"/>
      <c r="T121" s="44"/>
      <c r="U121" s="44"/>
      <c r="V121" s="44"/>
      <c r="W121" s="44"/>
      <c r="X121" s="28"/>
      <c r="Y121" s="28"/>
      <c r="Z121" s="28"/>
      <c r="AA121" s="28"/>
      <c r="AB121" s="28"/>
      <c r="AC121" s="28"/>
    </row>
    <row r="122" ht="78.0" customHeight="1">
      <c r="A122" s="32">
        <v>45701.0</v>
      </c>
      <c r="B122" s="34" t="s">
        <v>1087</v>
      </c>
      <c r="C122" s="36"/>
      <c r="D122" s="38" t="s">
        <v>1088</v>
      </c>
      <c r="E122" s="34" t="s">
        <v>1090</v>
      </c>
      <c r="F122" s="42"/>
      <c r="G122" s="42"/>
      <c r="H122" s="42"/>
      <c r="I122" s="42"/>
      <c r="J122" s="42"/>
      <c r="K122" s="44"/>
      <c r="L122" s="44"/>
      <c r="M122" s="44"/>
      <c r="N122" s="44"/>
      <c r="O122" s="44"/>
      <c r="P122" s="44"/>
      <c r="Q122" s="44"/>
      <c r="R122" s="44"/>
      <c r="S122" s="44"/>
      <c r="T122" s="44"/>
      <c r="U122" s="44"/>
      <c r="V122" s="44"/>
      <c r="W122" s="44"/>
      <c r="X122" s="28"/>
      <c r="Y122" s="28"/>
      <c r="Z122" s="28"/>
      <c r="AA122" s="28"/>
      <c r="AB122" s="28"/>
      <c r="AC122" s="28"/>
    </row>
    <row r="123" ht="78.0" customHeight="1">
      <c r="A123" s="32">
        <v>45700.0</v>
      </c>
      <c r="B123" s="34" t="s">
        <v>1098</v>
      </c>
      <c r="C123" s="36"/>
      <c r="D123" s="38" t="s">
        <v>1100</v>
      </c>
      <c r="E123" s="34"/>
      <c r="F123" s="42"/>
      <c r="G123" s="42"/>
      <c r="H123" s="42"/>
      <c r="I123" s="42"/>
      <c r="J123" s="42"/>
      <c r="K123" s="44"/>
      <c r="L123" s="44"/>
      <c r="M123" s="44"/>
      <c r="N123" s="44"/>
      <c r="O123" s="44"/>
      <c r="P123" s="44"/>
      <c r="Q123" s="44"/>
      <c r="R123" s="44"/>
      <c r="S123" s="44"/>
      <c r="T123" s="44"/>
      <c r="U123" s="44"/>
      <c r="V123" s="44"/>
      <c r="W123" s="44"/>
      <c r="X123" s="28"/>
      <c r="Y123" s="28"/>
      <c r="Z123" s="28"/>
      <c r="AA123" s="28"/>
      <c r="AB123" s="28"/>
      <c r="AC123" s="28"/>
    </row>
    <row r="124" ht="78.0" customHeight="1">
      <c r="A124" s="32">
        <v>45700.0</v>
      </c>
      <c r="B124" s="34" t="s">
        <v>1103</v>
      </c>
      <c r="C124" s="36"/>
      <c r="D124" s="38" t="s">
        <v>1104</v>
      </c>
      <c r="E124" s="34"/>
      <c r="F124" s="42"/>
      <c r="G124" s="42"/>
      <c r="H124" s="42"/>
      <c r="I124" s="42"/>
      <c r="J124" s="42"/>
      <c r="K124" s="44"/>
      <c r="L124" s="44"/>
      <c r="M124" s="44"/>
      <c r="N124" s="44"/>
      <c r="O124" s="44"/>
      <c r="P124" s="44"/>
      <c r="Q124" s="44"/>
      <c r="R124" s="44"/>
      <c r="S124" s="44"/>
      <c r="T124" s="44"/>
      <c r="U124" s="44"/>
      <c r="V124" s="44"/>
      <c r="W124" s="44"/>
      <c r="X124" s="28"/>
      <c r="Y124" s="28"/>
      <c r="Z124" s="28"/>
      <c r="AA124" s="28"/>
      <c r="AB124" s="28"/>
      <c r="AC124" s="28"/>
    </row>
    <row r="125" ht="78.0" customHeight="1">
      <c r="A125" s="32">
        <v>45700.0</v>
      </c>
      <c r="B125" s="34" t="s">
        <v>1108</v>
      </c>
      <c r="C125" s="36"/>
      <c r="D125" s="38" t="s">
        <v>1109</v>
      </c>
      <c r="E125" s="34" t="s">
        <v>1111</v>
      </c>
      <c r="F125" s="42"/>
      <c r="G125" s="42"/>
      <c r="H125" s="42"/>
      <c r="I125" s="42"/>
      <c r="J125" s="42"/>
      <c r="K125" s="44"/>
      <c r="L125" s="44"/>
      <c r="M125" s="44"/>
      <c r="N125" s="44"/>
      <c r="O125" s="44"/>
      <c r="P125" s="44"/>
      <c r="Q125" s="44"/>
      <c r="R125" s="44"/>
      <c r="S125" s="44"/>
      <c r="T125" s="44"/>
      <c r="U125" s="44"/>
      <c r="V125" s="44"/>
      <c r="W125" s="44"/>
      <c r="X125" s="28"/>
      <c r="Y125" s="28"/>
      <c r="Z125" s="28"/>
      <c r="AA125" s="28"/>
      <c r="AB125" s="28"/>
      <c r="AC125" s="28"/>
    </row>
    <row r="126" ht="78.0" customHeight="1">
      <c r="A126" s="32">
        <v>45699.0</v>
      </c>
      <c r="B126" s="34" t="s">
        <v>1116</v>
      </c>
      <c r="C126" s="34" t="s">
        <v>1117</v>
      </c>
      <c r="D126" s="38" t="s">
        <v>1118</v>
      </c>
      <c r="E126" s="34" t="s">
        <v>1119</v>
      </c>
      <c r="F126" s="34" t="s">
        <v>1121</v>
      </c>
      <c r="G126" s="36"/>
      <c r="H126" s="42"/>
      <c r="I126" s="42"/>
      <c r="J126" s="42"/>
      <c r="K126" s="44"/>
      <c r="L126" s="44"/>
      <c r="M126" s="44"/>
      <c r="N126" s="44"/>
      <c r="O126" s="44"/>
      <c r="P126" s="44"/>
      <c r="Q126" s="44"/>
      <c r="R126" s="44"/>
      <c r="S126" s="44"/>
      <c r="T126" s="44"/>
      <c r="U126" s="44"/>
      <c r="V126" s="44"/>
      <c r="W126" s="44"/>
      <c r="X126" s="28"/>
      <c r="Y126" s="28"/>
      <c r="Z126" s="28"/>
      <c r="AA126" s="28"/>
      <c r="AB126" s="28"/>
      <c r="AC126" s="28"/>
    </row>
    <row r="127" ht="78.0" customHeight="1">
      <c r="A127" s="32">
        <v>45699.0</v>
      </c>
      <c r="B127" s="34" t="s">
        <v>1127</v>
      </c>
      <c r="C127" s="36"/>
      <c r="D127" s="38" t="s">
        <v>1128</v>
      </c>
      <c r="E127" s="34"/>
      <c r="F127" s="42"/>
      <c r="G127" s="42"/>
      <c r="H127" s="42"/>
      <c r="I127" s="42"/>
      <c r="J127" s="42"/>
      <c r="K127" s="44"/>
      <c r="L127" s="44"/>
      <c r="M127" s="44"/>
      <c r="N127" s="44"/>
      <c r="O127" s="44"/>
      <c r="P127" s="44"/>
      <c r="Q127" s="44"/>
      <c r="R127" s="44"/>
      <c r="S127" s="44"/>
      <c r="T127" s="44"/>
      <c r="U127" s="44"/>
      <c r="V127" s="44"/>
      <c r="W127" s="44"/>
      <c r="X127" s="28"/>
      <c r="Y127" s="28"/>
      <c r="Z127" s="28"/>
      <c r="AA127" s="28"/>
      <c r="AB127" s="28"/>
      <c r="AC127" s="28"/>
    </row>
    <row r="128" ht="108.0" customHeight="1">
      <c r="A128" s="32">
        <v>45699.0</v>
      </c>
      <c r="B128" s="34" t="s">
        <v>1135</v>
      </c>
      <c r="C128" s="36"/>
      <c r="D128" s="38" t="s">
        <v>1137</v>
      </c>
      <c r="E128" s="34" t="s">
        <v>1138</v>
      </c>
      <c r="F128" s="42"/>
      <c r="G128" s="42"/>
      <c r="H128" s="42"/>
      <c r="I128" s="42"/>
      <c r="J128" s="42"/>
      <c r="K128" s="44"/>
      <c r="L128" s="44"/>
      <c r="M128" s="44"/>
      <c r="N128" s="44"/>
      <c r="O128" s="44"/>
      <c r="P128" s="44"/>
      <c r="Q128" s="44"/>
      <c r="R128" s="44"/>
      <c r="S128" s="44"/>
      <c r="T128" s="44"/>
      <c r="U128" s="44"/>
      <c r="V128" s="44"/>
      <c r="W128" s="44"/>
      <c r="X128" s="28"/>
      <c r="Y128" s="28"/>
      <c r="Z128" s="28"/>
      <c r="AA128" s="28"/>
      <c r="AB128" s="28"/>
      <c r="AC128" s="28"/>
    </row>
    <row r="129" ht="78.0" customHeight="1">
      <c r="A129" s="32">
        <v>45698.0</v>
      </c>
      <c r="B129" s="34" t="s">
        <v>1144</v>
      </c>
      <c r="C129" s="36"/>
      <c r="D129" s="38" t="s">
        <v>1145</v>
      </c>
      <c r="E129" s="34" t="s">
        <v>1146</v>
      </c>
      <c r="F129" s="42"/>
      <c r="G129" s="42"/>
      <c r="H129" s="42"/>
      <c r="I129" s="42"/>
      <c r="J129" s="42"/>
      <c r="K129" s="44"/>
      <c r="L129" s="44"/>
      <c r="M129" s="44"/>
      <c r="N129" s="44"/>
      <c r="O129" s="44"/>
      <c r="P129" s="44"/>
      <c r="Q129" s="44"/>
      <c r="R129" s="44"/>
      <c r="S129" s="44"/>
      <c r="T129" s="44"/>
      <c r="U129" s="44"/>
      <c r="V129" s="44"/>
      <c r="W129" s="44"/>
      <c r="X129" s="28"/>
      <c r="Y129" s="28"/>
      <c r="Z129" s="28"/>
      <c r="AA129" s="28"/>
      <c r="AB129" s="28"/>
      <c r="AC129" s="28"/>
    </row>
    <row r="130" ht="78.0" customHeight="1">
      <c r="A130" s="32">
        <v>45698.0</v>
      </c>
      <c r="B130" s="34" t="s">
        <v>1152</v>
      </c>
      <c r="C130" s="36"/>
      <c r="D130" s="38"/>
      <c r="E130" s="34"/>
      <c r="F130" s="42"/>
      <c r="G130" s="42"/>
      <c r="H130" s="42"/>
      <c r="I130" s="42"/>
      <c r="J130" s="42"/>
      <c r="K130" s="44"/>
      <c r="L130" s="44"/>
      <c r="M130" s="44"/>
      <c r="N130" s="44"/>
      <c r="O130" s="44"/>
      <c r="P130" s="44"/>
      <c r="Q130" s="44"/>
      <c r="R130" s="44"/>
      <c r="S130" s="44"/>
      <c r="T130" s="44"/>
      <c r="U130" s="44"/>
      <c r="V130" s="44"/>
      <c r="W130" s="44"/>
      <c r="X130" s="28"/>
      <c r="Y130" s="28"/>
      <c r="Z130" s="28"/>
      <c r="AA130" s="28"/>
      <c r="AB130" s="28"/>
      <c r="AC130" s="28"/>
    </row>
    <row r="131" ht="78.0" customHeight="1">
      <c r="A131" s="32">
        <v>45697.0</v>
      </c>
      <c r="B131" s="34" t="s">
        <v>1158</v>
      </c>
      <c r="C131" s="36"/>
      <c r="D131" s="38" t="s">
        <v>1160</v>
      </c>
      <c r="E131" s="34"/>
      <c r="F131" s="42"/>
      <c r="G131" s="42"/>
      <c r="H131" s="42"/>
      <c r="I131" s="42"/>
      <c r="J131" s="42"/>
      <c r="K131" s="44"/>
      <c r="L131" s="44"/>
      <c r="M131" s="44"/>
      <c r="N131" s="44"/>
      <c r="O131" s="44"/>
      <c r="P131" s="44"/>
      <c r="Q131" s="44"/>
      <c r="R131" s="44"/>
      <c r="S131" s="44"/>
      <c r="T131" s="44"/>
      <c r="U131" s="44"/>
      <c r="V131" s="44"/>
      <c r="W131" s="44"/>
      <c r="X131" s="28"/>
      <c r="Y131" s="28"/>
      <c r="Z131" s="28"/>
      <c r="AA131" s="28"/>
      <c r="AB131" s="28"/>
      <c r="AC131" s="28"/>
    </row>
    <row r="132" ht="78.0" customHeight="1">
      <c r="A132" s="32">
        <v>45696.0</v>
      </c>
      <c r="B132" s="34" t="s">
        <v>1164</v>
      </c>
      <c r="C132" s="34" t="s">
        <v>1167</v>
      </c>
      <c r="D132" s="38" t="s">
        <v>1169</v>
      </c>
      <c r="E132" s="34" t="s">
        <v>1171</v>
      </c>
      <c r="F132" s="42"/>
      <c r="G132" s="42"/>
      <c r="H132" s="42"/>
      <c r="I132" s="42"/>
      <c r="J132" s="42"/>
      <c r="K132" s="44"/>
      <c r="L132" s="44"/>
      <c r="M132" s="44"/>
      <c r="N132" s="44"/>
      <c r="O132" s="44"/>
      <c r="P132" s="44"/>
      <c r="Q132" s="44"/>
      <c r="R132" s="44"/>
      <c r="S132" s="44"/>
      <c r="T132" s="44"/>
      <c r="U132" s="44"/>
      <c r="V132" s="44"/>
      <c r="W132" s="44"/>
      <c r="X132" s="28"/>
      <c r="Y132" s="28"/>
      <c r="Z132" s="28"/>
      <c r="AA132" s="28"/>
      <c r="AB132" s="28"/>
      <c r="AC132" s="28"/>
    </row>
    <row r="133" ht="78.0" customHeight="1">
      <c r="A133" s="32">
        <v>45696.0</v>
      </c>
      <c r="B133" s="34" t="s">
        <v>1177</v>
      </c>
      <c r="C133" s="36"/>
      <c r="D133" s="38"/>
      <c r="E133" s="34"/>
      <c r="F133" s="42"/>
      <c r="G133" s="42"/>
      <c r="H133" s="42"/>
      <c r="I133" s="42"/>
      <c r="J133" s="42"/>
      <c r="K133" s="44"/>
      <c r="L133" s="44"/>
      <c r="M133" s="44"/>
      <c r="N133" s="44"/>
      <c r="O133" s="44"/>
      <c r="P133" s="44"/>
      <c r="Q133" s="44"/>
      <c r="R133" s="44"/>
      <c r="S133" s="44"/>
      <c r="T133" s="44"/>
      <c r="U133" s="44"/>
      <c r="V133" s="44"/>
      <c r="W133" s="44"/>
      <c r="X133" s="28"/>
      <c r="Y133" s="28"/>
      <c r="Z133" s="28"/>
      <c r="AA133" s="28"/>
      <c r="AB133" s="28"/>
      <c r="AC133" s="28"/>
    </row>
    <row r="134" ht="78.0" customHeight="1">
      <c r="A134" s="32">
        <v>45694.0</v>
      </c>
      <c r="B134" s="34" t="s">
        <v>1183</v>
      </c>
      <c r="C134" s="36" t="s">
        <v>1185</v>
      </c>
      <c r="D134" s="38" t="s">
        <v>1186</v>
      </c>
      <c r="E134" s="34" t="s">
        <v>1187</v>
      </c>
      <c r="F134" s="42"/>
      <c r="G134" s="42"/>
      <c r="H134" s="42"/>
      <c r="I134" s="42"/>
      <c r="J134" s="42"/>
      <c r="K134" s="44"/>
      <c r="L134" s="44"/>
      <c r="M134" s="44"/>
      <c r="N134" s="44"/>
      <c r="O134" s="44"/>
      <c r="P134" s="44"/>
      <c r="Q134" s="44"/>
      <c r="R134" s="44"/>
      <c r="S134" s="44"/>
      <c r="T134" s="44"/>
      <c r="U134" s="44"/>
      <c r="V134" s="44"/>
      <c r="W134" s="44"/>
      <c r="X134" s="28"/>
      <c r="Y134" s="28"/>
      <c r="Z134" s="28"/>
      <c r="AA134" s="28"/>
      <c r="AB134" s="28"/>
      <c r="AC134" s="28"/>
    </row>
    <row r="135" ht="78.0" customHeight="1">
      <c r="A135" s="32">
        <v>45694.0</v>
      </c>
      <c r="B135" s="34" t="s">
        <v>1192</v>
      </c>
      <c r="C135" s="36"/>
      <c r="D135" s="38"/>
      <c r="E135" s="34"/>
      <c r="F135" s="42"/>
      <c r="G135" s="42"/>
      <c r="H135" s="42"/>
      <c r="I135" s="42"/>
      <c r="J135" s="42"/>
      <c r="K135" s="44"/>
      <c r="L135" s="44"/>
      <c r="M135" s="44"/>
      <c r="N135" s="44"/>
      <c r="O135" s="44"/>
      <c r="P135" s="44"/>
      <c r="Q135" s="44"/>
      <c r="R135" s="44"/>
      <c r="S135" s="44"/>
      <c r="T135" s="44"/>
      <c r="U135" s="44"/>
      <c r="V135" s="44"/>
      <c r="W135" s="44"/>
      <c r="X135" s="28"/>
      <c r="Y135" s="28"/>
      <c r="Z135" s="28"/>
      <c r="AA135" s="28"/>
      <c r="AB135" s="28"/>
      <c r="AC135" s="28"/>
    </row>
    <row r="136" ht="78.0" customHeight="1">
      <c r="A136" s="32">
        <v>45693.0</v>
      </c>
      <c r="B136" s="34" t="s">
        <v>1202</v>
      </c>
      <c r="C136" s="38"/>
      <c r="D136" s="38" t="s">
        <v>1203</v>
      </c>
      <c r="E136" s="38"/>
      <c r="F136" s="42"/>
      <c r="G136" s="42"/>
      <c r="H136" s="42"/>
      <c r="I136" s="42"/>
      <c r="J136" s="42"/>
      <c r="K136" s="44"/>
      <c r="L136" s="44"/>
      <c r="M136" s="44"/>
      <c r="N136" s="44"/>
      <c r="O136" s="44"/>
      <c r="P136" s="44"/>
      <c r="Q136" s="44"/>
      <c r="R136" s="44"/>
      <c r="S136" s="44"/>
      <c r="T136" s="44"/>
      <c r="U136" s="44"/>
      <c r="V136" s="44"/>
      <c r="W136" s="44"/>
      <c r="X136" s="28"/>
      <c r="Y136" s="28"/>
      <c r="Z136" s="28"/>
      <c r="AA136" s="28"/>
      <c r="AB136" s="28"/>
      <c r="AC136" s="28"/>
    </row>
    <row r="137" ht="78.0" customHeight="1">
      <c r="A137" s="32">
        <v>45693.0</v>
      </c>
      <c r="B137" s="34" t="s">
        <v>1209</v>
      </c>
      <c r="C137" s="36"/>
      <c r="D137" s="38" t="s">
        <v>1211</v>
      </c>
      <c r="E137" s="34"/>
      <c r="F137" s="42"/>
      <c r="G137" s="42"/>
      <c r="H137" s="42"/>
      <c r="I137" s="42"/>
      <c r="J137" s="42"/>
      <c r="K137" s="44"/>
      <c r="L137" s="44"/>
      <c r="M137" s="44"/>
      <c r="N137" s="44"/>
      <c r="O137" s="44"/>
      <c r="P137" s="44"/>
      <c r="Q137" s="44"/>
      <c r="R137" s="44"/>
      <c r="S137" s="44"/>
      <c r="T137" s="44"/>
      <c r="U137" s="44"/>
      <c r="V137" s="44"/>
      <c r="W137" s="44"/>
      <c r="X137" s="28"/>
      <c r="Y137" s="28"/>
      <c r="Z137" s="28"/>
      <c r="AA137" s="28"/>
      <c r="AB137" s="28"/>
      <c r="AC137" s="28"/>
    </row>
    <row r="138" ht="78.0" customHeight="1">
      <c r="A138" s="32">
        <v>45693.0</v>
      </c>
      <c r="B138" s="34" t="s">
        <v>1215</v>
      </c>
      <c r="C138" s="36"/>
      <c r="D138" s="38" t="s">
        <v>1216</v>
      </c>
      <c r="E138" s="34"/>
      <c r="F138" s="42"/>
      <c r="G138" s="42"/>
      <c r="H138" s="42"/>
      <c r="I138" s="42"/>
      <c r="J138" s="42"/>
      <c r="K138" s="44"/>
      <c r="L138" s="44"/>
      <c r="M138" s="44"/>
      <c r="N138" s="44"/>
      <c r="O138" s="44"/>
      <c r="P138" s="44"/>
      <c r="Q138" s="44"/>
      <c r="R138" s="44"/>
      <c r="S138" s="44"/>
      <c r="T138" s="44"/>
      <c r="U138" s="44"/>
      <c r="V138" s="44"/>
      <c r="W138" s="44"/>
      <c r="X138" s="28"/>
      <c r="Y138" s="28"/>
      <c r="Z138" s="28"/>
      <c r="AA138" s="28"/>
      <c r="AB138" s="28"/>
      <c r="AC138" s="28"/>
    </row>
    <row r="139" ht="78.0" customHeight="1">
      <c r="A139" s="32">
        <v>45692.0</v>
      </c>
      <c r="B139" s="34" t="s">
        <v>1223</v>
      </c>
      <c r="C139" s="36"/>
      <c r="D139" s="38" t="s">
        <v>1224</v>
      </c>
      <c r="E139" s="34" t="s">
        <v>1226</v>
      </c>
      <c r="F139" s="42"/>
      <c r="G139" s="42"/>
      <c r="H139" s="42"/>
      <c r="I139" s="42"/>
      <c r="J139" s="42"/>
      <c r="K139" s="44"/>
      <c r="L139" s="44"/>
      <c r="M139" s="44"/>
      <c r="N139" s="44"/>
      <c r="O139" s="44"/>
      <c r="P139" s="44"/>
      <c r="Q139" s="44"/>
      <c r="R139" s="44"/>
      <c r="S139" s="44"/>
      <c r="T139" s="44"/>
      <c r="U139" s="44"/>
      <c r="V139" s="44"/>
      <c r="W139" s="44"/>
      <c r="X139" s="28"/>
      <c r="Y139" s="28"/>
      <c r="Z139" s="28"/>
      <c r="AA139" s="28"/>
      <c r="AB139" s="28"/>
      <c r="AC139" s="28"/>
    </row>
    <row r="140" ht="78.0" customHeight="1">
      <c r="A140" s="32">
        <v>45692.0</v>
      </c>
      <c r="B140" s="34" t="s">
        <v>1236</v>
      </c>
      <c r="C140" s="36" t="s">
        <v>1237</v>
      </c>
      <c r="D140" s="38" t="s">
        <v>1239</v>
      </c>
      <c r="E140" s="34" t="s">
        <v>1241</v>
      </c>
      <c r="F140" s="42"/>
      <c r="G140" s="42"/>
      <c r="H140" s="42"/>
      <c r="I140" s="42"/>
      <c r="J140" s="42"/>
      <c r="K140" s="44"/>
      <c r="L140" s="44"/>
      <c r="M140" s="44"/>
      <c r="N140" s="44"/>
      <c r="O140" s="44"/>
      <c r="P140" s="44"/>
      <c r="Q140" s="44"/>
      <c r="R140" s="44"/>
      <c r="S140" s="44"/>
      <c r="T140" s="44"/>
      <c r="U140" s="44"/>
      <c r="V140" s="44"/>
      <c r="W140" s="44"/>
      <c r="X140" s="28"/>
      <c r="Y140" s="28"/>
      <c r="Z140" s="28"/>
      <c r="AA140" s="28"/>
      <c r="AB140" s="28"/>
      <c r="AC140" s="28"/>
    </row>
    <row r="141" ht="78.0" customHeight="1">
      <c r="A141" s="32">
        <v>45692.0</v>
      </c>
      <c r="B141" s="34" t="s">
        <v>1252</v>
      </c>
      <c r="C141" s="36"/>
      <c r="D141" s="38" t="s">
        <v>1253</v>
      </c>
      <c r="E141" s="34"/>
      <c r="F141" s="42"/>
      <c r="G141" s="42"/>
      <c r="H141" s="42"/>
      <c r="I141" s="42"/>
      <c r="J141" s="42"/>
      <c r="K141" s="44"/>
      <c r="L141" s="44"/>
      <c r="M141" s="44"/>
      <c r="N141" s="44"/>
      <c r="O141" s="44"/>
      <c r="P141" s="44"/>
      <c r="Q141" s="44"/>
      <c r="R141" s="44"/>
      <c r="S141" s="44"/>
      <c r="T141" s="44"/>
      <c r="U141" s="44"/>
      <c r="V141" s="44"/>
      <c r="W141" s="44"/>
      <c r="X141" s="28"/>
      <c r="Y141" s="28"/>
      <c r="Z141" s="28"/>
      <c r="AA141" s="28"/>
      <c r="AB141" s="28"/>
      <c r="AC141" s="28"/>
    </row>
    <row r="142" ht="78.0" customHeight="1">
      <c r="A142" s="32">
        <v>45692.0</v>
      </c>
      <c r="B142" s="34" t="s">
        <v>1255</v>
      </c>
      <c r="C142" s="36"/>
      <c r="D142" s="38" t="s">
        <v>1257</v>
      </c>
      <c r="E142" s="34"/>
      <c r="F142" s="42"/>
      <c r="G142" s="42"/>
      <c r="H142" s="42"/>
      <c r="I142" s="42"/>
      <c r="J142" s="42"/>
      <c r="K142" s="44"/>
      <c r="L142" s="44"/>
      <c r="M142" s="44"/>
      <c r="N142" s="44"/>
      <c r="O142" s="44"/>
      <c r="P142" s="44"/>
      <c r="Q142" s="44"/>
      <c r="R142" s="44"/>
      <c r="S142" s="44"/>
      <c r="T142" s="44"/>
      <c r="U142" s="44"/>
      <c r="V142" s="44"/>
      <c r="W142" s="44"/>
      <c r="X142" s="28"/>
      <c r="Y142" s="28"/>
      <c r="Z142" s="28"/>
      <c r="AA142" s="28"/>
      <c r="AB142" s="28"/>
      <c r="AC142" s="28"/>
    </row>
    <row r="143" ht="78.0" customHeight="1">
      <c r="A143" s="32">
        <v>45692.0</v>
      </c>
      <c r="B143" s="34" t="s">
        <v>1258</v>
      </c>
      <c r="C143" s="36"/>
      <c r="D143" s="38" t="s">
        <v>1259</v>
      </c>
      <c r="E143" s="34"/>
      <c r="F143" s="42"/>
      <c r="G143" s="42"/>
      <c r="H143" s="42"/>
      <c r="I143" s="42"/>
      <c r="J143" s="42"/>
      <c r="K143" s="44"/>
      <c r="L143" s="44"/>
      <c r="M143" s="44"/>
      <c r="N143" s="44"/>
      <c r="O143" s="44"/>
      <c r="P143" s="44"/>
      <c r="Q143" s="44"/>
      <c r="R143" s="44"/>
      <c r="S143" s="44"/>
      <c r="T143" s="44"/>
      <c r="U143" s="44"/>
      <c r="V143" s="44"/>
      <c r="W143" s="44"/>
      <c r="X143" s="28"/>
      <c r="Y143" s="28"/>
      <c r="Z143" s="28"/>
      <c r="AA143" s="28"/>
      <c r="AB143" s="28"/>
      <c r="AC143" s="28"/>
    </row>
    <row r="144" ht="78.0" customHeight="1">
      <c r="A144" s="32">
        <v>45691.0</v>
      </c>
      <c r="B144" s="34" t="s">
        <v>1266</v>
      </c>
      <c r="C144" s="36" t="s">
        <v>1267</v>
      </c>
      <c r="D144" s="38" t="s">
        <v>1269</v>
      </c>
      <c r="E144" s="34" t="s">
        <v>1270</v>
      </c>
      <c r="F144" s="42"/>
      <c r="G144" s="42"/>
      <c r="H144" s="42"/>
      <c r="I144" s="42"/>
      <c r="J144" s="42"/>
      <c r="K144" s="44"/>
      <c r="L144" s="44"/>
      <c r="M144" s="44"/>
      <c r="N144" s="44"/>
      <c r="O144" s="44"/>
      <c r="P144" s="44"/>
      <c r="Q144" s="44"/>
      <c r="R144" s="44"/>
      <c r="S144" s="44"/>
      <c r="T144" s="44"/>
      <c r="U144" s="44"/>
      <c r="V144" s="44"/>
      <c r="W144" s="44"/>
      <c r="X144" s="28"/>
      <c r="Y144" s="28"/>
      <c r="Z144" s="28"/>
      <c r="AA144" s="28"/>
      <c r="AB144" s="28"/>
      <c r="AC144" s="28"/>
    </row>
    <row r="145" ht="78.0" customHeight="1">
      <c r="A145" s="32">
        <v>45691.0</v>
      </c>
      <c r="B145" s="34" t="s">
        <v>1273</v>
      </c>
      <c r="C145" s="36"/>
      <c r="D145" s="38" t="s">
        <v>1274</v>
      </c>
      <c r="E145" s="34"/>
      <c r="F145" s="42"/>
      <c r="G145" s="42"/>
      <c r="H145" s="42"/>
      <c r="I145" s="42"/>
      <c r="J145" s="42"/>
      <c r="K145" s="44"/>
      <c r="L145" s="44"/>
      <c r="M145" s="44"/>
      <c r="N145" s="44"/>
      <c r="O145" s="44"/>
      <c r="P145" s="44"/>
      <c r="Q145" s="44"/>
      <c r="R145" s="44"/>
      <c r="S145" s="44"/>
      <c r="T145" s="44"/>
      <c r="U145" s="44"/>
      <c r="V145" s="44"/>
      <c r="W145" s="44"/>
      <c r="X145" s="28"/>
      <c r="Y145" s="28"/>
      <c r="Z145" s="28"/>
      <c r="AA145" s="28"/>
      <c r="AB145" s="28"/>
      <c r="AC145" s="28"/>
    </row>
    <row r="146" ht="78.0" customHeight="1">
      <c r="A146" s="32">
        <v>45689.0</v>
      </c>
      <c r="B146" s="34" t="s">
        <v>1280</v>
      </c>
      <c r="C146" s="36"/>
      <c r="D146" s="38" t="s">
        <v>1282</v>
      </c>
      <c r="E146" s="34"/>
      <c r="F146" s="42"/>
      <c r="G146" s="42"/>
      <c r="H146" s="42"/>
      <c r="I146" s="42"/>
      <c r="J146" s="42"/>
      <c r="K146" s="44"/>
      <c r="L146" s="44"/>
      <c r="M146" s="44"/>
      <c r="N146" s="44"/>
      <c r="O146" s="44"/>
      <c r="P146" s="44"/>
      <c r="Q146" s="44"/>
      <c r="R146" s="44"/>
      <c r="S146" s="44"/>
      <c r="T146" s="44"/>
      <c r="U146" s="44"/>
      <c r="V146" s="44"/>
      <c r="W146" s="44"/>
      <c r="X146" s="28"/>
      <c r="Y146" s="28"/>
      <c r="Z146" s="28"/>
      <c r="AA146" s="28"/>
      <c r="AB146" s="28"/>
      <c r="AC146" s="28"/>
    </row>
    <row r="147" ht="78.0" customHeight="1">
      <c r="A147" s="32">
        <v>45688.0</v>
      </c>
      <c r="B147" s="34" t="s">
        <v>1285</v>
      </c>
      <c r="C147" s="36"/>
      <c r="D147" s="38" t="s">
        <v>1286</v>
      </c>
      <c r="E147" s="34"/>
      <c r="F147" s="42"/>
      <c r="G147" s="42"/>
      <c r="H147" s="42"/>
      <c r="I147" s="42"/>
      <c r="J147" s="42"/>
      <c r="K147" s="44"/>
      <c r="L147" s="44"/>
      <c r="M147" s="44"/>
      <c r="N147" s="44"/>
      <c r="O147" s="44"/>
      <c r="P147" s="44"/>
      <c r="Q147" s="44"/>
      <c r="R147" s="44"/>
      <c r="S147" s="44"/>
      <c r="T147" s="44"/>
      <c r="U147" s="44"/>
      <c r="V147" s="44"/>
      <c r="W147" s="44"/>
      <c r="X147" s="28"/>
      <c r="Y147" s="28"/>
      <c r="Z147" s="28"/>
      <c r="AA147" s="28"/>
      <c r="AB147" s="28"/>
      <c r="AC147" s="28"/>
    </row>
    <row r="148" ht="78.0" customHeight="1">
      <c r="A148" s="32">
        <v>45688.0</v>
      </c>
      <c r="B148" s="34" t="s">
        <v>1289</v>
      </c>
      <c r="C148" s="36"/>
      <c r="D148" s="38"/>
      <c r="E148" s="34"/>
      <c r="F148" s="42"/>
      <c r="G148" s="42"/>
      <c r="H148" s="42"/>
      <c r="I148" s="42"/>
      <c r="J148" s="42"/>
      <c r="K148" s="44"/>
      <c r="L148" s="44"/>
      <c r="M148" s="44"/>
      <c r="N148" s="44"/>
      <c r="O148" s="44"/>
      <c r="P148" s="44"/>
      <c r="Q148" s="44"/>
      <c r="R148" s="44"/>
      <c r="S148" s="44"/>
      <c r="T148" s="44"/>
      <c r="U148" s="44"/>
      <c r="V148" s="44"/>
      <c r="W148" s="44"/>
      <c r="X148" s="28"/>
      <c r="Y148" s="28"/>
      <c r="Z148" s="28"/>
      <c r="AA148" s="28"/>
      <c r="AB148" s="28"/>
      <c r="AC148" s="28"/>
    </row>
    <row r="149" ht="78.0" customHeight="1">
      <c r="A149" s="32">
        <v>45687.0</v>
      </c>
      <c r="B149" s="34" t="s">
        <v>1294</v>
      </c>
      <c r="C149" s="36" t="s">
        <v>1296</v>
      </c>
      <c r="D149" s="38" t="s">
        <v>1297</v>
      </c>
      <c r="E149" s="34" t="s">
        <v>1298</v>
      </c>
      <c r="F149" s="34" t="s">
        <v>1299</v>
      </c>
      <c r="G149" s="42"/>
      <c r="H149" s="42"/>
      <c r="I149" s="42"/>
      <c r="J149" s="42"/>
      <c r="K149" s="44"/>
      <c r="L149" s="44"/>
      <c r="M149" s="44"/>
      <c r="N149" s="44"/>
      <c r="O149" s="44"/>
      <c r="P149" s="44"/>
      <c r="Q149" s="44"/>
      <c r="R149" s="44"/>
      <c r="S149" s="44"/>
      <c r="T149" s="44"/>
      <c r="U149" s="44"/>
      <c r="V149" s="44"/>
      <c r="W149" s="44"/>
      <c r="X149" s="28"/>
      <c r="Y149" s="28"/>
      <c r="Z149" s="28"/>
      <c r="AA149" s="28"/>
      <c r="AB149" s="28"/>
      <c r="AC149" s="28"/>
    </row>
    <row r="150" ht="78.0" customHeight="1">
      <c r="A150" s="32">
        <v>45687.0</v>
      </c>
      <c r="B150" s="34" t="s">
        <v>1304</v>
      </c>
      <c r="C150" s="36"/>
      <c r="D150" s="38" t="s">
        <v>1306</v>
      </c>
      <c r="E150" s="34"/>
      <c r="F150" s="42"/>
      <c r="G150" s="42"/>
      <c r="H150" s="42"/>
      <c r="I150" s="42"/>
      <c r="J150" s="42"/>
      <c r="K150" s="44"/>
      <c r="L150" s="44"/>
      <c r="M150" s="44"/>
      <c r="N150" s="44"/>
      <c r="O150" s="44"/>
      <c r="P150" s="44"/>
      <c r="Q150" s="44"/>
      <c r="R150" s="44"/>
      <c r="S150" s="44"/>
      <c r="T150" s="44"/>
      <c r="U150" s="44"/>
      <c r="V150" s="44"/>
      <c r="W150" s="44"/>
      <c r="X150" s="28"/>
      <c r="Y150" s="28"/>
      <c r="Z150" s="28"/>
      <c r="AA150" s="28"/>
      <c r="AB150" s="28"/>
      <c r="AC150" s="28"/>
    </row>
    <row r="151" ht="78.0" customHeight="1">
      <c r="A151" s="32">
        <v>45687.0</v>
      </c>
      <c r="B151" s="34" t="s">
        <v>1307</v>
      </c>
      <c r="C151" s="34" t="s">
        <v>1308</v>
      </c>
      <c r="D151" s="38" t="s">
        <v>1310</v>
      </c>
      <c r="E151" s="34" t="s">
        <v>1311</v>
      </c>
      <c r="F151" s="34" t="s">
        <v>1312</v>
      </c>
      <c r="G151" s="36"/>
      <c r="H151" s="42"/>
      <c r="I151" s="42"/>
      <c r="J151" s="42"/>
      <c r="K151" s="44"/>
      <c r="L151" s="44"/>
      <c r="M151" s="44"/>
      <c r="N151" s="44"/>
      <c r="O151" s="44"/>
      <c r="P151" s="44"/>
      <c r="Q151" s="44"/>
      <c r="R151" s="44"/>
      <c r="S151" s="44"/>
      <c r="T151" s="44"/>
      <c r="U151" s="44"/>
      <c r="V151" s="44"/>
      <c r="W151" s="44"/>
      <c r="X151" s="28"/>
      <c r="Y151" s="28"/>
      <c r="Z151" s="28"/>
      <c r="AA151" s="28"/>
      <c r="AB151" s="28"/>
      <c r="AC151" s="28"/>
    </row>
    <row r="152" ht="105.75" customHeight="1">
      <c r="A152" s="32">
        <v>45687.0</v>
      </c>
      <c r="B152" s="34" t="s">
        <v>1317</v>
      </c>
      <c r="C152" s="36"/>
      <c r="D152" s="303" t="s">
        <v>1319</v>
      </c>
      <c r="E152" s="34"/>
      <c r="F152" s="42"/>
      <c r="G152" s="42"/>
      <c r="H152" s="42"/>
      <c r="I152" s="42"/>
      <c r="J152" s="42"/>
      <c r="K152" s="44"/>
      <c r="L152" s="44"/>
      <c r="M152" s="44"/>
      <c r="N152" s="44"/>
      <c r="O152" s="44"/>
      <c r="P152" s="44"/>
      <c r="Q152" s="44"/>
      <c r="R152" s="44"/>
      <c r="S152" s="44"/>
      <c r="T152" s="44"/>
      <c r="U152" s="44"/>
      <c r="V152" s="44"/>
      <c r="W152" s="44"/>
      <c r="X152" s="28"/>
      <c r="Y152" s="28"/>
      <c r="Z152" s="28"/>
      <c r="AA152" s="28"/>
      <c r="AB152" s="28"/>
      <c r="AC152" s="28"/>
    </row>
    <row r="153" ht="78.0" customHeight="1">
      <c r="A153" s="32">
        <v>45686.0</v>
      </c>
      <c r="B153" s="34" t="s">
        <v>1328</v>
      </c>
      <c r="C153" s="36"/>
      <c r="D153" s="38" t="s">
        <v>1329</v>
      </c>
      <c r="E153" s="34" t="s">
        <v>1331</v>
      </c>
      <c r="F153" s="42"/>
      <c r="G153" s="42"/>
      <c r="H153" s="42"/>
      <c r="I153" s="42"/>
      <c r="J153" s="42"/>
      <c r="K153" s="44"/>
      <c r="L153" s="44"/>
      <c r="M153" s="44"/>
      <c r="N153" s="44"/>
      <c r="O153" s="44"/>
      <c r="P153" s="44"/>
      <c r="Q153" s="44"/>
      <c r="R153" s="44"/>
      <c r="S153" s="44"/>
      <c r="T153" s="44"/>
      <c r="U153" s="44"/>
      <c r="V153" s="44"/>
      <c r="W153" s="44"/>
      <c r="X153" s="28"/>
      <c r="Y153" s="28"/>
      <c r="Z153" s="28"/>
      <c r="AA153" s="28"/>
      <c r="AB153" s="28"/>
      <c r="AC153" s="28"/>
    </row>
    <row r="154" ht="78.0" customHeight="1">
      <c r="A154" s="32">
        <v>45686.0</v>
      </c>
      <c r="B154" s="34" t="s">
        <v>1336</v>
      </c>
      <c r="C154" s="36"/>
      <c r="D154" s="38" t="s">
        <v>1337</v>
      </c>
      <c r="E154" s="34"/>
      <c r="F154" s="42"/>
      <c r="G154" s="42"/>
      <c r="H154" s="42"/>
      <c r="I154" s="42"/>
      <c r="J154" s="42"/>
      <c r="K154" s="44"/>
      <c r="L154" s="44"/>
      <c r="M154" s="44"/>
      <c r="N154" s="44"/>
      <c r="O154" s="44"/>
      <c r="P154" s="44"/>
      <c r="Q154" s="44"/>
      <c r="R154" s="44"/>
      <c r="S154" s="44"/>
      <c r="T154" s="44"/>
      <c r="U154" s="44"/>
      <c r="V154" s="44"/>
      <c r="W154" s="44"/>
      <c r="X154" s="28"/>
      <c r="Y154" s="28"/>
      <c r="Z154" s="28"/>
      <c r="AA154" s="28"/>
      <c r="AB154" s="28"/>
      <c r="AC154" s="28"/>
    </row>
    <row r="155" ht="78.0" customHeight="1">
      <c r="A155" s="32">
        <v>45686.0</v>
      </c>
      <c r="B155" s="34" t="s">
        <v>1340</v>
      </c>
      <c r="C155" s="36" t="s">
        <v>1342</v>
      </c>
      <c r="D155" s="38" t="s">
        <v>1343</v>
      </c>
      <c r="E155" s="34" t="s">
        <v>1344</v>
      </c>
      <c r="F155" s="42"/>
      <c r="G155" s="42"/>
      <c r="H155" s="42"/>
      <c r="I155" s="42"/>
      <c r="J155" s="42"/>
      <c r="K155" s="44"/>
      <c r="L155" s="44"/>
      <c r="M155" s="44"/>
      <c r="N155" s="44"/>
      <c r="O155" s="44"/>
      <c r="P155" s="44"/>
      <c r="Q155" s="44"/>
      <c r="R155" s="44"/>
      <c r="S155" s="44"/>
      <c r="T155" s="44"/>
      <c r="U155" s="44"/>
      <c r="V155" s="44"/>
      <c r="W155" s="44"/>
      <c r="X155" s="28"/>
      <c r="Y155" s="28"/>
      <c r="Z155" s="28"/>
      <c r="AA155" s="28"/>
      <c r="AB155" s="28"/>
      <c r="AC155" s="28"/>
    </row>
    <row r="156" ht="78.0" customHeight="1">
      <c r="A156" s="32">
        <v>45686.0</v>
      </c>
      <c r="B156" s="34" t="s">
        <v>1347</v>
      </c>
      <c r="C156" s="42"/>
      <c r="D156" s="38"/>
      <c r="E156" s="34"/>
      <c r="F156" s="42"/>
      <c r="G156" s="42"/>
      <c r="H156" s="42"/>
      <c r="I156" s="42"/>
      <c r="J156" s="42"/>
      <c r="K156" s="44"/>
      <c r="L156" s="44"/>
      <c r="M156" s="44"/>
      <c r="N156" s="44"/>
      <c r="O156" s="44"/>
      <c r="P156" s="44"/>
      <c r="Q156" s="44"/>
      <c r="R156" s="44"/>
      <c r="S156" s="44"/>
      <c r="T156" s="44"/>
      <c r="U156" s="44"/>
      <c r="V156" s="44"/>
      <c r="W156" s="44"/>
      <c r="X156" s="28"/>
      <c r="Y156" s="28"/>
      <c r="Z156" s="28"/>
      <c r="AA156" s="28"/>
      <c r="AB156" s="28"/>
      <c r="AC156" s="28"/>
    </row>
    <row r="157" ht="78.0" customHeight="1">
      <c r="A157" s="32">
        <v>45685.0</v>
      </c>
      <c r="B157" s="34" t="s">
        <v>1352</v>
      </c>
      <c r="C157" s="36" t="s">
        <v>1353</v>
      </c>
      <c r="D157" s="38" t="s">
        <v>1354</v>
      </c>
      <c r="E157" s="34" t="s">
        <v>1356</v>
      </c>
      <c r="F157" s="42"/>
      <c r="G157" s="42"/>
      <c r="H157" s="42"/>
      <c r="I157" s="42"/>
      <c r="J157" s="42"/>
      <c r="K157" s="44"/>
      <c r="L157" s="44"/>
      <c r="M157" s="44"/>
      <c r="N157" s="44"/>
      <c r="O157" s="44"/>
      <c r="P157" s="44"/>
      <c r="Q157" s="44"/>
      <c r="R157" s="44"/>
      <c r="S157" s="44"/>
      <c r="T157" s="44"/>
      <c r="U157" s="44"/>
      <c r="V157" s="44"/>
      <c r="W157" s="44"/>
      <c r="X157" s="28"/>
      <c r="Y157" s="28"/>
      <c r="Z157" s="28"/>
      <c r="AA157" s="28"/>
      <c r="AB157" s="28"/>
      <c r="AC157" s="28"/>
    </row>
    <row r="158" ht="78.0" customHeight="1">
      <c r="A158" s="32">
        <v>45685.0</v>
      </c>
      <c r="B158" s="34" t="s">
        <v>1361</v>
      </c>
      <c r="C158" s="42"/>
      <c r="D158" s="38" t="s">
        <v>1364</v>
      </c>
      <c r="E158" s="34"/>
      <c r="F158" s="42"/>
      <c r="G158" s="42"/>
      <c r="H158" s="42"/>
      <c r="I158" s="42"/>
      <c r="J158" s="42"/>
      <c r="K158" s="44"/>
      <c r="L158" s="44"/>
      <c r="M158" s="44"/>
      <c r="N158" s="44"/>
      <c r="O158" s="44"/>
      <c r="P158" s="44"/>
      <c r="Q158" s="44"/>
      <c r="R158" s="44"/>
      <c r="S158" s="44"/>
      <c r="T158" s="44"/>
      <c r="U158" s="44"/>
      <c r="V158" s="44"/>
      <c r="W158" s="44"/>
      <c r="X158" s="28"/>
      <c r="Y158" s="28"/>
      <c r="Z158" s="28"/>
      <c r="AA158" s="28"/>
      <c r="AB158" s="28"/>
      <c r="AC158" s="28"/>
    </row>
    <row r="159" ht="78.0" customHeight="1">
      <c r="A159" s="32">
        <v>45685.0</v>
      </c>
      <c r="B159" s="34" t="s">
        <v>1369</v>
      </c>
      <c r="C159" s="42"/>
      <c r="D159" s="38" t="s">
        <v>1371</v>
      </c>
      <c r="E159" s="34" t="s">
        <v>1373</v>
      </c>
      <c r="F159" s="42"/>
      <c r="G159" s="42"/>
      <c r="H159" s="42"/>
      <c r="I159" s="42"/>
      <c r="J159" s="42"/>
      <c r="K159" s="44"/>
      <c r="L159" s="44"/>
      <c r="M159" s="44"/>
      <c r="N159" s="44"/>
      <c r="O159" s="44"/>
      <c r="P159" s="44"/>
      <c r="Q159" s="44"/>
      <c r="R159" s="44"/>
      <c r="S159" s="44"/>
      <c r="T159" s="44"/>
      <c r="U159" s="44"/>
      <c r="V159" s="44"/>
      <c r="W159" s="44"/>
      <c r="X159" s="28"/>
      <c r="Y159" s="28"/>
      <c r="Z159" s="28"/>
      <c r="AA159" s="28"/>
      <c r="AB159" s="28"/>
      <c r="AC159" s="28"/>
    </row>
    <row r="160" ht="78.0" customHeight="1">
      <c r="A160" s="32">
        <v>45684.0</v>
      </c>
      <c r="B160" s="34" t="s">
        <v>1377</v>
      </c>
      <c r="C160" s="34" t="s">
        <v>1378</v>
      </c>
      <c r="D160" s="38" t="s">
        <v>1379</v>
      </c>
      <c r="E160" s="34" t="s">
        <v>1380</v>
      </c>
      <c r="F160" s="308" t="s">
        <v>1381</v>
      </c>
      <c r="G160" s="34"/>
      <c r="H160" s="42"/>
      <c r="I160" s="42"/>
      <c r="J160" s="42"/>
      <c r="K160" s="44"/>
      <c r="L160" s="44"/>
      <c r="M160" s="44"/>
      <c r="N160" s="44"/>
      <c r="O160" s="44"/>
      <c r="P160" s="44"/>
      <c r="Q160" s="44"/>
      <c r="R160" s="44"/>
      <c r="S160" s="44"/>
      <c r="T160" s="44"/>
      <c r="U160" s="44"/>
      <c r="V160" s="44"/>
      <c r="W160" s="44"/>
      <c r="X160" s="28"/>
      <c r="Y160" s="28"/>
      <c r="Z160" s="28"/>
      <c r="AA160" s="28"/>
      <c r="AB160" s="28"/>
      <c r="AC160" s="28"/>
    </row>
    <row r="161" ht="78.0" customHeight="1">
      <c r="A161" s="32">
        <v>45683.0</v>
      </c>
      <c r="B161" s="34" t="s">
        <v>1385</v>
      </c>
      <c r="C161" s="34" t="s">
        <v>1386</v>
      </c>
      <c r="D161" s="303" t="s">
        <v>1388</v>
      </c>
      <c r="E161" s="34" t="s">
        <v>1396</v>
      </c>
      <c r="F161" s="42"/>
      <c r="G161" s="42"/>
      <c r="H161" s="42"/>
      <c r="I161" s="42"/>
      <c r="J161" s="42"/>
      <c r="K161" s="44"/>
      <c r="L161" s="44"/>
      <c r="M161" s="44"/>
      <c r="N161" s="44"/>
      <c r="O161" s="44"/>
      <c r="P161" s="44"/>
      <c r="Q161" s="44"/>
      <c r="R161" s="44"/>
      <c r="S161" s="44"/>
      <c r="T161" s="44"/>
      <c r="U161" s="44"/>
      <c r="V161" s="44"/>
      <c r="W161" s="44"/>
      <c r="X161" s="28"/>
      <c r="Y161" s="28"/>
      <c r="Z161" s="28"/>
      <c r="AA161" s="28"/>
      <c r="AB161" s="28"/>
      <c r="AC161" s="28"/>
    </row>
    <row r="162" ht="78.0" customHeight="1">
      <c r="A162" s="32">
        <v>45683.0</v>
      </c>
      <c r="B162" s="34" t="s">
        <v>1398</v>
      </c>
      <c r="C162" s="42"/>
      <c r="D162" s="310" t="s">
        <v>1399</v>
      </c>
      <c r="E162" s="36"/>
      <c r="F162" s="42"/>
      <c r="G162" s="42"/>
      <c r="H162" s="42"/>
      <c r="I162" s="42"/>
      <c r="J162" s="42"/>
      <c r="K162" s="44"/>
      <c r="L162" s="44"/>
      <c r="M162" s="44"/>
      <c r="N162" s="44"/>
      <c r="O162" s="44"/>
      <c r="P162" s="44"/>
      <c r="Q162" s="44"/>
      <c r="R162" s="44"/>
      <c r="S162" s="44"/>
      <c r="T162" s="44"/>
      <c r="U162" s="44"/>
      <c r="V162" s="44"/>
      <c r="W162" s="44"/>
      <c r="X162" s="28"/>
      <c r="Y162" s="28"/>
      <c r="Z162" s="28"/>
      <c r="AA162" s="28"/>
      <c r="AB162" s="28"/>
      <c r="AC162" s="28"/>
    </row>
    <row r="163" ht="78.0" customHeight="1">
      <c r="A163" s="32">
        <v>45683.0</v>
      </c>
      <c r="B163" s="34" t="s">
        <v>1404</v>
      </c>
      <c r="C163" s="42"/>
      <c r="D163" s="310" t="s">
        <v>1406</v>
      </c>
      <c r="E163" s="36"/>
      <c r="F163" s="42"/>
      <c r="G163" s="42"/>
      <c r="H163" s="42"/>
      <c r="I163" s="42"/>
      <c r="J163" s="42"/>
      <c r="K163" s="44"/>
      <c r="L163" s="44"/>
      <c r="M163" s="44"/>
      <c r="N163" s="44"/>
      <c r="O163" s="44"/>
      <c r="P163" s="44"/>
      <c r="Q163" s="44"/>
      <c r="R163" s="44"/>
      <c r="S163" s="44"/>
      <c r="T163" s="44"/>
      <c r="U163" s="44"/>
      <c r="V163" s="44"/>
      <c r="W163" s="44"/>
      <c r="X163" s="28"/>
      <c r="Y163" s="28"/>
      <c r="Z163" s="28"/>
      <c r="AA163" s="28"/>
      <c r="AB163" s="28"/>
      <c r="AC163" s="28"/>
    </row>
    <row r="164" ht="78.0" customHeight="1">
      <c r="A164" s="32">
        <v>45682.0</v>
      </c>
      <c r="B164" s="34" t="s">
        <v>1408</v>
      </c>
      <c r="C164" s="42"/>
      <c r="D164" s="310" t="s">
        <v>1410</v>
      </c>
      <c r="E164" s="36"/>
      <c r="F164" s="42"/>
      <c r="G164" s="42"/>
      <c r="H164" s="42"/>
      <c r="I164" s="42"/>
      <c r="J164" s="42"/>
      <c r="K164" s="44"/>
      <c r="L164" s="44"/>
      <c r="M164" s="44"/>
      <c r="N164" s="44"/>
      <c r="O164" s="44"/>
      <c r="P164" s="44"/>
      <c r="Q164" s="44"/>
      <c r="R164" s="44"/>
      <c r="S164" s="44"/>
      <c r="T164" s="44"/>
      <c r="U164" s="44"/>
      <c r="V164" s="44"/>
      <c r="W164" s="44"/>
      <c r="X164" s="28"/>
      <c r="Y164" s="28"/>
      <c r="Z164" s="28"/>
      <c r="AA164" s="28"/>
      <c r="AB164" s="28"/>
      <c r="AC164" s="28"/>
    </row>
    <row r="165" ht="78.0" customHeight="1">
      <c r="A165" s="32">
        <v>45681.0</v>
      </c>
      <c r="B165" s="34" t="s">
        <v>1416</v>
      </c>
      <c r="C165" s="42"/>
      <c r="D165" s="310" t="s">
        <v>1417</v>
      </c>
      <c r="E165" s="36"/>
      <c r="F165" s="42"/>
      <c r="G165" s="42"/>
      <c r="H165" s="42"/>
      <c r="I165" s="42"/>
      <c r="J165" s="42"/>
      <c r="K165" s="44"/>
      <c r="L165" s="44"/>
      <c r="M165" s="44"/>
      <c r="N165" s="44"/>
      <c r="O165" s="44"/>
      <c r="P165" s="44"/>
      <c r="Q165" s="44"/>
      <c r="R165" s="44"/>
      <c r="S165" s="44"/>
      <c r="T165" s="44"/>
      <c r="U165" s="44"/>
      <c r="V165" s="44"/>
      <c r="W165" s="44"/>
      <c r="X165" s="28"/>
      <c r="Y165" s="28"/>
      <c r="Z165" s="28"/>
      <c r="AA165" s="28"/>
      <c r="AB165" s="28"/>
      <c r="AC165" s="28"/>
    </row>
    <row r="166" ht="78.0" customHeight="1">
      <c r="A166" s="32">
        <v>45681.0</v>
      </c>
      <c r="B166" s="34" t="s">
        <v>1422</v>
      </c>
      <c r="C166" s="42"/>
      <c r="D166" s="310" t="s">
        <v>1203</v>
      </c>
      <c r="E166" s="36"/>
      <c r="F166" s="42"/>
      <c r="G166" s="42"/>
      <c r="H166" s="42"/>
      <c r="I166" s="42"/>
      <c r="J166" s="42"/>
      <c r="K166" s="44"/>
      <c r="L166" s="44"/>
      <c r="M166" s="44"/>
      <c r="N166" s="44"/>
      <c r="O166" s="44"/>
      <c r="P166" s="44"/>
      <c r="Q166" s="44"/>
      <c r="R166" s="44"/>
      <c r="S166" s="44"/>
      <c r="T166" s="44"/>
      <c r="U166" s="44"/>
      <c r="V166" s="44"/>
      <c r="W166" s="44"/>
      <c r="X166" s="28"/>
      <c r="Y166" s="28"/>
      <c r="Z166" s="28"/>
      <c r="AA166" s="28"/>
      <c r="AB166" s="28"/>
      <c r="AC166" s="28"/>
    </row>
    <row r="167" ht="78.0" customHeight="1">
      <c r="A167" s="32">
        <v>45680.0</v>
      </c>
      <c r="B167" s="34" t="s">
        <v>1428</v>
      </c>
      <c r="C167" s="42"/>
      <c r="D167" s="310" t="s">
        <v>1431</v>
      </c>
      <c r="E167" s="36" t="s">
        <v>1432</v>
      </c>
      <c r="F167" s="42"/>
      <c r="G167" s="42"/>
      <c r="H167" s="42"/>
      <c r="I167" s="42"/>
      <c r="J167" s="42"/>
      <c r="K167" s="44"/>
      <c r="L167" s="44"/>
      <c r="M167" s="44"/>
      <c r="N167" s="44"/>
      <c r="O167" s="44"/>
      <c r="P167" s="44"/>
      <c r="Q167" s="44"/>
      <c r="R167" s="44"/>
      <c r="S167" s="44"/>
      <c r="T167" s="44"/>
      <c r="U167" s="44"/>
      <c r="V167" s="44"/>
      <c r="W167" s="44"/>
      <c r="X167" s="28"/>
      <c r="Y167" s="28"/>
      <c r="Z167" s="28"/>
      <c r="AA167" s="28"/>
      <c r="AB167" s="28"/>
      <c r="AC167" s="28"/>
    </row>
    <row r="168" ht="78.0" customHeight="1">
      <c r="A168" s="32">
        <v>45679.0</v>
      </c>
      <c r="B168" s="34" t="s">
        <v>1435</v>
      </c>
      <c r="C168" s="42"/>
      <c r="D168" s="310" t="s">
        <v>1436</v>
      </c>
      <c r="E168" s="34" t="s">
        <v>1438</v>
      </c>
      <c r="F168" s="42"/>
      <c r="G168" s="42"/>
      <c r="H168" s="42"/>
      <c r="I168" s="42"/>
      <c r="J168" s="42"/>
      <c r="K168" s="44"/>
      <c r="L168" s="44"/>
      <c r="M168" s="44"/>
      <c r="N168" s="44"/>
      <c r="O168" s="44"/>
      <c r="P168" s="44"/>
      <c r="Q168" s="44"/>
      <c r="R168" s="44"/>
      <c r="S168" s="44"/>
      <c r="T168" s="44"/>
      <c r="U168" s="44"/>
      <c r="V168" s="44"/>
      <c r="W168" s="44"/>
      <c r="X168" s="28"/>
      <c r="Y168" s="28"/>
      <c r="Z168" s="28"/>
      <c r="AA168" s="28"/>
      <c r="AB168" s="28"/>
      <c r="AC168" s="28"/>
    </row>
    <row r="169" ht="78.0" customHeight="1">
      <c r="A169" s="32">
        <v>45679.0</v>
      </c>
      <c r="B169" s="34" t="s">
        <v>1442</v>
      </c>
      <c r="C169" s="42"/>
      <c r="D169" s="310" t="s">
        <v>1443</v>
      </c>
      <c r="E169" s="36"/>
      <c r="F169" s="42"/>
      <c r="G169" s="42"/>
      <c r="H169" s="42"/>
      <c r="I169" s="42"/>
      <c r="J169" s="42"/>
      <c r="K169" s="44"/>
      <c r="L169" s="44"/>
      <c r="M169" s="44"/>
      <c r="N169" s="44"/>
      <c r="O169" s="44"/>
      <c r="P169" s="44"/>
      <c r="Q169" s="44"/>
      <c r="R169" s="44"/>
      <c r="S169" s="44"/>
      <c r="T169" s="44"/>
      <c r="U169" s="44"/>
      <c r="V169" s="44"/>
      <c r="W169" s="44"/>
      <c r="X169" s="28"/>
      <c r="Y169" s="28"/>
      <c r="Z169" s="28"/>
      <c r="AA169" s="28"/>
      <c r="AB169" s="28"/>
      <c r="AC169" s="28"/>
    </row>
    <row r="170" ht="78.0" customHeight="1">
      <c r="A170" s="32">
        <v>45679.0</v>
      </c>
      <c r="B170" s="34" t="s">
        <v>1451</v>
      </c>
      <c r="C170" s="42"/>
      <c r="D170" s="310" t="s">
        <v>1452</v>
      </c>
      <c r="E170" s="36"/>
      <c r="F170" s="42"/>
      <c r="G170" s="42"/>
      <c r="H170" s="42"/>
      <c r="I170" s="42"/>
      <c r="J170" s="42"/>
      <c r="K170" s="44"/>
      <c r="L170" s="44"/>
      <c r="M170" s="44"/>
      <c r="N170" s="44"/>
      <c r="O170" s="44"/>
      <c r="P170" s="44"/>
      <c r="Q170" s="44"/>
      <c r="R170" s="44"/>
      <c r="S170" s="44"/>
      <c r="T170" s="44"/>
      <c r="U170" s="44"/>
      <c r="V170" s="44"/>
      <c r="W170" s="44"/>
      <c r="X170" s="28"/>
      <c r="Y170" s="28"/>
      <c r="Z170" s="28"/>
      <c r="AA170" s="28"/>
      <c r="AB170" s="28"/>
      <c r="AC170" s="28"/>
    </row>
    <row r="171" ht="78.0" customHeight="1">
      <c r="A171" s="32">
        <v>45679.0</v>
      </c>
      <c r="B171" s="34" t="s">
        <v>1459</v>
      </c>
      <c r="C171" s="42"/>
      <c r="D171" s="310" t="s">
        <v>1460</v>
      </c>
      <c r="E171" s="36"/>
      <c r="F171" s="42"/>
      <c r="G171" s="42"/>
      <c r="H171" s="42"/>
      <c r="I171" s="42"/>
      <c r="J171" s="42"/>
      <c r="K171" s="44"/>
      <c r="L171" s="44"/>
      <c r="M171" s="44"/>
      <c r="N171" s="44"/>
      <c r="O171" s="44"/>
      <c r="P171" s="44"/>
      <c r="Q171" s="44"/>
      <c r="R171" s="44"/>
      <c r="S171" s="44"/>
      <c r="T171" s="44"/>
      <c r="U171" s="44"/>
      <c r="V171" s="44"/>
      <c r="W171" s="44"/>
      <c r="X171" s="28"/>
      <c r="Y171" s="28"/>
      <c r="Z171" s="28"/>
      <c r="AA171" s="28"/>
      <c r="AB171" s="28"/>
      <c r="AC171" s="28"/>
    </row>
    <row r="172" ht="78.0" customHeight="1">
      <c r="A172" s="32">
        <v>45679.0</v>
      </c>
      <c r="B172" s="34" t="s">
        <v>1463</v>
      </c>
      <c r="C172" s="42"/>
      <c r="D172" s="310" t="s">
        <v>1270</v>
      </c>
      <c r="E172" s="36"/>
      <c r="F172" s="42"/>
      <c r="G172" s="42"/>
      <c r="H172" s="42"/>
      <c r="I172" s="42"/>
      <c r="J172" s="42"/>
      <c r="K172" s="44"/>
      <c r="L172" s="44"/>
      <c r="M172" s="44"/>
      <c r="N172" s="44"/>
      <c r="O172" s="44"/>
      <c r="P172" s="44"/>
      <c r="Q172" s="44"/>
      <c r="R172" s="44"/>
      <c r="S172" s="44"/>
      <c r="T172" s="44"/>
      <c r="U172" s="44"/>
      <c r="V172" s="44"/>
      <c r="W172" s="44"/>
      <c r="X172" s="28"/>
      <c r="Y172" s="28"/>
      <c r="Z172" s="28"/>
      <c r="AA172" s="28"/>
      <c r="AB172" s="28"/>
      <c r="AC172" s="28"/>
    </row>
    <row r="173" ht="78.0" customHeight="1">
      <c r="A173" s="32">
        <v>45678.0</v>
      </c>
      <c r="B173" s="34" t="s">
        <v>1469</v>
      </c>
      <c r="C173" s="42"/>
      <c r="D173" s="310" t="s">
        <v>1471</v>
      </c>
      <c r="E173" s="36"/>
      <c r="F173" s="42"/>
      <c r="G173" s="42"/>
      <c r="H173" s="42"/>
      <c r="I173" s="42"/>
      <c r="J173" s="42"/>
      <c r="K173" s="44"/>
      <c r="L173" s="44"/>
      <c r="M173" s="44"/>
      <c r="N173" s="44"/>
      <c r="O173" s="44"/>
      <c r="P173" s="44"/>
      <c r="Q173" s="44"/>
      <c r="R173" s="44"/>
      <c r="S173" s="44"/>
      <c r="T173" s="44"/>
      <c r="U173" s="44"/>
      <c r="V173" s="44"/>
      <c r="W173" s="44"/>
      <c r="X173" s="28"/>
      <c r="Y173" s="28"/>
      <c r="Z173" s="28"/>
      <c r="AA173" s="28"/>
      <c r="AB173" s="28"/>
      <c r="AC173" s="28"/>
    </row>
    <row r="174" ht="78.0" customHeight="1">
      <c r="A174" s="32">
        <v>45678.0</v>
      </c>
      <c r="B174" s="34" t="s">
        <v>1475</v>
      </c>
      <c r="C174" s="42"/>
      <c r="D174" s="310" t="s">
        <v>1477</v>
      </c>
      <c r="E174" s="36"/>
      <c r="F174" s="42"/>
      <c r="G174" s="42"/>
      <c r="H174" s="42"/>
      <c r="I174" s="42"/>
      <c r="J174" s="42"/>
      <c r="K174" s="44"/>
      <c r="L174" s="44"/>
      <c r="M174" s="44"/>
      <c r="N174" s="44"/>
      <c r="O174" s="44"/>
      <c r="P174" s="44"/>
      <c r="Q174" s="44"/>
      <c r="R174" s="44"/>
      <c r="S174" s="44"/>
      <c r="T174" s="44"/>
      <c r="U174" s="44"/>
      <c r="V174" s="44"/>
      <c r="W174" s="44"/>
      <c r="X174" s="28"/>
      <c r="Y174" s="28"/>
      <c r="Z174" s="28"/>
      <c r="AA174" s="28"/>
      <c r="AB174" s="28"/>
      <c r="AC174" s="28"/>
    </row>
    <row r="175" ht="78.0" customHeight="1">
      <c r="A175" s="32">
        <v>45678.0</v>
      </c>
      <c r="B175" s="34" t="s">
        <v>1340</v>
      </c>
      <c r="C175" s="42"/>
      <c r="D175" s="310" t="s">
        <v>1485</v>
      </c>
      <c r="E175" s="36"/>
      <c r="F175" s="42"/>
      <c r="G175" s="42"/>
      <c r="H175" s="42"/>
      <c r="I175" s="42"/>
      <c r="J175" s="42"/>
      <c r="K175" s="44"/>
      <c r="L175" s="44"/>
      <c r="M175" s="44"/>
      <c r="N175" s="44"/>
      <c r="O175" s="44"/>
      <c r="P175" s="44"/>
      <c r="Q175" s="44"/>
      <c r="R175" s="44"/>
      <c r="S175" s="44"/>
      <c r="T175" s="44"/>
      <c r="U175" s="44"/>
      <c r="V175" s="44"/>
      <c r="W175" s="44"/>
      <c r="X175" s="28"/>
      <c r="Y175" s="28"/>
      <c r="Z175" s="28"/>
      <c r="AA175" s="28"/>
      <c r="AB175" s="28"/>
      <c r="AC175" s="28"/>
    </row>
    <row r="176" ht="78.0" customHeight="1">
      <c r="A176" s="32">
        <v>45678.0</v>
      </c>
      <c r="B176" s="34" t="s">
        <v>1489</v>
      </c>
      <c r="C176" s="42"/>
      <c r="D176" s="310" t="s">
        <v>1490</v>
      </c>
      <c r="E176" s="36"/>
      <c r="F176" s="42"/>
      <c r="G176" s="42"/>
      <c r="H176" s="42"/>
      <c r="I176" s="42"/>
      <c r="J176" s="42"/>
      <c r="K176" s="44"/>
      <c r="L176" s="44"/>
      <c r="M176" s="44"/>
      <c r="N176" s="44"/>
      <c r="O176" s="44"/>
      <c r="P176" s="44"/>
      <c r="Q176" s="44"/>
      <c r="R176" s="44"/>
      <c r="S176" s="44"/>
      <c r="T176" s="44"/>
      <c r="U176" s="44"/>
      <c r="V176" s="44"/>
      <c r="W176" s="44"/>
      <c r="X176" s="28"/>
      <c r="Y176" s="28"/>
      <c r="Z176" s="28"/>
      <c r="AA176" s="28"/>
      <c r="AB176" s="28"/>
      <c r="AC176" s="28"/>
    </row>
    <row r="177" ht="78.0" customHeight="1">
      <c r="A177" s="32">
        <v>45678.0</v>
      </c>
      <c r="B177" s="34" t="s">
        <v>1491</v>
      </c>
      <c r="C177" s="36" t="s">
        <v>1492</v>
      </c>
      <c r="D177" s="310" t="s">
        <v>1493</v>
      </c>
      <c r="E177" s="34" t="s">
        <v>1494</v>
      </c>
      <c r="F177" s="42"/>
      <c r="G177" s="42"/>
      <c r="H177" s="42"/>
      <c r="I177" s="42"/>
      <c r="J177" s="42"/>
      <c r="K177" s="44"/>
      <c r="L177" s="44"/>
      <c r="M177" s="44"/>
      <c r="N177" s="44"/>
      <c r="O177" s="44"/>
      <c r="P177" s="44"/>
      <c r="Q177" s="44"/>
      <c r="R177" s="44"/>
      <c r="S177" s="44"/>
      <c r="T177" s="44"/>
      <c r="U177" s="44"/>
      <c r="V177" s="44"/>
      <c r="W177" s="44"/>
      <c r="X177" s="28"/>
      <c r="Y177" s="28"/>
      <c r="Z177" s="28"/>
      <c r="AA177" s="28"/>
      <c r="AB177" s="28"/>
      <c r="AC177" s="28"/>
    </row>
    <row r="178" ht="78.0" customHeight="1">
      <c r="A178" s="32">
        <v>45678.0</v>
      </c>
      <c r="B178" s="34" t="s">
        <v>1501</v>
      </c>
      <c r="C178" s="42"/>
      <c r="D178" s="310" t="s">
        <v>1503</v>
      </c>
      <c r="E178" s="34" t="s">
        <v>1505</v>
      </c>
      <c r="F178" s="42"/>
      <c r="G178" s="42"/>
      <c r="H178" s="42"/>
      <c r="I178" s="42"/>
      <c r="J178" s="42"/>
      <c r="K178" s="44"/>
      <c r="L178" s="44"/>
      <c r="M178" s="44"/>
      <c r="N178" s="44"/>
      <c r="O178" s="44"/>
      <c r="P178" s="44"/>
      <c r="Q178" s="44"/>
      <c r="R178" s="44"/>
      <c r="S178" s="44"/>
      <c r="T178" s="44"/>
      <c r="U178" s="44"/>
      <c r="V178" s="44"/>
      <c r="W178" s="44"/>
      <c r="X178" s="28"/>
      <c r="Y178" s="28"/>
      <c r="Z178" s="28"/>
      <c r="AA178" s="28"/>
      <c r="AB178" s="28"/>
      <c r="AC178" s="28"/>
    </row>
    <row r="179" ht="78.0" customHeight="1">
      <c r="A179" s="32">
        <v>45678.0</v>
      </c>
      <c r="B179" s="34" t="s">
        <v>1510</v>
      </c>
      <c r="C179" s="42"/>
      <c r="D179" s="310" t="s">
        <v>1511</v>
      </c>
      <c r="E179" s="36"/>
      <c r="F179" s="42"/>
      <c r="G179" s="42"/>
      <c r="H179" s="42"/>
      <c r="I179" s="42"/>
      <c r="J179" s="42"/>
      <c r="K179" s="44"/>
      <c r="L179" s="44"/>
      <c r="M179" s="44"/>
      <c r="N179" s="44"/>
      <c r="O179" s="44"/>
      <c r="P179" s="44"/>
      <c r="Q179" s="44"/>
      <c r="R179" s="44"/>
      <c r="S179" s="44"/>
      <c r="T179" s="44"/>
      <c r="U179" s="44"/>
      <c r="V179" s="44"/>
      <c r="W179" s="44"/>
      <c r="X179" s="28"/>
      <c r="Y179" s="28"/>
      <c r="Z179" s="28"/>
      <c r="AA179" s="28"/>
      <c r="AB179" s="28"/>
      <c r="AC179" s="28"/>
    </row>
    <row r="180" ht="78.0" customHeight="1">
      <c r="A180" s="32">
        <v>45678.0</v>
      </c>
      <c r="B180" s="324" t="s">
        <v>1519</v>
      </c>
      <c r="C180" s="42"/>
      <c r="D180" s="310"/>
      <c r="E180" s="36"/>
      <c r="F180" s="42"/>
      <c r="G180" s="42"/>
      <c r="H180" s="42"/>
      <c r="I180" s="42"/>
      <c r="J180" s="42"/>
      <c r="K180" s="44"/>
      <c r="L180" s="44"/>
      <c r="M180" s="44"/>
      <c r="N180" s="44"/>
      <c r="O180" s="44"/>
      <c r="P180" s="44"/>
      <c r="Q180" s="44"/>
      <c r="R180" s="44"/>
      <c r="S180" s="44"/>
      <c r="T180" s="44"/>
      <c r="U180" s="44"/>
      <c r="V180" s="44"/>
      <c r="W180" s="44"/>
      <c r="X180" s="28"/>
      <c r="Y180" s="28"/>
      <c r="Z180" s="28"/>
      <c r="AA180" s="28"/>
      <c r="AB180" s="28"/>
      <c r="AC180" s="28"/>
    </row>
    <row r="181" ht="78.0" customHeight="1">
      <c r="A181" s="32">
        <v>45677.0</v>
      </c>
      <c r="B181" s="324" t="s">
        <v>1524</v>
      </c>
      <c r="C181" s="42"/>
      <c r="D181" s="310"/>
      <c r="E181" s="36"/>
      <c r="F181" s="42"/>
      <c r="G181" s="42"/>
      <c r="H181" s="42"/>
      <c r="I181" s="42"/>
      <c r="J181" s="42"/>
      <c r="K181" s="44"/>
      <c r="L181" s="44"/>
      <c r="M181" s="44"/>
      <c r="N181" s="44"/>
      <c r="O181" s="44"/>
      <c r="P181" s="44"/>
      <c r="Q181" s="44"/>
      <c r="R181" s="44"/>
      <c r="S181" s="44"/>
      <c r="T181" s="44"/>
      <c r="U181" s="44"/>
      <c r="V181" s="44"/>
      <c r="W181" s="44"/>
      <c r="X181" s="28"/>
      <c r="Y181" s="28"/>
      <c r="Z181" s="28"/>
      <c r="AA181" s="28"/>
      <c r="AB181" s="28"/>
      <c r="AC181" s="28"/>
    </row>
    <row r="182" ht="78.0" customHeight="1">
      <c r="A182" s="32">
        <v>45676.0</v>
      </c>
      <c r="B182" s="324" t="s">
        <v>1529</v>
      </c>
      <c r="C182" s="42"/>
      <c r="D182" s="310" t="s">
        <v>1532</v>
      </c>
      <c r="E182" s="36"/>
      <c r="F182" s="42"/>
      <c r="G182" s="42"/>
      <c r="H182" s="42"/>
      <c r="I182" s="42"/>
      <c r="J182" s="42"/>
      <c r="K182" s="44"/>
      <c r="L182" s="44"/>
      <c r="M182" s="44"/>
      <c r="N182" s="44"/>
      <c r="O182" s="44"/>
      <c r="P182" s="44"/>
      <c r="Q182" s="44"/>
      <c r="R182" s="44"/>
      <c r="S182" s="44"/>
      <c r="T182" s="44"/>
      <c r="U182" s="44"/>
      <c r="V182" s="44"/>
      <c r="W182" s="44"/>
      <c r="X182" s="28"/>
      <c r="Y182" s="28"/>
      <c r="Z182" s="28"/>
      <c r="AA182" s="28"/>
      <c r="AB182" s="28"/>
      <c r="AC182" s="28"/>
    </row>
    <row r="183" ht="78.0" customHeight="1">
      <c r="A183" s="32">
        <v>45675.0</v>
      </c>
      <c r="B183" s="34" t="s">
        <v>1536</v>
      </c>
      <c r="C183" s="42"/>
      <c r="D183" s="310" t="s">
        <v>1537</v>
      </c>
      <c r="E183" s="36"/>
      <c r="F183" s="42"/>
      <c r="G183" s="42"/>
      <c r="H183" s="42"/>
      <c r="I183" s="42"/>
      <c r="J183" s="42"/>
      <c r="K183" s="44"/>
      <c r="L183" s="44"/>
      <c r="M183" s="44"/>
      <c r="N183" s="44"/>
      <c r="O183" s="44"/>
      <c r="P183" s="44"/>
      <c r="Q183" s="44"/>
      <c r="R183" s="44"/>
      <c r="S183" s="44"/>
      <c r="T183" s="44"/>
      <c r="U183" s="44"/>
      <c r="V183" s="44"/>
      <c r="W183" s="44"/>
      <c r="X183" s="28"/>
      <c r="Y183" s="28"/>
      <c r="Z183" s="28"/>
      <c r="AA183" s="28"/>
      <c r="AB183" s="28"/>
      <c r="AC183" s="28"/>
    </row>
    <row r="184" ht="78.0" customHeight="1">
      <c r="A184" s="32">
        <v>45675.0</v>
      </c>
      <c r="B184" s="324" t="s">
        <v>1538</v>
      </c>
      <c r="C184" s="42"/>
      <c r="D184" s="310"/>
      <c r="E184" s="36"/>
      <c r="F184" s="42"/>
      <c r="G184" s="42"/>
      <c r="H184" s="42"/>
      <c r="I184" s="42"/>
      <c r="J184" s="42"/>
      <c r="K184" s="44"/>
      <c r="L184" s="44"/>
      <c r="M184" s="44"/>
      <c r="N184" s="44"/>
      <c r="O184" s="44"/>
      <c r="P184" s="44"/>
      <c r="Q184" s="44"/>
      <c r="R184" s="44"/>
      <c r="S184" s="44"/>
      <c r="T184" s="44"/>
      <c r="U184" s="44"/>
      <c r="V184" s="44"/>
      <c r="W184" s="44"/>
      <c r="X184" s="28"/>
      <c r="Y184" s="28"/>
      <c r="Z184" s="28"/>
      <c r="AA184" s="28"/>
      <c r="AB184" s="28"/>
      <c r="AC184" s="28"/>
    </row>
    <row r="185" ht="78.0" customHeight="1">
      <c r="A185" s="32">
        <v>45674.0</v>
      </c>
      <c r="B185" s="34" t="s">
        <v>1540</v>
      </c>
      <c r="C185" s="42"/>
      <c r="D185" s="310" t="s">
        <v>1541</v>
      </c>
      <c r="E185" s="36"/>
      <c r="F185" s="42"/>
      <c r="G185" s="42"/>
      <c r="H185" s="42"/>
      <c r="I185" s="42"/>
      <c r="J185" s="42"/>
      <c r="K185" s="44"/>
      <c r="L185" s="44"/>
      <c r="M185" s="44"/>
      <c r="N185" s="44"/>
      <c r="O185" s="44"/>
      <c r="P185" s="44"/>
      <c r="Q185" s="44"/>
      <c r="R185" s="44"/>
      <c r="S185" s="44"/>
      <c r="T185" s="44"/>
      <c r="U185" s="44"/>
      <c r="V185" s="44"/>
      <c r="W185" s="44"/>
      <c r="X185" s="28"/>
      <c r="Y185" s="28"/>
      <c r="Z185" s="28"/>
      <c r="AA185" s="28"/>
      <c r="AB185" s="28"/>
      <c r="AC185" s="28"/>
    </row>
    <row r="186" ht="78.0" customHeight="1">
      <c r="A186" s="32">
        <v>45674.0</v>
      </c>
      <c r="B186" s="337" t="s">
        <v>1545</v>
      </c>
      <c r="C186" s="42"/>
      <c r="D186" s="310" t="s">
        <v>1548</v>
      </c>
      <c r="E186" s="36"/>
      <c r="F186" s="42"/>
      <c r="G186" s="42"/>
      <c r="H186" s="42"/>
      <c r="I186" s="42"/>
      <c r="J186" s="42"/>
      <c r="K186" s="44"/>
      <c r="L186" s="44"/>
      <c r="M186" s="44"/>
      <c r="N186" s="44"/>
      <c r="O186" s="44"/>
      <c r="P186" s="44"/>
      <c r="Q186" s="44"/>
      <c r="R186" s="44"/>
      <c r="S186" s="44"/>
      <c r="T186" s="44"/>
      <c r="U186" s="44"/>
      <c r="V186" s="44"/>
      <c r="W186" s="44"/>
      <c r="X186" s="28"/>
      <c r="Y186" s="28"/>
      <c r="Z186" s="28"/>
      <c r="AA186" s="28"/>
      <c r="AB186" s="28"/>
      <c r="AC186" s="28"/>
    </row>
    <row r="187" ht="78.0" customHeight="1">
      <c r="A187" s="32">
        <v>45674.0</v>
      </c>
      <c r="B187" s="34" t="s">
        <v>1551</v>
      </c>
      <c r="C187" s="42"/>
      <c r="D187" s="310"/>
      <c r="E187" s="36"/>
      <c r="F187" s="42"/>
      <c r="G187" s="42"/>
      <c r="H187" s="42"/>
      <c r="I187" s="42"/>
      <c r="J187" s="42"/>
      <c r="K187" s="44"/>
      <c r="L187" s="44"/>
      <c r="M187" s="44"/>
      <c r="N187" s="44"/>
      <c r="O187" s="44"/>
      <c r="P187" s="44"/>
      <c r="Q187" s="44"/>
      <c r="R187" s="44"/>
      <c r="S187" s="44"/>
      <c r="T187" s="44"/>
      <c r="U187" s="44"/>
      <c r="V187" s="44"/>
      <c r="W187" s="44"/>
      <c r="X187" s="28"/>
      <c r="Y187" s="28"/>
      <c r="Z187" s="28"/>
      <c r="AA187" s="28"/>
      <c r="AB187" s="28"/>
      <c r="AC187" s="28"/>
    </row>
    <row r="188" ht="78.0" customHeight="1">
      <c r="A188" s="32">
        <v>45673.0</v>
      </c>
      <c r="B188" s="34" t="s">
        <v>1556</v>
      </c>
      <c r="C188" s="42"/>
      <c r="D188" s="310" t="s">
        <v>1558</v>
      </c>
      <c r="E188" s="36"/>
      <c r="F188" s="42"/>
      <c r="G188" s="42"/>
      <c r="H188" s="42"/>
      <c r="I188" s="42"/>
      <c r="J188" s="42"/>
      <c r="K188" s="44"/>
      <c r="L188" s="44"/>
      <c r="M188" s="44"/>
      <c r="N188" s="44"/>
      <c r="O188" s="44"/>
      <c r="P188" s="44"/>
      <c r="Q188" s="44"/>
      <c r="R188" s="44"/>
      <c r="S188" s="44"/>
      <c r="T188" s="44"/>
      <c r="U188" s="44"/>
      <c r="V188" s="44"/>
      <c r="W188" s="44"/>
      <c r="X188" s="28"/>
      <c r="Y188" s="28"/>
      <c r="Z188" s="28"/>
      <c r="AA188" s="28"/>
      <c r="AB188" s="28"/>
      <c r="AC188" s="28"/>
    </row>
    <row r="189" ht="78.0" customHeight="1">
      <c r="A189" s="32">
        <v>45673.0</v>
      </c>
      <c r="B189" s="34" t="s">
        <v>1562</v>
      </c>
      <c r="C189" s="42"/>
      <c r="D189" s="310"/>
      <c r="E189" s="36"/>
      <c r="F189" s="42"/>
      <c r="G189" s="42"/>
      <c r="H189" s="42"/>
      <c r="I189" s="42"/>
      <c r="J189" s="42"/>
      <c r="K189" s="44"/>
      <c r="L189" s="44"/>
      <c r="M189" s="44"/>
      <c r="N189" s="44"/>
      <c r="O189" s="44"/>
      <c r="P189" s="44"/>
      <c r="Q189" s="44"/>
      <c r="R189" s="44"/>
      <c r="S189" s="44"/>
      <c r="T189" s="44"/>
      <c r="U189" s="44"/>
      <c r="V189" s="44"/>
      <c r="W189" s="44"/>
      <c r="X189" s="28"/>
      <c r="Y189" s="28"/>
      <c r="Z189" s="28"/>
      <c r="AA189" s="28"/>
      <c r="AB189" s="28"/>
      <c r="AC189" s="28"/>
    </row>
    <row r="190" ht="78.0" customHeight="1">
      <c r="A190" s="32">
        <v>45673.0</v>
      </c>
      <c r="B190" s="34" t="s">
        <v>1569</v>
      </c>
      <c r="C190" s="42"/>
      <c r="D190" s="310" t="s">
        <v>1570</v>
      </c>
      <c r="E190" s="36"/>
      <c r="F190" s="42"/>
      <c r="G190" s="42"/>
      <c r="H190" s="42"/>
      <c r="I190" s="42"/>
      <c r="J190" s="42"/>
      <c r="K190" s="44"/>
      <c r="L190" s="44"/>
      <c r="M190" s="44"/>
      <c r="N190" s="44"/>
      <c r="O190" s="44"/>
      <c r="P190" s="44"/>
      <c r="Q190" s="44"/>
      <c r="R190" s="44"/>
      <c r="S190" s="44"/>
      <c r="T190" s="44"/>
      <c r="U190" s="44"/>
      <c r="V190" s="44"/>
      <c r="W190" s="44"/>
      <c r="X190" s="28"/>
      <c r="Y190" s="28"/>
      <c r="Z190" s="28"/>
      <c r="AA190" s="28"/>
      <c r="AB190" s="28"/>
      <c r="AC190" s="28"/>
    </row>
    <row r="191" ht="78.0" customHeight="1">
      <c r="A191" s="32">
        <v>45673.0</v>
      </c>
      <c r="B191" s="34" t="s">
        <v>1583</v>
      </c>
      <c r="C191" s="42"/>
      <c r="D191" s="310" t="s">
        <v>1584</v>
      </c>
      <c r="E191" s="34" t="s">
        <v>1585</v>
      </c>
      <c r="F191" s="42"/>
      <c r="G191" s="42"/>
      <c r="H191" s="42"/>
      <c r="I191" s="42"/>
      <c r="J191" s="42"/>
      <c r="K191" s="44"/>
      <c r="L191" s="44"/>
      <c r="M191" s="44"/>
      <c r="N191" s="44"/>
      <c r="O191" s="44"/>
      <c r="P191" s="44"/>
      <c r="Q191" s="44"/>
      <c r="R191" s="44"/>
      <c r="S191" s="44"/>
      <c r="T191" s="44"/>
      <c r="U191" s="44"/>
      <c r="V191" s="44"/>
      <c r="W191" s="44"/>
      <c r="X191" s="28"/>
      <c r="Y191" s="28"/>
      <c r="Z191" s="28"/>
      <c r="AA191" s="28"/>
      <c r="AB191" s="28"/>
      <c r="AC191" s="28"/>
    </row>
    <row r="192" ht="78.0" customHeight="1">
      <c r="A192" s="32">
        <v>45672.0</v>
      </c>
      <c r="B192" s="34" t="s">
        <v>1594</v>
      </c>
      <c r="C192" s="42"/>
      <c r="D192" s="310" t="s">
        <v>1595</v>
      </c>
      <c r="E192" s="36"/>
      <c r="F192" s="42"/>
      <c r="G192" s="42"/>
      <c r="H192" s="42"/>
      <c r="I192" s="42"/>
      <c r="J192" s="42"/>
      <c r="K192" s="44"/>
      <c r="L192" s="44"/>
      <c r="M192" s="44"/>
      <c r="N192" s="44"/>
      <c r="O192" s="44"/>
      <c r="P192" s="44"/>
      <c r="Q192" s="44"/>
      <c r="R192" s="44"/>
      <c r="S192" s="44"/>
      <c r="T192" s="44"/>
      <c r="U192" s="44"/>
      <c r="V192" s="44"/>
      <c r="W192" s="44"/>
      <c r="X192" s="28"/>
      <c r="Y192" s="28"/>
      <c r="Z192" s="28"/>
      <c r="AA192" s="28"/>
      <c r="AB192" s="28"/>
      <c r="AC192" s="28"/>
    </row>
    <row r="193" ht="78.0" customHeight="1">
      <c r="A193" s="32">
        <v>45672.0</v>
      </c>
      <c r="B193" s="34" t="s">
        <v>1611</v>
      </c>
      <c r="C193" s="42"/>
      <c r="D193" s="310" t="s">
        <v>1614</v>
      </c>
      <c r="E193" s="36"/>
      <c r="F193" s="42"/>
      <c r="G193" s="42"/>
      <c r="H193" s="42"/>
      <c r="I193" s="42"/>
      <c r="J193" s="42"/>
      <c r="K193" s="44"/>
      <c r="L193" s="44"/>
      <c r="M193" s="44"/>
      <c r="N193" s="44"/>
      <c r="O193" s="44"/>
      <c r="P193" s="44"/>
      <c r="Q193" s="44"/>
      <c r="R193" s="44"/>
      <c r="S193" s="44"/>
      <c r="T193" s="44"/>
      <c r="U193" s="44"/>
      <c r="V193" s="44"/>
      <c r="W193" s="44"/>
      <c r="X193" s="28"/>
      <c r="Y193" s="28"/>
      <c r="Z193" s="28"/>
      <c r="AA193" s="28"/>
      <c r="AB193" s="28"/>
      <c r="AC193" s="28"/>
    </row>
    <row r="194" ht="78.0" customHeight="1">
      <c r="A194" s="32">
        <v>45672.0</v>
      </c>
      <c r="B194" s="34" t="s">
        <v>1621</v>
      </c>
      <c r="C194" s="42"/>
      <c r="D194" s="310" t="s">
        <v>1622</v>
      </c>
      <c r="E194" s="34" t="s">
        <v>1623</v>
      </c>
      <c r="F194" s="42"/>
      <c r="G194" s="42"/>
      <c r="H194" s="42"/>
      <c r="I194" s="42"/>
      <c r="J194" s="42"/>
      <c r="K194" s="44"/>
      <c r="L194" s="44"/>
      <c r="M194" s="44"/>
      <c r="N194" s="44"/>
      <c r="O194" s="44"/>
      <c r="P194" s="44"/>
      <c r="Q194" s="44"/>
      <c r="R194" s="44"/>
      <c r="S194" s="44"/>
      <c r="T194" s="44"/>
      <c r="U194" s="44"/>
      <c r="V194" s="44"/>
      <c r="W194" s="44"/>
      <c r="X194" s="28"/>
      <c r="Y194" s="28"/>
      <c r="Z194" s="28"/>
      <c r="AA194" s="28"/>
      <c r="AB194" s="28"/>
      <c r="AC194" s="28"/>
    </row>
    <row r="195" ht="78.0" customHeight="1">
      <c r="A195" s="32">
        <v>45671.0</v>
      </c>
      <c r="B195" s="34" t="s">
        <v>1629</v>
      </c>
      <c r="C195" s="42"/>
      <c r="D195" s="372"/>
      <c r="E195" s="36"/>
      <c r="F195" s="42"/>
      <c r="G195" s="42"/>
      <c r="H195" s="42"/>
      <c r="I195" s="42"/>
      <c r="J195" s="42"/>
      <c r="K195" s="44"/>
      <c r="L195" s="44"/>
      <c r="M195" s="44"/>
      <c r="N195" s="44"/>
      <c r="O195" s="44"/>
      <c r="P195" s="44"/>
      <c r="Q195" s="44"/>
      <c r="R195" s="44"/>
      <c r="S195" s="44"/>
      <c r="T195" s="44"/>
      <c r="U195" s="44"/>
      <c r="V195" s="44"/>
      <c r="W195" s="44"/>
      <c r="X195" s="28"/>
      <c r="Y195" s="28"/>
      <c r="Z195" s="28"/>
      <c r="AA195" s="28"/>
      <c r="AB195" s="28"/>
      <c r="AC195" s="28"/>
    </row>
    <row r="196" ht="78.0" customHeight="1">
      <c r="A196" s="32">
        <v>45671.0</v>
      </c>
      <c r="B196" s="34" t="s">
        <v>1636</v>
      </c>
      <c r="C196" s="36" t="s">
        <v>1373</v>
      </c>
      <c r="D196" s="310" t="s">
        <v>1638</v>
      </c>
      <c r="E196" s="36" t="s">
        <v>1640</v>
      </c>
      <c r="F196" s="42"/>
      <c r="G196" s="42"/>
      <c r="H196" s="42"/>
      <c r="I196" s="42"/>
      <c r="J196" s="42"/>
      <c r="K196" s="44"/>
      <c r="L196" s="44"/>
      <c r="M196" s="44"/>
      <c r="N196" s="44"/>
      <c r="O196" s="44"/>
      <c r="P196" s="44"/>
      <c r="Q196" s="44"/>
      <c r="R196" s="44"/>
      <c r="S196" s="44"/>
      <c r="T196" s="44"/>
      <c r="U196" s="44"/>
      <c r="V196" s="44"/>
      <c r="W196" s="44"/>
      <c r="X196" s="28"/>
      <c r="Y196" s="28"/>
      <c r="Z196" s="28"/>
      <c r="AA196" s="28"/>
      <c r="AB196" s="28"/>
      <c r="AC196" s="28"/>
    </row>
    <row r="197" ht="78.0" customHeight="1">
      <c r="A197" s="32">
        <v>45671.0</v>
      </c>
      <c r="B197" s="34" t="s">
        <v>1651</v>
      </c>
      <c r="C197" s="42"/>
      <c r="D197" s="310" t="s">
        <v>1653</v>
      </c>
      <c r="E197" s="36" t="s">
        <v>1655</v>
      </c>
      <c r="F197" s="42"/>
      <c r="G197" s="42"/>
      <c r="H197" s="42"/>
      <c r="I197" s="42"/>
      <c r="J197" s="42"/>
      <c r="K197" s="44"/>
      <c r="L197" s="44"/>
      <c r="M197" s="44"/>
      <c r="N197" s="44"/>
      <c r="O197" s="44"/>
      <c r="P197" s="44"/>
      <c r="Q197" s="44"/>
      <c r="R197" s="44"/>
      <c r="S197" s="44"/>
      <c r="T197" s="44"/>
      <c r="U197" s="44"/>
      <c r="V197" s="44"/>
      <c r="W197" s="44"/>
      <c r="X197" s="28"/>
      <c r="Y197" s="28"/>
      <c r="Z197" s="28"/>
      <c r="AA197" s="28"/>
      <c r="AB197" s="28"/>
      <c r="AC197" s="28"/>
    </row>
    <row r="198" ht="78.0" customHeight="1">
      <c r="A198" s="32">
        <v>45671.0</v>
      </c>
      <c r="B198" s="34" t="s">
        <v>1660</v>
      </c>
      <c r="C198" s="42"/>
      <c r="D198" s="36" t="s">
        <v>1661</v>
      </c>
      <c r="E198" s="36" t="s">
        <v>1662</v>
      </c>
      <c r="F198" s="42"/>
      <c r="G198" s="42"/>
      <c r="H198" s="42"/>
      <c r="I198" s="42"/>
      <c r="J198" s="44"/>
      <c r="K198" s="44"/>
      <c r="L198" s="44"/>
      <c r="M198" s="44"/>
      <c r="N198" s="44"/>
      <c r="O198" s="44"/>
      <c r="P198" s="44"/>
      <c r="Q198" s="44"/>
      <c r="R198" s="44"/>
      <c r="S198" s="44"/>
      <c r="T198" s="44"/>
      <c r="U198" s="44"/>
      <c r="V198" s="44"/>
      <c r="W198" s="44"/>
      <c r="X198" s="28"/>
      <c r="Y198" s="28"/>
      <c r="Z198" s="28"/>
      <c r="AA198" s="28"/>
      <c r="AB198" s="28"/>
    </row>
    <row r="199" ht="78.0" customHeight="1">
      <c r="A199" s="32">
        <v>45671.0</v>
      </c>
      <c r="B199" s="385" t="s">
        <v>1669</v>
      </c>
      <c r="C199" s="42"/>
      <c r="D199" s="310" t="s">
        <v>1672</v>
      </c>
      <c r="E199" s="36"/>
      <c r="F199" s="42"/>
      <c r="G199" s="42"/>
      <c r="H199" s="42"/>
      <c r="I199" s="42"/>
      <c r="J199" s="42"/>
      <c r="K199" s="44"/>
      <c r="L199" s="44"/>
      <c r="M199" s="44"/>
      <c r="N199" s="44"/>
      <c r="O199" s="44"/>
      <c r="P199" s="44"/>
      <c r="Q199" s="44"/>
      <c r="R199" s="44"/>
      <c r="S199" s="44"/>
      <c r="T199" s="44"/>
      <c r="U199" s="44"/>
      <c r="V199" s="44"/>
      <c r="W199" s="44"/>
      <c r="X199" s="28"/>
      <c r="Y199" s="28"/>
      <c r="Z199" s="28"/>
      <c r="AA199" s="28"/>
      <c r="AB199" s="28"/>
      <c r="AC199" s="28"/>
    </row>
    <row r="200" ht="117.75" customHeight="1">
      <c r="A200" s="32">
        <v>45670.0</v>
      </c>
      <c r="B200" s="34" t="s">
        <v>1681</v>
      </c>
      <c r="C200" s="42"/>
      <c r="D200" s="392" t="s">
        <v>1683</v>
      </c>
      <c r="E200" s="34" t="s">
        <v>1687</v>
      </c>
      <c r="F200" s="42"/>
      <c r="G200" s="42"/>
      <c r="H200" s="42"/>
      <c r="I200" s="42"/>
      <c r="J200" s="42"/>
      <c r="K200" s="44"/>
      <c r="L200" s="44"/>
      <c r="M200" s="44"/>
      <c r="N200" s="44"/>
      <c r="O200" s="44"/>
      <c r="P200" s="44"/>
      <c r="Q200" s="44"/>
      <c r="R200" s="44"/>
      <c r="S200" s="44"/>
      <c r="T200" s="44"/>
      <c r="U200" s="44"/>
      <c r="V200" s="44"/>
      <c r="W200" s="44"/>
      <c r="X200" s="28"/>
      <c r="Y200" s="28"/>
      <c r="Z200" s="28"/>
      <c r="AA200" s="28"/>
      <c r="AB200" s="28"/>
      <c r="AC200" s="28"/>
    </row>
    <row r="201" ht="78.0" customHeight="1">
      <c r="A201" s="32">
        <v>45670.0</v>
      </c>
      <c r="B201" s="34" t="s">
        <v>1698</v>
      </c>
      <c r="C201" s="42"/>
      <c r="D201" s="310" t="s">
        <v>1699</v>
      </c>
      <c r="E201" s="34" t="s">
        <v>1704</v>
      </c>
      <c r="F201" s="42"/>
      <c r="G201" s="42"/>
      <c r="H201" s="42"/>
      <c r="I201" s="42"/>
      <c r="J201" s="42"/>
      <c r="K201" s="44"/>
      <c r="L201" s="44"/>
      <c r="M201" s="44"/>
      <c r="N201" s="44"/>
      <c r="O201" s="44"/>
      <c r="P201" s="44"/>
      <c r="Q201" s="44"/>
      <c r="R201" s="44"/>
      <c r="S201" s="44"/>
      <c r="T201" s="44"/>
      <c r="U201" s="44"/>
      <c r="V201" s="44"/>
      <c r="W201" s="44"/>
      <c r="X201" s="28"/>
      <c r="Y201" s="28"/>
      <c r="Z201" s="28"/>
      <c r="AA201" s="28"/>
      <c r="AB201" s="28"/>
      <c r="AC201" s="28"/>
    </row>
    <row r="202" ht="78.0" customHeight="1">
      <c r="A202" s="32">
        <v>45670.0</v>
      </c>
      <c r="B202" s="34" t="s">
        <v>1711</v>
      </c>
      <c r="C202" s="42"/>
      <c r="D202" s="34" t="s">
        <v>1712</v>
      </c>
      <c r="E202" s="36"/>
      <c r="F202" s="42"/>
      <c r="G202" s="42"/>
      <c r="H202" s="42"/>
      <c r="I202" s="42"/>
      <c r="J202" s="42"/>
      <c r="K202" s="44"/>
      <c r="L202" s="44"/>
      <c r="M202" s="44"/>
      <c r="N202" s="44"/>
      <c r="O202" s="44"/>
      <c r="P202" s="44"/>
      <c r="Q202" s="44"/>
      <c r="R202" s="44"/>
      <c r="S202" s="44"/>
      <c r="T202" s="44"/>
      <c r="U202" s="44"/>
      <c r="V202" s="44"/>
      <c r="W202" s="44"/>
      <c r="X202" s="28"/>
      <c r="Y202" s="28"/>
      <c r="Z202" s="28"/>
      <c r="AA202" s="28"/>
      <c r="AB202" s="28"/>
      <c r="AC202" s="28"/>
    </row>
    <row r="203" ht="78.0" customHeight="1">
      <c r="A203" s="32">
        <v>45670.0</v>
      </c>
      <c r="B203" s="34" t="s">
        <v>1719</v>
      </c>
      <c r="C203" s="42"/>
      <c r="D203" s="34"/>
      <c r="E203" s="36"/>
      <c r="F203" s="42"/>
      <c r="G203" s="42"/>
      <c r="H203" s="42"/>
      <c r="I203" s="42"/>
      <c r="J203" s="42"/>
      <c r="K203" s="44"/>
      <c r="L203" s="44"/>
      <c r="M203" s="44"/>
      <c r="N203" s="44"/>
      <c r="O203" s="44"/>
      <c r="P203" s="44"/>
      <c r="Q203" s="44"/>
      <c r="R203" s="44"/>
      <c r="S203" s="44"/>
      <c r="T203" s="44"/>
      <c r="U203" s="44"/>
      <c r="V203" s="44"/>
      <c r="W203" s="44"/>
      <c r="X203" s="28"/>
      <c r="Y203" s="28"/>
      <c r="Z203" s="28"/>
      <c r="AA203" s="28"/>
      <c r="AB203" s="28"/>
      <c r="AC203" s="28"/>
    </row>
    <row r="204" ht="78.0" customHeight="1">
      <c r="A204" s="32">
        <v>45668.0</v>
      </c>
      <c r="B204" s="34" t="s">
        <v>1728</v>
      </c>
      <c r="C204" s="42"/>
      <c r="D204" s="34" t="s">
        <v>1730</v>
      </c>
      <c r="E204" s="36"/>
      <c r="F204" s="42"/>
      <c r="G204" s="42"/>
      <c r="H204" s="42"/>
      <c r="I204" s="42"/>
      <c r="J204" s="42"/>
      <c r="K204" s="44"/>
      <c r="L204" s="44"/>
      <c r="M204" s="44"/>
      <c r="N204" s="44"/>
      <c r="O204" s="44"/>
      <c r="P204" s="44"/>
      <c r="Q204" s="44"/>
      <c r="R204" s="44"/>
      <c r="S204" s="44"/>
      <c r="T204" s="44"/>
      <c r="U204" s="44"/>
      <c r="V204" s="44"/>
      <c r="W204" s="44"/>
      <c r="X204" s="28"/>
      <c r="Y204" s="28"/>
      <c r="Z204" s="28"/>
      <c r="AA204" s="28"/>
      <c r="AB204" s="28"/>
      <c r="AC204" s="28"/>
    </row>
    <row r="205" ht="78.0" customHeight="1">
      <c r="A205" s="32">
        <v>45667.0</v>
      </c>
      <c r="B205" s="34" t="s">
        <v>1738</v>
      </c>
      <c r="C205" s="42"/>
      <c r="D205" s="34"/>
      <c r="E205" s="36"/>
      <c r="F205" s="42"/>
      <c r="G205" s="42"/>
      <c r="H205" s="42"/>
      <c r="I205" s="42"/>
      <c r="J205" s="42"/>
      <c r="K205" s="44"/>
      <c r="L205" s="44"/>
      <c r="M205" s="44"/>
      <c r="N205" s="44"/>
      <c r="O205" s="44"/>
      <c r="P205" s="44"/>
      <c r="Q205" s="44"/>
      <c r="R205" s="44"/>
      <c r="S205" s="44"/>
      <c r="T205" s="44"/>
      <c r="U205" s="44"/>
      <c r="V205" s="44"/>
      <c r="W205" s="44"/>
      <c r="X205" s="28"/>
      <c r="Y205" s="28"/>
      <c r="Z205" s="28"/>
      <c r="AA205" s="28"/>
      <c r="AB205" s="28"/>
      <c r="AC205" s="28"/>
    </row>
    <row r="206" ht="78.0" customHeight="1">
      <c r="A206" s="32">
        <v>45667.0</v>
      </c>
      <c r="B206" s="34" t="s">
        <v>1751</v>
      </c>
      <c r="C206" s="42"/>
      <c r="D206" s="34" t="s">
        <v>1753</v>
      </c>
      <c r="E206" s="36"/>
      <c r="F206" s="42"/>
      <c r="G206" s="42"/>
      <c r="H206" s="42"/>
      <c r="I206" s="42"/>
      <c r="J206" s="42"/>
      <c r="K206" s="44"/>
      <c r="L206" s="44"/>
      <c r="M206" s="44"/>
      <c r="N206" s="44"/>
      <c r="O206" s="44"/>
      <c r="P206" s="44"/>
      <c r="Q206" s="44"/>
      <c r="R206" s="44"/>
      <c r="S206" s="44"/>
      <c r="T206" s="44"/>
      <c r="U206" s="44"/>
      <c r="V206" s="44"/>
      <c r="W206" s="44"/>
      <c r="X206" s="28"/>
      <c r="Y206" s="28"/>
      <c r="Z206" s="28"/>
      <c r="AA206" s="28"/>
      <c r="AB206" s="28"/>
      <c r="AC206" s="28"/>
    </row>
    <row r="207" ht="78.0" customHeight="1">
      <c r="A207" s="32">
        <v>45667.0</v>
      </c>
      <c r="B207" s="34" t="s">
        <v>1764</v>
      </c>
      <c r="C207" s="42"/>
      <c r="D207" s="34"/>
      <c r="E207" s="36"/>
      <c r="F207" s="42"/>
      <c r="G207" s="42"/>
      <c r="H207" s="42"/>
      <c r="I207" s="42"/>
      <c r="J207" s="42"/>
      <c r="K207" s="44"/>
      <c r="L207" s="44"/>
      <c r="M207" s="44"/>
      <c r="N207" s="44"/>
      <c r="O207" s="44"/>
      <c r="P207" s="44"/>
      <c r="Q207" s="44"/>
      <c r="R207" s="44"/>
      <c r="S207" s="44"/>
      <c r="T207" s="44"/>
      <c r="U207" s="44"/>
      <c r="V207" s="44"/>
      <c r="W207" s="44"/>
      <c r="X207" s="28"/>
      <c r="Y207" s="28"/>
      <c r="Z207" s="28"/>
      <c r="AA207" s="28"/>
      <c r="AB207" s="28"/>
      <c r="AC207" s="28"/>
    </row>
    <row r="208" ht="78.0" customHeight="1">
      <c r="A208" s="32">
        <v>45666.0</v>
      </c>
      <c r="B208" s="34" t="s">
        <v>1774</v>
      </c>
      <c r="C208" s="42"/>
      <c r="D208" s="34"/>
      <c r="E208" s="36"/>
      <c r="F208" s="42"/>
      <c r="G208" s="42"/>
      <c r="H208" s="42"/>
      <c r="I208" s="42"/>
      <c r="J208" s="42"/>
      <c r="K208" s="44"/>
      <c r="L208" s="44"/>
      <c r="M208" s="44"/>
      <c r="N208" s="44"/>
      <c r="O208" s="44"/>
      <c r="P208" s="44"/>
      <c r="Q208" s="44"/>
      <c r="R208" s="44"/>
      <c r="S208" s="44"/>
      <c r="T208" s="44"/>
      <c r="U208" s="44"/>
      <c r="V208" s="44"/>
      <c r="W208" s="44"/>
      <c r="X208" s="28"/>
      <c r="Y208" s="28"/>
      <c r="Z208" s="28"/>
      <c r="AA208" s="28"/>
      <c r="AB208" s="28"/>
      <c r="AC208" s="28"/>
    </row>
    <row r="209" ht="78.0" customHeight="1">
      <c r="A209" s="32">
        <v>45666.0</v>
      </c>
      <c r="B209" s="34" t="s">
        <v>1782</v>
      </c>
      <c r="C209" s="42"/>
      <c r="D209" s="34" t="s">
        <v>1785</v>
      </c>
      <c r="E209" s="34" t="s">
        <v>1788</v>
      </c>
      <c r="F209" s="42"/>
      <c r="G209" s="42"/>
      <c r="H209" s="42"/>
      <c r="I209" s="42"/>
      <c r="J209" s="42"/>
      <c r="K209" s="44"/>
      <c r="L209" s="44"/>
      <c r="M209" s="44"/>
      <c r="N209" s="44"/>
      <c r="O209" s="44"/>
      <c r="P209" s="44"/>
      <c r="Q209" s="44"/>
      <c r="R209" s="44"/>
      <c r="S209" s="44"/>
      <c r="T209" s="44"/>
      <c r="U209" s="44"/>
      <c r="V209" s="44"/>
      <c r="W209" s="44"/>
      <c r="X209" s="28"/>
      <c r="Y209" s="28"/>
      <c r="Z209" s="28"/>
      <c r="AA209" s="28"/>
      <c r="AB209" s="28"/>
      <c r="AC209" s="28"/>
    </row>
    <row r="210" ht="78.0" customHeight="1">
      <c r="A210" s="32">
        <v>45666.0</v>
      </c>
      <c r="B210" s="34" t="s">
        <v>1798</v>
      </c>
      <c r="C210" s="42"/>
      <c r="D210" s="34" t="s">
        <v>1801</v>
      </c>
      <c r="E210" s="42"/>
      <c r="F210" s="42"/>
      <c r="G210" s="42"/>
      <c r="H210" s="42"/>
      <c r="I210" s="42"/>
      <c r="J210" s="42"/>
      <c r="K210" s="44"/>
      <c r="L210" s="44"/>
      <c r="M210" s="44"/>
      <c r="N210" s="44"/>
      <c r="O210" s="44"/>
      <c r="P210" s="44"/>
      <c r="Q210" s="44"/>
      <c r="R210" s="44"/>
      <c r="S210" s="44"/>
      <c r="T210" s="44"/>
      <c r="U210" s="44"/>
      <c r="V210" s="44"/>
      <c r="W210" s="44"/>
      <c r="X210" s="28"/>
      <c r="Y210" s="28"/>
      <c r="Z210" s="28"/>
      <c r="AA210" s="28"/>
      <c r="AB210" s="28"/>
      <c r="AC210" s="28"/>
    </row>
    <row r="211" ht="78.0" customHeight="1">
      <c r="A211" s="32">
        <v>45665.0</v>
      </c>
      <c r="B211" s="34" t="s">
        <v>1813</v>
      </c>
      <c r="C211" s="42"/>
      <c r="D211" s="34" t="s">
        <v>1814</v>
      </c>
      <c r="E211" s="42"/>
      <c r="F211" s="42"/>
      <c r="G211" s="42"/>
      <c r="H211" s="42"/>
      <c r="I211" s="42"/>
      <c r="J211" s="42"/>
      <c r="K211" s="44"/>
      <c r="L211" s="44"/>
      <c r="M211" s="44"/>
      <c r="N211" s="44"/>
      <c r="O211" s="44"/>
      <c r="P211" s="44"/>
      <c r="Q211" s="44"/>
      <c r="R211" s="44"/>
      <c r="S211" s="44"/>
      <c r="T211" s="44"/>
      <c r="U211" s="44"/>
      <c r="V211" s="44"/>
      <c r="W211" s="44"/>
      <c r="X211" s="28"/>
      <c r="Y211" s="28"/>
      <c r="Z211" s="28"/>
      <c r="AA211" s="28"/>
      <c r="AB211" s="28"/>
      <c r="AC211" s="28"/>
    </row>
    <row r="212" ht="78.0" customHeight="1">
      <c r="A212" s="32">
        <v>45665.0</v>
      </c>
      <c r="B212" s="34" t="s">
        <v>1821</v>
      </c>
      <c r="C212" s="42"/>
      <c r="D212" s="34" t="s">
        <v>1823</v>
      </c>
      <c r="E212" s="42"/>
      <c r="F212" s="42"/>
      <c r="G212" s="42"/>
      <c r="H212" s="42"/>
      <c r="I212" s="42"/>
      <c r="J212" s="42"/>
      <c r="K212" s="44"/>
      <c r="L212" s="44"/>
      <c r="M212" s="44"/>
      <c r="N212" s="44"/>
      <c r="O212" s="44"/>
      <c r="P212" s="44"/>
      <c r="Q212" s="44"/>
      <c r="R212" s="44"/>
      <c r="S212" s="44"/>
      <c r="T212" s="44"/>
      <c r="U212" s="44"/>
      <c r="V212" s="44"/>
      <c r="W212" s="44"/>
      <c r="X212" s="28"/>
      <c r="Y212" s="28"/>
      <c r="Z212" s="28"/>
      <c r="AA212" s="28"/>
      <c r="AB212" s="28"/>
      <c r="AC212" s="28"/>
    </row>
    <row r="213" ht="78.0" customHeight="1">
      <c r="A213" s="32">
        <v>45665.0</v>
      </c>
      <c r="B213" s="34" t="s">
        <v>1828</v>
      </c>
      <c r="C213" s="42"/>
      <c r="D213" s="414"/>
      <c r="E213" s="42"/>
      <c r="F213" s="42"/>
      <c r="G213" s="42"/>
      <c r="H213" s="42"/>
      <c r="I213" s="42"/>
      <c r="J213" s="42"/>
      <c r="K213" s="44"/>
      <c r="L213" s="44"/>
      <c r="M213" s="44"/>
      <c r="N213" s="44"/>
      <c r="O213" s="44"/>
      <c r="P213" s="44"/>
      <c r="Q213" s="44"/>
      <c r="R213" s="44"/>
      <c r="S213" s="44"/>
      <c r="T213" s="44"/>
      <c r="U213" s="44"/>
      <c r="V213" s="44"/>
      <c r="W213" s="44"/>
      <c r="X213" s="28"/>
      <c r="Y213" s="28"/>
      <c r="Z213" s="28"/>
      <c r="AA213" s="28"/>
      <c r="AB213" s="28"/>
      <c r="AC213" s="28"/>
    </row>
    <row r="214" ht="78.0" customHeight="1">
      <c r="A214" s="32">
        <v>45664.0</v>
      </c>
      <c r="B214" s="34" t="s">
        <v>1832</v>
      </c>
      <c r="C214" s="42"/>
      <c r="D214" s="34" t="s">
        <v>1833</v>
      </c>
      <c r="E214" s="42"/>
      <c r="F214" s="42"/>
      <c r="G214" s="42"/>
      <c r="H214" s="42"/>
      <c r="I214" s="42"/>
      <c r="J214" s="42"/>
      <c r="K214" s="44"/>
      <c r="L214" s="44"/>
      <c r="M214" s="44"/>
      <c r="N214" s="44"/>
      <c r="O214" s="44"/>
      <c r="P214" s="44"/>
      <c r="Q214" s="44"/>
      <c r="R214" s="44"/>
      <c r="S214" s="44"/>
      <c r="T214" s="44"/>
      <c r="U214" s="44"/>
      <c r="V214" s="44"/>
      <c r="W214" s="44"/>
      <c r="X214" s="28"/>
      <c r="Y214" s="28"/>
      <c r="Z214" s="28"/>
      <c r="AA214" s="28"/>
      <c r="AB214" s="28"/>
      <c r="AC214" s="28"/>
    </row>
    <row r="215" ht="78.0" customHeight="1">
      <c r="A215" s="32">
        <v>45664.0</v>
      </c>
      <c r="B215" s="34" t="s">
        <v>1839</v>
      </c>
      <c r="C215" s="42"/>
      <c r="D215" s="34" t="s">
        <v>1841</v>
      </c>
      <c r="E215" s="36" t="s">
        <v>1844</v>
      </c>
      <c r="F215" s="42"/>
      <c r="G215" s="42"/>
      <c r="H215" s="42"/>
      <c r="I215" s="42"/>
      <c r="J215" s="42"/>
      <c r="K215" s="44"/>
      <c r="L215" s="44"/>
      <c r="M215" s="44"/>
      <c r="N215" s="44"/>
      <c r="O215" s="44"/>
      <c r="P215" s="44"/>
      <c r="Q215" s="44"/>
      <c r="R215" s="44"/>
      <c r="S215" s="44"/>
      <c r="T215" s="44"/>
      <c r="U215" s="44"/>
      <c r="V215" s="44"/>
      <c r="W215" s="44"/>
      <c r="X215" s="28"/>
      <c r="Y215" s="28"/>
      <c r="Z215" s="28"/>
      <c r="AA215" s="28"/>
      <c r="AB215" s="28"/>
      <c r="AC215" s="28"/>
    </row>
    <row r="216" ht="78.0" customHeight="1">
      <c r="A216" s="32">
        <v>45664.0</v>
      </c>
      <c r="B216" s="34" t="s">
        <v>1858</v>
      </c>
      <c r="C216" s="42"/>
      <c r="D216" s="414"/>
      <c r="E216" s="42"/>
      <c r="F216" s="42"/>
      <c r="G216" s="42"/>
      <c r="H216" s="42"/>
      <c r="I216" s="42"/>
      <c r="J216" s="42"/>
      <c r="K216" s="44"/>
      <c r="L216" s="44"/>
      <c r="M216" s="44"/>
      <c r="N216" s="44"/>
      <c r="O216" s="44"/>
      <c r="P216" s="44"/>
      <c r="Q216" s="44"/>
      <c r="R216" s="44"/>
      <c r="S216" s="44"/>
      <c r="T216" s="44"/>
      <c r="U216" s="44"/>
      <c r="V216" s="44"/>
      <c r="W216" s="44"/>
      <c r="X216" s="28"/>
      <c r="Y216" s="28"/>
      <c r="Z216" s="28"/>
      <c r="AA216" s="28"/>
      <c r="AB216" s="28"/>
      <c r="AC216" s="28"/>
    </row>
    <row r="217" ht="78.0" customHeight="1">
      <c r="A217" s="32">
        <v>45664.0</v>
      </c>
      <c r="B217" s="34" t="s">
        <v>1873</v>
      </c>
      <c r="C217" s="42"/>
      <c r="D217" s="414"/>
      <c r="E217" s="42"/>
      <c r="F217" s="42"/>
      <c r="G217" s="42"/>
      <c r="H217" s="42"/>
      <c r="I217" s="42"/>
      <c r="J217" s="42"/>
      <c r="K217" s="44"/>
      <c r="L217" s="44"/>
      <c r="M217" s="44"/>
      <c r="N217" s="44"/>
      <c r="O217" s="44"/>
      <c r="P217" s="44"/>
      <c r="Q217" s="44"/>
      <c r="R217" s="44"/>
      <c r="S217" s="44"/>
      <c r="T217" s="44"/>
      <c r="U217" s="44"/>
      <c r="V217" s="44"/>
      <c r="W217" s="44"/>
      <c r="X217" s="28"/>
      <c r="Y217" s="28"/>
      <c r="Z217" s="28"/>
      <c r="AA217" s="28"/>
      <c r="AB217" s="28"/>
      <c r="AC217" s="28"/>
    </row>
    <row r="218" ht="78.0" customHeight="1">
      <c r="A218" s="424">
        <v>45662.0</v>
      </c>
      <c r="B218" s="414" t="s">
        <v>1885</v>
      </c>
      <c r="C218" s="42"/>
      <c r="D218" s="414"/>
      <c r="E218" s="42"/>
      <c r="F218" s="42"/>
      <c r="G218" s="42"/>
      <c r="H218" s="42"/>
      <c r="I218" s="42"/>
      <c r="J218" s="42"/>
      <c r="K218" s="44"/>
      <c r="L218" s="44"/>
      <c r="M218" s="44"/>
      <c r="N218" s="44"/>
      <c r="O218" s="44"/>
      <c r="P218" s="44"/>
      <c r="Q218" s="44"/>
      <c r="R218" s="44"/>
      <c r="S218" s="44"/>
      <c r="T218" s="44"/>
      <c r="U218" s="44"/>
      <c r="V218" s="44"/>
      <c r="W218" s="44"/>
      <c r="X218" s="28"/>
      <c r="Y218" s="28"/>
      <c r="Z218" s="28"/>
      <c r="AA218" s="28"/>
      <c r="AB218" s="28"/>
      <c r="AC218" s="28"/>
    </row>
    <row r="219" ht="78.0" customHeight="1">
      <c r="A219" s="426">
        <v>45661.0</v>
      </c>
      <c r="B219" s="427" t="s">
        <v>1893</v>
      </c>
      <c r="C219" s="428"/>
      <c r="D219" s="430"/>
      <c r="E219" s="428"/>
      <c r="F219" s="428"/>
      <c r="G219" s="428"/>
      <c r="H219" s="428"/>
      <c r="I219" s="428"/>
      <c r="J219" s="428"/>
      <c r="K219" s="432"/>
      <c r="L219" s="432"/>
      <c r="M219" s="432"/>
      <c r="N219" s="432"/>
      <c r="O219" s="432"/>
      <c r="P219" s="432"/>
      <c r="Q219" s="432"/>
      <c r="R219" s="432"/>
      <c r="S219" s="432"/>
      <c r="T219" s="432"/>
      <c r="U219" s="432"/>
      <c r="V219" s="432"/>
      <c r="W219" s="432"/>
      <c r="X219" s="54"/>
      <c r="Y219" s="54"/>
      <c r="Z219" s="54"/>
      <c r="AA219" s="54"/>
      <c r="AB219" s="54"/>
      <c r="AC219" s="54"/>
    </row>
    <row r="220" ht="78.0" customHeight="1">
      <c r="A220" s="433">
        <v>45660.0</v>
      </c>
      <c r="B220" s="434" t="s">
        <v>1907</v>
      </c>
      <c r="C220" s="428"/>
      <c r="D220" s="434" t="s">
        <v>1911</v>
      </c>
      <c r="E220" s="428"/>
      <c r="F220" s="428"/>
      <c r="G220" s="428"/>
      <c r="H220" s="428"/>
      <c r="I220" s="428"/>
      <c r="J220" s="428"/>
      <c r="K220" s="432"/>
      <c r="L220" s="432"/>
      <c r="M220" s="432"/>
      <c r="N220" s="432"/>
      <c r="O220" s="432"/>
      <c r="P220" s="432"/>
      <c r="Q220" s="432"/>
      <c r="R220" s="432"/>
      <c r="S220" s="432"/>
      <c r="T220" s="432"/>
      <c r="U220" s="432"/>
      <c r="V220" s="432"/>
      <c r="W220" s="432"/>
      <c r="X220" s="54"/>
      <c r="Y220" s="54"/>
      <c r="Z220" s="54"/>
      <c r="AA220" s="54"/>
      <c r="AB220" s="54"/>
      <c r="AC220" s="54"/>
    </row>
    <row r="221" ht="78.0" customHeight="1">
      <c r="A221" s="438">
        <v>45660.0</v>
      </c>
      <c r="B221" s="34" t="s">
        <v>1924</v>
      </c>
      <c r="C221" s="42"/>
      <c r="D221" s="34" t="s">
        <v>1927</v>
      </c>
      <c r="E221" s="34" t="s">
        <v>1928</v>
      </c>
      <c r="F221" s="42"/>
      <c r="G221" s="42"/>
      <c r="H221" s="42"/>
      <c r="I221" s="42"/>
      <c r="J221" s="42"/>
      <c r="K221" s="44"/>
      <c r="L221" s="44"/>
      <c r="M221" s="44"/>
      <c r="N221" s="44"/>
      <c r="O221" s="44"/>
      <c r="P221" s="44"/>
      <c r="Q221" s="44"/>
      <c r="R221" s="44"/>
      <c r="S221" s="44"/>
      <c r="T221" s="44"/>
      <c r="U221" s="44"/>
      <c r="V221" s="44"/>
      <c r="W221" s="44"/>
      <c r="X221" s="28"/>
      <c r="Y221" s="28"/>
      <c r="Z221" s="28"/>
      <c r="AA221" s="28"/>
      <c r="AB221" s="28"/>
      <c r="AC221" s="28"/>
    </row>
    <row r="222" ht="78.0" customHeight="1">
      <c r="A222" s="433">
        <v>45659.0</v>
      </c>
      <c r="B222" s="427" t="s">
        <v>1935</v>
      </c>
      <c r="C222" s="428"/>
      <c r="D222" s="427" t="s">
        <v>1937</v>
      </c>
      <c r="E222" s="428"/>
      <c r="F222" s="428"/>
      <c r="G222" s="428"/>
      <c r="H222" s="428"/>
      <c r="I222" s="428"/>
      <c r="J222" s="428"/>
      <c r="K222" s="432"/>
      <c r="L222" s="432"/>
      <c r="M222" s="432"/>
      <c r="N222" s="432"/>
      <c r="O222" s="432"/>
      <c r="P222" s="432"/>
      <c r="Q222" s="432"/>
      <c r="R222" s="432"/>
      <c r="S222" s="432"/>
      <c r="T222" s="432"/>
      <c r="U222" s="432"/>
      <c r="V222" s="432"/>
      <c r="W222" s="432"/>
      <c r="X222" s="54"/>
      <c r="Y222" s="54"/>
      <c r="Z222" s="54"/>
      <c r="AA222" s="54"/>
      <c r="AB222" s="54"/>
      <c r="AC222" s="54"/>
    </row>
    <row r="223" ht="78.0" customHeight="1">
      <c r="A223" s="438">
        <v>45658.0</v>
      </c>
      <c r="B223" s="414" t="s">
        <v>1952</v>
      </c>
      <c r="C223" s="42"/>
      <c r="D223" s="414" t="s">
        <v>1953</v>
      </c>
      <c r="E223" s="42"/>
      <c r="F223" s="42"/>
      <c r="G223" s="42"/>
      <c r="H223" s="42"/>
      <c r="I223" s="42"/>
      <c r="J223" s="42"/>
      <c r="K223" s="44"/>
      <c r="L223" s="44"/>
      <c r="M223" s="44"/>
      <c r="N223" s="44"/>
      <c r="O223" s="44"/>
      <c r="P223" s="44"/>
      <c r="Q223" s="44"/>
      <c r="R223" s="44"/>
      <c r="S223" s="44"/>
      <c r="T223" s="44"/>
      <c r="U223" s="44"/>
      <c r="V223" s="44"/>
      <c r="W223" s="44"/>
      <c r="X223" s="28"/>
      <c r="Y223" s="28"/>
      <c r="Z223" s="28"/>
      <c r="AA223" s="28"/>
      <c r="AB223" s="28"/>
      <c r="AC223" s="28"/>
    </row>
    <row r="224" ht="78.0" customHeight="1">
      <c r="A224" s="433">
        <v>45658.0</v>
      </c>
      <c r="B224" s="427" t="s">
        <v>1962</v>
      </c>
      <c r="C224" s="428"/>
      <c r="D224" s="427"/>
      <c r="E224" s="428"/>
      <c r="F224" s="428"/>
      <c r="G224" s="428"/>
      <c r="H224" s="428"/>
      <c r="I224" s="428"/>
      <c r="J224" s="428"/>
      <c r="K224" s="432"/>
      <c r="L224" s="432"/>
      <c r="M224" s="432"/>
      <c r="N224" s="432"/>
      <c r="O224" s="432"/>
      <c r="P224" s="432"/>
      <c r="Q224" s="432"/>
      <c r="R224" s="432"/>
      <c r="S224" s="432"/>
      <c r="T224" s="432"/>
      <c r="U224" s="432"/>
      <c r="V224" s="432"/>
      <c r="W224" s="432"/>
      <c r="X224" s="54"/>
      <c r="Y224" s="54"/>
      <c r="Z224" s="54"/>
      <c r="AA224" s="54"/>
      <c r="AB224" s="54"/>
      <c r="AC224" s="54"/>
    </row>
    <row r="225" ht="78.0" customHeight="1">
      <c r="A225" s="438">
        <v>45656.0</v>
      </c>
      <c r="B225" s="414" t="s">
        <v>1970</v>
      </c>
      <c r="C225" s="42"/>
      <c r="D225" s="414" t="s">
        <v>1971</v>
      </c>
      <c r="E225" s="42"/>
      <c r="F225" s="42"/>
      <c r="G225" s="42"/>
      <c r="H225" s="42"/>
      <c r="I225" s="42"/>
      <c r="J225" s="42"/>
      <c r="K225" s="44"/>
      <c r="L225" s="44"/>
      <c r="M225" s="44"/>
      <c r="N225" s="44"/>
      <c r="O225" s="44"/>
      <c r="P225" s="44"/>
      <c r="Q225" s="44"/>
      <c r="R225" s="44"/>
      <c r="S225" s="44"/>
      <c r="T225" s="44"/>
      <c r="U225" s="44"/>
      <c r="V225" s="44"/>
      <c r="W225" s="44"/>
      <c r="X225" s="28"/>
      <c r="Y225" s="28"/>
      <c r="Z225" s="28"/>
      <c r="AA225" s="28"/>
      <c r="AB225" s="28"/>
      <c r="AC225" s="28"/>
    </row>
    <row r="226" ht="78.0" customHeight="1">
      <c r="A226" s="433">
        <v>45655.0</v>
      </c>
      <c r="B226" s="427" t="s">
        <v>1980</v>
      </c>
      <c r="C226" s="428"/>
      <c r="D226" s="427"/>
      <c r="E226" s="428"/>
      <c r="F226" s="428"/>
      <c r="G226" s="428"/>
      <c r="H226" s="428"/>
      <c r="I226" s="428"/>
      <c r="J226" s="428"/>
      <c r="K226" s="432"/>
      <c r="L226" s="432"/>
      <c r="M226" s="432"/>
      <c r="N226" s="432"/>
      <c r="O226" s="432"/>
      <c r="P226" s="432"/>
      <c r="Q226" s="432"/>
      <c r="R226" s="432"/>
      <c r="S226" s="432"/>
      <c r="T226" s="432"/>
      <c r="U226" s="432"/>
      <c r="V226" s="432"/>
      <c r="W226" s="432"/>
      <c r="X226" s="54"/>
      <c r="Y226" s="54"/>
      <c r="Z226" s="54"/>
      <c r="AA226" s="54"/>
      <c r="AB226" s="54"/>
      <c r="AC226" s="54"/>
    </row>
    <row r="227" ht="78.0" customHeight="1">
      <c r="A227" s="438">
        <v>45655.0</v>
      </c>
      <c r="B227" s="414" t="s">
        <v>1993</v>
      </c>
      <c r="C227" s="42"/>
      <c r="D227" s="414" t="s">
        <v>1994</v>
      </c>
      <c r="E227" s="42"/>
      <c r="F227" s="42"/>
      <c r="G227" s="42"/>
      <c r="H227" s="42"/>
      <c r="I227" s="42"/>
      <c r="J227" s="42"/>
      <c r="K227" s="44"/>
      <c r="L227" s="44"/>
      <c r="M227" s="44"/>
      <c r="N227" s="44"/>
      <c r="O227" s="44"/>
      <c r="P227" s="44"/>
      <c r="Q227" s="44"/>
      <c r="R227" s="44"/>
      <c r="S227" s="44"/>
      <c r="T227" s="44"/>
      <c r="U227" s="44"/>
      <c r="V227" s="44"/>
      <c r="W227" s="44"/>
      <c r="X227" s="28"/>
      <c r="Y227" s="28"/>
      <c r="Z227" s="28"/>
      <c r="AA227" s="28"/>
      <c r="AB227" s="28"/>
      <c r="AC227" s="28"/>
    </row>
    <row r="228" ht="78.0" customHeight="1">
      <c r="A228" s="433">
        <v>45655.0</v>
      </c>
      <c r="B228" s="427" t="s">
        <v>2006</v>
      </c>
      <c r="C228" s="428"/>
      <c r="D228" s="427"/>
      <c r="E228" s="428"/>
      <c r="F228" s="428"/>
      <c r="G228" s="428"/>
      <c r="H228" s="428"/>
      <c r="I228" s="428"/>
      <c r="J228" s="428"/>
      <c r="K228" s="432"/>
      <c r="L228" s="432"/>
      <c r="M228" s="432"/>
      <c r="N228" s="432"/>
      <c r="O228" s="432"/>
      <c r="P228" s="432"/>
      <c r="Q228" s="432"/>
      <c r="R228" s="432"/>
      <c r="S228" s="432"/>
      <c r="T228" s="432"/>
      <c r="U228" s="432"/>
      <c r="V228" s="432"/>
      <c r="W228" s="432"/>
      <c r="X228" s="54"/>
      <c r="Y228" s="54"/>
      <c r="Z228" s="54"/>
      <c r="AA228" s="54"/>
      <c r="AB228" s="54"/>
      <c r="AC228" s="54"/>
    </row>
    <row r="229" ht="78.0" customHeight="1">
      <c r="A229" s="438">
        <v>45653.0</v>
      </c>
      <c r="B229" s="414" t="s">
        <v>2019</v>
      </c>
      <c r="C229" s="42"/>
      <c r="D229" s="414"/>
      <c r="E229" s="42"/>
      <c r="F229" s="42"/>
      <c r="G229" s="42"/>
      <c r="H229" s="42"/>
      <c r="I229" s="42"/>
      <c r="J229" s="42"/>
      <c r="K229" s="44"/>
      <c r="L229" s="44"/>
      <c r="M229" s="44"/>
      <c r="N229" s="44"/>
      <c r="O229" s="44"/>
      <c r="P229" s="44"/>
      <c r="Q229" s="44"/>
      <c r="R229" s="44"/>
      <c r="S229" s="44"/>
      <c r="T229" s="44"/>
      <c r="U229" s="44"/>
      <c r="V229" s="44"/>
      <c r="W229" s="44"/>
      <c r="X229" s="28"/>
      <c r="Y229" s="28"/>
      <c r="Z229" s="28"/>
      <c r="AA229" s="28"/>
      <c r="AB229" s="28"/>
      <c r="AC229" s="28"/>
    </row>
    <row r="230" ht="78.0" customHeight="1">
      <c r="A230" s="448">
        <v>45653.0</v>
      </c>
      <c r="B230" s="449" t="s">
        <v>2034</v>
      </c>
      <c r="C230" s="428"/>
      <c r="D230" s="449" t="s">
        <v>2037</v>
      </c>
      <c r="E230" s="450"/>
      <c r="F230" s="428"/>
      <c r="G230" s="428"/>
      <c r="H230" s="428"/>
      <c r="I230" s="428"/>
      <c r="J230" s="428"/>
      <c r="K230" s="432"/>
      <c r="L230" s="432"/>
      <c r="M230" s="432"/>
      <c r="N230" s="432"/>
      <c r="O230" s="432"/>
      <c r="P230" s="432"/>
      <c r="Q230" s="432"/>
      <c r="R230" s="432"/>
      <c r="S230" s="432"/>
      <c r="T230" s="432"/>
      <c r="U230" s="432"/>
      <c r="V230" s="432"/>
      <c r="W230" s="432"/>
      <c r="X230" s="54"/>
      <c r="Y230" s="54"/>
      <c r="Z230" s="54"/>
      <c r="AA230" s="54"/>
      <c r="AB230" s="54"/>
      <c r="AC230" s="54"/>
    </row>
    <row r="231" ht="78.0" customHeight="1">
      <c r="A231" s="448">
        <v>45653.0</v>
      </c>
      <c r="B231" s="449" t="s">
        <v>2046</v>
      </c>
      <c r="C231" s="428"/>
      <c r="D231" s="427"/>
      <c r="E231" s="450"/>
      <c r="F231" s="428"/>
      <c r="G231" s="428"/>
      <c r="H231" s="428"/>
      <c r="I231" s="428"/>
      <c r="J231" s="428"/>
      <c r="K231" s="432"/>
      <c r="L231" s="432"/>
      <c r="M231" s="432"/>
      <c r="N231" s="432"/>
      <c r="O231" s="432"/>
      <c r="P231" s="432"/>
      <c r="Q231" s="432"/>
      <c r="R231" s="432"/>
      <c r="S231" s="432"/>
      <c r="T231" s="432"/>
      <c r="U231" s="432"/>
      <c r="V231" s="432"/>
      <c r="W231" s="432"/>
      <c r="X231" s="54"/>
      <c r="Y231" s="54"/>
      <c r="Z231" s="54"/>
      <c r="AA231" s="54"/>
      <c r="AB231" s="54"/>
      <c r="AC231" s="54"/>
    </row>
    <row r="232" ht="78.0" customHeight="1">
      <c r="A232" s="453">
        <v>45649.0</v>
      </c>
      <c r="B232" s="454" t="s">
        <v>2062</v>
      </c>
      <c r="C232" s="42"/>
      <c r="D232" s="454" t="s">
        <v>2066</v>
      </c>
      <c r="E232" s="454" t="s">
        <v>2070</v>
      </c>
      <c r="F232" s="42"/>
      <c r="G232" s="42"/>
      <c r="H232" s="42"/>
      <c r="I232" s="42"/>
      <c r="J232" s="42"/>
      <c r="K232" s="44"/>
      <c r="L232" s="44"/>
      <c r="M232" s="44"/>
      <c r="N232" s="44"/>
      <c r="O232" s="44"/>
      <c r="P232" s="44"/>
      <c r="Q232" s="44"/>
      <c r="R232" s="44"/>
      <c r="S232" s="44"/>
      <c r="T232" s="44"/>
      <c r="U232" s="44"/>
      <c r="V232" s="44"/>
      <c r="W232" s="44"/>
      <c r="X232" s="28"/>
      <c r="Y232" s="28"/>
      <c r="Z232" s="28"/>
      <c r="AA232" s="28"/>
      <c r="AB232" s="28"/>
      <c r="AC232" s="28"/>
    </row>
    <row r="233" ht="277.5" customHeight="1">
      <c r="A233" s="453">
        <v>45649.0</v>
      </c>
      <c r="B233" s="454" t="s">
        <v>2087</v>
      </c>
      <c r="C233" s="42"/>
      <c r="D233" s="414"/>
      <c r="E233" s="455"/>
      <c r="F233" s="42"/>
      <c r="G233" s="42"/>
      <c r="H233" s="42"/>
      <c r="I233" s="42"/>
      <c r="J233" s="42"/>
      <c r="K233" s="44"/>
      <c r="L233" s="44"/>
      <c r="M233" s="44"/>
      <c r="N233" s="44"/>
      <c r="O233" s="44"/>
      <c r="P233" s="44"/>
      <c r="Q233" s="44"/>
      <c r="R233" s="44"/>
      <c r="S233" s="44"/>
      <c r="T233" s="44"/>
      <c r="U233" s="44"/>
      <c r="V233" s="44"/>
      <c r="W233" s="44"/>
      <c r="X233" s="28"/>
      <c r="Y233" s="28"/>
      <c r="Z233" s="28"/>
      <c r="AA233" s="28"/>
      <c r="AB233" s="28"/>
      <c r="AC233" s="28"/>
    </row>
    <row r="234" ht="78.0" customHeight="1">
      <c r="A234" s="448">
        <v>45648.0</v>
      </c>
      <c r="B234" s="449" t="s">
        <v>2105</v>
      </c>
      <c r="C234" s="428"/>
      <c r="D234" s="449" t="s">
        <v>2106</v>
      </c>
      <c r="E234" s="450"/>
      <c r="F234" s="428"/>
      <c r="G234" s="428"/>
      <c r="H234" s="428"/>
      <c r="I234" s="428"/>
      <c r="J234" s="428"/>
      <c r="K234" s="432"/>
      <c r="L234" s="432"/>
      <c r="M234" s="432"/>
      <c r="N234" s="432"/>
      <c r="O234" s="432"/>
      <c r="P234" s="432"/>
      <c r="Q234" s="432"/>
      <c r="R234" s="432"/>
      <c r="S234" s="432"/>
      <c r="T234" s="432"/>
      <c r="U234" s="432"/>
      <c r="V234" s="432"/>
      <c r="W234" s="432"/>
      <c r="X234" s="54"/>
      <c r="Y234" s="54"/>
      <c r="Z234" s="54"/>
      <c r="AA234" s="54"/>
      <c r="AB234" s="54"/>
      <c r="AC234" s="54"/>
    </row>
    <row r="235" ht="78.0" customHeight="1">
      <c r="A235" s="453">
        <v>45647.0</v>
      </c>
      <c r="B235" s="454" t="s">
        <v>2123</v>
      </c>
      <c r="C235" s="42"/>
      <c r="D235" s="454" t="s">
        <v>2126</v>
      </c>
      <c r="E235" s="455"/>
      <c r="F235" s="42"/>
      <c r="G235" s="42"/>
      <c r="H235" s="42"/>
      <c r="I235" s="42"/>
      <c r="J235" s="42"/>
      <c r="K235" s="44"/>
      <c r="L235" s="44"/>
      <c r="M235" s="44"/>
      <c r="N235" s="44"/>
      <c r="O235" s="44"/>
      <c r="P235" s="44"/>
      <c r="Q235" s="44"/>
      <c r="R235" s="44"/>
      <c r="S235" s="44"/>
      <c r="T235" s="44"/>
      <c r="U235" s="44"/>
      <c r="V235" s="44"/>
      <c r="W235" s="44"/>
      <c r="X235" s="28"/>
      <c r="Y235" s="28"/>
      <c r="Z235" s="28"/>
      <c r="AA235" s="28"/>
      <c r="AB235" s="28"/>
      <c r="AC235" s="28"/>
    </row>
    <row r="236" ht="78.0" customHeight="1">
      <c r="A236" s="448">
        <v>45646.0</v>
      </c>
      <c r="B236" s="449" t="s">
        <v>2143</v>
      </c>
      <c r="C236" s="428"/>
      <c r="D236" s="449" t="s">
        <v>2145</v>
      </c>
      <c r="E236" s="450"/>
      <c r="F236" s="428"/>
      <c r="G236" s="428"/>
      <c r="H236" s="428"/>
      <c r="I236" s="428"/>
      <c r="J236" s="428"/>
      <c r="K236" s="432"/>
      <c r="L236" s="432"/>
      <c r="M236" s="432"/>
      <c r="N236" s="432"/>
      <c r="O236" s="432"/>
      <c r="P236" s="432"/>
      <c r="Q236" s="432"/>
      <c r="R236" s="432"/>
      <c r="S236" s="432"/>
      <c r="T236" s="432"/>
      <c r="U236" s="432"/>
      <c r="V236" s="432"/>
      <c r="W236" s="432"/>
      <c r="X236" s="54"/>
      <c r="Y236" s="54"/>
      <c r="Z236" s="54"/>
      <c r="AA236" s="54"/>
      <c r="AB236" s="54"/>
      <c r="AC236" s="54"/>
    </row>
    <row r="237" ht="78.0" customHeight="1">
      <c r="A237" s="453">
        <v>45646.0</v>
      </c>
      <c r="B237" s="454" t="s">
        <v>2161</v>
      </c>
      <c r="C237" s="42"/>
      <c r="D237" s="454" t="s">
        <v>2164</v>
      </c>
      <c r="E237" s="455"/>
      <c r="F237" s="42"/>
      <c r="G237" s="42"/>
      <c r="H237" s="42"/>
      <c r="I237" s="42"/>
      <c r="J237" s="42"/>
      <c r="K237" s="44"/>
      <c r="L237" s="44"/>
      <c r="M237" s="44"/>
      <c r="N237" s="44"/>
      <c r="O237" s="44"/>
      <c r="P237" s="44"/>
      <c r="Q237" s="44"/>
      <c r="R237" s="44"/>
      <c r="S237" s="44"/>
      <c r="T237" s="44"/>
      <c r="U237" s="44"/>
      <c r="V237" s="44"/>
      <c r="W237" s="44"/>
      <c r="X237" s="28"/>
      <c r="Y237" s="28"/>
      <c r="Z237" s="28"/>
      <c r="AA237" s="28"/>
      <c r="AB237" s="28"/>
      <c r="AC237" s="28"/>
    </row>
    <row r="238" ht="78.0" customHeight="1">
      <c r="A238" s="448">
        <v>45645.0</v>
      </c>
      <c r="B238" s="460" t="s">
        <v>2171</v>
      </c>
      <c r="C238" s="428"/>
      <c r="D238" s="449" t="s">
        <v>2174</v>
      </c>
      <c r="E238" s="462" t="s">
        <v>2177</v>
      </c>
      <c r="F238" s="428"/>
      <c r="G238" s="428"/>
      <c r="H238" s="428"/>
      <c r="I238" s="428"/>
      <c r="J238" s="428"/>
      <c r="K238" s="432"/>
      <c r="L238" s="432"/>
      <c r="M238" s="432"/>
      <c r="N238" s="432"/>
      <c r="O238" s="432"/>
      <c r="P238" s="432"/>
      <c r="Q238" s="432"/>
      <c r="R238" s="432"/>
      <c r="S238" s="432"/>
      <c r="T238" s="432"/>
      <c r="U238" s="432"/>
      <c r="V238" s="432"/>
      <c r="W238" s="432"/>
      <c r="X238" s="54"/>
      <c r="Y238" s="54"/>
      <c r="Z238" s="54"/>
      <c r="AA238" s="54"/>
      <c r="AB238" s="54"/>
      <c r="AC238" s="54"/>
    </row>
    <row r="239" ht="78.0" customHeight="1">
      <c r="A239" s="453">
        <v>45645.0</v>
      </c>
      <c r="B239" s="454" t="s">
        <v>2189</v>
      </c>
      <c r="C239" s="42"/>
      <c r="D239" s="454" t="s">
        <v>2191</v>
      </c>
      <c r="E239" s="455"/>
      <c r="F239" s="42"/>
      <c r="G239" s="42"/>
      <c r="H239" s="42"/>
      <c r="I239" s="42"/>
      <c r="J239" s="42"/>
      <c r="K239" s="44"/>
      <c r="L239" s="44"/>
      <c r="M239" s="44"/>
      <c r="N239" s="44"/>
      <c r="O239" s="44"/>
      <c r="P239" s="44"/>
      <c r="Q239" s="44"/>
      <c r="R239" s="44"/>
      <c r="S239" s="44"/>
      <c r="T239" s="44"/>
      <c r="U239" s="44"/>
      <c r="V239" s="44"/>
      <c r="W239" s="44"/>
      <c r="X239" s="28"/>
      <c r="Y239" s="28"/>
      <c r="Z239" s="28"/>
      <c r="AA239" s="28"/>
      <c r="AB239" s="28"/>
      <c r="AC239" s="28"/>
    </row>
    <row r="240" ht="78.0" customHeight="1">
      <c r="A240" s="448">
        <v>45645.0</v>
      </c>
      <c r="B240" s="449" t="s">
        <v>2200</v>
      </c>
      <c r="C240" s="428"/>
      <c r="D240" s="449" t="s">
        <v>2202</v>
      </c>
      <c r="E240" s="450"/>
      <c r="F240" s="428"/>
      <c r="G240" s="428"/>
      <c r="H240" s="428"/>
      <c r="I240" s="428"/>
      <c r="J240" s="428"/>
      <c r="K240" s="432"/>
      <c r="L240" s="432"/>
      <c r="M240" s="432"/>
      <c r="N240" s="432"/>
      <c r="O240" s="432"/>
      <c r="P240" s="432"/>
      <c r="Q240" s="432"/>
      <c r="R240" s="432"/>
      <c r="S240" s="432"/>
      <c r="T240" s="432"/>
      <c r="U240" s="432"/>
      <c r="V240" s="432"/>
      <c r="W240" s="432"/>
      <c r="X240" s="54"/>
      <c r="Y240" s="54"/>
      <c r="Z240" s="54"/>
      <c r="AA240" s="54"/>
      <c r="AB240" s="54"/>
      <c r="AC240" s="54"/>
    </row>
    <row r="241" ht="78.0" customHeight="1">
      <c r="A241" s="453">
        <v>45645.0</v>
      </c>
      <c r="B241" s="414" t="s">
        <v>2217</v>
      </c>
      <c r="C241" s="34" t="s">
        <v>2218</v>
      </c>
      <c r="D241" s="467" t="s">
        <v>2222</v>
      </c>
      <c r="E241" s="36" t="s">
        <v>2240</v>
      </c>
      <c r="F241" s="42"/>
      <c r="G241" s="42"/>
      <c r="H241" s="42"/>
      <c r="I241" s="42"/>
      <c r="J241" s="42"/>
      <c r="K241" s="44"/>
      <c r="L241" s="44"/>
      <c r="M241" s="44"/>
      <c r="N241" s="44"/>
      <c r="O241" s="44"/>
      <c r="P241" s="44"/>
      <c r="Q241" s="44"/>
      <c r="R241" s="44"/>
      <c r="S241" s="44"/>
      <c r="T241" s="44"/>
      <c r="U241" s="44"/>
      <c r="V241" s="44"/>
      <c r="W241" s="44"/>
      <c r="X241" s="28"/>
      <c r="Y241" s="28"/>
      <c r="Z241" s="28"/>
      <c r="AA241" s="28"/>
      <c r="AB241" s="28"/>
      <c r="AC241" s="28"/>
    </row>
    <row r="242" ht="78.0" customHeight="1">
      <c r="A242" s="448">
        <v>45645.0</v>
      </c>
      <c r="B242" s="449" t="s">
        <v>2245</v>
      </c>
      <c r="C242" s="428"/>
      <c r="D242" s="449" t="s">
        <v>2246</v>
      </c>
      <c r="E242" s="450"/>
      <c r="F242" s="428"/>
      <c r="G242" s="428"/>
      <c r="H242" s="428"/>
      <c r="I242" s="428"/>
      <c r="J242" s="428"/>
      <c r="K242" s="432"/>
      <c r="L242" s="432"/>
      <c r="M242" s="432"/>
      <c r="N242" s="432"/>
      <c r="O242" s="432"/>
      <c r="P242" s="432"/>
      <c r="Q242" s="432"/>
      <c r="R242" s="432"/>
      <c r="S242" s="432"/>
      <c r="T242" s="432"/>
      <c r="U242" s="432"/>
      <c r="V242" s="432"/>
      <c r="W242" s="432"/>
      <c r="X242" s="54"/>
      <c r="Y242" s="54"/>
      <c r="Z242" s="54"/>
      <c r="AA242" s="54"/>
      <c r="AB242" s="54"/>
      <c r="AC242" s="54"/>
    </row>
    <row r="243" ht="78.0" customHeight="1">
      <c r="A243" s="453">
        <v>45645.0</v>
      </c>
      <c r="B243" s="454" t="s">
        <v>2257</v>
      </c>
      <c r="C243" s="42"/>
      <c r="D243" s="454" t="s">
        <v>2259</v>
      </c>
      <c r="E243" s="455"/>
      <c r="F243" s="42"/>
      <c r="G243" s="42"/>
      <c r="H243" s="42"/>
      <c r="I243" s="42"/>
      <c r="J243" s="42"/>
      <c r="K243" s="44"/>
      <c r="L243" s="44"/>
      <c r="M243" s="44"/>
      <c r="N243" s="44"/>
      <c r="O243" s="44"/>
      <c r="P243" s="44"/>
      <c r="Q243" s="44"/>
      <c r="R243" s="44"/>
      <c r="S243" s="44"/>
      <c r="T243" s="44"/>
      <c r="U243" s="44"/>
      <c r="V243" s="44"/>
      <c r="W243" s="44"/>
      <c r="X243" s="28"/>
      <c r="Y243" s="28"/>
      <c r="Z243" s="28"/>
      <c r="AA243" s="28"/>
      <c r="AB243" s="28"/>
      <c r="AC243" s="28"/>
    </row>
    <row r="244" ht="78.0" customHeight="1">
      <c r="A244" s="448">
        <v>45644.0</v>
      </c>
      <c r="B244" s="449" t="s">
        <v>2274</v>
      </c>
      <c r="C244" s="428"/>
      <c r="D244" s="449" t="s">
        <v>2276</v>
      </c>
      <c r="E244" s="450"/>
      <c r="F244" s="428"/>
      <c r="G244" s="428"/>
      <c r="H244" s="428"/>
      <c r="I244" s="428"/>
      <c r="J244" s="428"/>
      <c r="K244" s="432"/>
      <c r="L244" s="432"/>
      <c r="M244" s="432"/>
      <c r="N244" s="432"/>
      <c r="O244" s="432"/>
      <c r="P244" s="432"/>
      <c r="Q244" s="432"/>
      <c r="R244" s="432"/>
      <c r="S244" s="432"/>
      <c r="T244" s="432"/>
      <c r="U244" s="432"/>
      <c r="V244" s="432"/>
      <c r="W244" s="432"/>
      <c r="X244" s="54"/>
      <c r="Y244" s="54"/>
      <c r="Z244" s="54"/>
      <c r="AA244" s="54"/>
      <c r="AB244" s="54"/>
      <c r="AC244" s="54"/>
    </row>
    <row r="245" ht="78.0" customHeight="1">
      <c r="A245" s="453">
        <v>45644.0</v>
      </c>
      <c r="B245" s="454" t="s">
        <v>2291</v>
      </c>
      <c r="C245" s="42"/>
      <c r="D245" s="454" t="s">
        <v>2297</v>
      </c>
      <c r="E245" s="480" t="s">
        <v>2299</v>
      </c>
      <c r="F245" s="42"/>
      <c r="G245" s="42"/>
      <c r="H245" s="42"/>
      <c r="I245" s="42"/>
      <c r="J245" s="42"/>
      <c r="K245" s="44"/>
      <c r="L245" s="44"/>
      <c r="M245" s="44"/>
      <c r="N245" s="44"/>
      <c r="O245" s="44"/>
      <c r="P245" s="44"/>
      <c r="Q245" s="44"/>
      <c r="R245" s="44"/>
      <c r="S245" s="44"/>
      <c r="T245" s="44"/>
      <c r="U245" s="44"/>
      <c r="V245" s="44"/>
      <c r="W245" s="44"/>
      <c r="X245" s="28"/>
      <c r="Y245" s="28"/>
      <c r="Z245" s="28"/>
      <c r="AA245" s="28"/>
      <c r="AB245" s="28"/>
      <c r="AC245" s="28"/>
    </row>
    <row r="246" ht="78.0" customHeight="1">
      <c r="A246" s="482">
        <v>45643.0</v>
      </c>
      <c r="B246" s="449" t="s">
        <v>2313</v>
      </c>
      <c r="C246" s="428"/>
      <c r="D246" s="427"/>
      <c r="E246" s="450"/>
      <c r="F246" s="428"/>
      <c r="G246" s="428"/>
      <c r="H246" s="428"/>
      <c r="I246" s="428"/>
      <c r="J246" s="428"/>
      <c r="K246" s="432"/>
      <c r="L246" s="432"/>
      <c r="M246" s="432"/>
      <c r="N246" s="432"/>
      <c r="O246" s="432"/>
      <c r="P246" s="432"/>
      <c r="Q246" s="432"/>
      <c r="R246" s="432"/>
      <c r="S246" s="432"/>
      <c r="T246" s="432"/>
      <c r="U246" s="432"/>
      <c r="V246" s="432"/>
      <c r="W246" s="432"/>
      <c r="X246" s="54"/>
      <c r="Y246" s="54"/>
      <c r="Z246" s="54"/>
      <c r="AA246" s="54"/>
      <c r="AB246" s="54"/>
      <c r="AC246" s="54"/>
    </row>
    <row r="247" ht="78.0" customHeight="1">
      <c r="A247" s="453">
        <v>45643.0</v>
      </c>
      <c r="B247" s="454" t="s">
        <v>2330</v>
      </c>
      <c r="C247" s="42"/>
      <c r="D247" s="454" t="s">
        <v>2332</v>
      </c>
      <c r="E247" s="455"/>
      <c r="F247" s="42"/>
      <c r="G247" s="42"/>
      <c r="H247" s="42"/>
      <c r="I247" s="42"/>
      <c r="J247" s="42"/>
      <c r="K247" s="44"/>
      <c r="L247" s="44"/>
      <c r="M247" s="44"/>
      <c r="N247" s="44"/>
      <c r="O247" s="44"/>
      <c r="P247" s="44"/>
      <c r="Q247" s="44"/>
      <c r="R247" s="44"/>
      <c r="S247" s="44"/>
      <c r="T247" s="44"/>
      <c r="U247" s="44"/>
      <c r="V247" s="44"/>
      <c r="W247" s="44"/>
      <c r="X247" s="28"/>
      <c r="Y247" s="28"/>
      <c r="Z247" s="28"/>
      <c r="AA247" s="28"/>
      <c r="AB247" s="28"/>
      <c r="AC247" s="28"/>
    </row>
    <row r="248" ht="78.0" customHeight="1">
      <c r="A248" s="448">
        <v>45643.0</v>
      </c>
      <c r="B248" s="449" t="s">
        <v>2337</v>
      </c>
      <c r="C248" s="428"/>
      <c r="D248" s="449" t="s">
        <v>2338</v>
      </c>
      <c r="E248" s="462" t="s">
        <v>2340</v>
      </c>
      <c r="F248" s="428"/>
      <c r="G248" s="428"/>
      <c r="H248" s="428"/>
      <c r="I248" s="428"/>
      <c r="J248" s="428"/>
      <c r="K248" s="432"/>
      <c r="L248" s="432"/>
      <c r="M248" s="432"/>
      <c r="N248" s="432"/>
      <c r="O248" s="432"/>
      <c r="P248" s="432"/>
      <c r="Q248" s="432"/>
      <c r="R248" s="432"/>
      <c r="S248" s="432"/>
      <c r="T248" s="432"/>
      <c r="U248" s="432"/>
      <c r="V248" s="432"/>
      <c r="W248" s="432"/>
      <c r="X248" s="54"/>
      <c r="Y248" s="54"/>
      <c r="Z248" s="54"/>
      <c r="AA248" s="54"/>
      <c r="AB248" s="54"/>
      <c r="AC248" s="54"/>
    </row>
    <row r="249" ht="108.0" customHeight="1">
      <c r="A249" s="453">
        <v>45643.0</v>
      </c>
      <c r="B249" s="454" t="s">
        <v>2348</v>
      </c>
      <c r="C249" s="414" t="s">
        <v>2350</v>
      </c>
      <c r="D249" s="414"/>
      <c r="E249" s="480" t="s">
        <v>2352</v>
      </c>
      <c r="F249" s="414" t="s">
        <v>2353</v>
      </c>
      <c r="G249" s="414" t="s">
        <v>2355</v>
      </c>
      <c r="H249" s="42"/>
      <c r="I249" s="42"/>
      <c r="J249" s="42"/>
      <c r="K249" s="44"/>
      <c r="L249" s="44"/>
      <c r="M249" s="44"/>
      <c r="N249" s="44"/>
      <c r="O249" s="44"/>
      <c r="P249" s="44"/>
      <c r="Q249" s="44"/>
      <c r="R249" s="44"/>
      <c r="S249" s="44"/>
      <c r="T249" s="44"/>
      <c r="U249" s="44"/>
      <c r="V249" s="44"/>
      <c r="W249" s="44"/>
      <c r="X249" s="28"/>
      <c r="Y249" s="28"/>
      <c r="Z249" s="28"/>
      <c r="AA249" s="28"/>
      <c r="AB249" s="28"/>
      <c r="AC249" s="28"/>
    </row>
    <row r="250" ht="78.0" customHeight="1">
      <c r="A250" s="448">
        <v>45643.0</v>
      </c>
      <c r="B250" s="449" t="s">
        <v>2367</v>
      </c>
      <c r="C250" s="427" t="s">
        <v>2369</v>
      </c>
      <c r="D250" s="449" t="s">
        <v>2371</v>
      </c>
      <c r="E250" s="449" t="s">
        <v>2374</v>
      </c>
      <c r="F250" s="427" t="s">
        <v>2377</v>
      </c>
      <c r="G250" s="427" t="s">
        <v>2379</v>
      </c>
      <c r="H250" s="428"/>
      <c r="I250" s="428"/>
      <c r="J250" s="428"/>
      <c r="K250" s="432"/>
      <c r="L250" s="432"/>
      <c r="M250" s="432"/>
      <c r="N250" s="432"/>
      <c r="O250" s="432"/>
      <c r="P250" s="432"/>
      <c r="Q250" s="432"/>
      <c r="R250" s="432"/>
      <c r="S250" s="432"/>
      <c r="T250" s="432"/>
      <c r="U250" s="432"/>
      <c r="V250" s="432"/>
      <c r="W250" s="432"/>
      <c r="X250" s="54"/>
      <c r="Y250" s="54"/>
      <c r="Z250" s="54"/>
      <c r="AA250" s="54"/>
      <c r="AB250" s="54"/>
      <c r="AC250" s="54"/>
    </row>
    <row r="251" ht="78.0" customHeight="1">
      <c r="A251" s="453">
        <v>45643.0</v>
      </c>
      <c r="B251" s="454" t="s">
        <v>2385</v>
      </c>
      <c r="C251" s="42"/>
      <c r="D251" s="414"/>
      <c r="E251" s="42"/>
      <c r="F251" s="42"/>
      <c r="G251" s="42"/>
      <c r="H251" s="42"/>
      <c r="I251" s="42"/>
      <c r="J251" s="42"/>
      <c r="K251" s="44"/>
      <c r="L251" s="44"/>
      <c r="M251" s="44"/>
      <c r="N251" s="44"/>
      <c r="O251" s="44"/>
      <c r="P251" s="44"/>
      <c r="Q251" s="44"/>
      <c r="R251" s="44"/>
      <c r="S251" s="44"/>
      <c r="T251" s="44"/>
      <c r="U251" s="44"/>
      <c r="V251" s="44"/>
      <c r="W251" s="44"/>
      <c r="X251" s="28"/>
      <c r="Y251" s="28"/>
      <c r="Z251" s="28"/>
      <c r="AA251" s="28"/>
      <c r="AB251" s="28"/>
      <c r="AC251" s="28"/>
    </row>
    <row r="252" ht="78.0" customHeight="1">
      <c r="A252" s="448">
        <v>45642.0</v>
      </c>
      <c r="B252" s="449" t="s">
        <v>2392</v>
      </c>
      <c r="C252" s="428"/>
      <c r="D252" s="449" t="s">
        <v>2393</v>
      </c>
      <c r="E252" s="450"/>
      <c r="F252" s="428"/>
      <c r="G252" s="428"/>
      <c r="H252" s="428"/>
      <c r="I252" s="428"/>
      <c r="J252" s="428"/>
      <c r="K252" s="432"/>
      <c r="L252" s="432"/>
      <c r="M252" s="432"/>
      <c r="N252" s="432"/>
      <c r="O252" s="432"/>
      <c r="P252" s="432"/>
      <c r="Q252" s="432"/>
      <c r="R252" s="432"/>
      <c r="S252" s="432"/>
      <c r="T252" s="432"/>
      <c r="U252" s="432"/>
      <c r="V252" s="432"/>
      <c r="W252" s="432"/>
      <c r="X252" s="54"/>
      <c r="Y252" s="54"/>
      <c r="Z252" s="54"/>
      <c r="AA252" s="54"/>
      <c r="AB252" s="54"/>
      <c r="AC252" s="54"/>
    </row>
    <row r="253" ht="78.0" customHeight="1">
      <c r="A253" s="491">
        <v>45642.0</v>
      </c>
      <c r="B253" s="454" t="s">
        <v>2406</v>
      </c>
      <c r="C253" s="42"/>
      <c r="D253" s="31" t="s">
        <v>2409</v>
      </c>
      <c r="E253" s="414" t="s">
        <v>2411</v>
      </c>
      <c r="F253" s="42"/>
      <c r="G253" s="42"/>
      <c r="H253" s="42"/>
      <c r="I253" s="42"/>
      <c r="J253" s="42"/>
      <c r="K253" s="44"/>
      <c r="L253" s="44"/>
      <c r="M253" s="44"/>
      <c r="N253" s="44"/>
      <c r="O253" s="44"/>
      <c r="P253" s="44"/>
      <c r="Q253" s="44"/>
      <c r="R253" s="44"/>
      <c r="S253" s="44"/>
      <c r="T253" s="44"/>
      <c r="U253" s="44"/>
      <c r="V253" s="44"/>
      <c r="W253" s="44"/>
      <c r="X253" s="28"/>
      <c r="Y253" s="28"/>
      <c r="Z253" s="28"/>
      <c r="AA253" s="28"/>
      <c r="AB253" s="28"/>
      <c r="AC253" s="28"/>
    </row>
    <row r="254" ht="78.0" customHeight="1">
      <c r="A254" s="448">
        <v>45642.0</v>
      </c>
      <c r="B254" s="449" t="s">
        <v>2418</v>
      </c>
      <c r="C254" s="428"/>
      <c r="D254" s="414"/>
      <c r="E254" s="462" t="s">
        <v>2419</v>
      </c>
      <c r="F254" s="428"/>
      <c r="G254" s="428"/>
      <c r="H254" s="428"/>
      <c r="I254" s="428"/>
      <c r="J254" s="428"/>
      <c r="K254" s="432"/>
      <c r="L254" s="432"/>
      <c r="M254" s="432"/>
      <c r="N254" s="432"/>
      <c r="O254" s="432"/>
      <c r="P254" s="432"/>
      <c r="Q254" s="432"/>
      <c r="R254" s="432"/>
      <c r="S254" s="432"/>
      <c r="T254" s="432"/>
      <c r="U254" s="432"/>
      <c r="V254" s="432"/>
      <c r="W254" s="432"/>
      <c r="X254" s="54"/>
      <c r="Y254" s="54"/>
      <c r="Z254" s="54"/>
      <c r="AA254" s="54"/>
      <c r="AB254" s="54"/>
      <c r="AC254" s="54"/>
    </row>
    <row r="255" ht="78.0" customHeight="1">
      <c r="A255" s="453">
        <v>45642.0</v>
      </c>
      <c r="B255" s="454" t="s">
        <v>2425</v>
      </c>
      <c r="C255" s="42"/>
      <c r="D255" s="414"/>
      <c r="E255" s="455"/>
      <c r="F255" s="42"/>
      <c r="G255" s="42"/>
      <c r="H255" s="42"/>
      <c r="I255" s="42"/>
      <c r="J255" s="44"/>
      <c r="K255" s="44"/>
      <c r="L255" s="44"/>
      <c r="M255" s="44"/>
      <c r="N255" s="44"/>
      <c r="O255" s="44"/>
      <c r="P255" s="44"/>
      <c r="Q255" s="44"/>
      <c r="R255" s="44"/>
      <c r="S255" s="44"/>
      <c r="T255" s="44"/>
      <c r="U255" s="44"/>
      <c r="V255" s="44"/>
      <c r="W255" s="44"/>
      <c r="X255" s="28"/>
      <c r="Y255" s="28"/>
      <c r="Z255" s="28"/>
      <c r="AA255" s="28"/>
      <c r="AB255" s="28"/>
      <c r="AC255" s="28"/>
    </row>
    <row r="256" ht="78.0" customHeight="1">
      <c r="A256" s="448">
        <v>45642.0</v>
      </c>
      <c r="B256" s="449" t="s">
        <v>2431</v>
      </c>
      <c r="C256" s="428"/>
      <c r="D256" s="449" t="s">
        <v>2433</v>
      </c>
      <c r="E256" s="449" t="s">
        <v>2434</v>
      </c>
      <c r="F256" s="428"/>
      <c r="G256" s="428"/>
      <c r="H256" s="428"/>
      <c r="I256" s="428"/>
      <c r="J256" s="428"/>
      <c r="K256" s="432"/>
      <c r="L256" s="432"/>
      <c r="M256" s="432"/>
      <c r="N256" s="432"/>
      <c r="O256" s="432"/>
      <c r="P256" s="432"/>
      <c r="Q256" s="432"/>
      <c r="R256" s="432"/>
      <c r="S256" s="432"/>
      <c r="T256" s="432"/>
      <c r="U256" s="432"/>
      <c r="V256" s="432"/>
      <c r="W256" s="432"/>
      <c r="X256" s="54"/>
      <c r="Y256" s="54"/>
      <c r="Z256" s="54"/>
      <c r="AA256" s="54"/>
      <c r="AB256" s="54"/>
      <c r="AC256" s="54"/>
    </row>
    <row r="257" ht="78.0" customHeight="1">
      <c r="A257" s="453">
        <v>45642.0</v>
      </c>
      <c r="B257" s="454" t="s">
        <v>2439</v>
      </c>
      <c r="C257" s="42"/>
      <c r="D257" s="454" t="s">
        <v>2441</v>
      </c>
      <c r="E257" s="455"/>
      <c r="F257" s="42"/>
      <c r="G257" s="42"/>
      <c r="H257" s="42"/>
      <c r="I257" s="42"/>
      <c r="J257" s="42"/>
      <c r="K257" s="44"/>
      <c r="L257" s="44"/>
      <c r="M257" s="44"/>
      <c r="N257" s="44"/>
      <c r="O257" s="44"/>
      <c r="P257" s="44"/>
      <c r="Q257" s="44"/>
      <c r="R257" s="44"/>
      <c r="S257" s="44"/>
      <c r="T257" s="44"/>
      <c r="U257" s="44"/>
      <c r="V257" s="44"/>
      <c r="W257" s="44"/>
      <c r="X257" s="28"/>
      <c r="Y257" s="28"/>
      <c r="Z257" s="28"/>
      <c r="AA257" s="28"/>
      <c r="AB257" s="28"/>
      <c r="AC257" s="28"/>
    </row>
    <row r="258" ht="78.0" customHeight="1">
      <c r="A258" s="448">
        <v>45641.0</v>
      </c>
      <c r="B258" s="449" t="s">
        <v>2446</v>
      </c>
      <c r="C258" s="428"/>
      <c r="D258" s="427"/>
      <c r="E258" s="450"/>
      <c r="F258" s="428"/>
      <c r="G258" s="428"/>
      <c r="H258" s="428"/>
      <c r="I258" s="428"/>
      <c r="J258" s="428"/>
      <c r="K258" s="432"/>
      <c r="L258" s="432"/>
      <c r="M258" s="432"/>
      <c r="N258" s="432"/>
      <c r="O258" s="432"/>
      <c r="P258" s="432"/>
      <c r="Q258" s="432"/>
      <c r="R258" s="432"/>
      <c r="S258" s="432"/>
      <c r="T258" s="432"/>
      <c r="U258" s="432"/>
      <c r="V258" s="432"/>
      <c r="W258" s="432"/>
      <c r="X258" s="54"/>
      <c r="Y258" s="54"/>
      <c r="Z258" s="54"/>
      <c r="AA258" s="54"/>
      <c r="AB258" s="54"/>
      <c r="AC258" s="54"/>
    </row>
    <row r="259" ht="78.0" customHeight="1">
      <c r="A259" s="453">
        <v>45641.0</v>
      </c>
      <c r="B259" s="454" t="s">
        <v>2456</v>
      </c>
      <c r="C259" s="414" t="s">
        <v>2458</v>
      </c>
      <c r="D259" s="495" t="s">
        <v>2459</v>
      </c>
      <c r="E259" s="480">
        <v>1.0</v>
      </c>
      <c r="F259" s="414" t="s">
        <v>2461</v>
      </c>
      <c r="G259" s="414" t="s">
        <v>2462</v>
      </c>
      <c r="H259" s="42"/>
      <c r="I259" s="42"/>
      <c r="J259" s="42"/>
      <c r="K259" s="44"/>
      <c r="L259" s="44"/>
      <c r="M259" s="44"/>
      <c r="N259" s="44"/>
      <c r="O259" s="44"/>
      <c r="P259" s="44"/>
      <c r="Q259" s="44"/>
      <c r="R259" s="44"/>
      <c r="S259" s="44"/>
      <c r="T259" s="44"/>
      <c r="U259" s="44"/>
      <c r="V259" s="44"/>
      <c r="W259" s="44"/>
      <c r="X259" s="28"/>
      <c r="Y259" s="28"/>
      <c r="Z259" s="28"/>
      <c r="AA259" s="28"/>
      <c r="AB259" s="28"/>
      <c r="AC259" s="28"/>
    </row>
    <row r="260" ht="78.0" customHeight="1">
      <c r="A260" s="448">
        <v>45641.0</v>
      </c>
      <c r="B260" s="449" t="s">
        <v>2473</v>
      </c>
      <c r="C260" s="428"/>
      <c r="D260" s="449" t="s">
        <v>2475</v>
      </c>
      <c r="E260" s="450"/>
      <c r="F260" s="428"/>
      <c r="G260" s="428"/>
      <c r="H260" s="428"/>
      <c r="I260" s="428"/>
      <c r="J260" s="428"/>
      <c r="K260" s="432"/>
      <c r="L260" s="432"/>
      <c r="M260" s="432"/>
      <c r="N260" s="432"/>
      <c r="O260" s="432"/>
      <c r="P260" s="432"/>
      <c r="Q260" s="432"/>
      <c r="R260" s="432"/>
      <c r="S260" s="432"/>
      <c r="T260" s="432"/>
      <c r="U260" s="432"/>
      <c r="V260" s="432"/>
      <c r="W260" s="432"/>
      <c r="X260" s="54"/>
      <c r="Y260" s="54"/>
      <c r="Z260" s="54"/>
      <c r="AA260" s="54"/>
      <c r="AB260" s="54"/>
      <c r="AC260" s="54"/>
    </row>
    <row r="261" ht="78.0" customHeight="1">
      <c r="A261" s="453">
        <v>45640.0</v>
      </c>
      <c r="B261" s="454" t="s">
        <v>2485</v>
      </c>
      <c r="C261" s="42"/>
      <c r="D261" s="454" t="s">
        <v>2487</v>
      </c>
      <c r="E261" s="480" t="s">
        <v>2488</v>
      </c>
      <c r="F261" s="42"/>
      <c r="G261" s="42"/>
      <c r="H261" s="42"/>
      <c r="I261" s="42"/>
      <c r="J261" s="42"/>
      <c r="K261" s="44"/>
      <c r="L261" s="44"/>
      <c r="M261" s="44"/>
      <c r="N261" s="44"/>
      <c r="O261" s="44"/>
      <c r="P261" s="44"/>
      <c r="Q261" s="44"/>
      <c r="R261" s="44"/>
      <c r="S261" s="44"/>
      <c r="T261" s="44"/>
      <c r="U261" s="44"/>
      <c r="V261" s="44"/>
      <c r="W261" s="44"/>
      <c r="X261" s="28"/>
      <c r="Y261" s="28"/>
      <c r="Z261" s="28"/>
      <c r="AA261" s="28"/>
      <c r="AB261" s="28"/>
      <c r="AC261" s="28"/>
    </row>
    <row r="262" ht="78.0" customHeight="1">
      <c r="A262" s="448">
        <v>45640.0</v>
      </c>
      <c r="B262" s="449" t="s">
        <v>2493</v>
      </c>
      <c r="C262" s="428"/>
      <c r="D262" s="449" t="s">
        <v>2494</v>
      </c>
      <c r="E262" s="428"/>
      <c r="F262" s="428"/>
      <c r="G262" s="428"/>
      <c r="H262" s="428"/>
      <c r="I262" s="428"/>
      <c r="J262" s="428"/>
      <c r="K262" s="432"/>
      <c r="L262" s="432"/>
      <c r="M262" s="432"/>
      <c r="N262" s="432"/>
      <c r="O262" s="432"/>
      <c r="P262" s="432"/>
      <c r="Q262" s="432"/>
      <c r="R262" s="432"/>
      <c r="S262" s="432"/>
      <c r="T262" s="432"/>
      <c r="U262" s="432"/>
      <c r="V262" s="432"/>
      <c r="W262" s="432"/>
      <c r="X262" s="54"/>
      <c r="Y262" s="54"/>
      <c r="Z262" s="54"/>
      <c r="AA262" s="54"/>
      <c r="AB262" s="54"/>
      <c r="AC262" s="54"/>
    </row>
    <row r="263" ht="78.0" customHeight="1">
      <c r="A263" s="453">
        <v>45640.0</v>
      </c>
      <c r="B263" s="454" t="s">
        <v>2497</v>
      </c>
      <c r="C263" s="414" t="s">
        <v>2498</v>
      </c>
      <c r="D263" s="454" t="s">
        <v>2500</v>
      </c>
      <c r="E263" s="454" t="s">
        <v>2502</v>
      </c>
      <c r="F263" s="414" t="s">
        <v>2503</v>
      </c>
      <c r="G263" s="414" t="s">
        <v>2506</v>
      </c>
      <c r="H263" s="414" t="s">
        <v>2508</v>
      </c>
      <c r="I263" s="42"/>
      <c r="J263" s="42"/>
      <c r="K263" s="44"/>
      <c r="L263" s="44"/>
      <c r="M263" s="44"/>
      <c r="N263" s="44"/>
      <c r="O263" s="44"/>
      <c r="P263" s="44"/>
      <c r="Q263" s="44"/>
      <c r="R263" s="44"/>
      <c r="S263" s="44"/>
      <c r="T263" s="44"/>
      <c r="U263" s="44"/>
      <c r="V263" s="44"/>
      <c r="W263" s="44"/>
      <c r="X263" s="28"/>
      <c r="Y263" s="28"/>
      <c r="Z263" s="28"/>
      <c r="AA263" s="28"/>
      <c r="AB263" s="28"/>
      <c r="AC263" s="28"/>
    </row>
    <row r="264" ht="78.0" customHeight="1">
      <c r="A264" s="448">
        <v>45640.0</v>
      </c>
      <c r="B264" s="449" t="s">
        <v>2514</v>
      </c>
      <c r="C264" s="428"/>
      <c r="D264" s="427"/>
      <c r="E264" s="428"/>
      <c r="F264" s="428"/>
      <c r="G264" s="428"/>
      <c r="H264" s="428"/>
      <c r="I264" s="428"/>
      <c r="J264" s="432"/>
      <c r="K264" s="432"/>
      <c r="L264" s="432"/>
      <c r="M264" s="432"/>
      <c r="N264" s="432"/>
      <c r="O264" s="432"/>
      <c r="P264" s="432"/>
      <c r="Q264" s="432"/>
      <c r="R264" s="432"/>
      <c r="S264" s="432"/>
      <c r="T264" s="432"/>
      <c r="U264" s="432"/>
      <c r="V264" s="432"/>
      <c r="W264" s="432"/>
      <c r="X264" s="54"/>
      <c r="Y264" s="54"/>
      <c r="Z264" s="54"/>
      <c r="AA264" s="54"/>
      <c r="AB264" s="54"/>
      <c r="AC264" s="54"/>
    </row>
    <row r="265" ht="78.0" customHeight="1">
      <c r="A265" s="448">
        <v>45639.0</v>
      </c>
      <c r="B265" s="449" t="s">
        <v>2524</v>
      </c>
      <c r="C265" s="428"/>
      <c r="D265" s="427"/>
      <c r="E265" s="428"/>
      <c r="F265" s="428"/>
      <c r="G265" s="428"/>
      <c r="H265" s="428"/>
      <c r="I265" s="428"/>
      <c r="J265" s="428"/>
      <c r="K265" s="432"/>
      <c r="L265" s="432"/>
      <c r="M265" s="432"/>
      <c r="N265" s="432"/>
      <c r="O265" s="432"/>
      <c r="P265" s="432"/>
      <c r="Q265" s="432"/>
      <c r="R265" s="432"/>
      <c r="S265" s="432"/>
      <c r="T265" s="432"/>
      <c r="U265" s="432"/>
      <c r="V265" s="432"/>
      <c r="W265" s="432"/>
      <c r="X265" s="54"/>
      <c r="Y265" s="54"/>
      <c r="Z265" s="54"/>
      <c r="AA265" s="54"/>
      <c r="AB265" s="54"/>
      <c r="AC265" s="54"/>
    </row>
    <row r="266" ht="78.0" customHeight="1">
      <c r="A266" s="453">
        <v>45639.0</v>
      </c>
      <c r="B266" s="454" t="s">
        <v>2535</v>
      </c>
      <c r="C266" s="414" t="s">
        <v>2536</v>
      </c>
      <c r="D266" s="414"/>
      <c r="E266" s="454" t="s">
        <v>2538</v>
      </c>
      <c r="F266" s="42"/>
      <c r="G266" s="42"/>
      <c r="H266" s="42"/>
      <c r="I266" s="42"/>
      <c r="J266" s="42"/>
      <c r="K266" s="44"/>
      <c r="L266" s="44"/>
      <c r="M266" s="44"/>
      <c r="N266" s="44"/>
      <c r="O266" s="44"/>
      <c r="P266" s="44"/>
      <c r="Q266" s="44"/>
      <c r="R266" s="44"/>
      <c r="S266" s="44"/>
      <c r="T266" s="44"/>
      <c r="U266" s="44"/>
      <c r="V266" s="44"/>
      <c r="W266" s="44"/>
      <c r="X266" s="28"/>
      <c r="Y266" s="28"/>
      <c r="Z266" s="28"/>
      <c r="AA266" s="28"/>
      <c r="AB266" s="28"/>
      <c r="AC266" s="28"/>
    </row>
    <row r="267" ht="78.0" customHeight="1">
      <c r="A267" s="448">
        <v>45639.0</v>
      </c>
      <c r="B267" s="449" t="s">
        <v>2550</v>
      </c>
      <c r="C267" s="427" t="s">
        <v>2551</v>
      </c>
      <c r="D267" s="427"/>
      <c r="E267" s="449" t="s">
        <v>2553</v>
      </c>
      <c r="F267" s="428"/>
      <c r="G267" s="428"/>
      <c r="H267" s="428"/>
      <c r="I267" s="428"/>
      <c r="J267" s="428"/>
      <c r="K267" s="432"/>
      <c r="L267" s="432"/>
      <c r="M267" s="432"/>
      <c r="N267" s="432"/>
      <c r="O267" s="432"/>
      <c r="P267" s="432"/>
      <c r="Q267" s="432"/>
      <c r="R267" s="432"/>
      <c r="S267" s="432"/>
      <c r="T267" s="432"/>
      <c r="U267" s="432"/>
      <c r="V267" s="432"/>
      <c r="W267" s="432"/>
      <c r="X267" s="54"/>
      <c r="Y267" s="54"/>
      <c r="Z267" s="54"/>
      <c r="AA267" s="54"/>
      <c r="AB267" s="54"/>
      <c r="AC267" s="54"/>
    </row>
    <row r="268" ht="78.0" customHeight="1">
      <c r="A268" s="453">
        <v>45639.0</v>
      </c>
      <c r="B268" s="414" t="s">
        <v>2559</v>
      </c>
      <c r="C268" s="42"/>
      <c r="D268" s="414"/>
      <c r="E268" s="42"/>
      <c r="F268" s="42"/>
      <c r="G268" s="42"/>
      <c r="H268" s="42"/>
      <c r="I268" s="42"/>
      <c r="J268" s="42"/>
      <c r="K268" s="44"/>
      <c r="L268" s="44"/>
      <c r="M268" s="44"/>
      <c r="N268" s="44"/>
      <c r="O268" s="44"/>
      <c r="P268" s="44"/>
      <c r="Q268" s="44"/>
      <c r="R268" s="44"/>
      <c r="S268" s="44"/>
      <c r="T268" s="44"/>
      <c r="U268" s="44"/>
      <c r="V268" s="44"/>
      <c r="W268" s="44"/>
      <c r="X268" s="28"/>
      <c r="Y268" s="28"/>
      <c r="Z268" s="28"/>
      <c r="AA268" s="28"/>
      <c r="AB268" s="28"/>
      <c r="AC268" s="28"/>
    </row>
    <row r="269" ht="78.0" customHeight="1">
      <c r="A269" s="448">
        <v>45639.0</v>
      </c>
      <c r="B269" s="427" t="s">
        <v>2568</v>
      </c>
      <c r="C269" s="428"/>
      <c r="D269" s="427"/>
      <c r="E269" s="427" t="s">
        <v>2571</v>
      </c>
      <c r="F269" s="428"/>
      <c r="G269" s="428"/>
      <c r="H269" s="428"/>
      <c r="I269" s="428"/>
      <c r="J269" s="428"/>
      <c r="K269" s="432"/>
      <c r="L269" s="432"/>
      <c r="M269" s="432"/>
      <c r="N269" s="432"/>
      <c r="O269" s="432"/>
      <c r="P269" s="432"/>
      <c r="Q269" s="432"/>
      <c r="R269" s="432"/>
      <c r="S269" s="432"/>
      <c r="T269" s="432"/>
      <c r="U269" s="432"/>
      <c r="V269" s="432"/>
      <c r="W269" s="432"/>
      <c r="X269" s="54"/>
      <c r="Y269" s="54"/>
      <c r="Z269" s="54"/>
      <c r="AA269" s="54"/>
      <c r="AB269" s="54"/>
      <c r="AC269" s="54"/>
    </row>
    <row r="270" ht="78.0" customHeight="1">
      <c r="A270" s="453">
        <v>45639.0</v>
      </c>
      <c r="B270" s="454" t="s">
        <v>2578</v>
      </c>
      <c r="C270" s="414" t="s">
        <v>2580</v>
      </c>
      <c r="D270" s="414"/>
      <c r="E270" s="454" t="s">
        <v>2581</v>
      </c>
      <c r="F270" s="414" t="s">
        <v>2584</v>
      </c>
      <c r="G270" s="42"/>
      <c r="H270" s="42"/>
      <c r="I270" s="42"/>
      <c r="J270" s="42"/>
      <c r="K270" s="44"/>
      <c r="L270" s="44"/>
      <c r="M270" s="44"/>
      <c r="N270" s="44"/>
      <c r="O270" s="44"/>
      <c r="P270" s="44"/>
      <c r="Q270" s="44"/>
      <c r="R270" s="44"/>
      <c r="S270" s="44"/>
      <c r="T270" s="44"/>
      <c r="U270" s="44"/>
      <c r="V270" s="44"/>
      <c r="W270" s="44"/>
      <c r="X270" s="28"/>
      <c r="Y270" s="28"/>
      <c r="Z270" s="28"/>
      <c r="AA270" s="28"/>
      <c r="AB270" s="28"/>
      <c r="AC270" s="28"/>
    </row>
    <row r="271" ht="78.0" customHeight="1">
      <c r="A271" s="448">
        <v>45639.0</v>
      </c>
      <c r="B271" s="427" t="s">
        <v>2589</v>
      </c>
      <c r="C271" s="427" t="s">
        <v>2590</v>
      </c>
      <c r="D271" s="427"/>
      <c r="E271" s="427" t="s">
        <v>2591</v>
      </c>
      <c r="F271" s="428"/>
      <c r="G271" s="428"/>
      <c r="H271" s="428"/>
      <c r="I271" s="428"/>
      <c r="J271" s="428"/>
      <c r="K271" s="432"/>
      <c r="L271" s="432"/>
      <c r="M271" s="432"/>
      <c r="N271" s="432"/>
      <c r="O271" s="432"/>
      <c r="P271" s="432"/>
      <c r="Q271" s="432"/>
      <c r="R271" s="432"/>
      <c r="S271" s="432"/>
      <c r="T271" s="432"/>
      <c r="U271" s="432"/>
      <c r="V271" s="432"/>
      <c r="W271" s="432"/>
      <c r="X271" s="54"/>
      <c r="Y271" s="54"/>
      <c r="Z271" s="54"/>
      <c r="AA271" s="54"/>
      <c r="AB271" s="54"/>
      <c r="AC271" s="54"/>
    </row>
    <row r="272" ht="78.0" customHeight="1">
      <c r="A272" s="453">
        <v>45639.0</v>
      </c>
      <c r="B272" s="414" t="s">
        <v>2598</v>
      </c>
      <c r="C272" s="414" t="s">
        <v>2600</v>
      </c>
      <c r="D272" s="414"/>
      <c r="E272" s="414" t="s">
        <v>2603</v>
      </c>
      <c r="F272" s="42"/>
      <c r="G272" s="42"/>
      <c r="H272" s="42"/>
      <c r="I272" s="42"/>
      <c r="J272" s="42"/>
      <c r="K272" s="44"/>
      <c r="L272" s="44"/>
      <c r="M272" s="44"/>
      <c r="N272" s="44"/>
      <c r="O272" s="44"/>
      <c r="P272" s="44"/>
      <c r="Q272" s="44"/>
      <c r="R272" s="44"/>
      <c r="S272" s="44"/>
      <c r="T272" s="44"/>
      <c r="U272" s="44"/>
      <c r="V272" s="44"/>
      <c r="W272" s="44"/>
      <c r="X272" s="28"/>
      <c r="Y272" s="28"/>
      <c r="Z272" s="28"/>
      <c r="AA272" s="28"/>
      <c r="AB272" s="28"/>
      <c r="AC272" s="28"/>
    </row>
    <row r="273" ht="78.0" customHeight="1">
      <c r="A273" s="453">
        <v>45638.0</v>
      </c>
      <c r="B273" s="454" t="s">
        <v>2609</v>
      </c>
      <c r="C273" s="42"/>
      <c r="D273" s="414"/>
      <c r="E273" s="42"/>
      <c r="F273" s="42"/>
      <c r="G273" s="42"/>
      <c r="H273" s="42"/>
      <c r="I273" s="42"/>
      <c r="J273" s="42"/>
      <c r="K273" s="44"/>
      <c r="L273" s="44"/>
      <c r="M273" s="44"/>
      <c r="N273" s="44"/>
      <c r="O273" s="44"/>
      <c r="P273" s="44"/>
      <c r="Q273" s="44"/>
      <c r="R273" s="44"/>
      <c r="S273" s="44"/>
      <c r="T273" s="44"/>
      <c r="U273" s="44"/>
      <c r="V273" s="44"/>
      <c r="W273" s="44"/>
      <c r="X273" s="28"/>
      <c r="Y273" s="28"/>
      <c r="Z273" s="28"/>
      <c r="AA273" s="28"/>
      <c r="AB273" s="28"/>
      <c r="AC273" s="28"/>
    </row>
    <row r="274" ht="78.0" customHeight="1">
      <c r="A274" s="448">
        <v>45638.0</v>
      </c>
      <c r="B274" s="427" t="s">
        <v>2617</v>
      </c>
      <c r="C274" s="427" t="s">
        <v>2618</v>
      </c>
      <c r="D274" s="427"/>
      <c r="E274" s="427" t="s">
        <v>2620</v>
      </c>
      <c r="F274" s="427" t="s">
        <v>2621</v>
      </c>
      <c r="G274" s="427" t="s">
        <v>2622</v>
      </c>
      <c r="H274" s="428"/>
      <c r="I274" s="428"/>
      <c r="J274" s="428"/>
      <c r="K274" s="432"/>
      <c r="L274" s="432"/>
      <c r="M274" s="432"/>
      <c r="N274" s="432"/>
      <c r="O274" s="432"/>
      <c r="P274" s="432"/>
      <c r="Q274" s="432"/>
      <c r="R274" s="432"/>
      <c r="S274" s="432"/>
      <c r="T274" s="432"/>
      <c r="U274" s="432"/>
      <c r="V274" s="432"/>
      <c r="W274" s="432"/>
      <c r="X274" s="54"/>
      <c r="Y274" s="54"/>
      <c r="Z274" s="54"/>
      <c r="AA274" s="54"/>
      <c r="AB274" s="54"/>
      <c r="AC274" s="54"/>
    </row>
    <row r="275" ht="78.0" customHeight="1">
      <c r="A275" s="453">
        <v>45638.0</v>
      </c>
      <c r="B275" s="414" t="s">
        <v>2630</v>
      </c>
      <c r="C275" s="414" t="s">
        <v>2631</v>
      </c>
      <c r="D275" s="414"/>
      <c r="E275" s="414" t="s">
        <v>2632</v>
      </c>
      <c r="F275" s="42"/>
      <c r="G275" s="42"/>
      <c r="H275" s="42"/>
      <c r="I275" s="42"/>
      <c r="J275" s="42"/>
      <c r="K275" s="44"/>
      <c r="L275" s="44"/>
      <c r="M275" s="44"/>
      <c r="N275" s="44"/>
      <c r="O275" s="44"/>
      <c r="P275" s="44"/>
      <c r="Q275" s="44"/>
      <c r="R275" s="44"/>
      <c r="S275" s="44"/>
      <c r="T275" s="44"/>
      <c r="U275" s="44"/>
      <c r="V275" s="44"/>
      <c r="W275" s="44"/>
      <c r="X275" s="28"/>
      <c r="Y275" s="28"/>
      <c r="Z275" s="28"/>
      <c r="AA275" s="28"/>
      <c r="AB275" s="28"/>
      <c r="AC275" s="28"/>
    </row>
    <row r="276" ht="78.0" customHeight="1">
      <c r="A276" s="448">
        <v>45638.0</v>
      </c>
      <c r="B276" s="427" t="s">
        <v>2640</v>
      </c>
      <c r="C276" s="427" t="s">
        <v>2641</v>
      </c>
      <c r="D276" s="427"/>
      <c r="E276" s="427" t="s">
        <v>2642</v>
      </c>
      <c r="F276" s="428"/>
      <c r="G276" s="428"/>
      <c r="H276" s="428"/>
      <c r="I276" s="428"/>
      <c r="J276" s="428"/>
      <c r="K276" s="432"/>
      <c r="L276" s="432"/>
      <c r="M276" s="432"/>
      <c r="N276" s="432"/>
      <c r="O276" s="432"/>
      <c r="P276" s="432"/>
      <c r="Q276" s="432"/>
      <c r="R276" s="432"/>
      <c r="S276" s="432"/>
      <c r="T276" s="432"/>
      <c r="U276" s="432"/>
      <c r="V276" s="432"/>
      <c r="W276" s="432"/>
      <c r="X276" s="54"/>
      <c r="Y276" s="54"/>
      <c r="Z276" s="54"/>
      <c r="AA276" s="54"/>
      <c r="AB276" s="54"/>
      <c r="AC276" s="54"/>
    </row>
    <row r="277" ht="78.0" customHeight="1">
      <c r="A277" s="453">
        <v>45637.0</v>
      </c>
      <c r="B277" s="414" t="s">
        <v>2645</v>
      </c>
      <c r="C277" s="414" t="s">
        <v>2647</v>
      </c>
      <c r="D277" s="414"/>
      <c r="E277" s="414" t="s">
        <v>2648</v>
      </c>
      <c r="F277" s="42"/>
      <c r="G277" s="42"/>
      <c r="H277" s="42"/>
      <c r="I277" s="42"/>
      <c r="J277" s="42"/>
      <c r="K277" s="44"/>
      <c r="L277" s="44"/>
      <c r="M277" s="44"/>
      <c r="N277" s="44"/>
      <c r="O277" s="44"/>
      <c r="P277" s="44"/>
      <c r="Q277" s="44"/>
      <c r="R277" s="44"/>
      <c r="S277" s="44"/>
      <c r="T277" s="44"/>
      <c r="U277" s="44"/>
      <c r="V277" s="44"/>
      <c r="W277" s="44"/>
      <c r="X277" s="28"/>
      <c r="Y277" s="28"/>
      <c r="Z277" s="28"/>
      <c r="AA277" s="28"/>
      <c r="AB277" s="28"/>
      <c r="AC277" s="28"/>
    </row>
    <row r="278" ht="78.0" customHeight="1">
      <c r="A278" s="448">
        <v>45637.0</v>
      </c>
      <c r="B278" s="427" t="s">
        <v>2654</v>
      </c>
      <c r="C278" s="427" t="s">
        <v>2656</v>
      </c>
      <c r="D278" s="427"/>
      <c r="E278" s="427" t="s">
        <v>2658</v>
      </c>
      <c r="F278" s="427" t="s">
        <v>2659</v>
      </c>
      <c r="G278" s="427" t="s">
        <v>2660</v>
      </c>
      <c r="H278" s="427" t="s">
        <v>2661</v>
      </c>
      <c r="I278" s="428"/>
      <c r="J278" s="428"/>
      <c r="K278" s="432"/>
      <c r="L278" s="432"/>
      <c r="M278" s="432"/>
      <c r="N278" s="432"/>
      <c r="O278" s="432"/>
      <c r="P278" s="432"/>
      <c r="Q278" s="432"/>
      <c r="R278" s="432"/>
      <c r="S278" s="432"/>
      <c r="T278" s="432"/>
      <c r="U278" s="432"/>
      <c r="V278" s="432"/>
      <c r="W278" s="432"/>
      <c r="X278" s="54"/>
      <c r="Y278" s="54"/>
      <c r="Z278" s="54"/>
      <c r="AA278" s="54"/>
      <c r="AB278" s="54"/>
      <c r="AC278" s="54"/>
    </row>
    <row r="279" ht="78.0" customHeight="1">
      <c r="A279" s="453">
        <v>45637.0</v>
      </c>
      <c r="B279" s="414" t="s">
        <v>2668</v>
      </c>
      <c r="C279" s="42"/>
      <c r="D279" s="414"/>
      <c r="E279" s="42"/>
      <c r="F279" s="42"/>
      <c r="G279" s="42"/>
      <c r="H279" s="42"/>
      <c r="I279" s="42"/>
      <c r="J279" s="42"/>
      <c r="K279" s="44"/>
      <c r="L279" s="44"/>
      <c r="M279" s="44"/>
      <c r="N279" s="44"/>
      <c r="O279" s="44"/>
      <c r="P279" s="44"/>
      <c r="Q279" s="44"/>
      <c r="R279" s="44"/>
      <c r="S279" s="44"/>
      <c r="T279" s="44"/>
      <c r="U279" s="44"/>
      <c r="V279" s="44"/>
      <c r="W279" s="44"/>
      <c r="X279" s="28"/>
      <c r="Y279" s="28"/>
      <c r="Z279" s="28"/>
      <c r="AA279" s="28"/>
      <c r="AB279" s="28"/>
      <c r="AC279" s="28"/>
    </row>
    <row r="280" ht="78.0" customHeight="1">
      <c r="A280" s="448">
        <v>45637.0</v>
      </c>
      <c r="B280" s="427" t="s">
        <v>2672</v>
      </c>
      <c r="C280" s="427" t="s">
        <v>2674</v>
      </c>
      <c r="D280" s="427"/>
      <c r="E280" s="427" t="s">
        <v>2676</v>
      </c>
      <c r="F280" s="427" t="s">
        <v>2679</v>
      </c>
      <c r="G280" s="427" t="s">
        <v>2681</v>
      </c>
      <c r="H280" s="427" t="s">
        <v>2683</v>
      </c>
      <c r="I280" s="427" t="s">
        <v>2684</v>
      </c>
      <c r="J280" s="428"/>
      <c r="K280" s="432"/>
      <c r="L280" s="432"/>
      <c r="M280" s="432"/>
      <c r="N280" s="432"/>
      <c r="O280" s="432"/>
      <c r="P280" s="432"/>
      <c r="Q280" s="432"/>
      <c r="R280" s="432"/>
      <c r="S280" s="432"/>
      <c r="T280" s="432"/>
      <c r="U280" s="432"/>
      <c r="V280" s="432"/>
      <c r="W280" s="432"/>
      <c r="X280" s="54"/>
      <c r="Y280" s="54"/>
      <c r="Z280" s="54"/>
      <c r="AA280" s="54"/>
      <c r="AB280" s="54"/>
      <c r="AC280" s="54"/>
    </row>
    <row r="281" ht="78.0" customHeight="1">
      <c r="A281" s="453">
        <v>45637.0</v>
      </c>
      <c r="B281" s="414" t="s">
        <v>2689</v>
      </c>
      <c r="C281" s="414" t="s">
        <v>2691</v>
      </c>
      <c r="D281" s="414"/>
      <c r="E281" s="414" t="s">
        <v>2693</v>
      </c>
      <c r="F281" s="414" t="s">
        <v>2695</v>
      </c>
      <c r="G281" s="42"/>
      <c r="H281" s="42"/>
      <c r="I281" s="42"/>
      <c r="J281" s="42"/>
      <c r="K281" s="44"/>
      <c r="L281" s="44"/>
      <c r="M281" s="44"/>
      <c r="N281" s="44"/>
      <c r="O281" s="44"/>
      <c r="P281" s="44"/>
      <c r="Q281" s="44"/>
      <c r="R281" s="44"/>
      <c r="S281" s="44"/>
      <c r="T281" s="44"/>
      <c r="U281" s="44"/>
      <c r="V281" s="44"/>
      <c r="W281" s="44"/>
      <c r="X281" s="28"/>
      <c r="Y281" s="28"/>
      <c r="Z281" s="28"/>
      <c r="AA281" s="28"/>
      <c r="AB281" s="28"/>
      <c r="AC281" s="28"/>
    </row>
    <row r="282" ht="78.0" customHeight="1">
      <c r="A282" s="448">
        <v>45637.0</v>
      </c>
      <c r="B282" s="427" t="s">
        <v>2699</v>
      </c>
      <c r="C282" s="428"/>
      <c r="D282" s="427"/>
      <c r="E282" s="427" t="s">
        <v>2700</v>
      </c>
      <c r="F282" s="427" t="s">
        <v>2702</v>
      </c>
      <c r="G282" s="427" t="s">
        <v>2704</v>
      </c>
      <c r="H282" s="428"/>
      <c r="I282" s="428"/>
      <c r="J282" s="428"/>
      <c r="K282" s="432"/>
      <c r="L282" s="432"/>
      <c r="M282" s="432"/>
      <c r="N282" s="432"/>
      <c r="O282" s="432"/>
      <c r="P282" s="432"/>
      <c r="Q282" s="432"/>
      <c r="R282" s="432"/>
      <c r="S282" s="432"/>
      <c r="T282" s="432"/>
      <c r="U282" s="432"/>
      <c r="V282" s="432"/>
      <c r="W282" s="432"/>
      <c r="X282" s="54"/>
      <c r="Y282" s="54"/>
      <c r="Z282" s="54"/>
      <c r="AA282" s="54"/>
      <c r="AB282" s="54"/>
      <c r="AC282" s="54"/>
    </row>
    <row r="283" ht="78.0" customHeight="1">
      <c r="A283" s="453">
        <v>45637.0</v>
      </c>
      <c r="B283" s="414" t="s">
        <v>2712</v>
      </c>
      <c r="C283" s="414" t="s">
        <v>2714</v>
      </c>
      <c r="D283" s="414"/>
      <c r="E283" s="414" t="s">
        <v>2715</v>
      </c>
      <c r="F283" s="42"/>
      <c r="G283" s="42"/>
      <c r="H283" s="42"/>
      <c r="I283" s="42"/>
      <c r="J283" s="42"/>
      <c r="K283" s="44"/>
      <c r="L283" s="44"/>
      <c r="M283" s="44"/>
      <c r="N283" s="44"/>
      <c r="O283" s="44"/>
      <c r="P283" s="44"/>
      <c r="Q283" s="44"/>
      <c r="R283" s="44"/>
      <c r="S283" s="44"/>
      <c r="T283" s="44"/>
      <c r="U283" s="44"/>
      <c r="V283" s="44"/>
      <c r="W283" s="44"/>
      <c r="X283" s="28"/>
      <c r="Y283" s="28"/>
      <c r="Z283" s="28"/>
      <c r="AA283" s="28"/>
      <c r="AB283" s="28"/>
      <c r="AC283" s="28"/>
    </row>
    <row r="284" ht="78.0" customHeight="1">
      <c r="A284" s="453">
        <v>45636.0</v>
      </c>
      <c r="B284" s="414" t="s">
        <v>2721</v>
      </c>
      <c r="C284" s="414" t="s">
        <v>2722</v>
      </c>
      <c r="D284" s="414"/>
      <c r="E284" s="414" t="s">
        <v>2723</v>
      </c>
      <c r="F284" s="414" t="s">
        <v>2724</v>
      </c>
      <c r="G284" s="42"/>
      <c r="H284" s="42"/>
      <c r="I284" s="42"/>
      <c r="J284" s="42"/>
      <c r="K284" s="44"/>
      <c r="L284" s="44"/>
      <c r="M284" s="44"/>
      <c r="N284" s="44"/>
      <c r="O284" s="44"/>
      <c r="P284" s="44"/>
      <c r="Q284" s="44"/>
      <c r="R284" s="44"/>
      <c r="S284" s="44"/>
      <c r="T284" s="44"/>
      <c r="U284" s="44"/>
      <c r="V284" s="44"/>
      <c r="W284" s="44"/>
      <c r="X284" s="28"/>
      <c r="Y284" s="28"/>
      <c r="Z284" s="28"/>
      <c r="AA284" s="28"/>
      <c r="AB284" s="28"/>
      <c r="AC284" s="28"/>
    </row>
    <row r="285" ht="78.0" customHeight="1">
      <c r="A285" s="448">
        <v>45636.0</v>
      </c>
      <c r="B285" s="427" t="s">
        <v>2731</v>
      </c>
      <c r="C285" s="427" t="s">
        <v>2732</v>
      </c>
      <c r="D285" s="427"/>
      <c r="E285" s="427" t="s">
        <v>2733</v>
      </c>
      <c r="F285" s="427" t="s">
        <v>2735</v>
      </c>
      <c r="G285" s="427" t="s">
        <v>2737</v>
      </c>
      <c r="H285" s="427" t="s">
        <v>2738</v>
      </c>
      <c r="I285" s="428"/>
      <c r="J285" s="428"/>
      <c r="K285" s="432"/>
      <c r="L285" s="432"/>
      <c r="M285" s="432"/>
      <c r="N285" s="432"/>
      <c r="O285" s="432"/>
      <c r="P285" s="432"/>
      <c r="Q285" s="432"/>
      <c r="R285" s="432"/>
      <c r="S285" s="432"/>
      <c r="T285" s="432"/>
      <c r="U285" s="432"/>
      <c r="V285" s="432"/>
      <c r="W285" s="432"/>
      <c r="X285" s="54"/>
      <c r="Y285" s="54"/>
      <c r="Z285" s="54"/>
      <c r="AA285" s="54"/>
      <c r="AB285" s="54"/>
      <c r="AC285" s="54"/>
    </row>
    <row r="286" ht="78.0" customHeight="1">
      <c r="A286" s="453">
        <v>45636.0</v>
      </c>
      <c r="B286" s="414" t="s">
        <v>2744</v>
      </c>
      <c r="C286" s="42"/>
      <c r="D286" s="414"/>
      <c r="E286" s="42"/>
      <c r="F286" s="42"/>
      <c r="G286" s="42"/>
      <c r="H286" s="42"/>
      <c r="I286" s="42"/>
      <c r="J286" s="44"/>
      <c r="K286" s="44"/>
      <c r="L286" s="44"/>
      <c r="M286" s="44"/>
      <c r="N286" s="44"/>
      <c r="O286" s="44"/>
      <c r="P286" s="44"/>
      <c r="Q286" s="44"/>
      <c r="R286" s="44"/>
      <c r="S286" s="44"/>
      <c r="T286" s="44"/>
      <c r="U286" s="44"/>
      <c r="V286" s="44"/>
      <c r="W286" s="44"/>
      <c r="X286" s="28"/>
      <c r="Y286" s="28"/>
      <c r="Z286" s="28"/>
      <c r="AA286" s="28"/>
      <c r="AB286" s="28"/>
      <c r="AC286" s="28"/>
    </row>
    <row r="287" ht="78.0" customHeight="1">
      <c r="A287" s="448">
        <v>45636.0</v>
      </c>
      <c r="B287" s="427" t="s">
        <v>2746</v>
      </c>
      <c r="C287" s="427" t="s">
        <v>2747</v>
      </c>
      <c r="D287" s="427"/>
      <c r="E287" s="427" t="s">
        <v>2748</v>
      </c>
      <c r="F287" s="428"/>
      <c r="G287" s="428"/>
      <c r="H287" s="428"/>
      <c r="I287" s="428"/>
      <c r="J287" s="428"/>
      <c r="K287" s="432"/>
      <c r="L287" s="432"/>
      <c r="M287" s="432"/>
      <c r="N287" s="432"/>
      <c r="O287" s="432"/>
      <c r="P287" s="432"/>
      <c r="Q287" s="432"/>
      <c r="R287" s="432"/>
      <c r="S287" s="432"/>
      <c r="T287" s="432"/>
      <c r="U287" s="432"/>
      <c r="V287" s="432"/>
      <c r="W287" s="432"/>
      <c r="X287" s="54"/>
      <c r="Y287" s="54"/>
      <c r="Z287" s="54"/>
      <c r="AA287" s="54"/>
      <c r="AB287" s="54"/>
      <c r="AC287" s="54"/>
    </row>
    <row r="288" ht="78.0" customHeight="1">
      <c r="A288" s="453">
        <v>45636.0</v>
      </c>
      <c r="B288" s="414" t="s">
        <v>2757</v>
      </c>
      <c r="C288" s="414" t="s">
        <v>2758</v>
      </c>
      <c r="D288" s="414"/>
      <c r="E288" s="42"/>
      <c r="F288" s="414" t="s">
        <v>2760</v>
      </c>
      <c r="G288" s="414" t="s">
        <v>2761</v>
      </c>
      <c r="H288" s="42"/>
      <c r="I288" s="42"/>
      <c r="J288" s="42"/>
      <c r="K288" s="44"/>
      <c r="L288" s="44"/>
      <c r="M288" s="44"/>
      <c r="N288" s="44"/>
      <c r="O288" s="44"/>
      <c r="P288" s="44"/>
      <c r="Q288" s="44"/>
      <c r="R288" s="44"/>
      <c r="S288" s="44"/>
      <c r="T288" s="44"/>
      <c r="U288" s="44"/>
      <c r="V288" s="44"/>
      <c r="W288" s="44"/>
      <c r="X288" s="28"/>
      <c r="Y288" s="28"/>
      <c r="Z288" s="28"/>
      <c r="AA288" s="28"/>
      <c r="AB288" s="28"/>
      <c r="AC288" s="28"/>
    </row>
    <row r="289" ht="78.0" customHeight="1">
      <c r="A289" s="448">
        <v>45636.0</v>
      </c>
      <c r="B289" s="427" t="s">
        <v>2765</v>
      </c>
      <c r="C289" s="427" t="s">
        <v>2766</v>
      </c>
      <c r="D289" s="427"/>
      <c r="E289" s="428"/>
      <c r="F289" s="428"/>
      <c r="G289" s="428"/>
      <c r="H289" s="428"/>
      <c r="I289" s="428"/>
      <c r="J289" s="428"/>
      <c r="K289" s="432"/>
      <c r="L289" s="432"/>
      <c r="M289" s="432"/>
      <c r="N289" s="432"/>
      <c r="O289" s="432"/>
      <c r="P289" s="432"/>
      <c r="Q289" s="432"/>
      <c r="R289" s="432"/>
      <c r="S289" s="432"/>
      <c r="T289" s="432"/>
      <c r="U289" s="432"/>
      <c r="V289" s="432"/>
      <c r="W289" s="432"/>
      <c r="X289" s="54"/>
      <c r="Y289" s="54"/>
      <c r="Z289" s="54"/>
      <c r="AA289" s="54"/>
      <c r="AB289" s="54"/>
      <c r="AC289" s="54"/>
    </row>
    <row r="290" ht="78.0" customHeight="1">
      <c r="A290" s="453">
        <v>45635.0</v>
      </c>
      <c r="B290" s="414" t="s">
        <v>2771</v>
      </c>
      <c r="C290" s="414" t="s">
        <v>2772</v>
      </c>
      <c r="D290" s="414"/>
      <c r="E290" s="42"/>
      <c r="F290" s="42"/>
      <c r="G290" s="42"/>
      <c r="H290" s="42"/>
      <c r="I290" s="42"/>
      <c r="J290" s="42"/>
      <c r="K290" s="44"/>
      <c r="L290" s="44"/>
      <c r="M290" s="44"/>
      <c r="N290" s="44"/>
      <c r="O290" s="44"/>
      <c r="P290" s="44"/>
      <c r="Q290" s="44"/>
      <c r="R290" s="44"/>
      <c r="S290" s="44"/>
      <c r="T290" s="44"/>
      <c r="U290" s="44"/>
      <c r="V290" s="44"/>
      <c r="W290" s="44"/>
      <c r="X290" s="28"/>
      <c r="Y290" s="28"/>
      <c r="Z290" s="28"/>
      <c r="AA290" s="28"/>
      <c r="AB290" s="28"/>
      <c r="AC290" s="28"/>
    </row>
    <row r="291" ht="78.0" customHeight="1">
      <c r="A291" s="453">
        <v>45635.0</v>
      </c>
      <c r="B291" s="414" t="s">
        <v>2778</v>
      </c>
      <c r="C291" s="414" t="s">
        <v>2779</v>
      </c>
      <c r="D291" s="414"/>
      <c r="E291" s="42"/>
      <c r="F291" s="414" t="s">
        <v>2782</v>
      </c>
      <c r="G291" s="550" t="s">
        <v>2783</v>
      </c>
      <c r="H291" s="414" t="s">
        <v>2793</v>
      </c>
      <c r="I291" s="42"/>
      <c r="J291" s="42"/>
      <c r="K291" s="44"/>
      <c r="L291" s="44"/>
      <c r="M291" s="44"/>
      <c r="N291" s="44"/>
      <c r="O291" s="44"/>
      <c r="P291" s="44"/>
      <c r="Q291" s="44"/>
      <c r="R291" s="44"/>
      <c r="S291" s="44"/>
      <c r="T291" s="44"/>
      <c r="U291" s="44"/>
      <c r="V291" s="44"/>
      <c r="W291" s="44"/>
      <c r="X291" s="28"/>
      <c r="Y291" s="28"/>
      <c r="Z291" s="28"/>
      <c r="AA291" s="28"/>
      <c r="AB291" s="28"/>
      <c r="AC291" s="28"/>
    </row>
    <row r="292" ht="78.0" customHeight="1">
      <c r="A292" s="448">
        <v>45635.0</v>
      </c>
      <c r="B292" s="427" t="s">
        <v>2799</v>
      </c>
      <c r="C292" s="428"/>
      <c r="D292" s="427"/>
      <c r="E292" s="428"/>
      <c r="F292" s="428"/>
      <c r="G292" s="428"/>
      <c r="H292" s="428"/>
      <c r="I292" s="428"/>
      <c r="J292" s="428"/>
      <c r="K292" s="432"/>
      <c r="L292" s="432"/>
      <c r="M292" s="432"/>
      <c r="N292" s="432"/>
      <c r="O292" s="432"/>
      <c r="P292" s="432"/>
      <c r="Q292" s="432"/>
      <c r="R292" s="432"/>
      <c r="S292" s="432"/>
      <c r="T292" s="432"/>
      <c r="U292" s="432"/>
      <c r="V292" s="432"/>
      <c r="W292" s="432"/>
      <c r="X292" s="54"/>
      <c r="Y292" s="54"/>
      <c r="Z292" s="54"/>
      <c r="AA292" s="54"/>
      <c r="AB292" s="54"/>
      <c r="AC292" s="54"/>
    </row>
    <row r="293" ht="78.0" customHeight="1">
      <c r="A293" s="453">
        <v>45634.0</v>
      </c>
      <c r="B293" s="414" t="s">
        <v>2805</v>
      </c>
      <c r="C293" s="414" t="s">
        <v>2806</v>
      </c>
      <c r="D293" s="414"/>
      <c r="E293" s="42"/>
      <c r="F293" s="42"/>
      <c r="G293" s="42"/>
      <c r="H293" s="42"/>
      <c r="I293" s="42"/>
      <c r="J293" s="42"/>
      <c r="K293" s="44"/>
      <c r="L293" s="44"/>
      <c r="M293" s="44"/>
      <c r="N293" s="44"/>
      <c r="O293" s="44"/>
      <c r="P293" s="44"/>
      <c r="Q293" s="44"/>
      <c r="R293" s="44"/>
      <c r="S293" s="44"/>
      <c r="T293" s="44"/>
      <c r="U293" s="44"/>
      <c r="V293" s="44"/>
      <c r="W293" s="44"/>
      <c r="X293" s="28"/>
      <c r="Y293" s="28"/>
      <c r="Z293" s="28"/>
      <c r="AA293" s="28"/>
      <c r="AB293" s="28"/>
      <c r="AC293" s="28"/>
    </row>
    <row r="294" ht="78.0" customHeight="1">
      <c r="A294" s="453">
        <v>45633.0</v>
      </c>
      <c r="B294" s="414" t="s">
        <v>2814</v>
      </c>
      <c r="C294" s="414" t="s">
        <v>2815</v>
      </c>
      <c r="D294" s="414"/>
      <c r="E294" s="42"/>
      <c r="F294" s="414" t="s">
        <v>2818</v>
      </c>
      <c r="G294" s="42"/>
      <c r="H294" s="42"/>
      <c r="I294" s="42"/>
      <c r="J294" s="42"/>
      <c r="K294" s="44"/>
      <c r="L294" s="44"/>
      <c r="M294" s="44"/>
      <c r="N294" s="44"/>
      <c r="O294" s="44"/>
      <c r="P294" s="44"/>
      <c r="Q294" s="44"/>
      <c r="R294" s="44"/>
      <c r="S294" s="44"/>
      <c r="T294" s="44"/>
      <c r="U294" s="44"/>
      <c r="V294" s="44"/>
      <c r="W294" s="44"/>
      <c r="X294" s="28"/>
      <c r="Y294" s="28"/>
      <c r="Z294" s="28"/>
      <c r="AA294" s="28"/>
      <c r="AB294" s="28"/>
      <c r="AC294" s="28"/>
    </row>
    <row r="295" ht="78.0" customHeight="1">
      <c r="A295" s="448">
        <v>45632.0</v>
      </c>
      <c r="B295" s="427" t="s">
        <v>2822</v>
      </c>
      <c r="C295" s="427" t="s">
        <v>2823</v>
      </c>
      <c r="D295" s="427"/>
      <c r="E295" s="428"/>
      <c r="F295" s="428"/>
      <c r="G295" s="428"/>
      <c r="H295" s="428"/>
      <c r="I295" s="428"/>
      <c r="J295" s="428"/>
      <c r="K295" s="432"/>
      <c r="L295" s="432"/>
      <c r="M295" s="432"/>
      <c r="N295" s="432"/>
      <c r="O295" s="432"/>
      <c r="P295" s="432"/>
      <c r="Q295" s="432"/>
      <c r="R295" s="432"/>
      <c r="S295" s="432"/>
      <c r="T295" s="432"/>
      <c r="U295" s="432"/>
      <c r="V295" s="432"/>
      <c r="W295" s="432"/>
      <c r="X295" s="54"/>
      <c r="Y295" s="54"/>
      <c r="Z295" s="54"/>
      <c r="AA295" s="54"/>
      <c r="AB295" s="54"/>
      <c r="AC295" s="54"/>
    </row>
    <row r="296" ht="78.0" customHeight="1">
      <c r="A296" s="448">
        <v>45632.0</v>
      </c>
      <c r="B296" s="427" t="s">
        <v>2829</v>
      </c>
      <c r="C296" s="428"/>
      <c r="D296" s="427"/>
      <c r="E296" s="428"/>
      <c r="F296" s="428"/>
      <c r="G296" s="428"/>
      <c r="H296" s="428"/>
      <c r="I296" s="428"/>
      <c r="J296" s="428"/>
      <c r="K296" s="432"/>
      <c r="L296" s="432"/>
      <c r="M296" s="432"/>
      <c r="N296" s="432"/>
      <c r="O296" s="432"/>
      <c r="P296" s="432"/>
      <c r="Q296" s="432"/>
      <c r="R296" s="432"/>
      <c r="S296" s="432"/>
      <c r="T296" s="432"/>
      <c r="U296" s="432"/>
      <c r="V296" s="432"/>
      <c r="W296" s="432"/>
      <c r="X296" s="54"/>
      <c r="Y296" s="54"/>
      <c r="Z296" s="54"/>
      <c r="AA296" s="54"/>
      <c r="AB296" s="54"/>
      <c r="AC296" s="54"/>
    </row>
    <row r="297" ht="78.0" customHeight="1">
      <c r="A297" s="453">
        <v>45632.0</v>
      </c>
      <c r="B297" s="414" t="s">
        <v>2833</v>
      </c>
      <c r="C297" s="414" t="s">
        <v>2834</v>
      </c>
      <c r="D297" s="414"/>
      <c r="E297" s="42"/>
      <c r="F297" s="42"/>
      <c r="G297" s="42"/>
      <c r="H297" s="42"/>
      <c r="I297" s="42"/>
      <c r="J297" s="42"/>
      <c r="K297" s="44"/>
      <c r="L297" s="44"/>
      <c r="M297" s="44"/>
      <c r="N297" s="44"/>
      <c r="O297" s="44"/>
      <c r="P297" s="44"/>
      <c r="Q297" s="44"/>
      <c r="R297" s="44"/>
      <c r="S297" s="44"/>
      <c r="T297" s="44"/>
      <c r="U297" s="44"/>
      <c r="V297" s="44"/>
      <c r="W297" s="44"/>
      <c r="X297" s="28"/>
      <c r="Y297" s="28"/>
      <c r="Z297" s="28"/>
      <c r="AA297" s="28"/>
      <c r="AB297" s="28"/>
      <c r="AC297" s="28"/>
    </row>
    <row r="298" ht="78.0" customHeight="1">
      <c r="A298" s="448">
        <v>45632.0</v>
      </c>
      <c r="B298" s="427" t="s">
        <v>2842</v>
      </c>
      <c r="C298" s="427" t="s">
        <v>1373</v>
      </c>
      <c r="D298" s="427"/>
      <c r="E298" s="428"/>
      <c r="F298" s="428"/>
      <c r="G298" s="428"/>
      <c r="H298" s="428"/>
      <c r="I298" s="428"/>
      <c r="J298" s="428"/>
      <c r="K298" s="432"/>
      <c r="L298" s="432"/>
      <c r="M298" s="432"/>
      <c r="N298" s="432"/>
      <c r="O298" s="432"/>
      <c r="P298" s="432"/>
      <c r="Q298" s="432"/>
      <c r="R298" s="432"/>
      <c r="S298" s="432"/>
      <c r="T298" s="432"/>
      <c r="U298" s="432"/>
      <c r="V298" s="432"/>
      <c r="W298" s="432"/>
      <c r="X298" s="54"/>
      <c r="Y298" s="54"/>
      <c r="Z298" s="54"/>
      <c r="AA298" s="54"/>
      <c r="AB298" s="54"/>
      <c r="AC298" s="54"/>
    </row>
    <row r="299" ht="78.0" customHeight="1">
      <c r="A299" s="453">
        <v>45631.0</v>
      </c>
      <c r="B299" s="414" t="s">
        <v>2847</v>
      </c>
      <c r="C299" s="42"/>
      <c r="D299" s="414"/>
      <c r="E299" s="42"/>
      <c r="F299" s="42"/>
      <c r="G299" s="42"/>
      <c r="H299" s="42"/>
      <c r="I299" s="42"/>
      <c r="J299" s="42"/>
      <c r="K299" s="44"/>
      <c r="L299" s="44"/>
      <c r="M299" s="44"/>
      <c r="N299" s="44"/>
      <c r="O299" s="44"/>
      <c r="P299" s="44"/>
      <c r="Q299" s="44"/>
      <c r="R299" s="44"/>
      <c r="S299" s="44"/>
      <c r="T299" s="44"/>
      <c r="U299" s="44"/>
      <c r="V299" s="44"/>
      <c r="W299" s="44"/>
      <c r="X299" s="28"/>
      <c r="Y299" s="28"/>
      <c r="Z299" s="28"/>
      <c r="AA299" s="28"/>
      <c r="AB299" s="28"/>
      <c r="AC299" s="28"/>
    </row>
    <row r="300" ht="78.0" customHeight="1">
      <c r="A300" s="448">
        <v>45630.0</v>
      </c>
      <c r="B300" s="427" t="s">
        <v>2849</v>
      </c>
      <c r="C300" s="427" t="s">
        <v>2850</v>
      </c>
      <c r="D300" s="427"/>
      <c r="E300" s="428"/>
      <c r="F300" s="428"/>
      <c r="G300" s="428"/>
      <c r="H300" s="428"/>
      <c r="I300" s="428"/>
      <c r="J300" s="428"/>
      <c r="K300" s="432"/>
      <c r="L300" s="432"/>
      <c r="M300" s="432"/>
      <c r="N300" s="432"/>
      <c r="O300" s="432"/>
      <c r="P300" s="432"/>
      <c r="Q300" s="432"/>
      <c r="R300" s="432"/>
      <c r="S300" s="432"/>
      <c r="T300" s="432"/>
      <c r="U300" s="432"/>
      <c r="V300" s="432"/>
      <c r="W300" s="432"/>
      <c r="X300" s="54"/>
      <c r="Y300" s="54"/>
      <c r="Z300" s="54"/>
      <c r="AA300" s="54"/>
      <c r="AB300" s="54"/>
      <c r="AC300" s="54"/>
    </row>
    <row r="301" ht="78.0" customHeight="1">
      <c r="A301" s="453">
        <v>45630.0</v>
      </c>
      <c r="B301" s="414" t="s">
        <v>2857</v>
      </c>
      <c r="C301" s="414" t="s">
        <v>2858</v>
      </c>
      <c r="D301" s="414"/>
      <c r="E301" s="42"/>
      <c r="F301" s="42"/>
      <c r="G301" s="42"/>
      <c r="H301" s="42"/>
      <c r="I301" s="42"/>
      <c r="J301" s="42"/>
      <c r="K301" s="44"/>
      <c r="L301" s="44"/>
      <c r="M301" s="44"/>
      <c r="N301" s="44"/>
      <c r="O301" s="44"/>
      <c r="P301" s="44"/>
      <c r="Q301" s="44"/>
      <c r="R301" s="44"/>
      <c r="S301" s="44"/>
      <c r="T301" s="44"/>
      <c r="U301" s="44"/>
      <c r="V301" s="44"/>
      <c r="W301" s="44"/>
      <c r="X301" s="28"/>
      <c r="Y301" s="28"/>
      <c r="Z301" s="28"/>
      <c r="AA301" s="28"/>
      <c r="AB301" s="28"/>
      <c r="AC301" s="28"/>
    </row>
    <row r="302" ht="78.0" customHeight="1">
      <c r="A302" s="448">
        <v>45630.0</v>
      </c>
      <c r="B302" s="427" t="s">
        <v>2864</v>
      </c>
      <c r="C302" s="427" t="s">
        <v>2867</v>
      </c>
      <c r="D302" s="427"/>
      <c r="E302" s="428"/>
      <c r="F302" s="428"/>
      <c r="G302" s="428"/>
      <c r="H302" s="428"/>
      <c r="I302" s="428"/>
      <c r="J302" s="428"/>
      <c r="K302" s="432"/>
      <c r="L302" s="432"/>
      <c r="M302" s="432"/>
      <c r="N302" s="432"/>
      <c r="O302" s="432"/>
      <c r="P302" s="432"/>
      <c r="Q302" s="432"/>
      <c r="R302" s="432"/>
      <c r="S302" s="432"/>
      <c r="T302" s="432"/>
      <c r="U302" s="432"/>
      <c r="V302" s="432"/>
      <c r="W302" s="432"/>
      <c r="X302" s="54"/>
      <c r="Y302" s="54"/>
      <c r="Z302" s="54"/>
      <c r="AA302" s="54"/>
      <c r="AB302" s="54"/>
      <c r="AC302" s="54"/>
    </row>
    <row r="303" ht="78.0" customHeight="1">
      <c r="A303" s="453">
        <v>45630.0</v>
      </c>
      <c r="B303" s="414" t="s">
        <v>2873</v>
      </c>
      <c r="C303" s="414" t="s">
        <v>2874</v>
      </c>
      <c r="D303" s="414"/>
      <c r="E303" s="42"/>
      <c r="F303" s="42"/>
      <c r="G303" s="42"/>
      <c r="H303" s="42"/>
      <c r="I303" s="42"/>
      <c r="J303" s="42"/>
      <c r="K303" s="44"/>
      <c r="L303" s="44"/>
      <c r="M303" s="44"/>
      <c r="N303" s="44"/>
      <c r="O303" s="44"/>
      <c r="P303" s="44"/>
      <c r="Q303" s="44"/>
      <c r="R303" s="44"/>
      <c r="S303" s="44"/>
      <c r="T303" s="44"/>
      <c r="U303" s="44"/>
      <c r="V303" s="44"/>
      <c r="W303" s="44"/>
      <c r="X303" s="28"/>
      <c r="Y303" s="28"/>
      <c r="Z303" s="28"/>
      <c r="AA303" s="28"/>
      <c r="AB303" s="28"/>
      <c r="AC303" s="28"/>
    </row>
    <row r="304" ht="78.0" customHeight="1">
      <c r="A304" s="448">
        <v>45630.0</v>
      </c>
      <c r="B304" s="427" t="s">
        <v>2877</v>
      </c>
      <c r="C304" s="427" t="s">
        <v>2879</v>
      </c>
      <c r="D304" s="427"/>
      <c r="E304" s="428"/>
      <c r="F304" s="427" t="s">
        <v>2880</v>
      </c>
      <c r="G304" s="427" t="s">
        <v>2881</v>
      </c>
      <c r="H304" s="427" t="s">
        <v>2882</v>
      </c>
      <c r="I304" s="427" t="s">
        <v>2883</v>
      </c>
      <c r="J304" s="428"/>
      <c r="K304" s="432"/>
      <c r="L304" s="432"/>
      <c r="M304" s="432"/>
      <c r="N304" s="432"/>
      <c r="O304" s="432"/>
      <c r="P304" s="432"/>
      <c r="Q304" s="432"/>
      <c r="R304" s="432"/>
      <c r="S304" s="432"/>
      <c r="T304" s="432"/>
      <c r="U304" s="432"/>
      <c r="V304" s="432"/>
      <c r="W304" s="432"/>
      <c r="X304" s="54"/>
      <c r="Y304" s="54"/>
      <c r="Z304" s="54"/>
      <c r="AA304" s="54"/>
      <c r="AB304" s="54"/>
      <c r="AC304" s="54"/>
    </row>
    <row r="305" ht="78.0" customHeight="1">
      <c r="A305" s="453">
        <v>45630.0</v>
      </c>
      <c r="B305" s="556">
        <v>45630.0</v>
      </c>
      <c r="C305" s="42"/>
      <c r="D305" s="556"/>
      <c r="E305" s="42"/>
      <c r="F305" s="42"/>
      <c r="G305" s="42"/>
      <c r="H305" s="42"/>
      <c r="I305" s="42"/>
      <c r="J305" s="42"/>
      <c r="K305" s="44"/>
      <c r="L305" s="44"/>
      <c r="M305" s="44"/>
      <c r="N305" s="44"/>
      <c r="O305" s="44"/>
      <c r="P305" s="44"/>
      <c r="Q305" s="44"/>
      <c r="R305" s="44"/>
      <c r="S305" s="44"/>
      <c r="T305" s="44"/>
      <c r="U305" s="44"/>
      <c r="V305" s="44"/>
      <c r="W305" s="44"/>
      <c r="X305" s="28"/>
      <c r="Y305" s="28"/>
      <c r="Z305" s="28"/>
      <c r="AA305" s="28"/>
      <c r="AB305" s="28"/>
      <c r="AC305" s="28"/>
    </row>
    <row r="306" ht="78.0" customHeight="1">
      <c r="A306" s="448">
        <v>45630.0</v>
      </c>
      <c r="B306" s="427" t="s">
        <v>2890</v>
      </c>
      <c r="C306" s="427" t="s">
        <v>2891</v>
      </c>
      <c r="D306" s="427"/>
      <c r="E306" s="428"/>
      <c r="F306" s="428"/>
      <c r="G306" s="428"/>
      <c r="H306" s="428"/>
      <c r="I306" s="428"/>
      <c r="J306" s="428"/>
      <c r="K306" s="432"/>
      <c r="L306" s="432"/>
      <c r="M306" s="432"/>
      <c r="N306" s="432"/>
      <c r="O306" s="432"/>
      <c r="P306" s="432"/>
      <c r="Q306" s="432"/>
      <c r="R306" s="432"/>
      <c r="S306" s="432"/>
      <c r="T306" s="432"/>
      <c r="U306" s="432"/>
      <c r="V306" s="432"/>
      <c r="W306" s="432"/>
      <c r="X306" s="54"/>
      <c r="Y306" s="54"/>
      <c r="Z306" s="54"/>
      <c r="AA306" s="54"/>
      <c r="AB306" s="54"/>
      <c r="AC306" s="54"/>
    </row>
    <row r="307" ht="78.0" customHeight="1">
      <c r="A307" s="453">
        <v>45630.0</v>
      </c>
      <c r="B307" s="414" t="s">
        <v>2896</v>
      </c>
      <c r="C307" s="414" t="s">
        <v>2897</v>
      </c>
      <c r="D307" s="556"/>
      <c r="E307" s="42"/>
      <c r="F307" s="414" t="s">
        <v>2899</v>
      </c>
      <c r="G307" s="42"/>
      <c r="H307" s="42"/>
      <c r="I307" s="42"/>
      <c r="J307" s="42"/>
      <c r="K307" s="44"/>
      <c r="L307" s="44"/>
      <c r="M307" s="44"/>
      <c r="N307" s="44"/>
      <c r="O307" s="44"/>
      <c r="P307" s="44"/>
      <c r="Q307" s="44"/>
      <c r="R307" s="44"/>
      <c r="S307" s="44"/>
      <c r="T307" s="44"/>
      <c r="U307" s="44"/>
      <c r="V307" s="44"/>
      <c r="W307" s="44"/>
      <c r="X307" s="28"/>
      <c r="Y307" s="28"/>
      <c r="Z307" s="28"/>
      <c r="AA307" s="28"/>
      <c r="AB307" s="28"/>
      <c r="AC307" s="28"/>
    </row>
    <row r="308" ht="78.0" customHeight="1">
      <c r="A308" s="448">
        <v>45630.0</v>
      </c>
      <c r="B308" s="427" t="s">
        <v>2902</v>
      </c>
      <c r="C308" s="427" t="s">
        <v>2904</v>
      </c>
      <c r="D308" s="427"/>
      <c r="E308" s="428"/>
      <c r="F308" s="428"/>
      <c r="G308" s="428"/>
      <c r="H308" s="428"/>
      <c r="I308" s="428"/>
      <c r="J308" s="428"/>
      <c r="K308" s="432"/>
      <c r="L308" s="432"/>
      <c r="M308" s="432"/>
      <c r="N308" s="432"/>
      <c r="O308" s="432"/>
      <c r="P308" s="432"/>
      <c r="Q308" s="432"/>
      <c r="R308" s="432"/>
      <c r="S308" s="432"/>
      <c r="T308" s="432"/>
      <c r="U308" s="432"/>
      <c r="V308" s="432"/>
      <c r="W308" s="432"/>
      <c r="X308" s="54"/>
      <c r="Y308" s="54"/>
      <c r="Z308" s="54"/>
      <c r="AA308" s="54"/>
      <c r="AB308" s="54"/>
      <c r="AC308" s="54"/>
    </row>
    <row r="309" ht="78.0" customHeight="1">
      <c r="A309" s="453">
        <v>45630.0</v>
      </c>
      <c r="B309" s="414" t="s">
        <v>2908</v>
      </c>
      <c r="C309" s="414" t="s">
        <v>2909</v>
      </c>
      <c r="D309" s="414"/>
      <c r="E309" s="42"/>
      <c r="F309" s="414" t="s">
        <v>2910</v>
      </c>
      <c r="G309" s="414" t="s">
        <v>2912</v>
      </c>
      <c r="H309" s="42"/>
      <c r="I309" s="42"/>
      <c r="J309" s="42"/>
      <c r="K309" s="44"/>
      <c r="L309" s="44"/>
      <c r="M309" s="44"/>
      <c r="N309" s="44"/>
      <c r="O309" s="44"/>
      <c r="P309" s="44"/>
      <c r="Q309" s="44"/>
      <c r="R309" s="44"/>
      <c r="S309" s="44"/>
      <c r="T309" s="44"/>
      <c r="U309" s="44"/>
      <c r="V309" s="44"/>
      <c r="W309" s="44"/>
      <c r="X309" s="28"/>
      <c r="Y309" s="28"/>
      <c r="Z309" s="28"/>
      <c r="AA309" s="28"/>
      <c r="AB309" s="28"/>
      <c r="AC309" s="28"/>
    </row>
    <row r="310" ht="78.0" customHeight="1">
      <c r="A310" s="448">
        <v>45630.0</v>
      </c>
      <c r="B310" s="427" t="s">
        <v>2916</v>
      </c>
      <c r="C310" s="428"/>
      <c r="D310" s="427"/>
      <c r="E310" s="428"/>
      <c r="F310" s="428"/>
      <c r="G310" s="428"/>
      <c r="H310" s="428"/>
      <c r="I310" s="428"/>
      <c r="J310" s="428"/>
      <c r="K310" s="432"/>
      <c r="L310" s="432"/>
      <c r="M310" s="432"/>
      <c r="N310" s="432"/>
      <c r="O310" s="432"/>
      <c r="P310" s="432"/>
      <c r="Q310" s="432"/>
      <c r="R310" s="432"/>
      <c r="S310" s="432"/>
      <c r="T310" s="432"/>
      <c r="U310" s="432"/>
      <c r="V310" s="432"/>
      <c r="W310" s="432"/>
      <c r="X310" s="54"/>
      <c r="Y310" s="54"/>
      <c r="Z310" s="54"/>
      <c r="AA310" s="54"/>
      <c r="AB310" s="54"/>
      <c r="AC310" s="54"/>
    </row>
    <row r="311" ht="78.0" customHeight="1">
      <c r="A311" s="453">
        <v>45630.0</v>
      </c>
      <c r="B311" s="414" t="s">
        <v>2919</v>
      </c>
      <c r="C311" s="414" t="s">
        <v>2920</v>
      </c>
      <c r="D311" s="414"/>
      <c r="E311" s="42"/>
      <c r="F311" s="414" t="s">
        <v>2922</v>
      </c>
      <c r="G311" s="42"/>
      <c r="H311" s="42"/>
      <c r="I311" s="42"/>
      <c r="J311" s="42"/>
      <c r="K311" s="44"/>
      <c r="L311" s="44"/>
      <c r="M311" s="44"/>
      <c r="N311" s="44"/>
      <c r="O311" s="44"/>
      <c r="P311" s="44"/>
      <c r="Q311" s="44"/>
      <c r="R311" s="44"/>
      <c r="S311" s="44"/>
      <c r="T311" s="44"/>
      <c r="U311" s="44"/>
      <c r="V311" s="44"/>
      <c r="W311" s="44"/>
      <c r="X311" s="28"/>
      <c r="Y311" s="28"/>
      <c r="Z311" s="28"/>
      <c r="AA311" s="28"/>
      <c r="AB311" s="28"/>
      <c r="AC311" s="28"/>
    </row>
    <row r="312" ht="78.0" customHeight="1">
      <c r="A312" s="453">
        <v>45629.0</v>
      </c>
      <c r="B312" s="414" t="s">
        <v>2924</v>
      </c>
      <c r="C312" s="42"/>
      <c r="D312" s="414"/>
      <c r="E312" s="42"/>
      <c r="F312" s="42"/>
      <c r="G312" s="42"/>
      <c r="H312" s="42"/>
      <c r="I312" s="42"/>
      <c r="J312" s="42"/>
      <c r="K312" s="44"/>
      <c r="L312" s="44"/>
      <c r="M312" s="44"/>
      <c r="N312" s="44"/>
      <c r="O312" s="44"/>
      <c r="P312" s="44"/>
      <c r="Q312" s="44"/>
      <c r="R312" s="44"/>
      <c r="S312" s="44"/>
      <c r="T312" s="44"/>
      <c r="U312" s="44"/>
      <c r="V312" s="44"/>
      <c r="W312" s="44"/>
      <c r="X312" s="28"/>
      <c r="Y312" s="28"/>
      <c r="Z312" s="28"/>
      <c r="AA312" s="28"/>
      <c r="AB312" s="28"/>
      <c r="AC312" s="28"/>
    </row>
    <row r="313" ht="78.0" customHeight="1">
      <c r="A313" s="448">
        <v>45629.0</v>
      </c>
      <c r="B313" s="573" t="s">
        <v>2930</v>
      </c>
      <c r="C313" s="428"/>
      <c r="D313" s="427"/>
      <c r="E313" s="428"/>
      <c r="F313" s="428"/>
      <c r="G313" s="428"/>
      <c r="H313" s="428"/>
      <c r="I313" s="428"/>
      <c r="J313" s="428"/>
      <c r="K313" s="432"/>
      <c r="L313" s="432"/>
      <c r="M313" s="432"/>
      <c r="N313" s="432"/>
      <c r="O313" s="432"/>
      <c r="P313" s="432"/>
      <c r="Q313" s="432"/>
      <c r="R313" s="432"/>
      <c r="S313" s="432"/>
      <c r="T313" s="432"/>
      <c r="U313" s="432"/>
      <c r="V313" s="432"/>
      <c r="W313" s="432"/>
      <c r="X313" s="54"/>
      <c r="Y313" s="54"/>
      <c r="Z313" s="54"/>
      <c r="AA313" s="54"/>
      <c r="AB313" s="54"/>
      <c r="AC313" s="54"/>
    </row>
    <row r="314" ht="78.0" customHeight="1">
      <c r="A314" s="453">
        <v>45629.0</v>
      </c>
      <c r="B314" s="579" t="s">
        <v>2933</v>
      </c>
      <c r="C314" s="42"/>
      <c r="D314" s="414"/>
      <c r="E314" s="42"/>
      <c r="F314" s="42"/>
      <c r="G314" s="42"/>
      <c r="H314" s="42"/>
      <c r="I314" s="42"/>
      <c r="J314" s="42"/>
      <c r="K314" s="44"/>
      <c r="L314" s="44"/>
      <c r="M314" s="44"/>
      <c r="N314" s="44"/>
      <c r="O314" s="44"/>
      <c r="P314" s="44"/>
      <c r="Q314" s="44"/>
      <c r="R314" s="44"/>
      <c r="S314" s="44"/>
      <c r="T314" s="44"/>
      <c r="U314" s="44"/>
      <c r="V314" s="44"/>
      <c r="W314" s="44"/>
      <c r="X314" s="28"/>
      <c r="Y314" s="28"/>
      <c r="Z314" s="28"/>
      <c r="AA314" s="28"/>
      <c r="AB314" s="28"/>
      <c r="AC314" s="28"/>
    </row>
    <row r="315" ht="78.0" customHeight="1">
      <c r="A315" s="453">
        <v>45628.0</v>
      </c>
      <c r="B315" s="579" t="s">
        <v>2941</v>
      </c>
      <c r="C315" s="42"/>
      <c r="D315" s="414"/>
      <c r="E315" s="42"/>
      <c r="F315" s="42"/>
      <c r="G315" s="42"/>
      <c r="H315" s="42"/>
      <c r="I315" s="42"/>
      <c r="J315" s="42"/>
      <c r="K315" s="44"/>
      <c r="L315" s="44"/>
      <c r="M315" s="44"/>
      <c r="N315" s="44"/>
      <c r="O315" s="44"/>
      <c r="P315" s="44"/>
      <c r="Q315" s="44"/>
      <c r="R315" s="44"/>
      <c r="S315" s="44"/>
      <c r="T315" s="44"/>
      <c r="U315" s="44"/>
      <c r="V315" s="44"/>
      <c r="W315" s="44"/>
      <c r="X315" s="28"/>
      <c r="Y315" s="28"/>
      <c r="Z315" s="28"/>
      <c r="AA315" s="28"/>
      <c r="AB315" s="28"/>
      <c r="AC315" s="28"/>
    </row>
    <row r="316" ht="78.0" customHeight="1">
      <c r="A316" s="448">
        <v>45628.0</v>
      </c>
      <c r="B316" s="573" t="s">
        <v>2944</v>
      </c>
      <c r="C316" s="427" t="s">
        <v>2945</v>
      </c>
      <c r="D316" s="427"/>
      <c r="E316" s="428"/>
      <c r="F316" s="427" t="s">
        <v>2947</v>
      </c>
      <c r="G316" s="427" t="s">
        <v>2949</v>
      </c>
      <c r="H316" s="428"/>
      <c r="I316" s="428"/>
      <c r="J316" s="428"/>
      <c r="K316" s="432"/>
      <c r="L316" s="432"/>
      <c r="M316" s="432"/>
      <c r="N316" s="432"/>
      <c r="O316" s="432"/>
      <c r="P316" s="432"/>
      <c r="Q316" s="432"/>
      <c r="R316" s="432"/>
      <c r="S316" s="432"/>
      <c r="T316" s="432"/>
      <c r="U316" s="432"/>
      <c r="V316" s="432"/>
      <c r="W316" s="432"/>
      <c r="X316" s="54"/>
      <c r="Y316" s="54"/>
      <c r="Z316" s="54"/>
      <c r="AA316" s="54"/>
      <c r="AB316" s="54"/>
      <c r="AC316" s="54"/>
    </row>
    <row r="317" ht="78.0" customHeight="1">
      <c r="A317" s="448">
        <v>45628.0</v>
      </c>
      <c r="B317" s="573" t="s">
        <v>2953</v>
      </c>
      <c r="C317" s="428"/>
      <c r="D317" s="427"/>
      <c r="E317" s="428"/>
      <c r="F317" s="428"/>
      <c r="G317" s="428"/>
      <c r="H317" s="428"/>
      <c r="I317" s="428"/>
      <c r="J317" s="428"/>
      <c r="K317" s="432"/>
      <c r="L317" s="432"/>
      <c r="M317" s="432"/>
      <c r="N317" s="432"/>
      <c r="O317" s="432"/>
      <c r="P317" s="432"/>
      <c r="Q317" s="432"/>
      <c r="R317" s="432"/>
      <c r="S317" s="432"/>
      <c r="T317" s="432"/>
      <c r="U317" s="432"/>
      <c r="V317" s="432"/>
      <c r="W317" s="432"/>
      <c r="X317" s="54"/>
      <c r="Y317" s="54"/>
      <c r="Z317" s="54"/>
      <c r="AA317" s="54"/>
      <c r="AB317" s="54"/>
      <c r="AC317" s="54"/>
    </row>
    <row r="318" ht="78.0" customHeight="1">
      <c r="A318" s="453">
        <v>45628.0</v>
      </c>
      <c r="B318" s="579" t="s">
        <v>2961</v>
      </c>
      <c r="C318" s="414" t="s">
        <v>2962</v>
      </c>
      <c r="D318" s="414"/>
      <c r="E318" s="42"/>
      <c r="F318" s="42"/>
      <c r="G318" s="42"/>
      <c r="H318" s="42"/>
      <c r="I318" s="42"/>
      <c r="J318" s="42"/>
      <c r="K318" s="44"/>
      <c r="L318" s="44"/>
      <c r="M318" s="44"/>
      <c r="N318" s="44"/>
      <c r="O318" s="44"/>
      <c r="P318" s="44"/>
      <c r="Q318" s="44"/>
      <c r="R318" s="44"/>
      <c r="S318" s="44"/>
      <c r="T318" s="44"/>
      <c r="U318" s="44"/>
      <c r="V318" s="44"/>
      <c r="W318" s="44"/>
      <c r="X318" s="28"/>
      <c r="Y318" s="28"/>
      <c r="Z318" s="28"/>
      <c r="AA318" s="28"/>
      <c r="AB318" s="28"/>
      <c r="AC318" s="28"/>
    </row>
    <row r="319" ht="78.0" customHeight="1">
      <c r="A319" s="448">
        <v>45628.0</v>
      </c>
      <c r="B319" s="573" t="s">
        <v>2967</v>
      </c>
      <c r="C319" s="428"/>
      <c r="D319" s="427"/>
      <c r="E319" s="428"/>
      <c r="F319" s="428"/>
      <c r="G319" s="428"/>
      <c r="H319" s="428"/>
      <c r="I319" s="428"/>
      <c r="J319" s="428"/>
      <c r="K319" s="432"/>
      <c r="L319" s="432"/>
      <c r="M319" s="432"/>
      <c r="N319" s="432"/>
      <c r="O319" s="432"/>
      <c r="P319" s="432"/>
      <c r="Q319" s="432"/>
      <c r="R319" s="432"/>
      <c r="S319" s="432"/>
      <c r="T319" s="432"/>
      <c r="U319" s="432"/>
      <c r="V319" s="432"/>
      <c r="W319" s="432"/>
      <c r="X319" s="54"/>
      <c r="Y319" s="54"/>
      <c r="Z319" s="54"/>
      <c r="AA319" s="54"/>
      <c r="AB319" s="54"/>
      <c r="AC319" s="54"/>
    </row>
    <row r="320" ht="78.0" customHeight="1">
      <c r="A320" s="453">
        <v>45628.0</v>
      </c>
      <c r="B320" s="579" t="s">
        <v>2974</v>
      </c>
      <c r="C320" s="414" t="s">
        <v>2975</v>
      </c>
      <c r="D320" s="414"/>
      <c r="E320" s="42"/>
      <c r="F320" s="414" t="s">
        <v>3</v>
      </c>
      <c r="G320" s="42"/>
      <c r="H320" s="42"/>
      <c r="I320" s="42"/>
      <c r="J320" s="42"/>
      <c r="K320" s="44"/>
      <c r="L320" s="44"/>
      <c r="M320" s="44"/>
      <c r="N320" s="44"/>
      <c r="O320" s="44"/>
      <c r="P320" s="44"/>
      <c r="Q320" s="44"/>
      <c r="R320" s="44"/>
      <c r="S320" s="44"/>
      <c r="T320" s="44"/>
      <c r="U320" s="44"/>
      <c r="V320" s="44"/>
      <c r="W320" s="44"/>
      <c r="X320" s="28"/>
      <c r="Y320" s="28"/>
      <c r="Z320" s="28"/>
      <c r="AA320" s="28"/>
      <c r="AB320" s="28"/>
      <c r="AC320" s="28"/>
    </row>
    <row r="321" ht="78.0" customHeight="1">
      <c r="A321" s="448">
        <v>45628.0</v>
      </c>
      <c r="B321" s="573" t="s">
        <v>2979</v>
      </c>
      <c r="C321" s="427" t="s">
        <v>2980</v>
      </c>
      <c r="D321" s="427"/>
      <c r="E321" s="428"/>
      <c r="F321" s="427" t="s">
        <v>2981</v>
      </c>
      <c r="G321" s="427" t="s">
        <v>2983</v>
      </c>
      <c r="H321" s="428"/>
      <c r="I321" s="428"/>
      <c r="J321" s="428"/>
      <c r="K321" s="432"/>
      <c r="L321" s="432"/>
      <c r="M321" s="432"/>
      <c r="N321" s="432"/>
      <c r="O321" s="432"/>
      <c r="P321" s="432"/>
      <c r="Q321" s="432"/>
      <c r="R321" s="432"/>
      <c r="S321" s="432"/>
      <c r="T321" s="432"/>
      <c r="U321" s="432"/>
      <c r="V321" s="432"/>
      <c r="W321" s="432"/>
      <c r="X321" s="54"/>
      <c r="Y321" s="54"/>
      <c r="Z321" s="54"/>
      <c r="AA321" s="54"/>
      <c r="AB321" s="54"/>
      <c r="AC321" s="54"/>
    </row>
    <row r="322" ht="78.0" customHeight="1">
      <c r="A322" s="453">
        <v>45628.0</v>
      </c>
      <c r="B322" s="579" t="s">
        <v>2985</v>
      </c>
      <c r="C322" s="414" t="s">
        <v>2986</v>
      </c>
      <c r="D322" s="414"/>
      <c r="E322" s="42"/>
      <c r="F322" s="42"/>
      <c r="G322" s="42"/>
      <c r="H322" s="42"/>
      <c r="I322" s="42"/>
      <c r="J322" s="42"/>
      <c r="K322" s="44"/>
      <c r="L322" s="44"/>
      <c r="M322" s="44"/>
      <c r="N322" s="44"/>
      <c r="O322" s="44"/>
      <c r="P322" s="44"/>
      <c r="Q322" s="44"/>
      <c r="R322" s="44"/>
      <c r="S322" s="44"/>
      <c r="T322" s="44"/>
      <c r="U322" s="44"/>
      <c r="V322" s="44"/>
      <c r="W322" s="44"/>
      <c r="X322" s="28"/>
      <c r="Y322" s="28"/>
      <c r="Z322" s="28"/>
      <c r="AA322" s="28"/>
      <c r="AB322" s="28"/>
      <c r="AC322" s="28"/>
    </row>
    <row r="323" ht="78.0" customHeight="1">
      <c r="A323" s="448">
        <v>45628.0</v>
      </c>
      <c r="B323" s="573" t="s">
        <v>2989</v>
      </c>
      <c r="C323" s="427" t="s">
        <v>2990</v>
      </c>
      <c r="D323" s="427"/>
      <c r="E323" s="428"/>
      <c r="F323" s="428"/>
      <c r="G323" s="428"/>
      <c r="H323" s="428"/>
      <c r="I323" s="428"/>
      <c r="J323" s="428"/>
      <c r="K323" s="432"/>
      <c r="L323" s="432"/>
      <c r="M323" s="432"/>
      <c r="N323" s="432"/>
      <c r="O323" s="432"/>
      <c r="P323" s="432"/>
      <c r="Q323" s="432"/>
      <c r="R323" s="432"/>
      <c r="S323" s="432"/>
      <c r="T323" s="432"/>
      <c r="U323" s="432"/>
      <c r="V323" s="432"/>
      <c r="W323" s="432"/>
      <c r="X323" s="54"/>
      <c r="Y323" s="54"/>
      <c r="Z323" s="54"/>
      <c r="AA323" s="54"/>
      <c r="AB323" s="54"/>
      <c r="AC323" s="54"/>
    </row>
    <row r="324" ht="78.0" customHeight="1">
      <c r="A324" s="453">
        <v>45628.0</v>
      </c>
      <c r="B324" s="579" t="s">
        <v>2998</v>
      </c>
      <c r="C324" s="414" t="s">
        <v>2999</v>
      </c>
      <c r="D324" s="414"/>
      <c r="E324" s="42"/>
      <c r="F324" s="414" t="s">
        <v>3001</v>
      </c>
      <c r="G324" s="42"/>
      <c r="H324" s="42"/>
      <c r="I324" s="42"/>
      <c r="J324" s="42"/>
      <c r="K324" s="44"/>
      <c r="L324" s="44"/>
      <c r="M324" s="44"/>
      <c r="N324" s="44"/>
      <c r="O324" s="44"/>
      <c r="P324" s="44"/>
      <c r="Q324" s="44"/>
      <c r="R324" s="44"/>
      <c r="S324" s="44"/>
      <c r="T324" s="44"/>
      <c r="U324" s="44"/>
      <c r="V324" s="44"/>
      <c r="W324" s="44"/>
      <c r="X324" s="28"/>
      <c r="Y324" s="28"/>
      <c r="Z324" s="28"/>
      <c r="AA324" s="28"/>
      <c r="AB324" s="28"/>
      <c r="AC324" s="28"/>
    </row>
    <row r="325" ht="78.0" customHeight="1">
      <c r="A325" s="448">
        <v>45628.0</v>
      </c>
      <c r="B325" s="573" t="s">
        <v>3008</v>
      </c>
      <c r="C325" s="428"/>
      <c r="D325" s="427"/>
      <c r="E325" s="428"/>
      <c r="F325" s="428"/>
      <c r="G325" s="428"/>
      <c r="H325" s="428"/>
      <c r="I325" s="428"/>
      <c r="J325" s="428"/>
      <c r="K325" s="432"/>
      <c r="L325" s="432"/>
      <c r="M325" s="432"/>
      <c r="N325" s="432"/>
      <c r="O325" s="432"/>
      <c r="P325" s="432"/>
      <c r="Q325" s="432"/>
      <c r="R325" s="432"/>
      <c r="S325" s="432"/>
      <c r="T325" s="432"/>
      <c r="U325" s="432"/>
      <c r="V325" s="432"/>
      <c r="W325" s="432"/>
      <c r="X325" s="54"/>
      <c r="Y325" s="54"/>
      <c r="Z325" s="54"/>
      <c r="AA325" s="54"/>
      <c r="AB325" s="54"/>
      <c r="AC325" s="54"/>
    </row>
    <row r="326" ht="78.0" customHeight="1">
      <c r="A326" s="453">
        <v>45628.0</v>
      </c>
      <c r="B326" s="579" t="s">
        <v>3016</v>
      </c>
      <c r="C326" s="42"/>
      <c r="D326" s="414"/>
      <c r="E326" s="42"/>
      <c r="F326" s="42"/>
      <c r="G326" s="42"/>
      <c r="H326" s="42"/>
      <c r="I326" s="42"/>
      <c r="J326" s="42"/>
      <c r="K326" s="44"/>
      <c r="L326" s="44"/>
      <c r="M326" s="44"/>
      <c r="N326" s="44"/>
      <c r="O326" s="44"/>
      <c r="P326" s="44"/>
      <c r="Q326" s="44"/>
      <c r="R326" s="44"/>
      <c r="S326" s="44"/>
      <c r="T326" s="44"/>
      <c r="U326" s="44"/>
      <c r="V326" s="44"/>
      <c r="W326" s="44"/>
      <c r="X326" s="28"/>
      <c r="Y326" s="28"/>
      <c r="Z326" s="28"/>
      <c r="AA326" s="28"/>
      <c r="AB326" s="28"/>
      <c r="AC326" s="28"/>
    </row>
    <row r="327" ht="78.0" customHeight="1">
      <c r="A327" s="448">
        <v>45628.0</v>
      </c>
      <c r="B327" s="573" t="s">
        <v>3022</v>
      </c>
      <c r="C327" s="428"/>
      <c r="D327" s="427"/>
      <c r="E327" s="428"/>
      <c r="F327" s="428"/>
      <c r="G327" s="428"/>
      <c r="H327" s="428"/>
      <c r="I327" s="428"/>
      <c r="J327" s="428"/>
      <c r="K327" s="432"/>
      <c r="L327" s="432"/>
      <c r="M327" s="432"/>
      <c r="N327" s="432"/>
      <c r="O327" s="432"/>
      <c r="P327" s="432"/>
      <c r="Q327" s="432"/>
      <c r="R327" s="432"/>
      <c r="S327" s="432"/>
      <c r="T327" s="432"/>
      <c r="U327" s="432"/>
      <c r="V327" s="432"/>
      <c r="W327" s="432"/>
      <c r="X327" s="54"/>
      <c r="Y327" s="54"/>
      <c r="Z327" s="54"/>
      <c r="AA327" s="54"/>
      <c r="AB327" s="54"/>
      <c r="AC327" s="54"/>
    </row>
    <row r="328" ht="78.0" customHeight="1">
      <c r="A328" s="453">
        <v>45628.0</v>
      </c>
      <c r="B328" s="579" t="s">
        <v>3029</v>
      </c>
      <c r="C328" s="42"/>
      <c r="D328" s="414"/>
      <c r="E328" s="42"/>
      <c r="F328" s="42"/>
      <c r="G328" s="42"/>
      <c r="H328" s="42"/>
      <c r="I328" s="42"/>
      <c r="J328" s="42"/>
      <c r="K328" s="44"/>
      <c r="L328" s="44"/>
      <c r="M328" s="44"/>
      <c r="N328" s="44"/>
      <c r="O328" s="44"/>
      <c r="P328" s="44"/>
      <c r="Q328" s="44"/>
      <c r="R328" s="44"/>
      <c r="S328" s="44"/>
      <c r="T328" s="44"/>
      <c r="U328" s="44"/>
      <c r="V328" s="44"/>
      <c r="W328" s="44"/>
      <c r="X328" s="28"/>
      <c r="Y328" s="28"/>
      <c r="Z328" s="28"/>
      <c r="AA328" s="28"/>
      <c r="AB328" s="28"/>
      <c r="AC328" s="28"/>
    </row>
    <row r="329" ht="78.0" customHeight="1">
      <c r="A329" s="448">
        <v>45628.0</v>
      </c>
      <c r="B329" s="573" t="s">
        <v>3038</v>
      </c>
      <c r="C329" s="428"/>
      <c r="D329" s="427"/>
      <c r="E329" s="428"/>
      <c r="F329" s="428"/>
      <c r="G329" s="428"/>
      <c r="H329" s="428"/>
      <c r="I329" s="428"/>
      <c r="J329" s="428"/>
      <c r="K329" s="432"/>
      <c r="L329" s="432"/>
      <c r="M329" s="432"/>
      <c r="N329" s="432"/>
      <c r="O329" s="432"/>
      <c r="P329" s="432"/>
      <c r="Q329" s="432"/>
      <c r="R329" s="432"/>
      <c r="S329" s="432"/>
      <c r="T329" s="432"/>
      <c r="U329" s="432"/>
      <c r="V329" s="432"/>
      <c r="W329" s="432"/>
      <c r="X329" s="54"/>
      <c r="Y329" s="54"/>
      <c r="Z329" s="54"/>
      <c r="AA329" s="54"/>
      <c r="AB329" s="54"/>
      <c r="AC329" s="54"/>
    </row>
    <row r="330" ht="78.0" customHeight="1">
      <c r="A330" s="453">
        <v>45627.0</v>
      </c>
      <c r="B330" s="579" t="s">
        <v>3046</v>
      </c>
      <c r="C330" s="42"/>
      <c r="D330" s="414"/>
      <c r="E330" s="42"/>
      <c r="F330" s="42"/>
      <c r="G330" s="42"/>
      <c r="H330" s="42"/>
      <c r="I330" s="42"/>
      <c r="J330" s="42"/>
      <c r="K330" s="44"/>
      <c r="L330" s="44"/>
      <c r="M330" s="44"/>
      <c r="N330" s="44"/>
      <c r="O330" s="44"/>
      <c r="P330" s="44"/>
      <c r="Q330" s="44"/>
      <c r="R330" s="44"/>
      <c r="S330" s="44"/>
      <c r="T330" s="44"/>
      <c r="U330" s="44"/>
      <c r="V330" s="44"/>
      <c r="W330" s="44"/>
      <c r="X330" s="28"/>
      <c r="Y330" s="28"/>
      <c r="Z330" s="28"/>
      <c r="AA330" s="28"/>
      <c r="AB330" s="28"/>
      <c r="AC330" s="28"/>
    </row>
    <row r="331" ht="78.0" customHeight="1">
      <c r="A331" s="448">
        <v>45626.0</v>
      </c>
      <c r="B331" s="573" t="s">
        <v>3049</v>
      </c>
      <c r="C331" s="428"/>
      <c r="D331" s="427"/>
      <c r="E331" s="428"/>
      <c r="F331" s="428"/>
      <c r="G331" s="428"/>
      <c r="H331" s="428"/>
      <c r="I331" s="428"/>
      <c r="J331" s="428"/>
      <c r="K331" s="432"/>
      <c r="L331" s="432"/>
      <c r="M331" s="432"/>
      <c r="N331" s="432"/>
      <c r="O331" s="432"/>
      <c r="P331" s="432"/>
      <c r="Q331" s="432"/>
      <c r="R331" s="432"/>
      <c r="S331" s="432"/>
      <c r="T331" s="432"/>
      <c r="U331" s="432"/>
      <c r="V331" s="432"/>
      <c r="W331" s="432"/>
      <c r="X331" s="54"/>
      <c r="Y331" s="54"/>
      <c r="Z331" s="54"/>
      <c r="AA331" s="54"/>
      <c r="AB331" s="54"/>
      <c r="AC331" s="54"/>
    </row>
    <row r="332" ht="78.0" customHeight="1">
      <c r="A332" s="453">
        <v>45624.0</v>
      </c>
      <c r="B332" s="579" t="s">
        <v>3051</v>
      </c>
      <c r="C332" s="414" t="s">
        <v>3052</v>
      </c>
      <c r="D332" s="414"/>
      <c r="E332" s="42"/>
      <c r="F332" s="42"/>
      <c r="G332" s="42"/>
      <c r="H332" s="42"/>
      <c r="I332" s="42"/>
      <c r="J332" s="42"/>
      <c r="K332" s="44"/>
      <c r="L332" s="44"/>
      <c r="M332" s="44"/>
      <c r="N332" s="44"/>
      <c r="O332" s="44"/>
      <c r="P332" s="44"/>
      <c r="Q332" s="44"/>
      <c r="R332" s="44"/>
      <c r="S332" s="44"/>
      <c r="T332" s="44"/>
      <c r="U332" s="44"/>
      <c r="V332" s="44"/>
      <c r="W332" s="44"/>
      <c r="X332" s="28"/>
      <c r="Y332" s="28"/>
      <c r="Z332" s="28"/>
      <c r="AA332" s="28"/>
      <c r="AB332" s="28"/>
      <c r="AC332" s="28"/>
    </row>
    <row r="333" ht="78.0" customHeight="1">
      <c r="A333" s="453">
        <v>45623.0</v>
      </c>
      <c r="B333" s="579" t="s">
        <v>3054</v>
      </c>
      <c r="C333" s="414" t="s">
        <v>3055</v>
      </c>
      <c r="D333" s="414"/>
      <c r="E333" s="42"/>
      <c r="F333" s="42"/>
      <c r="G333" s="42"/>
      <c r="H333" s="42"/>
      <c r="I333" s="42"/>
      <c r="J333" s="42"/>
      <c r="K333" s="44"/>
      <c r="L333" s="44"/>
      <c r="M333" s="44"/>
      <c r="N333" s="44"/>
      <c r="O333" s="44"/>
      <c r="P333" s="44"/>
      <c r="Q333" s="44"/>
      <c r="R333" s="44"/>
      <c r="S333" s="44"/>
      <c r="T333" s="44"/>
      <c r="U333" s="44"/>
      <c r="V333" s="44"/>
      <c r="W333" s="44"/>
      <c r="X333" s="28"/>
      <c r="Y333" s="28"/>
      <c r="Z333" s="28"/>
      <c r="AA333" s="28"/>
      <c r="AB333" s="28"/>
      <c r="AC333" s="28"/>
    </row>
    <row r="334" ht="78.0" customHeight="1">
      <c r="A334" s="448">
        <v>45623.0</v>
      </c>
      <c r="B334" s="573" t="s">
        <v>3057</v>
      </c>
      <c r="C334" s="427" t="s">
        <v>3058</v>
      </c>
      <c r="D334" s="427"/>
      <c r="E334" s="428"/>
      <c r="F334" s="427" t="s">
        <v>3059</v>
      </c>
      <c r="G334" s="428"/>
      <c r="H334" s="428"/>
      <c r="I334" s="428"/>
      <c r="J334" s="428"/>
      <c r="K334" s="432"/>
      <c r="L334" s="432"/>
      <c r="M334" s="432"/>
      <c r="N334" s="432"/>
      <c r="O334" s="432"/>
      <c r="P334" s="432"/>
      <c r="Q334" s="432"/>
      <c r="R334" s="432"/>
      <c r="S334" s="432"/>
      <c r="T334" s="432"/>
      <c r="U334" s="432"/>
      <c r="V334" s="432"/>
      <c r="W334" s="432"/>
      <c r="X334" s="54"/>
      <c r="Y334" s="54"/>
      <c r="Z334" s="54"/>
      <c r="AA334" s="54"/>
      <c r="AB334" s="54"/>
      <c r="AC334" s="54"/>
    </row>
    <row r="335" ht="78.0" customHeight="1">
      <c r="A335" s="453">
        <v>45623.0</v>
      </c>
      <c r="B335" s="579" t="s">
        <v>3061</v>
      </c>
      <c r="C335" s="414" t="s">
        <v>3062</v>
      </c>
      <c r="D335" s="414"/>
      <c r="E335" s="42"/>
      <c r="F335" s="414" t="s">
        <v>3063</v>
      </c>
      <c r="G335" s="42"/>
      <c r="H335" s="42"/>
      <c r="I335" s="42"/>
      <c r="J335" s="42"/>
      <c r="K335" s="44"/>
      <c r="L335" s="44"/>
      <c r="M335" s="44"/>
      <c r="N335" s="44"/>
      <c r="O335" s="44"/>
      <c r="P335" s="44"/>
      <c r="Q335" s="44"/>
      <c r="R335" s="44"/>
      <c r="S335" s="44"/>
      <c r="T335" s="44"/>
      <c r="U335" s="44"/>
      <c r="V335" s="44"/>
      <c r="W335" s="44"/>
      <c r="X335" s="28"/>
      <c r="Y335" s="28"/>
      <c r="Z335" s="28"/>
      <c r="AA335" s="28"/>
      <c r="AB335" s="28"/>
      <c r="AC335" s="28"/>
    </row>
    <row r="336" ht="78.0" customHeight="1">
      <c r="A336" s="448">
        <v>45623.0</v>
      </c>
      <c r="B336" s="573" t="s">
        <v>3066</v>
      </c>
      <c r="C336" s="427" t="s">
        <v>3067</v>
      </c>
      <c r="D336" s="427"/>
      <c r="E336" s="428"/>
      <c r="F336" s="427" t="s">
        <v>3069</v>
      </c>
      <c r="G336" s="428"/>
      <c r="H336" s="428"/>
      <c r="I336" s="428"/>
      <c r="J336" s="428"/>
      <c r="K336" s="432"/>
      <c r="L336" s="432"/>
      <c r="M336" s="432"/>
      <c r="N336" s="432"/>
      <c r="O336" s="432"/>
      <c r="P336" s="432"/>
      <c r="Q336" s="432"/>
      <c r="R336" s="432"/>
      <c r="S336" s="432"/>
      <c r="T336" s="432"/>
      <c r="U336" s="432"/>
      <c r="V336" s="432"/>
      <c r="W336" s="432"/>
      <c r="X336" s="54"/>
      <c r="Y336" s="54"/>
      <c r="Z336" s="54"/>
      <c r="AA336" s="54"/>
      <c r="AB336" s="54"/>
      <c r="AC336" s="54"/>
    </row>
    <row r="337" ht="78.0" customHeight="1">
      <c r="A337" s="453">
        <v>45623.0</v>
      </c>
      <c r="B337" s="579" t="s">
        <v>3070</v>
      </c>
      <c r="C337" s="414" t="s">
        <v>3071</v>
      </c>
      <c r="D337" s="414"/>
      <c r="E337" s="42"/>
      <c r="F337" s="414" t="s">
        <v>3073</v>
      </c>
      <c r="G337" s="414" t="s">
        <v>3074</v>
      </c>
      <c r="H337" s="414" t="s">
        <v>3075</v>
      </c>
      <c r="I337" s="42"/>
      <c r="J337" s="42"/>
      <c r="K337" s="44"/>
      <c r="L337" s="44"/>
      <c r="M337" s="44"/>
      <c r="N337" s="44"/>
      <c r="O337" s="44"/>
      <c r="P337" s="44"/>
      <c r="Q337" s="44"/>
      <c r="R337" s="44"/>
      <c r="S337" s="44"/>
      <c r="T337" s="44"/>
      <c r="U337" s="44"/>
      <c r="V337" s="44"/>
      <c r="W337" s="44"/>
      <c r="X337" s="28"/>
      <c r="Y337" s="28"/>
      <c r="Z337" s="28"/>
      <c r="AA337" s="28"/>
      <c r="AB337" s="28"/>
      <c r="AC337" s="28"/>
    </row>
    <row r="338" ht="78.0" customHeight="1">
      <c r="A338" s="448">
        <v>45622.0</v>
      </c>
      <c r="B338" s="573" t="s">
        <v>3076</v>
      </c>
      <c r="C338" s="427" t="s">
        <v>3077</v>
      </c>
      <c r="D338" s="427"/>
      <c r="E338" s="428"/>
      <c r="F338" s="428"/>
      <c r="G338" s="428"/>
      <c r="H338" s="428"/>
      <c r="I338" s="428"/>
      <c r="J338" s="428"/>
      <c r="K338" s="432"/>
      <c r="L338" s="432"/>
      <c r="M338" s="432"/>
      <c r="N338" s="432"/>
      <c r="O338" s="432"/>
      <c r="P338" s="432"/>
      <c r="Q338" s="432"/>
      <c r="R338" s="432"/>
      <c r="S338" s="432"/>
      <c r="T338" s="432"/>
      <c r="U338" s="432"/>
      <c r="V338" s="432"/>
      <c r="W338" s="432"/>
      <c r="X338" s="54"/>
      <c r="Y338" s="54"/>
      <c r="Z338" s="54"/>
      <c r="AA338" s="54"/>
      <c r="AB338" s="54"/>
      <c r="AC338" s="54"/>
    </row>
    <row r="339" ht="78.0" customHeight="1">
      <c r="A339" s="453">
        <v>45622.0</v>
      </c>
      <c r="B339" s="579" t="s">
        <v>3079</v>
      </c>
      <c r="C339" s="414" t="s">
        <v>3081</v>
      </c>
      <c r="D339" s="414"/>
      <c r="E339" s="42"/>
      <c r="F339" s="414" t="s">
        <v>3082</v>
      </c>
      <c r="G339" s="42"/>
      <c r="H339" s="42"/>
      <c r="I339" s="42"/>
      <c r="J339" s="42"/>
      <c r="K339" s="44"/>
      <c r="L339" s="44"/>
      <c r="M339" s="44"/>
      <c r="N339" s="44"/>
      <c r="O339" s="44"/>
      <c r="P339" s="44"/>
      <c r="Q339" s="44"/>
      <c r="R339" s="44"/>
      <c r="S339" s="44"/>
      <c r="T339" s="44"/>
      <c r="U339" s="44"/>
      <c r="V339" s="44"/>
      <c r="W339" s="44"/>
      <c r="X339" s="28"/>
      <c r="Y339" s="28"/>
      <c r="Z339" s="28"/>
      <c r="AA339" s="28"/>
      <c r="AB339" s="28"/>
      <c r="AC339" s="28"/>
    </row>
    <row r="340" ht="78.0" customHeight="1">
      <c r="A340" s="448">
        <v>45622.0</v>
      </c>
      <c r="B340" s="573" t="s">
        <v>3084</v>
      </c>
      <c r="C340" s="427" t="s">
        <v>3085</v>
      </c>
      <c r="D340" s="427"/>
      <c r="E340" s="428"/>
      <c r="F340" s="428"/>
      <c r="G340" s="428"/>
      <c r="H340" s="428"/>
      <c r="I340" s="428"/>
      <c r="J340" s="428"/>
      <c r="K340" s="432"/>
      <c r="L340" s="432"/>
      <c r="M340" s="432"/>
      <c r="N340" s="432"/>
      <c r="O340" s="432"/>
      <c r="P340" s="432"/>
      <c r="Q340" s="432"/>
      <c r="R340" s="432"/>
      <c r="S340" s="432"/>
      <c r="T340" s="432"/>
      <c r="U340" s="432"/>
      <c r="V340" s="432"/>
      <c r="W340" s="432"/>
      <c r="X340" s="54"/>
      <c r="Y340" s="54"/>
      <c r="Z340" s="54"/>
      <c r="AA340" s="54"/>
      <c r="AB340" s="54"/>
      <c r="AC340" s="54"/>
    </row>
    <row r="341" ht="78.0" customHeight="1">
      <c r="A341" s="453">
        <v>45622.0</v>
      </c>
      <c r="B341" s="579" t="s">
        <v>3088</v>
      </c>
      <c r="C341" s="414" t="s">
        <v>3089</v>
      </c>
      <c r="D341" s="414"/>
      <c r="E341" s="42"/>
      <c r="F341" s="414" t="s">
        <v>3090</v>
      </c>
      <c r="G341" s="414" t="s">
        <v>3091</v>
      </c>
      <c r="H341" s="42"/>
      <c r="I341" s="42"/>
      <c r="J341" s="42"/>
      <c r="K341" s="44"/>
      <c r="L341" s="44"/>
      <c r="M341" s="44"/>
      <c r="N341" s="44"/>
      <c r="O341" s="44"/>
      <c r="P341" s="44"/>
      <c r="Q341" s="44"/>
      <c r="R341" s="44"/>
      <c r="S341" s="44"/>
      <c r="T341" s="44"/>
      <c r="U341" s="44"/>
      <c r="V341" s="44"/>
      <c r="W341" s="44"/>
      <c r="X341" s="28"/>
      <c r="Y341" s="28"/>
      <c r="Z341" s="28"/>
      <c r="AA341" s="28"/>
      <c r="AB341" s="28"/>
      <c r="AC341" s="28"/>
    </row>
    <row r="342" ht="78.0" customHeight="1">
      <c r="A342" s="448">
        <v>45622.0</v>
      </c>
      <c r="B342" s="573" t="s">
        <v>3095</v>
      </c>
      <c r="C342" s="427" t="s">
        <v>3096</v>
      </c>
      <c r="D342" s="427"/>
      <c r="E342" s="428"/>
      <c r="F342" s="427" t="s">
        <v>3097</v>
      </c>
      <c r="G342" s="428"/>
      <c r="H342" s="428"/>
      <c r="I342" s="428"/>
      <c r="J342" s="428"/>
      <c r="K342" s="432"/>
      <c r="L342" s="432"/>
      <c r="M342" s="432"/>
      <c r="N342" s="432"/>
      <c r="O342" s="432"/>
      <c r="P342" s="432"/>
      <c r="Q342" s="432"/>
      <c r="R342" s="432"/>
      <c r="S342" s="432"/>
      <c r="T342" s="432"/>
      <c r="U342" s="432"/>
      <c r="V342" s="432"/>
      <c r="W342" s="432"/>
      <c r="X342" s="54"/>
      <c r="Y342" s="54"/>
      <c r="Z342" s="54"/>
      <c r="AA342" s="54"/>
      <c r="AB342" s="54"/>
      <c r="AC342" s="54"/>
    </row>
    <row r="343" ht="78.0" customHeight="1">
      <c r="A343" s="453">
        <v>45622.0</v>
      </c>
      <c r="B343" s="579" t="s">
        <v>3100</v>
      </c>
      <c r="C343" s="42"/>
      <c r="D343" s="414"/>
      <c r="E343" s="42"/>
      <c r="F343" s="42"/>
      <c r="G343" s="42"/>
      <c r="H343" s="42"/>
      <c r="I343" s="42"/>
      <c r="J343" s="42"/>
      <c r="K343" s="44"/>
      <c r="L343" s="44"/>
      <c r="M343" s="44"/>
      <c r="N343" s="44"/>
      <c r="O343" s="44"/>
      <c r="P343" s="44"/>
      <c r="Q343" s="44"/>
      <c r="R343" s="44"/>
      <c r="S343" s="44"/>
      <c r="T343" s="44"/>
      <c r="U343" s="44"/>
      <c r="V343" s="44"/>
      <c r="W343" s="44"/>
      <c r="X343" s="28"/>
      <c r="Y343" s="28"/>
      <c r="Z343" s="28"/>
      <c r="AA343" s="28"/>
      <c r="AB343" s="28"/>
      <c r="AC343" s="28"/>
    </row>
    <row r="344" ht="78.0" customHeight="1">
      <c r="A344" s="448">
        <v>45622.0</v>
      </c>
      <c r="B344" s="573" t="s">
        <v>3105</v>
      </c>
      <c r="C344" s="427" t="s">
        <v>2037</v>
      </c>
      <c r="D344" s="427"/>
      <c r="E344" s="428"/>
      <c r="F344" s="428"/>
      <c r="G344" s="428"/>
      <c r="H344" s="428"/>
      <c r="I344" s="428"/>
      <c r="J344" s="428"/>
      <c r="K344" s="432"/>
      <c r="L344" s="432"/>
      <c r="M344" s="432"/>
      <c r="N344" s="432"/>
      <c r="O344" s="432"/>
      <c r="P344" s="432"/>
      <c r="Q344" s="432"/>
      <c r="R344" s="432"/>
      <c r="S344" s="432"/>
      <c r="T344" s="432"/>
      <c r="U344" s="432"/>
      <c r="V344" s="432"/>
      <c r="W344" s="432"/>
      <c r="X344" s="54"/>
      <c r="Y344" s="54"/>
      <c r="Z344" s="54"/>
      <c r="AA344" s="54"/>
      <c r="AB344" s="54"/>
      <c r="AC344" s="54"/>
    </row>
    <row r="345" ht="78.0" customHeight="1">
      <c r="A345" s="453">
        <v>45621.0</v>
      </c>
      <c r="B345" s="579" t="s">
        <v>3108</v>
      </c>
      <c r="C345" s="414" t="s">
        <v>3109</v>
      </c>
      <c r="D345" s="414"/>
      <c r="E345" s="42"/>
      <c r="F345" s="414" t="s">
        <v>3110</v>
      </c>
      <c r="G345" s="414" t="s">
        <v>3111</v>
      </c>
      <c r="H345" s="414" t="s">
        <v>3112</v>
      </c>
      <c r="I345" s="42" t="s">
        <v>3113</v>
      </c>
      <c r="J345" s="42"/>
      <c r="K345" s="44"/>
      <c r="L345" s="44"/>
      <c r="M345" s="44"/>
      <c r="N345" s="44"/>
      <c r="O345" s="44"/>
      <c r="P345" s="44"/>
      <c r="Q345" s="44"/>
      <c r="R345" s="44"/>
      <c r="S345" s="44"/>
      <c r="T345" s="44"/>
      <c r="U345" s="44"/>
      <c r="V345" s="44"/>
      <c r="W345" s="44"/>
      <c r="X345" s="28"/>
      <c r="Y345" s="28"/>
      <c r="Z345" s="28"/>
      <c r="AA345" s="28"/>
      <c r="AB345" s="28"/>
      <c r="AC345" s="28"/>
    </row>
    <row r="346" ht="78.0" customHeight="1">
      <c r="A346" s="448">
        <v>45621.0</v>
      </c>
      <c r="B346" s="573" t="s">
        <v>3114</v>
      </c>
      <c r="C346" s="427" t="s">
        <v>3115</v>
      </c>
      <c r="D346" s="427"/>
      <c r="E346" s="428"/>
      <c r="F346" s="427" t="s">
        <v>3116</v>
      </c>
      <c r="G346" s="428"/>
      <c r="H346" s="428"/>
      <c r="I346" s="428"/>
      <c r="J346" s="428"/>
      <c r="K346" s="432"/>
      <c r="L346" s="432"/>
      <c r="M346" s="432"/>
      <c r="N346" s="432"/>
      <c r="O346" s="432"/>
      <c r="P346" s="432"/>
      <c r="Q346" s="432"/>
      <c r="R346" s="432"/>
      <c r="S346" s="432"/>
      <c r="T346" s="432"/>
      <c r="U346" s="432"/>
      <c r="V346" s="432"/>
      <c r="W346" s="432"/>
      <c r="X346" s="54"/>
      <c r="Y346" s="54"/>
      <c r="Z346" s="54"/>
      <c r="AA346" s="54"/>
      <c r="AB346" s="54"/>
      <c r="AC346" s="54"/>
    </row>
    <row r="347" ht="78.0" customHeight="1">
      <c r="A347" s="453">
        <v>45621.0</v>
      </c>
      <c r="B347" s="579" t="s">
        <v>3118</v>
      </c>
      <c r="C347" s="414" t="s">
        <v>3119</v>
      </c>
      <c r="D347" s="414"/>
      <c r="E347" s="42"/>
      <c r="F347" s="414" t="s">
        <v>3120</v>
      </c>
      <c r="G347" s="622" t="s">
        <v>3121</v>
      </c>
      <c r="H347" s="42" t="s">
        <v>3123</v>
      </c>
      <c r="I347" s="414" t="s">
        <v>3124</v>
      </c>
      <c r="J347" s="42" t="s">
        <v>3125</v>
      </c>
      <c r="K347" s="44"/>
      <c r="L347" s="44"/>
      <c r="M347" s="44"/>
      <c r="N347" s="44"/>
      <c r="O347" s="44"/>
      <c r="P347" s="44"/>
      <c r="Q347" s="44"/>
      <c r="R347" s="44"/>
      <c r="S347" s="44"/>
      <c r="T347" s="44"/>
      <c r="U347" s="44"/>
      <c r="V347" s="44"/>
      <c r="W347" s="44"/>
      <c r="X347" s="28"/>
      <c r="Y347" s="28"/>
      <c r="Z347" s="28"/>
      <c r="AA347" s="28"/>
      <c r="AB347" s="28"/>
      <c r="AC347" s="28"/>
    </row>
    <row r="348" ht="78.0" customHeight="1">
      <c r="A348" s="448">
        <v>45621.0</v>
      </c>
      <c r="B348" s="573" t="s">
        <v>3126</v>
      </c>
      <c r="C348" s="427" t="s">
        <v>3127</v>
      </c>
      <c r="D348" s="427"/>
      <c r="E348" s="428"/>
      <c r="F348" s="428"/>
      <c r="G348" s="428"/>
      <c r="H348" s="428"/>
      <c r="I348" s="428"/>
      <c r="J348" s="428"/>
      <c r="K348" s="432"/>
      <c r="L348" s="432"/>
      <c r="M348" s="432"/>
      <c r="N348" s="432"/>
      <c r="O348" s="432"/>
      <c r="P348" s="432"/>
      <c r="Q348" s="432"/>
      <c r="R348" s="432"/>
      <c r="S348" s="432"/>
      <c r="T348" s="432"/>
      <c r="U348" s="432"/>
      <c r="V348" s="432"/>
      <c r="W348" s="432"/>
      <c r="X348" s="54"/>
      <c r="Y348" s="54"/>
      <c r="Z348" s="54"/>
      <c r="AA348" s="54"/>
      <c r="AB348" s="54"/>
      <c r="AC348" s="54"/>
    </row>
    <row r="349" ht="78.0" customHeight="1">
      <c r="A349" s="453">
        <v>45619.0</v>
      </c>
      <c r="B349" s="579" t="s">
        <v>3130</v>
      </c>
      <c r="C349" s="414" t="s">
        <v>3132</v>
      </c>
      <c r="D349" s="414"/>
      <c r="E349" s="42"/>
      <c r="F349" s="42"/>
      <c r="G349" s="42"/>
      <c r="H349" s="42"/>
      <c r="I349" s="42"/>
      <c r="J349" s="42"/>
      <c r="K349" s="44"/>
      <c r="L349" s="44"/>
      <c r="M349" s="44"/>
      <c r="N349" s="44"/>
      <c r="O349" s="44"/>
      <c r="P349" s="44"/>
      <c r="Q349" s="44"/>
      <c r="R349" s="44"/>
      <c r="S349" s="44"/>
      <c r="T349" s="44"/>
      <c r="U349" s="44"/>
      <c r="V349" s="44"/>
      <c r="W349" s="44"/>
      <c r="X349" s="28"/>
      <c r="Y349" s="28"/>
      <c r="Z349" s="28"/>
      <c r="AA349" s="28"/>
      <c r="AB349" s="28"/>
      <c r="AC349" s="28"/>
    </row>
    <row r="350" ht="78.0" customHeight="1">
      <c r="A350" s="448">
        <v>45619.0</v>
      </c>
      <c r="B350" s="573" t="s">
        <v>3133</v>
      </c>
      <c r="C350" s="427" t="s">
        <v>758</v>
      </c>
      <c r="D350" s="427"/>
      <c r="E350" s="428"/>
      <c r="F350" s="427" t="s">
        <v>3135</v>
      </c>
      <c r="G350" s="427" t="s">
        <v>3136</v>
      </c>
      <c r="H350" s="428"/>
      <c r="I350" s="428"/>
      <c r="J350" s="428"/>
      <c r="K350" s="432"/>
      <c r="L350" s="432"/>
      <c r="M350" s="432"/>
      <c r="N350" s="432"/>
      <c r="O350" s="432"/>
      <c r="P350" s="432"/>
      <c r="Q350" s="432"/>
      <c r="R350" s="432"/>
      <c r="S350" s="432"/>
      <c r="T350" s="432"/>
      <c r="U350" s="432"/>
      <c r="V350" s="432"/>
      <c r="W350" s="432"/>
      <c r="X350" s="54"/>
      <c r="Y350" s="54"/>
      <c r="Z350" s="54"/>
      <c r="AA350" s="54"/>
      <c r="AB350" s="54"/>
      <c r="AC350" s="54"/>
    </row>
    <row r="351" ht="78.0" customHeight="1">
      <c r="A351" s="453">
        <v>45619.0</v>
      </c>
      <c r="B351" s="579" t="s">
        <v>3137</v>
      </c>
      <c r="C351" s="42"/>
      <c r="D351" s="414"/>
      <c r="E351" s="42"/>
      <c r="F351" s="42"/>
      <c r="G351" s="42"/>
      <c r="H351" s="42"/>
      <c r="I351" s="42"/>
      <c r="J351" s="42"/>
      <c r="K351" s="44"/>
      <c r="L351" s="44"/>
      <c r="M351" s="44"/>
      <c r="N351" s="44"/>
      <c r="O351" s="44"/>
      <c r="P351" s="44"/>
      <c r="Q351" s="44"/>
      <c r="R351" s="44"/>
      <c r="S351" s="44"/>
      <c r="T351" s="44"/>
      <c r="U351" s="44"/>
      <c r="V351" s="44"/>
      <c r="W351" s="44"/>
      <c r="X351" s="28"/>
      <c r="Y351" s="28"/>
      <c r="Z351" s="28"/>
      <c r="AA351" s="28"/>
      <c r="AB351" s="28"/>
      <c r="AC351" s="28"/>
    </row>
    <row r="352" ht="78.0" customHeight="1">
      <c r="A352" s="448">
        <v>45618.0</v>
      </c>
      <c r="B352" s="573" t="s">
        <v>3139</v>
      </c>
      <c r="C352" s="427" t="s">
        <v>3140</v>
      </c>
      <c r="D352" s="427"/>
      <c r="E352" s="428"/>
      <c r="F352" s="428"/>
      <c r="G352" s="428"/>
      <c r="H352" s="428"/>
      <c r="I352" s="428"/>
      <c r="J352" s="428"/>
      <c r="K352" s="432"/>
      <c r="L352" s="432"/>
      <c r="M352" s="432"/>
      <c r="N352" s="432"/>
      <c r="O352" s="432"/>
      <c r="P352" s="432"/>
      <c r="Q352" s="432"/>
      <c r="R352" s="432"/>
      <c r="S352" s="432"/>
      <c r="T352" s="432"/>
      <c r="U352" s="432"/>
      <c r="V352" s="432"/>
      <c r="W352" s="432"/>
      <c r="X352" s="54"/>
      <c r="Y352" s="54"/>
      <c r="Z352" s="54"/>
      <c r="AA352" s="54"/>
      <c r="AB352" s="54"/>
      <c r="AC352" s="54"/>
    </row>
    <row r="353" ht="78.0" customHeight="1">
      <c r="A353" s="453">
        <v>45618.0</v>
      </c>
      <c r="B353" s="579" t="s">
        <v>3145</v>
      </c>
      <c r="C353" s="414" t="s">
        <v>3146</v>
      </c>
      <c r="D353" s="414"/>
      <c r="E353" s="42"/>
      <c r="F353" s="414" t="s">
        <v>3147</v>
      </c>
      <c r="G353" s="42" t="s">
        <v>3148</v>
      </c>
      <c r="H353" s="42" t="s">
        <v>3149</v>
      </c>
      <c r="I353" s="42">
        <v>13.0</v>
      </c>
      <c r="J353" s="42">
        <v>10.0</v>
      </c>
      <c r="K353" s="44">
        <v>13.0</v>
      </c>
      <c r="L353" s="626" t="s">
        <v>3152</v>
      </c>
      <c r="M353" s="626" t="s">
        <v>3154</v>
      </c>
      <c r="N353" s="44">
        <v>8.0</v>
      </c>
      <c r="O353" s="44">
        <v>14.0</v>
      </c>
      <c r="P353" s="626" t="s">
        <v>3156</v>
      </c>
      <c r="Q353" s="626" t="s">
        <v>3158</v>
      </c>
      <c r="R353" s="44">
        <v>22.0</v>
      </c>
      <c r="S353" s="626" t="s">
        <v>3160</v>
      </c>
      <c r="T353" s="44">
        <v>16.0</v>
      </c>
      <c r="U353" s="44">
        <v>9.0</v>
      </c>
      <c r="V353" s="626" t="s">
        <v>3162</v>
      </c>
      <c r="W353" s="44"/>
      <c r="X353" s="28"/>
      <c r="Y353" s="28"/>
      <c r="Z353" s="28"/>
      <c r="AA353" s="28"/>
      <c r="AB353" s="28"/>
      <c r="AC353" s="28"/>
    </row>
    <row r="354" ht="78.0" customHeight="1">
      <c r="A354" s="448">
        <v>45618.0</v>
      </c>
      <c r="B354" s="629" t="s">
        <v>3163</v>
      </c>
      <c r="C354" s="427" t="s">
        <v>3164</v>
      </c>
      <c r="D354" s="427"/>
      <c r="E354" s="428"/>
      <c r="F354" s="427" t="s">
        <v>3165</v>
      </c>
      <c r="G354" s="428"/>
      <c r="H354" s="428"/>
      <c r="I354" s="428"/>
      <c r="J354" s="428"/>
      <c r="K354" s="432"/>
      <c r="L354" s="432"/>
      <c r="M354" s="432"/>
      <c r="N354" s="432"/>
      <c r="O354" s="432"/>
      <c r="P354" s="432"/>
      <c r="Q354" s="432"/>
      <c r="R354" s="432"/>
      <c r="S354" s="432"/>
      <c r="T354" s="432"/>
      <c r="U354" s="432"/>
      <c r="V354" s="432"/>
      <c r="W354" s="432"/>
      <c r="X354" s="54"/>
      <c r="Y354" s="54"/>
      <c r="Z354" s="54"/>
      <c r="AA354" s="54"/>
      <c r="AB354" s="54"/>
      <c r="AC354" s="54"/>
    </row>
    <row r="355" ht="78.0" customHeight="1">
      <c r="A355" s="453">
        <v>45618.0</v>
      </c>
      <c r="B355" s="631" t="s">
        <v>3169</v>
      </c>
      <c r="C355" s="414" t="s">
        <v>1203</v>
      </c>
      <c r="D355" s="414"/>
      <c r="E355" s="42"/>
      <c r="F355" s="42"/>
      <c r="G355" s="42"/>
      <c r="H355" s="42"/>
      <c r="I355" s="42"/>
      <c r="J355" s="42"/>
      <c r="K355" s="42"/>
      <c r="L355" s="42"/>
      <c r="M355" s="42"/>
      <c r="N355" s="42"/>
      <c r="O355" s="42"/>
      <c r="P355" s="42"/>
      <c r="Q355" s="42"/>
      <c r="R355" s="42"/>
      <c r="S355" s="42"/>
      <c r="T355" s="42"/>
      <c r="U355" s="42"/>
      <c r="V355" s="42"/>
      <c r="W355" s="44"/>
      <c r="X355" s="28"/>
      <c r="Y355" s="28"/>
      <c r="Z355" s="28"/>
      <c r="AA355" s="28"/>
      <c r="AB355" s="28"/>
      <c r="AC355" s="28"/>
    </row>
    <row r="356" ht="78.0" customHeight="1">
      <c r="A356" s="448">
        <v>45618.0</v>
      </c>
      <c r="B356" s="629" t="s">
        <v>3171</v>
      </c>
      <c r="C356" s="427" t="s">
        <v>3172</v>
      </c>
      <c r="D356" s="427"/>
      <c r="E356" s="428"/>
      <c r="F356" s="428"/>
      <c r="G356" s="428"/>
      <c r="H356" s="428"/>
      <c r="I356" s="428"/>
      <c r="J356" s="428"/>
      <c r="K356" s="432"/>
      <c r="L356" s="432"/>
      <c r="M356" s="432"/>
      <c r="N356" s="432"/>
      <c r="O356" s="432"/>
      <c r="P356" s="432"/>
      <c r="Q356" s="432"/>
      <c r="R356" s="432"/>
      <c r="S356" s="432"/>
      <c r="T356" s="432"/>
      <c r="U356" s="432"/>
      <c r="V356" s="432"/>
      <c r="W356" s="432"/>
      <c r="X356" s="54"/>
      <c r="Y356" s="54"/>
      <c r="Z356" s="54"/>
      <c r="AA356" s="54"/>
      <c r="AB356" s="54"/>
      <c r="AC356" s="54"/>
    </row>
    <row r="357" ht="78.0" customHeight="1">
      <c r="A357" s="453">
        <v>45618.0</v>
      </c>
      <c r="B357" s="414" t="s">
        <v>3174</v>
      </c>
      <c r="C357" s="414" t="s">
        <v>3175</v>
      </c>
      <c r="D357" s="414"/>
      <c r="E357" s="42"/>
      <c r="F357" s="414" t="s">
        <v>3176</v>
      </c>
      <c r="G357" s="414" t="s">
        <v>3177</v>
      </c>
      <c r="H357" s="414" t="s">
        <v>3179</v>
      </c>
      <c r="I357" s="414" t="s">
        <v>3180</v>
      </c>
      <c r="J357" s="414" t="s">
        <v>3181</v>
      </c>
      <c r="K357" s="626" t="s">
        <v>3182</v>
      </c>
      <c r="L357" s="44"/>
      <c r="M357" s="44"/>
      <c r="N357" s="44"/>
      <c r="O357" s="44"/>
      <c r="P357" s="44"/>
      <c r="Q357" s="44"/>
      <c r="R357" s="44"/>
      <c r="S357" s="44"/>
      <c r="T357" s="44"/>
      <c r="U357" s="44"/>
      <c r="V357" s="44"/>
      <c r="W357" s="44"/>
      <c r="X357" s="28"/>
      <c r="Y357" s="28"/>
      <c r="Z357" s="28"/>
      <c r="AA357" s="28"/>
      <c r="AB357" s="28"/>
      <c r="AC357" s="28"/>
    </row>
    <row r="358" ht="78.0" customHeight="1">
      <c r="A358" s="448">
        <v>45618.0</v>
      </c>
      <c r="B358" s="427" t="s">
        <v>3183</v>
      </c>
      <c r="C358" s="427" t="s">
        <v>3184</v>
      </c>
      <c r="D358" s="427"/>
      <c r="E358" s="428"/>
      <c r="F358" s="428"/>
      <c r="G358" s="428"/>
      <c r="H358" s="428"/>
      <c r="I358" s="428"/>
      <c r="J358" s="428"/>
      <c r="K358" s="432"/>
      <c r="L358" s="432"/>
      <c r="M358" s="432"/>
      <c r="N358" s="432"/>
      <c r="O358" s="432"/>
      <c r="P358" s="432"/>
      <c r="Q358" s="432"/>
      <c r="R358" s="432"/>
      <c r="S358" s="432"/>
      <c r="T358" s="432"/>
      <c r="U358" s="432"/>
      <c r="V358" s="432"/>
      <c r="W358" s="432"/>
      <c r="X358" s="54"/>
      <c r="Y358" s="54"/>
      <c r="Z358" s="54"/>
      <c r="AA358" s="54"/>
      <c r="AB358" s="54"/>
      <c r="AC358" s="54"/>
    </row>
    <row r="359" ht="78.0" customHeight="1">
      <c r="A359" s="453">
        <v>45617.0</v>
      </c>
      <c r="B359" s="414" t="s">
        <v>3186</v>
      </c>
      <c r="C359" s="414" t="s">
        <v>3187</v>
      </c>
      <c r="D359" s="414"/>
      <c r="E359" s="42"/>
      <c r="F359" s="414" t="s">
        <v>3188</v>
      </c>
      <c r="G359" s="42"/>
      <c r="H359" s="42"/>
      <c r="I359" s="42"/>
      <c r="J359" s="42"/>
      <c r="K359" s="42"/>
      <c r="L359" s="44"/>
      <c r="M359" s="44"/>
      <c r="N359" s="44"/>
      <c r="O359" s="44"/>
      <c r="P359" s="44"/>
      <c r="Q359" s="44"/>
      <c r="R359" s="44"/>
      <c r="S359" s="44"/>
      <c r="T359" s="44"/>
      <c r="U359" s="44"/>
      <c r="V359" s="44"/>
      <c r="W359" s="44"/>
      <c r="X359" s="28"/>
      <c r="Y359" s="28"/>
      <c r="Z359" s="28"/>
      <c r="AA359" s="28"/>
      <c r="AB359" s="28"/>
      <c r="AC359" s="28"/>
    </row>
    <row r="360" ht="78.0" customHeight="1">
      <c r="A360" s="448">
        <v>45617.0</v>
      </c>
      <c r="B360" s="427" t="s">
        <v>3190</v>
      </c>
      <c r="C360" s="427" t="s">
        <v>3191</v>
      </c>
      <c r="D360" s="427"/>
      <c r="E360" s="428"/>
      <c r="F360" s="427" t="s">
        <v>3192</v>
      </c>
      <c r="G360" s="428"/>
      <c r="H360" s="428"/>
      <c r="I360" s="428"/>
      <c r="J360" s="428"/>
      <c r="K360" s="432"/>
      <c r="L360" s="432"/>
      <c r="M360" s="432"/>
      <c r="N360" s="432"/>
      <c r="O360" s="432"/>
      <c r="P360" s="432"/>
      <c r="Q360" s="432"/>
      <c r="R360" s="432"/>
      <c r="S360" s="432"/>
      <c r="T360" s="432"/>
      <c r="U360" s="432"/>
      <c r="V360" s="432"/>
      <c r="W360" s="432"/>
      <c r="X360" s="54"/>
      <c r="Y360" s="54"/>
      <c r="Z360" s="54"/>
      <c r="AA360" s="54"/>
      <c r="AB360" s="54"/>
      <c r="AC360" s="54"/>
    </row>
    <row r="361" ht="78.0" customHeight="1">
      <c r="A361" s="453">
        <v>45617.0</v>
      </c>
      <c r="B361" s="414" t="s">
        <v>3193</v>
      </c>
      <c r="C361" s="414" t="s">
        <v>3194</v>
      </c>
      <c r="D361" s="414"/>
      <c r="E361" s="42"/>
      <c r="F361" s="414" t="s">
        <v>3195</v>
      </c>
      <c r="G361" s="42" t="s">
        <v>3196</v>
      </c>
      <c r="H361" s="42"/>
      <c r="I361" s="42"/>
      <c r="J361" s="42"/>
      <c r="K361" s="44"/>
      <c r="L361" s="44"/>
      <c r="M361" s="44"/>
      <c r="N361" s="44"/>
      <c r="O361" s="44"/>
      <c r="P361" s="44"/>
      <c r="Q361" s="44"/>
      <c r="R361" s="44"/>
      <c r="S361" s="44"/>
      <c r="T361" s="44"/>
      <c r="U361" s="44"/>
      <c r="V361" s="44"/>
      <c r="W361" s="44"/>
      <c r="X361" s="28"/>
      <c r="Y361" s="28"/>
      <c r="Z361" s="28"/>
      <c r="AA361" s="28"/>
      <c r="AB361" s="28"/>
      <c r="AC361" s="28"/>
    </row>
    <row r="362" ht="78.0" customHeight="1">
      <c r="A362" s="448">
        <v>45617.0</v>
      </c>
      <c r="B362" s="427" t="s">
        <v>3199</v>
      </c>
      <c r="C362" s="427" t="s">
        <v>3200</v>
      </c>
      <c r="D362" s="427"/>
      <c r="E362" s="428"/>
      <c r="F362" s="427" t="s">
        <v>3202</v>
      </c>
      <c r="G362" s="427" t="s">
        <v>3203</v>
      </c>
      <c r="H362" s="428"/>
      <c r="I362" s="428"/>
      <c r="J362" s="428"/>
      <c r="K362" s="432"/>
      <c r="L362" s="432"/>
      <c r="M362" s="432"/>
      <c r="N362" s="432"/>
      <c r="O362" s="432"/>
      <c r="P362" s="432"/>
      <c r="Q362" s="432"/>
      <c r="R362" s="432"/>
      <c r="S362" s="432"/>
      <c r="T362" s="432"/>
      <c r="U362" s="432"/>
      <c r="V362" s="432"/>
      <c r="W362" s="432"/>
      <c r="X362" s="54"/>
      <c r="Y362" s="54"/>
      <c r="Z362" s="54"/>
      <c r="AA362" s="54"/>
      <c r="AB362" s="54"/>
      <c r="AC362" s="54"/>
    </row>
    <row r="363" ht="78.0" customHeight="1">
      <c r="A363" s="453">
        <v>45617.0</v>
      </c>
      <c r="B363" s="414" t="s">
        <v>3205</v>
      </c>
      <c r="C363" s="414" t="s">
        <v>3206</v>
      </c>
      <c r="D363" s="414"/>
      <c r="E363" s="42"/>
      <c r="F363" s="414" t="s">
        <v>3207</v>
      </c>
      <c r="G363" s="414" t="s">
        <v>3209</v>
      </c>
      <c r="H363" s="42"/>
      <c r="I363" s="42"/>
      <c r="J363" s="42"/>
      <c r="K363" s="44"/>
      <c r="L363" s="44"/>
      <c r="M363" s="44"/>
      <c r="N363" s="44"/>
      <c r="O363" s="44"/>
      <c r="P363" s="44"/>
      <c r="Q363" s="44"/>
      <c r="R363" s="44"/>
      <c r="S363" s="44"/>
      <c r="T363" s="44"/>
      <c r="U363" s="44"/>
      <c r="V363" s="44"/>
      <c r="W363" s="44"/>
      <c r="X363" s="28"/>
      <c r="Y363" s="28"/>
      <c r="Z363" s="28"/>
      <c r="AA363" s="28"/>
      <c r="AB363" s="28"/>
      <c r="AC363" s="28"/>
    </row>
    <row r="364" ht="78.0" customHeight="1">
      <c r="A364" s="448">
        <v>45617.0</v>
      </c>
      <c r="B364" s="427" t="s">
        <v>3210</v>
      </c>
      <c r="C364" s="427" t="s">
        <v>3211</v>
      </c>
      <c r="D364" s="427"/>
      <c r="E364" s="428"/>
      <c r="F364" s="427" t="s">
        <v>3213</v>
      </c>
      <c r="G364" s="428" t="s">
        <v>3214</v>
      </c>
      <c r="H364" s="428"/>
      <c r="I364" s="428"/>
      <c r="J364" s="428"/>
      <c r="K364" s="432"/>
      <c r="L364" s="432"/>
      <c r="M364" s="432"/>
      <c r="N364" s="432"/>
      <c r="O364" s="432"/>
      <c r="P364" s="432"/>
      <c r="Q364" s="432"/>
      <c r="R364" s="432"/>
      <c r="S364" s="432"/>
      <c r="T364" s="432"/>
      <c r="U364" s="432"/>
      <c r="V364" s="432"/>
      <c r="W364" s="432"/>
      <c r="X364" s="54"/>
      <c r="Y364" s="54"/>
      <c r="Z364" s="54"/>
      <c r="AA364" s="54"/>
      <c r="AB364" s="54"/>
      <c r="AC364" s="54"/>
    </row>
    <row r="365" ht="78.0" customHeight="1">
      <c r="A365" s="453">
        <v>45617.0</v>
      </c>
      <c r="B365" s="414" t="s">
        <v>3215</v>
      </c>
      <c r="C365" s="414" t="s">
        <v>3216</v>
      </c>
      <c r="D365" s="414"/>
      <c r="E365" s="42"/>
      <c r="F365" s="414" t="s">
        <v>3217</v>
      </c>
      <c r="G365" s="42"/>
      <c r="H365" s="42"/>
      <c r="I365" s="42"/>
      <c r="J365" s="42"/>
      <c r="K365" s="44"/>
      <c r="L365" s="44"/>
      <c r="M365" s="44"/>
      <c r="N365" s="44"/>
      <c r="O365" s="44"/>
      <c r="P365" s="44"/>
      <c r="Q365" s="44"/>
      <c r="R365" s="44"/>
      <c r="S365" s="44"/>
      <c r="T365" s="44"/>
      <c r="U365" s="44"/>
      <c r="V365" s="44"/>
      <c r="W365" s="44"/>
      <c r="X365" s="28"/>
      <c r="Y365" s="28"/>
      <c r="Z365" s="28"/>
      <c r="AA365" s="28"/>
      <c r="AB365" s="28"/>
      <c r="AC365" s="28"/>
    </row>
    <row r="366" ht="78.0" customHeight="1">
      <c r="A366" s="448">
        <v>45617.0</v>
      </c>
      <c r="B366" s="427" t="s">
        <v>3221</v>
      </c>
      <c r="C366" s="427" t="s">
        <v>3223</v>
      </c>
      <c r="D366" s="427"/>
      <c r="E366" s="428"/>
      <c r="F366" s="427" t="s">
        <v>3224</v>
      </c>
      <c r="G366" s="428" t="s">
        <v>3225</v>
      </c>
      <c r="H366" s="428"/>
      <c r="I366" s="428"/>
      <c r="J366" s="428"/>
      <c r="K366" s="432"/>
      <c r="L366" s="432"/>
      <c r="M366" s="432"/>
      <c r="N366" s="432"/>
      <c r="O366" s="432"/>
      <c r="P366" s="432"/>
      <c r="Q366" s="432"/>
      <c r="R366" s="432"/>
      <c r="S366" s="432"/>
      <c r="T366" s="432"/>
      <c r="U366" s="432"/>
      <c r="V366" s="432"/>
      <c r="W366" s="432"/>
      <c r="X366" s="54"/>
      <c r="Y366" s="54"/>
      <c r="Z366" s="54"/>
      <c r="AA366" s="54"/>
      <c r="AB366" s="54"/>
      <c r="AC366" s="54"/>
    </row>
    <row r="367" ht="78.0" customHeight="1">
      <c r="A367" s="453">
        <v>45616.0</v>
      </c>
      <c r="B367" s="414" t="s">
        <v>3229</v>
      </c>
      <c r="C367" s="414" t="s">
        <v>3231</v>
      </c>
      <c r="D367" s="414"/>
      <c r="E367" s="42"/>
      <c r="F367" s="414" t="s">
        <v>3233</v>
      </c>
      <c r="G367" s="42"/>
      <c r="H367" s="42"/>
      <c r="I367" s="42"/>
      <c r="J367" s="42"/>
      <c r="K367" s="44"/>
      <c r="L367" s="44"/>
      <c r="M367" s="44"/>
      <c r="N367" s="44"/>
      <c r="O367" s="44"/>
      <c r="P367" s="44"/>
      <c r="Q367" s="44"/>
      <c r="R367" s="44"/>
      <c r="S367" s="44"/>
      <c r="T367" s="44"/>
      <c r="U367" s="44"/>
      <c r="V367" s="44"/>
      <c r="W367" s="44"/>
      <c r="X367" s="28"/>
      <c r="Y367" s="28"/>
      <c r="Z367" s="28"/>
      <c r="AA367" s="28"/>
      <c r="AB367" s="28"/>
      <c r="AC367" s="28"/>
    </row>
    <row r="368" ht="78.0" customHeight="1">
      <c r="A368" s="448">
        <v>45616.0</v>
      </c>
      <c r="B368" s="427" t="s">
        <v>3237</v>
      </c>
      <c r="C368" s="427" t="s">
        <v>3238</v>
      </c>
      <c r="D368" s="427"/>
      <c r="E368" s="428"/>
      <c r="F368" s="427" t="s">
        <v>3240</v>
      </c>
      <c r="G368" s="427" t="s">
        <v>3241</v>
      </c>
      <c r="H368" s="428"/>
      <c r="I368" s="428"/>
      <c r="J368" s="428"/>
      <c r="K368" s="432"/>
      <c r="L368" s="432"/>
      <c r="M368" s="432"/>
      <c r="N368" s="432"/>
      <c r="O368" s="432"/>
      <c r="P368" s="432"/>
      <c r="Q368" s="432"/>
      <c r="R368" s="432"/>
      <c r="S368" s="432"/>
      <c r="T368" s="432"/>
      <c r="U368" s="432"/>
      <c r="V368" s="432"/>
      <c r="W368" s="432"/>
      <c r="X368" s="54"/>
      <c r="Y368" s="54"/>
      <c r="Z368" s="54"/>
      <c r="AA368" s="54"/>
      <c r="AB368" s="54"/>
      <c r="AC368" s="54"/>
    </row>
    <row r="369" ht="226.5" customHeight="1">
      <c r="A369" s="453">
        <v>45616.0</v>
      </c>
      <c r="B369" s="414" t="s">
        <v>3243</v>
      </c>
      <c r="C369" s="414" t="s">
        <v>3244</v>
      </c>
      <c r="D369" s="414"/>
      <c r="E369" s="42"/>
      <c r="F369" s="42"/>
      <c r="G369" s="42"/>
      <c r="H369" s="42"/>
      <c r="I369" s="42"/>
      <c r="J369" s="42"/>
      <c r="K369" s="44"/>
      <c r="L369" s="44"/>
      <c r="M369" s="44"/>
      <c r="N369" s="44"/>
      <c r="O369" s="44"/>
      <c r="P369" s="44"/>
      <c r="Q369" s="44"/>
      <c r="R369" s="44"/>
      <c r="S369" s="44"/>
      <c r="T369" s="44"/>
      <c r="U369" s="44"/>
      <c r="V369" s="44"/>
      <c r="W369" s="44"/>
      <c r="X369" s="28"/>
      <c r="Y369" s="28"/>
      <c r="Z369" s="28"/>
      <c r="AA369" s="28"/>
      <c r="AB369" s="28"/>
      <c r="AC369" s="28"/>
    </row>
    <row r="370" ht="78.0" customHeight="1">
      <c r="A370" s="448">
        <v>45616.0</v>
      </c>
      <c r="B370" s="427" t="s">
        <v>3247</v>
      </c>
      <c r="C370" s="427" t="s">
        <v>3248</v>
      </c>
      <c r="D370" s="427"/>
      <c r="E370" s="428"/>
      <c r="F370" s="428"/>
      <c r="G370" s="428"/>
      <c r="H370" s="428"/>
      <c r="I370" s="428"/>
      <c r="J370" s="428"/>
      <c r="K370" s="432"/>
      <c r="L370" s="432"/>
      <c r="M370" s="432"/>
      <c r="N370" s="432"/>
      <c r="O370" s="432"/>
      <c r="P370" s="432"/>
      <c r="Q370" s="432"/>
      <c r="R370" s="432"/>
      <c r="S370" s="432"/>
      <c r="T370" s="432"/>
      <c r="U370" s="432"/>
      <c r="V370" s="432"/>
      <c r="W370" s="432"/>
      <c r="X370" s="54"/>
      <c r="Y370" s="54"/>
      <c r="Z370" s="54"/>
      <c r="AA370" s="54"/>
      <c r="AB370" s="54"/>
      <c r="AC370" s="54"/>
    </row>
    <row r="371" ht="78.0" customHeight="1">
      <c r="A371" s="453">
        <v>45616.0</v>
      </c>
      <c r="B371" s="414" t="s">
        <v>3252</v>
      </c>
      <c r="C371" s="414" t="s">
        <v>3253</v>
      </c>
      <c r="D371" s="414"/>
      <c r="E371" s="42"/>
      <c r="F371" s="414" t="s">
        <v>3254</v>
      </c>
      <c r="G371" s="42"/>
      <c r="H371" s="42"/>
      <c r="I371" s="42"/>
      <c r="J371" s="42"/>
      <c r="K371" s="44"/>
      <c r="L371" s="44"/>
      <c r="M371" s="44"/>
      <c r="N371" s="44"/>
      <c r="O371" s="44"/>
      <c r="P371" s="44"/>
      <c r="Q371" s="44"/>
      <c r="R371" s="44"/>
      <c r="S371" s="44"/>
      <c r="T371" s="44"/>
      <c r="U371" s="44"/>
      <c r="V371" s="44"/>
      <c r="W371" s="44"/>
      <c r="X371" s="28"/>
      <c r="Y371" s="28"/>
      <c r="Z371" s="28"/>
      <c r="AA371" s="28"/>
      <c r="AB371" s="28"/>
      <c r="AC371" s="28"/>
    </row>
    <row r="372" ht="78.0" customHeight="1">
      <c r="A372" s="448">
        <v>45616.0</v>
      </c>
      <c r="B372" s="427" t="s">
        <v>3255</v>
      </c>
      <c r="C372" s="427" t="s">
        <v>3256</v>
      </c>
      <c r="D372" s="427"/>
      <c r="E372" s="428"/>
      <c r="F372" s="428"/>
      <c r="G372" s="428"/>
      <c r="H372" s="428"/>
      <c r="I372" s="428"/>
      <c r="J372" s="428"/>
      <c r="K372" s="432"/>
      <c r="L372" s="432"/>
      <c r="M372" s="432"/>
      <c r="N372" s="432"/>
      <c r="O372" s="432"/>
      <c r="P372" s="432"/>
      <c r="Q372" s="432"/>
      <c r="R372" s="432"/>
      <c r="S372" s="432"/>
      <c r="T372" s="432"/>
      <c r="U372" s="432"/>
      <c r="V372" s="432"/>
      <c r="W372" s="432"/>
      <c r="X372" s="54"/>
      <c r="Y372" s="54"/>
      <c r="Z372" s="54"/>
      <c r="AA372" s="54"/>
      <c r="AB372" s="54"/>
      <c r="AC372" s="54"/>
    </row>
    <row r="373" ht="78.0" customHeight="1">
      <c r="A373" s="453">
        <v>45616.0</v>
      </c>
      <c r="B373" s="414" t="s">
        <v>3258</v>
      </c>
      <c r="C373" s="414" t="s">
        <v>3259</v>
      </c>
      <c r="D373" s="414"/>
      <c r="E373" s="42"/>
      <c r="F373" s="414" t="s">
        <v>3260</v>
      </c>
      <c r="G373" s="414" t="s">
        <v>3261</v>
      </c>
      <c r="H373" s="42"/>
      <c r="I373" s="42"/>
      <c r="J373" s="42"/>
      <c r="K373" s="44"/>
      <c r="L373" s="44"/>
      <c r="M373" s="44"/>
      <c r="N373" s="44"/>
      <c r="O373" s="44"/>
      <c r="P373" s="44"/>
      <c r="Q373" s="44"/>
      <c r="R373" s="44"/>
      <c r="S373" s="44"/>
      <c r="T373" s="44"/>
      <c r="U373" s="44"/>
      <c r="V373" s="44"/>
      <c r="W373" s="44"/>
      <c r="X373" s="28"/>
      <c r="Y373" s="28"/>
      <c r="Z373" s="28"/>
      <c r="AA373" s="28"/>
      <c r="AB373" s="28"/>
      <c r="AC373" s="28"/>
    </row>
    <row r="374" ht="78.0" customHeight="1">
      <c r="A374" s="448">
        <v>45616.0</v>
      </c>
      <c r="B374" s="427" t="s">
        <v>3262</v>
      </c>
      <c r="C374" s="427" t="s">
        <v>3263</v>
      </c>
      <c r="D374" s="427"/>
      <c r="E374" s="428"/>
      <c r="F374" s="428"/>
      <c r="G374" s="428"/>
      <c r="H374" s="428"/>
      <c r="I374" s="428"/>
      <c r="J374" s="428"/>
      <c r="K374" s="432"/>
      <c r="L374" s="432"/>
      <c r="M374" s="432"/>
      <c r="N374" s="432"/>
      <c r="O374" s="432"/>
      <c r="P374" s="432"/>
      <c r="Q374" s="432"/>
      <c r="R374" s="432"/>
      <c r="S374" s="432"/>
      <c r="T374" s="432"/>
      <c r="U374" s="432"/>
      <c r="V374" s="432"/>
      <c r="W374" s="432"/>
      <c r="X374" s="54"/>
      <c r="Y374" s="54"/>
      <c r="Z374" s="54"/>
      <c r="AA374" s="54"/>
      <c r="AB374" s="54"/>
      <c r="AC374" s="54"/>
    </row>
    <row r="375" ht="78.0" customHeight="1">
      <c r="A375" s="453">
        <v>45615.0</v>
      </c>
      <c r="B375" s="414" t="s">
        <v>3265</v>
      </c>
      <c r="C375" s="414" t="s">
        <v>3267</v>
      </c>
      <c r="D375" s="414"/>
      <c r="E375" s="42"/>
      <c r="F375" s="414" t="s">
        <v>3268</v>
      </c>
      <c r="G375" s="414" t="s">
        <v>3270</v>
      </c>
      <c r="H375" s="42"/>
      <c r="I375" s="42"/>
      <c r="J375" s="42"/>
      <c r="K375" s="44"/>
      <c r="L375" s="44"/>
      <c r="M375" s="44"/>
      <c r="N375" s="44"/>
      <c r="O375" s="44"/>
      <c r="P375" s="44"/>
      <c r="Q375" s="44"/>
      <c r="R375" s="44"/>
      <c r="S375" s="44"/>
      <c r="T375" s="44"/>
      <c r="U375" s="44"/>
      <c r="V375" s="44"/>
      <c r="W375" s="44"/>
      <c r="X375" s="28"/>
      <c r="Y375" s="28"/>
      <c r="Z375" s="28"/>
      <c r="AA375" s="28"/>
      <c r="AB375" s="28"/>
      <c r="AC375" s="28"/>
    </row>
    <row r="376" ht="78.0" customHeight="1">
      <c r="A376" s="448">
        <v>45615.0</v>
      </c>
      <c r="B376" s="427" t="s">
        <v>3274</v>
      </c>
      <c r="C376" s="428"/>
      <c r="D376" s="427"/>
      <c r="E376" s="428"/>
      <c r="F376" s="428"/>
      <c r="G376" s="428"/>
      <c r="H376" s="428"/>
      <c r="I376" s="428"/>
      <c r="J376" s="428"/>
      <c r="K376" s="432"/>
      <c r="L376" s="432"/>
      <c r="M376" s="432"/>
      <c r="N376" s="432"/>
      <c r="O376" s="432"/>
      <c r="P376" s="432"/>
      <c r="Q376" s="432"/>
      <c r="R376" s="432"/>
      <c r="S376" s="432"/>
      <c r="T376" s="432"/>
      <c r="U376" s="432"/>
      <c r="V376" s="432"/>
      <c r="W376" s="432"/>
      <c r="X376" s="54"/>
      <c r="Y376" s="54"/>
      <c r="Z376" s="54"/>
      <c r="AA376" s="54"/>
      <c r="AB376" s="54"/>
      <c r="AC376" s="54"/>
    </row>
    <row r="377" ht="78.0" customHeight="1">
      <c r="A377" s="453">
        <v>45615.0</v>
      </c>
      <c r="B377" s="414" t="s">
        <v>3277</v>
      </c>
      <c r="C377" s="414" t="s">
        <v>3278</v>
      </c>
      <c r="D377" s="414"/>
      <c r="E377" s="42"/>
      <c r="F377" s="42" t="s">
        <v>3279</v>
      </c>
      <c r="G377" s="633" t="s">
        <v>3280</v>
      </c>
      <c r="H377" s="414" t="s">
        <v>3282</v>
      </c>
      <c r="I377" s="414" t="s">
        <v>3283</v>
      </c>
      <c r="J377" s="414" t="s">
        <v>3284</v>
      </c>
      <c r="K377" s="44"/>
      <c r="L377" s="44"/>
      <c r="M377" s="44"/>
      <c r="N377" s="44"/>
      <c r="O377" s="44"/>
      <c r="P377" s="44"/>
      <c r="Q377" s="44"/>
      <c r="R377" s="44"/>
      <c r="S377" s="44"/>
      <c r="T377" s="44"/>
      <c r="U377" s="44"/>
      <c r="V377" s="44"/>
      <c r="W377" s="44"/>
      <c r="X377" s="28"/>
      <c r="Y377" s="28"/>
      <c r="Z377" s="28"/>
      <c r="AA377" s="28"/>
      <c r="AB377" s="28"/>
      <c r="AC377" s="28"/>
    </row>
    <row r="378" ht="78.0" customHeight="1">
      <c r="A378" s="448">
        <v>45615.0</v>
      </c>
      <c r="B378" s="427" t="s">
        <v>3286</v>
      </c>
      <c r="C378" s="428"/>
      <c r="D378" s="427"/>
      <c r="E378" s="428"/>
      <c r="F378" s="428"/>
      <c r="G378" s="428"/>
      <c r="H378" s="428"/>
      <c r="I378" s="428"/>
      <c r="J378" s="428"/>
      <c r="K378" s="432"/>
      <c r="L378" s="432"/>
      <c r="M378" s="432"/>
      <c r="N378" s="432"/>
      <c r="O378" s="432"/>
      <c r="P378" s="432"/>
      <c r="Q378" s="432"/>
      <c r="R378" s="432"/>
      <c r="S378" s="432"/>
      <c r="T378" s="432"/>
      <c r="U378" s="432"/>
      <c r="V378" s="432"/>
      <c r="W378" s="432"/>
      <c r="X378" s="54"/>
      <c r="Y378" s="54"/>
      <c r="Z378" s="54"/>
      <c r="AA378" s="54"/>
      <c r="AB378" s="54"/>
      <c r="AC378" s="54"/>
    </row>
    <row r="379" ht="78.0" customHeight="1">
      <c r="A379" s="453">
        <v>45614.0</v>
      </c>
      <c r="B379" s="414" t="s">
        <v>3288</v>
      </c>
      <c r="C379" s="414" t="s">
        <v>3289</v>
      </c>
      <c r="D379" s="414"/>
      <c r="E379" s="42"/>
      <c r="F379" s="414" t="s">
        <v>3290</v>
      </c>
      <c r="G379" s="633" t="s">
        <v>3292</v>
      </c>
      <c r="H379" s="42"/>
      <c r="I379" s="42"/>
      <c r="J379" s="42"/>
      <c r="K379" s="44"/>
      <c r="L379" s="44"/>
      <c r="M379" s="44"/>
      <c r="N379" s="44"/>
      <c r="O379" s="44"/>
      <c r="P379" s="44"/>
      <c r="Q379" s="44"/>
      <c r="R379" s="44"/>
      <c r="S379" s="44"/>
      <c r="T379" s="44"/>
      <c r="U379" s="44"/>
      <c r="V379" s="44"/>
      <c r="W379" s="44"/>
      <c r="X379" s="28"/>
      <c r="Y379" s="28"/>
      <c r="Z379" s="28"/>
      <c r="AA379" s="28"/>
      <c r="AB379" s="28"/>
      <c r="AC379" s="28"/>
    </row>
    <row r="380" ht="78.0" customHeight="1">
      <c r="A380" s="448">
        <v>45614.0</v>
      </c>
      <c r="B380" s="427" t="s">
        <v>3295</v>
      </c>
      <c r="C380" s="427" t="s">
        <v>3297</v>
      </c>
      <c r="D380" s="427"/>
      <c r="E380" s="428"/>
      <c r="F380" s="427" t="s">
        <v>3299</v>
      </c>
      <c r="G380" s="428"/>
      <c r="H380" s="428"/>
      <c r="I380" s="428"/>
      <c r="J380" s="428"/>
      <c r="K380" s="432"/>
      <c r="L380" s="432"/>
      <c r="M380" s="432"/>
      <c r="N380" s="432"/>
      <c r="O380" s="432"/>
      <c r="P380" s="432"/>
      <c r="Q380" s="432"/>
      <c r="R380" s="432"/>
      <c r="S380" s="432"/>
      <c r="T380" s="432"/>
      <c r="U380" s="432"/>
      <c r="V380" s="432"/>
      <c r="W380" s="432"/>
      <c r="X380" s="54"/>
      <c r="Y380" s="54"/>
      <c r="Z380" s="54"/>
      <c r="AA380" s="54"/>
      <c r="AB380" s="54"/>
      <c r="AC380" s="54"/>
    </row>
    <row r="381" ht="78.0" customHeight="1">
      <c r="A381" s="453">
        <v>45614.0</v>
      </c>
      <c r="B381" s="414" t="s">
        <v>3300</v>
      </c>
      <c r="C381" s="42" t="s">
        <v>3301</v>
      </c>
      <c r="D381" s="414"/>
      <c r="E381" s="42"/>
      <c r="F381" s="42"/>
      <c r="G381" s="42"/>
      <c r="H381" s="42"/>
      <c r="I381" s="42"/>
      <c r="J381" s="42"/>
      <c r="K381" s="44"/>
      <c r="L381" s="44"/>
      <c r="M381" s="44"/>
      <c r="N381" s="44"/>
      <c r="O381" s="44"/>
      <c r="P381" s="44"/>
      <c r="Q381" s="44"/>
      <c r="R381" s="44"/>
      <c r="S381" s="44"/>
      <c r="T381" s="44"/>
      <c r="U381" s="44"/>
      <c r="V381" s="44"/>
      <c r="W381" s="44"/>
      <c r="X381" s="28"/>
      <c r="Y381" s="28"/>
      <c r="Z381" s="28"/>
      <c r="AA381" s="28"/>
      <c r="AB381" s="28"/>
      <c r="AC381" s="28"/>
    </row>
    <row r="382" ht="78.0" customHeight="1">
      <c r="A382" s="448">
        <v>45614.0</v>
      </c>
      <c r="B382" s="427" t="s">
        <v>3303</v>
      </c>
      <c r="C382" s="427" t="s">
        <v>3304</v>
      </c>
      <c r="D382" s="427"/>
      <c r="E382" s="428"/>
      <c r="F382" s="427" t="s">
        <v>3305</v>
      </c>
      <c r="G382" s="428" t="s">
        <v>3306</v>
      </c>
      <c r="H382" s="428"/>
      <c r="I382" s="428"/>
      <c r="J382" s="428"/>
      <c r="K382" s="432"/>
      <c r="L382" s="432"/>
      <c r="M382" s="432"/>
      <c r="N382" s="432"/>
      <c r="O382" s="432"/>
      <c r="P382" s="432"/>
      <c r="Q382" s="432"/>
      <c r="R382" s="432"/>
      <c r="S382" s="432"/>
      <c r="T382" s="432"/>
      <c r="U382" s="432"/>
      <c r="V382" s="432"/>
      <c r="W382" s="432"/>
      <c r="X382" s="54"/>
      <c r="Y382" s="54"/>
      <c r="Z382" s="54"/>
      <c r="AA382" s="54"/>
      <c r="AB382" s="54"/>
      <c r="AC382" s="54"/>
    </row>
    <row r="383" ht="78.0" customHeight="1">
      <c r="A383" s="453">
        <v>45614.0</v>
      </c>
      <c r="B383" s="414" t="s">
        <v>3307</v>
      </c>
      <c r="C383" s="42"/>
      <c r="D383" s="414"/>
      <c r="E383" s="42"/>
      <c r="F383" s="42"/>
      <c r="G383" s="42"/>
      <c r="H383" s="42"/>
      <c r="I383" s="42"/>
      <c r="J383" s="42"/>
      <c r="K383" s="44"/>
      <c r="L383" s="44"/>
      <c r="M383" s="44"/>
      <c r="N383" s="44"/>
      <c r="O383" s="44"/>
      <c r="P383" s="44"/>
      <c r="Q383" s="44"/>
      <c r="R383" s="44"/>
      <c r="S383" s="44"/>
      <c r="T383" s="44"/>
      <c r="U383" s="44"/>
      <c r="V383" s="44"/>
      <c r="W383" s="44"/>
      <c r="X383" s="28"/>
      <c r="Y383" s="28"/>
      <c r="Z383" s="28"/>
      <c r="AA383" s="28"/>
      <c r="AB383" s="28"/>
      <c r="AC383" s="28"/>
    </row>
    <row r="384" ht="78.0" customHeight="1">
      <c r="A384" s="448">
        <v>45614.0</v>
      </c>
      <c r="B384" s="427" t="s">
        <v>3309</v>
      </c>
      <c r="C384" s="427" t="s">
        <v>3310</v>
      </c>
      <c r="D384" s="427"/>
      <c r="E384" s="428"/>
      <c r="F384" s="428"/>
      <c r="G384" s="428"/>
      <c r="H384" s="428"/>
      <c r="I384" s="428"/>
      <c r="J384" s="428"/>
      <c r="K384" s="432"/>
      <c r="L384" s="432"/>
      <c r="M384" s="432"/>
      <c r="N384" s="432"/>
      <c r="O384" s="432"/>
      <c r="P384" s="432"/>
      <c r="Q384" s="432"/>
      <c r="R384" s="432"/>
      <c r="S384" s="432"/>
      <c r="T384" s="432"/>
      <c r="U384" s="432"/>
      <c r="V384" s="432"/>
      <c r="W384" s="432"/>
      <c r="X384" s="54"/>
      <c r="Y384" s="54"/>
      <c r="Z384" s="54"/>
      <c r="AA384" s="54"/>
      <c r="AB384" s="54"/>
      <c r="AC384" s="54"/>
    </row>
    <row r="385" ht="78.0" customHeight="1">
      <c r="A385" s="453">
        <v>45614.0</v>
      </c>
      <c r="B385" s="414" t="s">
        <v>3312</v>
      </c>
      <c r="C385" s="414" t="s">
        <v>1833</v>
      </c>
      <c r="D385" s="414"/>
      <c r="E385" s="42"/>
      <c r="F385" s="414" t="s">
        <v>3313</v>
      </c>
      <c r="G385" s="42"/>
      <c r="H385" s="42"/>
      <c r="I385" s="42"/>
      <c r="J385" s="42"/>
      <c r="K385" s="44"/>
      <c r="L385" s="44"/>
      <c r="M385" s="44"/>
      <c r="N385" s="44"/>
      <c r="O385" s="44"/>
      <c r="P385" s="44"/>
      <c r="Q385" s="44"/>
      <c r="R385" s="44"/>
      <c r="S385" s="44"/>
      <c r="T385" s="44"/>
      <c r="U385" s="44"/>
      <c r="V385" s="44"/>
      <c r="W385" s="44"/>
      <c r="X385" s="28"/>
      <c r="Y385" s="28"/>
      <c r="Z385" s="28"/>
      <c r="AA385" s="28"/>
      <c r="AB385" s="28"/>
      <c r="AC385" s="28"/>
    </row>
    <row r="386" ht="78.0" customHeight="1">
      <c r="A386" s="448">
        <v>45614.0</v>
      </c>
      <c r="B386" s="427" t="s">
        <v>3318</v>
      </c>
      <c r="C386" s="427" t="s">
        <v>3319</v>
      </c>
      <c r="D386" s="427"/>
      <c r="E386" s="428"/>
      <c r="F386" s="428"/>
      <c r="G386" s="428"/>
      <c r="H386" s="428"/>
      <c r="I386" s="428"/>
      <c r="J386" s="428"/>
      <c r="K386" s="432"/>
      <c r="L386" s="432"/>
      <c r="M386" s="432"/>
      <c r="N386" s="432"/>
      <c r="O386" s="432"/>
      <c r="P386" s="432"/>
      <c r="Q386" s="432"/>
      <c r="R386" s="432"/>
      <c r="S386" s="432"/>
      <c r="T386" s="432"/>
      <c r="U386" s="432"/>
      <c r="V386" s="432"/>
      <c r="W386" s="432"/>
      <c r="X386" s="54"/>
      <c r="Y386" s="54"/>
      <c r="Z386" s="54"/>
      <c r="AA386" s="54"/>
      <c r="AB386" s="54"/>
      <c r="AC386" s="54"/>
    </row>
    <row r="387" ht="78.0" customHeight="1">
      <c r="A387" s="453">
        <v>45614.0</v>
      </c>
      <c r="B387" s="414" t="s">
        <v>3322</v>
      </c>
      <c r="C387" s="414" t="s">
        <v>3324</v>
      </c>
      <c r="D387" s="414"/>
      <c r="E387" s="42"/>
      <c r="F387" s="414" t="s">
        <v>3326</v>
      </c>
      <c r="G387" s="42"/>
      <c r="H387" s="42"/>
      <c r="I387" s="42"/>
      <c r="J387" s="42"/>
      <c r="K387" s="44"/>
      <c r="L387" s="44"/>
      <c r="M387" s="44"/>
      <c r="N387" s="44"/>
      <c r="O387" s="44"/>
      <c r="P387" s="44"/>
      <c r="Q387" s="44"/>
      <c r="R387" s="44"/>
      <c r="S387" s="44"/>
      <c r="T387" s="44"/>
      <c r="U387" s="44"/>
      <c r="V387" s="44"/>
      <c r="W387" s="44"/>
      <c r="X387" s="28"/>
      <c r="Y387" s="28"/>
      <c r="Z387" s="28"/>
      <c r="AA387" s="28"/>
      <c r="AB387" s="28"/>
      <c r="AC387" s="28"/>
    </row>
    <row r="388" ht="78.0" customHeight="1">
      <c r="A388" s="448">
        <v>45614.0</v>
      </c>
      <c r="B388" s="427" t="s">
        <v>3329</v>
      </c>
      <c r="C388" s="427" t="s">
        <v>3331</v>
      </c>
      <c r="D388" s="427"/>
      <c r="E388" s="428"/>
      <c r="F388" s="428"/>
      <c r="G388" s="428"/>
      <c r="H388" s="428"/>
      <c r="I388" s="428"/>
      <c r="J388" s="428"/>
      <c r="K388" s="432"/>
      <c r="L388" s="432"/>
      <c r="M388" s="432"/>
      <c r="N388" s="432"/>
      <c r="O388" s="432"/>
      <c r="P388" s="432"/>
      <c r="Q388" s="432"/>
      <c r="R388" s="432"/>
      <c r="S388" s="432"/>
      <c r="T388" s="432"/>
      <c r="U388" s="432"/>
      <c r="V388" s="432"/>
      <c r="W388" s="432"/>
      <c r="X388" s="54"/>
      <c r="Y388" s="54"/>
      <c r="Z388" s="54"/>
      <c r="AA388" s="54"/>
      <c r="AB388" s="54"/>
      <c r="AC388" s="54"/>
    </row>
    <row r="389" ht="78.0" customHeight="1">
      <c r="A389" s="453">
        <v>45614.0</v>
      </c>
      <c r="B389" s="414" t="s">
        <v>3333</v>
      </c>
      <c r="C389" s="414" t="s">
        <v>3334</v>
      </c>
      <c r="D389" s="414"/>
      <c r="E389" s="42"/>
      <c r="F389" s="414" t="s">
        <v>3335</v>
      </c>
      <c r="G389" s="42"/>
      <c r="H389" s="42"/>
      <c r="I389" s="42"/>
      <c r="J389" s="42"/>
      <c r="K389" s="44"/>
      <c r="L389" s="44"/>
      <c r="M389" s="44"/>
      <c r="N389" s="44"/>
      <c r="O389" s="44"/>
      <c r="P389" s="44"/>
      <c r="Q389" s="44"/>
      <c r="R389" s="44"/>
      <c r="S389" s="44"/>
      <c r="T389" s="44"/>
      <c r="U389" s="44"/>
      <c r="V389" s="44"/>
      <c r="W389" s="44"/>
      <c r="X389" s="28"/>
      <c r="Y389" s="28"/>
      <c r="Z389" s="28"/>
      <c r="AA389" s="28"/>
      <c r="AB389" s="28"/>
      <c r="AC389" s="28"/>
    </row>
    <row r="390" ht="78.0" customHeight="1">
      <c r="A390" s="448">
        <v>45614.0</v>
      </c>
      <c r="B390" s="427" t="s">
        <v>3337</v>
      </c>
      <c r="C390" s="428"/>
      <c r="D390" s="427"/>
      <c r="E390" s="428"/>
      <c r="F390" s="428"/>
      <c r="G390" s="428"/>
      <c r="H390" s="428"/>
      <c r="I390" s="428"/>
      <c r="J390" s="428"/>
      <c r="K390" s="432"/>
      <c r="L390" s="432"/>
      <c r="M390" s="432"/>
      <c r="N390" s="432"/>
      <c r="O390" s="432"/>
      <c r="P390" s="432"/>
      <c r="Q390" s="432"/>
      <c r="R390" s="432"/>
      <c r="S390" s="432"/>
      <c r="T390" s="432"/>
      <c r="U390" s="432"/>
      <c r="V390" s="432"/>
      <c r="W390" s="432"/>
      <c r="X390" s="54"/>
      <c r="Y390" s="54"/>
      <c r="Z390" s="54"/>
      <c r="AA390" s="54"/>
      <c r="AB390" s="54"/>
      <c r="AC390" s="54"/>
    </row>
    <row r="391" ht="78.0" customHeight="1">
      <c r="A391" s="448">
        <v>45614.0</v>
      </c>
      <c r="B391" s="427" t="s">
        <v>3339</v>
      </c>
      <c r="C391" s="427" t="s">
        <v>3340</v>
      </c>
      <c r="D391" s="427"/>
      <c r="E391" s="428"/>
      <c r="F391" s="427" t="s">
        <v>3341</v>
      </c>
      <c r="G391" s="428"/>
      <c r="H391" s="428"/>
      <c r="I391" s="428"/>
      <c r="J391" s="428"/>
      <c r="K391" s="432"/>
      <c r="L391" s="432"/>
      <c r="M391" s="432"/>
      <c r="N391" s="432"/>
      <c r="O391" s="432"/>
      <c r="P391" s="432"/>
      <c r="Q391" s="432"/>
      <c r="R391" s="432"/>
      <c r="S391" s="432"/>
      <c r="T391" s="432"/>
      <c r="U391" s="432"/>
      <c r="V391" s="432"/>
      <c r="W391" s="432"/>
      <c r="X391" s="54"/>
      <c r="Y391" s="54"/>
      <c r="Z391" s="54"/>
      <c r="AA391" s="54"/>
      <c r="AB391" s="54"/>
      <c r="AC391" s="54"/>
    </row>
    <row r="392" ht="78.0" customHeight="1">
      <c r="A392" s="453">
        <v>45613.0</v>
      </c>
      <c r="B392" s="414" t="s">
        <v>3342</v>
      </c>
      <c r="C392" s="414" t="s">
        <v>3343</v>
      </c>
      <c r="D392" s="414"/>
      <c r="E392" s="42"/>
      <c r="F392" s="42"/>
      <c r="G392" s="42"/>
      <c r="H392" s="42"/>
      <c r="I392" s="42"/>
      <c r="J392" s="42"/>
      <c r="K392" s="44"/>
      <c r="L392" s="44"/>
      <c r="M392" s="44"/>
      <c r="N392" s="44"/>
      <c r="O392" s="44"/>
      <c r="P392" s="44"/>
      <c r="Q392" s="44"/>
      <c r="R392" s="44"/>
      <c r="S392" s="44"/>
      <c r="T392" s="44"/>
      <c r="U392" s="44"/>
      <c r="V392" s="44"/>
      <c r="W392" s="44"/>
      <c r="X392" s="28"/>
      <c r="Y392" s="28"/>
      <c r="Z392" s="28"/>
      <c r="AA392" s="28"/>
      <c r="AB392" s="28"/>
      <c r="AC392" s="28"/>
    </row>
    <row r="393" ht="78.0" customHeight="1">
      <c r="A393" s="453">
        <v>45613.0</v>
      </c>
      <c r="B393" s="414" t="s">
        <v>3345</v>
      </c>
      <c r="C393" s="414" t="s">
        <v>3346</v>
      </c>
      <c r="D393" s="414"/>
      <c r="E393" s="42"/>
      <c r="F393" s="414" t="s">
        <v>3347</v>
      </c>
      <c r="G393" s="42"/>
      <c r="H393" s="42"/>
      <c r="I393" s="42"/>
      <c r="J393" s="42"/>
      <c r="K393" s="44"/>
      <c r="L393" s="44"/>
      <c r="M393" s="44"/>
      <c r="N393" s="44"/>
      <c r="O393" s="44"/>
      <c r="P393" s="44"/>
      <c r="Q393" s="44"/>
      <c r="R393" s="44"/>
      <c r="S393" s="44"/>
      <c r="T393" s="44"/>
      <c r="U393" s="44"/>
      <c r="V393" s="44"/>
      <c r="W393" s="44"/>
      <c r="X393" s="28"/>
      <c r="Y393" s="28"/>
      <c r="Z393" s="28"/>
      <c r="AA393" s="28"/>
      <c r="AB393" s="28"/>
      <c r="AC393" s="28"/>
    </row>
    <row r="394" ht="78.0" customHeight="1">
      <c r="A394" s="448">
        <v>45613.0</v>
      </c>
      <c r="B394" s="427" t="s">
        <v>3349</v>
      </c>
      <c r="C394" s="427" t="s">
        <v>3350</v>
      </c>
      <c r="D394" s="427"/>
      <c r="E394" s="428"/>
      <c r="F394" s="634" t="s">
        <v>3351</v>
      </c>
      <c r="G394" s="428"/>
      <c r="H394" s="428"/>
      <c r="I394" s="428"/>
      <c r="J394" s="428"/>
      <c r="K394" s="432"/>
      <c r="L394" s="432"/>
      <c r="M394" s="432"/>
      <c r="N394" s="432"/>
      <c r="O394" s="432"/>
      <c r="P394" s="432"/>
      <c r="Q394" s="432"/>
      <c r="R394" s="432"/>
      <c r="S394" s="432"/>
      <c r="T394" s="432"/>
      <c r="U394" s="432"/>
      <c r="V394" s="432"/>
      <c r="W394" s="432"/>
      <c r="X394" s="54"/>
      <c r="Y394" s="54"/>
      <c r="Z394" s="54"/>
      <c r="AA394" s="54"/>
      <c r="AB394" s="54"/>
      <c r="AC394" s="54"/>
    </row>
    <row r="395" ht="78.0" customHeight="1">
      <c r="A395" s="453">
        <v>45613.0</v>
      </c>
      <c r="B395" s="414" t="s">
        <v>3353</v>
      </c>
      <c r="C395" s="414" t="s">
        <v>3354</v>
      </c>
      <c r="D395" s="414"/>
      <c r="E395" s="42"/>
      <c r="F395" s="414" t="s">
        <v>3355</v>
      </c>
      <c r="G395" s="42"/>
      <c r="H395" s="42"/>
      <c r="I395" s="42"/>
      <c r="J395" s="42"/>
      <c r="K395" s="44"/>
      <c r="L395" s="44"/>
      <c r="M395" s="44"/>
      <c r="N395" s="44"/>
      <c r="O395" s="44"/>
      <c r="P395" s="44"/>
      <c r="Q395" s="44"/>
      <c r="R395" s="44"/>
      <c r="S395" s="44"/>
      <c r="T395" s="44"/>
      <c r="U395" s="44"/>
      <c r="V395" s="44"/>
      <c r="W395" s="44"/>
      <c r="X395" s="28"/>
      <c r="Y395" s="28"/>
      <c r="Z395" s="28"/>
      <c r="AA395" s="28"/>
      <c r="AB395" s="28"/>
      <c r="AC395" s="28"/>
    </row>
    <row r="396" ht="78.0" customHeight="1">
      <c r="A396" s="448">
        <v>45613.0</v>
      </c>
      <c r="B396" s="427" t="s">
        <v>3356</v>
      </c>
      <c r="C396" s="427" t="s">
        <v>3357</v>
      </c>
      <c r="D396" s="427"/>
      <c r="E396" s="428"/>
      <c r="F396" s="634" t="s">
        <v>3358</v>
      </c>
      <c r="G396" s="428"/>
      <c r="H396" s="428"/>
      <c r="I396" s="428"/>
      <c r="J396" s="428"/>
      <c r="K396" s="432"/>
      <c r="L396" s="432"/>
      <c r="M396" s="432"/>
      <c r="N396" s="432"/>
      <c r="O396" s="432"/>
      <c r="P396" s="432"/>
      <c r="Q396" s="432"/>
      <c r="R396" s="432"/>
      <c r="S396" s="432"/>
      <c r="T396" s="432"/>
      <c r="U396" s="432"/>
      <c r="V396" s="432"/>
      <c r="W396" s="432"/>
      <c r="X396" s="54"/>
      <c r="Y396" s="54"/>
      <c r="Z396" s="54"/>
      <c r="AA396" s="54"/>
      <c r="AB396" s="54"/>
      <c r="AC396" s="54"/>
    </row>
    <row r="397" ht="78.0" customHeight="1">
      <c r="A397" s="453">
        <v>45612.0</v>
      </c>
      <c r="B397" s="414" t="s">
        <v>3359</v>
      </c>
      <c r="C397" s="414" t="s">
        <v>3360</v>
      </c>
      <c r="D397" s="414"/>
      <c r="E397" s="42"/>
      <c r="F397" s="42"/>
      <c r="G397" s="42"/>
      <c r="H397" s="42"/>
      <c r="I397" s="42"/>
      <c r="J397" s="42"/>
      <c r="K397" s="44"/>
      <c r="L397" s="44"/>
      <c r="M397" s="44"/>
      <c r="N397" s="44"/>
      <c r="O397" s="44"/>
      <c r="P397" s="44"/>
      <c r="Q397" s="44"/>
      <c r="R397" s="44"/>
      <c r="S397" s="44"/>
      <c r="T397" s="44"/>
      <c r="U397" s="44"/>
      <c r="V397" s="44"/>
      <c r="W397" s="44"/>
      <c r="X397" s="28"/>
      <c r="Y397" s="28"/>
      <c r="Z397" s="28"/>
      <c r="AA397" s="28"/>
      <c r="AB397" s="28"/>
      <c r="AC397" s="28"/>
    </row>
    <row r="398" ht="78.0" customHeight="1">
      <c r="A398" s="448">
        <v>45611.0</v>
      </c>
      <c r="B398" s="427" t="s">
        <v>3364</v>
      </c>
      <c r="C398" s="427" t="s">
        <v>3365</v>
      </c>
      <c r="D398" s="427"/>
      <c r="E398" s="428"/>
      <c r="F398" s="428"/>
      <c r="G398" s="428"/>
      <c r="H398" s="428"/>
      <c r="I398" s="428"/>
      <c r="J398" s="428"/>
      <c r="K398" s="432"/>
      <c r="L398" s="432"/>
      <c r="M398" s="432"/>
      <c r="N398" s="432"/>
      <c r="O398" s="432"/>
      <c r="P398" s="432"/>
      <c r="Q398" s="432"/>
      <c r="R398" s="432"/>
      <c r="S398" s="432"/>
      <c r="T398" s="432"/>
      <c r="U398" s="432"/>
      <c r="V398" s="432"/>
      <c r="W398" s="432"/>
      <c r="X398" s="54"/>
      <c r="Y398" s="54"/>
      <c r="Z398" s="54"/>
      <c r="AA398" s="54"/>
      <c r="AB398" s="54"/>
      <c r="AC398" s="54"/>
    </row>
    <row r="399" ht="78.0" customHeight="1">
      <c r="A399" s="453">
        <v>45611.0</v>
      </c>
      <c r="B399" s="414" t="s">
        <v>3367</v>
      </c>
      <c r="C399" s="42"/>
      <c r="D399" s="414"/>
      <c r="E399" s="42"/>
      <c r="F399" s="42"/>
      <c r="G399" s="42"/>
      <c r="H399" s="42"/>
      <c r="I399" s="42"/>
      <c r="J399" s="42"/>
      <c r="K399" s="44"/>
      <c r="L399" s="44"/>
      <c r="M399" s="44"/>
      <c r="N399" s="44"/>
      <c r="O399" s="44"/>
      <c r="P399" s="44"/>
      <c r="Q399" s="44"/>
      <c r="R399" s="44"/>
      <c r="S399" s="44"/>
      <c r="T399" s="44"/>
      <c r="U399" s="44"/>
      <c r="V399" s="44"/>
      <c r="W399" s="44"/>
      <c r="X399" s="28"/>
      <c r="Y399" s="28"/>
      <c r="Z399" s="28"/>
      <c r="AA399" s="28"/>
      <c r="AB399" s="28"/>
      <c r="AC399" s="28"/>
    </row>
    <row r="400" ht="78.0" customHeight="1">
      <c r="A400" s="448">
        <v>45611.0</v>
      </c>
      <c r="B400" s="427" t="s">
        <v>3370</v>
      </c>
      <c r="C400" s="427" t="s">
        <v>3371</v>
      </c>
      <c r="D400" s="427"/>
      <c r="E400" s="428"/>
      <c r="F400" s="634" t="s">
        <v>3372</v>
      </c>
      <c r="G400" s="427" t="s">
        <v>3373</v>
      </c>
      <c r="H400" s="428"/>
      <c r="I400" s="428"/>
      <c r="J400" s="428"/>
      <c r="K400" s="432"/>
      <c r="L400" s="432"/>
      <c r="M400" s="432"/>
      <c r="N400" s="432"/>
      <c r="O400" s="432"/>
      <c r="P400" s="432"/>
      <c r="Q400" s="432"/>
      <c r="R400" s="432"/>
      <c r="S400" s="432"/>
      <c r="T400" s="432"/>
      <c r="U400" s="432"/>
      <c r="V400" s="432"/>
      <c r="W400" s="432"/>
      <c r="X400" s="54"/>
      <c r="Y400" s="54"/>
      <c r="Z400" s="54"/>
      <c r="AA400" s="54"/>
      <c r="AB400" s="54"/>
      <c r="AC400" s="54"/>
    </row>
    <row r="401" ht="78.0" customHeight="1">
      <c r="A401" s="491">
        <v>45611.0</v>
      </c>
      <c r="B401" s="414" t="s">
        <v>3375</v>
      </c>
      <c r="C401" s="42" t="s">
        <v>3376</v>
      </c>
      <c r="D401" s="414"/>
      <c r="E401" s="42"/>
      <c r="F401" s="42"/>
      <c r="G401" s="42"/>
      <c r="H401" s="42"/>
      <c r="I401" s="42"/>
      <c r="J401" s="42"/>
      <c r="K401" s="44"/>
      <c r="L401" s="44"/>
      <c r="M401" s="44"/>
      <c r="N401" s="44"/>
      <c r="O401" s="44"/>
      <c r="P401" s="44"/>
      <c r="Q401" s="44"/>
      <c r="R401" s="44"/>
      <c r="S401" s="44"/>
      <c r="T401" s="44"/>
      <c r="U401" s="44"/>
      <c r="V401" s="44"/>
      <c r="W401" s="44"/>
      <c r="X401" s="28"/>
      <c r="Y401" s="28"/>
      <c r="Z401" s="28"/>
      <c r="AA401" s="28"/>
      <c r="AB401" s="28"/>
      <c r="AC401" s="28"/>
    </row>
    <row r="402" ht="78.0" customHeight="1">
      <c r="A402" s="453">
        <v>45611.0</v>
      </c>
      <c r="B402" s="414" t="s">
        <v>3378</v>
      </c>
      <c r="C402" s="42"/>
      <c r="D402" s="414"/>
      <c r="E402" s="42"/>
      <c r="F402" s="42"/>
      <c r="G402" s="42"/>
      <c r="H402" s="42"/>
      <c r="I402" s="42"/>
      <c r="J402" s="42"/>
      <c r="K402" s="44"/>
      <c r="L402" s="44"/>
      <c r="M402" s="44"/>
      <c r="N402" s="44"/>
      <c r="O402" s="44"/>
      <c r="P402" s="44"/>
      <c r="Q402" s="44"/>
      <c r="R402" s="44"/>
      <c r="S402" s="44"/>
      <c r="T402" s="44"/>
      <c r="U402" s="44"/>
      <c r="V402" s="44"/>
      <c r="W402" s="44"/>
      <c r="X402" s="28"/>
      <c r="Y402" s="28"/>
      <c r="Z402" s="28"/>
      <c r="AA402" s="28"/>
      <c r="AB402" s="28"/>
      <c r="AC402" s="28"/>
    </row>
    <row r="403" ht="78.0" customHeight="1">
      <c r="A403" s="635">
        <v>45610.0</v>
      </c>
      <c r="B403" s="427" t="s">
        <v>3380</v>
      </c>
      <c r="C403" s="427" t="s">
        <v>3381</v>
      </c>
      <c r="D403" s="427"/>
      <c r="E403" s="428"/>
      <c r="F403" s="427" t="s">
        <v>3382</v>
      </c>
      <c r="G403" s="428"/>
      <c r="H403" s="428"/>
      <c r="I403" s="428"/>
      <c r="J403" s="428"/>
      <c r="K403" s="432"/>
      <c r="L403" s="432"/>
      <c r="M403" s="432"/>
      <c r="N403" s="432"/>
      <c r="O403" s="432"/>
      <c r="P403" s="432"/>
      <c r="Q403" s="432"/>
      <c r="R403" s="432"/>
      <c r="S403" s="432"/>
      <c r="T403" s="432"/>
      <c r="U403" s="432"/>
      <c r="V403" s="432"/>
      <c r="W403" s="432"/>
      <c r="X403" s="54"/>
      <c r="Y403" s="54"/>
      <c r="Z403" s="54"/>
      <c r="AA403" s="54"/>
      <c r="AB403" s="54"/>
      <c r="AC403" s="54"/>
    </row>
    <row r="404" ht="78.0" customHeight="1">
      <c r="A404" s="453">
        <v>45610.0</v>
      </c>
      <c r="B404" s="414" t="s">
        <v>3384</v>
      </c>
      <c r="C404" s="42"/>
      <c r="D404" s="414"/>
      <c r="E404" s="42"/>
      <c r="F404" s="42"/>
      <c r="G404" s="42"/>
      <c r="H404" s="42"/>
      <c r="I404" s="42"/>
      <c r="J404" s="42"/>
      <c r="K404" s="44"/>
      <c r="L404" s="44"/>
      <c r="M404" s="44"/>
      <c r="N404" s="44"/>
      <c r="O404" s="44"/>
      <c r="P404" s="44"/>
      <c r="Q404" s="44"/>
      <c r="R404" s="44"/>
      <c r="S404" s="44"/>
      <c r="T404" s="44"/>
      <c r="U404" s="44"/>
      <c r="V404" s="44"/>
      <c r="W404" s="44"/>
      <c r="X404" s="28"/>
      <c r="Y404" s="28"/>
      <c r="Z404" s="28"/>
      <c r="AA404" s="28"/>
      <c r="AB404" s="28"/>
      <c r="AC404" s="28"/>
    </row>
    <row r="405" ht="78.0" customHeight="1">
      <c r="A405" s="635">
        <v>45610.0</v>
      </c>
      <c r="B405" s="427" t="s">
        <v>3386</v>
      </c>
      <c r="C405" s="427" t="s">
        <v>3387</v>
      </c>
      <c r="D405" s="427"/>
      <c r="E405" s="428"/>
      <c r="F405" s="427" t="s">
        <v>3388</v>
      </c>
      <c r="G405" s="634" t="s">
        <v>3389</v>
      </c>
      <c r="H405" s="634" t="s">
        <v>3390</v>
      </c>
      <c r="I405" s="427" t="s">
        <v>3391</v>
      </c>
      <c r="J405" s="428"/>
      <c r="K405" s="432"/>
      <c r="L405" s="432"/>
      <c r="M405" s="432"/>
      <c r="N405" s="432"/>
      <c r="O405" s="432"/>
      <c r="P405" s="432"/>
      <c r="Q405" s="432"/>
      <c r="R405" s="432"/>
      <c r="S405" s="432"/>
      <c r="T405" s="432"/>
      <c r="U405" s="432"/>
      <c r="V405" s="432"/>
      <c r="W405" s="432"/>
      <c r="X405" s="54"/>
      <c r="Y405" s="54"/>
      <c r="Z405" s="54"/>
      <c r="AA405" s="54"/>
      <c r="AB405" s="54"/>
      <c r="AC405" s="54"/>
    </row>
    <row r="406" ht="78.0" customHeight="1">
      <c r="A406" s="491">
        <v>45610.0</v>
      </c>
      <c r="B406" s="414" t="s">
        <v>3393</v>
      </c>
      <c r="C406" s="414" t="s">
        <v>3394</v>
      </c>
      <c r="D406" s="414"/>
      <c r="E406" s="42"/>
      <c r="F406" s="414" t="s">
        <v>3395</v>
      </c>
      <c r="G406" s="42"/>
      <c r="H406" s="42"/>
      <c r="I406" s="42"/>
      <c r="J406" s="42"/>
      <c r="K406" s="44"/>
      <c r="L406" s="44"/>
      <c r="M406" s="44"/>
      <c r="N406" s="44"/>
      <c r="O406" s="44"/>
      <c r="P406" s="44"/>
      <c r="Q406" s="44"/>
      <c r="R406" s="44"/>
      <c r="S406" s="44"/>
      <c r="T406" s="44"/>
      <c r="U406" s="44"/>
      <c r="V406" s="44"/>
      <c r="W406" s="44"/>
      <c r="X406" s="28"/>
      <c r="Y406" s="28"/>
      <c r="Z406" s="28"/>
      <c r="AA406" s="28"/>
      <c r="AB406" s="28"/>
      <c r="AC406" s="28"/>
    </row>
    <row r="407" ht="78.0" customHeight="1">
      <c r="A407" s="635">
        <v>45610.0</v>
      </c>
      <c r="B407" s="427" t="s">
        <v>3396</v>
      </c>
      <c r="C407" s="427" t="s">
        <v>3397</v>
      </c>
      <c r="D407" s="427"/>
      <c r="E407" s="428"/>
      <c r="F407" s="427" t="s">
        <v>3399</v>
      </c>
      <c r="G407" s="428"/>
      <c r="H407" s="428"/>
      <c r="I407" s="428"/>
      <c r="J407" s="428"/>
      <c r="K407" s="432"/>
      <c r="L407" s="432"/>
      <c r="M407" s="432"/>
      <c r="N407" s="432"/>
      <c r="O407" s="432"/>
      <c r="P407" s="432"/>
      <c r="Q407" s="432"/>
      <c r="R407" s="432"/>
      <c r="S407" s="432"/>
      <c r="T407" s="432"/>
      <c r="U407" s="432"/>
      <c r="V407" s="432"/>
      <c r="W407" s="432"/>
      <c r="X407" s="54"/>
      <c r="Y407" s="54"/>
      <c r="Z407" s="54"/>
      <c r="AA407" s="54"/>
      <c r="AB407" s="54"/>
      <c r="AC407" s="54"/>
    </row>
    <row r="408" ht="78.0" customHeight="1">
      <c r="A408" s="491">
        <v>45610.0</v>
      </c>
      <c r="B408" s="414" t="s">
        <v>3400</v>
      </c>
      <c r="C408" s="414" t="s">
        <v>3401</v>
      </c>
      <c r="D408" s="414"/>
      <c r="E408" s="42"/>
      <c r="F408" s="42"/>
      <c r="G408" s="42"/>
      <c r="H408" s="42"/>
      <c r="I408" s="42"/>
      <c r="J408" s="42"/>
      <c r="K408" s="44"/>
      <c r="L408" s="44"/>
      <c r="M408" s="44"/>
      <c r="N408" s="44"/>
      <c r="O408" s="44"/>
      <c r="P408" s="44"/>
      <c r="Q408" s="44"/>
      <c r="R408" s="44"/>
      <c r="S408" s="44"/>
      <c r="T408" s="44"/>
      <c r="U408" s="44"/>
      <c r="V408" s="44"/>
      <c r="W408" s="44"/>
      <c r="X408" s="28"/>
      <c r="Y408" s="28"/>
      <c r="Z408" s="28"/>
      <c r="AA408" s="28"/>
      <c r="AB408" s="28"/>
      <c r="AC408" s="28"/>
    </row>
    <row r="409" ht="78.0" customHeight="1">
      <c r="A409" s="635">
        <v>45610.0</v>
      </c>
      <c r="B409" s="427" t="s">
        <v>3403</v>
      </c>
      <c r="C409" s="427" t="s">
        <v>3404</v>
      </c>
      <c r="D409" s="427"/>
      <c r="E409" s="428"/>
      <c r="F409" s="427" t="s">
        <v>3405</v>
      </c>
      <c r="G409" s="427" t="s">
        <v>3406</v>
      </c>
      <c r="H409" s="428"/>
      <c r="I409" s="428"/>
      <c r="J409" s="428"/>
      <c r="K409" s="432"/>
      <c r="L409" s="432"/>
      <c r="M409" s="432"/>
      <c r="N409" s="432"/>
      <c r="O409" s="432"/>
      <c r="P409" s="432"/>
      <c r="Q409" s="432"/>
      <c r="R409" s="432"/>
      <c r="S409" s="432"/>
      <c r="T409" s="432"/>
      <c r="U409" s="432"/>
      <c r="V409" s="432"/>
      <c r="W409" s="432"/>
      <c r="X409" s="54"/>
      <c r="Y409" s="54"/>
      <c r="Z409" s="54"/>
      <c r="AA409" s="54"/>
      <c r="AB409" s="54"/>
      <c r="AC409" s="54"/>
    </row>
    <row r="410" ht="78.0" customHeight="1">
      <c r="A410" s="491">
        <v>45610.0</v>
      </c>
      <c r="B410" s="414" t="s">
        <v>3410</v>
      </c>
      <c r="C410" s="414" t="s">
        <v>3411</v>
      </c>
      <c r="D410" s="414"/>
      <c r="E410" s="42"/>
      <c r="F410" s="414" t="s">
        <v>3412</v>
      </c>
      <c r="G410" s="414" t="s">
        <v>3413</v>
      </c>
      <c r="H410" s="42"/>
      <c r="I410" s="42"/>
      <c r="J410" s="42"/>
      <c r="K410" s="44"/>
      <c r="L410" s="44"/>
      <c r="M410" s="44"/>
      <c r="N410" s="44"/>
      <c r="O410" s="44"/>
      <c r="P410" s="44"/>
      <c r="Q410" s="44"/>
      <c r="R410" s="44"/>
      <c r="S410" s="44"/>
      <c r="T410" s="44"/>
      <c r="U410" s="44"/>
      <c r="V410" s="44"/>
      <c r="W410" s="44"/>
      <c r="X410" s="28"/>
      <c r="Y410" s="28"/>
      <c r="Z410" s="28"/>
      <c r="AA410" s="28"/>
      <c r="AB410" s="28"/>
      <c r="AC410" s="28"/>
    </row>
    <row r="411" ht="78.0" customHeight="1">
      <c r="A411" s="635">
        <v>45610.0</v>
      </c>
      <c r="B411" s="427" t="s">
        <v>3414</v>
      </c>
      <c r="C411" s="427" t="s">
        <v>3415</v>
      </c>
      <c r="D411" s="427"/>
      <c r="E411" s="428"/>
      <c r="F411" s="427" t="s">
        <v>3416</v>
      </c>
      <c r="G411" s="428"/>
      <c r="H411" s="428"/>
      <c r="I411" s="428"/>
      <c r="J411" s="428"/>
      <c r="K411" s="432"/>
      <c r="L411" s="432"/>
      <c r="M411" s="432"/>
      <c r="N411" s="432"/>
      <c r="O411" s="432"/>
      <c r="P411" s="432"/>
      <c r="Q411" s="432"/>
      <c r="R411" s="432"/>
      <c r="S411" s="432"/>
      <c r="T411" s="432"/>
      <c r="U411" s="432"/>
      <c r="V411" s="432"/>
      <c r="W411" s="432"/>
      <c r="X411" s="54"/>
      <c r="Y411" s="54"/>
      <c r="Z411" s="54"/>
      <c r="AA411" s="54"/>
      <c r="AB411" s="54"/>
      <c r="AC411" s="54"/>
    </row>
    <row r="412" ht="78.0" customHeight="1">
      <c r="A412" s="491">
        <v>45610.0</v>
      </c>
      <c r="B412" s="414" t="s">
        <v>3420</v>
      </c>
      <c r="C412" s="414" t="s">
        <v>3421</v>
      </c>
      <c r="D412" s="414"/>
      <c r="E412" s="42"/>
      <c r="F412" s="414" t="s">
        <v>3422</v>
      </c>
      <c r="G412" s="42"/>
      <c r="H412" s="42"/>
      <c r="I412" s="42"/>
      <c r="J412" s="42"/>
      <c r="K412" s="44"/>
      <c r="L412" s="44"/>
      <c r="M412" s="44"/>
      <c r="N412" s="44"/>
      <c r="O412" s="44"/>
      <c r="P412" s="44"/>
      <c r="Q412" s="44"/>
      <c r="R412" s="44"/>
      <c r="S412" s="44"/>
      <c r="T412" s="44"/>
      <c r="U412" s="44"/>
      <c r="V412" s="44"/>
      <c r="W412" s="44"/>
      <c r="X412" s="28"/>
      <c r="Y412" s="28"/>
      <c r="Z412" s="28"/>
      <c r="AA412" s="28"/>
      <c r="AB412" s="28"/>
      <c r="AC412" s="28"/>
    </row>
    <row r="413" ht="78.0" customHeight="1">
      <c r="A413" s="635">
        <v>45610.0</v>
      </c>
      <c r="B413" s="427" t="s">
        <v>3426</v>
      </c>
      <c r="C413" s="427" t="s">
        <v>3427</v>
      </c>
      <c r="D413" s="427"/>
      <c r="E413" s="428"/>
      <c r="F413" s="427" t="s">
        <v>3428</v>
      </c>
      <c r="G413" s="427" t="s">
        <v>3429</v>
      </c>
      <c r="H413" s="427" t="s">
        <v>3430</v>
      </c>
      <c r="I413" s="428"/>
      <c r="J413" s="428"/>
      <c r="K413" s="432"/>
      <c r="L413" s="432"/>
      <c r="M413" s="432"/>
      <c r="N413" s="432"/>
      <c r="O413" s="432"/>
      <c r="P413" s="432"/>
      <c r="Q413" s="432"/>
      <c r="R413" s="432"/>
      <c r="S413" s="432"/>
      <c r="T413" s="432"/>
      <c r="U413" s="432"/>
      <c r="V413" s="432"/>
      <c r="W413" s="432"/>
      <c r="X413" s="54"/>
      <c r="Y413" s="54"/>
      <c r="Z413" s="54"/>
      <c r="AA413" s="54"/>
      <c r="AB413" s="54"/>
      <c r="AC413" s="54"/>
    </row>
    <row r="414" ht="78.0" customHeight="1">
      <c r="A414" s="491">
        <v>45609.0</v>
      </c>
      <c r="B414" s="414" t="s">
        <v>3432</v>
      </c>
      <c r="C414" s="414" t="s">
        <v>3433</v>
      </c>
      <c r="D414" s="414"/>
      <c r="E414" s="42"/>
      <c r="F414" s="414" t="s">
        <v>3433</v>
      </c>
      <c r="G414" s="42"/>
      <c r="H414" s="42"/>
      <c r="I414" s="42"/>
      <c r="J414" s="42"/>
      <c r="K414" s="44"/>
      <c r="L414" s="44"/>
      <c r="M414" s="44"/>
      <c r="N414" s="44"/>
      <c r="O414" s="44"/>
      <c r="P414" s="44"/>
      <c r="Q414" s="44"/>
      <c r="R414" s="44"/>
      <c r="S414" s="44"/>
      <c r="T414" s="44"/>
      <c r="U414" s="44"/>
      <c r="V414" s="44"/>
      <c r="W414" s="44"/>
      <c r="X414" s="28"/>
      <c r="Y414" s="28"/>
      <c r="Z414" s="28"/>
      <c r="AA414" s="28"/>
      <c r="AB414" s="28"/>
      <c r="AC414" s="28"/>
    </row>
    <row r="415" ht="78.0" customHeight="1">
      <c r="A415" s="635">
        <v>45609.0</v>
      </c>
      <c r="B415" s="427" t="s">
        <v>3439</v>
      </c>
      <c r="C415" s="427" t="s">
        <v>3440</v>
      </c>
      <c r="D415" s="427"/>
      <c r="E415" s="428"/>
      <c r="F415" s="427" t="s">
        <v>3441</v>
      </c>
      <c r="G415" s="634" t="s">
        <v>3442</v>
      </c>
      <c r="H415" s="428"/>
      <c r="I415" s="428"/>
      <c r="J415" s="428"/>
      <c r="K415" s="432"/>
      <c r="L415" s="432"/>
      <c r="M415" s="432"/>
      <c r="N415" s="432"/>
      <c r="O415" s="432"/>
      <c r="P415" s="432"/>
      <c r="Q415" s="432"/>
      <c r="R415" s="432"/>
      <c r="S415" s="432"/>
      <c r="T415" s="432"/>
      <c r="U415" s="432"/>
      <c r="V415" s="432"/>
      <c r="W415" s="432"/>
      <c r="X415" s="54"/>
      <c r="Y415" s="54"/>
      <c r="Z415" s="54"/>
      <c r="AA415" s="54"/>
      <c r="AB415" s="54"/>
      <c r="AC415" s="54"/>
    </row>
    <row r="416" ht="78.0" customHeight="1">
      <c r="A416" s="491">
        <v>45609.0</v>
      </c>
      <c r="B416" s="414" t="s">
        <v>3445</v>
      </c>
      <c r="C416" s="414" t="s">
        <v>3446</v>
      </c>
      <c r="D416" s="414"/>
      <c r="E416" s="42"/>
      <c r="F416" s="414" t="s">
        <v>3447</v>
      </c>
      <c r="G416" s="42"/>
      <c r="H416" s="42"/>
      <c r="I416" s="42"/>
      <c r="J416" s="42"/>
      <c r="K416" s="44"/>
      <c r="L416" s="44"/>
      <c r="M416" s="44"/>
      <c r="N416" s="44"/>
      <c r="O416" s="44"/>
      <c r="P416" s="44"/>
      <c r="Q416" s="44"/>
      <c r="R416" s="44"/>
      <c r="S416" s="44"/>
      <c r="T416" s="44"/>
      <c r="U416" s="44"/>
      <c r="V416" s="44"/>
      <c r="W416" s="44"/>
      <c r="X416" s="28"/>
      <c r="Y416" s="28"/>
      <c r="Z416" s="28"/>
      <c r="AA416" s="28"/>
      <c r="AB416" s="28"/>
      <c r="AC416" s="28"/>
    </row>
    <row r="417" ht="78.0" customHeight="1">
      <c r="A417" s="635">
        <v>45609.0</v>
      </c>
      <c r="B417" s="427" t="s">
        <v>3449</v>
      </c>
      <c r="C417" s="427" t="s">
        <v>3450</v>
      </c>
      <c r="D417" s="427"/>
      <c r="E417" s="428"/>
      <c r="F417" s="428"/>
      <c r="G417" s="428"/>
      <c r="H417" s="428"/>
      <c r="I417" s="428"/>
      <c r="J417" s="428"/>
      <c r="K417" s="432"/>
      <c r="L417" s="432"/>
      <c r="M417" s="432"/>
      <c r="N417" s="432"/>
      <c r="O417" s="432"/>
      <c r="P417" s="432"/>
      <c r="Q417" s="432"/>
      <c r="R417" s="432"/>
      <c r="S417" s="432"/>
      <c r="T417" s="432"/>
      <c r="U417" s="432"/>
      <c r="V417" s="432"/>
      <c r="W417" s="432"/>
      <c r="X417" s="54"/>
      <c r="Y417" s="54"/>
      <c r="Z417" s="54"/>
      <c r="AA417" s="54"/>
      <c r="AB417" s="54"/>
      <c r="AC417" s="54"/>
    </row>
    <row r="418" ht="78.0" customHeight="1">
      <c r="A418" s="491">
        <v>45609.0</v>
      </c>
      <c r="B418" s="414" t="s">
        <v>3454</v>
      </c>
      <c r="C418" s="414" t="s">
        <v>3455</v>
      </c>
      <c r="D418" s="414"/>
      <c r="E418" s="42"/>
      <c r="F418" s="414" t="s">
        <v>666</v>
      </c>
      <c r="G418" s="42"/>
      <c r="H418" s="42"/>
      <c r="I418" s="42"/>
      <c r="J418" s="42"/>
      <c r="K418" s="44"/>
      <c r="L418" s="44"/>
      <c r="M418" s="44"/>
      <c r="N418" s="44"/>
      <c r="O418" s="44"/>
      <c r="P418" s="44"/>
      <c r="Q418" s="44"/>
      <c r="R418" s="44"/>
      <c r="S418" s="44"/>
      <c r="T418" s="44"/>
      <c r="U418" s="44"/>
      <c r="V418" s="44"/>
      <c r="W418" s="44"/>
      <c r="X418" s="28"/>
      <c r="Y418" s="28"/>
      <c r="Z418" s="28"/>
      <c r="AA418" s="28"/>
      <c r="AB418" s="28"/>
      <c r="AC418" s="28"/>
    </row>
    <row r="419" ht="78.0" customHeight="1">
      <c r="A419" s="635">
        <v>45609.0</v>
      </c>
      <c r="B419" s="427" t="s">
        <v>3458</v>
      </c>
      <c r="C419" s="427" t="s">
        <v>3459</v>
      </c>
      <c r="D419" s="427"/>
      <c r="E419" s="428"/>
      <c r="F419" s="427" t="s">
        <v>3460</v>
      </c>
      <c r="G419" s="634" t="s">
        <v>3461</v>
      </c>
      <c r="H419" s="428"/>
      <c r="I419" s="428"/>
      <c r="J419" s="428"/>
      <c r="K419" s="432"/>
      <c r="L419" s="432"/>
      <c r="M419" s="432"/>
      <c r="N419" s="432"/>
      <c r="O419" s="432"/>
      <c r="P419" s="432"/>
      <c r="Q419" s="432"/>
      <c r="R419" s="432"/>
      <c r="S419" s="432"/>
      <c r="T419" s="432"/>
      <c r="U419" s="432"/>
      <c r="V419" s="432"/>
      <c r="W419" s="432"/>
      <c r="X419" s="54"/>
      <c r="Y419" s="54"/>
      <c r="Z419" s="54"/>
      <c r="AA419" s="54"/>
      <c r="AB419" s="54"/>
      <c r="AC419" s="54"/>
    </row>
    <row r="420" ht="78.0" customHeight="1">
      <c r="A420" s="491">
        <v>45609.0</v>
      </c>
      <c r="B420" s="414" t="s">
        <v>3463</v>
      </c>
      <c r="C420" s="414" t="s">
        <v>3464</v>
      </c>
      <c r="D420" s="414"/>
      <c r="E420" s="42"/>
      <c r="F420" s="42"/>
      <c r="G420" s="42"/>
      <c r="H420" s="42"/>
      <c r="I420" s="42"/>
      <c r="J420" s="42"/>
      <c r="K420" s="44"/>
      <c r="L420" s="44"/>
      <c r="M420" s="44"/>
      <c r="N420" s="44"/>
      <c r="O420" s="44"/>
      <c r="P420" s="44"/>
      <c r="Q420" s="44"/>
      <c r="R420" s="44"/>
      <c r="S420" s="44"/>
      <c r="T420" s="44"/>
      <c r="U420" s="44"/>
      <c r="V420" s="44"/>
      <c r="W420" s="44"/>
      <c r="X420" s="28"/>
      <c r="Y420" s="28"/>
      <c r="Z420" s="28"/>
      <c r="AA420" s="28"/>
      <c r="AB420" s="28"/>
      <c r="AC420" s="28"/>
    </row>
    <row r="421" ht="78.0" customHeight="1">
      <c r="A421" s="635">
        <v>45609.0</v>
      </c>
      <c r="B421" s="427" t="s">
        <v>3465</v>
      </c>
      <c r="C421" s="427" t="s">
        <v>3467</v>
      </c>
      <c r="D421" s="427"/>
      <c r="E421" s="428"/>
      <c r="F421" s="427" t="s">
        <v>3468</v>
      </c>
      <c r="G421" s="427" t="s">
        <v>3469</v>
      </c>
      <c r="H421" s="427" t="s">
        <v>3470</v>
      </c>
      <c r="I421" s="634" t="s">
        <v>3471</v>
      </c>
      <c r="J421" s="427" t="s">
        <v>3472</v>
      </c>
      <c r="K421" s="638" t="s">
        <v>3473</v>
      </c>
      <c r="L421" s="432"/>
      <c r="M421" s="432"/>
      <c r="N421" s="432"/>
      <c r="O421" s="432"/>
      <c r="P421" s="432"/>
      <c r="Q421" s="432"/>
      <c r="R421" s="432"/>
      <c r="S421" s="432"/>
      <c r="T421" s="432"/>
      <c r="U421" s="432"/>
      <c r="V421" s="432"/>
      <c r="W421" s="432"/>
      <c r="X421" s="54"/>
      <c r="Y421" s="54"/>
      <c r="Z421" s="54"/>
      <c r="AA421" s="54"/>
      <c r="AB421" s="54"/>
      <c r="AC421" s="54"/>
    </row>
    <row r="422" ht="78.0" customHeight="1">
      <c r="A422" s="491">
        <v>45609.0</v>
      </c>
      <c r="B422" s="414" t="s">
        <v>3474</v>
      </c>
      <c r="C422" s="414" t="s">
        <v>3475</v>
      </c>
      <c r="D422" s="414"/>
      <c r="E422" s="42"/>
      <c r="F422" s="42"/>
      <c r="G422" s="42"/>
      <c r="H422" s="42"/>
      <c r="I422" s="42"/>
      <c r="J422" s="42"/>
      <c r="K422" s="44"/>
      <c r="L422" s="44"/>
      <c r="M422" s="44"/>
      <c r="N422" s="44"/>
      <c r="O422" s="44"/>
      <c r="P422" s="44"/>
      <c r="Q422" s="44"/>
      <c r="R422" s="44"/>
      <c r="S422" s="44"/>
      <c r="T422" s="44"/>
      <c r="U422" s="44"/>
      <c r="V422" s="44"/>
      <c r="W422" s="44"/>
      <c r="X422" s="28"/>
      <c r="Y422" s="28"/>
      <c r="Z422" s="28"/>
      <c r="AA422" s="28"/>
      <c r="AB422" s="28"/>
      <c r="AC422" s="28"/>
    </row>
    <row r="423" ht="78.0" customHeight="1">
      <c r="A423" s="635">
        <v>45609.0</v>
      </c>
      <c r="B423" s="427" t="s">
        <v>3478</v>
      </c>
      <c r="C423" s="427" t="s">
        <v>3479</v>
      </c>
      <c r="D423" s="427"/>
      <c r="E423" s="428"/>
      <c r="F423" s="428"/>
      <c r="G423" s="428"/>
      <c r="H423" s="428"/>
      <c r="I423" s="428"/>
      <c r="J423" s="428"/>
      <c r="K423" s="432"/>
      <c r="L423" s="432"/>
      <c r="M423" s="432"/>
      <c r="N423" s="432"/>
      <c r="O423" s="432"/>
      <c r="P423" s="432"/>
      <c r="Q423" s="432"/>
      <c r="R423" s="432"/>
      <c r="S423" s="432"/>
      <c r="T423" s="432"/>
      <c r="U423" s="432"/>
      <c r="V423" s="432"/>
      <c r="W423" s="432"/>
      <c r="X423" s="54"/>
      <c r="Y423" s="54"/>
      <c r="Z423" s="54"/>
      <c r="AA423" s="54"/>
      <c r="AB423" s="54"/>
      <c r="AC423" s="54"/>
    </row>
    <row r="424" ht="78.0" customHeight="1">
      <c r="A424" s="491">
        <v>45609.0</v>
      </c>
      <c r="B424" s="414" t="s">
        <v>3481</v>
      </c>
      <c r="C424" s="414" t="s">
        <v>3482</v>
      </c>
      <c r="D424" s="414"/>
      <c r="E424" s="42"/>
      <c r="F424" s="414" t="s">
        <v>3483</v>
      </c>
      <c r="G424" s="414" t="s">
        <v>3484</v>
      </c>
      <c r="H424" s="42"/>
      <c r="I424" s="42"/>
      <c r="J424" s="42"/>
      <c r="K424" s="44"/>
      <c r="L424" s="44"/>
      <c r="M424" s="44"/>
      <c r="N424" s="44"/>
      <c r="O424" s="44"/>
      <c r="P424" s="44"/>
      <c r="Q424" s="44"/>
      <c r="R424" s="44"/>
      <c r="S424" s="44"/>
      <c r="T424" s="44"/>
      <c r="U424" s="44"/>
      <c r="V424" s="44"/>
      <c r="W424" s="44"/>
      <c r="X424" s="28"/>
      <c r="Y424" s="28"/>
      <c r="Z424" s="28"/>
      <c r="AA424" s="28"/>
      <c r="AB424" s="28"/>
      <c r="AC424" s="28"/>
    </row>
    <row r="425" ht="78.0" customHeight="1">
      <c r="A425" s="635">
        <v>45609.0</v>
      </c>
      <c r="B425" s="427" t="s">
        <v>3485</v>
      </c>
      <c r="C425" s="639" t="s">
        <v>3486</v>
      </c>
      <c r="D425" s="427"/>
      <c r="E425" s="428"/>
      <c r="F425" s="427" t="s">
        <v>3487</v>
      </c>
      <c r="G425" s="428"/>
      <c r="H425" s="428"/>
      <c r="I425" s="428"/>
      <c r="J425" s="428"/>
      <c r="K425" s="432"/>
      <c r="L425" s="432"/>
      <c r="M425" s="432"/>
      <c r="N425" s="432"/>
      <c r="O425" s="432"/>
      <c r="P425" s="432"/>
      <c r="Q425" s="432"/>
      <c r="R425" s="432"/>
      <c r="S425" s="432"/>
      <c r="T425" s="432"/>
      <c r="U425" s="432"/>
      <c r="V425" s="432"/>
      <c r="W425" s="432"/>
      <c r="X425" s="54"/>
      <c r="Y425" s="54"/>
      <c r="Z425" s="54"/>
      <c r="AA425" s="54"/>
      <c r="AB425" s="54"/>
      <c r="AC425" s="54"/>
    </row>
    <row r="426" ht="78.0" customHeight="1">
      <c r="A426" s="491">
        <v>45609.0</v>
      </c>
      <c r="B426" s="414" t="s">
        <v>3490</v>
      </c>
      <c r="C426" s="414" t="s">
        <v>3491</v>
      </c>
      <c r="D426" s="414"/>
      <c r="E426" s="42"/>
      <c r="F426" s="42"/>
      <c r="G426" s="42"/>
      <c r="H426" s="42"/>
      <c r="I426" s="42"/>
      <c r="J426" s="42"/>
      <c r="K426" s="44"/>
      <c r="L426" s="44"/>
      <c r="M426" s="44"/>
      <c r="N426" s="44"/>
      <c r="O426" s="44"/>
      <c r="P426" s="44"/>
      <c r="Q426" s="44"/>
      <c r="R426" s="44"/>
      <c r="S426" s="44"/>
      <c r="T426" s="44"/>
      <c r="U426" s="44"/>
      <c r="V426" s="44"/>
      <c r="W426" s="44"/>
      <c r="X426" s="28"/>
      <c r="Y426" s="28"/>
      <c r="Z426" s="28"/>
      <c r="AA426" s="28"/>
      <c r="AB426" s="28"/>
      <c r="AC426" s="28"/>
    </row>
    <row r="427" ht="78.0" customHeight="1">
      <c r="A427" s="635">
        <v>45609.0</v>
      </c>
      <c r="B427" s="427" t="s">
        <v>3492</v>
      </c>
      <c r="C427" s="427" t="s">
        <v>3493</v>
      </c>
      <c r="D427" s="427"/>
      <c r="E427" s="428"/>
      <c r="F427" s="428"/>
      <c r="G427" s="428"/>
      <c r="H427" s="428"/>
      <c r="I427" s="428"/>
      <c r="J427" s="428"/>
      <c r="K427" s="432"/>
      <c r="L427" s="432"/>
      <c r="M427" s="432"/>
      <c r="N427" s="432"/>
      <c r="O427" s="432"/>
      <c r="P427" s="432"/>
      <c r="Q427" s="432"/>
      <c r="R427" s="432"/>
      <c r="S427" s="432"/>
      <c r="T427" s="432"/>
      <c r="U427" s="432"/>
      <c r="V427" s="432"/>
      <c r="W427" s="432"/>
      <c r="X427" s="54"/>
      <c r="Y427" s="54"/>
      <c r="Z427" s="54"/>
      <c r="AA427" s="54"/>
      <c r="AB427" s="54"/>
      <c r="AC427" s="54"/>
    </row>
    <row r="428" ht="78.0" customHeight="1">
      <c r="A428" s="491">
        <v>45609.0</v>
      </c>
      <c r="B428" s="414" t="s">
        <v>3497</v>
      </c>
      <c r="C428" s="414" t="s">
        <v>3498</v>
      </c>
      <c r="D428" s="414"/>
      <c r="E428" s="42"/>
      <c r="F428" s="42"/>
      <c r="G428" s="42"/>
      <c r="H428" s="42"/>
      <c r="I428" s="42"/>
      <c r="J428" s="42"/>
      <c r="K428" s="44"/>
      <c r="L428" s="44"/>
      <c r="M428" s="44"/>
      <c r="N428" s="44"/>
      <c r="O428" s="44"/>
      <c r="P428" s="44"/>
      <c r="Q428" s="44"/>
      <c r="R428" s="44"/>
      <c r="S428" s="44"/>
      <c r="T428" s="44"/>
      <c r="U428" s="44"/>
      <c r="V428" s="44"/>
      <c r="W428" s="44"/>
      <c r="X428" s="28"/>
      <c r="Y428" s="28"/>
      <c r="Z428" s="28"/>
      <c r="AA428" s="28"/>
      <c r="AB428" s="28"/>
      <c r="AC428" s="28"/>
    </row>
    <row r="429" ht="78.0" customHeight="1">
      <c r="A429" s="635">
        <v>45609.0</v>
      </c>
      <c r="B429" s="427" t="s">
        <v>3500</v>
      </c>
      <c r="C429" s="427" t="s">
        <v>3501</v>
      </c>
      <c r="D429" s="427"/>
      <c r="E429" s="428"/>
      <c r="F429" s="427" t="s">
        <v>3503</v>
      </c>
      <c r="G429" s="427" t="s">
        <v>3504</v>
      </c>
      <c r="H429" s="428"/>
      <c r="I429" s="428"/>
      <c r="J429" s="428"/>
      <c r="K429" s="432"/>
      <c r="L429" s="432"/>
      <c r="M429" s="432"/>
      <c r="N429" s="432"/>
      <c r="O429" s="432"/>
      <c r="P429" s="432"/>
      <c r="Q429" s="432"/>
      <c r="R429" s="432"/>
      <c r="S429" s="432"/>
      <c r="T429" s="432"/>
      <c r="U429" s="432"/>
      <c r="V429" s="432"/>
      <c r="W429" s="432"/>
      <c r="X429" s="54"/>
      <c r="Y429" s="54"/>
      <c r="Z429" s="54"/>
      <c r="AA429" s="54"/>
      <c r="AB429" s="54"/>
      <c r="AC429" s="54"/>
    </row>
    <row r="430" ht="78.0" customHeight="1">
      <c r="A430" s="491">
        <v>45608.0</v>
      </c>
      <c r="B430" s="414" t="s">
        <v>3506</v>
      </c>
      <c r="C430" s="414" t="s">
        <v>3507</v>
      </c>
      <c r="D430" s="414"/>
      <c r="E430" s="42"/>
      <c r="F430" s="414" t="s">
        <v>3509</v>
      </c>
      <c r="G430" s="414" t="s">
        <v>3510</v>
      </c>
      <c r="H430" s="42"/>
      <c r="I430" s="42"/>
      <c r="J430" s="42"/>
      <c r="K430" s="44"/>
      <c r="L430" s="44"/>
      <c r="M430" s="44"/>
      <c r="N430" s="44"/>
      <c r="O430" s="44"/>
      <c r="P430" s="44"/>
      <c r="Q430" s="44"/>
      <c r="R430" s="44"/>
      <c r="S430" s="44"/>
      <c r="T430" s="44"/>
      <c r="U430" s="44"/>
      <c r="V430" s="44"/>
      <c r="W430" s="44"/>
      <c r="X430" s="28"/>
      <c r="Y430" s="28"/>
      <c r="Z430" s="28"/>
      <c r="AA430" s="28"/>
      <c r="AB430" s="28"/>
      <c r="AC430" s="28"/>
    </row>
    <row r="431" ht="78.0" customHeight="1">
      <c r="A431" s="635">
        <v>45608.0</v>
      </c>
      <c r="B431" s="427" t="s">
        <v>3511</v>
      </c>
      <c r="C431" s="427" t="s">
        <v>3512</v>
      </c>
      <c r="D431" s="427"/>
      <c r="E431" s="428"/>
      <c r="F431" s="428"/>
      <c r="G431" s="428"/>
      <c r="H431" s="428"/>
      <c r="I431" s="428"/>
      <c r="J431" s="428"/>
      <c r="K431" s="432"/>
      <c r="L431" s="432"/>
      <c r="M431" s="432"/>
      <c r="N431" s="432"/>
      <c r="O431" s="432"/>
      <c r="P431" s="432"/>
      <c r="Q431" s="432"/>
      <c r="R431" s="432"/>
      <c r="S431" s="432"/>
      <c r="T431" s="432"/>
      <c r="U431" s="432"/>
      <c r="V431" s="432"/>
      <c r="W431" s="432"/>
      <c r="X431" s="54"/>
      <c r="Y431" s="54"/>
      <c r="Z431" s="54"/>
      <c r="AA431" s="54"/>
      <c r="AB431" s="54"/>
      <c r="AC431" s="54"/>
    </row>
    <row r="432" ht="78.0" customHeight="1">
      <c r="A432" s="491">
        <v>45608.0</v>
      </c>
      <c r="B432" s="414" t="s">
        <v>3513</v>
      </c>
      <c r="C432" s="42"/>
      <c r="D432" s="414"/>
      <c r="E432" s="42"/>
      <c r="F432" s="42"/>
      <c r="G432" s="42"/>
      <c r="H432" s="42"/>
      <c r="I432" s="42"/>
      <c r="J432" s="42"/>
      <c r="K432" s="44"/>
      <c r="L432" s="44"/>
      <c r="M432" s="44"/>
      <c r="N432" s="44"/>
      <c r="O432" s="44"/>
      <c r="P432" s="44"/>
      <c r="Q432" s="44"/>
      <c r="R432" s="44"/>
      <c r="S432" s="44"/>
      <c r="T432" s="44"/>
      <c r="U432" s="44"/>
      <c r="V432" s="44"/>
      <c r="W432" s="44"/>
      <c r="X432" s="28"/>
      <c r="Y432" s="28"/>
      <c r="Z432" s="28"/>
      <c r="AA432" s="28"/>
      <c r="AB432" s="28"/>
      <c r="AC432" s="28"/>
    </row>
    <row r="433" ht="78.0" customHeight="1">
      <c r="A433" s="635">
        <v>45608.0</v>
      </c>
      <c r="B433" s="427" t="s">
        <v>3519</v>
      </c>
      <c r="C433" s="428"/>
      <c r="D433" s="427"/>
      <c r="E433" s="428"/>
      <c r="F433" s="428"/>
      <c r="G433" s="428"/>
      <c r="H433" s="428"/>
      <c r="I433" s="428"/>
      <c r="J433" s="428"/>
      <c r="K433" s="432"/>
      <c r="L433" s="432"/>
      <c r="M433" s="432"/>
      <c r="N433" s="432"/>
      <c r="O433" s="432"/>
      <c r="P433" s="432"/>
      <c r="Q433" s="432"/>
      <c r="R433" s="432"/>
      <c r="S433" s="432"/>
      <c r="T433" s="432"/>
      <c r="U433" s="432"/>
      <c r="V433" s="432"/>
      <c r="W433" s="432"/>
      <c r="X433" s="54"/>
      <c r="Y433" s="54"/>
      <c r="Z433" s="54"/>
      <c r="AA433" s="54"/>
      <c r="AB433" s="54"/>
      <c r="AC433" s="54"/>
    </row>
    <row r="434" ht="78.0" customHeight="1">
      <c r="A434" s="491">
        <v>45608.0</v>
      </c>
      <c r="B434" s="414" t="s">
        <v>3521</v>
      </c>
      <c r="C434" s="414" t="s">
        <v>3522</v>
      </c>
      <c r="D434" s="414"/>
      <c r="E434" s="42"/>
      <c r="F434" s="42"/>
      <c r="G434" s="42"/>
      <c r="H434" s="42"/>
      <c r="I434" s="42"/>
      <c r="J434" s="42"/>
      <c r="K434" s="44"/>
      <c r="L434" s="44"/>
      <c r="M434" s="44"/>
      <c r="N434" s="44"/>
      <c r="O434" s="44"/>
      <c r="P434" s="44"/>
      <c r="Q434" s="44"/>
      <c r="R434" s="44"/>
      <c r="S434" s="44"/>
      <c r="T434" s="44"/>
      <c r="U434" s="44"/>
      <c r="V434" s="44"/>
      <c r="W434" s="44"/>
      <c r="X434" s="28"/>
      <c r="Y434" s="28"/>
      <c r="Z434" s="28"/>
      <c r="AA434" s="28"/>
      <c r="AB434" s="28"/>
      <c r="AC434" s="28"/>
    </row>
    <row r="435" ht="78.0" customHeight="1">
      <c r="A435" s="635">
        <v>45608.0</v>
      </c>
      <c r="B435" s="641" t="s">
        <v>3523</v>
      </c>
      <c r="C435" s="427" t="s">
        <v>3525</v>
      </c>
      <c r="D435" s="427"/>
      <c r="E435" s="428"/>
      <c r="F435" s="427" t="s">
        <v>3526</v>
      </c>
      <c r="G435" s="427" t="s">
        <v>3527</v>
      </c>
      <c r="H435" s="427" t="s">
        <v>3528</v>
      </c>
      <c r="I435" s="428"/>
      <c r="J435" s="428"/>
      <c r="K435" s="432"/>
      <c r="L435" s="432"/>
      <c r="M435" s="432"/>
      <c r="N435" s="432"/>
      <c r="O435" s="432"/>
      <c r="P435" s="432"/>
      <c r="Q435" s="432"/>
      <c r="R435" s="432"/>
      <c r="S435" s="432"/>
      <c r="T435" s="432"/>
      <c r="U435" s="432"/>
      <c r="V435" s="432"/>
      <c r="W435" s="432"/>
      <c r="X435" s="54"/>
      <c r="Y435" s="54"/>
      <c r="Z435" s="54"/>
      <c r="AA435" s="54"/>
      <c r="AB435" s="54"/>
      <c r="AC435" s="54"/>
    </row>
    <row r="436" ht="78.0" customHeight="1">
      <c r="A436" s="491">
        <v>45608.0</v>
      </c>
      <c r="B436" s="414" t="s">
        <v>3529</v>
      </c>
      <c r="C436" s="414" t="s">
        <v>3530</v>
      </c>
      <c r="D436" s="414"/>
      <c r="E436" s="42"/>
      <c r="F436" s="414" t="s">
        <v>3532</v>
      </c>
      <c r="G436" s="42" t="s">
        <v>3533</v>
      </c>
      <c r="H436" s="42"/>
      <c r="I436" s="42"/>
      <c r="J436" s="42"/>
      <c r="K436" s="44"/>
      <c r="L436" s="44"/>
      <c r="M436" s="44"/>
      <c r="N436" s="44"/>
      <c r="O436" s="44"/>
      <c r="P436" s="44"/>
      <c r="Q436" s="44"/>
      <c r="R436" s="44"/>
      <c r="S436" s="44"/>
      <c r="T436" s="44"/>
      <c r="U436" s="44"/>
      <c r="V436" s="44"/>
      <c r="W436" s="44"/>
      <c r="X436" s="28"/>
      <c r="Y436" s="28"/>
      <c r="Z436" s="28"/>
      <c r="AA436" s="28"/>
      <c r="AB436" s="28"/>
      <c r="AC436" s="28"/>
    </row>
    <row r="437" ht="78.0" customHeight="1">
      <c r="A437" s="635">
        <v>45608.0</v>
      </c>
      <c r="B437" s="427" t="s">
        <v>3534</v>
      </c>
      <c r="C437" s="428"/>
      <c r="D437" s="427"/>
      <c r="E437" s="428"/>
      <c r="F437" s="428"/>
      <c r="G437" s="428"/>
      <c r="H437" s="428"/>
      <c r="I437" s="428"/>
      <c r="J437" s="428"/>
      <c r="K437" s="432"/>
      <c r="L437" s="432"/>
      <c r="M437" s="432"/>
      <c r="N437" s="432"/>
      <c r="O437" s="432"/>
      <c r="P437" s="432"/>
      <c r="Q437" s="432"/>
      <c r="R437" s="432"/>
      <c r="S437" s="432"/>
      <c r="T437" s="432"/>
      <c r="U437" s="432"/>
      <c r="V437" s="432"/>
      <c r="W437" s="432"/>
      <c r="X437" s="54"/>
      <c r="Y437" s="54"/>
      <c r="Z437" s="54"/>
      <c r="AA437" s="54"/>
      <c r="AB437" s="54"/>
      <c r="AC437" s="54"/>
    </row>
    <row r="438" ht="78.0" customHeight="1">
      <c r="A438" s="491">
        <v>45608.0</v>
      </c>
      <c r="B438" s="414" t="s">
        <v>3536</v>
      </c>
      <c r="C438" s="414" t="s">
        <v>3537</v>
      </c>
      <c r="D438" s="414"/>
      <c r="E438" s="42"/>
      <c r="F438" s="42"/>
      <c r="G438" s="42"/>
      <c r="H438" s="42"/>
      <c r="I438" s="42"/>
      <c r="J438" s="42"/>
      <c r="K438" s="44"/>
      <c r="L438" s="44"/>
      <c r="M438" s="44"/>
      <c r="N438" s="44"/>
      <c r="O438" s="44"/>
      <c r="P438" s="44"/>
      <c r="Q438" s="44"/>
      <c r="R438" s="44"/>
      <c r="S438" s="44"/>
      <c r="T438" s="44"/>
      <c r="U438" s="44"/>
      <c r="V438" s="44"/>
      <c r="W438" s="44"/>
      <c r="X438" s="28"/>
      <c r="Y438" s="28"/>
      <c r="Z438" s="28"/>
      <c r="AA438" s="28"/>
      <c r="AB438" s="28"/>
      <c r="AC438" s="28"/>
    </row>
    <row r="439" ht="78.0" customHeight="1">
      <c r="A439" s="635">
        <v>45608.0</v>
      </c>
      <c r="B439" s="427" t="s">
        <v>3541</v>
      </c>
      <c r="C439" s="427" t="s">
        <v>3542</v>
      </c>
      <c r="D439" s="427"/>
      <c r="E439" s="428"/>
      <c r="F439" s="427" t="s">
        <v>3543</v>
      </c>
      <c r="G439" s="427" t="s">
        <v>3544</v>
      </c>
      <c r="H439" s="428"/>
      <c r="I439" s="428"/>
      <c r="J439" s="428"/>
      <c r="K439" s="432"/>
      <c r="L439" s="432"/>
      <c r="M439" s="432"/>
      <c r="N439" s="432"/>
      <c r="O439" s="432"/>
      <c r="P439" s="432"/>
      <c r="Q439" s="432"/>
      <c r="R439" s="432"/>
      <c r="S439" s="432"/>
      <c r="T439" s="432"/>
      <c r="U439" s="432"/>
      <c r="V439" s="432"/>
      <c r="W439" s="432"/>
      <c r="X439" s="54"/>
      <c r="Y439" s="54"/>
      <c r="Z439" s="54"/>
      <c r="AA439" s="54"/>
      <c r="AB439" s="54"/>
      <c r="AC439" s="54"/>
    </row>
    <row r="440" ht="78.0" customHeight="1">
      <c r="A440" s="491">
        <v>45608.0</v>
      </c>
      <c r="B440" s="414" t="s">
        <v>3546</v>
      </c>
      <c r="C440" s="414" t="s">
        <v>3547</v>
      </c>
      <c r="D440" s="414"/>
      <c r="E440" s="42"/>
      <c r="F440" s="42"/>
      <c r="G440" s="42"/>
      <c r="H440" s="42"/>
      <c r="I440" s="42"/>
      <c r="J440" s="42"/>
      <c r="K440" s="44"/>
      <c r="L440" s="44"/>
      <c r="M440" s="44"/>
      <c r="N440" s="44"/>
      <c r="O440" s="44"/>
      <c r="P440" s="44"/>
      <c r="Q440" s="44"/>
      <c r="R440" s="44"/>
      <c r="S440" s="44"/>
      <c r="T440" s="44"/>
      <c r="U440" s="44"/>
      <c r="V440" s="44"/>
      <c r="W440" s="44"/>
      <c r="X440" s="28"/>
      <c r="Y440" s="28"/>
      <c r="Z440" s="28"/>
      <c r="AA440" s="28"/>
      <c r="AB440" s="28"/>
      <c r="AC440" s="28"/>
    </row>
    <row r="441" ht="78.0" customHeight="1">
      <c r="A441" s="635">
        <v>45608.0</v>
      </c>
      <c r="B441" s="427" t="s">
        <v>3548</v>
      </c>
      <c r="C441" s="427" t="s">
        <v>3549</v>
      </c>
      <c r="D441" s="427"/>
      <c r="E441" s="428"/>
      <c r="F441" s="427" t="s">
        <v>3550</v>
      </c>
      <c r="G441" s="427" t="s">
        <v>3552</v>
      </c>
      <c r="H441" s="428"/>
      <c r="I441" s="428"/>
      <c r="J441" s="428"/>
      <c r="K441" s="432"/>
      <c r="L441" s="432"/>
      <c r="M441" s="432"/>
      <c r="N441" s="432"/>
      <c r="O441" s="432"/>
      <c r="P441" s="432"/>
      <c r="Q441" s="432"/>
      <c r="R441" s="432"/>
      <c r="S441" s="432"/>
      <c r="T441" s="432"/>
      <c r="U441" s="432"/>
      <c r="V441" s="432"/>
      <c r="W441" s="432"/>
      <c r="X441" s="54"/>
      <c r="Y441" s="54"/>
      <c r="Z441" s="54"/>
      <c r="AA441" s="54"/>
      <c r="AB441" s="54"/>
      <c r="AC441" s="54"/>
    </row>
    <row r="442" ht="78.0" customHeight="1">
      <c r="A442" s="635">
        <v>45608.0</v>
      </c>
      <c r="B442" s="427" t="s">
        <v>3555</v>
      </c>
      <c r="C442" s="427" t="s">
        <v>3556</v>
      </c>
      <c r="D442" s="427"/>
      <c r="E442" s="428"/>
      <c r="F442" s="427" t="s">
        <v>3557</v>
      </c>
      <c r="G442" s="428"/>
      <c r="H442" s="428"/>
      <c r="I442" s="428"/>
      <c r="J442" s="428"/>
      <c r="K442" s="432"/>
      <c r="L442" s="432"/>
      <c r="M442" s="432"/>
      <c r="N442" s="432"/>
      <c r="O442" s="432"/>
      <c r="P442" s="432"/>
      <c r="Q442" s="432"/>
      <c r="R442" s="432"/>
      <c r="S442" s="432"/>
      <c r="T442" s="432"/>
      <c r="U442" s="432"/>
      <c r="V442" s="432"/>
      <c r="W442" s="432"/>
      <c r="X442" s="54"/>
      <c r="Y442" s="54"/>
      <c r="Z442" s="54"/>
      <c r="AA442" s="54"/>
      <c r="AB442" s="54"/>
      <c r="AC442" s="54"/>
    </row>
    <row r="443" ht="78.0" customHeight="1">
      <c r="A443" s="491">
        <v>45607.0</v>
      </c>
      <c r="B443" s="414" t="s">
        <v>3560</v>
      </c>
      <c r="C443" s="414" t="s">
        <v>3561</v>
      </c>
      <c r="D443" s="414"/>
      <c r="E443" s="42"/>
      <c r="F443" s="42"/>
      <c r="G443" s="42"/>
      <c r="H443" s="42"/>
      <c r="I443" s="42"/>
      <c r="J443" s="42"/>
      <c r="K443" s="44"/>
      <c r="L443" s="44"/>
      <c r="M443" s="44"/>
      <c r="N443" s="44"/>
      <c r="O443" s="44"/>
      <c r="P443" s="44"/>
      <c r="Q443" s="44"/>
      <c r="R443" s="44"/>
      <c r="S443" s="44"/>
      <c r="T443" s="44"/>
      <c r="U443" s="44"/>
      <c r="V443" s="44"/>
      <c r="W443" s="44"/>
      <c r="X443" s="28"/>
      <c r="Y443" s="28"/>
      <c r="Z443" s="28"/>
      <c r="AA443" s="28"/>
      <c r="AB443" s="28"/>
      <c r="AC443" s="28"/>
    </row>
    <row r="444" ht="78.0" customHeight="1">
      <c r="A444" s="635">
        <v>45607.0</v>
      </c>
      <c r="B444" s="427" t="s">
        <v>3563</v>
      </c>
      <c r="C444" s="634" t="s">
        <v>3564</v>
      </c>
      <c r="D444" s="427"/>
      <c r="E444" s="428"/>
      <c r="F444" s="427" t="s">
        <v>3566</v>
      </c>
      <c r="G444" s="428"/>
      <c r="H444" s="428"/>
      <c r="I444" s="428"/>
      <c r="J444" s="428"/>
      <c r="K444" s="432"/>
      <c r="L444" s="432"/>
      <c r="M444" s="432"/>
      <c r="N444" s="432"/>
      <c r="O444" s="432"/>
      <c r="P444" s="432"/>
      <c r="Q444" s="432"/>
      <c r="R444" s="432"/>
      <c r="S444" s="432"/>
      <c r="T444" s="432"/>
      <c r="U444" s="432"/>
      <c r="V444" s="432"/>
      <c r="W444" s="432"/>
      <c r="X444" s="54"/>
      <c r="Y444" s="54"/>
      <c r="Z444" s="54"/>
      <c r="AA444" s="54"/>
      <c r="AB444" s="54"/>
      <c r="AC444" s="54"/>
    </row>
    <row r="445" ht="78.0" customHeight="1">
      <c r="A445" s="644">
        <v>45607.0</v>
      </c>
      <c r="B445" s="645" t="s">
        <v>3570</v>
      </c>
      <c r="C445" s="42"/>
      <c r="D445" s="414"/>
      <c r="E445" s="42"/>
      <c r="F445" s="42"/>
      <c r="G445" s="42"/>
      <c r="H445" s="42"/>
      <c r="I445" s="42"/>
      <c r="J445" s="42"/>
      <c r="K445" s="44"/>
      <c r="L445" s="44"/>
      <c r="M445" s="44"/>
      <c r="N445" s="44"/>
      <c r="O445" s="44"/>
      <c r="P445" s="44"/>
      <c r="Q445" s="44"/>
      <c r="R445" s="44"/>
      <c r="S445" s="44"/>
      <c r="T445" s="44"/>
      <c r="U445" s="44"/>
      <c r="V445" s="44"/>
      <c r="W445" s="44"/>
      <c r="X445" s="28"/>
      <c r="Y445" s="28"/>
      <c r="Z445" s="28"/>
      <c r="AA445" s="28"/>
      <c r="AB445" s="28"/>
      <c r="AC445" s="28"/>
    </row>
    <row r="446" ht="78.0" customHeight="1">
      <c r="A446" s="646">
        <v>45607.0</v>
      </c>
      <c r="B446" s="647" t="s">
        <v>3572</v>
      </c>
      <c r="C446" s="427" t="s">
        <v>3574</v>
      </c>
      <c r="D446" s="427"/>
      <c r="E446" s="428"/>
      <c r="F446" s="427" t="s">
        <v>3575</v>
      </c>
      <c r="G446" s="427" t="s">
        <v>3576</v>
      </c>
      <c r="H446" s="427" t="s">
        <v>3577</v>
      </c>
      <c r="I446" s="427" t="s">
        <v>3578</v>
      </c>
      <c r="J446" s="427" t="s">
        <v>3579</v>
      </c>
      <c r="K446" s="648" t="s">
        <v>3581</v>
      </c>
      <c r="L446" s="432"/>
      <c r="M446" s="432"/>
      <c r="N446" s="432"/>
      <c r="O446" s="432"/>
      <c r="P446" s="432"/>
      <c r="Q446" s="432"/>
      <c r="R446" s="432"/>
      <c r="S446" s="432"/>
      <c r="T446" s="432"/>
      <c r="U446" s="432"/>
      <c r="V446" s="432"/>
      <c r="W446" s="432"/>
      <c r="X446" s="54"/>
      <c r="Y446" s="54"/>
      <c r="Z446" s="54"/>
      <c r="AA446" s="54"/>
      <c r="AB446" s="54"/>
      <c r="AC446" s="54"/>
    </row>
    <row r="447" ht="78.0" customHeight="1">
      <c r="A447" s="644">
        <v>45607.0</v>
      </c>
      <c r="B447" s="645" t="s">
        <v>3583</v>
      </c>
      <c r="C447" s="414" t="s">
        <v>3584</v>
      </c>
      <c r="D447" s="414"/>
      <c r="E447" s="42"/>
      <c r="F447" s="414" t="s">
        <v>3585</v>
      </c>
      <c r="G447" s="414" t="s">
        <v>3586</v>
      </c>
      <c r="H447" s="42"/>
      <c r="I447" s="414" t="s">
        <v>3587</v>
      </c>
      <c r="J447" s="42"/>
      <c r="K447" s="44"/>
      <c r="L447" s="44"/>
      <c r="M447" s="44"/>
      <c r="N447" s="44"/>
      <c r="O447" s="44"/>
      <c r="P447" s="44"/>
      <c r="Q447" s="44"/>
      <c r="R447" s="44"/>
      <c r="S447" s="44"/>
      <c r="T447" s="44"/>
      <c r="U447" s="44"/>
      <c r="V447" s="44"/>
      <c r="W447" s="44"/>
      <c r="X447" s="28"/>
      <c r="Y447" s="28"/>
      <c r="Z447" s="28"/>
      <c r="AA447" s="28"/>
      <c r="AB447" s="28"/>
      <c r="AC447" s="28"/>
    </row>
    <row r="448" ht="78.0" customHeight="1">
      <c r="A448" s="646">
        <v>45607.0</v>
      </c>
      <c r="B448" s="647" t="s">
        <v>3589</v>
      </c>
      <c r="C448" s="427" t="s">
        <v>3590</v>
      </c>
      <c r="D448" s="427"/>
      <c r="E448" s="428"/>
      <c r="F448" s="427" t="s">
        <v>3591</v>
      </c>
      <c r="G448" s="427" t="s">
        <v>3592</v>
      </c>
      <c r="H448" s="427" t="s">
        <v>3593</v>
      </c>
      <c r="I448" s="428"/>
      <c r="J448" s="428"/>
      <c r="K448" s="432"/>
      <c r="L448" s="432"/>
      <c r="M448" s="432"/>
      <c r="N448" s="432"/>
      <c r="O448" s="432"/>
      <c r="P448" s="432"/>
      <c r="Q448" s="432"/>
      <c r="R448" s="432"/>
      <c r="S448" s="432"/>
      <c r="T448" s="432"/>
      <c r="U448" s="432"/>
      <c r="V448" s="432"/>
      <c r="W448" s="432"/>
      <c r="X448" s="54"/>
      <c r="Y448" s="54"/>
      <c r="Z448" s="54"/>
      <c r="AA448" s="54"/>
      <c r="AB448" s="54"/>
      <c r="AC448" s="54"/>
    </row>
    <row r="449" ht="78.0" customHeight="1">
      <c r="A449" s="644">
        <v>45607.0</v>
      </c>
      <c r="B449" s="414" t="s">
        <v>3595</v>
      </c>
      <c r="C449" s="414" t="s">
        <v>3596</v>
      </c>
      <c r="D449" s="414"/>
      <c r="E449" s="42"/>
      <c r="F449" s="414" t="s">
        <v>3597</v>
      </c>
      <c r="G449" s="42"/>
      <c r="H449" s="42"/>
      <c r="I449" s="42"/>
      <c r="J449" s="42"/>
      <c r="K449" s="44"/>
      <c r="L449" s="44"/>
      <c r="M449" s="44"/>
      <c r="N449" s="44"/>
      <c r="O449" s="44"/>
      <c r="P449" s="44"/>
      <c r="Q449" s="44"/>
      <c r="R449" s="44"/>
      <c r="S449" s="44"/>
      <c r="T449" s="44"/>
      <c r="U449" s="44"/>
      <c r="V449" s="44"/>
      <c r="W449" s="44"/>
      <c r="X449" s="28"/>
      <c r="Y449" s="28"/>
      <c r="Z449" s="28"/>
      <c r="AA449" s="28"/>
      <c r="AB449" s="28"/>
      <c r="AC449" s="28"/>
    </row>
    <row r="450" ht="78.0" customHeight="1">
      <c r="A450" s="644">
        <v>45607.0</v>
      </c>
      <c r="B450" s="556">
        <v>45643.0</v>
      </c>
      <c r="C450" s="414" t="s">
        <v>3599</v>
      </c>
      <c r="D450" s="414"/>
      <c r="E450" s="42"/>
      <c r="F450" s="42"/>
      <c r="G450" s="42"/>
      <c r="H450" s="42"/>
      <c r="I450" s="42"/>
      <c r="J450" s="42"/>
      <c r="K450" s="44"/>
      <c r="L450" s="44"/>
      <c r="M450" s="44"/>
      <c r="N450" s="44"/>
      <c r="O450" s="44"/>
      <c r="P450" s="44"/>
      <c r="Q450" s="44"/>
      <c r="R450" s="44"/>
      <c r="S450" s="44"/>
      <c r="T450" s="44"/>
      <c r="U450" s="44"/>
      <c r="V450" s="44"/>
      <c r="W450" s="44"/>
      <c r="X450" s="28"/>
      <c r="Y450" s="28"/>
      <c r="Z450" s="28"/>
      <c r="AA450" s="28"/>
      <c r="AB450" s="28"/>
      <c r="AC450" s="28"/>
    </row>
    <row r="451" ht="78.0" customHeight="1">
      <c r="A451" s="646">
        <v>45607.0</v>
      </c>
      <c r="B451" s="427" t="s">
        <v>3604</v>
      </c>
      <c r="C451" s="427" t="s">
        <v>3605</v>
      </c>
      <c r="D451" s="427"/>
      <c r="E451" s="428"/>
      <c r="F451" s="428"/>
      <c r="G451" s="428"/>
      <c r="H451" s="428"/>
      <c r="I451" s="428"/>
      <c r="J451" s="428"/>
      <c r="K451" s="432"/>
      <c r="L451" s="432"/>
      <c r="M451" s="432"/>
      <c r="N451" s="432"/>
      <c r="O451" s="432"/>
      <c r="P451" s="432"/>
      <c r="Q451" s="432"/>
      <c r="R451" s="432"/>
      <c r="S451" s="432"/>
      <c r="T451" s="432"/>
      <c r="U451" s="432"/>
      <c r="V451" s="432"/>
      <c r="W451" s="432"/>
      <c r="X451" s="54"/>
      <c r="Y451" s="54"/>
      <c r="Z451" s="54"/>
      <c r="AA451" s="54"/>
      <c r="AB451" s="54"/>
      <c r="AC451" s="54"/>
    </row>
    <row r="452" ht="78.0" customHeight="1">
      <c r="A452" s="644">
        <v>45606.0</v>
      </c>
      <c r="B452" s="414" t="s">
        <v>3608</v>
      </c>
      <c r="C452" s="414" t="s">
        <v>3609</v>
      </c>
      <c r="D452" s="414"/>
      <c r="E452" s="42"/>
      <c r="F452" s="414" t="s">
        <v>3612</v>
      </c>
      <c r="G452" s="414" t="s">
        <v>3614</v>
      </c>
      <c r="H452" s="42"/>
      <c r="I452" s="42"/>
      <c r="J452" s="42"/>
      <c r="K452" s="44"/>
      <c r="L452" s="44"/>
      <c r="M452" s="44"/>
      <c r="N452" s="44"/>
      <c r="O452" s="44"/>
      <c r="P452" s="44"/>
      <c r="Q452" s="44"/>
      <c r="R452" s="44"/>
      <c r="S452" s="44"/>
      <c r="T452" s="44"/>
      <c r="U452" s="44"/>
      <c r="V452" s="44"/>
      <c r="W452" s="44"/>
      <c r="X452" s="28"/>
      <c r="Y452" s="28"/>
      <c r="Z452" s="28"/>
      <c r="AA452" s="28"/>
      <c r="AB452" s="28"/>
      <c r="AC452" s="28"/>
    </row>
    <row r="453" ht="78.0" customHeight="1">
      <c r="A453" s="646">
        <v>45606.0</v>
      </c>
      <c r="B453" s="427" t="s">
        <v>3616</v>
      </c>
      <c r="C453" s="427" t="s">
        <v>3617</v>
      </c>
      <c r="D453" s="427"/>
      <c r="E453" s="428"/>
      <c r="F453" s="427" t="s">
        <v>3619</v>
      </c>
      <c r="G453" s="427" t="s">
        <v>3620</v>
      </c>
      <c r="H453" s="427" t="s">
        <v>3621</v>
      </c>
      <c r="I453" s="428"/>
      <c r="J453" s="428"/>
      <c r="K453" s="432"/>
      <c r="L453" s="432"/>
      <c r="M453" s="432"/>
      <c r="N453" s="432"/>
      <c r="O453" s="432"/>
      <c r="P453" s="432"/>
      <c r="Q453" s="432"/>
      <c r="R453" s="432"/>
      <c r="S453" s="432"/>
      <c r="T453" s="432"/>
      <c r="U453" s="432"/>
      <c r="V453" s="432"/>
      <c r="W453" s="432"/>
      <c r="X453" s="54"/>
      <c r="Y453" s="54"/>
      <c r="Z453" s="54"/>
      <c r="AA453" s="54"/>
      <c r="AB453" s="54"/>
      <c r="AC453" s="54"/>
    </row>
    <row r="454" ht="78.0" customHeight="1">
      <c r="A454" s="649">
        <v>45606.0</v>
      </c>
      <c r="B454" s="414" t="s">
        <v>3622</v>
      </c>
      <c r="C454" s="414" t="s">
        <v>3623</v>
      </c>
      <c r="D454" s="414"/>
      <c r="E454" s="42"/>
      <c r="F454" s="414" t="s">
        <v>3625</v>
      </c>
      <c r="G454" s="414" t="s">
        <v>3626</v>
      </c>
      <c r="H454" s="42"/>
      <c r="I454" s="42"/>
      <c r="J454" s="42"/>
      <c r="K454" s="44"/>
      <c r="L454" s="44"/>
      <c r="M454" s="44"/>
      <c r="N454" s="44"/>
      <c r="O454" s="44"/>
      <c r="P454" s="44"/>
      <c r="Q454" s="44"/>
      <c r="R454" s="44"/>
      <c r="S454" s="44"/>
      <c r="T454" s="44"/>
      <c r="U454" s="44"/>
      <c r="V454" s="44"/>
      <c r="W454" s="44"/>
      <c r="X454" s="28"/>
      <c r="Y454" s="28"/>
      <c r="Z454" s="28"/>
      <c r="AA454" s="28"/>
      <c r="AB454" s="28"/>
      <c r="AC454" s="28"/>
    </row>
    <row r="455" ht="78.0" customHeight="1">
      <c r="A455" s="650">
        <v>45605.0</v>
      </c>
      <c r="B455" s="427" t="s">
        <v>3628</v>
      </c>
      <c r="C455" s="427" t="s">
        <v>3629</v>
      </c>
      <c r="D455" s="427"/>
      <c r="E455" s="428"/>
      <c r="F455" s="428"/>
      <c r="G455" s="428"/>
      <c r="H455" s="428"/>
      <c r="I455" s="428"/>
      <c r="J455" s="428"/>
      <c r="K455" s="432"/>
      <c r="L455" s="432"/>
      <c r="M455" s="432"/>
      <c r="N455" s="432"/>
      <c r="O455" s="432"/>
      <c r="P455" s="432"/>
      <c r="Q455" s="432"/>
      <c r="R455" s="432"/>
      <c r="S455" s="432"/>
      <c r="T455" s="432"/>
      <c r="U455" s="432"/>
      <c r="V455" s="432"/>
      <c r="W455" s="432"/>
      <c r="X455" s="54"/>
      <c r="Y455" s="54"/>
      <c r="Z455" s="54"/>
      <c r="AA455" s="54"/>
      <c r="AB455" s="54"/>
      <c r="AC455" s="54"/>
    </row>
    <row r="456" ht="78.0" customHeight="1">
      <c r="A456" s="649">
        <v>45605.0</v>
      </c>
      <c r="B456" s="414" t="s">
        <v>3631</v>
      </c>
      <c r="C456" s="414" t="s">
        <v>3632</v>
      </c>
      <c r="D456" s="414"/>
      <c r="E456" s="42"/>
      <c r="F456" s="414" t="s">
        <v>3633</v>
      </c>
      <c r="G456" s="414" t="s">
        <v>3634</v>
      </c>
      <c r="H456" s="414" t="s">
        <v>3635</v>
      </c>
      <c r="I456" s="42"/>
      <c r="J456" s="42"/>
      <c r="K456" s="44"/>
      <c r="L456" s="44"/>
      <c r="M456" s="44"/>
      <c r="N456" s="44"/>
      <c r="O456" s="44"/>
      <c r="P456" s="44"/>
      <c r="Q456" s="44"/>
      <c r="R456" s="44"/>
      <c r="S456" s="44"/>
      <c r="T456" s="44"/>
      <c r="U456" s="44"/>
      <c r="V456" s="44"/>
      <c r="W456" s="44"/>
      <c r="X456" s="28"/>
      <c r="Y456" s="28"/>
      <c r="Z456" s="28"/>
      <c r="AA456" s="28"/>
      <c r="AB456" s="28"/>
      <c r="AC456" s="28"/>
    </row>
    <row r="457" ht="78.0" customHeight="1">
      <c r="A457" s="650">
        <v>45605.0</v>
      </c>
      <c r="B457" s="427" t="s">
        <v>3637</v>
      </c>
      <c r="C457" s="427" t="s">
        <v>3638</v>
      </c>
      <c r="D457" s="427"/>
      <c r="E457" s="428"/>
      <c r="F457" s="428"/>
      <c r="G457" s="428"/>
      <c r="H457" s="428"/>
      <c r="I457" s="428"/>
      <c r="J457" s="428"/>
      <c r="K457" s="432"/>
      <c r="L457" s="432"/>
      <c r="M457" s="432"/>
      <c r="N457" s="432"/>
      <c r="O457" s="432"/>
      <c r="P457" s="432"/>
      <c r="Q457" s="432"/>
      <c r="R457" s="432"/>
      <c r="S457" s="432"/>
      <c r="T457" s="432"/>
      <c r="U457" s="432"/>
      <c r="V457" s="432"/>
      <c r="W457" s="432"/>
      <c r="X457" s="54"/>
      <c r="Y457" s="54"/>
      <c r="Z457" s="54"/>
      <c r="AA457" s="54"/>
      <c r="AB457" s="54"/>
      <c r="AC457" s="54"/>
    </row>
    <row r="458" ht="78.0" customHeight="1">
      <c r="A458" s="649">
        <v>45604.0</v>
      </c>
      <c r="B458" s="414" t="s">
        <v>3639</v>
      </c>
      <c r="C458" s="42"/>
      <c r="D458" s="414"/>
      <c r="E458" s="42"/>
      <c r="F458" s="42"/>
      <c r="G458" s="42"/>
      <c r="H458" s="42"/>
      <c r="I458" s="42"/>
      <c r="J458" s="42"/>
      <c r="K458" s="44"/>
      <c r="L458" s="44"/>
      <c r="M458" s="44"/>
      <c r="N458" s="44"/>
      <c r="O458" s="44"/>
      <c r="P458" s="44"/>
      <c r="Q458" s="44"/>
      <c r="R458" s="44"/>
      <c r="S458" s="44"/>
      <c r="T458" s="44"/>
      <c r="U458" s="44"/>
      <c r="V458" s="44"/>
      <c r="W458" s="44"/>
      <c r="X458" s="28"/>
      <c r="Y458" s="28"/>
      <c r="Z458" s="28"/>
      <c r="AA458" s="28"/>
      <c r="AB458" s="28"/>
      <c r="AC458" s="28"/>
    </row>
    <row r="459" ht="78.0" customHeight="1">
      <c r="A459" s="650">
        <v>45604.0</v>
      </c>
      <c r="B459" s="427" t="s">
        <v>3641</v>
      </c>
      <c r="C459" s="427" t="s">
        <v>3642</v>
      </c>
      <c r="D459" s="427"/>
      <c r="E459" s="428"/>
      <c r="F459" s="427" t="s">
        <v>3643</v>
      </c>
      <c r="G459" s="428"/>
      <c r="H459" s="428"/>
      <c r="I459" s="428"/>
      <c r="J459" s="428"/>
      <c r="K459" s="432"/>
      <c r="L459" s="432"/>
      <c r="M459" s="432"/>
      <c r="N459" s="432"/>
      <c r="O459" s="432"/>
      <c r="P459" s="432"/>
      <c r="Q459" s="432"/>
      <c r="R459" s="432"/>
      <c r="S459" s="432"/>
      <c r="T459" s="432"/>
      <c r="U459" s="432"/>
      <c r="V459" s="432"/>
      <c r="W459" s="432"/>
      <c r="X459" s="54"/>
      <c r="Y459" s="54"/>
      <c r="Z459" s="54"/>
      <c r="AA459" s="54"/>
      <c r="AB459" s="54"/>
      <c r="AC459" s="54"/>
    </row>
    <row r="460" ht="78.0" customHeight="1">
      <c r="A460" s="649">
        <v>45604.0</v>
      </c>
      <c r="B460" s="414" t="s">
        <v>3645</v>
      </c>
      <c r="C460" s="414" t="s">
        <v>3646</v>
      </c>
      <c r="D460" s="414"/>
      <c r="E460" s="42"/>
      <c r="F460" s="42"/>
      <c r="G460" s="42"/>
      <c r="H460" s="42"/>
      <c r="I460" s="42"/>
      <c r="J460" s="42"/>
      <c r="K460" s="44"/>
      <c r="L460" s="44"/>
      <c r="M460" s="44"/>
      <c r="N460" s="44"/>
      <c r="O460" s="44"/>
      <c r="P460" s="44"/>
      <c r="Q460" s="44"/>
      <c r="R460" s="44"/>
      <c r="S460" s="44"/>
      <c r="T460" s="44"/>
      <c r="U460" s="44"/>
      <c r="V460" s="44"/>
      <c r="W460" s="44"/>
      <c r="X460" s="28"/>
      <c r="Y460" s="28"/>
      <c r="Z460" s="28"/>
      <c r="AA460" s="28"/>
      <c r="AB460" s="28"/>
      <c r="AC460" s="28"/>
    </row>
    <row r="461" ht="78.0" customHeight="1">
      <c r="A461" s="650">
        <v>45604.0</v>
      </c>
      <c r="B461" s="427" t="s">
        <v>3647</v>
      </c>
      <c r="C461" s="427" t="s">
        <v>3648</v>
      </c>
      <c r="D461" s="427"/>
      <c r="E461" s="428"/>
      <c r="F461" s="427" t="s">
        <v>3649</v>
      </c>
      <c r="G461" s="428"/>
      <c r="H461" s="428"/>
      <c r="I461" s="428"/>
      <c r="J461" s="428"/>
      <c r="K461" s="432"/>
      <c r="L461" s="432"/>
      <c r="M461" s="432"/>
      <c r="N461" s="432"/>
      <c r="O461" s="432"/>
      <c r="P461" s="432"/>
      <c r="Q461" s="432"/>
      <c r="R461" s="432"/>
      <c r="S461" s="432"/>
      <c r="T461" s="432"/>
      <c r="U461" s="432"/>
      <c r="V461" s="432"/>
      <c r="W461" s="432"/>
      <c r="X461" s="54"/>
      <c r="Y461" s="54"/>
      <c r="Z461" s="54"/>
      <c r="AA461" s="54"/>
      <c r="AB461" s="54"/>
      <c r="AC461" s="54"/>
    </row>
    <row r="462" ht="78.0" customHeight="1">
      <c r="A462" s="649">
        <v>45604.0</v>
      </c>
      <c r="B462" s="414" t="s">
        <v>3653</v>
      </c>
      <c r="C462" s="414" t="s">
        <v>3654</v>
      </c>
      <c r="D462" s="414"/>
      <c r="E462" s="42"/>
      <c r="F462" s="42"/>
      <c r="G462" s="42"/>
      <c r="H462" s="42"/>
      <c r="I462" s="42"/>
      <c r="J462" s="42"/>
      <c r="K462" s="44"/>
      <c r="L462" s="44"/>
      <c r="M462" s="44"/>
      <c r="N462" s="44"/>
      <c r="O462" s="44"/>
      <c r="P462" s="44"/>
      <c r="Q462" s="44"/>
      <c r="R462" s="44"/>
      <c r="S462" s="44"/>
      <c r="T462" s="44"/>
      <c r="U462" s="44"/>
      <c r="V462" s="44"/>
      <c r="W462" s="44"/>
      <c r="X462" s="28"/>
      <c r="Y462" s="28"/>
      <c r="Z462" s="28"/>
      <c r="AA462" s="28"/>
      <c r="AB462" s="28"/>
      <c r="AC462" s="28"/>
    </row>
    <row r="463" ht="78.0" customHeight="1">
      <c r="A463" s="650">
        <v>45604.0</v>
      </c>
      <c r="B463" s="427" t="s">
        <v>3656</v>
      </c>
      <c r="C463" s="427" t="s">
        <v>3657</v>
      </c>
      <c r="D463" s="427"/>
      <c r="E463" s="428"/>
      <c r="F463" s="428"/>
      <c r="G463" s="428"/>
      <c r="H463" s="428"/>
      <c r="I463" s="428"/>
      <c r="J463" s="428"/>
      <c r="K463" s="432"/>
      <c r="L463" s="432"/>
      <c r="M463" s="432"/>
      <c r="N463" s="432"/>
      <c r="O463" s="432"/>
      <c r="P463" s="432"/>
      <c r="Q463" s="432"/>
      <c r="R463" s="432"/>
      <c r="S463" s="432"/>
      <c r="T463" s="432"/>
      <c r="U463" s="432"/>
      <c r="V463" s="432"/>
      <c r="W463" s="432"/>
      <c r="X463" s="54"/>
      <c r="Y463" s="54"/>
      <c r="Z463" s="54"/>
      <c r="AA463" s="54"/>
      <c r="AB463" s="54"/>
      <c r="AC463" s="54"/>
    </row>
    <row r="464" ht="78.0" customHeight="1">
      <c r="A464" s="649">
        <v>45604.0</v>
      </c>
      <c r="B464" s="649" t="s">
        <v>3659</v>
      </c>
      <c r="C464" s="414" t="s">
        <v>3660</v>
      </c>
      <c r="D464" s="649"/>
      <c r="E464" s="42"/>
      <c r="F464" s="414" t="s">
        <v>3662</v>
      </c>
      <c r="G464" s="414" t="s">
        <v>3664</v>
      </c>
      <c r="H464" s="414" t="s">
        <v>3665</v>
      </c>
      <c r="I464" s="414" t="s">
        <v>572</v>
      </c>
      <c r="J464" s="414" t="s">
        <v>3666</v>
      </c>
      <c r="K464" s="44"/>
      <c r="L464" s="44"/>
      <c r="M464" s="44"/>
      <c r="N464" s="44"/>
      <c r="O464" s="44"/>
      <c r="P464" s="44"/>
      <c r="Q464" s="44"/>
      <c r="R464" s="44"/>
      <c r="S464" s="44"/>
      <c r="T464" s="44"/>
      <c r="U464" s="44"/>
      <c r="V464" s="44"/>
      <c r="W464" s="44"/>
      <c r="X464" s="28"/>
      <c r="Y464" s="28"/>
      <c r="Z464" s="28"/>
      <c r="AA464" s="28"/>
      <c r="AB464" s="28"/>
      <c r="AC464" s="28"/>
    </row>
    <row r="465" ht="78.0" customHeight="1">
      <c r="A465" s="650">
        <v>45604.0</v>
      </c>
      <c r="B465" s="427" t="s">
        <v>3668</v>
      </c>
      <c r="C465" s="427" t="s">
        <v>3669</v>
      </c>
      <c r="D465" s="427"/>
      <c r="E465" s="428"/>
      <c r="F465" s="427" t="s">
        <v>3670</v>
      </c>
      <c r="G465" s="427" t="s">
        <v>3672</v>
      </c>
      <c r="H465" s="427" t="s">
        <v>3674</v>
      </c>
      <c r="I465" s="428"/>
      <c r="J465" s="428"/>
      <c r="K465" s="432"/>
      <c r="L465" s="432"/>
      <c r="M465" s="432"/>
      <c r="N465" s="432"/>
      <c r="O465" s="432"/>
      <c r="P465" s="432"/>
      <c r="Q465" s="432"/>
      <c r="R465" s="432"/>
      <c r="S465" s="432"/>
      <c r="T465" s="432"/>
      <c r="U465" s="432"/>
      <c r="V465" s="432"/>
      <c r="W465" s="432"/>
      <c r="X465" s="54"/>
      <c r="Y465" s="54"/>
      <c r="Z465" s="54"/>
      <c r="AA465" s="54"/>
      <c r="AB465" s="54"/>
      <c r="AC465" s="54"/>
    </row>
    <row r="466" ht="78.0" customHeight="1">
      <c r="A466" s="649">
        <v>45604.0</v>
      </c>
      <c r="B466" s="414" t="s">
        <v>3679</v>
      </c>
      <c r="C466" s="42"/>
      <c r="D466" s="649"/>
      <c r="E466" s="42"/>
      <c r="F466" s="42"/>
      <c r="G466" s="42"/>
      <c r="H466" s="42"/>
      <c r="I466" s="42"/>
      <c r="J466" s="42"/>
      <c r="K466" s="44"/>
      <c r="L466" s="44"/>
      <c r="M466" s="44"/>
      <c r="N466" s="44"/>
      <c r="O466" s="44"/>
      <c r="P466" s="44"/>
      <c r="Q466" s="44"/>
      <c r="R466" s="44"/>
      <c r="S466" s="44"/>
      <c r="T466" s="44"/>
      <c r="U466" s="44"/>
      <c r="V466" s="44"/>
      <c r="W466" s="44"/>
      <c r="X466" s="28"/>
      <c r="Y466" s="28"/>
      <c r="Z466" s="28"/>
      <c r="AA466" s="28"/>
      <c r="AB466" s="28"/>
      <c r="AC466" s="28"/>
    </row>
    <row r="467" ht="78.0" customHeight="1">
      <c r="A467" s="650">
        <v>45604.0</v>
      </c>
      <c r="B467" s="427" t="s">
        <v>3682</v>
      </c>
      <c r="C467" s="427" t="s">
        <v>3684</v>
      </c>
      <c r="D467" s="427"/>
      <c r="E467" s="428"/>
      <c r="F467" s="428"/>
      <c r="G467" s="428"/>
      <c r="H467" s="428"/>
      <c r="I467" s="428"/>
      <c r="J467" s="428"/>
      <c r="K467" s="432"/>
      <c r="L467" s="432"/>
      <c r="M467" s="432"/>
      <c r="N467" s="432"/>
      <c r="O467" s="432"/>
      <c r="P467" s="432"/>
      <c r="Q467" s="432"/>
      <c r="R467" s="432"/>
      <c r="S467" s="432"/>
      <c r="T467" s="432"/>
      <c r="U467" s="432"/>
      <c r="V467" s="432"/>
      <c r="W467" s="432"/>
      <c r="X467" s="54"/>
      <c r="Y467" s="54"/>
      <c r="Z467" s="54"/>
      <c r="AA467" s="54"/>
      <c r="AB467" s="54"/>
      <c r="AC467" s="54"/>
    </row>
    <row r="468" ht="78.0" customHeight="1">
      <c r="A468" s="649">
        <v>45604.0</v>
      </c>
      <c r="B468" s="414" t="s">
        <v>3686</v>
      </c>
      <c r="C468" s="42"/>
      <c r="D468" s="414"/>
      <c r="E468" s="42"/>
      <c r="F468" s="42"/>
      <c r="G468" s="42"/>
      <c r="H468" s="42"/>
      <c r="I468" s="42"/>
      <c r="J468" s="42"/>
      <c r="K468" s="44"/>
      <c r="L468" s="44"/>
      <c r="M468" s="44"/>
      <c r="N468" s="44"/>
      <c r="O468" s="44"/>
      <c r="P468" s="44"/>
      <c r="Q468" s="44"/>
      <c r="R468" s="44"/>
      <c r="S468" s="44"/>
      <c r="T468" s="44"/>
      <c r="U468" s="44"/>
      <c r="V468" s="44"/>
      <c r="W468" s="44"/>
      <c r="X468" s="28"/>
      <c r="Y468" s="28"/>
      <c r="Z468" s="28"/>
      <c r="AA468" s="28"/>
      <c r="AB468" s="28"/>
      <c r="AC468" s="28"/>
    </row>
    <row r="469" ht="78.0" customHeight="1">
      <c r="A469" s="650">
        <v>45603.0</v>
      </c>
      <c r="B469" s="427" t="s">
        <v>3688</v>
      </c>
      <c r="C469" s="428"/>
      <c r="D469" s="427"/>
      <c r="E469" s="428"/>
      <c r="F469" s="428"/>
      <c r="G469" s="428"/>
      <c r="H469" s="428"/>
      <c r="I469" s="428"/>
      <c r="J469" s="428"/>
      <c r="K469" s="432"/>
      <c r="L469" s="432"/>
      <c r="M469" s="432"/>
      <c r="N469" s="432"/>
      <c r="O469" s="432"/>
      <c r="P469" s="432"/>
      <c r="Q469" s="432"/>
      <c r="R469" s="432"/>
      <c r="S469" s="432"/>
      <c r="T469" s="432"/>
      <c r="U469" s="432"/>
      <c r="V469" s="432"/>
      <c r="W469" s="432"/>
      <c r="X469" s="54"/>
      <c r="Y469" s="54"/>
      <c r="Z469" s="54"/>
      <c r="AA469" s="54"/>
      <c r="AB469" s="54"/>
      <c r="AC469" s="54"/>
    </row>
    <row r="470" ht="78.0" customHeight="1">
      <c r="A470" s="649">
        <v>45603.0</v>
      </c>
      <c r="B470" s="414" t="s">
        <v>3690</v>
      </c>
      <c r="C470" s="414" t="s">
        <v>3401</v>
      </c>
      <c r="D470" s="414"/>
      <c r="E470" s="42"/>
      <c r="F470" s="42"/>
      <c r="G470" s="42"/>
      <c r="H470" s="42"/>
      <c r="I470" s="42"/>
      <c r="J470" s="42"/>
      <c r="K470" s="44"/>
      <c r="L470" s="44"/>
      <c r="M470" s="44"/>
      <c r="N470" s="44"/>
      <c r="O470" s="44"/>
      <c r="P470" s="44"/>
      <c r="Q470" s="44"/>
      <c r="R470" s="44"/>
      <c r="S470" s="44"/>
      <c r="T470" s="44"/>
      <c r="U470" s="44"/>
      <c r="V470" s="44"/>
      <c r="W470" s="44"/>
      <c r="X470" s="28"/>
      <c r="Y470" s="28"/>
      <c r="Z470" s="28"/>
      <c r="AA470" s="28"/>
      <c r="AB470" s="28"/>
      <c r="AC470" s="28"/>
    </row>
    <row r="471" ht="78.0" customHeight="1">
      <c r="A471" s="650">
        <v>45603.0</v>
      </c>
      <c r="B471" s="427" t="s">
        <v>3694</v>
      </c>
      <c r="C471" s="427" t="s">
        <v>3696</v>
      </c>
      <c r="D471" s="427"/>
      <c r="E471" s="428"/>
      <c r="F471" s="427" t="s">
        <v>3698</v>
      </c>
      <c r="G471" s="428"/>
      <c r="H471" s="428"/>
      <c r="I471" s="428"/>
      <c r="J471" s="428"/>
      <c r="K471" s="432"/>
      <c r="L471" s="432"/>
      <c r="M471" s="432"/>
      <c r="N471" s="432"/>
      <c r="O471" s="432"/>
      <c r="P471" s="432"/>
      <c r="Q471" s="432"/>
      <c r="R471" s="432"/>
      <c r="S471" s="432"/>
      <c r="T471" s="432"/>
      <c r="U471" s="432"/>
      <c r="V471" s="432"/>
      <c r="W471" s="432"/>
      <c r="X471" s="54"/>
      <c r="Y471" s="54"/>
      <c r="Z471" s="54"/>
      <c r="AA471" s="54"/>
      <c r="AB471" s="54"/>
      <c r="AC471" s="54"/>
    </row>
    <row r="472" ht="78.0" customHeight="1">
      <c r="A472" s="649">
        <v>45603.0</v>
      </c>
      <c r="B472" s="414" t="s">
        <v>3706</v>
      </c>
      <c r="C472" s="414" t="s">
        <v>3708</v>
      </c>
      <c r="D472" s="414"/>
      <c r="E472" s="42"/>
      <c r="F472" s="414" t="s">
        <v>3711</v>
      </c>
      <c r="G472" s="414" t="s">
        <v>3713</v>
      </c>
      <c r="H472" s="414" t="s">
        <v>3714</v>
      </c>
      <c r="I472" s="414" t="s">
        <v>3716</v>
      </c>
      <c r="J472" s="414" t="s">
        <v>3718</v>
      </c>
      <c r="K472" s="626" t="s">
        <v>3719</v>
      </c>
      <c r="L472" s="626" t="s">
        <v>3721</v>
      </c>
      <c r="M472" s="44"/>
      <c r="N472" s="44"/>
      <c r="O472" s="44"/>
      <c r="P472" s="44"/>
      <c r="Q472" s="44"/>
      <c r="R472" s="44"/>
      <c r="S472" s="44"/>
      <c r="T472" s="44"/>
      <c r="U472" s="44"/>
      <c r="V472" s="44"/>
      <c r="W472" s="44"/>
      <c r="X472" s="28"/>
      <c r="Y472" s="28"/>
      <c r="Z472" s="28"/>
      <c r="AA472" s="28"/>
      <c r="AB472" s="28"/>
      <c r="AC472" s="28"/>
    </row>
    <row r="473" ht="78.0" customHeight="1">
      <c r="A473" s="650">
        <v>45603.0</v>
      </c>
      <c r="B473" s="427" t="s">
        <v>3725</v>
      </c>
      <c r="C473" s="427" t="s">
        <v>3726</v>
      </c>
      <c r="D473" s="427"/>
      <c r="E473" s="428"/>
      <c r="F473" s="428"/>
      <c r="G473" s="428"/>
      <c r="H473" s="428"/>
      <c r="I473" s="428"/>
      <c r="J473" s="428"/>
      <c r="K473" s="432"/>
      <c r="L473" s="432"/>
      <c r="M473" s="432"/>
      <c r="N473" s="432"/>
      <c r="O473" s="432"/>
      <c r="P473" s="432"/>
      <c r="Q473" s="432"/>
      <c r="R473" s="432"/>
      <c r="S473" s="432"/>
      <c r="T473" s="432"/>
      <c r="U473" s="432"/>
      <c r="V473" s="432"/>
      <c r="W473" s="432"/>
      <c r="X473" s="54"/>
      <c r="Y473" s="54"/>
      <c r="Z473" s="54"/>
      <c r="AA473" s="54"/>
      <c r="AB473" s="54"/>
      <c r="AC473" s="54"/>
    </row>
    <row r="474" ht="78.0" customHeight="1">
      <c r="A474" s="649">
        <v>45603.0</v>
      </c>
      <c r="B474" s="42"/>
      <c r="C474" s="414" t="s">
        <v>3739</v>
      </c>
      <c r="D474" s="414"/>
      <c r="E474" s="42"/>
      <c r="F474" s="414" t="s">
        <v>3742</v>
      </c>
      <c r="G474" s="414" t="s">
        <v>3743</v>
      </c>
      <c r="H474" s="42"/>
      <c r="I474" s="42"/>
      <c r="J474" s="42"/>
      <c r="K474" s="44"/>
      <c r="L474" s="44"/>
      <c r="M474" s="44"/>
      <c r="N474" s="44"/>
      <c r="O474" s="44"/>
      <c r="P474" s="44"/>
      <c r="Q474" s="44"/>
      <c r="R474" s="44"/>
      <c r="S474" s="44"/>
      <c r="T474" s="44"/>
      <c r="U474" s="44"/>
      <c r="V474" s="44"/>
      <c r="W474" s="44"/>
      <c r="X474" s="28"/>
      <c r="Y474" s="28"/>
      <c r="Z474" s="28"/>
      <c r="AA474" s="28"/>
      <c r="AB474" s="28"/>
      <c r="AC474" s="28"/>
    </row>
    <row r="475" ht="78.0" customHeight="1">
      <c r="A475" s="650">
        <v>45603.0</v>
      </c>
      <c r="B475" s="427" t="s">
        <v>3746</v>
      </c>
      <c r="C475" s="428"/>
      <c r="D475" s="427"/>
      <c r="E475" s="428"/>
      <c r="F475" s="427" t="s">
        <v>3747</v>
      </c>
      <c r="G475" s="428"/>
      <c r="H475" s="428"/>
      <c r="I475" s="428"/>
      <c r="J475" s="428"/>
      <c r="K475" s="432"/>
      <c r="L475" s="432"/>
      <c r="M475" s="432"/>
      <c r="N475" s="432"/>
      <c r="O475" s="432"/>
      <c r="P475" s="432"/>
      <c r="Q475" s="432"/>
      <c r="R475" s="432"/>
      <c r="S475" s="432"/>
      <c r="T475" s="432"/>
      <c r="U475" s="432"/>
      <c r="V475" s="432"/>
      <c r="W475" s="432"/>
      <c r="X475" s="54"/>
      <c r="Y475" s="54"/>
      <c r="Z475" s="54"/>
      <c r="AA475" s="54"/>
      <c r="AB475" s="54"/>
      <c r="AC475" s="54"/>
    </row>
    <row r="476" ht="78.0" customHeight="1">
      <c r="A476" s="649">
        <v>45603.0</v>
      </c>
      <c r="B476" s="414" t="s">
        <v>3748</v>
      </c>
      <c r="C476" s="414" t="s">
        <v>3748</v>
      </c>
      <c r="D476" s="414"/>
      <c r="E476" s="42"/>
      <c r="F476" s="414" t="s">
        <v>3750</v>
      </c>
      <c r="G476" s="414" t="s">
        <v>3751</v>
      </c>
      <c r="H476" s="414" t="s">
        <v>3752</v>
      </c>
      <c r="I476" s="414" t="s">
        <v>3753</v>
      </c>
      <c r="J476" s="42"/>
      <c r="K476" s="44"/>
      <c r="L476" s="44"/>
      <c r="M476" s="44"/>
      <c r="N476" s="44"/>
      <c r="O476" s="44"/>
      <c r="P476" s="44"/>
      <c r="Q476" s="44"/>
      <c r="R476" s="44"/>
      <c r="S476" s="44"/>
      <c r="T476" s="44"/>
      <c r="U476" s="44"/>
      <c r="V476" s="44"/>
      <c r="W476" s="44"/>
      <c r="X476" s="28"/>
      <c r="Y476" s="28"/>
      <c r="Z476" s="28"/>
      <c r="AA476" s="28"/>
      <c r="AB476" s="28"/>
      <c r="AC476" s="28"/>
    </row>
    <row r="477" ht="78.0" customHeight="1">
      <c r="A477" s="650">
        <v>45603.0</v>
      </c>
      <c r="B477" s="427" t="s">
        <v>3754</v>
      </c>
      <c r="C477" s="427" t="s">
        <v>3756</v>
      </c>
      <c r="D477" s="427"/>
      <c r="E477" s="428"/>
      <c r="F477" s="427" t="s">
        <v>3757</v>
      </c>
      <c r="G477" s="427" t="s">
        <v>3759</v>
      </c>
      <c r="H477" s="428"/>
      <c r="I477" s="428"/>
      <c r="J477" s="428"/>
      <c r="K477" s="432"/>
      <c r="L477" s="432"/>
      <c r="M477" s="432"/>
      <c r="N477" s="432"/>
      <c r="O477" s="432"/>
      <c r="P477" s="432"/>
      <c r="Q477" s="432"/>
      <c r="R477" s="432"/>
      <c r="S477" s="432"/>
      <c r="T477" s="432"/>
      <c r="U477" s="432"/>
      <c r="V477" s="432"/>
      <c r="W477" s="432"/>
      <c r="X477" s="54"/>
      <c r="Y477" s="54"/>
      <c r="Z477" s="54"/>
      <c r="AA477" s="54"/>
      <c r="AB477" s="54"/>
      <c r="AC477" s="54"/>
    </row>
    <row r="478" ht="78.0" customHeight="1">
      <c r="A478" s="649">
        <v>45603.0</v>
      </c>
      <c r="B478" s="414" t="s">
        <v>3763</v>
      </c>
      <c r="C478" s="414" t="s">
        <v>3764</v>
      </c>
      <c r="D478" s="414"/>
      <c r="E478" s="42"/>
      <c r="F478" s="414" t="s">
        <v>3765</v>
      </c>
      <c r="G478" s="414" t="s">
        <v>3766</v>
      </c>
      <c r="H478" s="42"/>
      <c r="I478" s="42"/>
      <c r="J478" s="42"/>
      <c r="K478" s="44"/>
      <c r="L478" s="44"/>
      <c r="M478" s="44"/>
      <c r="N478" s="44"/>
      <c r="O478" s="44"/>
      <c r="P478" s="44"/>
      <c r="Q478" s="44"/>
      <c r="R478" s="44"/>
      <c r="S478" s="44"/>
      <c r="T478" s="44"/>
      <c r="U478" s="44"/>
      <c r="V478" s="44"/>
      <c r="W478" s="44"/>
      <c r="X478" s="28"/>
      <c r="Y478" s="28"/>
      <c r="Z478" s="28"/>
      <c r="AA478" s="28"/>
      <c r="AB478" s="28"/>
      <c r="AC478" s="28"/>
    </row>
    <row r="479" ht="78.0" customHeight="1">
      <c r="A479" s="650">
        <v>45603.0</v>
      </c>
      <c r="B479" s="427" t="s">
        <v>3768</v>
      </c>
      <c r="C479" s="427" t="s">
        <v>3769</v>
      </c>
      <c r="D479" s="427"/>
      <c r="E479" s="428"/>
      <c r="F479" s="428"/>
      <c r="G479" s="428"/>
      <c r="H479" s="428"/>
      <c r="I479" s="428"/>
      <c r="J479" s="428"/>
      <c r="K479" s="432"/>
      <c r="L479" s="432"/>
      <c r="M479" s="432"/>
      <c r="N479" s="432"/>
      <c r="O479" s="432"/>
      <c r="P479" s="432"/>
      <c r="Q479" s="432"/>
      <c r="R479" s="432"/>
      <c r="S479" s="432"/>
      <c r="T479" s="432"/>
      <c r="U479" s="432"/>
      <c r="V479" s="432"/>
      <c r="W479" s="432"/>
      <c r="X479" s="54"/>
      <c r="Y479" s="54"/>
      <c r="Z479" s="54"/>
      <c r="AA479" s="54"/>
      <c r="AB479" s="54"/>
      <c r="AC479" s="54"/>
    </row>
    <row r="480" ht="78.0" customHeight="1">
      <c r="A480" s="649">
        <v>45602.0</v>
      </c>
      <c r="B480" s="414" t="s">
        <v>3771</v>
      </c>
      <c r="C480" s="42"/>
      <c r="D480" s="414"/>
      <c r="E480" s="42"/>
      <c r="F480" s="42"/>
      <c r="G480" s="42"/>
      <c r="H480" s="42"/>
      <c r="I480" s="42"/>
      <c r="J480" s="42"/>
      <c r="K480" s="44"/>
      <c r="L480" s="44"/>
      <c r="M480" s="44"/>
      <c r="N480" s="44"/>
      <c r="O480" s="44"/>
      <c r="P480" s="44"/>
      <c r="Q480" s="44"/>
      <c r="R480" s="44"/>
      <c r="S480" s="44"/>
      <c r="T480" s="44"/>
      <c r="U480" s="44"/>
      <c r="V480" s="44"/>
      <c r="W480" s="44"/>
      <c r="X480" s="28"/>
      <c r="Y480" s="28"/>
      <c r="Z480" s="28"/>
      <c r="AA480" s="28"/>
      <c r="AB480" s="28"/>
      <c r="AC480" s="28"/>
    </row>
    <row r="481" ht="78.0" customHeight="1">
      <c r="A481" s="650">
        <v>45602.0</v>
      </c>
      <c r="B481" s="427" t="s">
        <v>3773</v>
      </c>
      <c r="C481" s="428"/>
      <c r="D481" s="427"/>
      <c r="E481" s="428"/>
      <c r="F481" s="428"/>
      <c r="G481" s="428"/>
      <c r="H481" s="428"/>
      <c r="I481" s="428"/>
      <c r="J481" s="428"/>
      <c r="K481" s="432"/>
      <c r="L481" s="432"/>
      <c r="M481" s="432"/>
      <c r="N481" s="432"/>
      <c r="O481" s="432"/>
      <c r="P481" s="432"/>
      <c r="Q481" s="432"/>
      <c r="R481" s="432"/>
      <c r="S481" s="432"/>
      <c r="T481" s="432"/>
      <c r="U481" s="432"/>
      <c r="V481" s="432"/>
      <c r="W481" s="432"/>
      <c r="X481" s="54"/>
      <c r="Y481" s="54"/>
      <c r="Z481" s="54"/>
      <c r="AA481" s="54"/>
      <c r="AB481" s="54"/>
      <c r="AC481" s="54"/>
    </row>
    <row r="482" ht="78.0" customHeight="1">
      <c r="A482" s="649">
        <v>45602.0</v>
      </c>
      <c r="B482" s="414" t="s">
        <v>3776</v>
      </c>
      <c r="C482" s="42"/>
      <c r="D482" s="414"/>
      <c r="E482" s="42"/>
      <c r="F482" s="42"/>
      <c r="G482" s="42"/>
      <c r="H482" s="42"/>
      <c r="I482" s="42"/>
      <c r="J482" s="42"/>
      <c r="K482" s="44"/>
      <c r="L482" s="44"/>
      <c r="M482" s="44"/>
      <c r="N482" s="44"/>
      <c r="O482" s="44"/>
      <c r="P482" s="44"/>
      <c r="Q482" s="44"/>
      <c r="R482" s="44"/>
      <c r="S482" s="44"/>
      <c r="T482" s="44"/>
      <c r="U482" s="44"/>
      <c r="V482" s="44"/>
      <c r="W482" s="44"/>
      <c r="X482" s="28"/>
      <c r="Y482" s="28"/>
      <c r="Z482" s="28"/>
      <c r="AA482" s="28"/>
      <c r="AB482" s="28"/>
      <c r="AC482" s="28"/>
    </row>
    <row r="483" ht="78.0" customHeight="1">
      <c r="A483" s="650">
        <v>45602.0</v>
      </c>
      <c r="B483" s="427" t="s">
        <v>3781</v>
      </c>
      <c r="C483" s="427" t="s">
        <v>3782</v>
      </c>
      <c r="D483" s="427"/>
      <c r="E483" s="428"/>
      <c r="F483" s="427" t="s">
        <v>3783</v>
      </c>
      <c r="G483" s="427" t="s">
        <v>3784</v>
      </c>
      <c r="H483" s="428"/>
      <c r="I483" s="428"/>
      <c r="J483" s="428"/>
      <c r="K483" s="432"/>
      <c r="L483" s="432"/>
      <c r="M483" s="432"/>
      <c r="N483" s="432"/>
      <c r="O483" s="432"/>
      <c r="P483" s="432"/>
      <c r="Q483" s="432"/>
      <c r="R483" s="432"/>
      <c r="S483" s="432"/>
      <c r="T483" s="432"/>
      <c r="U483" s="432"/>
      <c r="V483" s="432"/>
      <c r="W483" s="432"/>
      <c r="X483" s="54"/>
      <c r="Y483" s="54"/>
      <c r="Z483" s="54"/>
      <c r="AA483" s="54"/>
      <c r="AB483" s="54"/>
      <c r="AC483" s="54"/>
    </row>
    <row r="484" ht="78.0" customHeight="1">
      <c r="A484" s="649">
        <v>45602.0</v>
      </c>
      <c r="B484" s="414" t="s">
        <v>3786</v>
      </c>
      <c r="C484" s="414" t="s">
        <v>3787</v>
      </c>
      <c r="D484" s="414"/>
      <c r="E484" s="42"/>
      <c r="F484" s="42"/>
      <c r="G484" s="42"/>
      <c r="H484" s="42"/>
      <c r="I484" s="42"/>
      <c r="J484" s="42"/>
      <c r="K484" s="44"/>
      <c r="L484" s="44"/>
      <c r="M484" s="44"/>
      <c r="N484" s="44"/>
      <c r="O484" s="44"/>
      <c r="P484" s="44"/>
      <c r="Q484" s="44"/>
      <c r="R484" s="44"/>
      <c r="S484" s="44"/>
      <c r="T484" s="44"/>
      <c r="U484" s="44"/>
      <c r="V484" s="44"/>
      <c r="W484" s="44"/>
      <c r="X484" s="28"/>
      <c r="Y484" s="28"/>
      <c r="Z484" s="28"/>
      <c r="AA484" s="28"/>
      <c r="AB484" s="28"/>
      <c r="AC484" s="28"/>
    </row>
    <row r="485" ht="78.0" customHeight="1">
      <c r="A485" s="650">
        <v>45602.0</v>
      </c>
      <c r="B485" s="427" t="s">
        <v>3789</v>
      </c>
      <c r="C485" s="427" t="s">
        <v>3790</v>
      </c>
      <c r="D485" s="427"/>
      <c r="E485" s="428"/>
      <c r="F485" s="427" t="s">
        <v>1655</v>
      </c>
      <c r="G485" s="427" t="s">
        <v>3791</v>
      </c>
      <c r="H485" s="428"/>
      <c r="I485" s="428"/>
      <c r="J485" s="428"/>
      <c r="K485" s="432"/>
      <c r="L485" s="432"/>
      <c r="M485" s="432"/>
      <c r="N485" s="432"/>
      <c r="O485" s="432"/>
      <c r="P485" s="432"/>
      <c r="Q485" s="432"/>
      <c r="R485" s="432"/>
      <c r="S485" s="432"/>
      <c r="T485" s="432"/>
      <c r="U485" s="432"/>
      <c r="V485" s="432"/>
      <c r="W485" s="432"/>
      <c r="X485" s="54"/>
      <c r="Y485" s="54"/>
      <c r="Z485" s="54"/>
      <c r="AA485" s="54"/>
      <c r="AB485" s="54"/>
      <c r="AC485" s="54"/>
    </row>
    <row r="486" ht="78.0" customHeight="1">
      <c r="A486" s="649">
        <v>45602.0</v>
      </c>
      <c r="B486" s="414" t="s">
        <v>3792</v>
      </c>
      <c r="C486" s="414" t="s">
        <v>3793</v>
      </c>
      <c r="D486" s="414"/>
      <c r="E486" s="42"/>
      <c r="F486" s="414" t="s">
        <v>3795</v>
      </c>
      <c r="G486" s="42"/>
      <c r="H486" s="42"/>
      <c r="I486" s="42"/>
      <c r="J486" s="42"/>
      <c r="K486" s="44"/>
      <c r="L486" s="44"/>
      <c r="M486" s="44"/>
      <c r="N486" s="44"/>
      <c r="O486" s="44"/>
      <c r="P486" s="44"/>
      <c r="Q486" s="44"/>
      <c r="R486" s="44"/>
      <c r="S486" s="44"/>
      <c r="T486" s="44"/>
      <c r="U486" s="44"/>
      <c r="V486" s="44"/>
      <c r="W486" s="44"/>
      <c r="X486" s="28"/>
      <c r="Y486" s="28"/>
      <c r="Z486" s="28"/>
      <c r="AA486" s="28"/>
      <c r="AB486" s="28"/>
      <c r="AC486" s="28"/>
    </row>
    <row r="487" ht="78.0" customHeight="1">
      <c r="A487" s="650">
        <v>45602.0</v>
      </c>
      <c r="B487" s="427" t="s">
        <v>3796</v>
      </c>
      <c r="C487" s="427" t="s">
        <v>3797</v>
      </c>
      <c r="D487" s="427"/>
      <c r="E487" s="428"/>
      <c r="F487" s="427" t="s">
        <v>3798</v>
      </c>
      <c r="G487" s="427" t="s">
        <v>3799</v>
      </c>
      <c r="H487" s="427" t="s">
        <v>3801</v>
      </c>
      <c r="I487" s="428"/>
      <c r="J487" s="428"/>
      <c r="K487" s="432"/>
      <c r="L487" s="432"/>
      <c r="M487" s="432"/>
      <c r="N487" s="432"/>
      <c r="O487" s="432"/>
      <c r="P487" s="432"/>
      <c r="Q487" s="432"/>
      <c r="R487" s="432"/>
      <c r="S487" s="432"/>
      <c r="T487" s="432"/>
      <c r="U487" s="432"/>
      <c r="V487" s="432"/>
      <c r="W487" s="432"/>
      <c r="X487" s="54"/>
      <c r="Y487" s="54"/>
      <c r="Z487" s="54"/>
      <c r="AA487" s="54"/>
      <c r="AB487" s="54"/>
      <c r="AC487" s="54"/>
    </row>
    <row r="488" ht="78.0" customHeight="1">
      <c r="A488" s="649">
        <v>45602.0</v>
      </c>
      <c r="B488" s="414" t="s">
        <v>3802</v>
      </c>
      <c r="C488" s="42"/>
      <c r="D488" s="414"/>
      <c r="E488" s="42"/>
      <c r="F488" s="42"/>
      <c r="G488" s="42"/>
      <c r="H488" s="42"/>
      <c r="I488" s="42"/>
      <c r="J488" s="42"/>
      <c r="K488" s="44"/>
      <c r="L488" s="44"/>
      <c r="M488" s="44"/>
      <c r="N488" s="44"/>
      <c r="O488" s="44"/>
      <c r="P488" s="44"/>
      <c r="Q488" s="44"/>
      <c r="R488" s="44"/>
      <c r="S488" s="44"/>
      <c r="T488" s="44"/>
      <c r="U488" s="44"/>
      <c r="V488" s="44"/>
      <c r="W488" s="44"/>
      <c r="X488" s="28"/>
      <c r="Y488" s="28"/>
      <c r="Z488" s="28"/>
      <c r="AA488" s="28"/>
      <c r="AB488" s="28"/>
      <c r="AC488" s="28"/>
    </row>
    <row r="489" ht="78.0" customHeight="1">
      <c r="A489" s="650">
        <v>45602.0</v>
      </c>
      <c r="B489" s="427" t="s">
        <v>3806</v>
      </c>
      <c r="C489" s="427" t="s">
        <v>3809</v>
      </c>
      <c r="D489" s="427"/>
      <c r="E489" s="428"/>
      <c r="F489" s="428"/>
      <c r="G489" s="428"/>
      <c r="H489" s="428"/>
      <c r="I489" s="428"/>
      <c r="J489" s="428"/>
      <c r="K489" s="432"/>
      <c r="L489" s="432"/>
      <c r="M489" s="432"/>
      <c r="N489" s="432"/>
      <c r="O489" s="432"/>
      <c r="P489" s="432"/>
      <c r="Q489" s="432"/>
      <c r="R489" s="432"/>
      <c r="S489" s="432"/>
      <c r="T489" s="432"/>
      <c r="U489" s="432"/>
      <c r="V489" s="432"/>
      <c r="W489" s="432"/>
      <c r="X489" s="54"/>
      <c r="Y489" s="54"/>
      <c r="Z489" s="54"/>
      <c r="AA489" s="54"/>
      <c r="AB489" s="54"/>
      <c r="AC489" s="54"/>
    </row>
    <row r="490" ht="78.0" customHeight="1">
      <c r="A490" s="650">
        <v>45602.0</v>
      </c>
      <c r="B490" s="427" t="s">
        <v>3817</v>
      </c>
      <c r="C490" s="427" t="s">
        <v>1</v>
      </c>
      <c r="D490" s="427"/>
      <c r="E490" s="428"/>
      <c r="F490" s="427" t="s">
        <v>3819</v>
      </c>
      <c r="G490" s="427" t="s">
        <v>3820</v>
      </c>
      <c r="H490" s="427" t="s">
        <v>3821</v>
      </c>
      <c r="I490" s="427" t="s">
        <v>3824</v>
      </c>
      <c r="J490" s="427" t="s">
        <v>3825</v>
      </c>
      <c r="K490" s="432"/>
      <c r="L490" s="432"/>
      <c r="M490" s="432"/>
      <c r="N490" s="432"/>
      <c r="O490" s="432"/>
      <c r="P490" s="432"/>
      <c r="Q490" s="432"/>
      <c r="R490" s="432"/>
      <c r="S490" s="432"/>
      <c r="T490" s="432"/>
      <c r="U490" s="432"/>
      <c r="V490" s="432"/>
      <c r="W490" s="432"/>
      <c r="X490" s="54"/>
      <c r="Y490" s="54"/>
      <c r="Z490" s="54"/>
      <c r="AA490" s="54"/>
      <c r="AB490" s="54"/>
      <c r="AC490" s="54"/>
    </row>
    <row r="491" ht="78.0" customHeight="1">
      <c r="A491" s="650">
        <v>45601.0</v>
      </c>
      <c r="B491" s="427" t="s">
        <v>3832</v>
      </c>
      <c r="C491" s="427" t="s">
        <v>3834</v>
      </c>
      <c r="D491" s="427"/>
      <c r="E491" s="428"/>
      <c r="F491" s="428"/>
      <c r="G491" s="428"/>
      <c r="H491" s="428"/>
      <c r="I491" s="428"/>
      <c r="J491" s="428"/>
      <c r="K491" s="432"/>
      <c r="L491" s="432"/>
      <c r="M491" s="432"/>
      <c r="N491" s="432"/>
      <c r="O491" s="432"/>
      <c r="P491" s="432"/>
      <c r="Q491" s="432"/>
      <c r="R491" s="432"/>
      <c r="S491" s="432"/>
      <c r="T491" s="432"/>
      <c r="U491" s="432"/>
      <c r="V491" s="432"/>
      <c r="W491" s="432"/>
      <c r="X491" s="54"/>
      <c r="Y491" s="54"/>
      <c r="Z491" s="54"/>
      <c r="AA491" s="54"/>
      <c r="AB491" s="54"/>
      <c r="AC491" s="54"/>
    </row>
    <row r="492" ht="78.0" customHeight="1">
      <c r="A492" s="649">
        <v>45601.0</v>
      </c>
      <c r="B492" s="414" t="s">
        <v>3840</v>
      </c>
      <c r="C492" s="42"/>
      <c r="D492" s="414"/>
      <c r="E492" s="42"/>
      <c r="F492" s="42"/>
      <c r="G492" s="42"/>
      <c r="H492" s="42"/>
      <c r="I492" s="42"/>
      <c r="J492" s="42"/>
      <c r="K492" s="44"/>
      <c r="L492" s="44"/>
      <c r="M492" s="44"/>
      <c r="N492" s="44"/>
      <c r="O492" s="44"/>
      <c r="P492" s="44"/>
      <c r="Q492" s="44"/>
      <c r="R492" s="44"/>
      <c r="S492" s="44"/>
      <c r="T492" s="44"/>
      <c r="U492" s="44"/>
      <c r="V492" s="44"/>
      <c r="W492" s="44"/>
      <c r="X492" s="28"/>
      <c r="Y492" s="28"/>
      <c r="Z492" s="28"/>
      <c r="AA492" s="28"/>
      <c r="AB492" s="28"/>
      <c r="AC492" s="28"/>
    </row>
    <row r="493" ht="78.0" customHeight="1">
      <c r="A493" s="650">
        <v>45601.0</v>
      </c>
      <c r="B493" s="427" t="s">
        <v>3848</v>
      </c>
      <c r="C493" s="427" t="s">
        <v>3849</v>
      </c>
      <c r="D493" s="427"/>
      <c r="E493" s="428"/>
      <c r="F493" s="428"/>
      <c r="G493" s="428"/>
      <c r="H493" s="428"/>
      <c r="I493" s="428"/>
      <c r="J493" s="428"/>
      <c r="K493" s="432"/>
      <c r="L493" s="432"/>
      <c r="M493" s="432"/>
      <c r="N493" s="432"/>
      <c r="O493" s="432"/>
      <c r="P493" s="432"/>
      <c r="Q493" s="432"/>
      <c r="R493" s="432"/>
      <c r="S493" s="432"/>
      <c r="T493" s="432"/>
      <c r="U493" s="432"/>
      <c r="V493" s="432"/>
      <c r="W493" s="432"/>
      <c r="X493" s="54"/>
      <c r="Y493" s="54"/>
      <c r="Z493" s="54"/>
      <c r="AA493" s="54"/>
      <c r="AB493" s="54"/>
      <c r="AC493" s="54"/>
    </row>
    <row r="494" ht="78.0" customHeight="1">
      <c r="A494" s="649">
        <v>45601.0</v>
      </c>
      <c r="B494" s="414" t="s">
        <v>3857</v>
      </c>
      <c r="C494" s="42"/>
      <c r="D494" s="414"/>
      <c r="E494" s="42"/>
      <c r="F494" s="42"/>
      <c r="G494" s="42"/>
      <c r="H494" s="42"/>
      <c r="I494" s="42"/>
      <c r="J494" s="42"/>
      <c r="K494" s="44"/>
      <c r="L494" s="44"/>
      <c r="M494" s="44"/>
      <c r="N494" s="44"/>
      <c r="O494" s="44"/>
      <c r="P494" s="44"/>
      <c r="Q494" s="44"/>
      <c r="R494" s="44"/>
      <c r="S494" s="44"/>
      <c r="T494" s="44"/>
      <c r="U494" s="44"/>
      <c r="V494" s="44"/>
      <c r="W494" s="44"/>
      <c r="X494" s="28"/>
      <c r="Y494" s="28"/>
      <c r="Z494" s="28"/>
      <c r="AA494" s="28"/>
      <c r="AB494" s="28"/>
      <c r="AC494" s="28"/>
    </row>
    <row r="495" ht="78.0" customHeight="1">
      <c r="A495" s="650">
        <v>45601.0</v>
      </c>
      <c r="B495" s="427" t="s">
        <v>3862</v>
      </c>
      <c r="C495" s="427" t="s">
        <v>3863</v>
      </c>
      <c r="D495" s="427"/>
      <c r="E495" s="428"/>
      <c r="F495" s="428"/>
      <c r="G495" s="428"/>
      <c r="H495" s="428"/>
      <c r="I495" s="428"/>
      <c r="J495" s="428"/>
      <c r="K495" s="432"/>
      <c r="L495" s="432"/>
      <c r="M495" s="432"/>
      <c r="N495" s="432"/>
      <c r="O495" s="432"/>
      <c r="P495" s="432"/>
      <c r="Q495" s="432"/>
      <c r="R495" s="432"/>
      <c r="S495" s="432"/>
      <c r="T495" s="432"/>
      <c r="U495" s="432"/>
      <c r="V495" s="432"/>
      <c r="W495" s="432"/>
      <c r="X495" s="54"/>
      <c r="Y495" s="54"/>
      <c r="Z495" s="54"/>
      <c r="AA495" s="54"/>
      <c r="AB495" s="54"/>
      <c r="AC495" s="54"/>
    </row>
    <row r="496" ht="78.0" customHeight="1">
      <c r="A496" s="649">
        <v>45601.0</v>
      </c>
      <c r="B496" s="414" t="s">
        <v>3873</v>
      </c>
      <c r="C496" s="414" t="s">
        <v>3875</v>
      </c>
      <c r="D496" s="414"/>
      <c r="E496" s="42"/>
      <c r="F496" s="414" t="s">
        <v>3877</v>
      </c>
      <c r="G496" s="414" t="s">
        <v>3878</v>
      </c>
      <c r="H496" s="42"/>
      <c r="I496" s="42"/>
      <c r="J496" s="42"/>
      <c r="K496" s="44"/>
      <c r="L496" s="44"/>
      <c r="M496" s="44"/>
      <c r="N496" s="44"/>
      <c r="O496" s="44"/>
      <c r="P496" s="44"/>
      <c r="Q496" s="44"/>
      <c r="R496" s="44"/>
      <c r="S496" s="44"/>
      <c r="T496" s="44"/>
      <c r="U496" s="44"/>
      <c r="V496" s="44"/>
      <c r="W496" s="44"/>
      <c r="X496" s="28"/>
      <c r="Y496" s="28"/>
      <c r="Z496" s="28"/>
      <c r="AA496" s="28"/>
      <c r="AB496" s="28"/>
      <c r="AC496" s="28"/>
    </row>
    <row r="497" ht="78.0" customHeight="1">
      <c r="A497" s="650">
        <v>45601.0</v>
      </c>
      <c r="B497" s="427" t="s">
        <v>3880</v>
      </c>
      <c r="C497" s="697" t="s">
        <v>3881</v>
      </c>
      <c r="D497" s="427"/>
      <c r="E497" s="428"/>
      <c r="F497" s="428"/>
      <c r="G497" s="428"/>
      <c r="H497" s="428"/>
      <c r="I497" s="428"/>
      <c r="J497" s="428"/>
      <c r="K497" s="432"/>
      <c r="L497" s="432"/>
      <c r="M497" s="432"/>
      <c r="N497" s="432"/>
      <c r="O497" s="432"/>
      <c r="P497" s="432"/>
      <c r="Q497" s="432"/>
      <c r="R497" s="432"/>
      <c r="S497" s="432"/>
      <c r="T497" s="432"/>
      <c r="U497" s="432"/>
      <c r="V497" s="432"/>
      <c r="W497" s="432"/>
      <c r="X497" s="54"/>
      <c r="Y497" s="54"/>
      <c r="Z497" s="54"/>
      <c r="AA497" s="54"/>
      <c r="AB497" s="54"/>
      <c r="AC497" s="54"/>
    </row>
    <row r="498" ht="78.0" customHeight="1">
      <c r="A498" s="649">
        <v>45601.0</v>
      </c>
      <c r="B498" s="414" t="s">
        <v>3894</v>
      </c>
      <c r="C498" s="414" t="s">
        <v>3895</v>
      </c>
      <c r="D498" s="414"/>
      <c r="E498" s="42"/>
      <c r="F498" s="42"/>
      <c r="G498" s="42"/>
      <c r="H498" s="42"/>
      <c r="I498" s="42"/>
      <c r="J498" s="42"/>
      <c r="K498" s="44"/>
      <c r="L498" s="44"/>
      <c r="M498" s="44"/>
      <c r="N498" s="44"/>
      <c r="O498" s="44"/>
      <c r="P498" s="44"/>
      <c r="Q498" s="44"/>
      <c r="R498" s="44"/>
      <c r="S498" s="44"/>
      <c r="T498" s="44"/>
      <c r="U498" s="44"/>
      <c r="V498" s="44"/>
      <c r="W498" s="44"/>
      <c r="X498" s="28"/>
      <c r="Y498" s="28"/>
      <c r="Z498" s="28"/>
      <c r="AA498" s="28"/>
      <c r="AB498" s="28"/>
      <c r="AC498" s="28"/>
    </row>
    <row r="499" ht="78.0" customHeight="1">
      <c r="A499" s="650">
        <v>45601.0</v>
      </c>
      <c r="B499" s="427" t="s">
        <v>3898</v>
      </c>
      <c r="C499" s="697" t="s">
        <v>3899</v>
      </c>
      <c r="D499" s="427"/>
      <c r="E499" s="428"/>
      <c r="F499" s="427" t="s">
        <v>3901</v>
      </c>
      <c r="G499" s="428"/>
      <c r="H499" s="428"/>
      <c r="I499" s="428"/>
      <c r="J499" s="428"/>
      <c r="K499" s="432"/>
      <c r="L499" s="432"/>
      <c r="M499" s="432"/>
      <c r="N499" s="432"/>
      <c r="O499" s="432"/>
      <c r="P499" s="432"/>
      <c r="Q499" s="432"/>
      <c r="R499" s="432"/>
      <c r="S499" s="432"/>
      <c r="T499" s="432"/>
      <c r="U499" s="432"/>
      <c r="V499" s="432"/>
      <c r="W499" s="432"/>
      <c r="X499" s="54"/>
      <c r="Y499" s="54"/>
      <c r="Z499" s="54"/>
      <c r="AA499" s="54"/>
      <c r="AB499" s="54"/>
      <c r="AC499" s="54"/>
    </row>
    <row r="500" ht="78.0" customHeight="1">
      <c r="A500" s="649">
        <v>45601.0</v>
      </c>
      <c r="B500" s="414" t="s">
        <v>3904</v>
      </c>
      <c r="C500" s="414" t="s">
        <v>3906</v>
      </c>
      <c r="D500" s="414"/>
      <c r="E500" s="42"/>
      <c r="F500" s="414" t="s">
        <v>3907</v>
      </c>
      <c r="G500" s="42"/>
      <c r="H500" s="42"/>
      <c r="I500" s="42"/>
      <c r="J500" s="42"/>
      <c r="K500" s="44"/>
      <c r="L500" s="44"/>
      <c r="M500" s="44"/>
      <c r="N500" s="44"/>
      <c r="O500" s="44"/>
      <c r="P500" s="44"/>
      <c r="Q500" s="44"/>
      <c r="R500" s="44"/>
      <c r="S500" s="44"/>
      <c r="T500" s="44"/>
      <c r="U500" s="44"/>
      <c r="V500" s="44"/>
      <c r="W500" s="44"/>
      <c r="X500" s="28"/>
      <c r="Y500" s="28"/>
      <c r="Z500" s="28"/>
      <c r="AA500" s="28"/>
      <c r="AB500" s="28"/>
      <c r="AC500" s="28"/>
    </row>
    <row r="501" ht="78.0" customHeight="1">
      <c r="A501" s="650">
        <v>45601.0</v>
      </c>
      <c r="B501" s="427" t="s">
        <v>3913</v>
      </c>
      <c r="C501" s="428"/>
      <c r="D501" s="427"/>
      <c r="E501" s="428"/>
      <c r="F501" s="427" t="s">
        <v>3914</v>
      </c>
      <c r="G501" s="428"/>
      <c r="H501" s="428"/>
      <c r="I501" s="428"/>
      <c r="J501" s="428"/>
      <c r="K501" s="432"/>
      <c r="L501" s="432"/>
      <c r="M501" s="432"/>
      <c r="N501" s="432"/>
      <c r="O501" s="432"/>
      <c r="P501" s="432"/>
      <c r="Q501" s="432"/>
      <c r="R501" s="432"/>
      <c r="S501" s="432"/>
      <c r="T501" s="432"/>
      <c r="U501" s="432"/>
      <c r="V501" s="432"/>
      <c r="W501" s="432"/>
      <c r="X501" s="54"/>
      <c r="Y501" s="54"/>
      <c r="Z501" s="54"/>
      <c r="AA501" s="54"/>
      <c r="AB501" s="54"/>
      <c r="AC501" s="54"/>
    </row>
    <row r="502" ht="78.0" customHeight="1">
      <c r="A502" s="649">
        <v>45601.0</v>
      </c>
      <c r="B502" s="414" t="s">
        <v>3923</v>
      </c>
      <c r="C502" s="42"/>
      <c r="D502" s="414"/>
      <c r="E502" s="42"/>
      <c r="F502" s="414" t="s">
        <v>3925</v>
      </c>
      <c r="G502" s="414" t="s">
        <v>3926</v>
      </c>
      <c r="H502" s="42"/>
      <c r="I502" s="42"/>
      <c r="J502" s="42"/>
      <c r="K502" s="44"/>
      <c r="L502" s="44"/>
      <c r="M502" s="44"/>
      <c r="N502" s="44"/>
      <c r="O502" s="44"/>
      <c r="P502" s="44"/>
      <c r="Q502" s="44"/>
      <c r="R502" s="44"/>
      <c r="S502" s="44"/>
      <c r="T502" s="44"/>
      <c r="U502" s="44"/>
      <c r="V502" s="44"/>
      <c r="W502" s="44"/>
      <c r="X502" s="28"/>
      <c r="Y502" s="28"/>
      <c r="Z502" s="28"/>
      <c r="AA502" s="28"/>
      <c r="AB502" s="28"/>
      <c r="AC502" s="28"/>
    </row>
    <row r="503" ht="78.0" customHeight="1">
      <c r="A503" s="650">
        <v>45601.0</v>
      </c>
      <c r="B503" s="427" t="s">
        <v>3931</v>
      </c>
      <c r="C503" s="428"/>
      <c r="D503" s="427"/>
      <c r="E503" s="428"/>
      <c r="F503" s="427" t="s">
        <v>3933</v>
      </c>
      <c r="G503" s="427" t="s">
        <v>3934</v>
      </c>
      <c r="H503" s="427" t="s">
        <v>3935</v>
      </c>
      <c r="I503" s="427" t="s">
        <v>3937</v>
      </c>
      <c r="J503" s="427" t="s">
        <v>3938</v>
      </c>
      <c r="K503" s="648" t="s">
        <v>3939</v>
      </c>
      <c r="L503" s="648" t="s">
        <v>3940</v>
      </c>
      <c r="M503" s="648" t="s">
        <v>3942</v>
      </c>
      <c r="N503" s="648" t="s">
        <v>3943</v>
      </c>
      <c r="O503" s="648" t="s">
        <v>3944</v>
      </c>
      <c r="P503" s="648" t="s">
        <v>3945</v>
      </c>
      <c r="Q503" s="648" t="s">
        <v>3947</v>
      </c>
      <c r="R503" s="648" t="s">
        <v>3949</v>
      </c>
      <c r="S503" s="648" t="s">
        <v>3950</v>
      </c>
      <c r="T503" s="648" t="s">
        <v>3952</v>
      </c>
      <c r="U503" s="648" t="s">
        <v>3953</v>
      </c>
      <c r="V503" s="648" t="s">
        <v>3955</v>
      </c>
      <c r="W503" s="648" t="s">
        <v>3956</v>
      </c>
      <c r="X503" s="54"/>
      <c r="Y503" s="54"/>
      <c r="Z503" s="54"/>
      <c r="AA503" s="54"/>
      <c r="AB503" s="54"/>
      <c r="AC503" s="54"/>
    </row>
    <row r="504" ht="78.0" customHeight="1">
      <c r="A504" s="649">
        <v>45601.0</v>
      </c>
      <c r="B504" s="414" t="s">
        <v>3958</v>
      </c>
      <c r="C504" s="42"/>
      <c r="D504" s="414"/>
      <c r="E504" s="42"/>
      <c r="F504" s="42"/>
      <c r="G504" s="42"/>
      <c r="H504" s="42"/>
      <c r="I504" s="42"/>
      <c r="J504" s="42"/>
      <c r="K504" s="44"/>
      <c r="L504" s="44"/>
      <c r="M504" s="44"/>
      <c r="N504" s="44"/>
      <c r="O504" s="44"/>
      <c r="P504" s="44"/>
      <c r="Q504" s="44"/>
      <c r="R504" s="44"/>
      <c r="S504" s="44"/>
      <c r="T504" s="44"/>
      <c r="U504" s="44"/>
      <c r="V504" s="44"/>
      <c r="W504" s="44"/>
      <c r="X504" s="26"/>
      <c r="Y504" s="28"/>
      <c r="Z504" s="28"/>
      <c r="AA504" s="28"/>
      <c r="AB504" s="28"/>
      <c r="AC504" s="28"/>
    </row>
    <row r="505" ht="78.0" customHeight="1">
      <c r="A505" s="650">
        <v>45601.0</v>
      </c>
      <c r="B505" s="427" t="s">
        <v>3964</v>
      </c>
      <c r="C505" s="427" t="s">
        <v>3966</v>
      </c>
      <c r="D505" s="427"/>
      <c r="E505" s="428"/>
      <c r="F505" s="427" t="s">
        <v>3967</v>
      </c>
      <c r="G505" s="428"/>
      <c r="H505" s="428"/>
      <c r="I505" s="428"/>
      <c r="J505" s="428"/>
      <c r="K505" s="432"/>
      <c r="L505" s="432"/>
      <c r="M505" s="432"/>
      <c r="N505" s="432"/>
      <c r="O505" s="432"/>
      <c r="P505" s="432"/>
      <c r="Q505" s="432"/>
      <c r="R505" s="432"/>
      <c r="S505" s="432"/>
      <c r="T505" s="432"/>
      <c r="U505" s="432"/>
      <c r="V505" s="432"/>
      <c r="W505" s="432"/>
      <c r="X505" s="54"/>
      <c r="Y505" s="54"/>
      <c r="Z505" s="54"/>
      <c r="AA505" s="54"/>
      <c r="AB505" s="54"/>
      <c r="AC505" s="54"/>
    </row>
    <row r="506" ht="78.0" customHeight="1">
      <c r="A506" s="649">
        <v>45601.0</v>
      </c>
      <c r="B506" s="414" t="s">
        <v>3977</v>
      </c>
      <c r="C506" s="414" t="s">
        <v>3979</v>
      </c>
      <c r="D506" s="414"/>
      <c r="E506" s="42"/>
      <c r="F506" s="42"/>
      <c r="G506" s="42"/>
      <c r="H506" s="42"/>
      <c r="I506" s="42"/>
      <c r="J506" s="42"/>
      <c r="K506" s="44"/>
      <c r="L506" s="44"/>
      <c r="M506" s="44"/>
      <c r="N506" s="44"/>
      <c r="O506" s="44"/>
      <c r="P506" s="44"/>
      <c r="Q506" s="44"/>
      <c r="R506" s="44"/>
      <c r="S506" s="44"/>
      <c r="T506" s="44"/>
      <c r="U506" s="44"/>
      <c r="V506" s="44"/>
      <c r="W506" s="44"/>
      <c r="X506" s="28"/>
      <c r="Y506" s="28"/>
      <c r="Z506" s="28"/>
      <c r="AA506" s="28"/>
      <c r="AB506" s="28"/>
      <c r="AC506" s="28"/>
    </row>
    <row r="507" ht="78.0" customHeight="1">
      <c r="A507" s="650">
        <v>45601.0</v>
      </c>
      <c r="B507" s="427" t="s">
        <v>3986</v>
      </c>
      <c r="C507" s="427" t="s">
        <v>3988</v>
      </c>
      <c r="D507" s="427"/>
      <c r="E507" s="428"/>
      <c r="F507" s="428"/>
      <c r="G507" s="428"/>
      <c r="H507" s="428"/>
      <c r="I507" s="428"/>
      <c r="J507" s="428"/>
      <c r="K507" s="432"/>
      <c r="L507" s="432"/>
      <c r="M507" s="432"/>
      <c r="N507" s="432"/>
      <c r="O507" s="432"/>
      <c r="P507" s="432"/>
      <c r="Q507" s="432"/>
      <c r="R507" s="432"/>
      <c r="S507" s="432"/>
      <c r="T507" s="432"/>
      <c r="U507" s="432"/>
      <c r="V507" s="432"/>
      <c r="W507" s="432"/>
      <c r="X507" s="54"/>
      <c r="Y507" s="54"/>
      <c r="Z507" s="54"/>
      <c r="AA507" s="54"/>
      <c r="AB507" s="54"/>
      <c r="AC507" s="54"/>
    </row>
    <row r="508" ht="78.0" customHeight="1">
      <c r="A508" s="649">
        <v>45600.0</v>
      </c>
      <c r="B508" s="414" t="s">
        <v>3994</v>
      </c>
      <c r="C508" s="42"/>
      <c r="D508" s="414"/>
      <c r="E508" s="42"/>
      <c r="F508" s="42"/>
      <c r="G508" s="42"/>
      <c r="H508" s="42"/>
      <c r="I508" s="42"/>
      <c r="J508" s="42"/>
      <c r="K508" s="44"/>
      <c r="L508" s="44"/>
      <c r="M508" s="44"/>
      <c r="N508" s="44"/>
      <c r="O508" s="44"/>
      <c r="P508" s="44"/>
      <c r="Q508" s="44"/>
      <c r="R508" s="44"/>
      <c r="S508" s="44"/>
      <c r="T508" s="44"/>
      <c r="U508" s="44"/>
      <c r="V508" s="44"/>
      <c r="W508" s="44"/>
      <c r="X508" s="28"/>
      <c r="Y508" s="28"/>
      <c r="Z508" s="28"/>
      <c r="AA508" s="28"/>
      <c r="AB508" s="28"/>
      <c r="AC508" s="28"/>
    </row>
    <row r="509" ht="78.0" customHeight="1">
      <c r="A509" s="650">
        <v>45600.0</v>
      </c>
      <c r="B509" s="427" t="s">
        <v>3998</v>
      </c>
      <c r="C509" s="427" t="s">
        <v>3999</v>
      </c>
      <c r="D509" s="427"/>
      <c r="E509" s="428"/>
      <c r="F509" s="427" t="s">
        <v>4000</v>
      </c>
      <c r="G509" s="427" t="s">
        <v>4001</v>
      </c>
      <c r="H509" s="427" t="s">
        <v>4003</v>
      </c>
      <c r="I509" s="427" t="s">
        <v>4004</v>
      </c>
      <c r="J509" s="428"/>
      <c r="K509" s="432"/>
      <c r="L509" s="432"/>
      <c r="M509" s="432"/>
      <c r="N509" s="432"/>
      <c r="O509" s="432"/>
      <c r="P509" s="432"/>
      <c r="Q509" s="432"/>
      <c r="R509" s="432"/>
      <c r="S509" s="432"/>
      <c r="T509" s="432"/>
      <c r="U509" s="432"/>
      <c r="V509" s="432"/>
      <c r="W509" s="432"/>
      <c r="X509" s="54"/>
      <c r="Y509" s="54"/>
      <c r="Z509" s="54"/>
      <c r="AA509" s="54"/>
      <c r="AB509" s="54"/>
      <c r="AC509" s="54"/>
    </row>
    <row r="510" ht="78.0" customHeight="1">
      <c r="A510" s="649">
        <v>45600.0</v>
      </c>
      <c r="B510" s="414" t="s">
        <v>4008</v>
      </c>
      <c r="C510" s="414" t="s">
        <v>4010</v>
      </c>
      <c r="D510" s="414"/>
      <c r="E510" s="42"/>
      <c r="F510" s="42"/>
      <c r="G510" s="42"/>
      <c r="H510" s="42"/>
      <c r="I510" s="42"/>
      <c r="J510" s="42"/>
      <c r="K510" s="44"/>
      <c r="L510" s="44"/>
      <c r="M510" s="44"/>
      <c r="N510" s="44"/>
      <c r="O510" s="44"/>
      <c r="P510" s="44"/>
      <c r="Q510" s="44"/>
      <c r="R510" s="44"/>
      <c r="S510" s="44"/>
      <c r="T510" s="44"/>
      <c r="U510" s="44"/>
      <c r="V510" s="44"/>
      <c r="W510" s="44"/>
      <c r="X510" s="28"/>
      <c r="Y510" s="28"/>
      <c r="Z510" s="28"/>
      <c r="AA510" s="28"/>
      <c r="AB510" s="28"/>
      <c r="AC510" s="28"/>
    </row>
    <row r="511" ht="78.0" customHeight="1">
      <c r="A511" s="650">
        <v>45600.0</v>
      </c>
      <c r="B511" s="427" t="s">
        <v>4015</v>
      </c>
      <c r="C511" s="427" t="s">
        <v>4017</v>
      </c>
      <c r="D511" s="427"/>
      <c r="E511" s="428"/>
      <c r="F511" s="428"/>
      <c r="G511" s="428"/>
      <c r="H511" s="428"/>
      <c r="I511" s="428"/>
      <c r="J511" s="428"/>
      <c r="K511" s="432"/>
      <c r="L511" s="432"/>
      <c r="M511" s="432"/>
      <c r="N511" s="432"/>
      <c r="O511" s="432"/>
      <c r="P511" s="432"/>
      <c r="Q511" s="432"/>
      <c r="R511" s="432"/>
      <c r="S511" s="432"/>
      <c r="T511" s="432"/>
      <c r="U511" s="432"/>
      <c r="V511" s="432"/>
      <c r="W511" s="432"/>
      <c r="X511" s="54"/>
      <c r="Y511" s="54"/>
      <c r="Z511" s="54"/>
      <c r="AA511" s="54"/>
      <c r="AB511" s="54"/>
      <c r="AC511" s="54"/>
    </row>
    <row r="512" ht="78.0" customHeight="1">
      <c r="A512" s="649">
        <v>45600.0</v>
      </c>
      <c r="B512" s="414" t="s">
        <v>4022</v>
      </c>
      <c r="C512" s="414" t="s">
        <v>4024</v>
      </c>
      <c r="D512" s="414"/>
      <c r="E512" s="42"/>
      <c r="F512" s="414" t="s">
        <v>4026</v>
      </c>
      <c r="G512" s="42"/>
      <c r="H512" s="42"/>
      <c r="I512" s="42"/>
      <c r="J512" s="42"/>
      <c r="K512" s="44"/>
      <c r="L512" s="44"/>
      <c r="M512" s="44"/>
      <c r="N512" s="44"/>
      <c r="O512" s="44"/>
      <c r="P512" s="44"/>
      <c r="Q512" s="44"/>
      <c r="R512" s="44"/>
      <c r="S512" s="44"/>
      <c r="T512" s="44"/>
      <c r="U512" s="44"/>
      <c r="V512" s="44"/>
      <c r="W512" s="44"/>
      <c r="X512" s="28"/>
      <c r="Y512" s="28"/>
      <c r="Z512" s="28"/>
      <c r="AA512" s="28"/>
      <c r="AB512" s="28"/>
      <c r="AC512" s="28"/>
    </row>
    <row r="513" ht="78.0" customHeight="1">
      <c r="A513" s="650">
        <v>45600.0</v>
      </c>
      <c r="B513" s="427" t="s">
        <v>4031</v>
      </c>
      <c r="C513" s="427" t="s">
        <v>4032</v>
      </c>
      <c r="D513" s="427"/>
      <c r="E513" s="428"/>
      <c r="F513" s="427" t="s">
        <v>4033</v>
      </c>
      <c r="G513" s="428"/>
      <c r="H513" s="428"/>
      <c r="I513" s="428"/>
      <c r="J513" s="428"/>
      <c r="K513" s="432"/>
      <c r="L513" s="432"/>
      <c r="M513" s="432"/>
      <c r="N513" s="432"/>
      <c r="O513" s="432"/>
      <c r="P513" s="432"/>
      <c r="Q513" s="432"/>
      <c r="R513" s="432"/>
      <c r="S513" s="432"/>
      <c r="T513" s="432"/>
      <c r="U513" s="432"/>
      <c r="V513" s="432"/>
      <c r="W513" s="432"/>
      <c r="X513" s="54"/>
      <c r="Y513" s="54"/>
      <c r="Z513" s="54"/>
      <c r="AA513" s="54"/>
      <c r="AB513" s="54"/>
      <c r="AC513" s="54"/>
    </row>
    <row r="514" ht="78.0" customHeight="1">
      <c r="A514" s="649">
        <v>45600.0</v>
      </c>
      <c r="B514" s="414" t="s">
        <v>4036</v>
      </c>
      <c r="C514" s="414" t="s">
        <v>4037</v>
      </c>
      <c r="D514" s="414"/>
      <c r="E514" s="42"/>
      <c r="F514" s="414" t="s">
        <v>4038</v>
      </c>
      <c r="G514" s="42"/>
      <c r="H514" s="42"/>
      <c r="I514" s="42"/>
      <c r="J514" s="42"/>
      <c r="K514" s="44"/>
      <c r="L514" s="44"/>
      <c r="M514" s="44"/>
      <c r="N514" s="44"/>
      <c r="O514" s="44"/>
      <c r="P514" s="44"/>
      <c r="Q514" s="44"/>
      <c r="R514" s="44"/>
      <c r="S514" s="44"/>
      <c r="T514" s="44"/>
      <c r="U514" s="44"/>
      <c r="V514" s="44"/>
      <c r="W514" s="44"/>
      <c r="X514" s="28"/>
      <c r="Y514" s="28"/>
      <c r="Z514" s="28"/>
      <c r="AA514" s="28"/>
      <c r="AB514" s="28"/>
      <c r="AC514" s="28"/>
    </row>
    <row r="515" ht="78.0" customHeight="1">
      <c r="A515" s="650">
        <v>45600.0</v>
      </c>
      <c r="B515" s="427" t="s">
        <v>4041</v>
      </c>
      <c r="C515" s="427" t="s">
        <v>4042</v>
      </c>
      <c r="D515" s="427"/>
      <c r="E515" s="428"/>
      <c r="F515" s="427" t="s">
        <v>4044</v>
      </c>
      <c r="G515" s="427" t="s">
        <v>4045</v>
      </c>
      <c r="H515" s="427" t="s">
        <v>4046</v>
      </c>
      <c r="I515" s="428"/>
      <c r="J515" s="428"/>
      <c r="K515" s="432"/>
      <c r="L515" s="432"/>
      <c r="M515" s="432"/>
      <c r="N515" s="432"/>
      <c r="O515" s="432"/>
      <c r="P515" s="432"/>
      <c r="Q515" s="432"/>
      <c r="R515" s="432"/>
      <c r="S515" s="432"/>
      <c r="T515" s="432"/>
      <c r="U515" s="432"/>
      <c r="V515" s="432"/>
      <c r="W515" s="432"/>
      <c r="X515" s="54"/>
      <c r="Y515" s="54"/>
      <c r="Z515" s="54"/>
      <c r="AA515" s="54"/>
      <c r="AB515" s="54"/>
      <c r="AC515" s="54"/>
    </row>
    <row r="516" ht="78.0" customHeight="1">
      <c r="A516" s="649">
        <v>45600.0</v>
      </c>
      <c r="B516" s="414" t="s">
        <v>4050</v>
      </c>
      <c r="C516" s="414" t="s">
        <v>4052</v>
      </c>
      <c r="D516" s="414"/>
      <c r="E516" s="42"/>
      <c r="F516" s="42"/>
      <c r="G516" s="42"/>
      <c r="H516" s="42"/>
      <c r="I516" s="42"/>
      <c r="J516" s="42"/>
      <c r="K516" s="44"/>
      <c r="L516" s="44"/>
      <c r="M516" s="44"/>
      <c r="N516" s="44"/>
      <c r="O516" s="44"/>
      <c r="P516" s="44"/>
      <c r="Q516" s="44"/>
      <c r="R516" s="44"/>
      <c r="S516" s="44"/>
      <c r="T516" s="44"/>
      <c r="U516" s="44"/>
      <c r="V516" s="44"/>
      <c r="W516" s="44"/>
      <c r="X516" s="28"/>
      <c r="Y516" s="28"/>
      <c r="Z516" s="28"/>
      <c r="AA516" s="28"/>
      <c r="AB516" s="28"/>
      <c r="AC516" s="28"/>
    </row>
    <row r="517" ht="78.0" customHeight="1">
      <c r="A517" s="650">
        <v>45600.0</v>
      </c>
      <c r="B517" s="427" t="s">
        <v>4054</v>
      </c>
      <c r="C517" s="427" t="s">
        <v>4055</v>
      </c>
      <c r="D517" s="427"/>
      <c r="E517" s="428"/>
      <c r="F517" s="427" t="s">
        <v>4057</v>
      </c>
      <c r="G517" s="428"/>
      <c r="H517" s="428"/>
      <c r="I517" s="428"/>
      <c r="J517" s="428"/>
      <c r="K517" s="432"/>
      <c r="L517" s="432"/>
      <c r="M517" s="432"/>
      <c r="N517" s="432"/>
      <c r="O517" s="432"/>
      <c r="P517" s="432"/>
      <c r="Q517" s="432"/>
      <c r="R517" s="432"/>
      <c r="S517" s="432"/>
      <c r="T517" s="432"/>
      <c r="U517" s="432"/>
      <c r="V517" s="432"/>
      <c r="W517" s="432"/>
      <c r="X517" s="54"/>
      <c r="Y517" s="54"/>
      <c r="Z517" s="54"/>
      <c r="AA517" s="54"/>
      <c r="AB517" s="54"/>
      <c r="AC517" s="54"/>
    </row>
    <row r="518" ht="78.0" customHeight="1">
      <c r="A518" s="649">
        <v>45600.0</v>
      </c>
      <c r="B518" s="414" t="s">
        <v>4060</v>
      </c>
      <c r="C518" s="414" t="s">
        <v>4061</v>
      </c>
      <c r="D518" s="414"/>
      <c r="E518" s="42"/>
      <c r="F518" s="414" t="s">
        <v>4062</v>
      </c>
      <c r="G518" s="42"/>
      <c r="H518" s="42"/>
      <c r="I518" s="42"/>
      <c r="J518" s="42"/>
      <c r="K518" s="44"/>
      <c r="L518" s="44"/>
      <c r="M518" s="44"/>
      <c r="N518" s="44"/>
      <c r="O518" s="44"/>
      <c r="P518" s="44"/>
      <c r="Q518" s="44"/>
      <c r="R518" s="44"/>
      <c r="S518" s="44"/>
      <c r="T518" s="44"/>
      <c r="U518" s="44"/>
      <c r="V518" s="44"/>
      <c r="W518" s="44"/>
      <c r="X518" s="28"/>
      <c r="Y518" s="28"/>
      <c r="Z518" s="28"/>
      <c r="AA518" s="28"/>
      <c r="AB518" s="28"/>
      <c r="AC518" s="28"/>
    </row>
    <row r="519" ht="78.0" customHeight="1">
      <c r="A519" s="650">
        <v>45600.0</v>
      </c>
      <c r="B519" s="427" t="s">
        <v>4068</v>
      </c>
      <c r="C519" s="427" t="s">
        <v>4070</v>
      </c>
      <c r="D519" s="427"/>
      <c r="E519" s="428"/>
      <c r="F519" s="427">
        <v>12.0</v>
      </c>
      <c r="G519" s="427" t="s">
        <v>4072</v>
      </c>
      <c r="H519" s="427" t="s">
        <v>4074</v>
      </c>
      <c r="I519" s="427" t="s">
        <v>4075</v>
      </c>
      <c r="J519" s="427" t="s">
        <v>4076</v>
      </c>
      <c r="K519" s="648" t="s">
        <v>4077</v>
      </c>
      <c r="L519" s="432"/>
      <c r="M519" s="432"/>
      <c r="N519" s="432"/>
      <c r="O519" s="432"/>
      <c r="P519" s="432"/>
      <c r="Q519" s="432"/>
      <c r="R519" s="432"/>
      <c r="S519" s="432"/>
      <c r="T519" s="432"/>
      <c r="U519" s="432"/>
      <c r="V519" s="432"/>
      <c r="W519" s="432"/>
      <c r="X519" s="54"/>
      <c r="Y519" s="54"/>
      <c r="Z519" s="54"/>
      <c r="AA519" s="54"/>
      <c r="AB519" s="54"/>
      <c r="AC519" s="54"/>
    </row>
    <row r="520" ht="78.0" customHeight="1">
      <c r="A520" s="649">
        <v>45599.0</v>
      </c>
      <c r="B520" s="414" t="s">
        <v>4081</v>
      </c>
      <c r="C520" s="414" t="s">
        <v>4082</v>
      </c>
      <c r="D520" s="414"/>
      <c r="E520" s="42"/>
      <c r="F520" s="414" t="s">
        <v>4084</v>
      </c>
      <c r="G520" s="42"/>
      <c r="H520" s="42"/>
      <c r="I520" s="42"/>
      <c r="J520" s="42"/>
      <c r="K520" s="44"/>
      <c r="L520" s="44"/>
      <c r="M520" s="44"/>
      <c r="N520" s="44"/>
      <c r="O520" s="44"/>
      <c r="P520" s="44"/>
      <c r="Q520" s="44"/>
      <c r="R520" s="44"/>
      <c r="S520" s="44"/>
      <c r="T520" s="44"/>
      <c r="U520" s="44"/>
      <c r="V520" s="44"/>
      <c r="W520" s="44"/>
      <c r="X520" s="28"/>
      <c r="Y520" s="28"/>
      <c r="Z520" s="28"/>
      <c r="AA520" s="28"/>
      <c r="AB520" s="28"/>
      <c r="AC520" s="28"/>
    </row>
    <row r="521" ht="78.0" customHeight="1">
      <c r="A521" s="650">
        <v>45599.0</v>
      </c>
      <c r="B521" s="427" t="s">
        <v>4088</v>
      </c>
      <c r="C521" s="428"/>
      <c r="D521" s="427"/>
      <c r="E521" s="428"/>
      <c r="F521" s="428"/>
      <c r="G521" s="428"/>
      <c r="H521" s="428"/>
      <c r="I521" s="428"/>
      <c r="J521" s="428"/>
      <c r="K521" s="432"/>
      <c r="L521" s="432"/>
      <c r="M521" s="432"/>
      <c r="N521" s="432"/>
      <c r="O521" s="432"/>
      <c r="P521" s="432"/>
      <c r="Q521" s="432"/>
      <c r="R521" s="432"/>
      <c r="S521" s="432"/>
      <c r="T521" s="432"/>
      <c r="U521" s="432"/>
      <c r="V521" s="432"/>
      <c r="W521" s="432"/>
      <c r="X521" s="54"/>
      <c r="Y521" s="54"/>
      <c r="Z521" s="54"/>
      <c r="AA521" s="54"/>
      <c r="AB521" s="54"/>
      <c r="AC521" s="54"/>
    </row>
    <row r="522" ht="78.0" customHeight="1">
      <c r="A522" s="649">
        <v>45599.0</v>
      </c>
      <c r="B522" s="414" t="s">
        <v>4092</v>
      </c>
      <c r="C522" s="414" t="s">
        <v>4093</v>
      </c>
      <c r="D522" s="414"/>
      <c r="E522" s="42"/>
      <c r="F522" s="414" t="s">
        <v>4094</v>
      </c>
      <c r="G522" s="42"/>
      <c r="H522" s="42"/>
      <c r="I522" s="42"/>
      <c r="J522" s="42"/>
      <c r="K522" s="44"/>
      <c r="L522" s="44"/>
      <c r="M522" s="44"/>
      <c r="N522" s="44"/>
      <c r="O522" s="44"/>
      <c r="P522" s="44"/>
      <c r="Q522" s="44"/>
      <c r="R522" s="44"/>
      <c r="S522" s="44"/>
      <c r="T522" s="44"/>
      <c r="U522" s="44"/>
      <c r="V522" s="44"/>
      <c r="W522" s="44"/>
      <c r="X522" s="28"/>
      <c r="Y522" s="28"/>
      <c r="Z522" s="28"/>
      <c r="AA522" s="28"/>
      <c r="AB522" s="28"/>
      <c r="AC522" s="28"/>
    </row>
    <row r="523" ht="78.0" customHeight="1">
      <c r="A523" s="650">
        <v>45599.0</v>
      </c>
      <c r="B523" s="427" t="s">
        <v>4097</v>
      </c>
      <c r="C523" s="427" t="s">
        <v>4098</v>
      </c>
      <c r="D523" s="427"/>
      <c r="E523" s="428"/>
      <c r="F523" s="427" t="s">
        <v>4101</v>
      </c>
      <c r="G523" s="427" t="s">
        <v>4102</v>
      </c>
      <c r="H523" s="428"/>
      <c r="I523" s="428"/>
      <c r="J523" s="428"/>
      <c r="K523" s="432"/>
      <c r="L523" s="432"/>
      <c r="M523" s="432"/>
      <c r="N523" s="432"/>
      <c r="O523" s="432"/>
      <c r="P523" s="432"/>
      <c r="Q523" s="432"/>
      <c r="R523" s="432"/>
      <c r="S523" s="432"/>
      <c r="T523" s="432"/>
      <c r="U523" s="432"/>
      <c r="V523" s="432"/>
      <c r="W523" s="432"/>
      <c r="X523" s="54"/>
      <c r="Y523" s="54"/>
      <c r="Z523" s="54"/>
      <c r="AA523" s="54"/>
      <c r="AB523" s="54"/>
      <c r="AC523" s="54"/>
    </row>
    <row r="524" ht="78.0" customHeight="1">
      <c r="A524" s="649">
        <v>45599.0</v>
      </c>
      <c r="B524" s="414" t="s">
        <v>4106</v>
      </c>
      <c r="C524" s="414" t="s">
        <v>4107</v>
      </c>
      <c r="D524" s="414"/>
      <c r="E524" s="42"/>
      <c r="F524" s="42"/>
      <c r="G524" s="42"/>
      <c r="H524" s="42"/>
      <c r="I524" s="42"/>
      <c r="J524" s="42"/>
      <c r="K524" s="44"/>
      <c r="L524" s="44"/>
      <c r="M524" s="44"/>
      <c r="N524" s="44"/>
      <c r="O524" s="44"/>
      <c r="P524" s="44"/>
      <c r="Q524" s="44"/>
      <c r="R524" s="44"/>
      <c r="S524" s="44"/>
      <c r="T524" s="44"/>
      <c r="U524" s="44"/>
      <c r="V524" s="44"/>
      <c r="W524" s="44"/>
      <c r="X524" s="28"/>
      <c r="Y524" s="28"/>
      <c r="Z524" s="28"/>
      <c r="AA524" s="28"/>
      <c r="AB524" s="28"/>
      <c r="AC524" s="28"/>
    </row>
    <row r="525" ht="78.0" customHeight="1">
      <c r="A525" s="649">
        <v>45599.0</v>
      </c>
      <c r="B525" s="414" t="s">
        <v>4111</v>
      </c>
      <c r="C525" s="414" t="s">
        <v>4112</v>
      </c>
      <c r="D525" s="414"/>
      <c r="E525" s="42"/>
      <c r="F525" s="42"/>
      <c r="G525" s="42"/>
      <c r="H525" s="42"/>
      <c r="I525" s="42"/>
      <c r="J525" s="42"/>
      <c r="K525" s="44"/>
      <c r="L525" s="44"/>
      <c r="M525" s="44"/>
      <c r="N525" s="44"/>
      <c r="O525" s="44"/>
      <c r="P525" s="44"/>
      <c r="Q525" s="44"/>
      <c r="R525" s="44"/>
      <c r="S525" s="44"/>
      <c r="T525" s="44"/>
      <c r="U525" s="44"/>
      <c r="V525" s="44"/>
      <c r="W525" s="44"/>
      <c r="X525" s="28"/>
      <c r="Y525" s="28"/>
      <c r="Z525" s="28"/>
      <c r="AA525" s="28"/>
      <c r="AB525" s="28"/>
      <c r="AC525" s="28"/>
    </row>
    <row r="526" ht="78.0" customHeight="1">
      <c r="A526" s="650">
        <v>45598.0</v>
      </c>
      <c r="B526" s="427" t="s">
        <v>4116</v>
      </c>
      <c r="C526" s="427" t="s">
        <v>4117</v>
      </c>
      <c r="D526" s="427"/>
      <c r="E526" s="428"/>
      <c r="F526" s="427" t="s">
        <v>4119</v>
      </c>
      <c r="G526" s="427" t="s">
        <v>4120</v>
      </c>
      <c r="H526" s="428"/>
      <c r="I526" s="428"/>
      <c r="J526" s="428"/>
      <c r="K526" s="432"/>
      <c r="L526" s="432"/>
      <c r="M526" s="432"/>
      <c r="N526" s="432"/>
      <c r="O526" s="432"/>
      <c r="P526" s="432"/>
      <c r="Q526" s="432"/>
      <c r="R526" s="432"/>
      <c r="S526" s="432"/>
      <c r="T526" s="432"/>
      <c r="U526" s="432"/>
      <c r="V526" s="432"/>
      <c r="W526" s="432"/>
      <c r="X526" s="54"/>
      <c r="Y526" s="54"/>
      <c r="Z526" s="54"/>
      <c r="AA526" s="54"/>
      <c r="AB526" s="54"/>
      <c r="AC526" s="54"/>
    </row>
    <row r="527" ht="78.0" customHeight="1">
      <c r="A527" s="649">
        <v>45598.0</v>
      </c>
      <c r="B527" s="414" t="s">
        <v>4123</v>
      </c>
      <c r="C527" s="414" t="s">
        <v>4124</v>
      </c>
      <c r="D527" s="414"/>
      <c r="E527" s="42"/>
      <c r="F527" s="42"/>
      <c r="G527" s="42"/>
      <c r="H527" s="42"/>
      <c r="I527" s="42"/>
      <c r="J527" s="42"/>
      <c r="K527" s="44"/>
      <c r="L527" s="44"/>
      <c r="M527" s="44"/>
      <c r="N527" s="44"/>
      <c r="O527" s="44"/>
      <c r="P527" s="44"/>
      <c r="Q527" s="44"/>
      <c r="R527" s="44"/>
      <c r="S527" s="44"/>
      <c r="T527" s="44"/>
      <c r="U527" s="44"/>
      <c r="V527" s="44"/>
      <c r="W527" s="44"/>
      <c r="X527" s="28"/>
      <c r="Y527" s="28"/>
      <c r="Z527" s="28"/>
      <c r="AA527" s="28"/>
      <c r="AB527" s="28"/>
      <c r="AC527" s="28"/>
    </row>
    <row r="528" ht="78.0" customHeight="1">
      <c r="A528" s="650">
        <v>45598.0</v>
      </c>
      <c r="B528" s="427" t="s">
        <v>4127</v>
      </c>
      <c r="C528" s="427" t="s">
        <v>4129</v>
      </c>
      <c r="D528" s="427"/>
      <c r="E528" s="428"/>
      <c r="F528" s="427" t="s">
        <v>4130</v>
      </c>
      <c r="G528" s="720" t="s">
        <v>4131</v>
      </c>
      <c r="H528" s="427" t="s">
        <v>4136</v>
      </c>
      <c r="I528" s="428"/>
      <c r="J528" s="427" t="s">
        <v>4139</v>
      </c>
      <c r="K528" s="648" t="s">
        <v>4140</v>
      </c>
      <c r="L528" s="648" t="s">
        <v>4141</v>
      </c>
      <c r="M528" s="432"/>
      <c r="N528" s="432"/>
      <c r="O528" s="432"/>
      <c r="P528" s="432"/>
      <c r="Q528" s="432"/>
      <c r="R528" s="432"/>
      <c r="S528" s="432"/>
      <c r="T528" s="432"/>
      <c r="U528" s="432"/>
      <c r="V528" s="432"/>
      <c r="W528" s="432"/>
      <c r="X528" s="54"/>
      <c r="Y528" s="54"/>
      <c r="Z528" s="54"/>
      <c r="AA528" s="54"/>
      <c r="AB528" s="54"/>
      <c r="AC528" s="54"/>
    </row>
    <row r="529" ht="78.0" customHeight="1">
      <c r="A529" s="649">
        <v>45597.0</v>
      </c>
      <c r="B529" s="414" t="s">
        <v>4144</v>
      </c>
      <c r="C529" s="42"/>
      <c r="D529" s="414"/>
      <c r="E529" s="42"/>
      <c r="F529" s="42"/>
      <c r="G529" s="42"/>
      <c r="H529" s="42"/>
      <c r="I529" s="42"/>
      <c r="J529" s="42"/>
      <c r="K529" s="44"/>
      <c r="L529" s="44"/>
      <c r="M529" s="44"/>
      <c r="N529" s="44"/>
      <c r="O529" s="44"/>
      <c r="P529" s="44"/>
      <c r="Q529" s="44"/>
      <c r="R529" s="44"/>
      <c r="S529" s="44"/>
      <c r="T529" s="44"/>
      <c r="U529" s="44"/>
      <c r="V529" s="44"/>
      <c r="W529" s="44"/>
      <c r="X529" s="28"/>
      <c r="Y529" s="28"/>
      <c r="Z529" s="28"/>
      <c r="AA529" s="28"/>
      <c r="AB529" s="28"/>
      <c r="AC529" s="28"/>
    </row>
    <row r="530" ht="78.0" customHeight="1">
      <c r="A530" s="649">
        <v>45597.0</v>
      </c>
      <c r="B530" s="414" t="s">
        <v>4151</v>
      </c>
      <c r="C530" s="414" t="s">
        <v>4153</v>
      </c>
      <c r="D530" s="414"/>
      <c r="E530" s="42"/>
      <c r="F530" s="414" t="s">
        <v>4154</v>
      </c>
      <c r="G530" s="414" t="s">
        <v>4155</v>
      </c>
      <c r="H530" s="42"/>
      <c r="I530" s="42"/>
      <c r="J530" s="42"/>
      <c r="K530" s="44"/>
      <c r="L530" s="44"/>
      <c r="M530" s="44"/>
      <c r="N530" s="44"/>
      <c r="O530" s="44"/>
      <c r="P530" s="44"/>
      <c r="Q530" s="44"/>
      <c r="R530" s="44"/>
      <c r="S530" s="44"/>
      <c r="T530" s="44"/>
      <c r="U530" s="44"/>
      <c r="V530" s="44"/>
      <c r="W530" s="44"/>
      <c r="X530" s="28"/>
      <c r="Y530" s="28"/>
      <c r="Z530" s="28"/>
      <c r="AA530" s="28"/>
      <c r="AB530" s="28"/>
      <c r="AC530" s="28"/>
    </row>
    <row r="531" ht="78.0" customHeight="1">
      <c r="A531" s="650">
        <v>45597.0</v>
      </c>
      <c r="B531" s="427" t="s">
        <v>4159</v>
      </c>
      <c r="C531" s="427" t="s">
        <v>4160</v>
      </c>
      <c r="D531" s="427"/>
      <c r="E531" s="428"/>
      <c r="F531" s="427" t="s">
        <v>4162</v>
      </c>
      <c r="G531" s="427" t="s">
        <v>4163</v>
      </c>
      <c r="H531" s="427" t="s">
        <v>4164</v>
      </c>
      <c r="I531" s="428"/>
      <c r="J531" s="428"/>
      <c r="K531" s="432"/>
      <c r="L531" s="432"/>
      <c r="M531" s="432"/>
      <c r="N531" s="432"/>
      <c r="O531" s="432"/>
      <c r="P531" s="432"/>
      <c r="Q531" s="432"/>
      <c r="R531" s="432"/>
      <c r="S531" s="432"/>
      <c r="T531" s="432"/>
      <c r="U531" s="432"/>
      <c r="V531" s="432"/>
      <c r="W531" s="432"/>
      <c r="X531" s="54"/>
      <c r="Y531" s="54"/>
      <c r="Z531" s="54"/>
      <c r="AA531" s="54"/>
      <c r="AB531" s="54"/>
      <c r="AC531" s="54"/>
    </row>
    <row r="532" ht="78.0" customHeight="1">
      <c r="A532" s="649">
        <v>45597.0</v>
      </c>
      <c r="B532" s="414" t="s">
        <v>4168</v>
      </c>
      <c r="C532" s="414" t="s">
        <v>4169</v>
      </c>
      <c r="D532" s="414"/>
      <c r="E532" s="42"/>
      <c r="F532" s="414" t="s">
        <v>4170</v>
      </c>
      <c r="G532" s="42"/>
      <c r="H532" s="42"/>
      <c r="I532" s="42"/>
      <c r="J532" s="42"/>
      <c r="K532" s="44"/>
      <c r="L532" s="44"/>
      <c r="M532" s="44"/>
      <c r="N532" s="44"/>
      <c r="O532" s="44"/>
      <c r="P532" s="44"/>
      <c r="Q532" s="44"/>
      <c r="R532" s="44"/>
      <c r="S532" s="44"/>
      <c r="T532" s="44"/>
      <c r="U532" s="44"/>
      <c r="V532" s="44"/>
      <c r="W532" s="44"/>
      <c r="X532" s="28"/>
      <c r="Y532" s="28"/>
      <c r="Z532" s="28"/>
      <c r="AA532" s="28"/>
      <c r="AB532" s="28"/>
      <c r="AC532" s="28"/>
    </row>
    <row r="533" ht="78.0" customHeight="1">
      <c r="A533" s="650">
        <v>45597.0</v>
      </c>
      <c r="B533" s="427" t="s">
        <v>4175</v>
      </c>
      <c r="C533" s="427" t="s">
        <v>4176</v>
      </c>
      <c r="D533" s="427"/>
      <c r="E533" s="428"/>
      <c r="F533" s="428"/>
      <c r="G533" s="428"/>
      <c r="H533" s="428"/>
      <c r="I533" s="428"/>
      <c r="J533" s="428"/>
      <c r="K533" s="432"/>
      <c r="L533" s="432"/>
      <c r="M533" s="432"/>
      <c r="N533" s="432"/>
      <c r="O533" s="432"/>
      <c r="P533" s="432"/>
      <c r="Q533" s="432"/>
      <c r="R533" s="432"/>
      <c r="S533" s="432"/>
      <c r="T533" s="432"/>
      <c r="U533" s="432"/>
      <c r="V533" s="432"/>
      <c r="W533" s="432"/>
      <c r="X533" s="54"/>
      <c r="Y533" s="54"/>
      <c r="Z533" s="54"/>
      <c r="AA533" s="54"/>
      <c r="AB533" s="54"/>
      <c r="AC533" s="54"/>
    </row>
    <row r="534" ht="78.0" customHeight="1">
      <c r="A534" s="649">
        <v>45597.0</v>
      </c>
      <c r="B534" s="414" t="s">
        <v>4179</v>
      </c>
      <c r="C534" s="414" t="s">
        <v>4182</v>
      </c>
      <c r="D534" s="414"/>
      <c r="E534" s="42"/>
      <c r="F534" s="414" t="s">
        <v>4183</v>
      </c>
      <c r="G534" s="42"/>
      <c r="H534" s="42"/>
      <c r="I534" s="42"/>
      <c r="J534" s="42"/>
      <c r="K534" s="44"/>
      <c r="L534" s="44"/>
      <c r="M534" s="44"/>
      <c r="N534" s="44"/>
      <c r="O534" s="44"/>
      <c r="P534" s="44"/>
      <c r="Q534" s="44"/>
      <c r="R534" s="44"/>
      <c r="S534" s="44"/>
      <c r="T534" s="44"/>
      <c r="U534" s="44"/>
      <c r="V534" s="44"/>
      <c r="W534" s="44"/>
      <c r="X534" s="28"/>
      <c r="Y534" s="28"/>
      <c r="Z534" s="28"/>
      <c r="AA534" s="28"/>
      <c r="AB534" s="28"/>
      <c r="AC534" s="28"/>
    </row>
    <row r="535" ht="78.0" customHeight="1">
      <c r="A535" s="650">
        <v>45597.0</v>
      </c>
      <c r="B535" s="427" t="s">
        <v>4188</v>
      </c>
      <c r="C535" s="427" t="s">
        <v>4190</v>
      </c>
      <c r="D535" s="427"/>
      <c r="E535" s="428"/>
      <c r="F535" s="427" t="s">
        <v>4192</v>
      </c>
      <c r="G535" s="427" t="s">
        <v>4193</v>
      </c>
      <c r="H535" s="428"/>
      <c r="I535" s="428"/>
      <c r="J535" s="428"/>
      <c r="K535" s="432"/>
      <c r="L535" s="432"/>
      <c r="M535" s="432"/>
      <c r="N535" s="432"/>
      <c r="O535" s="432"/>
      <c r="P535" s="432"/>
      <c r="Q535" s="432"/>
      <c r="R535" s="432"/>
      <c r="S535" s="432"/>
      <c r="T535" s="432"/>
      <c r="U535" s="432"/>
      <c r="V535" s="432"/>
      <c r="W535" s="432"/>
      <c r="X535" s="54"/>
      <c r="Y535" s="54"/>
      <c r="Z535" s="54"/>
      <c r="AA535" s="54"/>
      <c r="AB535" s="54"/>
      <c r="AC535" s="54"/>
    </row>
    <row r="536" ht="78.0" customHeight="1">
      <c r="A536" s="649">
        <v>45597.0</v>
      </c>
      <c r="B536" s="414" t="s">
        <v>4198</v>
      </c>
      <c r="C536" s="414" t="s">
        <v>4199</v>
      </c>
      <c r="D536" s="414"/>
      <c r="E536" s="42"/>
      <c r="F536" s="414" t="s">
        <v>4200</v>
      </c>
      <c r="G536" s="414" t="s">
        <v>4201</v>
      </c>
      <c r="H536" s="42"/>
      <c r="I536" s="42"/>
      <c r="J536" s="42"/>
      <c r="K536" s="44"/>
      <c r="L536" s="44"/>
      <c r="M536" s="44"/>
      <c r="N536" s="44"/>
      <c r="O536" s="44"/>
      <c r="P536" s="44"/>
      <c r="Q536" s="44"/>
      <c r="R536" s="44"/>
      <c r="S536" s="44"/>
      <c r="T536" s="44"/>
      <c r="U536" s="44"/>
      <c r="V536" s="44"/>
      <c r="W536" s="44"/>
      <c r="X536" s="28"/>
      <c r="Y536" s="28"/>
      <c r="Z536" s="28"/>
      <c r="AA536" s="28"/>
      <c r="AB536" s="28"/>
      <c r="AC536" s="28"/>
    </row>
    <row r="537" ht="78.0" customHeight="1">
      <c r="A537" s="650">
        <v>45597.0</v>
      </c>
      <c r="B537" s="427" t="s">
        <v>4203</v>
      </c>
      <c r="C537" s="427" t="s">
        <v>4205</v>
      </c>
      <c r="D537" s="427"/>
      <c r="E537" s="428"/>
      <c r="F537" s="427" t="s">
        <v>666</v>
      </c>
      <c r="G537" s="428"/>
      <c r="H537" s="428"/>
      <c r="I537" s="428"/>
      <c r="J537" s="428"/>
      <c r="K537" s="432"/>
      <c r="L537" s="432"/>
      <c r="M537" s="432"/>
      <c r="N537" s="432"/>
      <c r="O537" s="432"/>
      <c r="P537" s="432"/>
      <c r="Q537" s="432"/>
      <c r="R537" s="432"/>
      <c r="S537" s="432"/>
      <c r="T537" s="432"/>
      <c r="U537" s="432"/>
      <c r="V537" s="432"/>
      <c r="W537" s="432"/>
      <c r="X537" s="54"/>
      <c r="Y537" s="54"/>
      <c r="Z537" s="54"/>
      <c r="AA537" s="54"/>
      <c r="AB537" s="54"/>
      <c r="AC537" s="54"/>
    </row>
    <row r="538" ht="78.0" customHeight="1">
      <c r="A538" s="649">
        <v>45597.0</v>
      </c>
      <c r="B538" s="414" t="s">
        <v>4207</v>
      </c>
      <c r="C538" s="414" t="s">
        <v>4209</v>
      </c>
      <c r="D538" s="414"/>
      <c r="E538" s="42"/>
      <c r="F538" s="414" t="s">
        <v>4210</v>
      </c>
      <c r="G538" s="414" t="s">
        <v>4211</v>
      </c>
      <c r="H538" s="42"/>
      <c r="I538" s="42"/>
      <c r="J538" s="42"/>
      <c r="K538" s="44"/>
      <c r="L538" s="44"/>
      <c r="M538" s="44"/>
      <c r="N538" s="44"/>
      <c r="O538" s="44"/>
      <c r="P538" s="44"/>
      <c r="Q538" s="44"/>
      <c r="R538" s="44"/>
      <c r="S538" s="44"/>
      <c r="T538" s="44"/>
      <c r="U538" s="44"/>
      <c r="V538" s="44"/>
      <c r="W538" s="44"/>
      <c r="X538" s="28"/>
      <c r="Y538" s="28"/>
      <c r="Z538" s="28"/>
      <c r="AA538" s="28"/>
      <c r="AB538" s="28"/>
      <c r="AC538" s="28"/>
    </row>
    <row r="539" ht="78.0" customHeight="1">
      <c r="A539" s="650">
        <v>45597.0</v>
      </c>
      <c r="B539" s="427" t="s">
        <v>4213</v>
      </c>
      <c r="C539" s="427" t="s">
        <v>4214</v>
      </c>
      <c r="D539" s="427"/>
      <c r="E539" s="428"/>
      <c r="F539" s="428"/>
      <c r="G539" s="428"/>
      <c r="H539" s="428"/>
      <c r="I539" s="428"/>
      <c r="J539" s="428"/>
      <c r="K539" s="432"/>
      <c r="L539" s="432"/>
      <c r="M539" s="432"/>
      <c r="N539" s="432"/>
      <c r="O539" s="432"/>
      <c r="P539" s="432"/>
      <c r="Q539" s="432"/>
      <c r="R539" s="432"/>
      <c r="S539" s="432"/>
      <c r="T539" s="432"/>
      <c r="U539" s="432"/>
      <c r="V539" s="432"/>
      <c r="W539" s="432"/>
      <c r="X539" s="54"/>
      <c r="Y539" s="54"/>
      <c r="Z539" s="54"/>
      <c r="AA539" s="54"/>
      <c r="AB539" s="54"/>
      <c r="AC539" s="54"/>
    </row>
    <row r="540" ht="78.0" customHeight="1">
      <c r="A540" s="649">
        <v>45597.0</v>
      </c>
      <c r="B540" s="414" t="s">
        <v>2890</v>
      </c>
      <c r="C540" s="414" t="s">
        <v>4218</v>
      </c>
      <c r="D540" s="414"/>
      <c r="E540" s="42"/>
      <c r="F540" s="414" t="s">
        <v>2551</v>
      </c>
      <c r="G540" s="42"/>
      <c r="H540" s="42"/>
      <c r="I540" s="42"/>
      <c r="J540" s="42"/>
      <c r="K540" s="44"/>
      <c r="L540" s="44"/>
      <c r="M540" s="44"/>
      <c r="N540" s="44"/>
      <c r="O540" s="44"/>
      <c r="P540" s="44"/>
      <c r="Q540" s="44"/>
      <c r="R540" s="44"/>
      <c r="S540" s="44"/>
      <c r="T540" s="44"/>
      <c r="U540" s="44"/>
      <c r="V540" s="44"/>
      <c r="W540" s="44"/>
      <c r="X540" s="28"/>
      <c r="Y540" s="28"/>
      <c r="Z540" s="28"/>
      <c r="AA540" s="28"/>
      <c r="AB540" s="28"/>
      <c r="AC540" s="28"/>
    </row>
    <row r="541" ht="78.0" customHeight="1">
      <c r="A541" s="650">
        <v>45597.0</v>
      </c>
      <c r="B541" s="427" t="s">
        <v>4220</v>
      </c>
      <c r="C541" s="428"/>
      <c r="D541" s="427"/>
      <c r="E541" s="428"/>
      <c r="F541" s="428"/>
      <c r="G541" s="428"/>
      <c r="H541" s="428"/>
      <c r="I541" s="428"/>
      <c r="J541" s="428"/>
      <c r="K541" s="432"/>
      <c r="L541" s="432"/>
      <c r="M541" s="432"/>
      <c r="N541" s="432"/>
      <c r="O541" s="432"/>
      <c r="P541" s="432"/>
      <c r="Q541" s="432"/>
      <c r="R541" s="432"/>
      <c r="S541" s="432"/>
      <c r="T541" s="432"/>
      <c r="U541" s="432"/>
      <c r="V541" s="432"/>
      <c r="W541" s="432"/>
      <c r="X541" s="54"/>
      <c r="Y541" s="54"/>
      <c r="Z541" s="54"/>
      <c r="AA541" s="54"/>
      <c r="AB541" s="54"/>
      <c r="AC541" s="54"/>
    </row>
    <row r="542" ht="78.0" customHeight="1">
      <c r="A542" s="649">
        <v>45597.0</v>
      </c>
      <c r="B542" s="414" t="s">
        <v>4226</v>
      </c>
      <c r="C542" s="414" t="s">
        <v>4227</v>
      </c>
      <c r="D542" s="414"/>
      <c r="E542" s="42"/>
      <c r="F542" s="414" t="s">
        <v>4228</v>
      </c>
      <c r="G542" s="42"/>
      <c r="H542" s="42"/>
      <c r="I542" s="42"/>
      <c r="J542" s="42"/>
      <c r="K542" s="44"/>
      <c r="L542" s="44"/>
      <c r="M542" s="44"/>
      <c r="N542" s="44"/>
      <c r="O542" s="44"/>
      <c r="P542" s="44"/>
      <c r="Q542" s="44"/>
      <c r="R542" s="44"/>
      <c r="S542" s="44"/>
      <c r="T542" s="44"/>
      <c r="U542" s="44"/>
      <c r="V542" s="44"/>
      <c r="W542" s="44"/>
      <c r="X542" s="28"/>
      <c r="Y542" s="28"/>
      <c r="Z542" s="28"/>
      <c r="AA542" s="28"/>
      <c r="AB542" s="28"/>
      <c r="AC542" s="28"/>
    </row>
    <row r="543" ht="78.0" customHeight="1">
      <c r="A543" s="650">
        <v>45597.0</v>
      </c>
      <c r="B543" s="427" t="s">
        <v>4233</v>
      </c>
      <c r="C543" s="427" t="s">
        <v>4234</v>
      </c>
      <c r="D543" s="427"/>
      <c r="E543" s="428"/>
      <c r="F543" s="428"/>
      <c r="G543" s="428"/>
      <c r="H543" s="428"/>
      <c r="I543" s="428"/>
      <c r="J543" s="428"/>
      <c r="K543" s="432"/>
      <c r="L543" s="432"/>
      <c r="M543" s="432"/>
      <c r="N543" s="432"/>
      <c r="O543" s="432"/>
      <c r="P543" s="432"/>
      <c r="Q543" s="432"/>
      <c r="R543" s="432"/>
      <c r="S543" s="432"/>
      <c r="T543" s="432"/>
      <c r="U543" s="432"/>
      <c r="V543" s="432"/>
      <c r="W543" s="432"/>
      <c r="X543" s="54"/>
      <c r="Y543" s="54"/>
      <c r="Z543" s="54"/>
      <c r="AA543" s="54"/>
      <c r="AB543" s="54"/>
      <c r="AC543" s="54"/>
    </row>
    <row r="544" ht="78.0" customHeight="1">
      <c r="A544" s="649">
        <v>45597.0</v>
      </c>
      <c r="B544" s="414" t="s">
        <v>4237</v>
      </c>
      <c r="C544" s="414" t="s">
        <v>4238</v>
      </c>
      <c r="D544" s="414"/>
      <c r="E544" s="42"/>
      <c r="F544" s="42"/>
      <c r="G544" s="42"/>
      <c r="H544" s="42"/>
      <c r="I544" s="42"/>
      <c r="J544" s="42"/>
      <c r="K544" s="44"/>
      <c r="L544" s="44"/>
      <c r="M544" s="44"/>
      <c r="N544" s="44"/>
      <c r="O544" s="44"/>
      <c r="P544" s="44"/>
      <c r="Q544" s="44"/>
      <c r="R544" s="44"/>
      <c r="S544" s="44"/>
      <c r="T544" s="44"/>
      <c r="U544" s="44"/>
      <c r="V544" s="44"/>
      <c r="W544" s="44"/>
      <c r="X544" s="28"/>
      <c r="Y544" s="28"/>
      <c r="Z544" s="28"/>
      <c r="AA544" s="28"/>
      <c r="AB544" s="28"/>
      <c r="AC544" s="28"/>
    </row>
    <row r="545" ht="78.0" customHeight="1">
      <c r="A545" s="650">
        <v>45597.0</v>
      </c>
      <c r="B545" s="427" t="s">
        <v>4240</v>
      </c>
      <c r="C545" s="427" t="s">
        <v>4242</v>
      </c>
      <c r="D545" s="427"/>
      <c r="E545" s="428"/>
      <c r="F545" s="428"/>
      <c r="G545" s="428"/>
      <c r="H545" s="428"/>
      <c r="I545" s="428"/>
      <c r="J545" s="428"/>
      <c r="K545" s="432"/>
      <c r="L545" s="432"/>
      <c r="M545" s="432"/>
      <c r="N545" s="432"/>
      <c r="O545" s="432"/>
      <c r="P545" s="432"/>
      <c r="Q545" s="432"/>
      <c r="R545" s="432"/>
      <c r="S545" s="432"/>
      <c r="T545" s="432"/>
      <c r="U545" s="432"/>
      <c r="V545" s="432"/>
      <c r="W545" s="432"/>
      <c r="X545" s="54"/>
      <c r="Y545" s="54"/>
      <c r="Z545" s="54"/>
      <c r="AA545" s="54"/>
      <c r="AB545" s="54"/>
      <c r="AC545" s="54"/>
    </row>
    <row r="546" ht="78.0" customHeight="1">
      <c r="A546" s="649">
        <v>45596.0</v>
      </c>
      <c r="B546" s="414" t="s">
        <v>4246</v>
      </c>
      <c r="C546" s="414" t="s">
        <v>4247</v>
      </c>
      <c r="D546" s="414"/>
      <c r="E546" s="42"/>
      <c r="F546" s="414" t="s">
        <v>4248</v>
      </c>
      <c r="G546" s="42"/>
      <c r="H546" s="42"/>
      <c r="I546" s="42"/>
      <c r="J546" s="42"/>
      <c r="K546" s="44"/>
      <c r="L546" s="44"/>
      <c r="M546" s="44"/>
      <c r="N546" s="44"/>
      <c r="O546" s="44"/>
      <c r="P546" s="44"/>
      <c r="Q546" s="44"/>
      <c r="R546" s="44"/>
      <c r="S546" s="44"/>
      <c r="T546" s="44"/>
      <c r="U546" s="44"/>
      <c r="V546" s="44"/>
      <c r="W546" s="44"/>
      <c r="X546" s="28"/>
      <c r="Y546" s="28"/>
      <c r="Z546" s="28"/>
      <c r="AA546" s="28"/>
      <c r="AB546" s="28"/>
      <c r="AC546" s="28"/>
    </row>
    <row r="547" ht="78.0" customHeight="1">
      <c r="A547" s="650">
        <v>45596.0</v>
      </c>
      <c r="B547" s="427" t="s">
        <v>4250</v>
      </c>
      <c r="C547" s="427" t="s">
        <v>4251</v>
      </c>
      <c r="D547" s="427"/>
      <c r="E547" s="428"/>
      <c r="F547" s="428"/>
      <c r="G547" s="428"/>
      <c r="H547" s="428"/>
      <c r="I547" s="428"/>
      <c r="J547" s="428"/>
      <c r="K547" s="432"/>
      <c r="L547" s="432"/>
      <c r="M547" s="432"/>
      <c r="N547" s="432"/>
      <c r="O547" s="432"/>
      <c r="P547" s="432"/>
      <c r="Q547" s="432"/>
      <c r="R547" s="432"/>
      <c r="S547" s="432"/>
      <c r="T547" s="432"/>
      <c r="U547" s="432"/>
      <c r="V547" s="432"/>
      <c r="W547" s="432"/>
      <c r="X547" s="54"/>
      <c r="Y547" s="54"/>
      <c r="Z547" s="54"/>
      <c r="AA547" s="54"/>
      <c r="AB547" s="54"/>
      <c r="AC547" s="54"/>
    </row>
    <row r="548" ht="78.0" customHeight="1">
      <c r="A548" s="649">
        <v>45596.0</v>
      </c>
      <c r="B548" s="414" t="s">
        <v>4255</v>
      </c>
      <c r="C548" s="42"/>
      <c r="D548" s="414"/>
      <c r="E548" s="42"/>
      <c r="F548" s="42"/>
      <c r="G548" s="42"/>
      <c r="H548" s="42"/>
      <c r="I548" s="42"/>
      <c r="J548" s="42"/>
      <c r="K548" s="44"/>
      <c r="L548" s="44"/>
      <c r="M548" s="44"/>
      <c r="N548" s="44"/>
      <c r="O548" s="44"/>
      <c r="P548" s="44"/>
      <c r="Q548" s="44"/>
      <c r="R548" s="44"/>
      <c r="S548" s="44"/>
      <c r="T548" s="44"/>
      <c r="U548" s="44"/>
      <c r="V548" s="44"/>
      <c r="W548" s="44"/>
      <c r="X548" s="28"/>
      <c r="Y548" s="28"/>
      <c r="Z548" s="28"/>
      <c r="AA548" s="28"/>
      <c r="AB548" s="28"/>
      <c r="AC548" s="28"/>
    </row>
    <row r="549" ht="78.0" customHeight="1">
      <c r="A549" s="650">
        <v>45596.0</v>
      </c>
      <c r="B549" s="427" t="s">
        <v>4260</v>
      </c>
      <c r="C549" s="427" t="s">
        <v>4261</v>
      </c>
      <c r="D549" s="427"/>
      <c r="E549" s="428"/>
      <c r="F549" s="427" t="s">
        <v>4262</v>
      </c>
      <c r="G549" s="427" t="s">
        <v>4263</v>
      </c>
      <c r="H549" s="427" t="s">
        <v>4264</v>
      </c>
      <c r="I549" s="428"/>
      <c r="J549" s="428"/>
      <c r="K549" s="432"/>
      <c r="L549" s="432"/>
      <c r="M549" s="432"/>
      <c r="N549" s="432"/>
      <c r="O549" s="432"/>
      <c r="P549" s="432"/>
      <c r="Q549" s="432"/>
      <c r="R549" s="432"/>
      <c r="S549" s="432"/>
      <c r="T549" s="432"/>
      <c r="U549" s="432"/>
      <c r="V549" s="432"/>
      <c r="W549" s="432"/>
      <c r="X549" s="54"/>
      <c r="Y549" s="54"/>
      <c r="Z549" s="54"/>
      <c r="AA549" s="54"/>
      <c r="AB549" s="54"/>
      <c r="AC549" s="54"/>
    </row>
    <row r="550" ht="78.0" customHeight="1">
      <c r="A550" s="649">
        <v>45596.0</v>
      </c>
      <c r="B550" s="414" t="s">
        <v>4267</v>
      </c>
      <c r="C550" s="42"/>
      <c r="D550" s="414"/>
      <c r="E550" s="42"/>
      <c r="F550" s="42"/>
      <c r="G550" s="42"/>
      <c r="H550" s="42"/>
      <c r="I550" s="42"/>
      <c r="J550" s="42"/>
      <c r="K550" s="44"/>
      <c r="L550" s="44"/>
      <c r="M550" s="44"/>
      <c r="N550" s="44"/>
      <c r="O550" s="44"/>
      <c r="P550" s="44"/>
      <c r="Q550" s="44"/>
      <c r="R550" s="44"/>
      <c r="S550" s="44"/>
      <c r="T550" s="44"/>
      <c r="U550" s="44"/>
      <c r="V550" s="44"/>
      <c r="W550" s="44"/>
      <c r="X550" s="28"/>
      <c r="Y550" s="28"/>
      <c r="Z550" s="28"/>
      <c r="AA550" s="28"/>
      <c r="AB550" s="28"/>
      <c r="AC550" s="28"/>
    </row>
    <row r="551" ht="78.0" customHeight="1">
      <c r="A551" s="650">
        <v>45596.0</v>
      </c>
      <c r="B551" s="427" t="s">
        <v>4269</v>
      </c>
      <c r="C551" s="427" t="s">
        <v>4270</v>
      </c>
      <c r="D551" s="427"/>
      <c r="E551" s="428"/>
      <c r="F551" s="428"/>
      <c r="G551" s="428"/>
      <c r="H551" s="428"/>
      <c r="I551" s="428"/>
      <c r="J551" s="428"/>
      <c r="K551" s="432"/>
      <c r="L551" s="432"/>
      <c r="M551" s="432"/>
      <c r="N551" s="432"/>
      <c r="O551" s="432"/>
      <c r="P551" s="432"/>
      <c r="Q551" s="432"/>
      <c r="R551" s="432"/>
      <c r="S551" s="432"/>
      <c r="T551" s="432"/>
      <c r="U551" s="432"/>
      <c r="V551" s="432"/>
      <c r="W551" s="432"/>
      <c r="X551" s="54"/>
      <c r="Y551" s="54"/>
      <c r="Z551" s="54"/>
      <c r="AA551" s="54"/>
      <c r="AB551" s="54"/>
      <c r="AC551" s="54"/>
    </row>
    <row r="552" ht="78.0" customHeight="1">
      <c r="A552" s="649">
        <v>45596.0</v>
      </c>
      <c r="B552" s="414" t="s">
        <v>4274</v>
      </c>
      <c r="C552" s="414" t="s">
        <v>4276</v>
      </c>
      <c r="D552" s="414"/>
      <c r="E552" s="42"/>
      <c r="F552" s="414" t="s">
        <v>4277</v>
      </c>
      <c r="G552" s="42"/>
      <c r="H552" s="42"/>
      <c r="I552" s="42"/>
      <c r="J552" s="42"/>
      <c r="K552" s="44"/>
      <c r="L552" s="44"/>
      <c r="M552" s="44"/>
      <c r="N552" s="44"/>
      <c r="O552" s="44"/>
      <c r="P552" s="44"/>
      <c r="Q552" s="44"/>
      <c r="R552" s="44"/>
      <c r="S552" s="44"/>
      <c r="T552" s="44"/>
      <c r="U552" s="44"/>
      <c r="V552" s="44"/>
      <c r="W552" s="44"/>
      <c r="X552" s="28"/>
      <c r="Y552" s="28"/>
      <c r="Z552" s="28"/>
      <c r="AA552" s="28"/>
      <c r="AB552" s="28"/>
      <c r="AC552" s="28"/>
    </row>
    <row r="553" ht="78.0" customHeight="1">
      <c r="A553" s="650">
        <v>45596.0</v>
      </c>
      <c r="B553" s="427" t="s">
        <v>4280</v>
      </c>
      <c r="C553" s="427" t="s">
        <v>4282</v>
      </c>
      <c r="D553" s="427"/>
      <c r="E553" s="428"/>
      <c r="F553" s="427" t="s">
        <v>4283</v>
      </c>
      <c r="G553" s="428"/>
      <c r="H553" s="428"/>
      <c r="I553" s="428"/>
      <c r="J553" s="428"/>
      <c r="K553" s="432"/>
      <c r="L553" s="432"/>
      <c r="M553" s="432"/>
      <c r="N553" s="432"/>
      <c r="O553" s="432"/>
      <c r="P553" s="432"/>
      <c r="Q553" s="432"/>
      <c r="R553" s="432"/>
      <c r="S553" s="432"/>
      <c r="T553" s="432"/>
      <c r="U553" s="432"/>
      <c r="V553" s="432"/>
      <c r="W553" s="432"/>
      <c r="X553" s="54"/>
      <c r="Y553" s="54"/>
      <c r="Z553" s="54"/>
      <c r="AA553" s="54"/>
      <c r="AB553" s="54"/>
      <c r="AC553" s="54"/>
    </row>
    <row r="554" ht="78.0" customHeight="1">
      <c r="A554" s="649">
        <v>45596.0</v>
      </c>
      <c r="B554" s="414" t="s">
        <v>4287</v>
      </c>
      <c r="C554" s="414" t="s">
        <v>4288</v>
      </c>
      <c r="D554" s="414"/>
      <c r="E554" s="42"/>
      <c r="F554" s="414" t="s">
        <v>4290</v>
      </c>
      <c r="G554" s="414" t="s">
        <v>4291</v>
      </c>
      <c r="H554" s="42"/>
      <c r="I554" s="42"/>
      <c r="J554" s="42"/>
      <c r="K554" s="44"/>
      <c r="L554" s="44"/>
      <c r="M554" s="44"/>
      <c r="N554" s="44"/>
      <c r="O554" s="44"/>
      <c r="P554" s="44"/>
      <c r="Q554" s="44"/>
      <c r="R554" s="44"/>
      <c r="S554" s="44"/>
      <c r="T554" s="44"/>
      <c r="U554" s="44"/>
      <c r="V554" s="44"/>
      <c r="W554" s="44"/>
      <c r="X554" s="28"/>
      <c r="Y554" s="28"/>
      <c r="Z554" s="28"/>
      <c r="AA554" s="28"/>
      <c r="AB554" s="28"/>
      <c r="AC554" s="28"/>
    </row>
    <row r="555" ht="78.0" customHeight="1">
      <c r="A555" s="650">
        <v>45596.0</v>
      </c>
      <c r="B555" s="427" t="s">
        <v>4294</v>
      </c>
      <c r="C555" s="427" t="s">
        <v>4295</v>
      </c>
      <c r="D555" s="427"/>
      <c r="E555" s="428"/>
      <c r="F555" s="427" t="s">
        <v>4296</v>
      </c>
      <c r="G555" s="427" t="s">
        <v>4297</v>
      </c>
      <c r="H555" s="428"/>
      <c r="I555" s="428"/>
      <c r="J555" s="428"/>
      <c r="K555" s="432"/>
      <c r="L555" s="432"/>
      <c r="M555" s="432"/>
      <c r="N555" s="432"/>
      <c r="O555" s="432"/>
      <c r="P555" s="432"/>
      <c r="Q555" s="432"/>
      <c r="R555" s="432"/>
      <c r="S555" s="432"/>
      <c r="T555" s="432"/>
      <c r="U555" s="432"/>
      <c r="V555" s="432"/>
      <c r="W555" s="432"/>
      <c r="X555" s="54"/>
      <c r="Y555" s="54"/>
      <c r="Z555" s="54"/>
      <c r="AA555" s="54"/>
      <c r="AB555" s="54"/>
      <c r="AC555" s="54"/>
    </row>
    <row r="556" ht="78.0" customHeight="1">
      <c r="A556" s="649">
        <v>45596.0</v>
      </c>
      <c r="B556" s="42"/>
      <c r="C556" s="42"/>
      <c r="D556" s="414"/>
      <c r="E556" s="42"/>
      <c r="F556" s="42"/>
      <c r="G556" s="42"/>
      <c r="H556" s="42"/>
      <c r="I556" s="42"/>
      <c r="J556" s="42"/>
      <c r="K556" s="44"/>
      <c r="L556" s="44"/>
      <c r="M556" s="44"/>
      <c r="N556" s="44"/>
      <c r="O556" s="44"/>
      <c r="P556" s="44"/>
      <c r="Q556" s="44"/>
      <c r="R556" s="44"/>
      <c r="S556" s="44"/>
      <c r="T556" s="44"/>
      <c r="U556" s="44"/>
      <c r="V556" s="44"/>
      <c r="W556" s="44"/>
      <c r="X556" s="28"/>
      <c r="Y556" s="28"/>
      <c r="Z556" s="28"/>
      <c r="AA556" s="28"/>
      <c r="AB556" s="28"/>
      <c r="AC556" s="28"/>
    </row>
    <row r="557" ht="78.0" customHeight="1">
      <c r="A557" s="650">
        <v>45596.0</v>
      </c>
      <c r="B557" s="427" t="s">
        <v>4301</v>
      </c>
      <c r="C557" s="427" t="s">
        <v>4302</v>
      </c>
      <c r="D557" s="427"/>
      <c r="E557" s="428"/>
      <c r="F557" s="427" t="s">
        <v>4304</v>
      </c>
      <c r="G557" s="427" t="s">
        <v>4305</v>
      </c>
      <c r="H557" s="427" t="s">
        <v>4306</v>
      </c>
      <c r="I557" s="428"/>
      <c r="J557" s="428"/>
      <c r="K557" s="432"/>
      <c r="L557" s="432"/>
      <c r="M557" s="432"/>
      <c r="N557" s="432"/>
      <c r="O557" s="432"/>
      <c r="P557" s="432"/>
      <c r="Q557" s="432"/>
      <c r="R557" s="432"/>
      <c r="S557" s="432"/>
      <c r="T557" s="432"/>
      <c r="U557" s="432"/>
      <c r="V557" s="432"/>
      <c r="W557" s="432"/>
      <c r="X557" s="54"/>
      <c r="Y557" s="54"/>
      <c r="Z557" s="54"/>
      <c r="AA557" s="54"/>
      <c r="AB557" s="54"/>
      <c r="AC557" s="54"/>
    </row>
    <row r="558" ht="78.0" customHeight="1">
      <c r="A558" s="649">
        <v>45596.0</v>
      </c>
      <c r="B558" s="414" t="s">
        <v>4309</v>
      </c>
      <c r="C558" s="42"/>
      <c r="D558" s="414"/>
      <c r="E558" s="42"/>
      <c r="F558" s="42"/>
      <c r="G558" s="42"/>
      <c r="H558" s="42"/>
      <c r="I558" s="42"/>
      <c r="J558" s="42"/>
      <c r="K558" s="44"/>
      <c r="L558" s="44"/>
      <c r="M558" s="44"/>
      <c r="N558" s="44"/>
      <c r="O558" s="44"/>
      <c r="P558" s="44"/>
      <c r="Q558" s="44"/>
      <c r="R558" s="44"/>
      <c r="S558" s="44"/>
      <c r="T558" s="44"/>
      <c r="U558" s="44"/>
      <c r="V558" s="44"/>
      <c r="W558" s="44"/>
      <c r="X558" s="28"/>
      <c r="Y558" s="28"/>
      <c r="Z558" s="28"/>
      <c r="AA558" s="28"/>
      <c r="AB558" s="28"/>
      <c r="AC558" s="28"/>
    </row>
    <row r="559" ht="78.0" customHeight="1">
      <c r="A559" s="650">
        <v>45596.0</v>
      </c>
      <c r="B559" s="427" t="s">
        <v>4310</v>
      </c>
      <c r="C559" s="427" t="s">
        <v>4311</v>
      </c>
      <c r="D559" s="427"/>
      <c r="E559" s="428"/>
      <c r="F559" s="427" t="s">
        <v>4312</v>
      </c>
      <c r="G559" s="427" t="s">
        <v>4313</v>
      </c>
      <c r="H559" s="428"/>
      <c r="I559" s="428"/>
      <c r="J559" s="428"/>
      <c r="K559" s="432"/>
      <c r="L559" s="432"/>
      <c r="M559" s="432"/>
      <c r="N559" s="432"/>
      <c r="O559" s="432"/>
      <c r="P559" s="432"/>
      <c r="Q559" s="432"/>
      <c r="R559" s="432"/>
      <c r="S559" s="432"/>
      <c r="T559" s="432"/>
      <c r="U559" s="432"/>
      <c r="V559" s="432"/>
      <c r="W559" s="432"/>
      <c r="X559" s="54"/>
      <c r="Y559" s="54"/>
      <c r="Z559" s="54"/>
      <c r="AA559" s="54"/>
      <c r="AB559" s="54"/>
      <c r="AC559" s="54"/>
    </row>
    <row r="560" ht="78.0" customHeight="1">
      <c r="A560" s="649">
        <v>45596.0</v>
      </c>
      <c r="B560" s="414" t="s">
        <v>4315</v>
      </c>
      <c r="C560" s="414" t="s">
        <v>4316</v>
      </c>
      <c r="D560" s="414"/>
      <c r="E560" s="42"/>
      <c r="F560" s="42"/>
      <c r="G560" s="42"/>
      <c r="H560" s="42"/>
      <c r="I560" s="42"/>
      <c r="J560" s="42"/>
      <c r="K560" s="44"/>
      <c r="L560" s="44"/>
      <c r="M560" s="44"/>
      <c r="N560" s="44"/>
      <c r="O560" s="44"/>
      <c r="P560" s="44"/>
      <c r="Q560" s="44"/>
      <c r="R560" s="44"/>
      <c r="S560" s="44"/>
      <c r="T560" s="44"/>
      <c r="U560" s="44"/>
      <c r="V560" s="44"/>
      <c r="W560" s="44"/>
      <c r="X560" s="28"/>
      <c r="Y560" s="28"/>
      <c r="Z560" s="28"/>
      <c r="AA560" s="28"/>
      <c r="AB560" s="28"/>
      <c r="AC560" s="28"/>
    </row>
    <row r="561" ht="78.0" customHeight="1">
      <c r="A561" s="650">
        <v>45596.0</v>
      </c>
      <c r="B561" s="427" t="s">
        <v>4320</v>
      </c>
      <c r="C561" s="427" t="s">
        <v>4321</v>
      </c>
      <c r="D561" s="427"/>
      <c r="E561" s="428"/>
      <c r="F561" s="428"/>
      <c r="G561" s="428"/>
      <c r="H561" s="428"/>
      <c r="I561" s="428"/>
      <c r="J561" s="428"/>
      <c r="K561" s="432"/>
      <c r="L561" s="432"/>
      <c r="M561" s="432"/>
      <c r="N561" s="432"/>
      <c r="O561" s="432"/>
      <c r="P561" s="432"/>
      <c r="Q561" s="432"/>
      <c r="R561" s="432"/>
      <c r="S561" s="432"/>
      <c r="T561" s="432"/>
      <c r="U561" s="432"/>
      <c r="V561" s="432"/>
      <c r="W561" s="432"/>
      <c r="X561" s="54"/>
      <c r="Y561" s="54"/>
      <c r="Z561" s="54"/>
      <c r="AA561" s="54"/>
      <c r="AB561" s="54"/>
      <c r="AC561" s="54"/>
    </row>
    <row r="562" ht="78.0" customHeight="1">
      <c r="A562" s="649">
        <v>45596.0</v>
      </c>
      <c r="B562" s="414" t="s">
        <v>4324</v>
      </c>
      <c r="C562" s="414" t="s">
        <v>4326</v>
      </c>
      <c r="D562" s="414"/>
      <c r="E562" s="42"/>
      <c r="F562" s="414" t="s">
        <v>4327</v>
      </c>
      <c r="G562" s="414" t="s">
        <v>4328</v>
      </c>
      <c r="H562" s="414" t="s">
        <v>4329</v>
      </c>
      <c r="I562" s="42"/>
      <c r="J562" s="42"/>
      <c r="K562" s="44"/>
      <c r="L562" s="44"/>
      <c r="M562" s="44"/>
      <c r="N562" s="44"/>
      <c r="O562" s="44"/>
      <c r="P562" s="44"/>
      <c r="Q562" s="44"/>
      <c r="R562" s="44"/>
      <c r="S562" s="44"/>
      <c r="T562" s="44"/>
      <c r="U562" s="44"/>
      <c r="V562" s="44"/>
      <c r="W562" s="44"/>
      <c r="X562" s="28"/>
      <c r="Y562" s="28"/>
      <c r="Z562" s="28"/>
      <c r="AA562" s="28"/>
      <c r="AB562" s="28"/>
      <c r="AC562" s="28"/>
    </row>
    <row r="563" ht="78.0" customHeight="1">
      <c r="A563" s="650">
        <v>45596.0</v>
      </c>
      <c r="B563" s="427" t="s">
        <v>4333</v>
      </c>
      <c r="C563" s="427" t="s">
        <v>4334</v>
      </c>
      <c r="D563" s="427"/>
      <c r="E563" s="428"/>
      <c r="F563" s="427" t="s">
        <v>4336</v>
      </c>
      <c r="G563" s="427" t="s">
        <v>4338</v>
      </c>
      <c r="H563" s="428"/>
      <c r="I563" s="428"/>
      <c r="J563" s="428"/>
      <c r="K563" s="432"/>
      <c r="L563" s="432"/>
      <c r="M563" s="432"/>
      <c r="N563" s="432"/>
      <c r="O563" s="432"/>
      <c r="P563" s="432"/>
      <c r="Q563" s="432"/>
      <c r="R563" s="432"/>
      <c r="S563" s="432"/>
      <c r="T563" s="432"/>
      <c r="U563" s="432"/>
      <c r="V563" s="432"/>
      <c r="W563" s="432"/>
      <c r="X563" s="54"/>
      <c r="Y563" s="54"/>
      <c r="Z563" s="54"/>
      <c r="AA563" s="54"/>
      <c r="AB563" s="54"/>
      <c r="AC563" s="54"/>
    </row>
    <row r="564" ht="78.0" customHeight="1">
      <c r="A564" s="649">
        <v>45596.0</v>
      </c>
      <c r="B564" s="414" t="s">
        <v>4339</v>
      </c>
      <c r="C564" s="42"/>
      <c r="D564" s="414"/>
      <c r="E564" s="42"/>
      <c r="F564" s="42"/>
      <c r="G564" s="42"/>
      <c r="H564" s="42"/>
      <c r="I564" s="42"/>
      <c r="J564" s="42"/>
      <c r="K564" s="44"/>
      <c r="L564" s="44"/>
      <c r="M564" s="44"/>
      <c r="N564" s="44"/>
      <c r="O564" s="44"/>
      <c r="P564" s="44"/>
      <c r="Q564" s="44"/>
      <c r="R564" s="44"/>
      <c r="S564" s="44"/>
      <c r="T564" s="44"/>
      <c r="U564" s="44"/>
      <c r="V564" s="44"/>
      <c r="W564" s="44"/>
      <c r="X564" s="28"/>
      <c r="Y564" s="28"/>
      <c r="Z564" s="28"/>
      <c r="AA564" s="28"/>
      <c r="AB564" s="28"/>
      <c r="AC564" s="28"/>
    </row>
    <row r="565" ht="78.0" customHeight="1">
      <c r="A565" s="650">
        <v>45596.0</v>
      </c>
      <c r="B565" s="427" t="s">
        <v>4344</v>
      </c>
      <c r="C565" s="427" t="s">
        <v>4346</v>
      </c>
      <c r="D565" s="427"/>
      <c r="E565" s="428"/>
      <c r="F565" s="427" t="s">
        <v>4347</v>
      </c>
      <c r="G565" s="427" t="s">
        <v>4348</v>
      </c>
      <c r="H565" s="427">
        <v>1.0</v>
      </c>
      <c r="I565" s="428"/>
      <c r="J565" s="428"/>
      <c r="K565" s="432"/>
      <c r="L565" s="432"/>
      <c r="M565" s="432"/>
      <c r="N565" s="432"/>
      <c r="O565" s="432"/>
      <c r="P565" s="432"/>
      <c r="Q565" s="432"/>
      <c r="R565" s="432"/>
      <c r="S565" s="432"/>
      <c r="T565" s="432"/>
      <c r="U565" s="432"/>
      <c r="V565" s="432"/>
      <c r="W565" s="432"/>
      <c r="X565" s="54"/>
      <c r="Y565" s="54"/>
      <c r="Z565" s="54"/>
      <c r="AA565" s="54"/>
      <c r="AB565" s="54"/>
      <c r="AC565" s="54"/>
    </row>
    <row r="566" ht="78.0" customHeight="1">
      <c r="A566" s="649">
        <v>45596.0</v>
      </c>
      <c r="B566" s="414" t="s">
        <v>4355</v>
      </c>
      <c r="C566" s="42"/>
      <c r="D566" s="414"/>
      <c r="E566" s="42"/>
      <c r="F566" s="42"/>
      <c r="G566" s="42"/>
      <c r="H566" s="42"/>
      <c r="I566" s="42"/>
      <c r="J566" s="42"/>
      <c r="K566" s="44"/>
      <c r="L566" s="44"/>
      <c r="M566" s="44"/>
      <c r="N566" s="44"/>
      <c r="O566" s="44"/>
      <c r="P566" s="44"/>
      <c r="Q566" s="44"/>
      <c r="R566" s="44"/>
      <c r="S566" s="44"/>
      <c r="T566" s="44"/>
      <c r="U566" s="44"/>
      <c r="V566" s="44"/>
      <c r="W566" s="44"/>
      <c r="X566" s="28"/>
      <c r="Y566" s="28"/>
      <c r="Z566" s="28"/>
      <c r="AA566" s="28"/>
      <c r="AB566" s="28"/>
      <c r="AC566" s="28"/>
    </row>
    <row r="567" ht="78.0" customHeight="1">
      <c r="A567" s="650">
        <v>45596.0</v>
      </c>
      <c r="B567" s="427" t="s">
        <v>4363</v>
      </c>
      <c r="C567" s="427" t="s">
        <v>4364</v>
      </c>
      <c r="D567" s="427"/>
      <c r="E567" s="428"/>
      <c r="F567" s="427" t="s">
        <v>4365</v>
      </c>
      <c r="G567" s="428"/>
      <c r="H567" s="428"/>
      <c r="I567" s="428"/>
      <c r="J567" s="428"/>
      <c r="K567" s="432"/>
      <c r="L567" s="432"/>
      <c r="M567" s="432"/>
      <c r="N567" s="432"/>
      <c r="O567" s="432"/>
      <c r="P567" s="432"/>
      <c r="Q567" s="432"/>
      <c r="R567" s="432"/>
      <c r="S567" s="432"/>
      <c r="T567" s="432"/>
      <c r="U567" s="432"/>
      <c r="V567" s="432"/>
      <c r="W567" s="432"/>
      <c r="X567" s="54"/>
      <c r="Y567" s="54"/>
      <c r="Z567" s="54"/>
      <c r="AA567" s="54"/>
      <c r="AB567" s="54"/>
      <c r="AC567" s="54"/>
    </row>
    <row r="568" ht="78.0" customHeight="1">
      <c r="A568" s="649">
        <v>45596.0</v>
      </c>
      <c r="B568" s="414" t="s">
        <v>4372</v>
      </c>
      <c r="C568" s="42"/>
      <c r="D568" s="414"/>
      <c r="E568" s="42"/>
      <c r="F568" s="42"/>
      <c r="G568" s="42"/>
      <c r="H568" s="42"/>
      <c r="I568" s="42"/>
      <c r="J568" s="42"/>
      <c r="K568" s="44"/>
      <c r="L568" s="44"/>
      <c r="M568" s="44"/>
      <c r="N568" s="44"/>
      <c r="O568" s="44"/>
      <c r="P568" s="44"/>
      <c r="Q568" s="44"/>
      <c r="R568" s="44"/>
      <c r="S568" s="44"/>
      <c r="T568" s="44"/>
      <c r="U568" s="44"/>
      <c r="V568" s="44"/>
      <c r="W568" s="44"/>
      <c r="X568" s="28"/>
      <c r="Y568" s="28"/>
      <c r="Z568" s="28"/>
      <c r="AA568" s="28"/>
      <c r="AB568" s="28"/>
      <c r="AC568" s="28"/>
    </row>
    <row r="569" ht="78.0" customHeight="1">
      <c r="A569" s="650">
        <v>45596.0</v>
      </c>
      <c r="B569" s="427"/>
      <c r="C569" s="427" t="s">
        <v>4384</v>
      </c>
      <c r="D569" s="427"/>
      <c r="E569" s="428"/>
      <c r="F569" s="428"/>
      <c r="G569" s="428"/>
      <c r="H569" s="428"/>
      <c r="I569" s="428"/>
      <c r="J569" s="428"/>
      <c r="K569" s="432"/>
      <c r="L569" s="432"/>
      <c r="M569" s="432"/>
      <c r="N569" s="432"/>
      <c r="O569" s="432"/>
      <c r="P569" s="432"/>
      <c r="Q569" s="432"/>
      <c r="R569" s="432"/>
      <c r="S569" s="432"/>
      <c r="T569" s="432"/>
      <c r="U569" s="432"/>
      <c r="V569" s="432"/>
      <c r="W569" s="432"/>
      <c r="X569" s="54"/>
      <c r="Y569" s="54"/>
      <c r="Z569" s="54"/>
      <c r="AA569" s="54"/>
      <c r="AB569" s="54"/>
      <c r="AC569" s="54"/>
    </row>
    <row r="570" ht="78.0" customHeight="1">
      <c r="A570" s="649">
        <v>45596.0</v>
      </c>
      <c r="B570" s="414" t="s">
        <v>4389</v>
      </c>
      <c r="C570" s="414" t="s">
        <v>4391</v>
      </c>
      <c r="D570" s="414"/>
      <c r="E570" s="42"/>
      <c r="F570" s="42"/>
      <c r="G570" s="42"/>
      <c r="H570" s="42"/>
      <c r="I570" s="42"/>
      <c r="J570" s="42"/>
      <c r="K570" s="44"/>
      <c r="L570" s="44"/>
      <c r="M570" s="44"/>
      <c r="N570" s="44"/>
      <c r="O570" s="44"/>
      <c r="P570" s="44"/>
      <c r="Q570" s="44"/>
      <c r="R570" s="44"/>
      <c r="S570" s="44"/>
      <c r="T570" s="44"/>
      <c r="U570" s="44"/>
      <c r="V570" s="44"/>
      <c r="W570" s="44"/>
      <c r="X570" s="28"/>
      <c r="Y570" s="28"/>
      <c r="Z570" s="28"/>
      <c r="AA570" s="28"/>
      <c r="AB570" s="28"/>
      <c r="AC570" s="28"/>
    </row>
    <row r="571" ht="78.0" customHeight="1">
      <c r="A571" s="650">
        <v>45596.0</v>
      </c>
      <c r="B571" s="427" t="s">
        <v>4400</v>
      </c>
      <c r="C571" s="427" t="s">
        <v>4401</v>
      </c>
      <c r="D571" s="427"/>
      <c r="E571" s="428"/>
      <c r="F571" s="427" t="s">
        <v>4403</v>
      </c>
      <c r="G571" s="428"/>
      <c r="H571" s="428"/>
      <c r="I571" s="428"/>
      <c r="J571" s="428"/>
      <c r="K571" s="432"/>
      <c r="L571" s="432"/>
      <c r="M571" s="432"/>
      <c r="N571" s="432"/>
      <c r="O571" s="432"/>
      <c r="P571" s="432"/>
      <c r="Q571" s="432"/>
      <c r="R571" s="432"/>
      <c r="S571" s="432"/>
      <c r="T571" s="432"/>
      <c r="U571" s="432"/>
      <c r="V571" s="432"/>
      <c r="W571" s="432"/>
      <c r="X571" s="54"/>
      <c r="Y571" s="54"/>
      <c r="Z571" s="54"/>
      <c r="AA571" s="54"/>
      <c r="AB571" s="54"/>
      <c r="AC571" s="54"/>
    </row>
    <row r="572" ht="78.0" customHeight="1">
      <c r="A572" s="649">
        <v>45596.0</v>
      </c>
      <c r="B572" s="414" t="s">
        <v>4412</v>
      </c>
      <c r="C572" s="414" t="s">
        <v>4413</v>
      </c>
      <c r="D572" s="414"/>
      <c r="E572" s="42"/>
      <c r="F572" s="414" t="s">
        <v>4415</v>
      </c>
      <c r="G572" s="414" t="s">
        <v>4416</v>
      </c>
      <c r="H572" s="42"/>
      <c r="I572" s="42"/>
      <c r="J572" s="42"/>
      <c r="K572" s="44"/>
      <c r="L572" s="44"/>
      <c r="M572" s="44"/>
      <c r="N572" s="44"/>
      <c r="O572" s="44"/>
      <c r="P572" s="44"/>
      <c r="Q572" s="44"/>
      <c r="R572" s="44"/>
      <c r="S572" s="44"/>
      <c r="T572" s="44"/>
      <c r="U572" s="44"/>
      <c r="V572" s="44"/>
      <c r="W572" s="44"/>
      <c r="X572" s="28"/>
      <c r="Y572" s="28"/>
      <c r="Z572" s="28"/>
      <c r="AA572" s="28"/>
      <c r="AB572" s="28"/>
      <c r="AC572" s="28"/>
    </row>
    <row r="573" ht="78.0" customHeight="1">
      <c r="A573" s="650">
        <v>45595.0</v>
      </c>
      <c r="B573" s="427" t="s">
        <v>4421</v>
      </c>
      <c r="C573" s="427" t="s">
        <v>4422</v>
      </c>
      <c r="D573" s="427"/>
      <c r="E573" s="428"/>
      <c r="F573" s="427" t="s">
        <v>4423</v>
      </c>
      <c r="G573" s="427" t="s">
        <v>4425</v>
      </c>
      <c r="H573" s="428"/>
      <c r="I573" s="428"/>
      <c r="J573" s="428"/>
      <c r="K573" s="432"/>
      <c r="L573" s="432"/>
      <c r="M573" s="432"/>
      <c r="N573" s="432"/>
      <c r="O573" s="432"/>
      <c r="P573" s="432"/>
      <c r="Q573" s="432"/>
      <c r="R573" s="432"/>
      <c r="S573" s="432"/>
      <c r="T573" s="432"/>
      <c r="U573" s="432"/>
      <c r="V573" s="432"/>
      <c r="W573" s="432"/>
      <c r="X573" s="54"/>
      <c r="Y573" s="54"/>
      <c r="Z573" s="54"/>
      <c r="AA573" s="54"/>
      <c r="AB573" s="54"/>
      <c r="AC573" s="54"/>
    </row>
    <row r="574" ht="78.0" customHeight="1">
      <c r="A574" s="649">
        <v>45595.0</v>
      </c>
      <c r="B574" s="414" t="s">
        <v>4435</v>
      </c>
      <c r="C574" s="414" t="s">
        <v>4438</v>
      </c>
      <c r="D574" s="414"/>
      <c r="E574" s="42"/>
      <c r="F574" s="42"/>
      <c r="G574" s="42"/>
      <c r="H574" s="42"/>
      <c r="I574" s="42"/>
      <c r="J574" s="42"/>
      <c r="K574" s="44"/>
      <c r="L574" s="44"/>
      <c r="M574" s="44"/>
      <c r="N574" s="44"/>
      <c r="O574" s="44"/>
      <c r="P574" s="44"/>
      <c r="Q574" s="44"/>
      <c r="R574" s="44"/>
      <c r="S574" s="44"/>
      <c r="T574" s="44"/>
      <c r="U574" s="44"/>
      <c r="V574" s="44"/>
      <c r="W574" s="44"/>
      <c r="X574" s="28"/>
      <c r="Y574" s="28"/>
      <c r="Z574" s="28"/>
      <c r="AA574" s="28"/>
      <c r="AB574" s="28"/>
      <c r="AC574" s="28"/>
    </row>
    <row r="575" ht="78.0" customHeight="1">
      <c r="A575" s="650">
        <v>45595.0</v>
      </c>
      <c r="B575" s="427" t="s">
        <v>4446</v>
      </c>
      <c r="C575" s="427" t="s">
        <v>4448</v>
      </c>
      <c r="D575" s="427"/>
      <c r="E575" s="428"/>
      <c r="F575" s="428"/>
      <c r="G575" s="428"/>
      <c r="H575" s="428"/>
      <c r="I575" s="428"/>
      <c r="J575" s="428"/>
      <c r="K575" s="432"/>
      <c r="L575" s="432"/>
      <c r="M575" s="432"/>
      <c r="N575" s="432"/>
      <c r="O575" s="432"/>
      <c r="P575" s="432"/>
      <c r="Q575" s="432"/>
      <c r="R575" s="432"/>
      <c r="S575" s="432"/>
      <c r="T575" s="432"/>
      <c r="U575" s="432"/>
      <c r="V575" s="432"/>
      <c r="W575" s="432"/>
      <c r="X575" s="54"/>
      <c r="Y575" s="54"/>
      <c r="Z575" s="54"/>
      <c r="AA575" s="54"/>
      <c r="AB575" s="54"/>
      <c r="AC575" s="54"/>
    </row>
    <row r="576" ht="78.0" customHeight="1">
      <c r="A576" s="649">
        <v>45595.0</v>
      </c>
      <c r="B576" s="414" t="s">
        <v>4459</v>
      </c>
      <c r="C576" s="414" t="s">
        <v>4461</v>
      </c>
      <c r="D576" s="414"/>
      <c r="E576" s="42"/>
      <c r="F576" s="414" t="s">
        <v>4463</v>
      </c>
      <c r="G576" s="414" t="s">
        <v>4465</v>
      </c>
      <c r="H576" s="414" t="s">
        <v>4466</v>
      </c>
      <c r="I576" s="414" t="s">
        <v>4468</v>
      </c>
      <c r="J576" s="414" t="s">
        <v>4470</v>
      </c>
      <c r="K576" s="44"/>
      <c r="L576" s="44"/>
      <c r="M576" s="44"/>
      <c r="N576" s="44"/>
      <c r="O576" s="44"/>
      <c r="P576" s="44"/>
      <c r="Q576" s="44"/>
      <c r="R576" s="44"/>
      <c r="S576" s="44"/>
      <c r="T576" s="44"/>
      <c r="U576" s="44"/>
      <c r="V576" s="44"/>
      <c r="W576" s="44"/>
      <c r="X576" s="28"/>
      <c r="Y576" s="28"/>
      <c r="Z576" s="28"/>
      <c r="AA576" s="28"/>
      <c r="AB576" s="28"/>
      <c r="AC576" s="28"/>
    </row>
    <row r="577" ht="78.0" customHeight="1">
      <c r="A577" s="650">
        <v>45595.0</v>
      </c>
      <c r="B577" s="434" t="s">
        <v>4478</v>
      </c>
      <c r="C577" s="427" t="s">
        <v>4479</v>
      </c>
      <c r="D577" s="427"/>
      <c r="E577" s="428"/>
      <c r="F577" s="427" t="s">
        <v>4480</v>
      </c>
      <c r="G577" s="428"/>
      <c r="H577" s="428"/>
      <c r="I577" s="428"/>
      <c r="J577" s="428"/>
      <c r="K577" s="432"/>
      <c r="L577" s="432"/>
      <c r="M577" s="432"/>
      <c r="N577" s="432"/>
      <c r="O577" s="432"/>
      <c r="P577" s="432"/>
      <c r="Q577" s="432"/>
      <c r="R577" s="432"/>
      <c r="S577" s="432"/>
      <c r="T577" s="432"/>
      <c r="U577" s="432"/>
      <c r="V577" s="432"/>
      <c r="W577" s="432"/>
      <c r="X577" s="54"/>
      <c r="Y577" s="54"/>
      <c r="Z577" s="54"/>
      <c r="AA577" s="54"/>
      <c r="AB577" s="54"/>
      <c r="AC577" s="54"/>
    </row>
    <row r="578" ht="78.0" customHeight="1">
      <c r="A578" s="649">
        <v>45595.0</v>
      </c>
      <c r="B578" s="414" t="s">
        <v>4487</v>
      </c>
      <c r="C578" s="414" t="s">
        <v>4488</v>
      </c>
      <c r="D578" s="414"/>
      <c r="E578" s="42"/>
      <c r="F578" s="414" t="s">
        <v>4490</v>
      </c>
      <c r="G578" s="42"/>
      <c r="H578" s="42"/>
      <c r="I578" s="42"/>
      <c r="J578" s="42"/>
      <c r="K578" s="44"/>
      <c r="L578" s="44"/>
      <c r="M578" s="44"/>
      <c r="N578" s="44"/>
      <c r="O578" s="44"/>
      <c r="P578" s="44"/>
      <c r="Q578" s="44"/>
      <c r="R578" s="44"/>
      <c r="S578" s="44"/>
      <c r="T578" s="44"/>
      <c r="U578" s="44"/>
      <c r="V578" s="44"/>
      <c r="W578" s="44"/>
      <c r="X578" s="28"/>
      <c r="Y578" s="28"/>
      <c r="Z578" s="28"/>
      <c r="AA578" s="28"/>
      <c r="AB578" s="28"/>
      <c r="AC578" s="28"/>
    </row>
    <row r="579" ht="78.0" customHeight="1">
      <c r="A579" s="650">
        <v>45595.0</v>
      </c>
      <c r="B579" s="427" t="s">
        <v>4498</v>
      </c>
      <c r="C579" s="427" t="s">
        <v>4499</v>
      </c>
      <c r="D579" s="427"/>
      <c r="E579" s="428"/>
      <c r="F579" s="427" t="s">
        <v>4500</v>
      </c>
      <c r="G579" s="428"/>
      <c r="H579" s="428"/>
      <c r="I579" s="428"/>
      <c r="J579" s="428"/>
      <c r="K579" s="432"/>
      <c r="L579" s="432"/>
      <c r="M579" s="432"/>
      <c r="N579" s="432"/>
      <c r="O579" s="432"/>
      <c r="P579" s="432"/>
      <c r="Q579" s="432"/>
      <c r="R579" s="432"/>
      <c r="S579" s="432"/>
      <c r="T579" s="432"/>
      <c r="U579" s="432"/>
      <c r="V579" s="432"/>
      <c r="W579" s="432"/>
      <c r="X579" s="54"/>
      <c r="Y579" s="54"/>
      <c r="Z579" s="54"/>
      <c r="AA579" s="54"/>
      <c r="AB579" s="54"/>
      <c r="AC579" s="54"/>
    </row>
    <row r="580" ht="78.0" customHeight="1">
      <c r="A580" s="649">
        <v>45595.0</v>
      </c>
      <c r="B580" s="414" t="s">
        <v>4506</v>
      </c>
      <c r="C580" s="42"/>
      <c r="D580" s="414"/>
      <c r="E580" s="42"/>
      <c r="F580" s="414" t="s">
        <v>4508</v>
      </c>
      <c r="G580" s="414" t="s">
        <v>4510</v>
      </c>
      <c r="H580" s="42"/>
      <c r="I580" s="42"/>
      <c r="J580" s="42"/>
      <c r="K580" s="44"/>
      <c r="L580" s="44"/>
      <c r="M580" s="44"/>
      <c r="N580" s="44"/>
      <c r="O580" s="44"/>
      <c r="P580" s="44"/>
      <c r="Q580" s="44"/>
      <c r="R580" s="44"/>
      <c r="S580" s="44"/>
      <c r="T580" s="44"/>
      <c r="U580" s="44"/>
      <c r="V580" s="44"/>
      <c r="W580" s="44"/>
      <c r="X580" s="28"/>
      <c r="Y580" s="28"/>
      <c r="Z580" s="28"/>
      <c r="AA580" s="28"/>
      <c r="AB580" s="28"/>
      <c r="AC580" s="28"/>
    </row>
    <row r="581" ht="78.0" customHeight="1">
      <c r="A581" s="650">
        <v>45595.0</v>
      </c>
      <c r="B581" s="427" t="s">
        <v>4519</v>
      </c>
      <c r="C581" s="427" t="s">
        <v>4520</v>
      </c>
      <c r="D581" s="427"/>
      <c r="E581" s="428"/>
      <c r="F581" s="427" t="s">
        <v>4522</v>
      </c>
      <c r="G581" s="428"/>
      <c r="H581" s="428"/>
      <c r="I581" s="428"/>
      <c r="J581" s="428"/>
      <c r="K581" s="432"/>
      <c r="L581" s="432"/>
      <c r="M581" s="432"/>
      <c r="N581" s="432"/>
      <c r="O581" s="432"/>
      <c r="P581" s="432"/>
      <c r="Q581" s="432"/>
      <c r="R581" s="432"/>
      <c r="S581" s="432"/>
      <c r="T581" s="432"/>
      <c r="U581" s="432"/>
      <c r="V581" s="432"/>
      <c r="W581" s="432"/>
      <c r="X581" s="54"/>
      <c r="Y581" s="54"/>
      <c r="Z581" s="54"/>
      <c r="AA581" s="54"/>
      <c r="AB581" s="54"/>
      <c r="AC581" s="54"/>
    </row>
    <row r="582" ht="78.0" customHeight="1">
      <c r="A582" s="649">
        <v>45595.0</v>
      </c>
      <c r="B582" s="414" t="s">
        <v>4530</v>
      </c>
      <c r="C582" s="414" t="s">
        <v>4532</v>
      </c>
      <c r="D582" s="414"/>
      <c r="E582" s="42"/>
      <c r="F582" s="42"/>
      <c r="G582" s="42"/>
      <c r="H582" s="42"/>
      <c r="I582" s="42"/>
      <c r="J582" s="42"/>
      <c r="K582" s="44"/>
      <c r="L582" s="44"/>
      <c r="M582" s="44"/>
      <c r="N582" s="44"/>
      <c r="O582" s="44"/>
      <c r="P582" s="44"/>
      <c r="Q582" s="44"/>
      <c r="R582" s="44"/>
      <c r="S582" s="44"/>
      <c r="T582" s="44"/>
      <c r="U582" s="44"/>
      <c r="V582" s="44"/>
      <c r="W582" s="44"/>
      <c r="X582" s="28"/>
      <c r="Y582" s="28"/>
      <c r="Z582" s="28"/>
      <c r="AA582" s="28"/>
      <c r="AB582" s="28"/>
      <c r="AC582" s="28"/>
    </row>
    <row r="583" ht="78.0" customHeight="1">
      <c r="A583" s="650">
        <v>45595.0</v>
      </c>
      <c r="B583" s="427" t="s">
        <v>4542</v>
      </c>
      <c r="C583" s="427" t="s">
        <v>4543</v>
      </c>
      <c r="D583" s="427"/>
      <c r="E583" s="428"/>
      <c r="F583" s="428"/>
      <c r="G583" s="428"/>
      <c r="H583" s="428"/>
      <c r="I583" s="428"/>
      <c r="J583" s="428"/>
      <c r="K583" s="432"/>
      <c r="L583" s="432"/>
      <c r="M583" s="432"/>
      <c r="N583" s="432"/>
      <c r="O583" s="432"/>
      <c r="P583" s="432"/>
      <c r="Q583" s="432"/>
      <c r="R583" s="432"/>
      <c r="S583" s="432"/>
      <c r="T583" s="432"/>
      <c r="U583" s="432"/>
      <c r="V583" s="432"/>
      <c r="W583" s="432"/>
      <c r="X583" s="54"/>
      <c r="Y583" s="54"/>
      <c r="Z583" s="54"/>
      <c r="AA583" s="54"/>
      <c r="AB583" s="54"/>
      <c r="AC583" s="54"/>
    </row>
    <row r="584" ht="78.0" customHeight="1">
      <c r="A584" s="649">
        <v>45595.0</v>
      </c>
      <c r="B584" s="414" t="s">
        <v>4552</v>
      </c>
      <c r="C584" s="414" t="s">
        <v>4554</v>
      </c>
      <c r="D584" s="414"/>
      <c r="E584" s="42"/>
      <c r="F584" s="42"/>
      <c r="G584" s="42"/>
      <c r="H584" s="42"/>
      <c r="I584" s="42"/>
      <c r="J584" s="42"/>
      <c r="K584" s="44"/>
      <c r="L584" s="44"/>
      <c r="M584" s="44"/>
      <c r="N584" s="44"/>
      <c r="O584" s="44"/>
      <c r="P584" s="44"/>
      <c r="Q584" s="44"/>
      <c r="R584" s="44"/>
      <c r="S584" s="44"/>
      <c r="T584" s="44"/>
      <c r="U584" s="44"/>
      <c r="V584" s="44"/>
      <c r="W584" s="44"/>
      <c r="X584" s="28"/>
      <c r="Y584" s="28"/>
      <c r="Z584" s="28"/>
      <c r="AA584" s="28"/>
      <c r="AB584" s="28"/>
      <c r="AC584" s="28"/>
    </row>
    <row r="585" ht="78.0" customHeight="1">
      <c r="A585" s="650">
        <v>45595.0</v>
      </c>
      <c r="B585" s="427" t="s">
        <v>4561</v>
      </c>
      <c r="C585" s="427" t="s">
        <v>4562</v>
      </c>
      <c r="D585" s="427"/>
      <c r="E585" s="428"/>
      <c r="F585" s="427" t="s">
        <v>4563</v>
      </c>
      <c r="G585" s="427" t="s">
        <v>4564</v>
      </c>
      <c r="H585" s="427" t="s">
        <v>4567</v>
      </c>
      <c r="I585" s="427" t="s">
        <v>4569</v>
      </c>
      <c r="J585" s="427" t="s">
        <v>4570</v>
      </c>
      <c r="K585" s="648" t="s">
        <v>4572</v>
      </c>
      <c r="L585" s="648" t="s">
        <v>4573</v>
      </c>
      <c r="M585" s="648" t="s">
        <v>4574</v>
      </c>
      <c r="N585" s="648" t="s">
        <v>4576</v>
      </c>
      <c r="O585" s="432"/>
      <c r="P585" s="432"/>
      <c r="Q585" s="432"/>
      <c r="R585" s="432"/>
      <c r="S585" s="432"/>
      <c r="T585" s="432"/>
      <c r="U585" s="432"/>
      <c r="V585" s="432"/>
      <c r="W585" s="432"/>
      <c r="X585" s="54"/>
      <c r="Y585" s="54"/>
      <c r="Z585" s="54"/>
      <c r="AA585" s="54"/>
      <c r="AB585" s="54"/>
      <c r="AC585" s="54"/>
    </row>
    <row r="586" ht="78.0" customHeight="1">
      <c r="A586" s="650">
        <v>45595.0</v>
      </c>
      <c r="B586" s="427" t="s">
        <v>4583</v>
      </c>
      <c r="C586" s="427" t="s">
        <v>4584</v>
      </c>
      <c r="D586" s="427"/>
      <c r="E586" s="428"/>
      <c r="F586" s="427" t="s">
        <v>4587</v>
      </c>
      <c r="G586" s="428"/>
      <c r="H586" s="428"/>
      <c r="I586" s="428"/>
      <c r="J586" s="428"/>
      <c r="K586" s="432"/>
      <c r="L586" s="432"/>
      <c r="M586" s="432"/>
      <c r="N586" s="432"/>
      <c r="O586" s="432"/>
      <c r="P586" s="432"/>
      <c r="Q586" s="432"/>
      <c r="R586" s="432"/>
      <c r="S586" s="432"/>
      <c r="T586" s="432"/>
      <c r="U586" s="432"/>
      <c r="V586" s="432"/>
      <c r="W586" s="432"/>
      <c r="X586" s="54"/>
      <c r="Y586" s="54"/>
      <c r="Z586" s="54"/>
      <c r="AA586" s="54"/>
      <c r="AB586" s="54"/>
      <c r="AC586" s="54"/>
    </row>
    <row r="587" ht="78.0" customHeight="1">
      <c r="A587" s="649">
        <v>45595.0</v>
      </c>
      <c r="B587" s="414" t="s">
        <v>4590</v>
      </c>
      <c r="C587" s="414" t="s">
        <v>4591</v>
      </c>
      <c r="D587" s="414"/>
      <c r="E587" s="42"/>
      <c r="F587" s="42"/>
      <c r="G587" s="42"/>
      <c r="H587" s="42"/>
      <c r="I587" s="42"/>
      <c r="J587" s="42"/>
      <c r="K587" s="44"/>
      <c r="L587" s="44"/>
      <c r="M587" s="44"/>
      <c r="N587" s="44"/>
      <c r="O587" s="44"/>
      <c r="P587" s="44"/>
      <c r="Q587" s="44"/>
      <c r="R587" s="44"/>
      <c r="S587" s="44"/>
      <c r="T587" s="44"/>
      <c r="U587" s="44"/>
      <c r="V587" s="44"/>
      <c r="W587" s="44"/>
      <c r="X587" s="28"/>
      <c r="Y587" s="28"/>
      <c r="Z587" s="28"/>
      <c r="AA587" s="28"/>
      <c r="AB587" s="28"/>
      <c r="AC587" s="28"/>
    </row>
    <row r="588" ht="78.0" customHeight="1">
      <c r="A588" s="650">
        <v>45595.0</v>
      </c>
      <c r="B588" s="427" t="s">
        <v>4593</v>
      </c>
      <c r="C588" s="427" t="s">
        <v>4594</v>
      </c>
      <c r="D588" s="427"/>
      <c r="E588" s="428"/>
      <c r="F588" s="428"/>
      <c r="G588" s="428"/>
      <c r="H588" s="428"/>
      <c r="I588" s="428"/>
      <c r="J588" s="428"/>
      <c r="K588" s="432"/>
      <c r="L588" s="432"/>
      <c r="M588" s="432"/>
      <c r="N588" s="432"/>
      <c r="O588" s="432"/>
      <c r="P588" s="432"/>
      <c r="Q588" s="432"/>
      <c r="R588" s="432"/>
      <c r="S588" s="432"/>
      <c r="T588" s="432"/>
      <c r="U588" s="432"/>
      <c r="V588" s="432"/>
      <c r="W588" s="432"/>
      <c r="X588" s="54"/>
      <c r="Y588" s="54"/>
      <c r="Z588" s="54"/>
      <c r="AA588" s="54"/>
      <c r="AB588" s="54"/>
      <c r="AC588" s="54"/>
    </row>
    <row r="589" ht="78.0" customHeight="1">
      <c r="A589" s="649">
        <v>45594.0</v>
      </c>
      <c r="B589" s="414" t="s">
        <v>4596</v>
      </c>
      <c r="C589" s="414" t="s">
        <v>4597</v>
      </c>
      <c r="D589" s="414"/>
      <c r="E589" s="42"/>
      <c r="F589" s="414" t="s">
        <v>4598</v>
      </c>
      <c r="G589" s="414" t="s">
        <v>4599</v>
      </c>
      <c r="H589" s="42"/>
      <c r="I589" s="42"/>
      <c r="J589" s="42"/>
      <c r="K589" s="44"/>
      <c r="L589" s="44"/>
      <c r="M589" s="44"/>
      <c r="N589" s="44"/>
      <c r="O589" s="44"/>
      <c r="P589" s="44"/>
      <c r="Q589" s="44"/>
      <c r="R589" s="44"/>
      <c r="S589" s="44"/>
      <c r="T589" s="44"/>
      <c r="U589" s="44"/>
      <c r="V589" s="44"/>
      <c r="W589" s="44"/>
      <c r="X589" s="28"/>
      <c r="Y589" s="28"/>
      <c r="Z589" s="28"/>
      <c r="AA589" s="28"/>
      <c r="AB589" s="28"/>
      <c r="AC589" s="28"/>
    </row>
    <row r="590" ht="78.0" customHeight="1">
      <c r="A590" s="650">
        <v>45594.0</v>
      </c>
      <c r="B590" s="427" t="s">
        <v>4606</v>
      </c>
      <c r="C590" s="427" t="s">
        <v>4607</v>
      </c>
      <c r="D590" s="427"/>
      <c r="E590" s="428"/>
      <c r="F590" s="427" t="s">
        <v>4610</v>
      </c>
      <c r="G590" s="427" t="s">
        <v>4611</v>
      </c>
      <c r="H590" s="427" t="s">
        <v>4612</v>
      </c>
      <c r="I590" s="427" t="s">
        <v>4613</v>
      </c>
      <c r="J590" s="427" t="s">
        <v>4614</v>
      </c>
      <c r="K590" s="648" t="s">
        <v>4615</v>
      </c>
      <c r="L590" s="648" t="s">
        <v>4616</v>
      </c>
      <c r="M590" s="648" t="s">
        <v>4617</v>
      </c>
      <c r="N590" s="648" t="s">
        <v>4618</v>
      </c>
      <c r="O590" s="648" t="s">
        <v>4619</v>
      </c>
      <c r="P590" s="648" t="s">
        <v>4620</v>
      </c>
      <c r="Q590" s="648" t="s">
        <v>4621</v>
      </c>
      <c r="R590" s="648" t="s">
        <v>4622</v>
      </c>
      <c r="S590" s="648" t="s">
        <v>4623</v>
      </c>
      <c r="T590" s="648" t="s">
        <v>4624</v>
      </c>
      <c r="U590" s="432"/>
      <c r="V590" s="432"/>
      <c r="W590" s="432"/>
      <c r="X590" s="54"/>
      <c r="Y590" s="54"/>
      <c r="Z590" s="54"/>
      <c r="AA590" s="54"/>
      <c r="AB590" s="54"/>
      <c r="AC590" s="54"/>
    </row>
    <row r="591" ht="78.0" customHeight="1">
      <c r="A591" s="48">
        <v>45594.0</v>
      </c>
      <c r="B591" s="50" t="s">
        <v>4625</v>
      </c>
      <c r="C591" s="50" t="s">
        <v>4626</v>
      </c>
      <c r="D591" s="50"/>
      <c r="E591" s="52"/>
      <c r="F591" s="52"/>
      <c r="G591" s="52"/>
      <c r="H591" s="52"/>
      <c r="I591" s="52"/>
      <c r="J591" s="52"/>
      <c r="K591" s="54"/>
      <c r="L591" s="54"/>
      <c r="M591" s="54"/>
      <c r="N591" s="54"/>
      <c r="O591" s="54"/>
      <c r="P591" s="54"/>
      <c r="Q591" s="54"/>
      <c r="R591" s="54"/>
      <c r="S591" s="54"/>
      <c r="T591" s="54"/>
      <c r="U591" s="54"/>
      <c r="V591" s="54"/>
      <c r="W591" s="54"/>
      <c r="X591" s="54"/>
      <c r="Y591" s="54"/>
      <c r="Z591" s="54"/>
      <c r="AA591" s="54"/>
      <c r="AB591" s="54"/>
      <c r="AC591" s="54"/>
    </row>
    <row r="592" ht="78.0" customHeight="1">
      <c r="A592" s="769">
        <v>45594.0</v>
      </c>
      <c r="B592" s="21" t="s">
        <v>4627</v>
      </c>
      <c r="C592" s="21" t="s">
        <v>4628</v>
      </c>
      <c r="D592" s="21"/>
      <c r="E592" s="26"/>
      <c r="F592" s="26"/>
      <c r="G592" s="26"/>
      <c r="H592" s="26"/>
      <c r="I592" s="26"/>
      <c r="J592" s="26"/>
      <c r="K592" s="28"/>
      <c r="L592" s="28"/>
      <c r="M592" s="28"/>
      <c r="N592" s="28"/>
      <c r="O592" s="28"/>
      <c r="P592" s="28"/>
      <c r="Q592" s="28"/>
      <c r="R592" s="28"/>
      <c r="S592" s="28"/>
      <c r="T592" s="28"/>
      <c r="U592" s="28"/>
      <c r="V592" s="28"/>
      <c r="W592" s="28"/>
      <c r="X592" s="28"/>
      <c r="Y592" s="28"/>
      <c r="Z592" s="28"/>
      <c r="AA592" s="28"/>
      <c r="AB592" s="28"/>
      <c r="AC592" s="28"/>
    </row>
    <row r="593" ht="78.0" customHeight="1">
      <c r="A593" s="48">
        <v>45594.0</v>
      </c>
      <c r="B593" s="50" t="s">
        <v>4632</v>
      </c>
      <c r="C593" s="50" t="s">
        <v>4634</v>
      </c>
      <c r="D593" s="50"/>
      <c r="E593" s="52"/>
      <c r="F593" s="50" t="s">
        <v>4636</v>
      </c>
      <c r="G593" s="52"/>
      <c r="H593" s="52"/>
      <c r="I593" s="52"/>
      <c r="J593" s="52"/>
      <c r="K593" s="54"/>
      <c r="L593" s="54"/>
      <c r="M593" s="54"/>
      <c r="N593" s="54"/>
      <c r="O593" s="54"/>
      <c r="P593" s="54"/>
      <c r="Q593" s="54"/>
      <c r="R593" s="54"/>
      <c r="S593" s="54"/>
      <c r="T593" s="54"/>
      <c r="U593" s="54"/>
      <c r="V593" s="54"/>
      <c r="W593" s="54"/>
      <c r="X593" s="54"/>
      <c r="Y593" s="54"/>
      <c r="Z593" s="54"/>
      <c r="AA593" s="54"/>
      <c r="AB593" s="54"/>
      <c r="AC593" s="54"/>
    </row>
    <row r="594" ht="78.0" customHeight="1">
      <c r="A594" s="769">
        <v>45594.0</v>
      </c>
      <c r="B594" s="21" t="s">
        <v>4644</v>
      </c>
      <c r="C594" s="21" t="s">
        <v>4647</v>
      </c>
      <c r="D594" s="21"/>
      <c r="E594" s="26"/>
      <c r="F594" s="21" t="s">
        <v>4649</v>
      </c>
      <c r="G594" s="26"/>
      <c r="H594" s="26"/>
      <c r="I594" s="26"/>
      <c r="J594" s="26"/>
      <c r="K594" s="28"/>
      <c r="L594" s="28"/>
      <c r="M594" s="28"/>
      <c r="N594" s="28"/>
      <c r="O594" s="28"/>
      <c r="P594" s="28"/>
      <c r="Q594" s="28"/>
      <c r="R594" s="28"/>
      <c r="S594" s="28"/>
      <c r="T594" s="28"/>
      <c r="U594" s="28"/>
      <c r="V594" s="28"/>
      <c r="W594" s="28"/>
      <c r="X594" s="28"/>
      <c r="Y594" s="28"/>
      <c r="Z594" s="28"/>
      <c r="AA594" s="28"/>
      <c r="AB594" s="28"/>
      <c r="AC594" s="28"/>
    </row>
    <row r="595" ht="78.0" customHeight="1">
      <c r="A595" s="769">
        <v>45594.0</v>
      </c>
      <c r="B595" s="21" t="s">
        <v>4657</v>
      </c>
      <c r="C595" s="21" t="s">
        <v>4658</v>
      </c>
      <c r="D595" s="21"/>
      <c r="E595" s="26"/>
      <c r="F595" s="21" t="s">
        <v>4659</v>
      </c>
      <c r="G595" s="21" t="s">
        <v>4660</v>
      </c>
      <c r="H595" s="26"/>
      <c r="I595" s="26"/>
      <c r="J595" s="26"/>
      <c r="K595" s="28"/>
      <c r="L595" s="28"/>
      <c r="M595" s="28"/>
      <c r="N595" s="28"/>
      <c r="O595" s="28"/>
      <c r="P595" s="28"/>
      <c r="Q595" s="28"/>
      <c r="R595" s="28"/>
      <c r="S595" s="28"/>
      <c r="T595" s="28"/>
      <c r="U595" s="28"/>
      <c r="V595" s="28"/>
      <c r="W595" s="28"/>
      <c r="X595" s="28"/>
      <c r="Y595" s="28"/>
      <c r="Z595" s="28"/>
      <c r="AA595" s="28"/>
      <c r="AB595" s="28"/>
      <c r="AC595" s="28"/>
    </row>
    <row r="596" ht="78.0" customHeight="1">
      <c r="A596" s="48">
        <v>45594.0</v>
      </c>
      <c r="B596" s="50" t="s">
        <v>4667</v>
      </c>
      <c r="C596" s="50" t="s">
        <v>4669</v>
      </c>
      <c r="D596" s="50"/>
      <c r="E596" s="52"/>
      <c r="F596" s="50" t="s">
        <v>4670</v>
      </c>
      <c r="G596" s="50" t="s">
        <v>4672</v>
      </c>
      <c r="H596" s="52"/>
      <c r="I596" s="52"/>
      <c r="J596" s="52"/>
      <c r="K596" s="54"/>
      <c r="L596" s="54"/>
      <c r="M596" s="54"/>
      <c r="N596" s="54"/>
      <c r="O596" s="54"/>
      <c r="P596" s="54"/>
      <c r="Q596" s="54"/>
      <c r="R596" s="54"/>
      <c r="S596" s="54"/>
      <c r="T596" s="54"/>
      <c r="U596" s="54"/>
      <c r="V596" s="54"/>
      <c r="W596" s="54"/>
      <c r="X596" s="54"/>
      <c r="Y596" s="54"/>
      <c r="Z596" s="54"/>
      <c r="AA596" s="54"/>
      <c r="AB596" s="54"/>
      <c r="AC596" s="54"/>
    </row>
    <row r="597" ht="78.0" customHeight="1">
      <c r="A597" s="769">
        <v>45594.0</v>
      </c>
      <c r="B597" s="21" t="s">
        <v>4680</v>
      </c>
      <c r="C597" s="21" t="s">
        <v>4681</v>
      </c>
      <c r="D597" s="21"/>
      <c r="E597" s="26"/>
      <c r="F597" s="21" t="s">
        <v>4682</v>
      </c>
      <c r="G597" s="21" t="s">
        <v>4683</v>
      </c>
      <c r="H597" s="26"/>
      <c r="I597" s="26"/>
      <c r="J597" s="26"/>
      <c r="K597" s="28"/>
      <c r="L597" s="28"/>
      <c r="M597" s="28"/>
      <c r="N597" s="28"/>
      <c r="O597" s="28"/>
      <c r="P597" s="28"/>
      <c r="Q597" s="28"/>
      <c r="R597" s="28"/>
      <c r="S597" s="28"/>
      <c r="T597" s="28"/>
      <c r="U597" s="28"/>
      <c r="V597" s="28"/>
      <c r="W597" s="28"/>
      <c r="X597" s="28"/>
      <c r="Y597" s="28"/>
      <c r="Z597" s="28"/>
      <c r="AA597" s="28"/>
      <c r="AB597" s="28"/>
      <c r="AC597" s="28"/>
    </row>
    <row r="598" ht="78.0" customHeight="1">
      <c r="A598" s="48">
        <v>45594.0</v>
      </c>
      <c r="B598" s="50" t="s">
        <v>4688</v>
      </c>
      <c r="C598" s="50" t="s">
        <v>4689</v>
      </c>
      <c r="D598" s="50"/>
      <c r="E598" s="52"/>
      <c r="F598" s="52"/>
      <c r="G598" s="52"/>
      <c r="H598" s="52"/>
      <c r="I598" s="52"/>
      <c r="J598" s="52"/>
      <c r="K598" s="54"/>
      <c r="L598" s="54"/>
      <c r="M598" s="54"/>
      <c r="N598" s="54"/>
      <c r="O598" s="54"/>
      <c r="P598" s="54"/>
      <c r="Q598" s="54"/>
      <c r="R598" s="54"/>
      <c r="S598" s="54"/>
      <c r="T598" s="54"/>
      <c r="U598" s="54"/>
      <c r="V598" s="54"/>
      <c r="W598" s="54"/>
      <c r="X598" s="54"/>
      <c r="Y598" s="54"/>
      <c r="Z598" s="54"/>
      <c r="AA598" s="54"/>
      <c r="AB598" s="54"/>
      <c r="AC598" s="54"/>
    </row>
    <row r="599" ht="78.0" customHeight="1">
      <c r="A599" s="48">
        <v>45594.0</v>
      </c>
      <c r="B599" s="50" t="s">
        <v>4697</v>
      </c>
      <c r="C599" s="50" t="s">
        <v>4698</v>
      </c>
      <c r="D599" s="50"/>
      <c r="E599" s="52"/>
      <c r="F599" s="50" t="s">
        <v>4700</v>
      </c>
      <c r="G599" s="50" t="s">
        <v>4701</v>
      </c>
      <c r="H599" s="50" t="s">
        <v>4703</v>
      </c>
      <c r="I599" s="50" t="s">
        <v>4704</v>
      </c>
      <c r="J599" s="52"/>
      <c r="K599" s="54"/>
      <c r="L599" s="54"/>
      <c r="M599" s="54"/>
      <c r="N599" s="54"/>
      <c r="O599" s="54"/>
      <c r="P599" s="54"/>
      <c r="Q599" s="54"/>
      <c r="R599" s="54"/>
      <c r="S599" s="54"/>
      <c r="T599" s="54"/>
      <c r="U599" s="54"/>
      <c r="V599" s="54"/>
      <c r="W599" s="54"/>
      <c r="X599" s="54"/>
      <c r="Y599" s="54"/>
      <c r="Z599" s="54"/>
      <c r="AA599" s="54"/>
      <c r="AB599" s="54"/>
      <c r="AC599" s="54"/>
    </row>
    <row r="600" ht="78.0" customHeight="1">
      <c r="A600" s="769">
        <v>45594.0</v>
      </c>
      <c r="B600" s="21" t="s">
        <v>4711</v>
      </c>
      <c r="C600" s="21" t="s">
        <v>4712</v>
      </c>
      <c r="D600" s="21"/>
      <c r="E600" s="26"/>
      <c r="F600" s="21" t="s">
        <v>4714</v>
      </c>
      <c r="G600" s="26"/>
      <c r="H600" s="26"/>
      <c r="I600" s="26"/>
      <c r="J600" s="26"/>
      <c r="K600" s="28"/>
      <c r="L600" s="28"/>
      <c r="M600" s="28"/>
      <c r="N600" s="28"/>
      <c r="O600" s="28"/>
      <c r="P600" s="28"/>
      <c r="Q600" s="28"/>
      <c r="R600" s="28"/>
      <c r="S600" s="28"/>
      <c r="T600" s="28"/>
      <c r="U600" s="28"/>
      <c r="V600" s="28"/>
      <c r="W600" s="28"/>
      <c r="X600" s="28"/>
      <c r="Y600" s="28"/>
      <c r="Z600" s="28"/>
      <c r="AA600" s="28"/>
      <c r="AB600" s="28"/>
      <c r="AC600" s="28"/>
    </row>
    <row r="601" ht="78.0" customHeight="1">
      <c r="A601" s="48">
        <v>45594.0</v>
      </c>
      <c r="B601" s="50" t="s">
        <v>4722</v>
      </c>
      <c r="C601" s="50" t="s">
        <v>4723</v>
      </c>
      <c r="D601" s="50"/>
      <c r="E601" s="52"/>
      <c r="F601" s="50" t="s">
        <v>4726</v>
      </c>
      <c r="G601" s="50" t="s">
        <v>4728</v>
      </c>
      <c r="H601" s="50" t="s">
        <v>4729</v>
      </c>
      <c r="I601" s="52"/>
      <c r="J601" s="52"/>
      <c r="K601" s="54"/>
      <c r="L601" s="54"/>
      <c r="M601" s="54"/>
      <c r="N601" s="54"/>
      <c r="O601" s="54"/>
      <c r="P601" s="54"/>
      <c r="Q601" s="54"/>
      <c r="R601" s="54"/>
      <c r="S601" s="54"/>
      <c r="T601" s="54"/>
      <c r="U601" s="54"/>
      <c r="V601" s="54"/>
      <c r="W601" s="54"/>
      <c r="X601" s="54"/>
      <c r="Y601" s="54"/>
      <c r="Z601" s="54"/>
      <c r="AA601" s="54"/>
      <c r="AB601" s="54"/>
      <c r="AC601" s="54"/>
    </row>
    <row r="602" ht="78.0" customHeight="1">
      <c r="A602" s="769">
        <v>45594.0</v>
      </c>
      <c r="B602" s="21" t="s">
        <v>4739</v>
      </c>
      <c r="C602" s="21" t="s">
        <v>4741</v>
      </c>
      <c r="D602" s="21"/>
      <c r="E602" s="26"/>
      <c r="F602" s="26"/>
      <c r="G602" s="26"/>
      <c r="H602" s="26"/>
      <c r="I602" s="26"/>
      <c r="J602" s="26"/>
      <c r="K602" s="28"/>
      <c r="L602" s="28"/>
      <c r="M602" s="28"/>
      <c r="N602" s="28"/>
      <c r="O602" s="28"/>
      <c r="P602" s="28"/>
      <c r="Q602" s="28"/>
      <c r="R602" s="28"/>
      <c r="S602" s="28"/>
      <c r="T602" s="28"/>
      <c r="U602" s="28"/>
      <c r="V602" s="28"/>
      <c r="W602" s="28"/>
      <c r="X602" s="28"/>
      <c r="Y602" s="28"/>
      <c r="Z602" s="28"/>
      <c r="AA602" s="28"/>
      <c r="AB602" s="28"/>
      <c r="AC602" s="28"/>
    </row>
    <row r="603" ht="78.0" customHeight="1">
      <c r="A603" s="48">
        <v>45594.0</v>
      </c>
      <c r="B603" s="50" t="s">
        <v>4751</v>
      </c>
      <c r="C603" s="50" t="s">
        <v>4754</v>
      </c>
      <c r="D603" s="50"/>
      <c r="E603" s="52"/>
      <c r="F603" s="50" t="s">
        <v>4758</v>
      </c>
      <c r="G603" s="52"/>
      <c r="H603" s="52"/>
      <c r="I603" s="52"/>
      <c r="J603" s="52"/>
      <c r="K603" s="54"/>
      <c r="L603" s="54"/>
      <c r="M603" s="54"/>
      <c r="N603" s="54"/>
      <c r="O603" s="54"/>
      <c r="P603" s="54"/>
      <c r="Q603" s="54"/>
      <c r="R603" s="54"/>
      <c r="S603" s="54"/>
      <c r="T603" s="54"/>
      <c r="U603" s="54"/>
      <c r="V603" s="54"/>
      <c r="W603" s="54"/>
      <c r="X603" s="54"/>
      <c r="Y603" s="54"/>
      <c r="Z603" s="54"/>
      <c r="AA603" s="54"/>
      <c r="AB603" s="54"/>
      <c r="AC603" s="54"/>
    </row>
    <row r="604" ht="78.0" customHeight="1">
      <c r="A604" s="769">
        <v>45594.0</v>
      </c>
      <c r="B604" s="21" t="s">
        <v>4765</v>
      </c>
      <c r="C604" s="21" t="s">
        <v>4767</v>
      </c>
      <c r="D604" s="21"/>
      <c r="E604" s="26"/>
      <c r="F604" s="26"/>
      <c r="G604" s="26"/>
      <c r="H604" s="26"/>
      <c r="I604" s="26"/>
      <c r="J604" s="26"/>
      <c r="K604" s="28"/>
      <c r="L604" s="28"/>
      <c r="M604" s="28"/>
      <c r="N604" s="28"/>
      <c r="O604" s="28"/>
      <c r="P604" s="28"/>
      <c r="Q604" s="28"/>
      <c r="R604" s="28"/>
      <c r="S604" s="28"/>
      <c r="T604" s="28"/>
      <c r="U604" s="28"/>
      <c r="V604" s="28"/>
      <c r="W604" s="28"/>
      <c r="X604" s="28"/>
      <c r="Y604" s="28"/>
      <c r="Z604" s="28"/>
      <c r="AA604" s="28"/>
      <c r="AB604" s="28"/>
      <c r="AC604" s="28"/>
    </row>
    <row r="605" ht="78.0" customHeight="1">
      <c r="A605" s="48">
        <v>45594.0</v>
      </c>
      <c r="B605" s="50" t="s">
        <v>4775</v>
      </c>
      <c r="C605" s="50" t="s">
        <v>4776</v>
      </c>
      <c r="D605" s="50"/>
      <c r="E605" s="52"/>
      <c r="F605" s="52"/>
      <c r="G605" s="52"/>
      <c r="H605" s="52"/>
      <c r="I605" s="52"/>
      <c r="J605" s="52"/>
      <c r="K605" s="54"/>
      <c r="L605" s="54"/>
      <c r="M605" s="54"/>
      <c r="N605" s="54"/>
      <c r="O605" s="54"/>
      <c r="P605" s="54"/>
      <c r="Q605" s="54"/>
      <c r="R605" s="54"/>
      <c r="S605" s="54"/>
      <c r="T605" s="54"/>
      <c r="U605" s="54"/>
      <c r="V605" s="54"/>
      <c r="W605" s="54"/>
      <c r="X605" s="54"/>
      <c r="Y605" s="54"/>
      <c r="Z605" s="54"/>
      <c r="AA605" s="54"/>
      <c r="AB605" s="54"/>
      <c r="AC605" s="54"/>
    </row>
    <row r="606" ht="78.0" customHeight="1">
      <c r="A606" s="769">
        <v>45594.0</v>
      </c>
      <c r="B606" s="21" t="s">
        <v>4785</v>
      </c>
      <c r="C606" s="21" t="s">
        <v>4786</v>
      </c>
      <c r="D606" s="21"/>
      <c r="E606" s="26"/>
      <c r="F606" s="21" t="s">
        <v>4788</v>
      </c>
      <c r="G606" s="26"/>
      <c r="H606" s="26"/>
      <c r="I606" s="26"/>
      <c r="J606" s="26"/>
      <c r="K606" s="28"/>
      <c r="L606" s="28"/>
      <c r="M606" s="28"/>
      <c r="N606" s="28"/>
      <c r="O606" s="28"/>
      <c r="P606" s="28"/>
      <c r="Q606" s="28"/>
      <c r="R606" s="28"/>
      <c r="S606" s="28"/>
      <c r="T606" s="28"/>
      <c r="U606" s="28"/>
      <c r="V606" s="28"/>
      <c r="W606" s="28"/>
      <c r="X606" s="28"/>
      <c r="Y606" s="28"/>
      <c r="Z606" s="28"/>
      <c r="AA606" s="28"/>
      <c r="AB606" s="28"/>
      <c r="AC606" s="28"/>
    </row>
    <row r="607" ht="78.0" customHeight="1">
      <c r="A607" s="48">
        <v>45593.0</v>
      </c>
      <c r="B607" s="50" t="s">
        <v>4794</v>
      </c>
      <c r="C607" s="50" t="s">
        <v>4796</v>
      </c>
      <c r="D607" s="50"/>
      <c r="E607" s="52"/>
      <c r="F607" s="52"/>
      <c r="G607" s="52"/>
      <c r="H607" s="52"/>
      <c r="I607" s="52"/>
      <c r="J607" s="52"/>
      <c r="K607" s="54"/>
      <c r="L607" s="54"/>
      <c r="M607" s="54"/>
      <c r="N607" s="54"/>
      <c r="O607" s="54"/>
      <c r="P607" s="54"/>
      <c r="Q607" s="54"/>
      <c r="R607" s="54"/>
      <c r="S607" s="54"/>
      <c r="T607" s="54"/>
      <c r="U607" s="54"/>
      <c r="V607" s="54"/>
      <c r="W607" s="54"/>
      <c r="X607" s="54"/>
      <c r="Y607" s="54"/>
      <c r="Z607" s="54"/>
      <c r="AA607" s="54"/>
      <c r="AB607" s="54"/>
      <c r="AC607" s="54"/>
    </row>
    <row r="608" ht="78.0" customHeight="1">
      <c r="A608" s="769">
        <v>45593.0</v>
      </c>
      <c r="B608" s="21" t="s">
        <v>4803</v>
      </c>
      <c r="C608" s="21" t="s">
        <v>4805</v>
      </c>
      <c r="D608" s="21"/>
      <c r="E608" s="26"/>
      <c r="F608" s="21" t="s">
        <v>4808</v>
      </c>
      <c r="G608" s="21" t="s">
        <v>4809</v>
      </c>
      <c r="H608" s="26"/>
      <c r="I608" s="26"/>
      <c r="J608" s="26"/>
      <c r="K608" s="28"/>
      <c r="L608" s="28"/>
      <c r="M608" s="28"/>
      <c r="N608" s="28"/>
      <c r="O608" s="28"/>
      <c r="P608" s="28"/>
      <c r="Q608" s="28"/>
      <c r="R608" s="28"/>
      <c r="S608" s="28"/>
      <c r="T608" s="28"/>
      <c r="U608" s="28"/>
      <c r="V608" s="28"/>
      <c r="W608" s="28"/>
      <c r="X608" s="28"/>
      <c r="Y608" s="28"/>
      <c r="Z608" s="28"/>
      <c r="AA608" s="28"/>
      <c r="AB608" s="28"/>
      <c r="AC608" s="28"/>
    </row>
    <row r="609" ht="78.0" customHeight="1">
      <c r="A609" s="48">
        <v>45593.0</v>
      </c>
      <c r="B609" s="50" t="s">
        <v>3474</v>
      </c>
      <c r="C609" s="52"/>
      <c r="D609" s="50"/>
      <c r="E609" s="52"/>
      <c r="F609" s="52"/>
      <c r="G609" s="52"/>
      <c r="H609" s="52"/>
      <c r="I609" s="52"/>
      <c r="J609" s="52"/>
      <c r="K609" s="54"/>
      <c r="L609" s="54"/>
      <c r="M609" s="54"/>
      <c r="N609" s="54"/>
      <c r="O609" s="54"/>
      <c r="P609" s="54"/>
      <c r="Q609" s="54"/>
      <c r="R609" s="54"/>
      <c r="S609" s="54"/>
      <c r="T609" s="54"/>
      <c r="U609" s="54"/>
      <c r="V609" s="54"/>
      <c r="W609" s="54"/>
      <c r="X609" s="54"/>
      <c r="Y609" s="54"/>
      <c r="Z609" s="54"/>
      <c r="AA609" s="54"/>
      <c r="AB609" s="54"/>
      <c r="AC609" s="54"/>
    </row>
    <row r="610" ht="78.0" customHeight="1">
      <c r="A610" s="769">
        <v>45593.0</v>
      </c>
      <c r="B610" s="21" t="s">
        <v>4822</v>
      </c>
      <c r="C610" s="21" t="s">
        <v>4824</v>
      </c>
      <c r="D610" s="21"/>
      <c r="E610" s="26"/>
      <c r="F610" s="21" t="s">
        <v>4825</v>
      </c>
      <c r="G610" s="26"/>
      <c r="H610" s="26"/>
      <c r="I610" s="26"/>
      <c r="J610" s="26"/>
      <c r="K610" s="28"/>
      <c r="L610" s="28"/>
      <c r="M610" s="28"/>
      <c r="N610" s="28"/>
      <c r="O610" s="28"/>
      <c r="P610" s="28"/>
      <c r="Q610" s="28"/>
      <c r="R610" s="28"/>
      <c r="S610" s="28"/>
      <c r="T610" s="28"/>
      <c r="U610" s="28"/>
      <c r="V610" s="28"/>
      <c r="W610" s="28"/>
      <c r="X610" s="28"/>
      <c r="Y610" s="28"/>
      <c r="Z610" s="28"/>
      <c r="AA610" s="28"/>
      <c r="AB610" s="28"/>
      <c r="AC610" s="28"/>
    </row>
    <row r="611" ht="78.0" customHeight="1">
      <c r="A611" s="48">
        <v>45593.0</v>
      </c>
      <c r="B611" s="50" t="s">
        <v>4831</v>
      </c>
      <c r="C611" s="50" t="s">
        <v>4833</v>
      </c>
      <c r="D611" s="50"/>
      <c r="E611" s="52"/>
      <c r="F611" s="52"/>
      <c r="G611" s="52"/>
      <c r="H611" s="52"/>
      <c r="I611" s="52"/>
      <c r="J611" s="52"/>
      <c r="K611" s="54"/>
      <c r="L611" s="54"/>
      <c r="M611" s="54"/>
      <c r="N611" s="54"/>
      <c r="O611" s="54"/>
      <c r="P611" s="54"/>
      <c r="Q611" s="54"/>
      <c r="R611" s="54"/>
      <c r="S611" s="54"/>
      <c r="T611" s="54"/>
      <c r="U611" s="54"/>
      <c r="V611" s="54"/>
      <c r="W611" s="54"/>
      <c r="X611" s="54"/>
      <c r="Y611" s="54"/>
      <c r="Z611" s="54"/>
      <c r="AA611" s="54"/>
      <c r="AB611" s="54"/>
      <c r="AC611" s="54"/>
    </row>
    <row r="612" ht="78.0" customHeight="1">
      <c r="A612" s="769">
        <v>45593.0</v>
      </c>
      <c r="B612" s="21" t="s">
        <v>4842</v>
      </c>
      <c r="C612" s="21" t="s">
        <v>4844</v>
      </c>
      <c r="D612" s="21"/>
      <c r="E612" s="26"/>
      <c r="F612" s="21" t="s">
        <v>4847</v>
      </c>
      <c r="G612" s="21" t="s">
        <v>4848</v>
      </c>
      <c r="H612" s="26"/>
      <c r="I612" s="26"/>
      <c r="J612" s="26"/>
      <c r="K612" s="28"/>
      <c r="L612" s="28"/>
      <c r="M612" s="28"/>
      <c r="N612" s="28"/>
      <c r="O612" s="28"/>
      <c r="P612" s="28"/>
      <c r="Q612" s="28"/>
      <c r="R612" s="28"/>
      <c r="S612" s="28"/>
      <c r="T612" s="28"/>
      <c r="U612" s="28"/>
      <c r="V612" s="28"/>
      <c r="W612" s="28"/>
      <c r="X612" s="28"/>
      <c r="Y612" s="28"/>
      <c r="Z612" s="28"/>
      <c r="AA612" s="28"/>
      <c r="AB612" s="28"/>
      <c r="AC612" s="28"/>
    </row>
    <row r="613" ht="78.0" customHeight="1">
      <c r="A613" s="48">
        <v>45593.0</v>
      </c>
      <c r="B613" s="50" t="s">
        <v>4856</v>
      </c>
      <c r="C613" s="50" t="s">
        <v>4858</v>
      </c>
      <c r="D613" s="50"/>
      <c r="E613" s="52"/>
      <c r="F613" s="50" t="s">
        <v>4860</v>
      </c>
      <c r="G613" s="50" t="s">
        <v>4861</v>
      </c>
      <c r="H613" s="50" t="s">
        <v>4862</v>
      </c>
      <c r="I613" s="52"/>
      <c r="J613" s="52"/>
      <c r="K613" s="54"/>
      <c r="L613" s="54"/>
      <c r="M613" s="54"/>
      <c r="N613" s="54"/>
      <c r="O613" s="54"/>
      <c r="P613" s="54"/>
      <c r="Q613" s="54"/>
      <c r="R613" s="54"/>
      <c r="S613" s="54"/>
      <c r="T613" s="54"/>
      <c r="U613" s="54"/>
      <c r="V613" s="54"/>
      <c r="W613" s="54"/>
      <c r="X613" s="54"/>
      <c r="Y613" s="54"/>
      <c r="Z613" s="54"/>
      <c r="AA613" s="54"/>
      <c r="AB613" s="54"/>
      <c r="AC613" s="54"/>
    </row>
    <row r="614" ht="78.0" customHeight="1">
      <c r="A614" s="769">
        <v>45593.0</v>
      </c>
      <c r="B614" s="21" t="s">
        <v>4864</v>
      </c>
      <c r="C614" s="21" t="s">
        <v>4865</v>
      </c>
      <c r="D614" s="21"/>
      <c r="E614" s="26"/>
      <c r="F614" s="21" t="s">
        <v>4866</v>
      </c>
      <c r="G614" s="26"/>
      <c r="H614" s="26"/>
      <c r="I614" s="26"/>
      <c r="J614" s="26"/>
      <c r="K614" s="28"/>
      <c r="L614" s="28"/>
      <c r="M614" s="28"/>
      <c r="N614" s="28"/>
      <c r="O614" s="28"/>
      <c r="P614" s="28"/>
      <c r="Q614" s="28"/>
      <c r="R614" s="28"/>
      <c r="S614" s="28"/>
      <c r="T614" s="28"/>
      <c r="U614" s="28"/>
      <c r="V614" s="28"/>
      <c r="W614" s="28"/>
      <c r="X614" s="28"/>
      <c r="Y614" s="28"/>
      <c r="Z614" s="28"/>
      <c r="AA614" s="28"/>
      <c r="AB614" s="28"/>
      <c r="AC614" s="28"/>
    </row>
    <row r="615" ht="78.0" customHeight="1">
      <c r="A615" s="48">
        <v>45593.0</v>
      </c>
      <c r="B615" s="50" t="s">
        <v>4868</v>
      </c>
      <c r="C615" s="50" t="s">
        <v>4869</v>
      </c>
      <c r="D615" s="50"/>
      <c r="E615" s="52"/>
      <c r="F615" s="50" t="s">
        <v>4870</v>
      </c>
      <c r="G615" s="50" t="s">
        <v>4871</v>
      </c>
      <c r="H615" s="52"/>
      <c r="I615" s="52"/>
      <c r="J615" s="52"/>
      <c r="K615" s="54"/>
      <c r="L615" s="54"/>
      <c r="M615" s="54"/>
      <c r="N615" s="54"/>
      <c r="O615" s="54"/>
      <c r="P615" s="54"/>
      <c r="Q615" s="54"/>
      <c r="R615" s="54"/>
      <c r="S615" s="54"/>
      <c r="T615" s="54"/>
      <c r="U615" s="54"/>
      <c r="V615" s="54"/>
      <c r="W615" s="54"/>
      <c r="X615" s="54"/>
      <c r="Y615" s="54"/>
      <c r="Z615" s="54"/>
      <c r="AA615" s="54"/>
      <c r="AB615" s="54"/>
      <c r="AC615" s="54"/>
    </row>
    <row r="616" ht="78.0" customHeight="1">
      <c r="A616" s="769">
        <v>45593.0</v>
      </c>
      <c r="B616" s="21" t="s">
        <v>4872</v>
      </c>
      <c r="C616" s="21" t="s">
        <v>4873</v>
      </c>
      <c r="D616" s="21"/>
      <c r="E616" s="26"/>
      <c r="F616" s="21" t="s">
        <v>4874</v>
      </c>
      <c r="G616" s="26"/>
      <c r="H616" s="26"/>
      <c r="I616" s="26"/>
      <c r="J616" s="26"/>
      <c r="K616" s="28"/>
      <c r="L616" s="28"/>
      <c r="M616" s="28"/>
      <c r="N616" s="28"/>
      <c r="O616" s="28"/>
      <c r="P616" s="28"/>
      <c r="Q616" s="28"/>
      <c r="R616" s="28"/>
      <c r="S616" s="28"/>
      <c r="T616" s="28"/>
      <c r="U616" s="28"/>
      <c r="V616" s="28"/>
      <c r="W616" s="28"/>
      <c r="X616" s="28"/>
      <c r="Y616" s="28"/>
      <c r="Z616" s="28"/>
      <c r="AA616" s="28"/>
      <c r="AB616" s="28"/>
      <c r="AC616" s="28"/>
    </row>
    <row r="617" ht="78.0" customHeight="1">
      <c r="A617" s="48">
        <v>45593.0</v>
      </c>
      <c r="B617" s="50" t="s">
        <v>4876</v>
      </c>
      <c r="C617" s="50" t="s">
        <v>4877</v>
      </c>
      <c r="D617" s="50"/>
      <c r="E617" s="52"/>
      <c r="F617" s="52"/>
      <c r="G617" s="52"/>
      <c r="H617" s="52"/>
      <c r="I617" s="52"/>
      <c r="J617" s="52"/>
      <c r="K617" s="54"/>
      <c r="L617" s="54"/>
      <c r="M617" s="54"/>
      <c r="N617" s="54"/>
      <c r="O617" s="54"/>
      <c r="P617" s="54"/>
      <c r="Q617" s="54"/>
      <c r="R617" s="54"/>
      <c r="S617" s="54"/>
      <c r="T617" s="54"/>
      <c r="U617" s="54"/>
      <c r="V617" s="54"/>
      <c r="W617" s="54"/>
      <c r="X617" s="54"/>
      <c r="Y617" s="54"/>
      <c r="Z617" s="54"/>
      <c r="AA617" s="54"/>
      <c r="AB617" s="54"/>
      <c r="AC617" s="54"/>
    </row>
    <row r="618" ht="78.0" customHeight="1">
      <c r="A618" s="769">
        <v>45593.0</v>
      </c>
      <c r="B618" s="21" t="s">
        <v>4879</v>
      </c>
      <c r="C618" s="21" t="s">
        <v>4881</v>
      </c>
      <c r="D618" s="21"/>
      <c r="E618" s="26"/>
      <c r="F618" s="26"/>
      <c r="G618" s="26"/>
      <c r="H618" s="26"/>
      <c r="I618" s="26"/>
      <c r="J618" s="26"/>
      <c r="K618" s="28"/>
      <c r="L618" s="28"/>
      <c r="M618" s="28"/>
      <c r="N618" s="28"/>
      <c r="O618" s="28"/>
      <c r="P618" s="28"/>
      <c r="Q618" s="28"/>
      <c r="R618" s="28"/>
      <c r="S618" s="28"/>
      <c r="T618" s="28"/>
      <c r="U618" s="28"/>
      <c r="V618" s="28"/>
      <c r="W618" s="28"/>
      <c r="X618" s="28"/>
      <c r="Y618" s="28"/>
      <c r="Z618" s="28"/>
      <c r="AA618" s="28"/>
      <c r="AB618" s="28"/>
      <c r="AC618" s="28"/>
    </row>
    <row r="619" ht="78.0" customHeight="1">
      <c r="A619" s="48">
        <v>45593.0</v>
      </c>
      <c r="B619" s="50" t="s">
        <v>4882</v>
      </c>
      <c r="C619" s="52"/>
      <c r="D619" s="50"/>
      <c r="E619" s="52"/>
      <c r="F619" s="52"/>
      <c r="G619" s="52"/>
      <c r="H619" s="52"/>
      <c r="I619" s="52"/>
      <c r="J619" s="54"/>
      <c r="K619" s="54"/>
      <c r="L619" s="54"/>
      <c r="M619" s="54"/>
      <c r="N619" s="54"/>
      <c r="O619" s="54"/>
      <c r="P619" s="54"/>
      <c r="Q619" s="54"/>
      <c r="R619" s="54"/>
      <c r="S619" s="54"/>
      <c r="T619" s="54"/>
      <c r="U619" s="54"/>
      <c r="V619" s="54"/>
      <c r="W619" s="54"/>
      <c r="X619" s="54"/>
      <c r="Y619" s="54"/>
      <c r="Z619" s="54"/>
      <c r="AA619" s="54"/>
      <c r="AB619" s="54"/>
      <c r="AC619" s="54"/>
    </row>
    <row r="620" ht="78.0" customHeight="1">
      <c r="A620" s="769">
        <v>45593.0</v>
      </c>
      <c r="B620" s="21" t="s">
        <v>4883</v>
      </c>
      <c r="C620" s="21" t="s">
        <v>4881</v>
      </c>
      <c r="D620" s="21"/>
      <c r="E620" s="26"/>
      <c r="F620" s="26"/>
      <c r="G620" s="26"/>
      <c r="H620" s="26"/>
      <c r="I620" s="26"/>
      <c r="J620" s="26"/>
      <c r="K620" s="28"/>
      <c r="L620" s="28"/>
      <c r="M620" s="28"/>
      <c r="N620" s="28"/>
      <c r="O620" s="28"/>
      <c r="P620" s="28"/>
      <c r="Q620" s="28"/>
      <c r="R620" s="28"/>
      <c r="S620" s="28"/>
      <c r="T620" s="28"/>
      <c r="U620" s="28"/>
      <c r="V620" s="28"/>
      <c r="W620" s="28"/>
      <c r="X620" s="28"/>
      <c r="Y620" s="28"/>
      <c r="Z620" s="28"/>
      <c r="AA620" s="28"/>
      <c r="AB620" s="28"/>
      <c r="AC620" s="28"/>
    </row>
    <row r="621" ht="78.0" customHeight="1">
      <c r="A621" s="48">
        <v>45593.0</v>
      </c>
      <c r="B621" s="50" t="s">
        <v>4885</v>
      </c>
      <c r="C621" s="50" t="s">
        <v>4886</v>
      </c>
      <c r="D621" s="50"/>
      <c r="E621" s="52"/>
      <c r="F621" s="50" t="s">
        <v>4887</v>
      </c>
      <c r="G621" s="52"/>
      <c r="H621" s="52"/>
      <c r="I621" s="52"/>
      <c r="J621" s="52"/>
      <c r="K621" s="54"/>
      <c r="L621" s="54"/>
      <c r="M621" s="54"/>
      <c r="N621" s="54"/>
      <c r="O621" s="54"/>
      <c r="P621" s="54"/>
      <c r="Q621" s="54"/>
      <c r="R621" s="54"/>
      <c r="S621" s="54"/>
      <c r="T621" s="54"/>
      <c r="U621" s="54"/>
      <c r="V621" s="54"/>
      <c r="W621" s="54"/>
      <c r="X621" s="54"/>
      <c r="Y621" s="54"/>
      <c r="Z621" s="54"/>
      <c r="AA621" s="54"/>
      <c r="AB621" s="54"/>
      <c r="AC621" s="54"/>
    </row>
    <row r="622" ht="78.0" customHeight="1">
      <c r="A622" s="769">
        <v>45593.0</v>
      </c>
      <c r="B622" s="21" t="s">
        <v>4889</v>
      </c>
      <c r="C622" s="26"/>
      <c r="D622" s="21"/>
      <c r="E622" s="26"/>
      <c r="F622" s="26"/>
      <c r="G622" s="26"/>
      <c r="H622" s="26"/>
      <c r="I622" s="26"/>
      <c r="J622" s="26"/>
      <c r="K622" s="28"/>
      <c r="L622" s="28"/>
      <c r="M622" s="28"/>
      <c r="N622" s="28"/>
      <c r="O622" s="28"/>
      <c r="P622" s="28"/>
      <c r="Q622" s="28"/>
      <c r="R622" s="28"/>
      <c r="S622" s="28"/>
      <c r="T622" s="28"/>
      <c r="U622" s="28"/>
      <c r="V622" s="28"/>
      <c r="W622" s="28"/>
      <c r="X622" s="28"/>
      <c r="Y622" s="28"/>
      <c r="Z622" s="28"/>
      <c r="AA622" s="28"/>
      <c r="AB622" s="28"/>
      <c r="AC622" s="28"/>
    </row>
    <row r="623" ht="78.0" customHeight="1">
      <c r="A623" s="48">
        <v>45593.0</v>
      </c>
      <c r="B623" s="50" t="s">
        <v>4891</v>
      </c>
      <c r="C623" s="50" t="s">
        <v>4892</v>
      </c>
      <c r="D623" s="50"/>
      <c r="E623" s="52"/>
      <c r="F623" s="50" t="s">
        <v>4893</v>
      </c>
      <c r="G623" s="52"/>
      <c r="H623" s="52"/>
      <c r="I623" s="52"/>
      <c r="J623" s="52"/>
      <c r="K623" s="54"/>
      <c r="L623" s="54"/>
      <c r="M623" s="54"/>
      <c r="N623" s="54"/>
      <c r="O623" s="54"/>
      <c r="P623" s="54"/>
      <c r="Q623" s="54"/>
      <c r="R623" s="54"/>
      <c r="S623" s="54"/>
      <c r="T623" s="54"/>
      <c r="U623" s="54"/>
      <c r="V623" s="54"/>
      <c r="W623" s="54"/>
      <c r="X623" s="54"/>
      <c r="Y623" s="54"/>
      <c r="Z623" s="54"/>
      <c r="AA623" s="54"/>
      <c r="AB623" s="54"/>
      <c r="AC623" s="54"/>
    </row>
    <row r="624" ht="78.0" customHeight="1">
      <c r="A624" s="769">
        <v>45592.0</v>
      </c>
      <c r="B624" s="21" t="s">
        <v>4894</v>
      </c>
      <c r="C624" s="21" t="s">
        <v>4895</v>
      </c>
      <c r="D624" s="21"/>
      <c r="E624" s="26"/>
      <c r="F624" s="21" t="s">
        <v>4897</v>
      </c>
      <c r="G624" s="26"/>
      <c r="H624" s="26"/>
      <c r="I624" s="26"/>
      <c r="J624" s="26"/>
      <c r="K624" s="28"/>
      <c r="L624" s="28"/>
      <c r="M624" s="28"/>
      <c r="N624" s="28"/>
      <c r="O624" s="28"/>
      <c r="P624" s="28"/>
      <c r="Q624" s="28"/>
      <c r="R624" s="28"/>
      <c r="S624" s="28"/>
      <c r="T624" s="28"/>
      <c r="U624" s="28"/>
      <c r="V624" s="28"/>
      <c r="W624" s="28"/>
      <c r="X624" s="28"/>
      <c r="Y624" s="28"/>
      <c r="Z624" s="28"/>
      <c r="AA624" s="28"/>
      <c r="AB624" s="28"/>
      <c r="AC624" s="28"/>
    </row>
    <row r="625" ht="78.0" customHeight="1">
      <c r="A625" s="48">
        <v>45592.0</v>
      </c>
      <c r="B625" s="50" t="s">
        <v>4898</v>
      </c>
      <c r="C625" s="50" t="s">
        <v>4899</v>
      </c>
      <c r="D625" s="50"/>
      <c r="E625" s="52"/>
      <c r="F625" s="52"/>
      <c r="G625" s="52"/>
      <c r="H625" s="52"/>
      <c r="I625" s="52"/>
      <c r="J625" s="52"/>
      <c r="K625" s="54"/>
      <c r="L625" s="54"/>
      <c r="M625" s="54"/>
      <c r="N625" s="54"/>
      <c r="O625" s="54"/>
      <c r="P625" s="54"/>
      <c r="Q625" s="54"/>
      <c r="R625" s="54"/>
      <c r="S625" s="54"/>
      <c r="T625" s="54"/>
      <c r="U625" s="54"/>
      <c r="V625" s="54"/>
      <c r="W625" s="54"/>
      <c r="X625" s="54"/>
      <c r="Y625" s="54"/>
      <c r="Z625" s="54"/>
      <c r="AA625" s="54"/>
      <c r="AB625" s="54"/>
      <c r="AC625" s="54"/>
    </row>
    <row r="626" ht="78.0" customHeight="1">
      <c r="A626" s="769">
        <v>45592.0</v>
      </c>
      <c r="B626" s="21" t="s">
        <v>4902</v>
      </c>
      <c r="C626" s="21" t="s">
        <v>4903</v>
      </c>
      <c r="D626" s="21"/>
      <c r="E626" s="26"/>
      <c r="F626" s="21" t="s">
        <v>4904</v>
      </c>
      <c r="G626" s="26"/>
      <c r="H626" s="26"/>
      <c r="I626" s="26"/>
      <c r="J626" s="26"/>
      <c r="K626" s="28"/>
      <c r="L626" s="28"/>
      <c r="M626" s="28"/>
      <c r="N626" s="28"/>
      <c r="O626" s="28"/>
      <c r="P626" s="28"/>
      <c r="Q626" s="28"/>
      <c r="R626" s="28"/>
      <c r="S626" s="28"/>
      <c r="T626" s="28"/>
      <c r="U626" s="28"/>
      <c r="V626" s="28"/>
      <c r="W626" s="28"/>
      <c r="X626" s="28"/>
      <c r="Y626" s="28"/>
      <c r="Z626" s="28"/>
      <c r="AA626" s="28"/>
      <c r="AB626" s="28"/>
      <c r="AC626" s="28"/>
    </row>
    <row r="627" ht="78.0" customHeight="1">
      <c r="A627" s="48">
        <v>45592.0</v>
      </c>
      <c r="B627" s="50" t="s">
        <v>4906</v>
      </c>
      <c r="C627" s="50" t="s">
        <v>4907</v>
      </c>
      <c r="D627" s="50"/>
      <c r="E627" s="52"/>
      <c r="F627" s="50" t="s">
        <v>4908</v>
      </c>
      <c r="G627" s="50" t="s">
        <v>4909</v>
      </c>
      <c r="H627" s="50" t="s">
        <v>4910</v>
      </c>
      <c r="I627" s="52"/>
      <c r="J627" s="52"/>
      <c r="K627" s="54"/>
      <c r="L627" s="54"/>
      <c r="M627" s="54"/>
      <c r="N627" s="54"/>
      <c r="O627" s="54"/>
      <c r="P627" s="54"/>
      <c r="Q627" s="54"/>
      <c r="R627" s="54"/>
      <c r="S627" s="54"/>
      <c r="T627" s="54"/>
      <c r="U627" s="54"/>
      <c r="V627" s="54"/>
      <c r="W627" s="54"/>
      <c r="X627" s="54"/>
      <c r="Y627" s="54"/>
      <c r="Z627" s="54"/>
      <c r="AA627" s="54"/>
      <c r="AB627" s="54"/>
      <c r="AC627" s="54"/>
    </row>
    <row r="628" ht="78.0" customHeight="1">
      <c r="A628" s="769">
        <v>45592.0</v>
      </c>
      <c r="B628" s="21" t="s">
        <v>4911</v>
      </c>
      <c r="C628" s="21" t="s">
        <v>4913</v>
      </c>
      <c r="D628" s="21"/>
      <c r="E628" s="26"/>
      <c r="F628" s="21" t="s">
        <v>4914</v>
      </c>
      <c r="G628" s="26"/>
      <c r="H628" s="26"/>
      <c r="I628" s="26"/>
      <c r="J628" s="26"/>
      <c r="K628" s="28"/>
      <c r="L628" s="28"/>
      <c r="M628" s="28"/>
      <c r="N628" s="28"/>
      <c r="O628" s="28"/>
      <c r="P628" s="28"/>
      <c r="Q628" s="28"/>
      <c r="R628" s="28"/>
      <c r="S628" s="28"/>
      <c r="T628" s="28"/>
      <c r="U628" s="28"/>
      <c r="V628" s="28"/>
      <c r="W628" s="28"/>
      <c r="X628" s="28"/>
      <c r="Y628" s="28"/>
      <c r="Z628" s="28"/>
      <c r="AA628" s="28"/>
      <c r="AB628" s="28"/>
      <c r="AC628" s="28"/>
    </row>
    <row r="629" ht="78.0" customHeight="1">
      <c r="A629" s="48">
        <v>45592.0</v>
      </c>
      <c r="B629" s="50" t="s">
        <v>4915</v>
      </c>
      <c r="C629" s="50" t="s">
        <v>4916</v>
      </c>
      <c r="D629" s="50"/>
      <c r="E629" s="52"/>
      <c r="F629" s="50" t="s">
        <v>4917</v>
      </c>
      <c r="G629" s="52"/>
      <c r="H629" s="52"/>
      <c r="I629" s="52"/>
      <c r="J629" s="52"/>
      <c r="K629" s="54"/>
      <c r="L629" s="54"/>
      <c r="M629" s="54"/>
      <c r="N629" s="54"/>
      <c r="O629" s="54"/>
      <c r="P629" s="54"/>
      <c r="Q629" s="54"/>
      <c r="R629" s="54"/>
      <c r="S629" s="54"/>
      <c r="T629" s="54"/>
      <c r="U629" s="54"/>
      <c r="V629" s="54"/>
      <c r="W629" s="54"/>
      <c r="X629" s="54"/>
      <c r="Y629" s="54"/>
      <c r="Z629" s="54"/>
      <c r="AA629" s="54"/>
      <c r="AB629" s="54"/>
      <c r="AC629" s="54"/>
    </row>
    <row r="630" ht="78.0" customHeight="1">
      <c r="A630" s="769">
        <v>45592.0</v>
      </c>
      <c r="B630" s="21" t="s">
        <v>4919</v>
      </c>
      <c r="C630" s="21" t="s">
        <v>4920</v>
      </c>
      <c r="D630" s="21"/>
      <c r="E630" s="26"/>
      <c r="F630" s="21" t="s">
        <v>4921</v>
      </c>
      <c r="G630" s="26"/>
      <c r="H630" s="26"/>
      <c r="I630" s="26"/>
      <c r="J630" s="26"/>
      <c r="K630" s="28"/>
      <c r="L630" s="28"/>
      <c r="M630" s="28"/>
      <c r="N630" s="28"/>
      <c r="O630" s="28"/>
      <c r="P630" s="28"/>
      <c r="Q630" s="28"/>
      <c r="R630" s="28"/>
      <c r="S630" s="28"/>
      <c r="T630" s="28"/>
      <c r="U630" s="28"/>
      <c r="V630" s="28"/>
      <c r="W630" s="28"/>
      <c r="X630" s="28"/>
      <c r="Y630" s="28"/>
      <c r="Z630" s="28"/>
      <c r="AA630" s="28"/>
      <c r="AB630" s="28"/>
      <c r="AC630" s="28"/>
    </row>
    <row r="631" ht="78.0" customHeight="1">
      <c r="A631" s="48">
        <v>45592.0</v>
      </c>
      <c r="B631" s="50" t="s">
        <v>4923</v>
      </c>
      <c r="C631" s="50" t="s">
        <v>4924</v>
      </c>
      <c r="D631" s="50"/>
      <c r="E631" s="52"/>
      <c r="F631" s="50" t="s">
        <v>4925</v>
      </c>
      <c r="G631" s="50" t="s">
        <v>4926</v>
      </c>
      <c r="H631" s="50" t="s">
        <v>4927</v>
      </c>
      <c r="I631" s="50" t="s">
        <v>4928</v>
      </c>
      <c r="J631" s="52"/>
      <c r="K631" s="54"/>
      <c r="L631" s="54"/>
      <c r="M631" s="54"/>
      <c r="N631" s="54"/>
      <c r="O631" s="54"/>
      <c r="P631" s="54"/>
      <c r="Q631" s="54"/>
      <c r="R631" s="54"/>
      <c r="S631" s="54"/>
      <c r="T631" s="54"/>
      <c r="U631" s="54"/>
      <c r="V631" s="54"/>
      <c r="W631" s="54"/>
      <c r="X631" s="54"/>
      <c r="Y631" s="54"/>
      <c r="Z631" s="54"/>
      <c r="AA631" s="54"/>
      <c r="AB631" s="54"/>
      <c r="AC631" s="54"/>
    </row>
    <row r="632" ht="149.25" customHeight="1">
      <c r="A632" s="769">
        <v>45591.0</v>
      </c>
      <c r="B632" s="21" t="s">
        <v>4930</v>
      </c>
      <c r="C632" s="21" t="s">
        <v>4931</v>
      </c>
      <c r="D632" s="21"/>
      <c r="E632" s="26"/>
      <c r="F632" s="21" t="s">
        <v>4932</v>
      </c>
      <c r="G632" s="26"/>
      <c r="H632" s="26"/>
      <c r="I632" s="26"/>
      <c r="J632" s="26"/>
      <c r="K632" s="28"/>
      <c r="L632" s="28"/>
      <c r="M632" s="28"/>
      <c r="N632" s="28"/>
      <c r="O632" s="28"/>
      <c r="P632" s="28"/>
      <c r="Q632" s="28"/>
      <c r="R632" s="28"/>
      <c r="S632" s="28"/>
      <c r="T632" s="28"/>
      <c r="U632" s="28"/>
      <c r="V632" s="28"/>
      <c r="W632" s="28"/>
      <c r="X632" s="28"/>
      <c r="Y632" s="28"/>
      <c r="Z632" s="28"/>
      <c r="AA632" s="28"/>
      <c r="AB632" s="28"/>
      <c r="AC632" s="28"/>
    </row>
    <row r="633" ht="78.0" customHeight="1">
      <c r="A633" s="48">
        <v>45591.0</v>
      </c>
      <c r="B633" s="50" t="s">
        <v>4935</v>
      </c>
      <c r="C633" s="52"/>
      <c r="D633" s="50"/>
      <c r="E633" s="52"/>
      <c r="F633" s="52"/>
      <c r="G633" s="52"/>
      <c r="H633" s="52"/>
      <c r="I633" s="52"/>
      <c r="J633" s="52"/>
      <c r="K633" s="54"/>
      <c r="L633" s="54"/>
      <c r="M633" s="54"/>
      <c r="N633" s="54"/>
      <c r="O633" s="54"/>
      <c r="P633" s="54"/>
      <c r="Q633" s="54"/>
      <c r="R633" s="54"/>
      <c r="S633" s="54"/>
      <c r="T633" s="54"/>
      <c r="U633" s="54"/>
      <c r="V633" s="54"/>
      <c r="W633" s="54"/>
      <c r="X633" s="54"/>
      <c r="Y633" s="54"/>
      <c r="Z633" s="54"/>
      <c r="AA633" s="54"/>
      <c r="AB633" s="54"/>
      <c r="AC633" s="54"/>
    </row>
    <row r="634" ht="78.0" customHeight="1">
      <c r="A634" s="769">
        <v>45591.0</v>
      </c>
      <c r="B634" s="21" t="s">
        <v>4936</v>
      </c>
      <c r="C634" s="21" t="s">
        <v>4937</v>
      </c>
      <c r="D634" s="21"/>
      <c r="E634" s="26"/>
      <c r="F634" s="21" t="s">
        <v>4938</v>
      </c>
      <c r="G634" s="26"/>
      <c r="H634" s="26"/>
      <c r="I634" s="26"/>
      <c r="J634" s="26"/>
      <c r="K634" s="28"/>
      <c r="L634" s="28"/>
      <c r="M634" s="28"/>
      <c r="N634" s="28"/>
      <c r="O634" s="28"/>
      <c r="P634" s="28"/>
      <c r="Q634" s="28"/>
      <c r="R634" s="28"/>
      <c r="S634" s="28"/>
      <c r="T634" s="28"/>
      <c r="U634" s="28"/>
      <c r="V634" s="28"/>
      <c r="W634" s="28"/>
      <c r="X634" s="28"/>
      <c r="Y634" s="28"/>
      <c r="Z634" s="28"/>
      <c r="AA634" s="28"/>
      <c r="AB634" s="28"/>
      <c r="AC634" s="28"/>
    </row>
    <row r="635" ht="78.0" customHeight="1">
      <c r="A635" s="798">
        <v>45591.0</v>
      </c>
      <c r="B635" s="799" t="s">
        <v>4941</v>
      </c>
      <c r="C635" s="52"/>
      <c r="D635" s="50"/>
      <c r="E635" s="52"/>
      <c r="F635" s="52"/>
      <c r="G635" s="52"/>
      <c r="H635" s="52"/>
      <c r="I635" s="52"/>
      <c r="J635" s="52"/>
      <c r="K635" s="54"/>
      <c r="L635" s="54"/>
      <c r="M635" s="54"/>
      <c r="N635" s="54"/>
      <c r="O635" s="54"/>
      <c r="P635" s="54"/>
      <c r="Q635" s="54"/>
      <c r="R635" s="54"/>
      <c r="S635" s="54"/>
      <c r="T635" s="54"/>
      <c r="U635" s="54"/>
      <c r="V635" s="54"/>
      <c r="W635" s="54"/>
      <c r="X635" s="54"/>
      <c r="Y635" s="54"/>
      <c r="Z635" s="54"/>
      <c r="AA635" s="54"/>
      <c r="AB635" s="54"/>
      <c r="AC635" s="54"/>
    </row>
    <row r="636" ht="78.0" customHeight="1">
      <c r="A636" s="769">
        <v>45591.0</v>
      </c>
      <c r="B636" s="803" t="s">
        <v>4946</v>
      </c>
      <c r="C636" s="21" t="s">
        <v>4948</v>
      </c>
      <c r="D636" s="21"/>
      <c r="E636" s="26"/>
      <c r="F636" s="21" t="s">
        <v>4949</v>
      </c>
      <c r="G636" s="21" t="s">
        <v>4950</v>
      </c>
      <c r="H636" s="26"/>
      <c r="I636" s="26"/>
      <c r="J636" s="26"/>
      <c r="K636" s="28"/>
      <c r="L636" s="28"/>
      <c r="M636" s="28"/>
      <c r="N636" s="28"/>
      <c r="O636" s="28"/>
      <c r="P636" s="28"/>
      <c r="Q636" s="28"/>
      <c r="R636" s="28"/>
      <c r="S636" s="28"/>
      <c r="T636" s="28"/>
      <c r="U636" s="28"/>
      <c r="V636" s="28"/>
      <c r="W636" s="28"/>
      <c r="X636" s="28"/>
      <c r="Y636" s="28"/>
      <c r="Z636" s="28"/>
      <c r="AA636" s="28"/>
      <c r="AB636" s="28"/>
      <c r="AC636" s="28"/>
    </row>
    <row r="637" ht="78.0" customHeight="1">
      <c r="A637" s="798">
        <v>45591.0</v>
      </c>
      <c r="B637" s="50" t="s">
        <v>4952</v>
      </c>
      <c r="C637" s="50" t="s">
        <v>4953</v>
      </c>
      <c r="D637" s="50"/>
      <c r="E637" s="52"/>
      <c r="F637" s="50" t="s">
        <v>4954</v>
      </c>
      <c r="G637" s="50" t="s">
        <v>4955</v>
      </c>
      <c r="H637" s="52"/>
      <c r="I637" s="52"/>
      <c r="J637" s="52"/>
      <c r="K637" s="54"/>
      <c r="L637" s="54"/>
      <c r="M637" s="54"/>
      <c r="N637" s="54"/>
      <c r="O637" s="54"/>
      <c r="P637" s="54"/>
      <c r="Q637" s="54"/>
      <c r="R637" s="54"/>
      <c r="S637" s="54"/>
      <c r="T637" s="54"/>
      <c r="U637" s="54"/>
      <c r="V637" s="54"/>
      <c r="W637" s="54"/>
      <c r="X637" s="54"/>
      <c r="Y637" s="54"/>
      <c r="Z637" s="54"/>
      <c r="AA637" s="54"/>
      <c r="AB637" s="54"/>
      <c r="AC637" s="54"/>
    </row>
    <row r="638" ht="78.0" customHeight="1">
      <c r="A638" s="769">
        <v>45591.0</v>
      </c>
      <c r="B638" s="21" t="s">
        <v>4957</v>
      </c>
      <c r="C638" s="21" t="s">
        <v>4958</v>
      </c>
      <c r="D638" s="21"/>
      <c r="E638" s="26"/>
      <c r="F638" s="21" t="s">
        <v>4960</v>
      </c>
      <c r="G638" s="21" t="s">
        <v>4961</v>
      </c>
      <c r="H638" s="21" t="s">
        <v>4962</v>
      </c>
      <c r="I638" s="21" t="s">
        <v>4963</v>
      </c>
      <c r="J638" s="26"/>
      <c r="K638" s="28"/>
      <c r="L638" s="28"/>
      <c r="M638" s="28"/>
      <c r="N638" s="28"/>
      <c r="O638" s="28"/>
      <c r="P638" s="28"/>
      <c r="Q638" s="28"/>
      <c r="R638" s="28"/>
      <c r="S638" s="28"/>
      <c r="T638" s="28"/>
      <c r="U638" s="28"/>
      <c r="V638" s="28"/>
      <c r="W638" s="28"/>
      <c r="X638" s="28"/>
      <c r="Y638" s="28"/>
      <c r="Z638" s="28"/>
      <c r="AA638" s="28"/>
      <c r="AB638" s="28"/>
      <c r="AC638" s="28"/>
    </row>
    <row r="639" ht="78.0" customHeight="1">
      <c r="A639" s="48">
        <v>45591.0</v>
      </c>
      <c r="B639" s="50" t="s">
        <v>4965</v>
      </c>
      <c r="C639" s="50" t="s">
        <v>4966</v>
      </c>
      <c r="D639" s="50"/>
      <c r="E639" s="52"/>
      <c r="F639" s="52"/>
      <c r="G639" s="52"/>
      <c r="H639" s="52"/>
      <c r="I639" s="52"/>
      <c r="J639" s="52"/>
      <c r="K639" s="54"/>
      <c r="L639" s="54"/>
      <c r="M639" s="54"/>
      <c r="N639" s="54"/>
      <c r="O639" s="54"/>
      <c r="P639" s="54"/>
      <c r="Q639" s="54"/>
      <c r="R639" s="54"/>
      <c r="S639" s="54"/>
      <c r="T639" s="54"/>
      <c r="U639" s="54"/>
      <c r="V639" s="54"/>
      <c r="W639" s="54"/>
      <c r="X639" s="54"/>
      <c r="Y639" s="54"/>
      <c r="Z639" s="54"/>
      <c r="AA639" s="54"/>
      <c r="AB639" s="54"/>
      <c r="AC639" s="54"/>
    </row>
    <row r="640" ht="78.0" customHeight="1">
      <c r="A640" s="769">
        <v>45590.0</v>
      </c>
      <c r="B640" s="21" t="s">
        <v>4968</v>
      </c>
      <c r="C640" s="21" t="s">
        <v>4969</v>
      </c>
      <c r="D640" s="21"/>
      <c r="E640" s="26"/>
      <c r="F640" s="26"/>
      <c r="G640" s="21" t="s">
        <v>4970</v>
      </c>
      <c r="H640" s="26"/>
      <c r="I640" s="26"/>
      <c r="J640" s="26"/>
      <c r="K640" s="28"/>
      <c r="L640" s="28"/>
      <c r="M640" s="28"/>
      <c r="N640" s="28"/>
      <c r="O640" s="28"/>
      <c r="P640" s="28"/>
      <c r="Q640" s="28"/>
      <c r="R640" s="28"/>
      <c r="S640" s="28"/>
      <c r="T640" s="28"/>
      <c r="U640" s="28"/>
      <c r="V640" s="28"/>
      <c r="W640" s="28"/>
      <c r="X640" s="28"/>
      <c r="Y640" s="28"/>
      <c r="Z640" s="28"/>
      <c r="AA640" s="28"/>
      <c r="AB640" s="28"/>
      <c r="AC640" s="28"/>
    </row>
    <row r="641" ht="78.0" customHeight="1">
      <c r="A641" s="48">
        <v>45590.0</v>
      </c>
      <c r="B641" s="50" t="s">
        <v>4972</v>
      </c>
      <c r="C641" s="50" t="s">
        <v>4974</v>
      </c>
      <c r="D641" s="50"/>
      <c r="E641" s="52"/>
      <c r="F641" s="52"/>
      <c r="G641" s="50" t="s">
        <v>4975</v>
      </c>
      <c r="H641" s="50" t="s">
        <v>4976</v>
      </c>
      <c r="I641" s="50" t="s">
        <v>4977</v>
      </c>
      <c r="J641" s="52"/>
      <c r="K641" s="54"/>
      <c r="L641" s="54"/>
      <c r="M641" s="54"/>
      <c r="N641" s="54"/>
      <c r="O641" s="54"/>
      <c r="P641" s="54"/>
      <c r="Q641" s="54"/>
      <c r="R641" s="54"/>
      <c r="S641" s="54"/>
      <c r="T641" s="54"/>
      <c r="U641" s="54"/>
      <c r="V641" s="54"/>
      <c r="W641" s="54"/>
      <c r="X641" s="54"/>
      <c r="Y641" s="54"/>
      <c r="Z641" s="54"/>
      <c r="AA641" s="54"/>
      <c r="AB641" s="54"/>
      <c r="AC641" s="54"/>
    </row>
    <row r="642" ht="78.0" customHeight="1">
      <c r="A642" s="769">
        <v>45590.0</v>
      </c>
      <c r="B642" s="21" t="s">
        <v>4979</v>
      </c>
      <c r="C642" s="21" t="s">
        <v>4981</v>
      </c>
      <c r="D642" s="21"/>
      <c r="E642" s="26"/>
      <c r="F642" s="21" t="s">
        <v>4982</v>
      </c>
      <c r="G642" s="26"/>
      <c r="H642" s="26"/>
      <c r="I642" s="26"/>
      <c r="J642" s="26"/>
      <c r="K642" s="28"/>
      <c r="L642" s="28"/>
      <c r="M642" s="28"/>
      <c r="N642" s="28"/>
      <c r="O642" s="28"/>
      <c r="P642" s="28"/>
      <c r="Q642" s="28"/>
      <c r="R642" s="28"/>
      <c r="S642" s="28"/>
      <c r="T642" s="28"/>
      <c r="U642" s="28"/>
      <c r="V642" s="28"/>
      <c r="W642" s="28"/>
      <c r="X642" s="28"/>
      <c r="Y642" s="28"/>
      <c r="Z642" s="28"/>
      <c r="AA642" s="28"/>
      <c r="AB642" s="28"/>
      <c r="AC642" s="28"/>
    </row>
    <row r="643" ht="78.0" customHeight="1">
      <c r="A643" s="48">
        <v>45590.0</v>
      </c>
      <c r="B643" s="50" t="s">
        <v>4984</v>
      </c>
      <c r="C643" s="50" t="s">
        <v>4986</v>
      </c>
      <c r="D643" s="50"/>
      <c r="E643" s="52"/>
      <c r="F643" s="52"/>
      <c r="G643" s="50" t="s">
        <v>4988</v>
      </c>
      <c r="H643" s="52"/>
      <c r="I643" s="52"/>
      <c r="J643" s="52"/>
      <c r="K643" s="54"/>
      <c r="L643" s="54"/>
      <c r="M643" s="54"/>
      <c r="N643" s="54"/>
      <c r="O643" s="54"/>
      <c r="P643" s="54"/>
      <c r="Q643" s="54"/>
      <c r="R643" s="54"/>
      <c r="S643" s="54"/>
      <c r="T643" s="54"/>
      <c r="U643" s="54"/>
      <c r="V643" s="54"/>
      <c r="W643" s="54"/>
      <c r="X643" s="54"/>
      <c r="Y643" s="54"/>
      <c r="Z643" s="54"/>
      <c r="AA643" s="54"/>
      <c r="AB643" s="54"/>
      <c r="AC643" s="54"/>
    </row>
    <row r="644" ht="78.0" customHeight="1">
      <c r="A644" s="769">
        <v>45590.0</v>
      </c>
      <c r="B644" s="21" t="s">
        <v>4991</v>
      </c>
      <c r="C644" s="21" t="s">
        <v>4992</v>
      </c>
      <c r="D644" s="21"/>
      <c r="E644" s="26"/>
      <c r="F644" s="26"/>
      <c r="G644" s="21" t="s">
        <v>4994</v>
      </c>
      <c r="H644" s="26"/>
      <c r="I644" s="26"/>
      <c r="J644" s="26"/>
      <c r="K644" s="28"/>
      <c r="L644" s="28"/>
      <c r="M644" s="28"/>
      <c r="N644" s="28"/>
      <c r="O644" s="28"/>
      <c r="P644" s="28"/>
      <c r="Q644" s="28"/>
      <c r="R644" s="28"/>
      <c r="S644" s="28"/>
      <c r="T644" s="28"/>
      <c r="U644" s="28"/>
      <c r="V644" s="28"/>
      <c r="W644" s="28"/>
      <c r="X644" s="28"/>
      <c r="Y644" s="28"/>
      <c r="Z644" s="28"/>
      <c r="AA644" s="28"/>
      <c r="AB644" s="28"/>
      <c r="AC644" s="28"/>
    </row>
    <row r="645" ht="78.0" customHeight="1">
      <c r="A645" s="48">
        <v>45590.0</v>
      </c>
      <c r="B645" s="50" t="s">
        <v>4996</v>
      </c>
      <c r="C645" s="50" t="s">
        <v>4998</v>
      </c>
      <c r="D645" s="50"/>
      <c r="E645" s="52"/>
      <c r="F645" s="50" t="s">
        <v>5000</v>
      </c>
      <c r="G645" s="52"/>
      <c r="H645" s="52"/>
      <c r="I645" s="52"/>
      <c r="J645" s="52"/>
      <c r="K645" s="54"/>
      <c r="L645" s="54"/>
      <c r="M645" s="54"/>
      <c r="N645" s="54"/>
      <c r="O645" s="54"/>
      <c r="P645" s="54"/>
      <c r="Q645" s="54"/>
      <c r="R645" s="54"/>
      <c r="S645" s="54"/>
      <c r="T645" s="54"/>
      <c r="U645" s="54"/>
      <c r="V645" s="54"/>
      <c r="W645" s="54"/>
      <c r="X645" s="54"/>
      <c r="Y645" s="54"/>
      <c r="Z645" s="54"/>
      <c r="AA645" s="54"/>
      <c r="AB645" s="54"/>
      <c r="AC645" s="54"/>
    </row>
    <row r="646" ht="78.0" customHeight="1">
      <c r="A646" s="769">
        <v>45590.0</v>
      </c>
      <c r="B646" s="21" t="s">
        <v>5001</v>
      </c>
      <c r="C646" s="21" t="s">
        <v>5002</v>
      </c>
      <c r="D646" s="21"/>
      <c r="E646" s="26"/>
      <c r="F646" s="26"/>
      <c r="G646" s="21" t="s">
        <v>5004</v>
      </c>
      <c r="H646" s="26"/>
      <c r="I646" s="26"/>
      <c r="J646" s="26"/>
      <c r="K646" s="28"/>
      <c r="L646" s="28"/>
      <c r="M646" s="28"/>
      <c r="N646" s="28"/>
      <c r="O646" s="28"/>
      <c r="P646" s="28"/>
      <c r="Q646" s="28"/>
      <c r="R646" s="28"/>
      <c r="S646" s="28"/>
      <c r="T646" s="28"/>
      <c r="U646" s="28"/>
      <c r="V646" s="28"/>
      <c r="W646" s="28"/>
      <c r="X646" s="28"/>
      <c r="Y646" s="28"/>
      <c r="Z646" s="28"/>
      <c r="AA646" s="28"/>
      <c r="AB646" s="28"/>
      <c r="AC646" s="28"/>
    </row>
    <row r="647" ht="78.0" customHeight="1">
      <c r="A647" s="48">
        <v>45590.0</v>
      </c>
      <c r="B647" s="50" t="s">
        <v>5005</v>
      </c>
      <c r="C647" s="50" t="s">
        <v>5006</v>
      </c>
      <c r="D647" s="50"/>
      <c r="E647" s="52"/>
      <c r="F647" s="52"/>
      <c r="G647" s="52"/>
      <c r="H647" s="52"/>
      <c r="I647" s="52"/>
      <c r="J647" s="52"/>
      <c r="K647" s="54"/>
      <c r="L647" s="54"/>
      <c r="M647" s="54"/>
      <c r="N647" s="54"/>
      <c r="O647" s="54"/>
      <c r="P647" s="54"/>
      <c r="Q647" s="54"/>
      <c r="R647" s="54"/>
      <c r="S647" s="54"/>
      <c r="T647" s="54"/>
      <c r="U647" s="54"/>
      <c r="V647" s="54"/>
      <c r="W647" s="54"/>
      <c r="X647" s="54"/>
      <c r="Y647" s="54"/>
      <c r="Z647" s="54"/>
      <c r="AA647" s="54"/>
      <c r="AB647" s="54"/>
      <c r="AC647" s="54"/>
    </row>
    <row r="648" ht="78.0" customHeight="1">
      <c r="A648" s="769">
        <v>45590.0</v>
      </c>
      <c r="B648" s="21" t="s">
        <v>5009</v>
      </c>
      <c r="C648" s="21" t="s">
        <v>5010</v>
      </c>
      <c r="D648" s="21"/>
      <c r="E648" s="26"/>
      <c r="F648" s="26"/>
      <c r="G648" s="21" t="s">
        <v>5011</v>
      </c>
      <c r="H648" s="26"/>
      <c r="I648" s="26"/>
      <c r="J648" s="26"/>
      <c r="K648" s="28"/>
      <c r="L648" s="28"/>
      <c r="M648" s="28"/>
      <c r="N648" s="28"/>
      <c r="O648" s="28"/>
      <c r="P648" s="28"/>
      <c r="Q648" s="28"/>
      <c r="R648" s="28"/>
      <c r="S648" s="28"/>
      <c r="T648" s="28"/>
      <c r="U648" s="28"/>
      <c r="V648" s="28"/>
      <c r="W648" s="28"/>
      <c r="X648" s="28"/>
      <c r="Y648" s="28"/>
      <c r="Z648" s="28"/>
      <c r="AA648" s="28"/>
      <c r="AB648" s="28"/>
      <c r="AC648" s="28"/>
    </row>
    <row r="649" ht="78.0" customHeight="1">
      <c r="A649" s="769">
        <v>45590.0</v>
      </c>
      <c r="B649" s="21" t="s">
        <v>5015</v>
      </c>
      <c r="C649" s="26"/>
      <c r="D649" s="21"/>
      <c r="E649" s="26"/>
      <c r="F649" s="26"/>
      <c r="G649" s="26"/>
      <c r="H649" s="26"/>
      <c r="I649" s="26"/>
      <c r="J649" s="26"/>
      <c r="K649" s="28"/>
      <c r="L649" s="28"/>
      <c r="M649" s="28"/>
      <c r="N649" s="28"/>
      <c r="O649" s="28"/>
      <c r="P649" s="28"/>
      <c r="Q649" s="28"/>
      <c r="R649" s="28"/>
      <c r="S649" s="28"/>
      <c r="T649" s="28"/>
      <c r="U649" s="28"/>
      <c r="V649" s="28"/>
      <c r="W649" s="28"/>
      <c r="X649" s="28"/>
      <c r="Y649" s="28"/>
      <c r="Z649" s="28"/>
      <c r="AA649" s="28"/>
      <c r="AB649" s="28"/>
      <c r="AC649" s="28"/>
    </row>
    <row r="650" ht="78.0" customHeight="1">
      <c r="A650" s="48">
        <v>45590.0</v>
      </c>
      <c r="B650" s="50" t="s">
        <v>5018</v>
      </c>
      <c r="C650" s="52"/>
      <c r="D650" s="50"/>
      <c r="E650" s="52"/>
      <c r="F650" s="52"/>
      <c r="G650" s="52"/>
      <c r="H650" s="52"/>
      <c r="I650" s="52"/>
      <c r="J650" s="52"/>
      <c r="K650" s="54"/>
      <c r="L650" s="54"/>
      <c r="M650" s="54"/>
      <c r="N650" s="54"/>
      <c r="O650" s="54"/>
      <c r="P650" s="54"/>
      <c r="Q650" s="54"/>
      <c r="R650" s="54"/>
      <c r="S650" s="54"/>
      <c r="T650" s="54"/>
      <c r="U650" s="54"/>
      <c r="V650" s="54"/>
      <c r="W650" s="54"/>
      <c r="X650" s="54"/>
      <c r="Y650" s="54"/>
      <c r="Z650" s="54"/>
      <c r="AA650" s="54"/>
      <c r="AB650" s="54"/>
      <c r="AC650" s="54"/>
    </row>
    <row r="651" ht="78.0" customHeight="1">
      <c r="A651" s="769">
        <v>45590.0</v>
      </c>
      <c r="B651" s="21" t="s">
        <v>5020</v>
      </c>
      <c r="C651" s="21" t="s">
        <v>5022</v>
      </c>
      <c r="D651" s="21"/>
      <c r="E651" s="26"/>
      <c r="F651" s="26"/>
      <c r="G651" s="26"/>
      <c r="H651" s="26"/>
      <c r="I651" s="26"/>
      <c r="J651" s="28"/>
      <c r="K651" s="28"/>
      <c r="L651" s="28"/>
      <c r="M651" s="28"/>
      <c r="N651" s="28"/>
      <c r="O651" s="28"/>
      <c r="P651" s="28"/>
      <c r="Q651" s="28"/>
      <c r="R651" s="28"/>
      <c r="S651" s="28"/>
      <c r="T651" s="28"/>
      <c r="U651" s="28"/>
      <c r="V651" s="28"/>
      <c r="W651" s="28"/>
      <c r="X651" s="28"/>
      <c r="Y651" s="28"/>
      <c r="Z651" s="28"/>
      <c r="AA651" s="28"/>
      <c r="AB651" s="28"/>
      <c r="AC651" s="28"/>
    </row>
    <row r="652" ht="78.0" customHeight="1">
      <c r="A652" s="48">
        <v>45590.0</v>
      </c>
      <c r="B652" s="50" t="s">
        <v>5023</v>
      </c>
      <c r="C652" s="50" t="s">
        <v>5025</v>
      </c>
      <c r="D652" s="50"/>
      <c r="E652" s="52"/>
      <c r="F652" s="52"/>
      <c r="G652" s="50" t="s">
        <v>5026</v>
      </c>
      <c r="H652" s="52"/>
      <c r="I652" s="52"/>
      <c r="J652" s="52"/>
      <c r="K652" s="54"/>
      <c r="L652" s="54"/>
      <c r="M652" s="54"/>
      <c r="N652" s="54"/>
      <c r="O652" s="54"/>
      <c r="P652" s="54"/>
      <c r="Q652" s="54"/>
      <c r="R652" s="54"/>
      <c r="S652" s="54"/>
      <c r="T652" s="54"/>
      <c r="U652" s="54"/>
      <c r="V652" s="54"/>
      <c r="W652" s="54"/>
      <c r="X652" s="54"/>
      <c r="Y652" s="54"/>
      <c r="Z652" s="54"/>
      <c r="AA652" s="54"/>
      <c r="AB652" s="54"/>
      <c r="AC652" s="54"/>
    </row>
    <row r="653" ht="78.0" customHeight="1">
      <c r="A653" s="769">
        <v>45590.0</v>
      </c>
      <c r="B653" s="21" t="s">
        <v>5029</v>
      </c>
      <c r="C653" s="21" t="s">
        <v>5029</v>
      </c>
      <c r="D653" s="21"/>
      <c r="E653" s="26"/>
      <c r="F653" s="26"/>
      <c r="G653" s="21" t="s">
        <v>5030</v>
      </c>
      <c r="H653" s="21" t="s">
        <v>5031</v>
      </c>
      <c r="I653" s="26"/>
      <c r="J653" s="26"/>
      <c r="K653" s="28"/>
      <c r="L653" s="28"/>
      <c r="M653" s="28"/>
      <c r="N653" s="28"/>
      <c r="O653" s="28"/>
      <c r="P653" s="28"/>
      <c r="Q653" s="28"/>
      <c r="R653" s="28"/>
      <c r="S653" s="28"/>
      <c r="T653" s="28"/>
      <c r="U653" s="28"/>
      <c r="V653" s="28"/>
      <c r="W653" s="28"/>
      <c r="X653" s="28"/>
      <c r="Y653" s="28"/>
      <c r="Z653" s="28"/>
      <c r="AA653" s="28"/>
      <c r="AB653" s="28"/>
      <c r="AC653" s="28"/>
    </row>
    <row r="654" ht="78.0" customHeight="1">
      <c r="A654" s="48">
        <v>45590.0</v>
      </c>
      <c r="B654" s="50" t="s">
        <v>5034</v>
      </c>
      <c r="C654" s="50" t="s">
        <v>5035</v>
      </c>
      <c r="D654" s="50"/>
      <c r="E654" s="52"/>
      <c r="F654" s="52"/>
      <c r="G654" s="50" t="s">
        <v>5036</v>
      </c>
      <c r="H654" s="50" t="s">
        <v>5037</v>
      </c>
      <c r="I654" s="50" t="s">
        <v>5038</v>
      </c>
      <c r="J654" s="50" t="s">
        <v>5040</v>
      </c>
      <c r="K654" s="54"/>
      <c r="L654" s="54"/>
      <c r="M654" s="54"/>
      <c r="N654" s="54"/>
      <c r="O654" s="54"/>
      <c r="P654" s="54"/>
      <c r="Q654" s="54"/>
      <c r="R654" s="54"/>
      <c r="S654" s="54"/>
      <c r="T654" s="54"/>
      <c r="U654" s="54"/>
      <c r="V654" s="54"/>
      <c r="W654" s="54"/>
      <c r="X654" s="54"/>
      <c r="Y654" s="54"/>
      <c r="Z654" s="54"/>
      <c r="AA654" s="54"/>
      <c r="AB654" s="54"/>
      <c r="AC654" s="54"/>
    </row>
    <row r="655" ht="78.0" customHeight="1">
      <c r="A655" s="769">
        <v>45590.0</v>
      </c>
      <c r="B655" s="21" t="s">
        <v>5044</v>
      </c>
      <c r="C655" s="26"/>
      <c r="D655" s="21"/>
      <c r="E655" s="26"/>
      <c r="F655" s="26"/>
      <c r="G655" s="26"/>
      <c r="H655" s="26"/>
      <c r="I655" s="26"/>
      <c r="J655" s="26"/>
      <c r="K655" s="28"/>
      <c r="L655" s="28"/>
      <c r="M655" s="28"/>
      <c r="N655" s="28"/>
      <c r="O655" s="28"/>
      <c r="P655" s="28"/>
      <c r="Q655" s="28"/>
      <c r="R655" s="28"/>
      <c r="S655" s="28"/>
      <c r="T655" s="28"/>
      <c r="U655" s="28"/>
      <c r="V655" s="28"/>
      <c r="W655" s="28"/>
      <c r="X655" s="28"/>
      <c r="Y655" s="28"/>
      <c r="Z655" s="28"/>
      <c r="AA655" s="28"/>
      <c r="AB655" s="28"/>
      <c r="AC655" s="28"/>
    </row>
    <row r="656" ht="78.0" customHeight="1">
      <c r="A656" s="48">
        <v>45590.0</v>
      </c>
      <c r="B656" s="50" t="s">
        <v>5047</v>
      </c>
      <c r="C656" s="52"/>
      <c r="D656" s="50"/>
      <c r="E656" s="52"/>
      <c r="F656" s="52"/>
      <c r="G656" s="52"/>
      <c r="H656" s="52"/>
      <c r="I656" s="52"/>
      <c r="J656" s="52"/>
      <c r="K656" s="54"/>
      <c r="L656" s="54"/>
      <c r="M656" s="54"/>
      <c r="N656" s="54"/>
      <c r="O656" s="54"/>
      <c r="P656" s="54"/>
      <c r="Q656" s="54"/>
      <c r="R656" s="54"/>
      <c r="S656" s="54"/>
      <c r="T656" s="54"/>
      <c r="U656" s="54"/>
      <c r="V656" s="54"/>
      <c r="W656" s="54"/>
      <c r="X656" s="54"/>
      <c r="Y656" s="54"/>
      <c r="Z656" s="54"/>
      <c r="AA656" s="54"/>
      <c r="AB656" s="54"/>
      <c r="AC656" s="54"/>
    </row>
    <row r="657" ht="78.0" customHeight="1">
      <c r="A657" s="769">
        <v>45590.0</v>
      </c>
      <c r="B657" s="21" t="s">
        <v>5051</v>
      </c>
      <c r="C657" s="21" t="s">
        <v>5052</v>
      </c>
      <c r="D657" s="21"/>
      <c r="E657" s="26"/>
      <c r="F657" s="26"/>
      <c r="G657" s="21" t="s">
        <v>5053</v>
      </c>
      <c r="H657" s="26"/>
      <c r="I657" s="26"/>
      <c r="J657" s="26"/>
      <c r="K657" s="26"/>
      <c r="L657" s="28"/>
      <c r="M657" s="28"/>
      <c r="N657" s="28"/>
      <c r="O657" s="28"/>
      <c r="P657" s="28"/>
      <c r="Q657" s="28"/>
      <c r="R657" s="28"/>
      <c r="S657" s="28"/>
      <c r="T657" s="28"/>
      <c r="U657" s="28"/>
      <c r="V657" s="28"/>
      <c r="W657" s="28"/>
      <c r="X657" s="28"/>
      <c r="Y657" s="28"/>
      <c r="Z657" s="28"/>
      <c r="AA657" s="28"/>
      <c r="AB657" s="28"/>
      <c r="AC657" s="28"/>
    </row>
    <row r="658" ht="78.0" customHeight="1">
      <c r="A658" s="48">
        <v>45590.0</v>
      </c>
      <c r="B658" s="50" t="s">
        <v>5056</v>
      </c>
      <c r="C658" s="50" t="s">
        <v>5057</v>
      </c>
      <c r="D658" s="50"/>
      <c r="E658" s="52"/>
      <c r="F658" s="52"/>
      <c r="G658" s="52"/>
      <c r="H658" s="52"/>
      <c r="I658" s="52"/>
      <c r="J658" s="52"/>
      <c r="K658" s="54"/>
      <c r="L658" s="54"/>
      <c r="M658" s="54"/>
      <c r="N658" s="54"/>
      <c r="O658" s="54"/>
      <c r="P658" s="54"/>
      <c r="Q658" s="54"/>
      <c r="R658" s="54"/>
      <c r="S658" s="54"/>
      <c r="T658" s="54"/>
      <c r="U658" s="54"/>
      <c r="V658" s="54"/>
      <c r="W658" s="54"/>
      <c r="X658" s="54"/>
      <c r="Y658" s="54"/>
      <c r="Z658" s="54"/>
      <c r="AA658" s="54"/>
      <c r="AB658" s="54"/>
      <c r="AC658" s="54"/>
    </row>
    <row r="659" ht="78.0" customHeight="1">
      <c r="A659" s="769">
        <v>45590.0</v>
      </c>
      <c r="B659" s="21" t="s">
        <v>5058</v>
      </c>
      <c r="C659" s="21" t="s">
        <v>5059</v>
      </c>
      <c r="D659" s="21"/>
      <c r="E659" s="26"/>
      <c r="F659" s="26"/>
      <c r="G659" s="21" t="s">
        <v>5060</v>
      </c>
      <c r="H659" s="21" t="s">
        <v>5062</v>
      </c>
      <c r="I659" s="21" t="s">
        <v>5063</v>
      </c>
      <c r="J659" s="21" t="s">
        <v>5066</v>
      </c>
      <c r="K659" s="825" t="s">
        <v>5067</v>
      </c>
      <c r="L659" s="825" t="s">
        <v>5068</v>
      </c>
      <c r="M659" s="825" t="s">
        <v>5069</v>
      </c>
      <c r="N659" s="28"/>
      <c r="O659" s="28"/>
      <c r="P659" s="28"/>
      <c r="Q659" s="28"/>
      <c r="R659" s="28"/>
      <c r="S659" s="28"/>
      <c r="T659" s="28"/>
      <c r="U659" s="28"/>
      <c r="V659" s="28"/>
      <c r="W659" s="28"/>
      <c r="X659" s="28"/>
      <c r="Y659" s="28"/>
      <c r="Z659" s="28"/>
      <c r="AA659" s="28"/>
      <c r="AB659" s="28"/>
      <c r="AC659" s="28"/>
    </row>
    <row r="660" ht="78.0" customHeight="1">
      <c r="A660" s="769">
        <v>45590.0</v>
      </c>
      <c r="B660" s="21" t="s">
        <v>5073</v>
      </c>
      <c r="C660" s="21" t="s">
        <v>5074</v>
      </c>
      <c r="D660" s="21"/>
      <c r="E660" s="26"/>
      <c r="F660" s="26"/>
      <c r="G660" s="26"/>
      <c r="H660" s="26"/>
      <c r="I660" s="26"/>
      <c r="J660" s="26"/>
      <c r="K660" s="28"/>
      <c r="L660" s="28"/>
      <c r="M660" s="28"/>
      <c r="N660" s="28"/>
      <c r="O660" s="28"/>
      <c r="P660" s="28"/>
      <c r="Q660" s="28"/>
      <c r="R660" s="28"/>
      <c r="S660" s="28"/>
      <c r="T660" s="28"/>
      <c r="U660" s="28"/>
      <c r="V660" s="28"/>
      <c r="W660" s="28"/>
      <c r="X660" s="28"/>
      <c r="Y660" s="28"/>
      <c r="Z660" s="28"/>
      <c r="AA660" s="28"/>
      <c r="AB660" s="28"/>
      <c r="AC660" s="28"/>
    </row>
    <row r="661" ht="78.0" customHeight="1">
      <c r="A661" s="48">
        <v>45590.0</v>
      </c>
      <c r="B661" s="50" t="s">
        <v>5077</v>
      </c>
      <c r="C661" s="50" t="s">
        <v>5078</v>
      </c>
      <c r="D661" s="50"/>
      <c r="E661" s="52"/>
      <c r="F661" s="52"/>
      <c r="G661" s="50" t="s">
        <v>5080</v>
      </c>
      <c r="H661" s="52"/>
      <c r="I661" s="52"/>
      <c r="J661" s="52"/>
      <c r="K661" s="52"/>
      <c r="L661" s="52"/>
      <c r="M661" s="52"/>
      <c r="N661" s="54"/>
      <c r="O661" s="54"/>
      <c r="P661" s="54"/>
      <c r="Q661" s="54"/>
      <c r="R661" s="54"/>
      <c r="S661" s="54"/>
      <c r="T661" s="54"/>
      <c r="U661" s="54"/>
      <c r="V661" s="54"/>
      <c r="W661" s="54"/>
      <c r="X661" s="54"/>
      <c r="Y661" s="54"/>
      <c r="Z661" s="54"/>
      <c r="AA661" s="54"/>
      <c r="AB661" s="54"/>
      <c r="AC661" s="54"/>
    </row>
    <row r="662" ht="78.0" customHeight="1">
      <c r="A662" s="769">
        <v>45590.0</v>
      </c>
      <c r="B662" s="21" t="s">
        <v>5084</v>
      </c>
      <c r="C662" s="21" t="s">
        <v>5085</v>
      </c>
      <c r="D662" s="21"/>
      <c r="E662" s="26"/>
      <c r="F662" s="26"/>
      <c r="G662" s="21" t="s">
        <v>1879</v>
      </c>
      <c r="H662" s="21" t="s">
        <v>1445</v>
      </c>
      <c r="I662" s="26"/>
      <c r="J662" s="26"/>
      <c r="K662" s="28"/>
      <c r="L662" s="28"/>
      <c r="M662" s="28"/>
      <c r="N662" s="28"/>
      <c r="O662" s="28"/>
      <c r="P662" s="28"/>
      <c r="Q662" s="28"/>
      <c r="R662" s="28"/>
      <c r="S662" s="28"/>
      <c r="T662" s="28"/>
      <c r="U662" s="28"/>
      <c r="V662" s="28"/>
      <c r="W662" s="28"/>
      <c r="X662" s="28"/>
      <c r="Y662" s="28"/>
      <c r="Z662" s="28"/>
      <c r="AA662" s="28"/>
      <c r="AB662" s="28"/>
      <c r="AC662" s="28"/>
    </row>
    <row r="663" ht="78.0" customHeight="1">
      <c r="A663" s="48">
        <v>45590.0</v>
      </c>
      <c r="B663" s="50" t="s">
        <v>5087</v>
      </c>
      <c r="C663" s="50" t="s">
        <v>5088</v>
      </c>
      <c r="D663" s="50"/>
      <c r="E663" s="52"/>
      <c r="F663" s="52"/>
      <c r="G663" s="50" t="s">
        <v>5089</v>
      </c>
      <c r="H663" s="50" t="s">
        <v>5090</v>
      </c>
      <c r="I663" s="50" t="s">
        <v>5091</v>
      </c>
      <c r="J663" s="52"/>
      <c r="K663" s="54"/>
      <c r="L663" s="54"/>
      <c r="M663" s="54"/>
      <c r="N663" s="54"/>
      <c r="O663" s="54"/>
      <c r="P663" s="54"/>
      <c r="Q663" s="54"/>
      <c r="R663" s="54"/>
      <c r="S663" s="54"/>
      <c r="T663" s="54"/>
      <c r="U663" s="54"/>
      <c r="V663" s="54"/>
      <c r="W663" s="54"/>
      <c r="X663" s="54"/>
      <c r="Y663" s="54"/>
      <c r="Z663" s="54"/>
      <c r="AA663" s="54"/>
      <c r="AB663" s="54"/>
      <c r="AC663" s="54"/>
    </row>
    <row r="664" ht="78.0" customHeight="1">
      <c r="A664" s="769">
        <v>45589.0</v>
      </c>
      <c r="B664" s="21" t="s">
        <v>5094</v>
      </c>
      <c r="C664" s="21" t="s">
        <v>5096</v>
      </c>
      <c r="D664" s="21"/>
      <c r="E664" s="26"/>
      <c r="F664" s="26"/>
      <c r="G664" s="26"/>
      <c r="H664" s="26"/>
      <c r="I664" s="26"/>
      <c r="J664" s="26"/>
      <c r="K664" s="28"/>
      <c r="L664" s="28"/>
      <c r="M664" s="28"/>
      <c r="N664" s="28"/>
      <c r="O664" s="28"/>
      <c r="P664" s="28"/>
      <c r="Q664" s="28"/>
      <c r="R664" s="28"/>
      <c r="S664" s="28"/>
      <c r="T664" s="28"/>
      <c r="U664" s="28"/>
      <c r="V664" s="28"/>
      <c r="W664" s="28"/>
      <c r="X664" s="28"/>
      <c r="Y664" s="28"/>
      <c r="Z664" s="28"/>
      <c r="AA664" s="28"/>
      <c r="AB664" s="28"/>
      <c r="AC664" s="28"/>
    </row>
    <row r="665" ht="78.0" customHeight="1">
      <c r="A665" s="48">
        <v>45589.0</v>
      </c>
      <c r="B665" s="50" t="s">
        <v>5099</v>
      </c>
      <c r="C665" s="50" t="s">
        <v>5101</v>
      </c>
      <c r="D665" s="50"/>
      <c r="E665" s="52"/>
      <c r="F665" s="52"/>
      <c r="G665" s="52"/>
      <c r="H665" s="52"/>
      <c r="I665" s="52"/>
      <c r="J665" s="52"/>
      <c r="K665" s="54"/>
      <c r="L665" s="54"/>
      <c r="M665" s="54"/>
      <c r="N665" s="54"/>
      <c r="O665" s="54"/>
      <c r="P665" s="54"/>
      <c r="Q665" s="54"/>
      <c r="R665" s="54"/>
      <c r="S665" s="54"/>
      <c r="T665" s="54"/>
      <c r="U665" s="54"/>
      <c r="V665" s="54"/>
      <c r="W665" s="54"/>
      <c r="X665" s="54"/>
      <c r="Y665" s="54"/>
      <c r="Z665" s="54"/>
      <c r="AA665" s="54"/>
      <c r="AB665" s="54"/>
      <c r="AC665" s="54"/>
    </row>
    <row r="666" ht="78.0" customHeight="1">
      <c r="A666" s="48">
        <v>45589.0</v>
      </c>
      <c r="B666" s="50" t="s">
        <v>5105</v>
      </c>
      <c r="C666" s="52"/>
      <c r="D666" s="50"/>
      <c r="E666" s="52"/>
      <c r="F666" s="52"/>
      <c r="G666" s="52"/>
      <c r="H666" s="52"/>
      <c r="I666" s="52"/>
      <c r="J666" s="52"/>
      <c r="K666" s="54"/>
      <c r="L666" s="54"/>
      <c r="M666" s="54"/>
      <c r="N666" s="54"/>
      <c r="O666" s="54"/>
      <c r="P666" s="54"/>
      <c r="Q666" s="54"/>
      <c r="R666" s="54"/>
      <c r="S666" s="54"/>
      <c r="T666" s="54"/>
      <c r="U666" s="54"/>
      <c r="V666" s="54"/>
      <c r="W666" s="54"/>
      <c r="X666" s="54"/>
      <c r="Y666" s="54"/>
      <c r="Z666" s="54"/>
      <c r="AA666" s="54"/>
      <c r="AB666" s="54"/>
      <c r="AC666" s="54"/>
    </row>
    <row r="667" ht="78.0" customHeight="1">
      <c r="A667" s="769">
        <v>45589.0</v>
      </c>
      <c r="B667" s="21" t="s">
        <v>5108</v>
      </c>
      <c r="C667" s="21" t="s">
        <v>5110</v>
      </c>
      <c r="D667" s="21"/>
      <c r="E667" s="26"/>
      <c r="F667" s="26"/>
      <c r="G667" s="26"/>
      <c r="H667" s="26"/>
      <c r="I667" s="26"/>
      <c r="J667" s="26"/>
      <c r="K667" s="28"/>
      <c r="L667" s="28"/>
      <c r="M667" s="28"/>
      <c r="N667" s="28"/>
      <c r="O667" s="28"/>
      <c r="P667" s="28"/>
      <c r="Q667" s="28"/>
      <c r="R667" s="28"/>
      <c r="S667" s="28"/>
      <c r="T667" s="28"/>
      <c r="U667" s="28"/>
      <c r="V667" s="28"/>
      <c r="W667" s="28"/>
      <c r="X667" s="28"/>
      <c r="Y667" s="28"/>
      <c r="Z667" s="28"/>
      <c r="AA667" s="28"/>
      <c r="AB667" s="28"/>
      <c r="AC667" s="28"/>
    </row>
    <row r="668" ht="78.0" customHeight="1">
      <c r="A668" s="48">
        <v>45589.0</v>
      </c>
      <c r="B668" s="50" t="s">
        <v>5112</v>
      </c>
      <c r="C668" s="50" t="s">
        <v>5114</v>
      </c>
      <c r="D668" s="50"/>
      <c r="E668" s="52"/>
      <c r="F668" s="52"/>
      <c r="G668" s="50" t="s">
        <v>5115</v>
      </c>
      <c r="H668" s="52"/>
      <c r="I668" s="52"/>
      <c r="J668" s="52"/>
      <c r="K668" s="52"/>
      <c r="L668" s="54"/>
      <c r="M668" s="54"/>
      <c r="N668" s="54"/>
      <c r="O668" s="54"/>
      <c r="P668" s="54"/>
      <c r="Q668" s="54"/>
      <c r="R668" s="54"/>
      <c r="S668" s="54"/>
      <c r="T668" s="54"/>
      <c r="U668" s="54"/>
      <c r="V668" s="54"/>
      <c r="W668" s="54"/>
      <c r="X668" s="54"/>
      <c r="Y668" s="54"/>
      <c r="Z668" s="54"/>
      <c r="AA668" s="54"/>
      <c r="AB668" s="54"/>
      <c r="AC668" s="54"/>
    </row>
    <row r="669" ht="78.0" customHeight="1">
      <c r="A669" s="769">
        <v>45589.0</v>
      </c>
      <c r="B669" s="21" t="s">
        <v>5116</v>
      </c>
      <c r="C669" s="21" t="s">
        <v>5117</v>
      </c>
      <c r="D669" s="21"/>
      <c r="E669" s="26"/>
      <c r="F669" s="26"/>
      <c r="G669" s="26"/>
      <c r="H669" s="26"/>
      <c r="I669" s="26"/>
      <c r="J669" s="26"/>
      <c r="K669" s="26"/>
      <c r="L669" s="28"/>
      <c r="M669" s="28"/>
      <c r="N669" s="28"/>
      <c r="O669" s="28"/>
      <c r="P669" s="28"/>
      <c r="Q669" s="28"/>
      <c r="R669" s="28"/>
      <c r="S669" s="28"/>
      <c r="T669" s="28"/>
      <c r="U669" s="28"/>
      <c r="V669" s="28"/>
      <c r="W669" s="28"/>
      <c r="X669" s="28"/>
      <c r="Y669" s="28"/>
      <c r="Z669" s="28"/>
      <c r="AA669" s="28"/>
      <c r="AB669" s="28"/>
      <c r="AC669" s="28"/>
    </row>
    <row r="670" ht="78.0" customHeight="1">
      <c r="A670" s="48">
        <v>45589.0</v>
      </c>
      <c r="B670" s="50" t="s">
        <v>5119</v>
      </c>
      <c r="C670" s="50" t="s">
        <v>5121</v>
      </c>
      <c r="D670" s="50"/>
      <c r="E670" s="52"/>
      <c r="F670" s="52"/>
      <c r="G670" s="50" t="s">
        <v>5122</v>
      </c>
      <c r="H670" s="50" t="s">
        <v>5124</v>
      </c>
      <c r="I670" s="50" t="s">
        <v>5125</v>
      </c>
      <c r="J670" s="52"/>
      <c r="K670" s="52"/>
      <c r="L670" s="54"/>
      <c r="M670" s="54"/>
      <c r="N670" s="54"/>
      <c r="O670" s="54"/>
      <c r="P670" s="54"/>
      <c r="Q670" s="54"/>
      <c r="R670" s="54"/>
      <c r="S670" s="54"/>
      <c r="T670" s="54"/>
      <c r="U670" s="54"/>
      <c r="V670" s="54"/>
      <c r="W670" s="54"/>
      <c r="X670" s="54"/>
      <c r="Y670" s="54"/>
      <c r="Z670" s="54"/>
      <c r="AA670" s="54"/>
      <c r="AB670" s="54"/>
      <c r="AC670" s="54"/>
    </row>
    <row r="671" ht="78.0" customHeight="1">
      <c r="A671" s="769">
        <v>45589.0</v>
      </c>
      <c r="B671" s="21" t="s">
        <v>5126</v>
      </c>
      <c r="C671" s="21" t="s">
        <v>5127</v>
      </c>
      <c r="D671" s="21"/>
      <c r="E671" s="26"/>
      <c r="F671" s="26"/>
      <c r="G671" s="21" t="s">
        <v>5130</v>
      </c>
      <c r="H671" s="26"/>
      <c r="I671" s="26"/>
      <c r="J671" s="26"/>
      <c r="K671" s="26"/>
      <c r="L671" s="28"/>
      <c r="M671" s="28"/>
      <c r="N671" s="28"/>
      <c r="O671" s="28"/>
      <c r="P671" s="28"/>
      <c r="Q671" s="28"/>
      <c r="R671" s="28"/>
      <c r="S671" s="28"/>
      <c r="T671" s="28"/>
      <c r="U671" s="28"/>
      <c r="V671" s="28"/>
      <c r="W671" s="28"/>
      <c r="X671" s="28"/>
      <c r="Y671" s="28"/>
      <c r="Z671" s="28"/>
      <c r="AA671" s="28"/>
      <c r="AB671" s="28"/>
      <c r="AC671" s="28"/>
    </row>
    <row r="672" ht="78.0" customHeight="1">
      <c r="A672" s="48">
        <v>45589.0</v>
      </c>
      <c r="B672" s="50" t="s">
        <v>5131</v>
      </c>
      <c r="C672" s="50" t="s">
        <v>5133</v>
      </c>
      <c r="D672" s="50"/>
      <c r="E672" s="52"/>
      <c r="F672" s="52"/>
      <c r="G672" s="50" t="s">
        <v>5135</v>
      </c>
      <c r="H672" s="50" t="s">
        <v>5136</v>
      </c>
      <c r="I672" s="50" t="s">
        <v>5138</v>
      </c>
      <c r="J672" s="50" t="s">
        <v>5139</v>
      </c>
      <c r="K672" s="52"/>
      <c r="L672" s="54"/>
      <c r="M672" s="54"/>
      <c r="N672" s="54"/>
      <c r="O672" s="54"/>
      <c r="P672" s="54"/>
      <c r="Q672" s="54"/>
      <c r="R672" s="54"/>
      <c r="S672" s="54"/>
      <c r="T672" s="54"/>
      <c r="U672" s="54"/>
      <c r="V672" s="54"/>
      <c r="W672" s="54"/>
      <c r="X672" s="54"/>
      <c r="Y672" s="54"/>
      <c r="Z672" s="54"/>
      <c r="AA672" s="54"/>
      <c r="AB672" s="54"/>
      <c r="AC672" s="54"/>
    </row>
    <row r="673" ht="78.0" customHeight="1">
      <c r="A673" s="769">
        <v>45589.0</v>
      </c>
      <c r="B673" s="21" t="s">
        <v>5141</v>
      </c>
      <c r="C673" s="21" t="s">
        <v>5142</v>
      </c>
      <c r="D673" s="21"/>
      <c r="E673" s="26"/>
      <c r="F673" s="26"/>
      <c r="G673" s="26"/>
      <c r="H673" s="26"/>
      <c r="I673" s="21" t="s">
        <v>5144</v>
      </c>
      <c r="J673" s="26"/>
      <c r="K673" s="26"/>
      <c r="L673" s="28"/>
      <c r="M673" s="28"/>
      <c r="N673" s="28"/>
      <c r="O673" s="28"/>
      <c r="P673" s="28"/>
      <c r="Q673" s="28"/>
      <c r="R673" s="28"/>
      <c r="S673" s="28"/>
      <c r="T673" s="28"/>
      <c r="U673" s="28"/>
      <c r="V673" s="28"/>
      <c r="W673" s="28"/>
      <c r="X673" s="28"/>
      <c r="Y673" s="28"/>
      <c r="Z673" s="28"/>
      <c r="AA673" s="28"/>
      <c r="AB673" s="28"/>
      <c r="AC673" s="28"/>
    </row>
    <row r="674" ht="78.0" customHeight="1">
      <c r="A674" s="48">
        <v>45589.0</v>
      </c>
      <c r="B674" s="50" t="s">
        <v>5147</v>
      </c>
      <c r="C674" s="50" t="s">
        <v>5148</v>
      </c>
      <c r="D674" s="50"/>
      <c r="E674" s="52"/>
      <c r="F674" s="52"/>
      <c r="G674" s="50" t="s">
        <v>5149</v>
      </c>
      <c r="H674" s="52"/>
      <c r="I674" s="52"/>
      <c r="J674" s="52"/>
      <c r="K674" s="52"/>
      <c r="L674" s="54"/>
      <c r="M674" s="54"/>
      <c r="N674" s="54"/>
      <c r="O674" s="54"/>
      <c r="P674" s="54"/>
      <c r="Q674" s="54"/>
      <c r="R674" s="54"/>
      <c r="S674" s="54"/>
      <c r="T674" s="54"/>
      <c r="U674" s="54"/>
      <c r="V674" s="54"/>
      <c r="W674" s="54"/>
      <c r="X674" s="54"/>
      <c r="Y674" s="54"/>
      <c r="Z674" s="54"/>
      <c r="AA674" s="54"/>
      <c r="AB674" s="54"/>
      <c r="AC674" s="54"/>
    </row>
    <row r="675" ht="78.0" customHeight="1">
      <c r="A675" s="769">
        <v>45589.0</v>
      </c>
      <c r="B675" s="21" t="s">
        <v>5154</v>
      </c>
      <c r="C675" s="26"/>
      <c r="D675" s="21"/>
      <c r="E675" s="26"/>
      <c r="F675" s="26"/>
      <c r="G675" s="26"/>
      <c r="H675" s="26"/>
      <c r="I675" s="26"/>
      <c r="J675" s="26"/>
      <c r="K675" s="26"/>
      <c r="L675" s="26"/>
      <c r="M675" s="28"/>
      <c r="N675" s="28"/>
      <c r="O675" s="28"/>
      <c r="P675" s="28"/>
      <c r="Q675" s="28"/>
      <c r="R675" s="28"/>
      <c r="S675" s="28"/>
      <c r="T675" s="28"/>
      <c r="U675" s="28"/>
      <c r="V675" s="28"/>
      <c r="W675" s="28"/>
      <c r="X675" s="28"/>
      <c r="Y675" s="28"/>
      <c r="Z675" s="28"/>
      <c r="AA675" s="28"/>
      <c r="AB675" s="28"/>
      <c r="AC675" s="28"/>
    </row>
    <row r="676" ht="78.0" customHeight="1">
      <c r="A676" s="48">
        <v>45589.0</v>
      </c>
      <c r="B676" s="50" t="s">
        <v>5158</v>
      </c>
      <c r="C676" s="50" t="s">
        <v>5159</v>
      </c>
      <c r="D676" s="50"/>
      <c r="E676" s="52"/>
      <c r="F676" s="52"/>
      <c r="G676" s="52"/>
      <c r="H676" s="52"/>
      <c r="I676" s="52"/>
      <c r="J676" s="52"/>
      <c r="K676" s="52"/>
      <c r="L676" s="54"/>
      <c r="M676" s="855" t="s">
        <v>1</v>
      </c>
      <c r="N676" s="54"/>
      <c r="O676" s="54"/>
      <c r="P676" s="54"/>
      <c r="Q676" s="54"/>
      <c r="R676" s="54"/>
      <c r="S676" s="54"/>
      <c r="T676" s="54"/>
      <c r="U676" s="54"/>
      <c r="V676" s="54"/>
      <c r="W676" s="54"/>
      <c r="X676" s="54"/>
      <c r="Y676" s="54"/>
      <c r="Z676" s="54"/>
      <c r="AA676" s="54"/>
      <c r="AB676" s="54"/>
      <c r="AC676" s="54"/>
    </row>
    <row r="677" ht="78.0" customHeight="1">
      <c r="A677" s="769">
        <v>45589.0</v>
      </c>
      <c r="B677" s="21" t="s">
        <v>5163</v>
      </c>
      <c r="C677" s="21" t="s">
        <v>5164</v>
      </c>
      <c r="D677" s="21"/>
      <c r="E677" s="26"/>
      <c r="F677" s="26"/>
      <c r="G677" s="21" t="s">
        <v>5166</v>
      </c>
      <c r="H677" s="26"/>
      <c r="I677" s="26"/>
      <c r="J677" s="26"/>
      <c r="K677" s="26"/>
      <c r="L677" s="28"/>
      <c r="M677" s="28"/>
      <c r="N677" s="28"/>
      <c r="O677" s="28"/>
      <c r="P677" s="28"/>
      <c r="Q677" s="28"/>
      <c r="R677" s="28"/>
      <c r="S677" s="28"/>
      <c r="T677" s="28"/>
      <c r="U677" s="28"/>
      <c r="V677" s="28"/>
      <c r="W677" s="28"/>
      <c r="X677" s="28"/>
      <c r="Y677" s="28"/>
      <c r="Z677" s="28"/>
      <c r="AA677" s="28"/>
      <c r="AB677" s="28"/>
      <c r="AC677" s="28"/>
    </row>
    <row r="678" ht="78.0" customHeight="1">
      <c r="A678" s="48">
        <v>45589.0</v>
      </c>
      <c r="B678" s="50" t="s">
        <v>5168</v>
      </c>
      <c r="C678" s="50" t="s">
        <v>5169</v>
      </c>
      <c r="D678" s="50"/>
      <c r="E678" s="52"/>
      <c r="F678" s="52"/>
      <c r="G678" s="50" t="s">
        <v>5171</v>
      </c>
      <c r="H678" s="52"/>
      <c r="I678" s="52"/>
      <c r="J678" s="52"/>
      <c r="K678" s="52"/>
      <c r="L678" s="54"/>
      <c r="M678" s="54"/>
      <c r="N678" s="54"/>
      <c r="O678" s="54"/>
      <c r="P678" s="54"/>
      <c r="Q678" s="54"/>
      <c r="R678" s="54"/>
      <c r="S678" s="54"/>
      <c r="T678" s="54"/>
      <c r="U678" s="54"/>
      <c r="V678" s="54"/>
      <c r="W678" s="54"/>
      <c r="X678" s="54"/>
      <c r="Y678" s="54"/>
      <c r="Z678" s="54"/>
      <c r="AA678" s="54"/>
      <c r="AB678" s="54"/>
      <c r="AC678" s="54"/>
    </row>
    <row r="679" ht="78.0" customHeight="1">
      <c r="A679" s="769">
        <v>45589.0</v>
      </c>
      <c r="B679" s="21" t="s">
        <v>5173</v>
      </c>
      <c r="C679" s="21" t="s">
        <v>5174</v>
      </c>
      <c r="D679" s="21"/>
      <c r="E679" s="26"/>
      <c r="F679" s="26"/>
      <c r="G679" s="26"/>
      <c r="H679" s="21" t="s">
        <v>5175</v>
      </c>
      <c r="I679" s="26"/>
      <c r="J679" s="26"/>
      <c r="K679" s="26"/>
      <c r="L679" s="28"/>
      <c r="M679" s="26"/>
      <c r="N679" s="28"/>
      <c r="O679" s="28"/>
      <c r="P679" s="28"/>
      <c r="Q679" s="28"/>
      <c r="R679" s="28"/>
      <c r="S679" s="28"/>
      <c r="T679" s="28"/>
      <c r="U679" s="28"/>
      <c r="V679" s="28"/>
      <c r="W679" s="28"/>
      <c r="X679" s="28"/>
      <c r="Y679" s="28"/>
      <c r="Z679" s="28"/>
      <c r="AA679" s="28"/>
      <c r="AB679" s="28"/>
      <c r="AC679" s="28"/>
    </row>
    <row r="680" ht="78.0" customHeight="1">
      <c r="A680" s="48">
        <v>45589.0</v>
      </c>
      <c r="B680" s="50" t="s">
        <v>5178</v>
      </c>
      <c r="C680" s="50" t="s">
        <v>5179</v>
      </c>
      <c r="D680" s="50"/>
      <c r="E680" s="52"/>
      <c r="F680" s="52"/>
      <c r="G680" s="52"/>
      <c r="H680" s="52"/>
      <c r="I680" s="52"/>
      <c r="J680" s="52"/>
      <c r="K680" s="52"/>
      <c r="L680" s="54"/>
      <c r="M680" s="54"/>
      <c r="N680" s="54"/>
      <c r="O680" s="54"/>
      <c r="P680" s="54"/>
      <c r="Q680" s="54"/>
      <c r="R680" s="54"/>
      <c r="S680" s="54"/>
      <c r="T680" s="54"/>
      <c r="U680" s="54"/>
      <c r="V680" s="54"/>
      <c r="W680" s="54"/>
      <c r="X680" s="54"/>
      <c r="Y680" s="54"/>
      <c r="Z680" s="54"/>
      <c r="AA680" s="54"/>
      <c r="AB680" s="54"/>
      <c r="AC680" s="54"/>
    </row>
    <row r="681" ht="78.0" customHeight="1">
      <c r="A681" s="769">
        <v>45589.0</v>
      </c>
      <c r="B681" s="21" t="s">
        <v>5181</v>
      </c>
      <c r="C681" s="21" t="s">
        <v>1833</v>
      </c>
      <c r="D681" s="21"/>
      <c r="E681" s="26"/>
      <c r="F681" s="26"/>
      <c r="G681" s="26"/>
      <c r="H681" s="26"/>
      <c r="I681" s="26"/>
      <c r="J681" s="26"/>
      <c r="K681" s="26"/>
      <c r="L681" s="28"/>
      <c r="M681" s="28"/>
      <c r="N681" s="28"/>
      <c r="O681" s="28"/>
      <c r="P681" s="28"/>
      <c r="Q681" s="28"/>
      <c r="R681" s="28"/>
      <c r="S681" s="28"/>
      <c r="T681" s="28"/>
      <c r="U681" s="28"/>
      <c r="V681" s="28"/>
      <c r="W681" s="28"/>
      <c r="X681" s="28"/>
      <c r="Y681" s="28"/>
      <c r="Z681" s="28"/>
      <c r="AA681" s="28"/>
      <c r="AB681" s="28"/>
      <c r="AC681" s="28"/>
    </row>
    <row r="682" ht="78.0" customHeight="1">
      <c r="A682" s="48">
        <v>45589.0</v>
      </c>
      <c r="B682" s="50" t="s">
        <v>5183</v>
      </c>
      <c r="C682" s="50" t="s">
        <v>5184</v>
      </c>
      <c r="D682" s="50"/>
      <c r="E682" s="52"/>
      <c r="F682" s="50" t="s">
        <v>5185</v>
      </c>
      <c r="G682" s="50" t="s">
        <v>5186</v>
      </c>
      <c r="H682" s="52"/>
      <c r="I682" s="52"/>
      <c r="J682" s="52"/>
      <c r="K682" s="52"/>
      <c r="L682" s="54"/>
      <c r="M682" s="54"/>
      <c r="N682" s="54"/>
      <c r="O682" s="54"/>
      <c r="P682" s="54"/>
      <c r="Q682" s="54"/>
      <c r="R682" s="54"/>
      <c r="S682" s="54"/>
      <c r="T682" s="54"/>
      <c r="U682" s="54"/>
      <c r="V682" s="54"/>
      <c r="W682" s="54"/>
      <c r="X682" s="54"/>
      <c r="Y682" s="54"/>
      <c r="Z682" s="54"/>
      <c r="AA682" s="54"/>
      <c r="AB682" s="54"/>
      <c r="AC682" s="54"/>
    </row>
    <row r="683" ht="78.0" customHeight="1">
      <c r="A683" s="769">
        <v>45589.0</v>
      </c>
      <c r="B683" s="21" t="s">
        <v>5187</v>
      </c>
      <c r="C683" s="21" t="s">
        <v>5188</v>
      </c>
      <c r="D683" s="21"/>
      <c r="E683" s="26"/>
      <c r="F683" s="26"/>
      <c r="G683" s="26"/>
      <c r="H683" s="26"/>
      <c r="I683" s="26"/>
      <c r="J683" s="26"/>
      <c r="K683" s="26"/>
      <c r="L683" s="28"/>
      <c r="M683" s="28"/>
      <c r="N683" s="28"/>
      <c r="O683" s="28"/>
      <c r="P683" s="28"/>
      <c r="Q683" s="28"/>
      <c r="R683" s="28"/>
      <c r="S683" s="28"/>
      <c r="T683" s="28"/>
      <c r="U683" s="28"/>
      <c r="V683" s="28"/>
      <c r="W683" s="28"/>
      <c r="X683" s="28"/>
      <c r="Y683" s="28"/>
      <c r="Z683" s="28"/>
      <c r="AA683" s="28"/>
      <c r="AB683" s="28"/>
      <c r="AC683" s="28"/>
    </row>
    <row r="684" ht="78.0" customHeight="1">
      <c r="A684" s="48">
        <v>45589.0</v>
      </c>
      <c r="B684" s="50" t="s">
        <v>5190</v>
      </c>
      <c r="C684" s="50" t="s">
        <v>3081</v>
      </c>
      <c r="D684" s="50"/>
      <c r="E684" s="52"/>
      <c r="F684" s="52"/>
      <c r="G684" s="52"/>
      <c r="H684" s="52"/>
      <c r="I684" s="52"/>
      <c r="J684" s="52"/>
      <c r="K684" s="52"/>
      <c r="L684" s="54"/>
      <c r="M684" s="54"/>
      <c r="N684" s="54"/>
      <c r="O684" s="54"/>
      <c r="P684" s="54"/>
      <c r="Q684" s="54"/>
      <c r="R684" s="54"/>
      <c r="S684" s="54"/>
      <c r="T684" s="54"/>
      <c r="U684" s="54"/>
      <c r="V684" s="54"/>
      <c r="W684" s="54"/>
      <c r="X684" s="54"/>
      <c r="Y684" s="54"/>
      <c r="Z684" s="54"/>
      <c r="AA684" s="54"/>
      <c r="AB684" s="54"/>
      <c r="AC684" s="54"/>
    </row>
    <row r="685" ht="78.0" customHeight="1">
      <c r="A685" s="48">
        <v>45589.0</v>
      </c>
      <c r="B685" s="50" t="s">
        <v>5192</v>
      </c>
      <c r="C685" s="50" t="s">
        <v>5193</v>
      </c>
      <c r="D685" s="50"/>
      <c r="E685" s="52"/>
      <c r="F685" s="52"/>
      <c r="G685" s="52"/>
      <c r="H685" s="52"/>
      <c r="I685" s="52"/>
      <c r="J685" s="52"/>
      <c r="K685" s="52"/>
      <c r="L685" s="54"/>
      <c r="M685" s="54"/>
      <c r="N685" s="54"/>
      <c r="O685" s="54"/>
      <c r="P685" s="54"/>
      <c r="Q685" s="54"/>
      <c r="R685" s="54"/>
      <c r="S685" s="54"/>
      <c r="T685" s="54"/>
      <c r="U685" s="54"/>
      <c r="V685" s="54"/>
      <c r="W685" s="54"/>
      <c r="X685" s="54"/>
      <c r="Y685" s="54"/>
      <c r="Z685" s="54"/>
      <c r="AA685" s="54"/>
      <c r="AB685" s="54"/>
      <c r="AC685" s="54"/>
    </row>
    <row r="686" ht="204.75" customHeight="1">
      <c r="A686" s="769">
        <v>45589.0</v>
      </c>
      <c r="B686" s="21" t="s">
        <v>5194</v>
      </c>
      <c r="C686" s="21" t="s">
        <v>5195</v>
      </c>
      <c r="D686" s="21"/>
      <c r="E686" s="26"/>
      <c r="F686" s="26"/>
      <c r="G686" s="21" t="s">
        <v>5196</v>
      </c>
      <c r="H686" s="21" t="s">
        <v>5197</v>
      </c>
      <c r="I686" s="21" t="s">
        <v>5198</v>
      </c>
      <c r="J686" s="26"/>
      <c r="K686" s="26"/>
      <c r="L686" s="28"/>
      <c r="M686" s="28"/>
      <c r="N686" s="28"/>
      <c r="O686" s="28"/>
      <c r="P686" s="28"/>
      <c r="Q686" s="28"/>
      <c r="R686" s="28"/>
      <c r="S686" s="28"/>
      <c r="T686" s="28"/>
      <c r="U686" s="28"/>
      <c r="V686" s="28"/>
      <c r="W686" s="28"/>
      <c r="X686" s="28"/>
      <c r="Y686" s="28"/>
      <c r="Z686" s="28"/>
      <c r="AA686" s="28"/>
      <c r="AB686" s="28"/>
      <c r="AC686" s="28"/>
    </row>
    <row r="687" ht="78.0" customHeight="1">
      <c r="A687" s="48">
        <v>45588.0</v>
      </c>
      <c r="B687" s="50" t="s">
        <v>5199</v>
      </c>
      <c r="C687" s="50" t="s">
        <v>5200</v>
      </c>
      <c r="D687" s="50"/>
      <c r="E687" s="52"/>
      <c r="F687" s="52"/>
      <c r="G687" s="50" t="s">
        <v>5201</v>
      </c>
      <c r="H687" s="50" t="s">
        <v>5202</v>
      </c>
      <c r="I687" s="52"/>
      <c r="J687" s="52"/>
      <c r="K687" s="52"/>
      <c r="L687" s="54"/>
      <c r="M687" s="54"/>
      <c r="N687" s="54"/>
      <c r="O687" s="54"/>
      <c r="P687" s="54"/>
      <c r="Q687" s="54"/>
      <c r="R687" s="54"/>
      <c r="S687" s="54"/>
      <c r="T687" s="54"/>
      <c r="U687" s="54"/>
      <c r="V687" s="54"/>
      <c r="W687" s="54"/>
      <c r="X687" s="54"/>
      <c r="Y687" s="54"/>
      <c r="Z687" s="54"/>
      <c r="AA687" s="54"/>
      <c r="AB687" s="54"/>
      <c r="AC687" s="54"/>
    </row>
    <row r="688" ht="78.0" customHeight="1">
      <c r="A688" s="769">
        <v>45588.0</v>
      </c>
      <c r="B688" s="21" t="s">
        <v>5205</v>
      </c>
      <c r="C688" s="21" t="s">
        <v>5206</v>
      </c>
      <c r="D688" s="21"/>
      <c r="E688" s="26"/>
      <c r="F688" s="26"/>
      <c r="G688" s="21" t="s">
        <v>5207</v>
      </c>
      <c r="H688" s="26"/>
      <c r="I688" s="26"/>
      <c r="J688" s="26"/>
      <c r="K688" s="26"/>
      <c r="L688" s="28"/>
      <c r="M688" s="28"/>
      <c r="N688" s="28"/>
      <c r="O688" s="28"/>
      <c r="P688" s="28"/>
      <c r="Q688" s="28"/>
      <c r="R688" s="28"/>
      <c r="S688" s="28"/>
      <c r="T688" s="28"/>
      <c r="U688" s="28"/>
      <c r="V688" s="28"/>
      <c r="W688" s="28"/>
      <c r="X688" s="28"/>
      <c r="Y688" s="28"/>
      <c r="Z688" s="28"/>
      <c r="AA688" s="28"/>
      <c r="AB688" s="28"/>
      <c r="AC688" s="28"/>
    </row>
    <row r="689" ht="78.0" customHeight="1">
      <c r="A689" s="48">
        <v>45588.0</v>
      </c>
      <c r="B689" s="50" t="s">
        <v>5208</v>
      </c>
      <c r="C689" s="50" t="s">
        <v>5209</v>
      </c>
      <c r="D689" s="50"/>
      <c r="E689" s="52"/>
      <c r="F689" s="52"/>
      <c r="G689" s="52"/>
      <c r="H689" s="52"/>
      <c r="I689" s="52"/>
      <c r="J689" s="52"/>
      <c r="K689" s="52"/>
      <c r="L689" s="54"/>
      <c r="M689" s="54"/>
      <c r="N689" s="54"/>
      <c r="O689" s="54"/>
      <c r="P689" s="54"/>
      <c r="Q689" s="54"/>
      <c r="R689" s="54"/>
      <c r="S689" s="54"/>
      <c r="T689" s="54"/>
      <c r="U689" s="54"/>
      <c r="V689" s="54"/>
      <c r="W689" s="54"/>
      <c r="X689" s="54"/>
      <c r="Y689" s="54"/>
      <c r="Z689" s="54"/>
      <c r="AA689" s="54"/>
      <c r="AB689" s="54"/>
      <c r="AC689" s="54"/>
    </row>
    <row r="690" ht="78.0" customHeight="1">
      <c r="A690" s="769">
        <v>45588.0</v>
      </c>
      <c r="B690" s="21" t="s">
        <v>5210</v>
      </c>
      <c r="C690" s="21" t="s">
        <v>5212</v>
      </c>
      <c r="D690" s="21"/>
      <c r="E690" s="26"/>
      <c r="F690" s="26"/>
      <c r="G690" s="21" t="s">
        <v>5213</v>
      </c>
      <c r="H690" s="21" t="s">
        <v>5215</v>
      </c>
      <c r="I690" s="21" t="s">
        <v>5216</v>
      </c>
      <c r="J690" s="26"/>
      <c r="K690" s="26"/>
      <c r="L690" s="28"/>
      <c r="M690" s="28"/>
      <c r="N690" s="28"/>
      <c r="O690" s="28"/>
      <c r="P690" s="28"/>
      <c r="Q690" s="28"/>
      <c r="R690" s="28"/>
      <c r="S690" s="28"/>
      <c r="T690" s="28"/>
      <c r="U690" s="28"/>
      <c r="V690" s="28"/>
      <c r="W690" s="28"/>
      <c r="X690" s="28"/>
      <c r="Y690" s="28"/>
      <c r="Z690" s="28"/>
      <c r="AA690" s="28"/>
      <c r="AB690" s="28"/>
      <c r="AC690" s="28"/>
    </row>
    <row r="691" ht="78.0" customHeight="1">
      <c r="A691" s="48">
        <v>45588.0</v>
      </c>
      <c r="B691" s="50" t="s">
        <v>5217</v>
      </c>
      <c r="C691" s="50" t="s">
        <v>5218</v>
      </c>
      <c r="D691" s="50"/>
      <c r="E691" s="52"/>
      <c r="F691" s="52"/>
      <c r="G691" s="52"/>
      <c r="H691" s="52"/>
      <c r="I691" s="52"/>
      <c r="J691" s="52"/>
      <c r="K691" s="52"/>
      <c r="L691" s="54"/>
      <c r="M691" s="54"/>
      <c r="N691" s="54"/>
      <c r="O691" s="54"/>
      <c r="P691" s="54"/>
      <c r="Q691" s="54"/>
      <c r="R691" s="54"/>
      <c r="S691" s="54"/>
      <c r="T691" s="54"/>
      <c r="U691" s="54"/>
      <c r="V691" s="54"/>
      <c r="W691" s="54"/>
      <c r="X691" s="54"/>
      <c r="Y691" s="54"/>
      <c r="Z691" s="54"/>
      <c r="AA691" s="54"/>
      <c r="AB691" s="54"/>
      <c r="AC691" s="54"/>
    </row>
    <row r="692" ht="78.0" customHeight="1">
      <c r="A692" s="769">
        <v>45588.0</v>
      </c>
      <c r="B692" s="21" t="s">
        <v>5221</v>
      </c>
      <c r="C692" s="21" t="s">
        <v>5222</v>
      </c>
      <c r="D692" s="21"/>
      <c r="E692" s="26"/>
      <c r="F692" s="26"/>
      <c r="G692" s="21" t="s">
        <v>5223</v>
      </c>
      <c r="H692" s="21" t="s">
        <v>5224</v>
      </c>
      <c r="I692" s="26"/>
      <c r="J692" s="26"/>
      <c r="K692" s="26"/>
      <c r="L692" s="28"/>
      <c r="M692" s="28"/>
      <c r="N692" s="28"/>
      <c r="O692" s="28"/>
      <c r="P692" s="28"/>
      <c r="Q692" s="28"/>
      <c r="R692" s="28"/>
      <c r="S692" s="28"/>
      <c r="T692" s="28"/>
      <c r="U692" s="28"/>
      <c r="V692" s="28"/>
      <c r="W692" s="28"/>
      <c r="X692" s="28"/>
      <c r="Y692" s="28"/>
      <c r="Z692" s="28"/>
      <c r="AA692" s="28"/>
      <c r="AB692" s="28"/>
      <c r="AC692" s="28"/>
    </row>
    <row r="693" ht="78.0" customHeight="1">
      <c r="A693" s="48">
        <v>45588.0</v>
      </c>
      <c r="B693" s="50" t="s">
        <v>5225</v>
      </c>
      <c r="C693" s="50" t="s">
        <v>5226</v>
      </c>
      <c r="D693" s="50"/>
      <c r="E693" s="52"/>
      <c r="F693" s="52"/>
      <c r="G693" s="50" t="s">
        <v>5227</v>
      </c>
      <c r="H693" s="50" t="s">
        <v>5229</v>
      </c>
      <c r="I693" s="50" t="s">
        <v>5230</v>
      </c>
      <c r="J693" s="52"/>
      <c r="K693" s="52"/>
      <c r="L693" s="54"/>
      <c r="M693" s="54"/>
      <c r="N693" s="54"/>
      <c r="O693" s="54"/>
      <c r="P693" s="54"/>
      <c r="Q693" s="54"/>
      <c r="R693" s="54"/>
      <c r="S693" s="54"/>
      <c r="T693" s="54"/>
      <c r="U693" s="54"/>
      <c r="V693" s="54"/>
      <c r="W693" s="54"/>
      <c r="X693" s="54"/>
      <c r="Y693" s="54"/>
      <c r="Z693" s="54"/>
      <c r="AA693" s="54"/>
      <c r="AB693" s="54"/>
      <c r="AC693" s="54"/>
    </row>
    <row r="694" ht="78.0" customHeight="1">
      <c r="A694" s="769">
        <v>45588.0</v>
      </c>
      <c r="B694" s="21" t="s">
        <v>5231</v>
      </c>
      <c r="C694" s="21" t="s">
        <v>5232</v>
      </c>
      <c r="D694" s="21"/>
      <c r="E694" s="26"/>
      <c r="F694" s="26"/>
      <c r="G694" s="21" t="s">
        <v>5234</v>
      </c>
      <c r="H694" s="26"/>
      <c r="I694" s="26"/>
      <c r="J694" s="26"/>
      <c r="K694" s="26"/>
      <c r="L694" s="28"/>
      <c r="M694" s="28"/>
      <c r="N694" s="28"/>
      <c r="O694" s="28"/>
      <c r="P694" s="28"/>
      <c r="Q694" s="28"/>
      <c r="R694" s="28"/>
      <c r="S694" s="28"/>
      <c r="T694" s="28"/>
      <c r="U694" s="28"/>
      <c r="V694" s="28"/>
      <c r="W694" s="28"/>
      <c r="X694" s="28"/>
      <c r="Y694" s="28"/>
      <c r="Z694" s="28"/>
      <c r="AA694" s="28"/>
      <c r="AB694" s="28"/>
      <c r="AC694" s="28"/>
    </row>
    <row r="695" ht="78.0" customHeight="1">
      <c r="A695" s="48">
        <v>45588.0</v>
      </c>
      <c r="B695" s="50" t="s">
        <v>5236</v>
      </c>
      <c r="C695" s="50" t="s">
        <v>5237</v>
      </c>
      <c r="D695" s="50"/>
      <c r="E695" s="52"/>
      <c r="F695" s="52"/>
      <c r="G695" s="50" t="s">
        <v>5238</v>
      </c>
      <c r="H695" s="52"/>
      <c r="I695" s="52"/>
      <c r="J695" s="52"/>
      <c r="K695" s="52"/>
      <c r="L695" s="54"/>
      <c r="M695" s="54"/>
      <c r="N695" s="54"/>
      <c r="O695" s="54"/>
      <c r="P695" s="54"/>
      <c r="Q695" s="54"/>
      <c r="R695" s="54"/>
      <c r="S695" s="54"/>
      <c r="T695" s="54"/>
      <c r="U695" s="54"/>
      <c r="V695" s="54"/>
      <c r="W695" s="54"/>
      <c r="X695" s="54"/>
      <c r="Y695" s="54"/>
      <c r="Z695" s="54"/>
      <c r="AA695" s="54"/>
      <c r="AB695" s="54"/>
      <c r="AC695" s="54"/>
    </row>
    <row r="696" ht="78.0" customHeight="1">
      <c r="A696" s="769">
        <v>45588.0</v>
      </c>
      <c r="B696" s="21" t="s">
        <v>5240</v>
      </c>
      <c r="C696" s="21" t="s">
        <v>5241</v>
      </c>
      <c r="D696" s="21"/>
      <c r="E696" s="26"/>
      <c r="F696" s="26"/>
      <c r="G696" s="21" t="s">
        <v>5242</v>
      </c>
      <c r="H696" s="21" t="s">
        <v>5243</v>
      </c>
      <c r="I696" s="21" t="s">
        <v>5244</v>
      </c>
      <c r="J696" s="21" t="s">
        <v>5245</v>
      </c>
      <c r="K696" s="21" t="s">
        <v>5246</v>
      </c>
      <c r="L696" s="28"/>
      <c r="M696" s="28"/>
      <c r="N696" s="28"/>
      <c r="O696" s="28"/>
      <c r="P696" s="28"/>
      <c r="Q696" s="28"/>
      <c r="R696" s="28"/>
      <c r="S696" s="28"/>
      <c r="T696" s="28"/>
      <c r="U696" s="28"/>
      <c r="V696" s="28"/>
      <c r="W696" s="28"/>
      <c r="X696" s="28"/>
      <c r="Y696" s="28"/>
      <c r="Z696" s="28"/>
      <c r="AA696" s="28"/>
      <c r="AB696" s="28"/>
      <c r="AC696" s="28"/>
    </row>
    <row r="697" ht="78.0" customHeight="1">
      <c r="A697" s="48">
        <v>45588.0</v>
      </c>
      <c r="B697" s="50" t="s">
        <v>5248</v>
      </c>
      <c r="C697" s="50" t="s">
        <v>5249</v>
      </c>
      <c r="D697" s="50"/>
      <c r="E697" s="52"/>
      <c r="F697" s="52"/>
      <c r="G697" s="50" t="s">
        <v>5250</v>
      </c>
      <c r="H697" s="50" t="s">
        <v>5251</v>
      </c>
      <c r="I697" s="50" t="s">
        <v>5252</v>
      </c>
      <c r="J697" s="50" t="s">
        <v>5253</v>
      </c>
      <c r="K697" s="50" t="s">
        <v>5254</v>
      </c>
      <c r="L697" s="855" t="s">
        <v>5256</v>
      </c>
      <c r="M697" s="54"/>
      <c r="N697" s="54"/>
      <c r="O697" s="54"/>
      <c r="P697" s="54"/>
      <c r="Q697" s="54"/>
      <c r="R697" s="54"/>
      <c r="S697" s="54"/>
      <c r="T697" s="54"/>
      <c r="U697" s="54"/>
      <c r="V697" s="54"/>
      <c r="W697" s="54"/>
      <c r="X697" s="54"/>
      <c r="Y697" s="54"/>
      <c r="Z697" s="54"/>
      <c r="AA697" s="54"/>
      <c r="AB697" s="54"/>
      <c r="AC697" s="54"/>
    </row>
    <row r="698" ht="78.0" customHeight="1">
      <c r="A698" s="769">
        <v>45588.0</v>
      </c>
      <c r="B698" s="21" t="s">
        <v>5258</v>
      </c>
      <c r="C698" s="21" t="s">
        <v>5259</v>
      </c>
      <c r="D698" s="21"/>
      <c r="E698" s="26"/>
      <c r="F698" s="26"/>
      <c r="G698" s="21" t="s">
        <v>5260</v>
      </c>
      <c r="H698" s="21" t="s">
        <v>5261</v>
      </c>
      <c r="I698" s="26"/>
      <c r="J698" s="26"/>
      <c r="K698" s="26"/>
      <c r="L698" s="28"/>
      <c r="M698" s="28"/>
      <c r="N698" s="28"/>
      <c r="O698" s="28"/>
      <c r="P698" s="28"/>
      <c r="Q698" s="28"/>
      <c r="R698" s="28"/>
      <c r="S698" s="28"/>
      <c r="T698" s="28"/>
      <c r="U698" s="28"/>
      <c r="V698" s="28"/>
      <c r="W698" s="28"/>
      <c r="X698" s="28"/>
      <c r="Y698" s="28"/>
      <c r="Z698" s="28"/>
      <c r="AA698" s="28"/>
      <c r="AB698" s="28"/>
      <c r="AC698" s="28"/>
    </row>
    <row r="699" ht="78.0" customHeight="1">
      <c r="A699" s="48">
        <v>45588.0</v>
      </c>
      <c r="B699" s="50" t="s">
        <v>5263</v>
      </c>
      <c r="C699" s="50" t="s">
        <v>5264</v>
      </c>
      <c r="D699" s="50"/>
      <c r="E699" s="52"/>
      <c r="F699" s="52"/>
      <c r="G699" s="50" t="s">
        <v>5265</v>
      </c>
      <c r="H699" s="52"/>
      <c r="I699" s="52"/>
      <c r="J699" s="52"/>
      <c r="K699" s="52"/>
      <c r="L699" s="54"/>
      <c r="M699" s="54"/>
      <c r="N699" s="54"/>
      <c r="O699" s="54"/>
      <c r="P699" s="54"/>
      <c r="Q699" s="54"/>
      <c r="R699" s="54"/>
      <c r="S699" s="54"/>
      <c r="T699" s="54"/>
      <c r="U699" s="54"/>
      <c r="V699" s="54"/>
      <c r="W699" s="54"/>
      <c r="X699" s="54"/>
      <c r="Y699" s="54"/>
      <c r="Z699" s="54"/>
      <c r="AA699" s="54"/>
      <c r="AB699" s="54"/>
      <c r="AC699" s="54"/>
    </row>
    <row r="700" ht="78.0" customHeight="1">
      <c r="A700" s="769">
        <v>45588.0</v>
      </c>
      <c r="B700" s="21" t="s">
        <v>5267</v>
      </c>
      <c r="C700" s="21" t="s">
        <v>5268</v>
      </c>
      <c r="D700" s="21"/>
      <c r="E700" s="26"/>
      <c r="F700" s="26"/>
      <c r="G700" s="21" t="s">
        <v>666</v>
      </c>
      <c r="H700" s="26"/>
      <c r="I700" s="26"/>
      <c r="J700" s="26"/>
      <c r="K700" s="26"/>
      <c r="L700" s="26"/>
      <c r="M700" s="28"/>
      <c r="N700" s="28"/>
      <c r="O700" s="28"/>
      <c r="P700" s="28"/>
      <c r="Q700" s="28"/>
      <c r="R700" s="28"/>
      <c r="S700" s="28"/>
      <c r="T700" s="28"/>
      <c r="U700" s="28"/>
      <c r="V700" s="28"/>
      <c r="W700" s="28"/>
      <c r="X700" s="28"/>
      <c r="Y700" s="28"/>
      <c r="Z700" s="28"/>
      <c r="AA700" s="28"/>
      <c r="AB700" s="28"/>
      <c r="AC700" s="28"/>
    </row>
    <row r="701" ht="78.0" customHeight="1">
      <c r="A701" s="48">
        <v>45588.0</v>
      </c>
      <c r="B701" s="50" t="s">
        <v>5273</v>
      </c>
      <c r="C701" s="50" t="s">
        <v>5274</v>
      </c>
      <c r="D701" s="50"/>
      <c r="E701" s="52"/>
      <c r="F701" s="52"/>
      <c r="G701" s="52"/>
      <c r="H701" s="52"/>
      <c r="I701" s="52"/>
      <c r="J701" s="52"/>
      <c r="K701" s="52"/>
      <c r="L701" s="54"/>
      <c r="M701" s="54"/>
      <c r="N701" s="54"/>
      <c r="O701" s="54"/>
      <c r="P701" s="54"/>
      <c r="Q701" s="54"/>
      <c r="R701" s="54"/>
      <c r="S701" s="54"/>
      <c r="T701" s="54"/>
      <c r="U701" s="54"/>
      <c r="V701" s="54"/>
      <c r="W701" s="54"/>
      <c r="X701" s="54"/>
      <c r="Y701" s="54"/>
      <c r="Z701" s="54"/>
      <c r="AA701" s="54"/>
      <c r="AB701" s="54"/>
      <c r="AC701" s="54"/>
    </row>
    <row r="702" ht="78.0" customHeight="1">
      <c r="A702" s="769">
        <v>45588.0</v>
      </c>
      <c r="B702" s="21" t="s">
        <v>5276</v>
      </c>
      <c r="C702" s="21" t="s">
        <v>5277</v>
      </c>
      <c r="D702" s="21"/>
      <c r="E702" s="26"/>
      <c r="F702" s="26"/>
      <c r="G702" s="26"/>
      <c r="H702" s="26"/>
      <c r="I702" s="26"/>
      <c r="J702" s="26"/>
      <c r="K702" s="26"/>
      <c r="L702" s="28"/>
      <c r="M702" s="28"/>
      <c r="N702" s="28"/>
      <c r="O702" s="28"/>
      <c r="P702" s="28"/>
      <c r="Q702" s="28"/>
      <c r="R702" s="28"/>
      <c r="S702" s="28"/>
      <c r="T702" s="28"/>
      <c r="U702" s="28"/>
      <c r="V702" s="28"/>
      <c r="W702" s="28"/>
      <c r="X702" s="28"/>
      <c r="Y702" s="28"/>
      <c r="Z702" s="28"/>
      <c r="AA702" s="28"/>
      <c r="AB702" s="28"/>
      <c r="AC702" s="28"/>
    </row>
    <row r="703" ht="78.0" customHeight="1">
      <c r="A703" s="48">
        <v>45588.0</v>
      </c>
      <c r="B703" s="50" t="s">
        <v>5279</v>
      </c>
      <c r="C703" s="50" t="s">
        <v>5280</v>
      </c>
      <c r="D703" s="50"/>
      <c r="E703" s="52"/>
      <c r="F703" s="52"/>
      <c r="G703" s="52"/>
      <c r="H703" s="52"/>
      <c r="I703" s="52"/>
      <c r="J703" s="52"/>
      <c r="K703" s="52"/>
      <c r="L703" s="54"/>
      <c r="M703" s="54"/>
      <c r="N703" s="54"/>
      <c r="O703" s="54"/>
      <c r="P703" s="54"/>
      <c r="Q703" s="54"/>
      <c r="R703" s="54"/>
      <c r="S703" s="54"/>
      <c r="T703" s="54"/>
      <c r="U703" s="54"/>
      <c r="V703" s="54"/>
      <c r="W703" s="54"/>
      <c r="X703" s="54"/>
      <c r="Y703" s="54"/>
      <c r="Z703" s="54"/>
      <c r="AA703" s="54"/>
      <c r="AB703" s="54"/>
      <c r="AC703" s="54"/>
    </row>
    <row r="704" ht="78.0" customHeight="1">
      <c r="A704" s="769">
        <v>45588.0</v>
      </c>
      <c r="B704" s="21" t="s">
        <v>5281</v>
      </c>
      <c r="C704" s="21" t="s">
        <v>5282</v>
      </c>
      <c r="D704" s="21"/>
      <c r="E704" s="26"/>
      <c r="F704" s="26"/>
      <c r="G704" s="26"/>
      <c r="H704" s="26"/>
      <c r="I704" s="26"/>
      <c r="J704" s="26"/>
      <c r="K704" s="26"/>
      <c r="L704" s="28"/>
      <c r="M704" s="28"/>
      <c r="N704" s="28"/>
      <c r="O704" s="28"/>
      <c r="P704" s="28"/>
      <c r="Q704" s="28"/>
      <c r="R704" s="28"/>
      <c r="S704" s="28"/>
      <c r="T704" s="28"/>
      <c r="U704" s="28"/>
      <c r="V704" s="28"/>
      <c r="W704" s="28"/>
      <c r="X704" s="28"/>
      <c r="Y704" s="28"/>
      <c r="Z704" s="28"/>
      <c r="AA704" s="28"/>
      <c r="AB704" s="28"/>
      <c r="AC704" s="28"/>
    </row>
    <row r="705" ht="78.0" customHeight="1">
      <c r="A705" s="48">
        <v>45588.0</v>
      </c>
      <c r="B705" s="50" t="s">
        <v>5285</v>
      </c>
      <c r="C705" s="50" t="s">
        <v>5286</v>
      </c>
      <c r="D705" s="50"/>
      <c r="E705" s="52"/>
      <c r="F705" s="52"/>
      <c r="G705" s="50" t="s">
        <v>5287</v>
      </c>
      <c r="H705" s="50" t="s">
        <v>5288</v>
      </c>
      <c r="I705" s="50" t="s">
        <v>5289</v>
      </c>
      <c r="J705" s="50" t="s">
        <v>5291</v>
      </c>
      <c r="K705" s="50" t="s">
        <v>5292</v>
      </c>
      <c r="L705" s="54"/>
      <c r="M705" s="54"/>
      <c r="N705" s="54"/>
      <c r="O705" s="54"/>
      <c r="P705" s="54"/>
      <c r="Q705" s="54"/>
      <c r="R705" s="54"/>
      <c r="S705" s="54"/>
      <c r="T705" s="54"/>
      <c r="U705" s="54"/>
      <c r="V705" s="54"/>
      <c r="W705" s="54"/>
      <c r="X705" s="54"/>
      <c r="Y705" s="54"/>
      <c r="Z705" s="54"/>
      <c r="AA705" s="54"/>
      <c r="AB705" s="54"/>
      <c r="AC705" s="54"/>
    </row>
    <row r="706" ht="78.0" customHeight="1">
      <c r="A706" s="769">
        <v>45588.0</v>
      </c>
      <c r="B706" s="21" t="s">
        <v>5293</v>
      </c>
      <c r="C706" s="21" t="s">
        <v>5294</v>
      </c>
      <c r="D706" s="21"/>
      <c r="E706" s="26"/>
      <c r="F706" s="26"/>
      <c r="G706" s="26"/>
      <c r="H706" s="26"/>
      <c r="I706" s="26"/>
      <c r="J706" s="26"/>
      <c r="K706" s="26"/>
      <c r="L706" s="28"/>
      <c r="M706" s="28"/>
      <c r="N706" s="28"/>
      <c r="O706" s="28"/>
      <c r="P706" s="28"/>
      <c r="Q706" s="28"/>
      <c r="R706" s="28"/>
      <c r="S706" s="28"/>
      <c r="T706" s="28"/>
      <c r="U706" s="28"/>
      <c r="V706" s="28"/>
      <c r="W706" s="28"/>
      <c r="X706" s="28"/>
      <c r="Y706" s="28"/>
      <c r="Z706" s="28"/>
      <c r="AA706" s="28"/>
      <c r="AB706" s="28"/>
      <c r="AC706" s="28"/>
    </row>
    <row r="707" ht="78.0" customHeight="1">
      <c r="A707" s="48">
        <v>45588.0</v>
      </c>
      <c r="B707" s="50" t="s">
        <v>5297</v>
      </c>
      <c r="C707" s="50" t="s">
        <v>5298</v>
      </c>
      <c r="D707" s="50"/>
      <c r="E707" s="52"/>
      <c r="F707" s="52"/>
      <c r="G707" s="52"/>
      <c r="H707" s="52"/>
      <c r="I707" s="52"/>
      <c r="J707" s="52"/>
      <c r="K707" s="52"/>
      <c r="L707" s="54"/>
      <c r="M707" s="54"/>
      <c r="N707" s="54"/>
      <c r="O707" s="54"/>
      <c r="P707" s="54"/>
      <c r="Q707" s="54"/>
      <c r="R707" s="54"/>
      <c r="S707" s="54"/>
      <c r="T707" s="54"/>
      <c r="U707" s="54"/>
      <c r="V707" s="54"/>
      <c r="W707" s="54"/>
      <c r="X707" s="54"/>
      <c r="Y707" s="54"/>
      <c r="Z707" s="54"/>
      <c r="AA707" s="54"/>
      <c r="AB707" s="54"/>
      <c r="AC707" s="54"/>
    </row>
    <row r="708" ht="78.0" customHeight="1">
      <c r="A708" s="769">
        <v>45588.0</v>
      </c>
      <c r="B708" s="21" t="s">
        <v>5300</v>
      </c>
      <c r="C708" s="21" t="s">
        <v>5301</v>
      </c>
      <c r="D708" s="21"/>
      <c r="E708" s="26"/>
      <c r="F708" s="21" t="s">
        <v>5302</v>
      </c>
      <c r="G708" s="21" t="s">
        <v>5303</v>
      </c>
      <c r="H708" s="21" t="s">
        <v>5304</v>
      </c>
      <c r="I708" s="26"/>
      <c r="J708" s="26"/>
      <c r="K708" s="26"/>
      <c r="L708" s="28"/>
      <c r="M708" s="28"/>
      <c r="N708" s="28"/>
      <c r="O708" s="28"/>
      <c r="P708" s="28"/>
      <c r="Q708" s="28"/>
      <c r="R708" s="28"/>
      <c r="S708" s="28"/>
      <c r="T708" s="28"/>
      <c r="U708" s="28"/>
      <c r="V708" s="28"/>
      <c r="W708" s="28"/>
      <c r="X708" s="28"/>
      <c r="Y708" s="28"/>
      <c r="Z708" s="28"/>
      <c r="AA708" s="28"/>
      <c r="AB708" s="28"/>
      <c r="AC708" s="28"/>
    </row>
    <row r="709" ht="78.0" customHeight="1">
      <c r="A709" s="798">
        <v>45588.0</v>
      </c>
      <c r="B709" s="50" t="s">
        <v>5307</v>
      </c>
      <c r="C709" s="50" t="s">
        <v>5308</v>
      </c>
      <c r="D709" s="50"/>
      <c r="E709" s="52"/>
      <c r="F709" s="52"/>
      <c r="G709" s="50" t="s">
        <v>5310</v>
      </c>
      <c r="H709" s="50" t="s">
        <v>5311</v>
      </c>
      <c r="I709" s="50" t="s">
        <v>5312</v>
      </c>
      <c r="J709" s="50" t="s">
        <v>5313</v>
      </c>
      <c r="K709" s="52"/>
      <c r="L709" s="54"/>
      <c r="M709" s="54"/>
      <c r="N709" s="54"/>
      <c r="O709" s="54"/>
      <c r="P709" s="54"/>
      <c r="Q709" s="54"/>
      <c r="R709" s="54"/>
      <c r="S709" s="54"/>
      <c r="T709" s="54"/>
      <c r="U709" s="54"/>
      <c r="V709" s="54"/>
      <c r="W709" s="54"/>
      <c r="X709" s="54"/>
      <c r="Y709" s="54"/>
      <c r="Z709" s="54"/>
      <c r="AA709" s="54"/>
      <c r="AB709" s="54"/>
      <c r="AC709" s="54"/>
    </row>
    <row r="710" ht="78.0" customHeight="1">
      <c r="A710" s="769">
        <v>45588.0</v>
      </c>
      <c r="B710" s="21" t="s">
        <v>5314</v>
      </c>
      <c r="C710" s="21" t="s">
        <v>5315</v>
      </c>
      <c r="D710" s="21"/>
      <c r="E710" s="26"/>
      <c r="F710" s="26"/>
      <c r="G710" s="21" t="s">
        <v>5317</v>
      </c>
      <c r="H710" s="21" t="s">
        <v>5318</v>
      </c>
      <c r="I710" s="21" t="s">
        <v>5319</v>
      </c>
      <c r="J710" s="26"/>
      <c r="K710" s="26"/>
      <c r="L710" s="28"/>
      <c r="M710" s="28"/>
      <c r="N710" s="28"/>
      <c r="O710" s="28"/>
      <c r="P710" s="28"/>
      <c r="Q710" s="28"/>
      <c r="R710" s="28"/>
      <c r="S710" s="28"/>
      <c r="T710" s="28"/>
      <c r="U710" s="28"/>
      <c r="V710" s="28"/>
      <c r="W710" s="28"/>
      <c r="X710" s="28"/>
      <c r="Y710" s="28"/>
      <c r="Z710" s="28"/>
      <c r="AA710" s="28"/>
      <c r="AB710" s="28"/>
      <c r="AC710" s="28"/>
    </row>
    <row r="711" ht="78.0" customHeight="1">
      <c r="A711" s="798">
        <v>45588.0</v>
      </c>
      <c r="B711" s="50" t="s">
        <v>5320</v>
      </c>
      <c r="C711" s="50" t="s">
        <v>5321</v>
      </c>
      <c r="D711" s="50"/>
      <c r="E711" s="52"/>
      <c r="F711" s="52"/>
      <c r="G711" s="52"/>
      <c r="H711" s="52"/>
      <c r="I711" s="52"/>
      <c r="J711" s="52"/>
      <c r="K711" s="52"/>
      <c r="L711" s="54"/>
      <c r="M711" s="54"/>
      <c r="N711" s="54"/>
      <c r="O711" s="54"/>
      <c r="P711" s="54"/>
      <c r="Q711" s="54"/>
      <c r="R711" s="54"/>
      <c r="S711" s="54"/>
      <c r="T711" s="54"/>
      <c r="U711" s="54"/>
      <c r="V711" s="54"/>
      <c r="W711" s="54"/>
      <c r="X711" s="54"/>
      <c r="Y711" s="54"/>
      <c r="Z711" s="54"/>
      <c r="AA711" s="54"/>
      <c r="AB711" s="54"/>
      <c r="AC711" s="54"/>
    </row>
    <row r="712" ht="78.0" customHeight="1">
      <c r="A712" s="769">
        <v>45588.0</v>
      </c>
      <c r="B712" s="21" t="s">
        <v>5323</v>
      </c>
      <c r="C712" s="21" t="s">
        <v>5324</v>
      </c>
      <c r="D712" s="21"/>
      <c r="E712" s="26"/>
      <c r="F712" s="26"/>
      <c r="G712" s="21" t="s">
        <v>5325</v>
      </c>
      <c r="H712" s="26"/>
      <c r="I712" s="26"/>
      <c r="J712" s="26"/>
      <c r="K712" s="26"/>
      <c r="L712" s="28"/>
      <c r="M712" s="28"/>
      <c r="N712" s="28"/>
      <c r="O712" s="28"/>
      <c r="P712" s="28"/>
      <c r="Q712" s="28"/>
      <c r="R712" s="28"/>
      <c r="S712" s="28"/>
      <c r="T712" s="28"/>
      <c r="U712" s="28"/>
      <c r="V712" s="28"/>
      <c r="W712" s="28"/>
      <c r="X712" s="28"/>
      <c r="Y712" s="28"/>
      <c r="Z712" s="28"/>
      <c r="AA712" s="28"/>
      <c r="AB712" s="28"/>
      <c r="AC712" s="28"/>
    </row>
    <row r="713" ht="78.0" customHeight="1">
      <c r="A713" s="48">
        <v>45588.0</v>
      </c>
      <c r="B713" s="50" t="s">
        <v>5328</v>
      </c>
      <c r="C713" s="50" t="s">
        <v>5329</v>
      </c>
      <c r="D713" s="50"/>
      <c r="E713" s="52"/>
      <c r="F713" s="52"/>
      <c r="G713" s="50" t="s">
        <v>5330</v>
      </c>
      <c r="H713" s="858" t="s">
        <v>5331</v>
      </c>
      <c r="I713" s="52"/>
      <c r="J713" s="52"/>
      <c r="K713" s="52"/>
      <c r="L713" s="54"/>
      <c r="M713" s="54"/>
      <c r="N713" s="54"/>
      <c r="O713" s="54"/>
      <c r="P713" s="54"/>
      <c r="Q713" s="54"/>
      <c r="R713" s="54"/>
      <c r="S713" s="54"/>
      <c r="T713" s="54"/>
      <c r="U713" s="54"/>
      <c r="V713" s="54"/>
      <c r="W713" s="54"/>
      <c r="X713" s="54"/>
      <c r="Y713" s="54"/>
      <c r="Z713" s="54"/>
      <c r="AA713" s="54"/>
      <c r="AB713" s="54"/>
      <c r="AC713" s="54"/>
    </row>
    <row r="714" ht="78.0" customHeight="1">
      <c r="A714" s="769">
        <v>45588.0</v>
      </c>
      <c r="B714" s="21" t="s">
        <v>5333</v>
      </c>
      <c r="C714" s="21" t="s">
        <v>5334</v>
      </c>
      <c r="D714" s="21"/>
      <c r="E714" s="26"/>
      <c r="F714" s="26"/>
      <c r="G714" s="21" t="s">
        <v>5335</v>
      </c>
      <c r="H714" s="21" t="s">
        <v>5336</v>
      </c>
      <c r="I714" s="21" t="s">
        <v>5337</v>
      </c>
      <c r="J714" s="21" t="s">
        <v>5338</v>
      </c>
      <c r="K714" s="26"/>
      <c r="L714" s="28"/>
      <c r="M714" s="28"/>
      <c r="N714" s="28"/>
      <c r="O714" s="28"/>
      <c r="P714" s="28"/>
      <c r="Q714" s="28"/>
      <c r="R714" s="28"/>
      <c r="S714" s="28"/>
      <c r="T714" s="28"/>
      <c r="U714" s="28"/>
      <c r="V714" s="28"/>
      <c r="W714" s="28"/>
      <c r="X714" s="28"/>
      <c r="Y714" s="28"/>
      <c r="Z714" s="28"/>
      <c r="AA714" s="28"/>
      <c r="AB714" s="28"/>
      <c r="AC714" s="28"/>
    </row>
    <row r="715" ht="78.0" customHeight="1">
      <c r="A715" s="48">
        <v>45588.0</v>
      </c>
      <c r="B715" s="50" t="s">
        <v>5340</v>
      </c>
      <c r="C715" s="50" t="s">
        <v>5341</v>
      </c>
      <c r="D715" s="50"/>
      <c r="E715" s="52"/>
      <c r="F715" s="52"/>
      <c r="G715" s="50" t="s">
        <v>5342</v>
      </c>
      <c r="H715" s="52"/>
      <c r="I715" s="52"/>
      <c r="J715" s="52"/>
      <c r="K715" s="52"/>
      <c r="L715" s="54"/>
      <c r="M715" s="54"/>
      <c r="N715" s="54"/>
      <c r="O715" s="54"/>
      <c r="P715" s="54"/>
      <c r="Q715" s="54"/>
      <c r="R715" s="54"/>
      <c r="S715" s="54"/>
      <c r="T715" s="54"/>
      <c r="U715" s="54"/>
      <c r="V715" s="54"/>
      <c r="W715" s="54"/>
      <c r="X715" s="54"/>
      <c r="Y715" s="54"/>
      <c r="Z715" s="54"/>
      <c r="AA715" s="54"/>
      <c r="AB715" s="54"/>
      <c r="AC715" s="54"/>
    </row>
    <row r="716" ht="78.0" customHeight="1">
      <c r="A716" s="769">
        <v>45588.0</v>
      </c>
      <c r="B716" s="21" t="s">
        <v>5345</v>
      </c>
      <c r="C716" s="21" t="s">
        <v>5346</v>
      </c>
      <c r="D716" s="21"/>
      <c r="E716" s="26"/>
      <c r="F716" s="26"/>
      <c r="G716" s="21" t="s">
        <v>5347</v>
      </c>
      <c r="H716" s="26"/>
      <c r="I716" s="26"/>
      <c r="J716" s="26"/>
      <c r="K716" s="28"/>
      <c r="L716" s="28"/>
      <c r="M716" s="28"/>
      <c r="N716" s="28"/>
      <c r="O716" s="28"/>
      <c r="P716" s="28"/>
      <c r="Q716" s="28"/>
      <c r="R716" s="28"/>
      <c r="S716" s="28"/>
      <c r="T716" s="28"/>
      <c r="U716" s="28"/>
      <c r="V716" s="28"/>
      <c r="W716" s="28"/>
      <c r="X716" s="28"/>
      <c r="Y716" s="28"/>
      <c r="Z716" s="28"/>
      <c r="AA716" s="28"/>
      <c r="AB716" s="28"/>
      <c r="AC716" s="28"/>
    </row>
    <row r="717" ht="78.0" customHeight="1">
      <c r="A717" s="48">
        <v>45588.0</v>
      </c>
      <c r="B717" s="50" t="s">
        <v>5350</v>
      </c>
      <c r="C717" s="50" t="s">
        <v>5351</v>
      </c>
      <c r="D717" s="50"/>
      <c r="E717" s="52"/>
      <c r="F717" s="52"/>
      <c r="G717" s="50" t="s">
        <v>5352</v>
      </c>
      <c r="H717" s="50" t="s">
        <v>5353</v>
      </c>
      <c r="I717" s="50" t="s">
        <v>5354</v>
      </c>
      <c r="J717" s="50" t="s">
        <v>5355</v>
      </c>
      <c r="K717" s="52"/>
      <c r="L717" s="54"/>
      <c r="M717" s="54"/>
      <c r="N717" s="54"/>
      <c r="O717" s="54"/>
      <c r="P717" s="54"/>
      <c r="Q717" s="54"/>
      <c r="R717" s="54"/>
      <c r="S717" s="54"/>
      <c r="T717" s="54"/>
      <c r="U717" s="54"/>
      <c r="V717" s="54"/>
      <c r="W717" s="54"/>
      <c r="X717" s="54"/>
      <c r="Y717" s="54"/>
      <c r="Z717" s="54"/>
      <c r="AA717" s="54"/>
      <c r="AB717" s="54"/>
      <c r="AC717" s="54"/>
    </row>
    <row r="718" ht="78.0" customHeight="1">
      <c r="A718" s="769">
        <v>45587.0</v>
      </c>
      <c r="B718" s="21" t="s">
        <v>5357</v>
      </c>
      <c r="C718" s="21" t="s">
        <v>5358</v>
      </c>
      <c r="D718" s="21"/>
      <c r="E718" s="26"/>
      <c r="F718" s="26"/>
      <c r="G718" s="26"/>
      <c r="H718" s="26"/>
      <c r="I718" s="26"/>
      <c r="J718" s="26"/>
      <c r="K718" s="26"/>
      <c r="L718" s="28"/>
      <c r="M718" s="28"/>
      <c r="N718" s="28"/>
      <c r="O718" s="28"/>
      <c r="P718" s="28"/>
      <c r="Q718" s="28"/>
      <c r="R718" s="28"/>
      <c r="S718" s="28"/>
      <c r="T718" s="28"/>
      <c r="U718" s="28"/>
      <c r="V718" s="28"/>
      <c r="W718" s="28"/>
      <c r="X718" s="28"/>
      <c r="Y718" s="28"/>
      <c r="Z718" s="28"/>
      <c r="AA718" s="28"/>
      <c r="AB718" s="28"/>
      <c r="AC718" s="28"/>
    </row>
    <row r="719" ht="78.0" customHeight="1">
      <c r="A719" s="48">
        <v>45587.0</v>
      </c>
      <c r="B719" s="52"/>
      <c r="C719" s="50" t="s">
        <v>5361</v>
      </c>
      <c r="D719" s="50"/>
      <c r="E719" s="52"/>
      <c r="F719" s="52"/>
      <c r="G719" s="52"/>
      <c r="H719" s="52"/>
      <c r="I719" s="52"/>
      <c r="J719" s="52"/>
      <c r="K719" s="52"/>
      <c r="L719" s="54"/>
      <c r="M719" s="54"/>
      <c r="N719" s="54"/>
      <c r="O719" s="54"/>
      <c r="P719" s="54"/>
      <c r="Q719" s="54"/>
      <c r="R719" s="54"/>
      <c r="S719" s="54"/>
      <c r="T719" s="54"/>
      <c r="U719" s="54"/>
      <c r="V719" s="54"/>
      <c r="W719" s="54"/>
      <c r="X719" s="54"/>
      <c r="Y719" s="54"/>
      <c r="Z719" s="54"/>
      <c r="AA719" s="54"/>
      <c r="AB719" s="54"/>
      <c r="AC719" s="54"/>
    </row>
    <row r="720">
      <c r="A720" s="769">
        <v>45587.0</v>
      </c>
      <c r="B720" s="21" t="s">
        <v>5362</v>
      </c>
      <c r="C720" s="21" t="s">
        <v>5363</v>
      </c>
      <c r="D720" s="21"/>
      <c r="E720" s="26"/>
      <c r="F720" s="26"/>
      <c r="G720" s="21" t="s">
        <v>5364</v>
      </c>
      <c r="H720" s="21" t="s">
        <v>5362</v>
      </c>
      <c r="I720" s="26"/>
      <c r="J720" s="26"/>
      <c r="K720" s="26"/>
      <c r="L720" s="28"/>
      <c r="M720" s="28"/>
      <c r="N720" s="28"/>
      <c r="O720" s="28"/>
      <c r="P720" s="28"/>
      <c r="Q720" s="28"/>
      <c r="R720" s="28"/>
      <c r="S720" s="28"/>
      <c r="T720" s="28"/>
      <c r="U720" s="28"/>
      <c r="V720" s="28"/>
      <c r="W720" s="28"/>
      <c r="X720" s="28"/>
      <c r="Y720" s="28"/>
      <c r="Z720" s="28"/>
      <c r="AA720" s="28"/>
      <c r="AB720" s="28"/>
      <c r="AC720" s="28"/>
    </row>
    <row r="721" ht="78.0" customHeight="1">
      <c r="A721" s="48">
        <v>45587.0</v>
      </c>
      <c r="B721" s="50" t="s">
        <v>5366</v>
      </c>
      <c r="C721" s="50" t="s">
        <v>5367</v>
      </c>
      <c r="D721" s="50"/>
      <c r="E721" s="52"/>
      <c r="F721" s="52"/>
      <c r="G721" s="52"/>
      <c r="H721" s="52"/>
      <c r="I721" s="52"/>
      <c r="J721" s="52"/>
      <c r="K721" s="52"/>
      <c r="L721" s="54"/>
      <c r="M721" s="54"/>
      <c r="N721" s="54"/>
      <c r="O721" s="54"/>
      <c r="P721" s="54"/>
      <c r="Q721" s="54"/>
      <c r="R721" s="54"/>
      <c r="S721" s="54"/>
      <c r="T721" s="54"/>
      <c r="U721" s="54"/>
      <c r="V721" s="54"/>
      <c r="W721" s="54"/>
      <c r="X721" s="54"/>
      <c r="Y721" s="54"/>
      <c r="Z721" s="54"/>
      <c r="AA721" s="54"/>
      <c r="AB721" s="54"/>
      <c r="AC721" s="54"/>
    </row>
    <row r="722" ht="78.0" customHeight="1">
      <c r="A722" s="769">
        <v>45587.0</v>
      </c>
      <c r="B722" s="21" t="s">
        <v>5368</v>
      </c>
      <c r="C722" s="21" t="s">
        <v>5369</v>
      </c>
      <c r="D722" s="825"/>
      <c r="E722" s="26"/>
      <c r="F722" s="26"/>
      <c r="G722" s="21" t="s">
        <v>5370</v>
      </c>
      <c r="H722" s="21" t="s">
        <v>5371</v>
      </c>
      <c r="I722" s="26"/>
      <c r="J722" s="26"/>
      <c r="K722" s="26"/>
      <c r="L722" s="28"/>
      <c r="M722" s="28"/>
      <c r="N722" s="28"/>
      <c r="O722" s="28"/>
      <c r="P722" s="28"/>
      <c r="Q722" s="28"/>
      <c r="R722" s="28"/>
      <c r="S722" s="28"/>
      <c r="T722" s="28"/>
      <c r="U722" s="28"/>
      <c r="V722" s="28"/>
      <c r="W722" s="28"/>
      <c r="X722" s="28"/>
      <c r="Y722" s="28"/>
      <c r="Z722" s="28"/>
      <c r="AA722" s="28"/>
      <c r="AB722" s="28"/>
      <c r="AC722" s="28"/>
    </row>
    <row r="723" ht="78.0" customHeight="1">
      <c r="A723" s="48">
        <v>45587.0</v>
      </c>
      <c r="B723" s="50" t="s">
        <v>5373</v>
      </c>
      <c r="C723" s="50" t="s">
        <v>5374</v>
      </c>
      <c r="D723" s="50"/>
      <c r="E723" s="52"/>
      <c r="F723" s="52"/>
      <c r="G723" s="50" t="s">
        <v>5375</v>
      </c>
      <c r="H723" s="858" t="s">
        <v>1</v>
      </c>
      <c r="I723" s="50" t="s">
        <v>5376</v>
      </c>
      <c r="J723" s="50" t="s">
        <v>5377</v>
      </c>
      <c r="K723" s="50" t="s">
        <v>5378</v>
      </c>
      <c r="L723" s="54"/>
      <c r="M723" s="54"/>
      <c r="N723" s="54"/>
      <c r="O723" s="54"/>
      <c r="P723" s="54"/>
      <c r="Q723" s="54"/>
      <c r="R723" s="54"/>
      <c r="S723" s="54"/>
      <c r="T723" s="54"/>
      <c r="U723" s="54"/>
      <c r="V723" s="54"/>
      <c r="W723" s="54"/>
      <c r="X723" s="54"/>
      <c r="Y723" s="54"/>
      <c r="Z723" s="54"/>
      <c r="AA723" s="54"/>
      <c r="AB723" s="54"/>
      <c r="AC723" s="54"/>
    </row>
    <row r="724" ht="78.0" customHeight="1">
      <c r="A724" s="769">
        <v>45587.0</v>
      </c>
      <c r="B724" s="21" t="s">
        <v>5379</v>
      </c>
      <c r="C724" s="21" t="s">
        <v>5380</v>
      </c>
      <c r="D724" s="21"/>
      <c r="E724" s="26"/>
      <c r="F724" s="26"/>
      <c r="G724" s="21" t="s">
        <v>5381</v>
      </c>
      <c r="H724" s="21" t="s">
        <v>5382</v>
      </c>
      <c r="I724" s="21" t="s">
        <v>5383</v>
      </c>
      <c r="J724" s="26"/>
      <c r="K724" s="26"/>
      <c r="L724" s="28"/>
      <c r="M724" s="28"/>
      <c r="N724" s="28"/>
      <c r="O724" s="28"/>
      <c r="P724" s="28"/>
      <c r="Q724" s="28"/>
      <c r="R724" s="28"/>
      <c r="S724" s="28"/>
      <c r="T724" s="28"/>
      <c r="U724" s="28"/>
      <c r="V724" s="28"/>
      <c r="W724" s="28"/>
      <c r="X724" s="28"/>
      <c r="Y724" s="28"/>
      <c r="Z724" s="28"/>
      <c r="AA724" s="28"/>
      <c r="AB724" s="28"/>
      <c r="AC724" s="28"/>
    </row>
    <row r="725" ht="78.0" customHeight="1">
      <c r="A725" s="769">
        <v>45587.0</v>
      </c>
      <c r="B725" s="21" t="s">
        <v>5385</v>
      </c>
      <c r="C725" s="21" t="s">
        <v>5386</v>
      </c>
      <c r="D725" s="21"/>
      <c r="E725" s="26"/>
      <c r="F725" s="26"/>
      <c r="G725" s="21" t="s">
        <v>5387</v>
      </c>
      <c r="H725" s="859" t="s">
        <v>5389</v>
      </c>
      <c r="I725" s="21" t="s">
        <v>5392</v>
      </c>
      <c r="J725" s="21" t="s">
        <v>5394</v>
      </c>
      <c r="K725" s="21" t="s">
        <v>5395</v>
      </c>
      <c r="L725" s="28"/>
      <c r="M725" s="28"/>
      <c r="N725" s="28"/>
      <c r="O725" s="28"/>
      <c r="P725" s="28"/>
      <c r="Q725" s="28"/>
      <c r="R725" s="28"/>
      <c r="S725" s="28"/>
      <c r="T725" s="28"/>
      <c r="U725" s="28"/>
      <c r="V725" s="28"/>
      <c r="W725" s="28"/>
      <c r="X725" s="28"/>
      <c r="Y725" s="28"/>
      <c r="Z725" s="28"/>
      <c r="AA725" s="28"/>
      <c r="AB725" s="28"/>
      <c r="AC725" s="28"/>
    </row>
    <row r="726" ht="78.0" customHeight="1">
      <c r="A726" s="48">
        <v>45587.0</v>
      </c>
      <c r="B726" s="50" t="s">
        <v>5397</v>
      </c>
      <c r="C726" s="50" t="s">
        <v>5398</v>
      </c>
      <c r="D726" s="50"/>
      <c r="E726" s="52"/>
      <c r="F726" s="52"/>
      <c r="G726" s="50" t="s">
        <v>5399</v>
      </c>
      <c r="H726" s="50" t="s">
        <v>5400</v>
      </c>
      <c r="I726" s="52"/>
      <c r="J726" s="52"/>
      <c r="K726" s="52"/>
      <c r="L726" s="54"/>
      <c r="M726" s="54"/>
      <c r="N726" s="54"/>
      <c r="O726" s="54"/>
      <c r="P726" s="54"/>
      <c r="Q726" s="54"/>
      <c r="R726" s="54"/>
      <c r="S726" s="54"/>
      <c r="T726" s="54"/>
      <c r="U726" s="54"/>
      <c r="V726" s="54"/>
      <c r="W726" s="54"/>
      <c r="X726" s="54"/>
      <c r="Y726" s="54"/>
      <c r="Z726" s="54"/>
      <c r="AA726" s="54"/>
      <c r="AB726" s="54"/>
      <c r="AC726" s="54"/>
    </row>
    <row r="727" ht="78.0" customHeight="1">
      <c r="A727" s="769">
        <v>45587.0</v>
      </c>
      <c r="B727" s="21" t="s">
        <v>5403</v>
      </c>
      <c r="C727" s="21" t="s">
        <v>5404</v>
      </c>
      <c r="D727" s="21"/>
      <c r="E727" s="26"/>
      <c r="F727" s="26"/>
      <c r="G727" s="21" t="s">
        <v>5405</v>
      </c>
      <c r="H727" s="26"/>
      <c r="I727" s="26"/>
      <c r="J727" s="26"/>
      <c r="K727" s="26"/>
      <c r="L727" s="28"/>
      <c r="M727" s="28"/>
      <c r="N727" s="28"/>
      <c r="O727" s="28"/>
      <c r="P727" s="28"/>
      <c r="Q727" s="28"/>
      <c r="R727" s="28"/>
      <c r="S727" s="28"/>
      <c r="T727" s="28"/>
      <c r="U727" s="28"/>
      <c r="V727" s="28"/>
      <c r="W727" s="28"/>
      <c r="X727" s="28"/>
      <c r="Y727" s="28"/>
      <c r="Z727" s="28"/>
      <c r="AA727" s="28"/>
      <c r="AB727" s="28"/>
      <c r="AC727" s="28"/>
    </row>
    <row r="728" ht="78.0" customHeight="1">
      <c r="A728" s="48">
        <v>45587.0</v>
      </c>
      <c r="B728" s="50" t="s">
        <v>5408</v>
      </c>
      <c r="C728" s="50" t="s">
        <v>5409</v>
      </c>
      <c r="D728" s="50"/>
      <c r="E728" s="52"/>
      <c r="F728" s="52"/>
      <c r="G728" s="52"/>
      <c r="H728" s="52"/>
      <c r="I728" s="52"/>
      <c r="J728" s="52"/>
      <c r="K728" s="52"/>
      <c r="L728" s="54"/>
      <c r="M728" s="54"/>
      <c r="N728" s="54"/>
      <c r="O728" s="54"/>
      <c r="P728" s="54"/>
      <c r="Q728" s="54"/>
      <c r="R728" s="54"/>
      <c r="S728" s="54"/>
      <c r="T728" s="54"/>
      <c r="U728" s="54"/>
      <c r="V728" s="54"/>
      <c r="W728" s="54"/>
      <c r="X728" s="54"/>
      <c r="Y728" s="54"/>
      <c r="Z728" s="54"/>
      <c r="AA728" s="54"/>
      <c r="AB728" s="54"/>
      <c r="AC728" s="54"/>
    </row>
    <row r="729" ht="78.0" customHeight="1">
      <c r="A729" s="769">
        <v>45587.0</v>
      </c>
      <c r="B729" s="21" t="s">
        <v>5411</v>
      </c>
      <c r="C729" s="21" t="s">
        <v>5412</v>
      </c>
      <c r="D729" s="21"/>
      <c r="E729" s="26"/>
      <c r="F729" s="26"/>
      <c r="G729" s="21" t="s">
        <v>5413</v>
      </c>
      <c r="H729" s="21" t="s">
        <v>5414</v>
      </c>
      <c r="I729" s="21" t="s">
        <v>5415</v>
      </c>
      <c r="J729" s="21" t="s">
        <v>5417</v>
      </c>
      <c r="K729" s="21" t="s">
        <v>5418</v>
      </c>
      <c r="L729" s="28"/>
      <c r="M729" s="28"/>
      <c r="N729" s="28"/>
      <c r="O729" s="28"/>
      <c r="P729" s="28"/>
      <c r="Q729" s="28"/>
      <c r="R729" s="28"/>
      <c r="S729" s="28"/>
      <c r="T729" s="28"/>
      <c r="U729" s="28"/>
      <c r="V729" s="28"/>
      <c r="W729" s="28"/>
      <c r="X729" s="28"/>
      <c r="Y729" s="28"/>
      <c r="Z729" s="28"/>
      <c r="AA729" s="28"/>
      <c r="AB729" s="28"/>
      <c r="AC729" s="28"/>
    </row>
    <row r="730" ht="78.0" customHeight="1">
      <c r="A730" s="48">
        <v>45587.0</v>
      </c>
      <c r="B730" s="50" t="s">
        <v>5419</v>
      </c>
      <c r="C730" s="50" t="s">
        <v>5420</v>
      </c>
      <c r="D730" s="50"/>
      <c r="E730" s="52"/>
      <c r="F730" s="52"/>
      <c r="G730" s="50" t="s">
        <v>5421</v>
      </c>
      <c r="H730" s="52"/>
      <c r="I730" s="52"/>
      <c r="J730" s="52"/>
      <c r="K730" s="52"/>
      <c r="L730" s="54"/>
      <c r="M730" s="54"/>
      <c r="N730" s="54"/>
      <c r="O730" s="54"/>
      <c r="P730" s="54"/>
      <c r="Q730" s="54"/>
      <c r="R730" s="54"/>
      <c r="S730" s="54"/>
      <c r="T730" s="54"/>
      <c r="U730" s="54"/>
      <c r="V730" s="54"/>
      <c r="W730" s="54"/>
      <c r="X730" s="54"/>
      <c r="Y730" s="54"/>
      <c r="Z730" s="54"/>
      <c r="AA730" s="54"/>
      <c r="AB730" s="54"/>
      <c r="AC730" s="54"/>
    </row>
    <row r="731" ht="78.0" customHeight="1">
      <c r="A731" s="769">
        <v>45586.0</v>
      </c>
      <c r="B731" s="21" t="s">
        <v>5423</v>
      </c>
      <c r="C731" s="21" t="s">
        <v>5424</v>
      </c>
      <c r="D731" s="21"/>
      <c r="E731" s="26"/>
      <c r="F731" s="26"/>
      <c r="G731" s="21" t="s">
        <v>5426</v>
      </c>
      <c r="H731" s="21" t="s">
        <v>5427</v>
      </c>
      <c r="I731" s="21" t="s">
        <v>5428</v>
      </c>
      <c r="J731" s="21" t="s">
        <v>5429</v>
      </c>
      <c r="K731" s="26"/>
      <c r="L731" s="28"/>
      <c r="M731" s="28"/>
      <c r="N731" s="28"/>
      <c r="O731" s="28"/>
      <c r="P731" s="28"/>
      <c r="Q731" s="28"/>
      <c r="R731" s="28"/>
      <c r="S731" s="28"/>
      <c r="T731" s="28"/>
      <c r="U731" s="28"/>
      <c r="V731" s="28"/>
      <c r="W731" s="28"/>
      <c r="X731" s="28"/>
      <c r="Y731" s="28"/>
      <c r="Z731" s="28"/>
      <c r="AA731" s="28"/>
      <c r="AB731" s="28"/>
      <c r="AC731" s="28"/>
    </row>
    <row r="732" ht="78.0" customHeight="1">
      <c r="A732" s="769">
        <v>45586.0</v>
      </c>
      <c r="B732" s="21" t="s">
        <v>5430</v>
      </c>
      <c r="C732" s="21" t="s">
        <v>5431</v>
      </c>
      <c r="D732" s="21"/>
      <c r="E732" s="26"/>
      <c r="F732" s="26"/>
      <c r="G732" s="21" t="s">
        <v>5432</v>
      </c>
      <c r="H732" s="26"/>
      <c r="I732" s="26"/>
      <c r="J732" s="26"/>
      <c r="K732" s="26"/>
      <c r="L732" s="28"/>
      <c r="M732" s="28"/>
      <c r="N732" s="28"/>
      <c r="O732" s="28"/>
      <c r="P732" s="28"/>
      <c r="Q732" s="28"/>
      <c r="R732" s="28"/>
      <c r="S732" s="28"/>
      <c r="T732" s="28"/>
      <c r="U732" s="28"/>
      <c r="V732" s="28"/>
      <c r="W732" s="28"/>
      <c r="X732" s="28"/>
      <c r="Y732" s="28"/>
      <c r="Z732" s="28"/>
      <c r="AA732" s="28"/>
      <c r="AB732" s="28"/>
      <c r="AC732" s="28"/>
    </row>
    <row r="733" ht="78.0" customHeight="1">
      <c r="A733" s="48">
        <v>45586.0</v>
      </c>
      <c r="B733" s="50" t="s">
        <v>5434</v>
      </c>
      <c r="C733" s="50" t="s">
        <v>5435</v>
      </c>
      <c r="D733" s="50"/>
      <c r="E733" s="52"/>
      <c r="F733" s="52"/>
      <c r="G733" s="50" t="s">
        <v>5436</v>
      </c>
      <c r="H733" s="52"/>
      <c r="I733" s="52"/>
      <c r="J733" s="52"/>
      <c r="K733" s="52"/>
      <c r="L733" s="54"/>
      <c r="M733" s="54"/>
      <c r="N733" s="54"/>
      <c r="O733" s="54"/>
      <c r="P733" s="54"/>
      <c r="Q733" s="54"/>
      <c r="R733" s="54"/>
      <c r="S733" s="54"/>
      <c r="T733" s="54"/>
      <c r="U733" s="54"/>
      <c r="V733" s="54"/>
      <c r="W733" s="54"/>
      <c r="X733" s="54"/>
      <c r="Y733" s="54"/>
      <c r="Z733" s="54"/>
      <c r="AA733" s="54"/>
      <c r="AB733" s="54"/>
      <c r="AC733" s="54"/>
    </row>
    <row r="734" ht="78.0" customHeight="1">
      <c r="A734" s="769">
        <v>45586.0</v>
      </c>
      <c r="B734" s="21" t="s">
        <v>5437</v>
      </c>
      <c r="C734" s="21" t="s">
        <v>5438</v>
      </c>
      <c r="D734" s="21"/>
      <c r="E734" s="26"/>
      <c r="F734" s="26"/>
      <c r="G734" s="21" t="s">
        <v>5439</v>
      </c>
      <c r="H734" s="26"/>
      <c r="I734" s="26"/>
      <c r="J734" s="26"/>
      <c r="K734" s="26"/>
      <c r="L734" s="28"/>
      <c r="M734" s="28"/>
      <c r="N734" s="28"/>
      <c r="O734" s="28"/>
      <c r="P734" s="28"/>
      <c r="Q734" s="28"/>
      <c r="R734" s="28"/>
      <c r="S734" s="28"/>
      <c r="T734" s="28"/>
      <c r="U734" s="28"/>
      <c r="V734" s="28"/>
      <c r="W734" s="28"/>
      <c r="X734" s="28"/>
      <c r="Y734" s="28"/>
      <c r="Z734" s="28"/>
      <c r="AA734" s="28"/>
      <c r="AB734" s="28"/>
      <c r="AC734" s="28"/>
    </row>
    <row r="735" ht="78.0" customHeight="1">
      <c r="A735" s="48">
        <v>45586.0</v>
      </c>
      <c r="B735" s="50" t="s">
        <v>5441</v>
      </c>
      <c r="C735" s="50" t="s">
        <v>5442</v>
      </c>
      <c r="D735" s="50"/>
      <c r="E735" s="52"/>
      <c r="F735" s="52"/>
      <c r="G735" s="50" t="s">
        <v>5443</v>
      </c>
      <c r="H735" s="52"/>
      <c r="I735" s="52"/>
      <c r="J735" s="52"/>
      <c r="K735" s="52"/>
      <c r="L735" s="54"/>
      <c r="M735" s="54"/>
      <c r="N735" s="54"/>
      <c r="O735" s="54"/>
      <c r="P735" s="54"/>
      <c r="Q735" s="54"/>
      <c r="R735" s="54"/>
      <c r="S735" s="54"/>
      <c r="T735" s="54"/>
      <c r="U735" s="54"/>
      <c r="V735" s="54"/>
      <c r="W735" s="54"/>
      <c r="X735" s="54"/>
      <c r="Y735" s="54"/>
      <c r="Z735" s="54"/>
      <c r="AA735" s="54"/>
      <c r="AB735" s="54"/>
      <c r="AC735" s="54"/>
    </row>
    <row r="736" ht="78.0" customHeight="1">
      <c r="A736" s="769">
        <v>45586.0</v>
      </c>
      <c r="B736" s="21" t="s">
        <v>5444</v>
      </c>
      <c r="C736" s="21" t="s">
        <v>5445</v>
      </c>
      <c r="D736" s="21"/>
      <c r="E736" s="26"/>
      <c r="F736" s="26"/>
      <c r="G736" s="21" t="s">
        <v>5446</v>
      </c>
      <c r="H736" s="21" t="s">
        <v>5447</v>
      </c>
      <c r="I736" s="21" t="s">
        <v>5448</v>
      </c>
      <c r="J736" s="21" t="s">
        <v>5450</v>
      </c>
      <c r="K736" s="26"/>
      <c r="L736" s="28"/>
      <c r="M736" s="28"/>
      <c r="N736" s="28"/>
      <c r="O736" s="28"/>
      <c r="P736" s="28"/>
      <c r="Q736" s="28"/>
      <c r="R736" s="28"/>
      <c r="S736" s="28"/>
      <c r="T736" s="28"/>
      <c r="U736" s="28"/>
      <c r="V736" s="28"/>
      <c r="W736" s="28"/>
      <c r="X736" s="28"/>
      <c r="Y736" s="28"/>
      <c r="Z736" s="28"/>
      <c r="AA736" s="28"/>
      <c r="AB736" s="28"/>
      <c r="AC736" s="28"/>
    </row>
    <row r="737" ht="78.0" customHeight="1">
      <c r="A737" s="48">
        <v>45586.0</v>
      </c>
      <c r="B737" s="50" t="s">
        <v>5451</v>
      </c>
      <c r="C737" s="50" t="s">
        <v>5452</v>
      </c>
      <c r="D737" s="50"/>
      <c r="E737" s="52"/>
      <c r="F737" s="52"/>
      <c r="G737" s="50" t="s">
        <v>5453</v>
      </c>
      <c r="H737" s="50" t="s">
        <v>5454</v>
      </c>
      <c r="I737" s="52"/>
      <c r="J737" s="52"/>
      <c r="K737" s="52"/>
      <c r="L737" s="54"/>
      <c r="M737" s="54"/>
      <c r="N737" s="54"/>
      <c r="O737" s="54"/>
      <c r="P737" s="54"/>
      <c r="Q737" s="54"/>
      <c r="R737" s="54"/>
      <c r="S737" s="54"/>
      <c r="T737" s="54"/>
      <c r="U737" s="54"/>
      <c r="V737" s="54"/>
      <c r="W737" s="54"/>
      <c r="X737" s="54"/>
      <c r="Y737" s="54"/>
      <c r="Z737" s="54"/>
      <c r="AA737" s="54"/>
      <c r="AB737" s="54"/>
      <c r="AC737" s="54"/>
    </row>
    <row r="738" ht="78.0" customHeight="1">
      <c r="A738" s="769">
        <v>45586.0</v>
      </c>
      <c r="B738" s="21" t="s">
        <v>5457</v>
      </c>
      <c r="C738" s="21" t="s">
        <v>5458</v>
      </c>
      <c r="D738" s="21"/>
      <c r="E738" s="26"/>
      <c r="F738" s="26"/>
      <c r="G738" s="26"/>
      <c r="H738" s="26"/>
      <c r="I738" s="26"/>
      <c r="J738" s="26"/>
      <c r="K738" s="26"/>
      <c r="L738" s="28"/>
      <c r="M738" s="28"/>
      <c r="N738" s="28"/>
      <c r="O738" s="28"/>
      <c r="P738" s="28"/>
      <c r="Q738" s="28"/>
      <c r="R738" s="28"/>
      <c r="S738" s="28"/>
      <c r="T738" s="28"/>
      <c r="U738" s="28"/>
      <c r="V738" s="28"/>
      <c r="W738" s="28"/>
      <c r="X738" s="28"/>
      <c r="Y738" s="28"/>
      <c r="Z738" s="28"/>
      <c r="AA738" s="28"/>
      <c r="AB738" s="28"/>
      <c r="AC738" s="28"/>
    </row>
    <row r="739" ht="78.0" customHeight="1">
      <c r="A739" s="48">
        <v>45586.0</v>
      </c>
      <c r="B739" s="50" t="s">
        <v>5460</v>
      </c>
      <c r="C739" s="50" t="s">
        <v>5461</v>
      </c>
      <c r="D739" s="50"/>
      <c r="E739" s="52"/>
      <c r="F739" s="52"/>
      <c r="G739" s="50" t="s">
        <v>5462</v>
      </c>
      <c r="H739" s="52"/>
      <c r="I739" s="52"/>
      <c r="J739" s="52"/>
      <c r="K739" s="52"/>
      <c r="L739" s="54"/>
      <c r="M739" s="54"/>
      <c r="N739" s="54"/>
      <c r="O739" s="54"/>
      <c r="P739" s="54"/>
      <c r="Q739" s="54"/>
      <c r="R739" s="54"/>
      <c r="S739" s="54"/>
      <c r="T739" s="54"/>
      <c r="U739" s="54"/>
      <c r="V739" s="54"/>
      <c r="W739" s="54"/>
      <c r="X739" s="54"/>
      <c r="Y739" s="54"/>
      <c r="Z739" s="54"/>
      <c r="AA739" s="54"/>
      <c r="AB739" s="54"/>
      <c r="AC739" s="54"/>
    </row>
    <row r="740" ht="78.0" customHeight="1">
      <c r="A740" s="769">
        <v>45586.0</v>
      </c>
      <c r="B740" s="21" t="s">
        <v>5464</v>
      </c>
      <c r="C740" s="21" t="s">
        <v>572</v>
      </c>
      <c r="D740" s="21"/>
      <c r="E740" s="26"/>
      <c r="F740" s="26"/>
      <c r="G740" s="21" t="s">
        <v>5465</v>
      </c>
      <c r="H740" s="21" t="s">
        <v>5466</v>
      </c>
      <c r="I740" s="21" t="s">
        <v>5467</v>
      </c>
      <c r="J740" s="21" t="s">
        <v>5468</v>
      </c>
      <c r="K740" s="21" t="s">
        <v>5469</v>
      </c>
      <c r="L740" s="825" t="s">
        <v>5470</v>
      </c>
      <c r="M740" s="28"/>
      <c r="N740" s="28"/>
      <c r="O740" s="28"/>
      <c r="P740" s="28"/>
      <c r="Q740" s="28"/>
      <c r="R740" s="28"/>
      <c r="S740" s="28"/>
      <c r="T740" s="28"/>
      <c r="U740" s="28"/>
      <c r="V740" s="28"/>
      <c r="W740" s="28"/>
      <c r="X740" s="28"/>
      <c r="Y740" s="28"/>
      <c r="Z740" s="28"/>
      <c r="AA740" s="28"/>
      <c r="AB740" s="28"/>
      <c r="AC740" s="28"/>
    </row>
    <row r="741" ht="78.0" customHeight="1">
      <c r="A741" s="48">
        <v>45585.0</v>
      </c>
      <c r="B741" s="50" t="s">
        <v>5471</v>
      </c>
      <c r="C741" s="50" t="s">
        <v>5472</v>
      </c>
      <c r="D741" s="50"/>
      <c r="E741" s="52"/>
      <c r="F741" s="52"/>
      <c r="G741" s="50" t="s">
        <v>5474</v>
      </c>
      <c r="H741" s="52"/>
      <c r="I741" s="52"/>
      <c r="J741" s="52"/>
      <c r="K741" s="52"/>
      <c r="L741" s="54"/>
      <c r="M741" s="54"/>
      <c r="N741" s="54"/>
      <c r="O741" s="54"/>
      <c r="P741" s="54"/>
      <c r="Q741" s="54"/>
      <c r="R741" s="54"/>
      <c r="S741" s="54"/>
      <c r="T741" s="54"/>
      <c r="U741" s="54"/>
      <c r="V741" s="54"/>
      <c r="W741" s="54"/>
      <c r="X741" s="54"/>
      <c r="Y741" s="54"/>
      <c r="Z741" s="54"/>
      <c r="AA741" s="54"/>
      <c r="AB741" s="54"/>
      <c r="AC741" s="54"/>
    </row>
    <row r="742" ht="78.0" customHeight="1">
      <c r="A742" s="769">
        <v>45585.0</v>
      </c>
      <c r="B742" s="21" t="s">
        <v>5475</v>
      </c>
      <c r="C742" s="21" t="s">
        <v>5476</v>
      </c>
      <c r="D742" s="21"/>
      <c r="E742" s="26"/>
      <c r="F742" s="21" t="s">
        <v>5477</v>
      </c>
      <c r="G742" s="26"/>
      <c r="H742" s="26"/>
      <c r="I742" s="26"/>
      <c r="J742" s="26"/>
      <c r="K742" s="26"/>
      <c r="L742" s="28"/>
      <c r="M742" s="28"/>
      <c r="N742" s="28"/>
      <c r="O742" s="28"/>
      <c r="P742" s="28"/>
      <c r="Q742" s="28"/>
      <c r="R742" s="28"/>
      <c r="S742" s="28"/>
      <c r="T742" s="28"/>
      <c r="U742" s="28"/>
      <c r="V742" s="28"/>
      <c r="W742" s="28"/>
      <c r="X742" s="28"/>
      <c r="Y742" s="28"/>
      <c r="Z742" s="28"/>
      <c r="AA742" s="28"/>
      <c r="AB742" s="28"/>
      <c r="AC742" s="28"/>
    </row>
    <row r="743" ht="78.0" customHeight="1">
      <c r="A743" s="48">
        <v>45585.0</v>
      </c>
      <c r="B743" s="50" t="s">
        <v>5479</v>
      </c>
      <c r="C743" s="50" t="s">
        <v>5480</v>
      </c>
      <c r="D743" s="50"/>
      <c r="E743" s="52"/>
      <c r="F743" s="52"/>
      <c r="G743" s="50" t="s">
        <v>5481</v>
      </c>
      <c r="H743" s="52"/>
      <c r="I743" s="52"/>
      <c r="J743" s="52"/>
      <c r="K743" s="52"/>
      <c r="L743" s="52"/>
      <c r="M743" s="54"/>
      <c r="N743" s="54"/>
      <c r="O743" s="54"/>
      <c r="P743" s="54"/>
      <c r="Q743" s="54"/>
      <c r="R743" s="54"/>
      <c r="S743" s="54"/>
      <c r="T743" s="54"/>
      <c r="U743" s="54"/>
      <c r="V743" s="54"/>
      <c r="W743" s="54"/>
      <c r="X743" s="54"/>
      <c r="Y743" s="54"/>
      <c r="Z743" s="54"/>
      <c r="AA743" s="54"/>
      <c r="AB743" s="54"/>
      <c r="AC743" s="54"/>
    </row>
    <row r="744" ht="78.0" customHeight="1">
      <c r="A744" s="769">
        <v>45584.0</v>
      </c>
      <c r="B744" s="21" t="s">
        <v>5482</v>
      </c>
      <c r="C744" s="21" t="s">
        <v>5483</v>
      </c>
      <c r="D744" s="21"/>
      <c r="E744" s="26"/>
      <c r="F744" s="26"/>
      <c r="G744" s="21" t="s">
        <v>5485</v>
      </c>
      <c r="H744" s="21" t="s">
        <v>5486</v>
      </c>
      <c r="I744" s="26"/>
      <c r="J744" s="26"/>
      <c r="K744" s="26"/>
      <c r="L744" s="28"/>
      <c r="M744" s="28"/>
      <c r="N744" s="28"/>
      <c r="O744" s="28"/>
      <c r="P744" s="28"/>
      <c r="Q744" s="28"/>
      <c r="R744" s="28"/>
      <c r="S744" s="28"/>
      <c r="T744" s="28"/>
      <c r="U744" s="28"/>
      <c r="V744" s="28"/>
      <c r="W744" s="28"/>
      <c r="X744" s="28"/>
      <c r="Y744" s="28"/>
      <c r="Z744" s="28"/>
      <c r="AA744" s="28"/>
      <c r="AB744" s="28"/>
      <c r="AC744" s="28"/>
    </row>
    <row r="745" ht="78.0" customHeight="1">
      <c r="A745" s="48">
        <v>45582.0</v>
      </c>
      <c r="B745" s="50" t="s">
        <v>5487</v>
      </c>
      <c r="C745" s="50" t="s">
        <v>5488</v>
      </c>
      <c r="D745" s="50"/>
      <c r="E745" s="52"/>
      <c r="F745" s="52"/>
      <c r="G745" s="52"/>
      <c r="H745" s="50" t="s">
        <v>5489</v>
      </c>
      <c r="I745" s="52"/>
      <c r="J745" s="52"/>
      <c r="K745" s="52"/>
      <c r="L745" s="54"/>
      <c r="M745" s="54"/>
      <c r="N745" s="54"/>
      <c r="O745" s="54"/>
      <c r="P745" s="54"/>
      <c r="Q745" s="54"/>
      <c r="R745" s="54"/>
      <c r="S745" s="54"/>
      <c r="T745" s="54"/>
      <c r="U745" s="54"/>
      <c r="V745" s="54"/>
      <c r="W745" s="54"/>
      <c r="X745" s="54"/>
      <c r="Y745" s="54"/>
      <c r="Z745" s="54"/>
      <c r="AA745" s="54"/>
      <c r="AB745" s="54"/>
      <c r="AC745" s="54"/>
    </row>
    <row r="746" ht="78.0" customHeight="1">
      <c r="A746" s="769">
        <v>45582.0</v>
      </c>
      <c r="B746" s="21" t="s">
        <v>5491</v>
      </c>
      <c r="C746" s="21" t="s">
        <v>5492</v>
      </c>
      <c r="D746" s="21"/>
      <c r="E746" s="26"/>
      <c r="F746" s="26"/>
      <c r="G746" s="21" t="s">
        <v>5493</v>
      </c>
      <c r="H746" s="26"/>
      <c r="I746" s="26"/>
      <c r="J746" s="26"/>
      <c r="K746" s="26"/>
      <c r="L746" s="28"/>
      <c r="M746" s="28"/>
      <c r="N746" s="28"/>
      <c r="O746" s="28"/>
      <c r="P746" s="28"/>
      <c r="Q746" s="28"/>
      <c r="R746" s="28"/>
      <c r="S746" s="28"/>
      <c r="T746" s="28"/>
      <c r="U746" s="28"/>
      <c r="V746" s="28"/>
      <c r="W746" s="28"/>
      <c r="X746" s="28"/>
      <c r="Y746" s="28"/>
      <c r="Z746" s="28"/>
      <c r="AA746" s="28"/>
      <c r="AB746" s="28"/>
      <c r="AC746" s="28"/>
    </row>
    <row r="747" ht="78.0" customHeight="1">
      <c r="A747" s="48">
        <v>45582.0</v>
      </c>
      <c r="B747" s="50" t="s">
        <v>5495</v>
      </c>
      <c r="C747" s="50" t="s">
        <v>5496</v>
      </c>
      <c r="D747" s="50"/>
      <c r="E747" s="52"/>
      <c r="F747" s="52"/>
      <c r="G747" s="52"/>
      <c r="H747" s="52"/>
      <c r="I747" s="52"/>
      <c r="J747" s="52"/>
      <c r="K747" s="52"/>
      <c r="L747" s="54"/>
      <c r="M747" s="54"/>
      <c r="N747" s="54"/>
      <c r="O747" s="54"/>
      <c r="P747" s="54"/>
      <c r="Q747" s="54"/>
      <c r="R747" s="54"/>
      <c r="S747" s="54"/>
      <c r="T747" s="54"/>
      <c r="U747" s="54"/>
      <c r="V747" s="54"/>
      <c r="W747" s="54"/>
      <c r="X747" s="54"/>
      <c r="Y747" s="54"/>
      <c r="Z747" s="54"/>
      <c r="AA747" s="54"/>
      <c r="AB747" s="54"/>
      <c r="AC747" s="54"/>
    </row>
    <row r="748" ht="78.0" customHeight="1">
      <c r="A748" s="769">
        <v>45582.0</v>
      </c>
      <c r="B748" s="21" t="s">
        <v>5499</v>
      </c>
      <c r="C748" s="21" t="s">
        <v>5500</v>
      </c>
      <c r="D748" s="21"/>
      <c r="E748" s="26"/>
      <c r="F748" s="26"/>
      <c r="G748" s="21" t="s">
        <v>5501</v>
      </c>
      <c r="H748" s="21" t="s">
        <v>5502</v>
      </c>
      <c r="I748" s="21" t="s">
        <v>5503</v>
      </c>
      <c r="J748" s="21" t="s">
        <v>5504</v>
      </c>
      <c r="K748" s="26"/>
      <c r="L748" s="28"/>
      <c r="M748" s="28"/>
      <c r="N748" s="28"/>
      <c r="O748" s="28"/>
      <c r="P748" s="28"/>
      <c r="Q748" s="28"/>
      <c r="R748" s="28"/>
      <c r="S748" s="28"/>
      <c r="T748" s="28"/>
      <c r="U748" s="28"/>
      <c r="V748" s="28"/>
      <c r="W748" s="28"/>
      <c r="X748" s="28"/>
      <c r="Y748" s="28"/>
      <c r="Z748" s="28"/>
      <c r="AA748" s="28"/>
      <c r="AB748" s="28"/>
      <c r="AC748" s="28"/>
    </row>
    <row r="749" ht="78.0" customHeight="1">
      <c r="A749" s="769">
        <v>45582.0</v>
      </c>
      <c r="B749" s="21" t="s">
        <v>5507</v>
      </c>
      <c r="C749" s="26"/>
      <c r="D749" s="21"/>
      <c r="E749" s="26"/>
      <c r="F749" s="26"/>
      <c r="G749" s="21" t="s">
        <v>5508</v>
      </c>
      <c r="H749" s="21" t="s">
        <v>5509</v>
      </c>
      <c r="I749" s="26"/>
      <c r="J749" s="26"/>
      <c r="K749" s="26"/>
      <c r="L749" s="28"/>
      <c r="M749" s="28"/>
      <c r="N749" s="28"/>
      <c r="O749" s="28"/>
      <c r="P749" s="28"/>
      <c r="Q749" s="28"/>
      <c r="R749" s="28"/>
      <c r="S749" s="28"/>
      <c r="T749" s="28"/>
      <c r="U749" s="28"/>
      <c r="V749" s="28"/>
      <c r="W749" s="28"/>
      <c r="X749" s="28"/>
      <c r="Y749" s="28"/>
      <c r="Z749" s="28"/>
      <c r="AA749" s="28"/>
      <c r="AB749" s="28"/>
      <c r="AC749" s="28"/>
    </row>
    <row r="750" ht="78.0" customHeight="1">
      <c r="A750" s="48">
        <v>45582.0</v>
      </c>
      <c r="B750" s="50" t="s">
        <v>5511</v>
      </c>
      <c r="C750" s="52"/>
      <c r="D750" s="50"/>
      <c r="E750" s="52"/>
      <c r="F750" s="52"/>
      <c r="G750" s="52"/>
      <c r="H750" s="52"/>
      <c r="I750" s="52"/>
      <c r="J750" s="52"/>
      <c r="K750" s="52"/>
      <c r="L750" s="54"/>
      <c r="M750" s="54"/>
      <c r="N750" s="54"/>
      <c r="O750" s="54"/>
      <c r="P750" s="54"/>
      <c r="Q750" s="54"/>
      <c r="R750" s="54"/>
      <c r="S750" s="54"/>
      <c r="T750" s="54"/>
      <c r="U750" s="54"/>
      <c r="V750" s="54"/>
      <c r="W750" s="54"/>
      <c r="X750" s="54"/>
      <c r="Y750" s="54"/>
      <c r="Z750" s="54"/>
      <c r="AA750" s="54"/>
      <c r="AB750" s="54"/>
      <c r="AC750" s="54"/>
    </row>
    <row r="751" ht="78.0" customHeight="1">
      <c r="A751" s="769">
        <v>45581.0</v>
      </c>
      <c r="B751" s="21" t="s">
        <v>5512</v>
      </c>
      <c r="C751" s="21" t="s">
        <v>5513</v>
      </c>
      <c r="D751" s="21"/>
      <c r="E751" s="26"/>
      <c r="F751" s="26"/>
      <c r="G751" s="21" t="s">
        <v>5515</v>
      </c>
      <c r="H751" s="26"/>
      <c r="I751" s="26"/>
      <c r="J751" s="26"/>
      <c r="K751" s="26"/>
      <c r="L751" s="28"/>
      <c r="M751" s="28"/>
      <c r="N751" s="28"/>
      <c r="O751" s="28"/>
      <c r="P751" s="28"/>
      <c r="Q751" s="28"/>
      <c r="R751" s="28"/>
      <c r="S751" s="28"/>
      <c r="T751" s="28"/>
      <c r="U751" s="28"/>
      <c r="V751" s="28"/>
      <c r="W751" s="28"/>
      <c r="X751" s="28"/>
      <c r="Y751" s="28"/>
      <c r="Z751" s="28"/>
      <c r="AA751" s="28"/>
      <c r="AB751" s="28"/>
      <c r="AC751" s="28"/>
    </row>
    <row r="752" ht="78.0" customHeight="1">
      <c r="A752" s="48">
        <v>45581.0</v>
      </c>
      <c r="B752" s="50" t="s">
        <v>5516</v>
      </c>
      <c r="C752" s="50" t="s">
        <v>5517</v>
      </c>
      <c r="D752" s="50"/>
      <c r="E752" s="52"/>
      <c r="F752" s="52"/>
      <c r="G752" s="50" t="s">
        <v>5518</v>
      </c>
      <c r="H752" s="52"/>
      <c r="I752" s="52"/>
      <c r="J752" s="52"/>
      <c r="K752" s="52"/>
      <c r="L752" s="54"/>
      <c r="M752" s="54"/>
      <c r="N752" s="54"/>
      <c r="O752" s="54"/>
      <c r="P752" s="54"/>
      <c r="Q752" s="54"/>
      <c r="R752" s="54"/>
      <c r="S752" s="54"/>
      <c r="T752" s="54"/>
      <c r="U752" s="54"/>
      <c r="V752" s="54"/>
      <c r="W752" s="54"/>
      <c r="X752" s="54"/>
      <c r="Y752" s="54"/>
      <c r="Z752" s="54"/>
      <c r="AA752" s="54"/>
      <c r="AB752" s="54"/>
      <c r="AC752" s="54"/>
    </row>
    <row r="753" ht="78.0" customHeight="1">
      <c r="A753" s="769">
        <v>45581.0</v>
      </c>
      <c r="B753" s="21" t="s">
        <v>5521</v>
      </c>
      <c r="C753" s="21" t="s">
        <v>5522</v>
      </c>
      <c r="D753" s="21"/>
      <c r="E753" s="26"/>
      <c r="F753" s="26"/>
      <c r="G753" s="21" t="s">
        <v>5523</v>
      </c>
      <c r="H753" s="26"/>
      <c r="I753" s="26"/>
      <c r="J753" s="26"/>
      <c r="K753" s="26"/>
      <c r="L753" s="28"/>
      <c r="M753" s="28"/>
      <c r="N753" s="28"/>
      <c r="O753" s="28"/>
      <c r="P753" s="28"/>
      <c r="Q753" s="28"/>
      <c r="R753" s="28"/>
      <c r="S753" s="28"/>
      <c r="T753" s="28"/>
      <c r="U753" s="28"/>
      <c r="V753" s="28"/>
      <c r="W753" s="28"/>
      <c r="X753" s="28"/>
      <c r="Y753" s="28"/>
      <c r="Z753" s="28"/>
      <c r="AA753" s="28"/>
      <c r="AB753" s="28"/>
      <c r="AC753" s="28"/>
    </row>
    <row r="754" ht="78.0" customHeight="1">
      <c r="A754" s="48">
        <v>45581.0</v>
      </c>
      <c r="B754" s="50" t="s">
        <v>5525</v>
      </c>
      <c r="C754" s="52"/>
      <c r="D754" s="50"/>
      <c r="E754" s="52"/>
      <c r="F754" s="52"/>
      <c r="G754" s="52"/>
      <c r="H754" s="52"/>
      <c r="I754" s="52"/>
      <c r="J754" s="52"/>
      <c r="K754" s="52"/>
      <c r="L754" s="54"/>
      <c r="M754" s="54"/>
      <c r="N754" s="54"/>
      <c r="O754" s="54"/>
      <c r="P754" s="54"/>
      <c r="Q754" s="54"/>
      <c r="R754" s="54"/>
      <c r="S754" s="54"/>
      <c r="T754" s="54"/>
      <c r="U754" s="54"/>
      <c r="V754" s="54"/>
      <c r="W754" s="54"/>
      <c r="X754" s="54"/>
      <c r="Y754" s="54"/>
      <c r="Z754" s="54"/>
      <c r="AA754" s="54"/>
      <c r="AB754" s="54"/>
      <c r="AC754" s="54"/>
    </row>
    <row r="755" ht="78.0" customHeight="1">
      <c r="A755" s="769">
        <v>45581.0</v>
      </c>
      <c r="B755" s="21" t="s">
        <v>5527</v>
      </c>
      <c r="C755" s="21" t="s">
        <v>5528</v>
      </c>
      <c r="D755" s="21"/>
      <c r="E755" s="26"/>
      <c r="F755" s="26"/>
      <c r="G755" s="21" t="s">
        <v>5529</v>
      </c>
      <c r="H755" s="26"/>
      <c r="I755" s="26"/>
      <c r="J755" s="26"/>
      <c r="K755" s="26"/>
      <c r="L755" s="28"/>
      <c r="M755" s="28"/>
      <c r="N755" s="28"/>
      <c r="O755" s="28"/>
      <c r="P755" s="28"/>
      <c r="Q755" s="28"/>
      <c r="R755" s="28"/>
      <c r="S755" s="28"/>
      <c r="T755" s="28"/>
      <c r="U755" s="28"/>
      <c r="V755" s="28"/>
      <c r="W755" s="28"/>
      <c r="X755" s="28"/>
      <c r="Y755" s="28"/>
      <c r="Z755" s="28"/>
      <c r="AA755" s="28"/>
      <c r="AB755" s="28"/>
      <c r="AC755" s="28"/>
    </row>
    <row r="756" ht="78.0" customHeight="1">
      <c r="A756" s="48">
        <v>45581.0</v>
      </c>
      <c r="B756" s="50" t="s">
        <v>5531</v>
      </c>
      <c r="C756" s="50" t="s">
        <v>5532</v>
      </c>
      <c r="D756" s="50"/>
      <c r="E756" s="52"/>
      <c r="F756" s="52"/>
      <c r="G756" s="50" t="s">
        <v>5533</v>
      </c>
      <c r="H756" s="50" t="s">
        <v>5534</v>
      </c>
      <c r="I756" s="50" t="s">
        <v>5535</v>
      </c>
      <c r="J756" s="50" t="s">
        <v>5537</v>
      </c>
      <c r="K756" s="50" t="s">
        <v>5538</v>
      </c>
      <c r="L756" s="855" t="s">
        <v>5539</v>
      </c>
      <c r="M756" s="855" t="s">
        <v>5541</v>
      </c>
      <c r="N756" s="54"/>
      <c r="O756" s="54"/>
      <c r="P756" s="54"/>
      <c r="Q756" s="54"/>
      <c r="R756" s="54"/>
      <c r="S756" s="54"/>
      <c r="T756" s="54"/>
      <c r="U756" s="54"/>
      <c r="V756" s="54"/>
      <c r="W756" s="54"/>
      <c r="X756" s="54"/>
      <c r="Y756" s="54"/>
      <c r="Z756" s="54"/>
      <c r="AA756" s="54"/>
      <c r="AB756" s="54"/>
      <c r="AC756" s="54"/>
    </row>
    <row r="757" ht="78.0" customHeight="1">
      <c r="A757" s="769">
        <v>45581.0</v>
      </c>
      <c r="B757" s="21" t="s">
        <v>5542</v>
      </c>
      <c r="C757" s="21" t="s">
        <v>5543</v>
      </c>
      <c r="D757" s="21"/>
      <c r="E757" s="26"/>
      <c r="F757" s="26"/>
      <c r="G757" s="26"/>
      <c r="H757" s="26"/>
      <c r="I757" s="26"/>
      <c r="J757" s="26"/>
      <c r="K757" s="26"/>
      <c r="L757" s="28"/>
      <c r="M757" s="28"/>
      <c r="N757" s="28"/>
      <c r="O757" s="28"/>
      <c r="P757" s="28"/>
      <c r="Q757" s="28"/>
      <c r="R757" s="28"/>
      <c r="S757" s="28"/>
      <c r="T757" s="28"/>
      <c r="U757" s="28"/>
      <c r="V757" s="28"/>
      <c r="W757" s="28"/>
      <c r="X757" s="28"/>
      <c r="Y757" s="28"/>
      <c r="Z757" s="28"/>
      <c r="AA757" s="28"/>
      <c r="AB757" s="28"/>
      <c r="AC757" s="28"/>
    </row>
    <row r="758" ht="78.0" customHeight="1">
      <c r="A758" s="48">
        <v>45580.0</v>
      </c>
      <c r="B758" s="50" t="s">
        <v>5545</v>
      </c>
      <c r="C758" s="50" t="s">
        <v>5546</v>
      </c>
      <c r="D758" s="50"/>
      <c r="E758" s="52"/>
      <c r="F758" s="50" t="s">
        <v>5547</v>
      </c>
      <c r="G758" s="52"/>
      <c r="H758" s="52"/>
      <c r="I758" s="52"/>
      <c r="J758" s="52"/>
      <c r="K758" s="52"/>
      <c r="L758" s="54"/>
      <c r="M758" s="54"/>
      <c r="N758" s="54"/>
      <c r="O758" s="54"/>
      <c r="P758" s="54"/>
      <c r="Q758" s="54"/>
      <c r="R758" s="54"/>
      <c r="S758" s="54"/>
      <c r="T758" s="54"/>
      <c r="U758" s="54"/>
      <c r="V758" s="54"/>
      <c r="W758" s="54"/>
      <c r="X758" s="54"/>
      <c r="Y758" s="54"/>
      <c r="Z758" s="54"/>
      <c r="AA758" s="54"/>
      <c r="AB758" s="54"/>
      <c r="AC758" s="54"/>
    </row>
    <row r="759" ht="78.0" customHeight="1">
      <c r="A759" s="769">
        <v>45580.0</v>
      </c>
      <c r="B759" s="21" t="s">
        <v>5549</v>
      </c>
      <c r="C759" s="21" t="s">
        <v>5550</v>
      </c>
      <c r="D759" s="21"/>
      <c r="E759" s="26"/>
      <c r="F759" s="26"/>
      <c r="G759" s="21" t="s">
        <v>5551</v>
      </c>
      <c r="H759" s="21" t="s">
        <v>5553</v>
      </c>
      <c r="I759" s="21" t="s">
        <v>5554</v>
      </c>
      <c r="J759" s="26"/>
      <c r="K759" s="26"/>
      <c r="L759" s="26"/>
      <c r="M759" s="26"/>
      <c r="N759" s="28"/>
      <c r="O759" s="28"/>
      <c r="P759" s="28"/>
      <c r="Q759" s="28"/>
      <c r="R759" s="28"/>
      <c r="S759" s="28"/>
      <c r="T759" s="28"/>
      <c r="U759" s="28"/>
      <c r="V759" s="28"/>
      <c r="W759" s="28"/>
      <c r="X759" s="28"/>
      <c r="Y759" s="28"/>
      <c r="Z759" s="28"/>
      <c r="AA759" s="28"/>
      <c r="AB759" s="28"/>
      <c r="AC759" s="28"/>
    </row>
    <row r="760" ht="78.0" customHeight="1">
      <c r="A760" s="48">
        <v>45580.0</v>
      </c>
      <c r="B760" s="50" t="s">
        <v>5556</v>
      </c>
      <c r="C760" s="52"/>
      <c r="D760" s="50"/>
      <c r="E760" s="52"/>
      <c r="F760" s="52"/>
      <c r="G760" s="52"/>
      <c r="H760" s="52"/>
      <c r="I760" s="52"/>
      <c r="J760" s="52"/>
      <c r="K760" s="52"/>
      <c r="L760" s="54"/>
      <c r="M760" s="54"/>
      <c r="N760" s="54"/>
      <c r="O760" s="54"/>
      <c r="P760" s="54"/>
      <c r="Q760" s="54"/>
      <c r="R760" s="54"/>
      <c r="S760" s="54"/>
      <c r="T760" s="54"/>
      <c r="U760" s="54"/>
      <c r="V760" s="54"/>
      <c r="W760" s="54"/>
      <c r="X760" s="54"/>
      <c r="Y760" s="54"/>
      <c r="Z760" s="54"/>
      <c r="AA760" s="54"/>
      <c r="AB760" s="54"/>
      <c r="AC760" s="54"/>
    </row>
    <row r="761" ht="78.0" customHeight="1">
      <c r="A761" s="769">
        <v>45580.0</v>
      </c>
      <c r="B761" s="21" t="s">
        <v>5559</v>
      </c>
      <c r="C761" s="21" t="s">
        <v>5560</v>
      </c>
      <c r="D761" s="21"/>
      <c r="E761" s="26"/>
      <c r="F761" s="26"/>
      <c r="G761" s="21" t="s">
        <v>5561</v>
      </c>
      <c r="H761" s="21" t="s">
        <v>5562</v>
      </c>
      <c r="I761" s="26"/>
      <c r="J761" s="26"/>
      <c r="K761" s="26"/>
      <c r="L761" s="28"/>
      <c r="M761" s="28"/>
      <c r="N761" s="28"/>
      <c r="O761" s="28"/>
      <c r="P761" s="28"/>
      <c r="Q761" s="28"/>
      <c r="R761" s="28"/>
      <c r="S761" s="28"/>
      <c r="T761" s="28"/>
      <c r="U761" s="28"/>
      <c r="V761" s="28"/>
      <c r="W761" s="28"/>
      <c r="X761" s="28"/>
      <c r="Y761" s="28"/>
      <c r="Z761" s="28"/>
      <c r="AA761" s="28"/>
      <c r="AB761" s="28"/>
      <c r="AC761" s="28"/>
    </row>
    <row r="762" ht="78.0" customHeight="1">
      <c r="A762" s="48">
        <v>45580.0</v>
      </c>
      <c r="B762" s="50" t="s">
        <v>5564</v>
      </c>
      <c r="C762" s="50" t="s">
        <v>5565</v>
      </c>
      <c r="D762" s="50"/>
      <c r="E762" s="52"/>
      <c r="F762" s="52"/>
      <c r="G762" s="50" t="s">
        <v>5566</v>
      </c>
      <c r="H762" s="52"/>
      <c r="I762" s="52"/>
      <c r="J762" s="52"/>
      <c r="K762" s="52"/>
      <c r="L762" s="54"/>
      <c r="M762" s="54"/>
      <c r="N762" s="54"/>
      <c r="O762" s="54"/>
      <c r="P762" s="54"/>
      <c r="Q762" s="54"/>
      <c r="R762" s="54"/>
      <c r="S762" s="54"/>
      <c r="T762" s="54"/>
      <c r="U762" s="54"/>
      <c r="V762" s="54"/>
      <c r="W762" s="54"/>
      <c r="X762" s="54"/>
      <c r="Y762" s="54"/>
      <c r="Z762" s="54"/>
      <c r="AA762" s="54"/>
      <c r="AB762" s="54"/>
      <c r="AC762" s="54"/>
    </row>
    <row r="763" ht="78.0" customHeight="1">
      <c r="A763" s="769">
        <v>45580.0</v>
      </c>
      <c r="B763" s="21" t="s">
        <v>5571</v>
      </c>
      <c r="C763" s="26"/>
      <c r="D763" s="21"/>
      <c r="E763" s="26"/>
      <c r="F763" s="26"/>
      <c r="G763" s="26"/>
      <c r="H763" s="26"/>
      <c r="I763" s="26"/>
      <c r="J763" s="26"/>
      <c r="K763" s="28"/>
      <c r="L763" s="28"/>
      <c r="M763" s="28"/>
      <c r="N763" s="28"/>
      <c r="O763" s="28"/>
      <c r="P763" s="28"/>
      <c r="Q763" s="28"/>
      <c r="R763" s="28"/>
      <c r="S763" s="28"/>
      <c r="T763" s="28"/>
      <c r="U763" s="28"/>
      <c r="V763" s="28"/>
      <c r="W763" s="28"/>
      <c r="X763" s="28"/>
      <c r="Y763" s="28"/>
      <c r="Z763" s="28"/>
      <c r="AA763" s="28"/>
      <c r="AB763" s="28"/>
      <c r="AC763" s="28"/>
    </row>
    <row r="764" ht="78.0" customHeight="1">
      <c r="A764" s="48">
        <v>45580.0</v>
      </c>
      <c r="B764" s="50" t="s">
        <v>5574</v>
      </c>
      <c r="C764" s="863" t="s">
        <v>1</v>
      </c>
      <c r="D764" s="50"/>
      <c r="E764" s="52"/>
      <c r="F764" s="52"/>
      <c r="G764" s="52"/>
      <c r="H764" s="52"/>
      <c r="I764" s="52"/>
      <c r="J764" s="52"/>
      <c r="K764" s="52"/>
      <c r="L764" s="54"/>
      <c r="M764" s="54"/>
      <c r="N764" s="54"/>
      <c r="O764" s="54"/>
      <c r="P764" s="54"/>
      <c r="Q764" s="54"/>
      <c r="R764" s="54"/>
      <c r="S764" s="54"/>
      <c r="T764" s="54"/>
      <c r="U764" s="54"/>
      <c r="V764" s="54"/>
      <c r="W764" s="54"/>
      <c r="X764" s="54"/>
      <c r="Y764" s="54"/>
      <c r="Z764" s="54"/>
      <c r="AA764" s="54"/>
      <c r="AB764" s="54"/>
      <c r="AC764" s="54"/>
    </row>
    <row r="765" ht="78.0" customHeight="1">
      <c r="A765" s="769">
        <v>45580.0</v>
      </c>
      <c r="B765" s="21" t="s">
        <v>5577</v>
      </c>
      <c r="C765" s="21" t="s">
        <v>5579</v>
      </c>
      <c r="D765" s="21"/>
      <c r="E765" s="26"/>
      <c r="F765" s="26"/>
      <c r="G765" s="26"/>
      <c r="H765" s="26"/>
      <c r="I765" s="26"/>
      <c r="J765" s="26"/>
      <c r="K765" s="26"/>
      <c r="L765" s="28"/>
      <c r="M765" s="28"/>
      <c r="N765" s="28"/>
      <c r="O765" s="28"/>
      <c r="P765" s="28"/>
      <c r="Q765" s="28"/>
      <c r="R765" s="28"/>
      <c r="S765" s="28"/>
      <c r="T765" s="28"/>
      <c r="U765" s="28"/>
      <c r="V765" s="28"/>
      <c r="W765" s="28"/>
      <c r="X765" s="28"/>
      <c r="Y765" s="28"/>
      <c r="Z765" s="28"/>
      <c r="AA765" s="28"/>
      <c r="AB765" s="28"/>
      <c r="AC765" s="28"/>
    </row>
    <row r="766" ht="78.0" customHeight="1">
      <c r="A766" s="48">
        <v>45580.0</v>
      </c>
      <c r="B766" s="50" t="s">
        <v>5581</v>
      </c>
      <c r="C766" s="50" t="s">
        <v>5582</v>
      </c>
      <c r="D766" s="50"/>
      <c r="E766" s="52"/>
      <c r="F766" s="52"/>
      <c r="G766" s="52"/>
      <c r="H766" s="52"/>
      <c r="I766" s="52"/>
      <c r="J766" s="52"/>
      <c r="K766" s="52"/>
      <c r="L766" s="54"/>
      <c r="M766" s="54"/>
      <c r="N766" s="54"/>
      <c r="O766" s="54"/>
      <c r="P766" s="54"/>
      <c r="Q766" s="54"/>
      <c r="R766" s="54"/>
      <c r="S766" s="54"/>
      <c r="T766" s="54"/>
      <c r="U766" s="54"/>
      <c r="V766" s="54"/>
      <c r="W766" s="54"/>
      <c r="X766" s="54"/>
      <c r="Y766" s="54"/>
      <c r="Z766" s="54"/>
      <c r="AA766" s="54"/>
      <c r="AB766" s="54"/>
      <c r="AC766" s="54"/>
    </row>
    <row r="767" ht="78.0" customHeight="1">
      <c r="A767" s="769">
        <v>45580.0</v>
      </c>
      <c r="B767" s="21" t="s">
        <v>5584</v>
      </c>
      <c r="C767" s="21" t="s">
        <v>5585</v>
      </c>
      <c r="D767" s="21"/>
      <c r="E767" s="26"/>
      <c r="F767" s="26"/>
      <c r="G767" s="26"/>
      <c r="H767" s="26"/>
      <c r="I767" s="26"/>
      <c r="J767" s="26"/>
      <c r="K767" s="26"/>
      <c r="L767" s="28"/>
      <c r="M767" s="28"/>
      <c r="N767" s="28"/>
      <c r="O767" s="28"/>
      <c r="P767" s="28"/>
      <c r="Q767" s="28"/>
      <c r="R767" s="28"/>
      <c r="S767" s="28"/>
      <c r="T767" s="28"/>
      <c r="U767" s="28"/>
      <c r="V767" s="28"/>
      <c r="W767" s="28"/>
      <c r="X767" s="28"/>
      <c r="Y767" s="28"/>
      <c r="Z767" s="28"/>
      <c r="AA767" s="28"/>
      <c r="AB767" s="28"/>
      <c r="AC767" s="28"/>
    </row>
    <row r="768" ht="78.0" customHeight="1">
      <c r="A768" s="48">
        <v>45579.0</v>
      </c>
      <c r="B768" s="50" t="s">
        <v>5588</v>
      </c>
      <c r="C768" s="50" t="s">
        <v>5589</v>
      </c>
      <c r="D768" s="50"/>
      <c r="E768" s="52"/>
      <c r="F768" s="52"/>
      <c r="G768" s="50" t="s">
        <v>5590</v>
      </c>
      <c r="H768" s="50" t="s">
        <v>5591</v>
      </c>
      <c r="I768" s="52"/>
      <c r="J768" s="52"/>
      <c r="K768" s="52"/>
      <c r="L768" s="54"/>
      <c r="M768" s="54"/>
      <c r="N768" s="54"/>
      <c r="O768" s="54"/>
      <c r="P768" s="54"/>
      <c r="Q768" s="54"/>
      <c r="R768" s="54"/>
      <c r="S768" s="54"/>
      <c r="T768" s="54"/>
      <c r="U768" s="54"/>
      <c r="V768" s="54"/>
      <c r="W768" s="54"/>
      <c r="X768" s="54"/>
      <c r="Y768" s="54"/>
      <c r="Z768" s="54"/>
      <c r="AA768" s="54"/>
      <c r="AB768" s="54"/>
      <c r="AC768" s="54"/>
    </row>
    <row r="769" ht="78.0" customHeight="1">
      <c r="A769" s="769">
        <v>45579.0</v>
      </c>
      <c r="B769" s="21" t="s">
        <v>5593</v>
      </c>
      <c r="C769" s="21" t="s">
        <v>5594</v>
      </c>
      <c r="D769" s="21"/>
      <c r="E769" s="26"/>
      <c r="F769" s="21" t="s">
        <v>5595</v>
      </c>
      <c r="G769" s="26"/>
      <c r="H769" s="26"/>
      <c r="I769" s="26"/>
      <c r="J769" s="26"/>
      <c r="K769" s="26"/>
      <c r="L769" s="28"/>
      <c r="M769" s="28"/>
      <c r="N769" s="28"/>
      <c r="O769" s="28"/>
      <c r="P769" s="28"/>
      <c r="Q769" s="28"/>
      <c r="R769" s="28"/>
      <c r="S769" s="28"/>
      <c r="T769" s="28"/>
      <c r="U769" s="28"/>
      <c r="V769" s="28"/>
      <c r="W769" s="28"/>
      <c r="X769" s="28"/>
      <c r="Y769" s="28"/>
      <c r="Z769" s="28"/>
      <c r="AA769" s="28"/>
      <c r="AB769" s="28"/>
      <c r="AC769" s="28"/>
    </row>
    <row r="770" ht="78.0" customHeight="1">
      <c r="A770" s="48">
        <v>45579.0</v>
      </c>
      <c r="B770" s="50" t="s">
        <v>5597</v>
      </c>
      <c r="C770" s="50" t="s">
        <v>5598</v>
      </c>
      <c r="D770" s="50"/>
      <c r="E770" s="52"/>
      <c r="F770" s="52"/>
      <c r="G770" s="50" t="s">
        <v>5599</v>
      </c>
      <c r="H770" s="50" t="s">
        <v>5600</v>
      </c>
      <c r="I770" s="50" t="s">
        <v>5601</v>
      </c>
      <c r="J770" s="50" t="s">
        <v>5602</v>
      </c>
      <c r="K770" s="50" t="s">
        <v>5603</v>
      </c>
      <c r="L770" s="54"/>
      <c r="M770" s="54"/>
      <c r="N770" s="54"/>
      <c r="O770" s="54"/>
      <c r="P770" s="54"/>
      <c r="Q770" s="54"/>
      <c r="R770" s="54"/>
      <c r="S770" s="54"/>
      <c r="T770" s="54"/>
      <c r="U770" s="54"/>
      <c r="V770" s="54"/>
      <c r="W770" s="54"/>
      <c r="X770" s="54"/>
      <c r="Y770" s="54"/>
      <c r="Z770" s="54"/>
      <c r="AA770" s="54"/>
      <c r="AB770" s="54"/>
      <c r="AC770" s="54"/>
    </row>
    <row r="771" ht="78.0" customHeight="1">
      <c r="A771" s="769">
        <v>45577.0</v>
      </c>
      <c r="B771" s="21" t="s">
        <v>5605</v>
      </c>
      <c r="C771" s="21" t="s">
        <v>5606</v>
      </c>
      <c r="D771" s="21"/>
      <c r="E771" s="26"/>
      <c r="F771" s="26"/>
      <c r="G771" s="26"/>
      <c r="H771" s="26"/>
      <c r="I771" s="26"/>
      <c r="J771" s="26"/>
      <c r="K771" s="26"/>
      <c r="L771" s="28"/>
      <c r="M771" s="28"/>
      <c r="N771" s="28"/>
      <c r="O771" s="28"/>
      <c r="P771" s="28"/>
      <c r="Q771" s="28"/>
      <c r="R771" s="28"/>
      <c r="S771" s="28"/>
      <c r="T771" s="28"/>
      <c r="U771" s="28"/>
      <c r="V771" s="28"/>
      <c r="W771" s="28"/>
      <c r="X771" s="28"/>
      <c r="Y771" s="28"/>
      <c r="Z771" s="28"/>
      <c r="AA771" s="28"/>
      <c r="AB771" s="28"/>
      <c r="AC771" s="28"/>
    </row>
    <row r="772" ht="78.0" customHeight="1">
      <c r="A772" s="48">
        <v>45577.0</v>
      </c>
      <c r="B772" s="50" t="s">
        <v>5607</v>
      </c>
      <c r="C772" s="50" t="s">
        <v>5609</v>
      </c>
      <c r="D772" s="50"/>
      <c r="E772" s="52"/>
      <c r="F772" s="52"/>
      <c r="G772" s="50" t="s">
        <v>5610</v>
      </c>
      <c r="H772" s="52"/>
      <c r="I772" s="52"/>
      <c r="J772" s="52"/>
      <c r="K772" s="52"/>
      <c r="L772" s="54"/>
      <c r="M772" s="54"/>
      <c r="N772" s="54"/>
      <c r="O772" s="54"/>
      <c r="P772" s="54"/>
      <c r="Q772" s="54"/>
      <c r="R772" s="54"/>
      <c r="S772" s="54"/>
      <c r="T772" s="54"/>
      <c r="U772" s="54"/>
      <c r="V772" s="54"/>
      <c r="W772" s="54"/>
      <c r="X772" s="54"/>
      <c r="Y772" s="54"/>
      <c r="Z772" s="54"/>
      <c r="AA772" s="54"/>
      <c r="AB772" s="54"/>
      <c r="AC772" s="54"/>
    </row>
    <row r="773" ht="78.0" customHeight="1">
      <c r="A773" s="769">
        <v>45576.0</v>
      </c>
      <c r="B773" s="21" t="s">
        <v>5611</v>
      </c>
      <c r="C773" s="21" t="s">
        <v>5612</v>
      </c>
      <c r="D773" s="21"/>
      <c r="E773" s="26"/>
      <c r="F773" s="26"/>
      <c r="G773" s="21" t="s">
        <v>5614</v>
      </c>
      <c r="H773" s="21" t="s">
        <v>5615</v>
      </c>
      <c r="I773" s="21" t="s">
        <v>5616</v>
      </c>
      <c r="J773" s="26"/>
      <c r="K773" s="26"/>
      <c r="L773" s="28"/>
      <c r="M773" s="28"/>
      <c r="N773" s="28"/>
      <c r="O773" s="28"/>
      <c r="P773" s="28"/>
      <c r="Q773" s="28"/>
      <c r="R773" s="28"/>
      <c r="S773" s="28"/>
      <c r="T773" s="28"/>
      <c r="U773" s="28"/>
      <c r="V773" s="28"/>
      <c r="W773" s="28"/>
      <c r="X773" s="28"/>
      <c r="Y773" s="28"/>
      <c r="Z773" s="28"/>
      <c r="AA773" s="28"/>
      <c r="AB773" s="28"/>
      <c r="AC773" s="28"/>
    </row>
    <row r="774" ht="78.0" customHeight="1">
      <c r="A774" s="48">
        <v>45576.0</v>
      </c>
      <c r="B774" s="50" t="s">
        <v>5618</v>
      </c>
      <c r="C774" s="50" t="s">
        <v>5619</v>
      </c>
      <c r="D774" s="50"/>
      <c r="E774" s="52"/>
      <c r="F774" s="52"/>
      <c r="G774" s="855" t="s">
        <v>5620</v>
      </c>
      <c r="H774" s="50" t="s">
        <v>5621</v>
      </c>
      <c r="I774" s="54"/>
      <c r="J774" s="54"/>
      <c r="K774" s="54"/>
      <c r="L774" s="54"/>
      <c r="M774" s="54"/>
      <c r="N774" s="54"/>
      <c r="O774" s="54"/>
      <c r="P774" s="54"/>
      <c r="Q774" s="54"/>
      <c r="R774" s="54"/>
      <c r="S774" s="54"/>
      <c r="T774" s="54"/>
      <c r="U774" s="54"/>
      <c r="V774" s="54"/>
      <c r="W774" s="54"/>
      <c r="X774" s="54"/>
      <c r="Y774" s="54"/>
      <c r="Z774" s="54"/>
      <c r="AA774" s="54"/>
      <c r="AB774" s="54"/>
      <c r="AC774" s="54"/>
    </row>
    <row r="775" ht="78.0" customHeight="1">
      <c r="A775" s="769">
        <v>45576.0</v>
      </c>
      <c r="B775" s="21" t="s">
        <v>5623</v>
      </c>
      <c r="C775" s="21" t="s">
        <v>5624</v>
      </c>
      <c r="D775" s="21"/>
      <c r="E775" s="26"/>
      <c r="F775" s="26"/>
      <c r="G775" s="26"/>
      <c r="H775" s="26"/>
      <c r="I775" s="28"/>
      <c r="J775" s="28"/>
      <c r="K775" s="28"/>
      <c r="L775" s="28"/>
      <c r="M775" s="28"/>
      <c r="N775" s="28"/>
      <c r="O775" s="28"/>
      <c r="P775" s="28"/>
      <c r="Q775" s="28"/>
      <c r="R775" s="28"/>
      <c r="S775" s="28"/>
      <c r="T775" s="28"/>
      <c r="U775" s="28"/>
      <c r="V775" s="28"/>
      <c r="W775" s="28"/>
      <c r="X775" s="28"/>
      <c r="Y775" s="28"/>
      <c r="Z775" s="28"/>
      <c r="AA775" s="28"/>
      <c r="AB775" s="28"/>
      <c r="AC775" s="28"/>
    </row>
    <row r="776" ht="78.0" customHeight="1">
      <c r="A776" s="48">
        <v>45576.0</v>
      </c>
      <c r="B776" s="50" t="s">
        <v>5626</v>
      </c>
      <c r="C776" s="50" t="s">
        <v>5627</v>
      </c>
      <c r="D776" s="50"/>
      <c r="E776" s="52"/>
      <c r="F776" s="52"/>
      <c r="G776" s="50" t="s">
        <v>5628</v>
      </c>
      <c r="H776" s="50" t="s">
        <v>5629</v>
      </c>
      <c r="I776" s="50" t="s">
        <v>5630</v>
      </c>
      <c r="J776" s="54"/>
      <c r="K776" s="54"/>
      <c r="L776" s="54"/>
      <c r="M776" s="54"/>
      <c r="N776" s="54"/>
      <c r="O776" s="54"/>
      <c r="P776" s="54"/>
      <c r="Q776" s="54"/>
      <c r="R776" s="54"/>
      <c r="S776" s="54"/>
      <c r="T776" s="54"/>
      <c r="U776" s="54"/>
      <c r="V776" s="54"/>
      <c r="W776" s="54"/>
      <c r="X776" s="54"/>
      <c r="Y776" s="54"/>
      <c r="Z776" s="54"/>
      <c r="AA776" s="54"/>
      <c r="AB776" s="54"/>
      <c r="AC776" s="54"/>
    </row>
    <row r="777" ht="78.0" customHeight="1">
      <c r="A777" s="769">
        <v>45576.0</v>
      </c>
      <c r="B777" s="21" t="s">
        <v>5632</v>
      </c>
      <c r="C777" s="21" t="s">
        <v>5633</v>
      </c>
      <c r="D777" s="21"/>
      <c r="E777" s="26"/>
      <c r="F777" s="26"/>
      <c r="G777" s="21" t="s">
        <v>5634</v>
      </c>
      <c r="H777" s="21" t="s">
        <v>5636</v>
      </c>
      <c r="I777" s="825" t="s">
        <v>5637</v>
      </c>
      <c r="J777" s="28"/>
      <c r="K777" s="28"/>
      <c r="L777" s="28"/>
      <c r="M777" s="28"/>
      <c r="N777" s="28"/>
      <c r="O777" s="28"/>
      <c r="P777" s="28"/>
      <c r="Q777" s="28"/>
      <c r="R777" s="28"/>
      <c r="S777" s="28"/>
      <c r="T777" s="28"/>
      <c r="U777" s="28"/>
      <c r="V777" s="28"/>
      <c r="W777" s="28"/>
      <c r="X777" s="28"/>
      <c r="Y777" s="28"/>
      <c r="Z777" s="28"/>
      <c r="AA777" s="28"/>
      <c r="AB777" s="28"/>
      <c r="AC777" s="28"/>
    </row>
    <row r="778" ht="78.0" customHeight="1">
      <c r="A778" s="48">
        <v>45576.0</v>
      </c>
      <c r="B778" s="50" t="s">
        <v>5638</v>
      </c>
      <c r="C778" s="50" t="s">
        <v>5639</v>
      </c>
      <c r="D778" s="50"/>
      <c r="E778" s="52"/>
      <c r="F778" s="52"/>
      <c r="G778" s="50" t="s">
        <v>5640</v>
      </c>
      <c r="H778" s="52"/>
      <c r="I778" s="54"/>
      <c r="J778" s="54"/>
      <c r="K778" s="54"/>
      <c r="L778" s="54"/>
      <c r="M778" s="54"/>
      <c r="N778" s="54"/>
      <c r="O778" s="54"/>
      <c r="P778" s="54"/>
      <c r="Q778" s="54"/>
      <c r="R778" s="54"/>
      <c r="S778" s="54"/>
      <c r="T778" s="54"/>
      <c r="U778" s="54"/>
      <c r="V778" s="54"/>
      <c r="W778" s="54"/>
      <c r="X778" s="54"/>
      <c r="Y778" s="54"/>
      <c r="Z778" s="54"/>
      <c r="AA778" s="54"/>
      <c r="AB778" s="54"/>
      <c r="AC778" s="54"/>
    </row>
    <row r="779" ht="78.0" customHeight="1">
      <c r="A779" s="769">
        <v>45576.0</v>
      </c>
      <c r="B779" s="21" t="s">
        <v>5642</v>
      </c>
      <c r="C779" s="21" t="s">
        <v>5643</v>
      </c>
      <c r="D779" s="21"/>
      <c r="E779" s="26"/>
      <c r="F779" s="26"/>
      <c r="G779" s="859" t="s">
        <v>5646</v>
      </c>
      <c r="H779" s="21" t="s">
        <v>5649</v>
      </c>
      <c r="I779" s="21" t="s">
        <v>5650</v>
      </c>
      <c r="J779" s="21" t="s">
        <v>5651</v>
      </c>
      <c r="K779" s="825" t="s">
        <v>5652</v>
      </c>
      <c r="L779" s="825" t="s">
        <v>5653</v>
      </c>
      <c r="M779" s="28"/>
      <c r="N779" s="28"/>
      <c r="O779" s="28"/>
      <c r="P779" s="28"/>
      <c r="Q779" s="28"/>
      <c r="R779" s="28"/>
      <c r="S779" s="28"/>
      <c r="T779" s="28"/>
      <c r="U779" s="28"/>
      <c r="V779" s="28"/>
      <c r="W779" s="28"/>
      <c r="X779" s="28"/>
      <c r="Y779" s="28"/>
      <c r="Z779" s="28"/>
      <c r="AA779" s="28"/>
      <c r="AB779" s="28"/>
      <c r="AC779" s="28"/>
    </row>
    <row r="780" ht="78.0" customHeight="1">
      <c r="A780" s="48">
        <v>45576.0</v>
      </c>
      <c r="B780" s="50" t="s">
        <v>5655</v>
      </c>
      <c r="C780" s="52"/>
      <c r="D780" s="50"/>
      <c r="E780" s="52"/>
      <c r="F780" s="52"/>
      <c r="G780" s="52"/>
      <c r="H780" s="52"/>
      <c r="I780" s="52"/>
      <c r="J780" s="54"/>
      <c r="K780" s="54"/>
      <c r="L780" s="54"/>
      <c r="M780" s="54"/>
      <c r="N780" s="54"/>
      <c r="O780" s="54"/>
      <c r="P780" s="54"/>
      <c r="Q780" s="54"/>
      <c r="R780" s="54"/>
      <c r="S780" s="54"/>
      <c r="T780" s="54"/>
      <c r="U780" s="54"/>
      <c r="V780" s="54"/>
      <c r="W780" s="54"/>
      <c r="X780" s="54"/>
      <c r="Y780" s="54"/>
      <c r="Z780" s="54"/>
      <c r="AA780" s="54"/>
      <c r="AB780" s="54"/>
      <c r="AC780" s="54"/>
    </row>
    <row r="781" ht="78.0" customHeight="1">
      <c r="A781" s="769">
        <v>45576.0</v>
      </c>
      <c r="B781" s="21" t="s">
        <v>5657</v>
      </c>
      <c r="C781" s="21" t="s">
        <v>5658</v>
      </c>
      <c r="D781" s="21"/>
      <c r="E781" s="26"/>
      <c r="F781" s="26"/>
      <c r="G781" s="26"/>
      <c r="H781" s="26"/>
      <c r="I781" s="28"/>
      <c r="J781" s="28"/>
      <c r="K781" s="28"/>
      <c r="L781" s="28"/>
      <c r="M781" s="28"/>
      <c r="N781" s="28"/>
      <c r="O781" s="28"/>
      <c r="P781" s="28"/>
      <c r="Q781" s="28"/>
      <c r="R781" s="28"/>
      <c r="S781" s="28"/>
      <c r="T781" s="28"/>
      <c r="U781" s="28"/>
      <c r="V781" s="28"/>
      <c r="W781" s="28"/>
      <c r="X781" s="28"/>
      <c r="Y781" s="28"/>
      <c r="Z781" s="28"/>
      <c r="AA781" s="28"/>
      <c r="AB781" s="28"/>
      <c r="AC781" s="28"/>
    </row>
    <row r="782" ht="78.0" customHeight="1">
      <c r="A782" s="48">
        <v>45575.0</v>
      </c>
      <c r="B782" s="50" t="s">
        <v>5660</v>
      </c>
      <c r="C782" s="50" t="s">
        <v>5661</v>
      </c>
      <c r="D782" s="50"/>
      <c r="E782" s="52"/>
      <c r="F782" s="52"/>
      <c r="G782" s="50" t="s">
        <v>5662</v>
      </c>
      <c r="H782" s="50" t="s">
        <v>5663</v>
      </c>
      <c r="I782" s="50" t="s">
        <v>5664</v>
      </c>
      <c r="J782" s="52"/>
      <c r="K782" s="52"/>
      <c r="L782" s="52"/>
      <c r="M782" s="54"/>
      <c r="N782" s="54"/>
      <c r="O782" s="54"/>
      <c r="P782" s="54"/>
      <c r="Q782" s="54"/>
      <c r="R782" s="54"/>
      <c r="S782" s="54"/>
      <c r="T782" s="54"/>
      <c r="U782" s="54"/>
      <c r="V782" s="54"/>
      <c r="W782" s="54"/>
      <c r="X782" s="54"/>
      <c r="Y782" s="54"/>
      <c r="Z782" s="54"/>
      <c r="AA782" s="54"/>
      <c r="AB782" s="54"/>
      <c r="AC782" s="54"/>
    </row>
    <row r="783" ht="78.0" customHeight="1">
      <c r="A783" s="769">
        <v>45575.0</v>
      </c>
      <c r="B783" s="21" t="s">
        <v>5666</v>
      </c>
      <c r="C783" s="21" t="s">
        <v>5667</v>
      </c>
      <c r="D783" s="21"/>
      <c r="E783" s="26"/>
      <c r="F783" s="26"/>
      <c r="G783" s="21" t="s">
        <v>5668</v>
      </c>
      <c r="H783" s="825" t="s">
        <v>5669</v>
      </c>
      <c r="I783" s="28"/>
      <c r="J783" s="28"/>
      <c r="K783" s="28"/>
      <c r="L783" s="28"/>
      <c r="M783" s="28"/>
      <c r="N783" s="28"/>
      <c r="O783" s="28"/>
      <c r="P783" s="28"/>
      <c r="Q783" s="28"/>
      <c r="R783" s="28"/>
      <c r="S783" s="28"/>
      <c r="T783" s="28"/>
      <c r="U783" s="28"/>
      <c r="V783" s="28"/>
      <c r="W783" s="28"/>
      <c r="X783" s="28"/>
      <c r="Y783" s="28"/>
      <c r="Z783" s="28"/>
      <c r="AA783" s="28"/>
      <c r="AB783" s="28"/>
      <c r="AC783" s="28"/>
    </row>
    <row r="784" ht="78.0" customHeight="1">
      <c r="A784" s="48">
        <v>45575.0</v>
      </c>
      <c r="B784" s="50" t="s">
        <v>5671</v>
      </c>
      <c r="C784" s="50" t="s">
        <v>5672</v>
      </c>
      <c r="D784" s="50"/>
      <c r="E784" s="52"/>
      <c r="F784" s="52"/>
      <c r="G784" s="50" t="s">
        <v>5673</v>
      </c>
      <c r="H784" s="855" t="s">
        <v>5674</v>
      </c>
      <c r="I784" s="855" t="s">
        <v>5675</v>
      </c>
      <c r="J784" s="54"/>
      <c r="K784" s="54"/>
      <c r="L784" s="54"/>
      <c r="M784" s="54"/>
      <c r="N784" s="54"/>
      <c r="O784" s="54"/>
      <c r="P784" s="54"/>
      <c r="Q784" s="54"/>
      <c r="R784" s="54"/>
      <c r="S784" s="54"/>
      <c r="T784" s="54"/>
      <c r="U784" s="54"/>
      <c r="V784" s="54"/>
      <c r="W784" s="54"/>
      <c r="X784" s="54"/>
      <c r="Y784" s="54"/>
      <c r="Z784" s="54"/>
      <c r="AA784" s="54"/>
      <c r="AB784" s="54"/>
      <c r="AC784" s="54"/>
    </row>
    <row r="785" ht="78.0" customHeight="1">
      <c r="A785" s="769">
        <v>45575.0</v>
      </c>
      <c r="B785" s="21" t="s">
        <v>5678</v>
      </c>
      <c r="C785" s="21" t="s">
        <v>5679</v>
      </c>
      <c r="D785" s="21"/>
      <c r="E785" s="26"/>
      <c r="F785" s="26"/>
      <c r="G785" s="26"/>
      <c r="H785" s="26"/>
      <c r="I785" s="26"/>
      <c r="J785" s="28"/>
      <c r="K785" s="28"/>
      <c r="L785" s="28"/>
      <c r="M785" s="28"/>
      <c r="N785" s="28"/>
      <c r="O785" s="28"/>
      <c r="P785" s="28"/>
      <c r="Q785" s="28"/>
      <c r="R785" s="28"/>
      <c r="S785" s="28"/>
      <c r="T785" s="28"/>
      <c r="U785" s="28"/>
      <c r="V785" s="28"/>
      <c r="W785" s="28"/>
      <c r="X785" s="28"/>
      <c r="Y785" s="28"/>
      <c r="Z785" s="28"/>
      <c r="AA785" s="28"/>
      <c r="AB785" s="28"/>
      <c r="AC785" s="28"/>
    </row>
    <row r="786" ht="78.0" customHeight="1">
      <c r="A786" s="48">
        <v>45575.0</v>
      </c>
      <c r="B786" s="50" t="s">
        <v>5678</v>
      </c>
      <c r="C786" s="50" t="s">
        <v>5683</v>
      </c>
      <c r="D786" s="50"/>
      <c r="E786" s="52"/>
      <c r="F786" s="52"/>
      <c r="G786" s="50" t="s">
        <v>5684</v>
      </c>
      <c r="H786" s="50" t="s">
        <v>5685</v>
      </c>
      <c r="I786" s="54"/>
      <c r="J786" s="54"/>
      <c r="K786" s="54"/>
      <c r="L786" s="54"/>
      <c r="M786" s="54"/>
      <c r="N786" s="54"/>
      <c r="O786" s="54"/>
      <c r="P786" s="54"/>
      <c r="Q786" s="54"/>
      <c r="R786" s="54"/>
      <c r="S786" s="54"/>
      <c r="T786" s="54"/>
      <c r="U786" s="54"/>
      <c r="V786" s="54"/>
      <c r="W786" s="54"/>
      <c r="X786" s="54"/>
      <c r="Y786" s="54"/>
      <c r="Z786" s="54"/>
      <c r="AA786" s="54"/>
      <c r="AB786" s="54"/>
      <c r="AC786" s="54"/>
    </row>
    <row r="787" ht="78.0" customHeight="1">
      <c r="A787" s="769">
        <v>45575.0</v>
      </c>
      <c r="B787" s="21" t="s">
        <v>5678</v>
      </c>
      <c r="C787" s="21" t="s">
        <v>5686</v>
      </c>
      <c r="D787" s="21"/>
      <c r="E787" s="26"/>
      <c r="F787" s="26"/>
      <c r="G787" s="21" t="s">
        <v>5687</v>
      </c>
      <c r="H787" s="21" t="s">
        <v>5688</v>
      </c>
      <c r="I787" s="21" t="s">
        <v>5690</v>
      </c>
      <c r="J787" s="825" t="s">
        <v>5691</v>
      </c>
      <c r="K787" s="28"/>
      <c r="L787" s="28"/>
      <c r="M787" s="28"/>
      <c r="N787" s="28"/>
      <c r="O787" s="28"/>
      <c r="P787" s="28"/>
      <c r="Q787" s="28"/>
      <c r="R787" s="28"/>
      <c r="S787" s="28"/>
      <c r="T787" s="28"/>
      <c r="U787" s="28"/>
      <c r="V787" s="28"/>
      <c r="W787" s="28"/>
      <c r="X787" s="28"/>
      <c r="Y787" s="28"/>
      <c r="Z787" s="28"/>
      <c r="AA787" s="28"/>
      <c r="AB787" s="28"/>
      <c r="AC787" s="28"/>
    </row>
    <row r="788" ht="78.0" customHeight="1">
      <c r="A788" s="48">
        <v>45575.0</v>
      </c>
      <c r="B788" s="50" t="s">
        <v>5693</v>
      </c>
      <c r="C788" s="50" t="s">
        <v>5694</v>
      </c>
      <c r="D788" s="50"/>
      <c r="E788" s="52"/>
      <c r="F788" s="52"/>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row>
    <row r="789" ht="78.0" customHeight="1">
      <c r="A789" s="769">
        <v>45575.0</v>
      </c>
      <c r="B789" s="21" t="s">
        <v>5697</v>
      </c>
      <c r="C789" s="21" t="s">
        <v>5698</v>
      </c>
      <c r="D789" s="21"/>
      <c r="E789" s="26"/>
      <c r="F789" s="26"/>
      <c r="G789" s="21" t="s">
        <v>5699</v>
      </c>
      <c r="H789" s="26"/>
      <c r="I789" s="26"/>
      <c r="J789" s="28"/>
      <c r="K789" s="28"/>
      <c r="L789" s="28"/>
      <c r="M789" s="28"/>
      <c r="N789" s="28"/>
      <c r="O789" s="28"/>
      <c r="P789" s="28"/>
      <c r="Q789" s="28"/>
      <c r="R789" s="28"/>
      <c r="S789" s="28"/>
      <c r="T789" s="28"/>
      <c r="U789" s="28"/>
      <c r="V789" s="28"/>
      <c r="W789" s="28"/>
      <c r="X789" s="28"/>
      <c r="Y789" s="28"/>
      <c r="Z789" s="28"/>
      <c r="AA789" s="28"/>
      <c r="AB789" s="28"/>
      <c r="AC789" s="28"/>
    </row>
    <row r="790" ht="78.0" customHeight="1">
      <c r="A790" s="48">
        <v>45574.0</v>
      </c>
      <c r="B790" s="50" t="s">
        <v>5700</v>
      </c>
      <c r="C790" s="50" t="s">
        <v>5701</v>
      </c>
      <c r="D790" s="50"/>
      <c r="E790" s="52"/>
      <c r="F790" s="52"/>
      <c r="G790" s="50" t="s">
        <v>5702</v>
      </c>
      <c r="H790" s="50" t="s">
        <v>5703</v>
      </c>
      <c r="I790" s="50" t="s">
        <v>5704</v>
      </c>
      <c r="J790" s="50" t="s">
        <v>5705</v>
      </c>
      <c r="K790" s="54"/>
      <c r="L790" s="54"/>
      <c r="M790" s="54"/>
      <c r="N790" s="54"/>
      <c r="O790" s="54"/>
      <c r="P790" s="54"/>
      <c r="Q790" s="54"/>
      <c r="R790" s="54"/>
      <c r="S790" s="54"/>
      <c r="T790" s="54"/>
      <c r="U790" s="54"/>
      <c r="V790" s="54"/>
      <c r="W790" s="54"/>
      <c r="X790" s="54"/>
      <c r="Y790" s="54"/>
      <c r="Z790" s="54"/>
      <c r="AA790" s="54"/>
      <c r="AB790" s="54"/>
      <c r="AC790" s="54"/>
    </row>
    <row r="791" ht="78.0" customHeight="1">
      <c r="A791" s="769">
        <v>45574.0</v>
      </c>
      <c r="B791" s="21" t="s">
        <v>5706</v>
      </c>
      <c r="C791" s="21" t="s">
        <v>5707</v>
      </c>
      <c r="D791" s="21"/>
      <c r="E791" s="26"/>
      <c r="F791" s="26"/>
      <c r="G791" s="21" t="s">
        <v>5709</v>
      </c>
      <c r="H791" s="26"/>
      <c r="I791" s="26"/>
      <c r="J791" s="28"/>
      <c r="K791" s="28"/>
      <c r="L791" s="28"/>
      <c r="M791" s="28"/>
      <c r="N791" s="28"/>
      <c r="O791" s="28"/>
      <c r="P791" s="28"/>
      <c r="Q791" s="28"/>
      <c r="R791" s="28"/>
      <c r="S791" s="28"/>
      <c r="T791" s="28"/>
      <c r="U791" s="28"/>
      <c r="V791" s="28"/>
      <c r="W791" s="28"/>
      <c r="X791" s="28"/>
      <c r="Y791" s="28"/>
      <c r="Z791" s="28"/>
      <c r="AA791" s="28"/>
      <c r="AB791" s="28"/>
      <c r="AC791" s="28"/>
    </row>
    <row r="792" ht="78.0" customHeight="1">
      <c r="A792" s="48">
        <v>45574.0</v>
      </c>
      <c r="B792" s="50" t="s">
        <v>5710</v>
      </c>
      <c r="C792" s="50" t="s">
        <v>5711</v>
      </c>
      <c r="D792" s="50"/>
      <c r="E792" s="52"/>
      <c r="F792" s="52"/>
      <c r="G792" s="50" t="s">
        <v>5712</v>
      </c>
      <c r="H792" s="50" t="s">
        <v>5713</v>
      </c>
      <c r="I792" s="50" t="s">
        <v>5714</v>
      </c>
      <c r="J792" s="855" t="s">
        <v>5716</v>
      </c>
      <c r="K792" s="855" t="s">
        <v>5717</v>
      </c>
      <c r="L792" s="54"/>
      <c r="M792" s="54"/>
      <c r="N792" s="54"/>
      <c r="O792" s="54"/>
      <c r="P792" s="54"/>
      <c r="Q792" s="54"/>
      <c r="R792" s="54"/>
      <c r="S792" s="54"/>
      <c r="T792" s="54"/>
      <c r="U792" s="54"/>
      <c r="V792" s="54"/>
      <c r="W792" s="54"/>
      <c r="X792" s="54"/>
      <c r="Y792" s="54"/>
      <c r="Z792" s="54"/>
      <c r="AA792" s="54"/>
      <c r="AB792" s="54"/>
      <c r="AC792" s="54"/>
    </row>
    <row r="793" ht="78.0" customHeight="1">
      <c r="A793" s="769">
        <v>45574.0</v>
      </c>
      <c r="B793" s="21" t="s">
        <v>5719</v>
      </c>
      <c r="C793" s="21" t="s">
        <v>5720</v>
      </c>
      <c r="D793" s="21"/>
      <c r="E793" s="26"/>
      <c r="F793" s="26"/>
      <c r="G793" s="21" t="s">
        <v>5721</v>
      </c>
      <c r="H793" s="21" t="s">
        <v>5722</v>
      </c>
      <c r="I793" s="21" t="s">
        <v>5723</v>
      </c>
      <c r="J793" s="26"/>
      <c r="K793" s="28"/>
      <c r="L793" s="28"/>
      <c r="M793" s="28"/>
      <c r="N793" s="28"/>
      <c r="O793" s="28"/>
      <c r="P793" s="28"/>
      <c r="Q793" s="28"/>
      <c r="R793" s="28"/>
      <c r="S793" s="28"/>
      <c r="T793" s="28"/>
      <c r="U793" s="28"/>
      <c r="V793" s="28"/>
      <c r="W793" s="28"/>
      <c r="X793" s="28"/>
      <c r="Y793" s="28"/>
      <c r="Z793" s="28"/>
      <c r="AA793" s="28"/>
      <c r="AB793" s="28"/>
      <c r="AC793" s="28"/>
    </row>
    <row r="794" ht="78.0" customHeight="1">
      <c r="A794" s="48">
        <v>45573.0</v>
      </c>
      <c r="B794" s="50" t="s">
        <v>5727</v>
      </c>
      <c r="C794" s="50" t="s">
        <v>5728</v>
      </c>
      <c r="D794" s="50"/>
      <c r="E794" s="52"/>
      <c r="F794" s="52"/>
      <c r="G794" s="50" t="s">
        <v>5729</v>
      </c>
      <c r="H794" s="799" t="s">
        <v>5730</v>
      </c>
      <c r="I794" s="52"/>
      <c r="J794" s="54"/>
      <c r="K794" s="54"/>
      <c r="L794" s="54"/>
      <c r="M794" s="54"/>
      <c r="N794" s="54"/>
      <c r="O794" s="54"/>
      <c r="P794" s="54"/>
      <c r="Q794" s="54"/>
      <c r="R794" s="54"/>
      <c r="S794" s="54"/>
      <c r="T794" s="54"/>
      <c r="U794" s="54"/>
      <c r="V794" s="54"/>
      <c r="W794" s="54"/>
      <c r="X794" s="54"/>
      <c r="Y794" s="54"/>
      <c r="Z794" s="54"/>
      <c r="AA794" s="54"/>
      <c r="AB794" s="54"/>
      <c r="AC794" s="54"/>
    </row>
    <row r="795" ht="78.0" customHeight="1">
      <c r="A795" s="769">
        <v>45573.0</v>
      </c>
      <c r="B795" s="21" t="s">
        <v>5735</v>
      </c>
      <c r="C795" s="21" t="s">
        <v>5736</v>
      </c>
      <c r="D795" s="21"/>
      <c r="E795" s="26"/>
      <c r="F795" s="26"/>
      <c r="G795" s="26"/>
      <c r="H795" s="26"/>
      <c r="I795" s="26"/>
      <c r="J795" s="26"/>
      <c r="K795" s="26"/>
      <c r="L795" s="28"/>
      <c r="M795" s="28"/>
      <c r="N795" s="28"/>
      <c r="O795" s="28"/>
      <c r="P795" s="28"/>
      <c r="Q795" s="28"/>
      <c r="R795" s="28"/>
      <c r="S795" s="28"/>
      <c r="T795" s="28"/>
      <c r="U795" s="28"/>
      <c r="V795" s="28"/>
      <c r="W795" s="28"/>
      <c r="X795" s="28"/>
      <c r="Y795" s="28"/>
      <c r="Z795" s="28"/>
      <c r="AA795" s="28"/>
      <c r="AB795" s="28"/>
      <c r="AC795" s="28"/>
    </row>
    <row r="796" ht="78.0" customHeight="1">
      <c r="A796" s="48">
        <v>45573.0</v>
      </c>
      <c r="B796" s="50" t="s">
        <v>5740</v>
      </c>
      <c r="C796" s="50" t="s">
        <v>5741</v>
      </c>
      <c r="D796" s="50"/>
      <c r="E796" s="52"/>
      <c r="F796" s="52"/>
      <c r="G796" s="50" t="s">
        <v>5742</v>
      </c>
      <c r="H796" s="885" t="s">
        <v>5743</v>
      </c>
      <c r="I796" s="52"/>
      <c r="J796" s="54"/>
      <c r="K796" s="54"/>
      <c r="L796" s="54"/>
      <c r="M796" s="54"/>
      <c r="N796" s="54"/>
      <c r="O796" s="54"/>
      <c r="P796" s="54"/>
      <c r="Q796" s="54"/>
      <c r="R796" s="54"/>
      <c r="S796" s="54"/>
      <c r="T796" s="54"/>
      <c r="U796" s="54"/>
      <c r="V796" s="54"/>
      <c r="W796" s="54"/>
      <c r="X796" s="54"/>
      <c r="Y796" s="54"/>
      <c r="Z796" s="54"/>
      <c r="AA796" s="54"/>
      <c r="AB796" s="54"/>
      <c r="AC796" s="54"/>
    </row>
    <row r="797" ht="78.0" customHeight="1">
      <c r="A797" s="769">
        <v>45573.0</v>
      </c>
      <c r="B797" s="21" t="s">
        <v>5745</v>
      </c>
      <c r="C797" s="26"/>
      <c r="D797" s="21"/>
      <c r="E797" s="26"/>
      <c r="F797" s="26"/>
      <c r="G797" s="26"/>
      <c r="H797" s="26"/>
      <c r="I797" s="28"/>
      <c r="J797" s="28"/>
      <c r="K797" s="28"/>
      <c r="L797" s="28"/>
      <c r="M797" s="28"/>
      <c r="N797" s="28"/>
      <c r="O797" s="28"/>
      <c r="P797" s="28"/>
      <c r="Q797" s="28"/>
      <c r="R797" s="28"/>
      <c r="S797" s="28"/>
      <c r="T797" s="28"/>
      <c r="U797" s="28"/>
      <c r="V797" s="28"/>
      <c r="W797" s="28"/>
      <c r="X797" s="28"/>
      <c r="Y797" s="28"/>
      <c r="Z797" s="28"/>
      <c r="AA797" s="28"/>
      <c r="AB797" s="28"/>
      <c r="AC797" s="28"/>
    </row>
    <row r="798" ht="78.0" customHeight="1">
      <c r="A798" s="48">
        <v>45573.0</v>
      </c>
      <c r="B798" s="50" t="s">
        <v>5747</v>
      </c>
      <c r="C798" s="50" t="s">
        <v>5748</v>
      </c>
      <c r="D798" s="50"/>
      <c r="E798" s="52"/>
      <c r="F798" s="52"/>
      <c r="G798" s="50" t="s">
        <v>5749</v>
      </c>
      <c r="H798" s="855" t="s">
        <v>5750</v>
      </c>
      <c r="I798" s="54"/>
      <c r="J798" s="54"/>
      <c r="K798" s="54"/>
      <c r="L798" s="54"/>
      <c r="M798" s="54"/>
      <c r="N798" s="54"/>
      <c r="O798" s="54"/>
      <c r="P798" s="54"/>
      <c r="Q798" s="54"/>
      <c r="R798" s="54"/>
      <c r="S798" s="54"/>
      <c r="T798" s="54"/>
      <c r="U798" s="54"/>
      <c r="V798" s="54"/>
      <c r="W798" s="54"/>
      <c r="X798" s="54"/>
      <c r="Y798" s="54"/>
      <c r="Z798" s="54"/>
      <c r="AA798" s="54"/>
      <c r="AB798" s="54"/>
      <c r="AC798" s="54"/>
    </row>
    <row r="799" ht="78.0" customHeight="1">
      <c r="A799" s="769">
        <v>45573.0</v>
      </c>
      <c r="B799" s="21" t="s">
        <v>5752</v>
      </c>
      <c r="C799" s="21" t="s">
        <v>5753</v>
      </c>
      <c r="D799" s="21"/>
      <c r="E799" s="26"/>
      <c r="F799" s="26"/>
      <c r="G799" s="26"/>
      <c r="H799" s="26"/>
      <c r="I799" s="28"/>
      <c r="J799" s="28"/>
      <c r="K799" s="28"/>
      <c r="L799" s="28"/>
      <c r="M799" s="28"/>
      <c r="N799" s="28"/>
      <c r="O799" s="28"/>
      <c r="P799" s="28"/>
      <c r="Q799" s="28"/>
      <c r="R799" s="28"/>
      <c r="S799" s="28"/>
      <c r="T799" s="28"/>
      <c r="U799" s="28"/>
      <c r="V799" s="28"/>
      <c r="W799" s="28"/>
      <c r="X799" s="28"/>
      <c r="Y799" s="28"/>
      <c r="Z799" s="28"/>
      <c r="AA799" s="28"/>
      <c r="AB799" s="28"/>
      <c r="AC799" s="28"/>
    </row>
    <row r="800" ht="78.0" customHeight="1">
      <c r="A800" s="48">
        <v>45573.0</v>
      </c>
      <c r="B800" s="50" t="s">
        <v>5757</v>
      </c>
      <c r="C800" s="50" t="s">
        <v>5758</v>
      </c>
      <c r="D800" s="50"/>
      <c r="E800" s="52"/>
      <c r="F800" s="52"/>
      <c r="G800" s="52"/>
      <c r="H800" s="54"/>
      <c r="I800" s="54"/>
      <c r="J800" s="54"/>
      <c r="K800" s="54"/>
      <c r="L800" s="54"/>
      <c r="M800" s="54"/>
      <c r="N800" s="54"/>
      <c r="O800" s="54"/>
      <c r="P800" s="54"/>
      <c r="Q800" s="54"/>
      <c r="R800" s="54"/>
      <c r="S800" s="54"/>
      <c r="T800" s="54"/>
      <c r="U800" s="54"/>
      <c r="V800" s="54"/>
      <c r="W800" s="54"/>
      <c r="X800" s="54"/>
      <c r="Y800" s="54"/>
      <c r="Z800" s="54"/>
      <c r="AA800" s="54"/>
      <c r="AB800" s="54"/>
      <c r="AC800" s="54"/>
    </row>
    <row r="801" ht="78.0" customHeight="1">
      <c r="A801" s="769">
        <v>45572.0</v>
      </c>
      <c r="B801" s="21" t="s">
        <v>5765</v>
      </c>
      <c r="C801" s="21" t="s">
        <v>5766</v>
      </c>
      <c r="D801" s="21"/>
      <c r="E801" s="26"/>
      <c r="F801" s="26"/>
      <c r="G801" s="21" t="s">
        <v>5767</v>
      </c>
      <c r="H801" s="26"/>
      <c r="I801" s="28"/>
      <c r="J801" s="28"/>
      <c r="K801" s="28"/>
      <c r="L801" s="28"/>
      <c r="M801" s="28"/>
      <c r="N801" s="28"/>
      <c r="O801" s="28"/>
      <c r="P801" s="28"/>
      <c r="Q801" s="28"/>
      <c r="R801" s="28"/>
      <c r="S801" s="28"/>
      <c r="T801" s="28"/>
      <c r="U801" s="28"/>
      <c r="V801" s="28"/>
      <c r="W801" s="28"/>
      <c r="X801" s="28"/>
      <c r="Y801" s="28"/>
      <c r="Z801" s="28"/>
      <c r="AA801" s="28"/>
      <c r="AB801" s="28"/>
      <c r="AC801" s="28"/>
    </row>
    <row r="802" ht="78.0" customHeight="1">
      <c r="A802" s="48">
        <v>45572.0</v>
      </c>
      <c r="B802" s="50" t="s">
        <v>5775</v>
      </c>
      <c r="C802" s="52"/>
      <c r="D802" s="50"/>
      <c r="E802" s="52"/>
      <c r="F802" s="52"/>
      <c r="G802" s="52"/>
      <c r="H802" s="54"/>
      <c r="I802" s="54"/>
      <c r="J802" s="54"/>
      <c r="K802" s="54"/>
      <c r="L802" s="54"/>
      <c r="M802" s="54"/>
      <c r="N802" s="54"/>
      <c r="O802" s="54"/>
      <c r="P802" s="54"/>
      <c r="Q802" s="54"/>
      <c r="R802" s="54"/>
      <c r="S802" s="54"/>
      <c r="T802" s="54"/>
      <c r="U802" s="54"/>
      <c r="V802" s="54"/>
      <c r="W802" s="54"/>
      <c r="X802" s="54"/>
      <c r="Y802" s="54"/>
      <c r="Z802" s="54"/>
      <c r="AA802" s="54"/>
      <c r="AB802" s="54"/>
      <c r="AC802" s="54"/>
    </row>
    <row r="803" ht="78.0" customHeight="1">
      <c r="A803" s="48">
        <v>45572.0</v>
      </c>
      <c r="B803" s="50" t="s">
        <v>5780</v>
      </c>
      <c r="C803" s="50" t="s">
        <v>5781</v>
      </c>
      <c r="D803" s="50"/>
      <c r="E803" s="52"/>
      <c r="F803" s="52"/>
      <c r="G803" s="52"/>
      <c r="H803" s="54"/>
      <c r="I803" s="54"/>
      <c r="J803" s="54"/>
      <c r="K803" s="54"/>
      <c r="L803" s="54"/>
      <c r="M803" s="54"/>
      <c r="N803" s="54"/>
      <c r="O803" s="54"/>
      <c r="P803" s="54"/>
      <c r="Q803" s="54"/>
      <c r="R803" s="54"/>
      <c r="S803" s="54"/>
      <c r="T803" s="54"/>
      <c r="U803" s="54"/>
      <c r="V803" s="54"/>
      <c r="W803" s="54"/>
      <c r="X803" s="54"/>
      <c r="Y803" s="54"/>
      <c r="Z803" s="54"/>
      <c r="AA803" s="54"/>
      <c r="AB803" s="54"/>
      <c r="AC803" s="54"/>
    </row>
    <row r="804" ht="78.0" customHeight="1">
      <c r="A804" s="769">
        <v>45572.0</v>
      </c>
      <c r="B804" s="21" t="s">
        <v>5785</v>
      </c>
      <c r="C804" s="21" t="s">
        <v>5786</v>
      </c>
      <c r="D804" s="21"/>
      <c r="E804" s="26"/>
      <c r="F804" s="26"/>
      <c r="G804" s="21" t="s">
        <v>5787</v>
      </c>
      <c r="H804" s="825" t="s">
        <v>5789</v>
      </c>
      <c r="I804" s="825" t="s">
        <v>5790</v>
      </c>
      <c r="J804" s="825" t="s">
        <v>5791</v>
      </c>
      <c r="K804" s="28"/>
      <c r="L804" s="28"/>
      <c r="M804" s="28"/>
      <c r="N804" s="28"/>
      <c r="O804" s="28"/>
      <c r="P804" s="28"/>
      <c r="Q804" s="28"/>
      <c r="R804" s="28"/>
      <c r="S804" s="28"/>
      <c r="T804" s="28"/>
      <c r="U804" s="28"/>
      <c r="V804" s="28"/>
      <c r="W804" s="28"/>
      <c r="X804" s="28"/>
      <c r="Y804" s="28"/>
      <c r="Z804" s="28"/>
      <c r="AA804" s="28"/>
      <c r="AB804" s="28"/>
      <c r="AC804" s="28"/>
    </row>
    <row r="805" ht="78.0" customHeight="1">
      <c r="A805" s="48">
        <v>45572.0</v>
      </c>
      <c r="B805" s="50" t="s">
        <v>5794</v>
      </c>
      <c r="C805" s="50" t="s">
        <v>5795</v>
      </c>
      <c r="D805" s="50"/>
      <c r="E805" s="52"/>
      <c r="F805" s="52"/>
      <c r="G805" s="50" t="s">
        <v>5796</v>
      </c>
      <c r="H805" s="54"/>
      <c r="I805" s="54"/>
      <c r="J805" s="54"/>
      <c r="K805" s="54"/>
      <c r="L805" s="54"/>
      <c r="M805" s="54"/>
      <c r="N805" s="54"/>
      <c r="O805" s="54"/>
      <c r="P805" s="54"/>
      <c r="Q805" s="54"/>
      <c r="R805" s="54"/>
      <c r="S805" s="54"/>
      <c r="T805" s="54"/>
      <c r="U805" s="54"/>
      <c r="V805" s="54"/>
      <c r="W805" s="54"/>
      <c r="X805" s="54"/>
      <c r="Y805" s="54"/>
      <c r="Z805" s="54"/>
      <c r="AA805" s="54"/>
      <c r="AB805" s="54"/>
      <c r="AC805" s="54"/>
    </row>
    <row r="806" ht="78.0" customHeight="1">
      <c r="A806" s="769">
        <v>45572.0</v>
      </c>
      <c r="B806" s="21" t="s">
        <v>5802</v>
      </c>
      <c r="C806" s="21" t="s">
        <v>5804</v>
      </c>
      <c r="D806" s="21"/>
      <c r="E806" s="26"/>
      <c r="F806" s="26"/>
      <c r="G806" s="26"/>
      <c r="H806" s="28"/>
      <c r="I806" s="28"/>
      <c r="J806" s="28"/>
      <c r="K806" s="28"/>
      <c r="L806" s="28"/>
      <c r="M806" s="28"/>
      <c r="N806" s="28"/>
      <c r="O806" s="28"/>
      <c r="P806" s="28"/>
      <c r="Q806" s="28"/>
      <c r="R806" s="28"/>
      <c r="S806" s="28"/>
      <c r="T806" s="28"/>
      <c r="U806" s="28"/>
      <c r="V806" s="28"/>
      <c r="W806" s="28"/>
      <c r="X806" s="28"/>
      <c r="Y806" s="28"/>
      <c r="Z806" s="28"/>
      <c r="AA806" s="28"/>
      <c r="AB806" s="28"/>
      <c r="AC806" s="28"/>
    </row>
    <row r="807" ht="78.0" customHeight="1">
      <c r="A807" s="48">
        <v>45572.0</v>
      </c>
      <c r="B807" s="50" t="s">
        <v>5810</v>
      </c>
      <c r="C807" s="50" t="s">
        <v>717</v>
      </c>
      <c r="D807" s="50"/>
      <c r="E807" s="52"/>
      <c r="F807" s="52"/>
      <c r="G807" s="52"/>
      <c r="H807" s="52"/>
      <c r="I807" s="52"/>
      <c r="J807" s="52"/>
      <c r="K807" s="54"/>
      <c r="L807" s="54"/>
      <c r="M807" s="54"/>
      <c r="N807" s="54"/>
      <c r="O807" s="54"/>
      <c r="P807" s="54"/>
      <c r="Q807" s="54"/>
      <c r="R807" s="54"/>
      <c r="S807" s="54"/>
      <c r="T807" s="54"/>
      <c r="U807" s="54"/>
      <c r="V807" s="54"/>
      <c r="W807" s="54"/>
      <c r="X807" s="54"/>
      <c r="Y807" s="54"/>
      <c r="Z807" s="54"/>
      <c r="AA807" s="54"/>
      <c r="AB807" s="54"/>
      <c r="AC807" s="54"/>
    </row>
    <row r="808" ht="78.0" customHeight="1">
      <c r="A808" s="769">
        <v>45572.0</v>
      </c>
      <c r="B808" s="21" t="s">
        <v>5823</v>
      </c>
      <c r="C808" s="21" t="s">
        <v>5824</v>
      </c>
      <c r="D808" s="21"/>
      <c r="E808" s="26"/>
      <c r="F808" s="26"/>
      <c r="G808" s="26"/>
      <c r="H808" s="28"/>
      <c r="I808" s="28"/>
      <c r="J808" s="28"/>
      <c r="K808" s="28"/>
      <c r="L808" s="28"/>
      <c r="M808" s="28"/>
      <c r="N808" s="28"/>
      <c r="O808" s="28"/>
      <c r="P808" s="28"/>
      <c r="Q808" s="28"/>
      <c r="R808" s="28"/>
      <c r="S808" s="28"/>
      <c r="T808" s="28"/>
      <c r="U808" s="28"/>
      <c r="V808" s="28"/>
      <c r="W808" s="28"/>
      <c r="X808" s="28"/>
      <c r="Y808" s="28"/>
      <c r="Z808" s="28"/>
      <c r="AA808" s="28"/>
      <c r="AB808" s="28"/>
      <c r="AC808" s="28"/>
    </row>
    <row r="809" ht="78.0" customHeight="1">
      <c r="A809" s="48">
        <v>45572.0</v>
      </c>
      <c r="B809" s="858" t="s">
        <v>5839</v>
      </c>
      <c r="C809" s="50" t="s">
        <v>5840</v>
      </c>
      <c r="D809" s="855"/>
      <c r="E809" s="52"/>
      <c r="F809" s="52"/>
      <c r="G809" s="52"/>
      <c r="H809" s="52"/>
      <c r="I809" s="54"/>
      <c r="J809" s="54"/>
      <c r="K809" s="54"/>
      <c r="L809" s="54"/>
      <c r="M809" s="54"/>
      <c r="N809" s="54"/>
      <c r="O809" s="54"/>
      <c r="P809" s="54"/>
      <c r="Q809" s="54"/>
      <c r="R809" s="54"/>
      <c r="S809" s="54"/>
      <c r="T809" s="54"/>
      <c r="U809" s="54"/>
      <c r="V809" s="54"/>
      <c r="W809" s="54"/>
      <c r="X809" s="54"/>
      <c r="Y809" s="54"/>
      <c r="Z809" s="54"/>
      <c r="AA809" s="54"/>
      <c r="AB809" s="54"/>
      <c r="AC809" s="54"/>
    </row>
    <row r="810" ht="78.0" customHeight="1">
      <c r="A810" s="48">
        <v>45571.0</v>
      </c>
      <c r="B810" s="50" t="s">
        <v>5845</v>
      </c>
      <c r="C810" s="50" t="s">
        <v>5846</v>
      </c>
      <c r="D810" s="50"/>
      <c r="E810" s="52"/>
      <c r="F810" s="52"/>
      <c r="G810" s="50" t="s">
        <v>5848</v>
      </c>
      <c r="H810" s="855" t="s">
        <v>5850</v>
      </c>
      <c r="I810" s="855" t="s">
        <v>5851</v>
      </c>
      <c r="J810" s="54"/>
      <c r="K810" s="54"/>
      <c r="L810" s="54"/>
      <c r="M810" s="54"/>
      <c r="N810" s="54"/>
      <c r="O810" s="54"/>
      <c r="P810" s="54"/>
      <c r="Q810" s="54"/>
      <c r="R810" s="54"/>
      <c r="S810" s="54"/>
      <c r="T810" s="54"/>
      <c r="U810" s="54"/>
      <c r="V810" s="54"/>
      <c r="W810" s="54"/>
      <c r="X810" s="54"/>
      <c r="Y810" s="54"/>
      <c r="Z810" s="54"/>
      <c r="AA810" s="54"/>
      <c r="AB810" s="54"/>
      <c r="AC810" s="54"/>
    </row>
    <row r="811" ht="78.0" customHeight="1">
      <c r="A811" s="769">
        <v>45569.0</v>
      </c>
      <c r="B811" s="21" t="s">
        <v>5856</v>
      </c>
      <c r="C811" s="21" t="s">
        <v>5857</v>
      </c>
      <c r="D811" s="21"/>
      <c r="E811" s="26"/>
      <c r="F811" s="26"/>
      <c r="G811" s="21" t="s">
        <v>5860</v>
      </c>
      <c r="H811" s="28"/>
      <c r="I811" s="28"/>
      <c r="J811" s="28"/>
      <c r="K811" s="28"/>
      <c r="L811" s="28"/>
      <c r="M811" s="28"/>
      <c r="N811" s="28"/>
      <c r="O811" s="28"/>
      <c r="P811" s="28"/>
      <c r="Q811" s="28"/>
      <c r="R811" s="28"/>
      <c r="S811" s="28"/>
      <c r="T811" s="28"/>
      <c r="U811" s="28"/>
      <c r="V811" s="28"/>
      <c r="W811" s="28"/>
      <c r="X811" s="28"/>
      <c r="Y811" s="28"/>
      <c r="Z811" s="28"/>
      <c r="AA811" s="28"/>
      <c r="AB811" s="28"/>
      <c r="AC811" s="28"/>
    </row>
    <row r="812" ht="78.0" customHeight="1">
      <c r="A812" s="48">
        <v>45569.0</v>
      </c>
      <c r="B812" s="50" t="s">
        <v>5864</v>
      </c>
      <c r="C812" s="50" t="s">
        <v>5866</v>
      </c>
      <c r="D812" s="50"/>
      <c r="E812" s="52"/>
      <c r="F812" s="52"/>
      <c r="G812" s="52"/>
      <c r="H812" s="54"/>
      <c r="I812" s="54"/>
      <c r="J812" s="54"/>
      <c r="K812" s="54"/>
      <c r="L812" s="54"/>
      <c r="M812" s="54"/>
      <c r="N812" s="54"/>
      <c r="O812" s="54"/>
      <c r="P812" s="54"/>
      <c r="Q812" s="54"/>
      <c r="R812" s="54"/>
      <c r="S812" s="54"/>
      <c r="T812" s="54"/>
      <c r="U812" s="54"/>
      <c r="V812" s="54"/>
      <c r="W812" s="54"/>
      <c r="X812" s="54"/>
      <c r="Y812" s="54"/>
      <c r="Z812" s="54"/>
      <c r="AA812" s="54"/>
      <c r="AB812" s="54"/>
      <c r="AC812" s="54"/>
    </row>
    <row r="813" ht="78.0" customHeight="1">
      <c r="A813" s="769">
        <v>45569.0</v>
      </c>
      <c r="B813" s="21" t="s">
        <v>5870</v>
      </c>
      <c r="C813" s="21" t="s">
        <v>5871</v>
      </c>
      <c r="D813" s="21"/>
      <c r="E813" s="26"/>
      <c r="F813" s="26"/>
      <c r="G813" s="21" t="s">
        <v>5872</v>
      </c>
      <c r="H813" s="21" t="s">
        <v>5874</v>
      </c>
      <c r="I813" s="21" t="s">
        <v>5875</v>
      </c>
      <c r="J813" s="28"/>
      <c r="K813" s="28"/>
      <c r="L813" s="28"/>
      <c r="M813" s="28"/>
      <c r="N813" s="28"/>
      <c r="O813" s="28"/>
      <c r="P813" s="28"/>
      <c r="Q813" s="28"/>
      <c r="R813" s="28"/>
      <c r="S813" s="28"/>
      <c r="T813" s="28"/>
      <c r="U813" s="28"/>
      <c r="V813" s="28"/>
      <c r="W813" s="28"/>
      <c r="X813" s="28"/>
      <c r="Y813" s="28"/>
      <c r="Z813" s="28"/>
      <c r="AA813" s="28"/>
      <c r="AB813" s="28"/>
      <c r="AC813" s="28"/>
    </row>
    <row r="814" ht="78.0" customHeight="1">
      <c r="A814" s="48">
        <v>45569.0</v>
      </c>
      <c r="B814" s="52"/>
      <c r="C814" s="50" t="s">
        <v>5877</v>
      </c>
      <c r="D814" s="50"/>
      <c r="E814" s="52"/>
      <c r="F814" s="52"/>
      <c r="G814" s="50" t="s">
        <v>5878</v>
      </c>
      <c r="H814" s="855" t="s">
        <v>5879</v>
      </c>
      <c r="I814" s="855" t="s">
        <v>5880</v>
      </c>
      <c r="J814" s="855" t="s">
        <v>5881</v>
      </c>
      <c r="K814" s="54"/>
      <c r="L814" s="54"/>
      <c r="M814" s="54"/>
      <c r="N814" s="54"/>
      <c r="O814" s="54"/>
      <c r="P814" s="54"/>
      <c r="Q814" s="54"/>
      <c r="R814" s="54"/>
      <c r="S814" s="54"/>
      <c r="T814" s="54"/>
      <c r="U814" s="54"/>
      <c r="V814" s="54"/>
      <c r="W814" s="54"/>
      <c r="X814" s="54"/>
      <c r="Y814" s="54"/>
      <c r="Z814" s="54"/>
      <c r="AA814" s="54"/>
      <c r="AB814" s="54"/>
      <c r="AC814" s="54"/>
    </row>
    <row r="815" ht="78.0" customHeight="1">
      <c r="A815" s="769">
        <v>45569.0</v>
      </c>
      <c r="B815" s="21" t="s">
        <v>5884</v>
      </c>
      <c r="C815" s="21" t="s">
        <v>5885</v>
      </c>
      <c r="D815" s="21"/>
      <c r="E815" s="26"/>
      <c r="F815" s="26"/>
      <c r="G815" s="26"/>
      <c r="H815" s="26"/>
      <c r="I815" s="26"/>
      <c r="J815" s="26"/>
      <c r="K815" s="28"/>
      <c r="L815" s="26"/>
      <c r="M815" s="26"/>
      <c r="N815" s="26"/>
      <c r="O815" s="26"/>
      <c r="P815" s="28"/>
      <c r="Q815" s="28"/>
      <c r="R815" s="28"/>
      <c r="S815" s="28"/>
      <c r="T815" s="28"/>
      <c r="U815" s="28"/>
      <c r="V815" s="28"/>
      <c r="W815" s="28"/>
      <c r="X815" s="28"/>
      <c r="Y815" s="28"/>
      <c r="Z815" s="28"/>
      <c r="AA815" s="28"/>
      <c r="AB815" s="28"/>
      <c r="AC815" s="28"/>
    </row>
    <row r="816" ht="78.0" customHeight="1">
      <c r="A816" s="48">
        <v>45568.0</v>
      </c>
      <c r="B816" s="50" t="s">
        <v>5886</v>
      </c>
      <c r="C816" s="50" t="s">
        <v>5888</v>
      </c>
      <c r="D816" s="50"/>
      <c r="E816" s="52"/>
      <c r="F816" s="52"/>
      <c r="G816" s="50" t="s">
        <v>5889</v>
      </c>
      <c r="H816" s="50" t="s">
        <v>5890</v>
      </c>
      <c r="I816" s="50" t="s">
        <v>5891</v>
      </c>
      <c r="J816" s="52"/>
      <c r="K816" s="54"/>
      <c r="L816" s="52"/>
      <c r="M816" s="52"/>
      <c r="N816" s="52"/>
      <c r="O816" s="52"/>
      <c r="P816" s="54"/>
      <c r="Q816" s="54"/>
      <c r="R816" s="54"/>
      <c r="S816" s="54"/>
      <c r="T816" s="54"/>
      <c r="U816" s="54"/>
      <c r="V816" s="54"/>
      <c r="W816" s="54"/>
      <c r="X816" s="54"/>
      <c r="Y816" s="54"/>
      <c r="Z816" s="54"/>
      <c r="AA816" s="54"/>
      <c r="AB816" s="54"/>
      <c r="AC816" s="54"/>
    </row>
    <row r="817" ht="78.0" customHeight="1">
      <c r="A817" s="769">
        <v>45568.0</v>
      </c>
      <c r="B817" s="21" t="s">
        <v>5892</v>
      </c>
      <c r="C817" s="21" t="s">
        <v>5893</v>
      </c>
      <c r="D817" s="825"/>
      <c r="E817" s="26"/>
      <c r="F817" s="26"/>
      <c r="G817" s="21" t="s">
        <v>5101</v>
      </c>
      <c r="H817" s="26"/>
      <c r="I817" s="26"/>
      <c r="J817" s="26"/>
      <c r="K817" s="28"/>
      <c r="L817" s="26"/>
      <c r="M817" s="26"/>
      <c r="N817" s="26"/>
      <c r="O817" s="26"/>
      <c r="P817" s="28"/>
      <c r="Q817" s="28"/>
      <c r="R817" s="28"/>
      <c r="S817" s="28"/>
      <c r="T817" s="28"/>
      <c r="U817" s="28"/>
      <c r="V817" s="28"/>
      <c r="W817" s="28"/>
      <c r="X817" s="28"/>
      <c r="Y817" s="28"/>
      <c r="Z817" s="28"/>
      <c r="AA817" s="28"/>
      <c r="AB817" s="28"/>
      <c r="AC817" s="28"/>
    </row>
    <row r="818" ht="78.0" customHeight="1">
      <c r="A818" s="48">
        <v>45568.0</v>
      </c>
      <c r="B818" s="50" t="s">
        <v>5892</v>
      </c>
      <c r="C818" s="50" t="s">
        <v>5893</v>
      </c>
      <c r="D818" s="855"/>
      <c r="E818" s="52"/>
      <c r="F818" s="52"/>
      <c r="G818" s="50" t="s">
        <v>5101</v>
      </c>
      <c r="H818" s="52"/>
      <c r="I818" s="52"/>
      <c r="J818" s="52"/>
      <c r="K818" s="54"/>
      <c r="L818" s="52"/>
      <c r="M818" s="52"/>
      <c r="N818" s="52"/>
      <c r="O818" s="52"/>
      <c r="P818" s="54"/>
      <c r="Q818" s="54"/>
      <c r="R818" s="54"/>
      <c r="S818" s="54"/>
      <c r="T818" s="54"/>
      <c r="U818" s="54"/>
      <c r="V818" s="54"/>
      <c r="W818" s="54"/>
      <c r="X818" s="54"/>
      <c r="Y818" s="54"/>
      <c r="Z818" s="54"/>
      <c r="AA818" s="54"/>
      <c r="AB818" s="54"/>
      <c r="AC818" s="54"/>
    </row>
    <row r="819" ht="78.0" customHeight="1">
      <c r="A819" s="769">
        <v>45568.0</v>
      </c>
      <c r="B819" s="21" t="s">
        <v>5897</v>
      </c>
      <c r="C819" s="21" t="s">
        <v>5898</v>
      </c>
      <c r="D819" s="825"/>
      <c r="E819" s="26"/>
      <c r="F819" s="26"/>
      <c r="G819" s="21" t="s">
        <v>5899</v>
      </c>
      <c r="H819" s="26"/>
      <c r="I819" s="26"/>
      <c r="J819" s="26"/>
      <c r="K819" s="28"/>
      <c r="L819" s="26"/>
      <c r="M819" s="26"/>
      <c r="N819" s="26"/>
      <c r="O819" s="26"/>
      <c r="P819" s="28"/>
      <c r="Q819" s="28"/>
      <c r="R819" s="28"/>
      <c r="S819" s="28"/>
      <c r="T819" s="28"/>
      <c r="U819" s="28"/>
      <c r="V819" s="28"/>
      <c r="W819" s="28"/>
      <c r="X819" s="28"/>
      <c r="Y819" s="28"/>
      <c r="Z819" s="28"/>
      <c r="AA819" s="28"/>
      <c r="AB819" s="28"/>
      <c r="AC819" s="28"/>
    </row>
    <row r="820" ht="78.0" customHeight="1">
      <c r="A820" s="769">
        <v>45568.0</v>
      </c>
      <c r="B820" s="21" t="s">
        <v>5902</v>
      </c>
      <c r="C820" s="21" t="s">
        <v>5903</v>
      </c>
      <c r="D820" s="825"/>
      <c r="E820" s="26"/>
      <c r="F820" s="26"/>
      <c r="G820" s="21" t="s">
        <v>5904</v>
      </c>
      <c r="H820" s="21" t="s">
        <v>5905</v>
      </c>
      <c r="I820" s="26"/>
      <c r="J820" s="26"/>
      <c r="K820" s="28"/>
      <c r="L820" s="26"/>
      <c r="M820" s="26"/>
      <c r="N820" s="26"/>
      <c r="O820" s="26"/>
      <c r="P820" s="28"/>
      <c r="Q820" s="28"/>
      <c r="R820" s="28"/>
      <c r="S820" s="28"/>
      <c r="T820" s="28"/>
      <c r="U820" s="28"/>
      <c r="V820" s="28"/>
      <c r="W820" s="28"/>
      <c r="X820" s="28"/>
      <c r="Y820" s="28"/>
      <c r="Z820" s="28"/>
      <c r="AA820" s="28"/>
      <c r="AB820" s="28"/>
      <c r="AC820" s="28"/>
    </row>
    <row r="821" ht="78.0" customHeight="1">
      <c r="A821" s="48">
        <v>45568.0</v>
      </c>
      <c r="B821" s="50" t="s">
        <v>5908</v>
      </c>
      <c r="C821" s="50" t="s">
        <v>5909</v>
      </c>
      <c r="D821" s="855"/>
      <c r="E821" s="52"/>
      <c r="F821" s="52"/>
      <c r="G821" s="50" t="s">
        <v>5910</v>
      </c>
      <c r="H821" s="50" t="s">
        <v>5911</v>
      </c>
      <c r="I821" s="50" t="s">
        <v>5912</v>
      </c>
      <c r="J821" s="52"/>
      <c r="K821" s="54"/>
      <c r="L821" s="52"/>
      <c r="M821" s="52"/>
      <c r="N821" s="52"/>
      <c r="O821" s="52"/>
      <c r="P821" s="54"/>
      <c r="Q821" s="54"/>
      <c r="R821" s="54"/>
      <c r="S821" s="54"/>
      <c r="T821" s="54"/>
      <c r="U821" s="54"/>
      <c r="V821" s="54"/>
      <c r="W821" s="54"/>
      <c r="X821" s="54"/>
      <c r="Y821" s="54"/>
      <c r="Z821" s="54"/>
      <c r="AA821" s="54"/>
      <c r="AB821" s="54"/>
      <c r="AC821" s="54"/>
    </row>
    <row r="822" ht="78.0" customHeight="1">
      <c r="A822" s="48">
        <v>45568.0</v>
      </c>
      <c r="B822" s="50" t="s">
        <v>5886</v>
      </c>
      <c r="C822" s="50" t="s">
        <v>5888</v>
      </c>
      <c r="D822" s="855"/>
      <c r="E822" s="52"/>
      <c r="F822" s="52"/>
      <c r="G822" s="50" t="s">
        <v>5889</v>
      </c>
      <c r="H822" s="52"/>
      <c r="I822" s="52"/>
      <c r="J822" s="54"/>
      <c r="K822" s="54"/>
      <c r="L822" s="54"/>
      <c r="M822" s="54"/>
      <c r="N822" s="54"/>
      <c r="O822" s="54"/>
      <c r="P822" s="54"/>
      <c r="Q822" s="54"/>
      <c r="R822" s="54"/>
      <c r="S822" s="54"/>
      <c r="T822" s="54"/>
      <c r="U822" s="54"/>
      <c r="V822" s="54"/>
      <c r="W822" s="54"/>
      <c r="X822" s="54"/>
      <c r="Y822" s="54"/>
      <c r="Z822" s="54"/>
      <c r="AA822" s="54"/>
      <c r="AB822" s="54"/>
      <c r="AC822" s="54"/>
    </row>
    <row r="823" ht="78.0" customHeight="1">
      <c r="A823" s="769">
        <v>45568.0</v>
      </c>
      <c r="B823" s="21" t="s">
        <v>5892</v>
      </c>
      <c r="C823" s="21" t="s">
        <v>5893</v>
      </c>
      <c r="D823" s="825"/>
      <c r="E823" s="26"/>
      <c r="F823" s="26"/>
      <c r="G823" s="21" t="s">
        <v>5101</v>
      </c>
      <c r="H823" s="26"/>
      <c r="I823" s="28"/>
      <c r="J823" s="28"/>
      <c r="K823" s="28"/>
      <c r="L823" s="28"/>
      <c r="M823" s="28"/>
      <c r="N823" s="28"/>
      <c r="O823" s="28"/>
      <c r="P823" s="28"/>
      <c r="Q823" s="28"/>
      <c r="R823" s="28"/>
      <c r="S823" s="28"/>
      <c r="T823" s="28"/>
      <c r="U823" s="28"/>
      <c r="V823" s="28"/>
      <c r="W823" s="28"/>
      <c r="X823" s="28"/>
      <c r="Y823" s="28"/>
      <c r="Z823" s="28"/>
      <c r="AA823" s="28"/>
      <c r="AB823" s="28"/>
      <c r="AC823" s="28"/>
    </row>
    <row r="824" ht="78.0" customHeight="1">
      <c r="A824" s="769">
        <v>45567.0</v>
      </c>
      <c r="B824" s="21" t="s">
        <v>5919</v>
      </c>
      <c r="C824" s="26"/>
      <c r="D824" s="825"/>
      <c r="E824" s="26"/>
      <c r="F824" s="26"/>
      <c r="G824" s="26"/>
      <c r="H824" s="26"/>
      <c r="I824" s="26"/>
      <c r="J824" s="26"/>
      <c r="K824" s="28"/>
      <c r="L824" s="26"/>
      <c r="M824" s="26"/>
      <c r="N824" s="26"/>
      <c r="O824" s="26"/>
      <c r="P824" s="26"/>
      <c r="Q824" s="26"/>
      <c r="R824" s="28"/>
      <c r="S824" s="28"/>
      <c r="T824" s="28"/>
      <c r="U824" s="28"/>
      <c r="V824" s="28"/>
      <c r="W824" s="28"/>
      <c r="X824" s="28"/>
      <c r="Y824" s="28"/>
      <c r="Z824" s="28"/>
      <c r="AA824" s="28"/>
      <c r="AB824" s="28"/>
      <c r="AC824" s="28"/>
    </row>
    <row r="825" ht="78.0" customHeight="1">
      <c r="A825" s="48">
        <v>45567.0</v>
      </c>
      <c r="B825" s="50" t="s">
        <v>5921</v>
      </c>
      <c r="C825" s="50" t="s">
        <v>5922</v>
      </c>
      <c r="D825" s="855"/>
      <c r="E825" s="52"/>
      <c r="F825" s="52"/>
      <c r="G825" s="52"/>
      <c r="H825" s="52"/>
      <c r="I825" s="54"/>
      <c r="J825" s="54"/>
      <c r="K825" s="54"/>
      <c r="L825" s="54"/>
      <c r="M825" s="54"/>
      <c r="N825" s="54"/>
      <c r="O825" s="54"/>
      <c r="P825" s="54"/>
      <c r="Q825" s="54"/>
      <c r="R825" s="54"/>
      <c r="S825" s="54"/>
      <c r="T825" s="54"/>
      <c r="U825" s="54"/>
      <c r="V825" s="54"/>
      <c r="W825" s="54"/>
      <c r="X825" s="54"/>
      <c r="Y825" s="54"/>
      <c r="Z825" s="54"/>
      <c r="AA825" s="54"/>
      <c r="AB825" s="54"/>
      <c r="AC825" s="54"/>
    </row>
    <row r="826" ht="78.0" customHeight="1">
      <c r="A826" s="899">
        <v>45567.0</v>
      </c>
      <c r="B826" s="21" t="s">
        <v>5924</v>
      </c>
      <c r="C826" s="21" t="s">
        <v>5926</v>
      </c>
      <c r="D826" s="825"/>
      <c r="E826" s="26"/>
      <c r="F826" s="26"/>
      <c r="G826" s="26"/>
      <c r="H826" s="26"/>
      <c r="I826" s="26"/>
      <c r="J826" s="28"/>
      <c r="K826" s="28"/>
      <c r="L826" s="28"/>
      <c r="M826" s="28"/>
      <c r="N826" s="28"/>
      <c r="O826" s="28"/>
      <c r="P826" s="28"/>
      <c r="Q826" s="28"/>
      <c r="R826" s="28"/>
      <c r="S826" s="28"/>
      <c r="T826" s="28"/>
      <c r="U826" s="28"/>
      <c r="V826" s="28"/>
      <c r="W826" s="28"/>
      <c r="X826" s="28"/>
      <c r="Y826" s="28"/>
      <c r="Z826" s="28"/>
      <c r="AA826" s="28"/>
      <c r="AB826" s="28"/>
      <c r="AC826" s="28"/>
    </row>
    <row r="827" ht="78.0" customHeight="1">
      <c r="A827" s="900">
        <v>45567.0</v>
      </c>
      <c r="B827" s="50" t="s">
        <v>5929</v>
      </c>
      <c r="C827" s="855" t="s">
        <v>5930</v>
      </c>
      <c r="D827" s="855"/>
      <c r="E827" s="54"/>
      <c r="F827" s="54"/>
      <c r="G827" s="855" t="s">
        <v>5931</v>
      </c>
      <c r="H827" s="855" t="s">
        <v>5932</v>
      </c>
      <c r="I827" s="54"/>
      <c r="J827" s="54"/>
      <c r="K827" s="54"/>
      <c r="L827" s="54"/>
      <c r="M827" s="54"/>
      <c r="N827" s="54"/>
      <c r="O827" s="54"/>
      <c r="P827" s="54"/>
      <c r="Q827" s="54"/>
      <c r="R827" s="54"/>
      <c r="S827" s="54"/>
      <c r="T827" s="54"/>
      <c r="U827" s="54"/>
      <c r="V827" s="54"/>
      <c r="W827" s="54"/>
      <c r="X827" s="54"/>
      <c r="Y827" s="54"/>
      <c r="Z827" s="54"/>
      <c r="AA827" s="54"/>
      <c r="AB827" s="54"/>
      <c r="AC827" s="54"/>
    </row>
    <row r="828" ht="78.0" customHeight="1">
      <c r="A828" s="899">
        <v>45567.0</v>
      </c>
      <c r="B828" s="21" t="s">
        <v>5934</v>
      </c>
      <c r="C828" s="21" t="s">
        <v>5935</v>
      </c>
      <c r="D828" s="825"/>
      <c r="E828" s="26"/>
      <c r="F828" s="26"/>
      <c r="G828" s="825" t="s">
        <v>5936</v>
      </c>
      <c r="H828" s="825" t="s">
        <v>5937</v>
      </c>
      <c r="I828" s="825" t="s">
        <v>5938</v>
      </c>
      <c r="J828" s="825" t="s">
        <v>5939</v>
      </c>
      <c r="K828" s="28"/>
      <c r="L828" s="28"/>
      <c r="M828" s="28"/>
      <c r="N828" s="28"/>
      <c r="O828" s="28"/>
      <c r="P828" s="28"/>
      <c r="Q828" s="28"/>
      <c r="R828" s="28"/>
      <c r="S828" s="28"/>
      <c r="T828" s="28"/>
      <c r="U828" s="28"/>
      <c r="V828" s="28"/>
      <c r="W828" s="28"/>
      <c r="X828" s="28"/>
      <c r="Y828" s="28"/>
      <c r="Z828" s="28"/>
      <c r="AA828" s="28"/>
      <c r="AB828" s="28"/>
      <c r="AC828" s="28"/>
    </row>
    <row r="829" ht="78.0" customHeight="1">
      <c r="A829" s="48">
        <v>45567.0</v>
      </c>
      <c r="B829" s="50" t="s">
        <v>5940</v>
      </c>
      <c r="C829" s="50" t="s">
        <v>5942</v>
      </c>
      <c r="D829" s="855"/>
      <c r="E829" s="52"/>
      <c r="F829" s="52"/>
      <c r="G829" s="855" t="s">
        <v>5943</v>
      </c>
      <c r="H829" s="855" t="s">
        <v>5944</v>
      </c>
      <c r="I829" s="855" t="s">
        <v>5945</v>
      </c>
      <c r="J829" s="54"/>
      <c r="K829" s="54"/>
      <c r="L829" s="54"/>
      <c r="M829" s="54"/>
      <c r="N829" s="54"/>
      <c r="O829" s="54"/>
      <c r="P829" s="54"/>
      <c r="Q829" s="54"/>
      <c r="R829" s="54"/>
      <c r="S829" s="54"/>
      <c r="T829" s="54"/>
      <c r="U829" s="54"/>
      <c r="V829" s="54"/>
      <c r="W829" s="54"/>
      <c r="X829" s="54"/>
      <c r="Y829" s="54"/>
      <c r="Z829" s="54"/>
      <c r="AA829" s="54"/>
      <c r="AB829" s="54"/>
      <c r="AC829" s="54"/>
    </row>
    <row r="830" ht="78.0" customHeight="1">
      <c r="A830" s="769">
        <v>45567.0</v>
      </c>
      <c r="B830" s="21" t="s">
        <v>5947</v>
      </c>
      <c r="C830" s="21" t="s">
        <v>5948</v>
      </c>
      <c r="D830" s="825"/>
      <c r="E830" s="26"/>
      <c r="F830" s="26"/>
      <c r="G830" s="21" t="s">
        <v>5950</v>
      </c>
      <c r="H830" s="26"/>
      <c r="I830" s="28"/>
      <c r="J830" s="28"/>
      <c r="K830" s="28"/>
      <c r="L830" s="28"/>
      <c r="M830" s="28"/>
      <c r="N830" s="28"/>
      <c r="O830" s="28"/>
      <c r="P830" s="28"/>
      <c r="Q830" s="28"/>
      <c r="R830" s="28"/>
      <c r="S830" s="28"/>
      <c r="T830" s="28"/>
      <c r="U830" s="28"/>
      <c r="V830" s="28"/>
      <c r="W830" s="28"/>
      <c r="X830" s="28"/>
      <c r="Y830" s="28"/>
      <c r="Z830" s="28"/>
      <c r="AA830" s="28"/>
      <c r="AB830" s="28"/>
      <c r="AC830" s="28"/>
    </row>
    <row r="831" ht="78.0" customHeight="1">
      <c r="A831" s="48">
        <v>45567.0</v>
      </c>
      <c r="B831" s="50" t="s">
        <v>5957</v>
      </c>
      <c r="C831" s="50" t="s">
        <v>5958</v>
      </c>
      <c r="D831" s="855"/>
      <c r="E831" s="52"/>
      <c r="F831" s="52"/>
      <c r="G831" s="50" t="s">
        <v>5959</v>
      </c>
      <c r="H831" s="50" t="s">
        <v>5960</v>
      </c>
      <c r="I831" s="50" t="s">
        <v>5961</v>
      </c>
      <c r="J831" s="50" t="s">
        <v>5962</v>
      </c>
      <c r="K831" s="855" t="s">
        <v>5963</v>
      </c>
      <c r="L831" s="855" t="s">
        <v>5964</v>
      </c>
      <c r="M831" s="54"/>
      <c r="N831" s="54"/>
      <c r="O831" s="54"/>
      <c r="P831" s="54"/>
      <c r="Q831" s="54"/>
      <c r="R831" s="54"/>
      <c r="S831" s="54"/>
      <c r="T831" s="54"/>
      <c r="U831" s="54"/>
      <c r="V831" s="54"/>
      <c r="W831" s="54"/>
      <c r="X831" s="54"/>
      <c r="Y831" s="54"/>
      <c r="Z831" s="54"/>
      <c r="AA831" s="54"/>
      <c r="AB831" s="54"/>
      <c r="AC831" s="54"/>
    </row>
    <row r="832" ht="78.0" customHeight="1">
      <c r="A832" s="48">
        <v>45566.0</v>
      </c>
      <c r="B832" s="901" t="s">
        <v>5970</v>
      </c>
      <c r="C832" s="50" t="s">
        <v>5971</v>
      </c>
      <c r="D832" s="855"/>
      <c r="E832" s="52"/>
      <c r="F832" s="52"/>
      <c r="G832" s="50" t="s">
        <v>5972</v>
      </c>
      <c r="H832" s="855" t="s">
        <v>5973</v>
      </c>
      <c r="I832" s="855" t="s">
        <v>5975</v>
      </c>
      <c r="J832" s="54"/>
      <c r="K832" s="54"/>
      <c r="L832" s="54"/>
      <c r="M832" s="54"/>
      <c r="N832" s="54"/>
      <c r="O832" s="54"/>
      <c r="P832" s="54"/>
      <c r="Q832" s="54"/>
      <c r="R832" s="54"/>
      <c r="S832" s="54"/>
      <c r="T832" s="54"/>
      <c r="U832" s="54"/>
      <c r="V832" s="54"/>
      <c r="W832" s="54"/>
      <c r="X832" s="54"/>
      <c r="Y832" s="54"/>
      <c r="Z832" s="54"/>
      <c r="AA832" s="54"/>
      <c r="AB832" s="54"/>
      <c r="AC832" s="54"/>
    </row>
    <row r="833" ht="78.0" customHeight="1">
      <c r="A833" s="769">
        <v>45566.0</v>
      </c>
      <c r="B833" s="21" t="s">
        <v>5977</v>
      </c>
      <c r="C833" s="21" t="s">
        <v>5978</v>
      </c>
      <c r="D833" s="825"/>
      <c r="E833" s="26"/>
      <c r="F833" s="26"/>
      <c r="G833" s="21" t="s">
        <v>5979</v>
      </c>
      <c r="H833" s="21" t="s">
        <v>5980</v>
      </c>
      <c r="I833" s="21" t="s">
        <v>5981</v>
      </c>
      <c r="J833" s="26"/>
      <c r="K833" s="26"/>
      <c r="L833" s="26"/>
      <c r="M833" s="28"/>
      <c r="N833" s="28"/>
      <c r="O833" s="28"/>
      <c r="P833" s="28"/>
      <c r="Q833" s="28"/>
      <c r="R833" s="28"/>
      <c r="S833" s="28"/>
      <c r="T833" s="28"/>
      <c r="U833" s="28"/>
      <c r="V833" s="28"/>
      <c r="W833" s="28"/>
      <c r="X833" s="28"/>
      <c r="Y833" s="28"/>
      <c r="Z833" s="28"/>
      <c r="AA833" s="28"/>
      <c r="AB833" s="28"/>
      <c r="AC833" s="28"/>
    </row>
    <row r="834" ht="78.0" customHeight="1">
      <c r="A834" s="48">
        <v>45566.0</v>
      </c>
      <c r="B834" s="50" t="s">
        <v>5983</v>
      </c>
      <c r="C834" s="50" t="s">
        <v>5984</v>
      </c>
      <c r="D834" s="855"/>
      <c r="E834" s="52"/>
      <c r="F834" s="52"/>
      <c r="G834" s="50" t="s">
        <v>5985</v>
      </c>
      <c r="H834" s="52"/>
      <c r="I834" s="52"/>
      <c r="J834" s="54"/>
      <c r="K834" s="54"/>
      <c r="L834" s="54"/>
      <c r="M834" s="54"/>
      <c r="N834" s="54"/>
      <c r="O834" s="54"/>
      <c r="P834" s="54"/>
      <c r="Q834" s="54"/>
      <c r="R834" s="54"/>
      <c r="S834" s="54"/>
      <c r="T834" s="54"/>
      <c r="U834" s="54"/>
      <c r="V834" s="54"/>
      <c r="W834" s="54"/>
      <c r="X834" s="54"/>
      <c r="Y834" s="54"/>
      <c r="Z834" s="54"/>
      <c r="AA834" s="54"/>
      <c r="AB834" s="54"/>
      <c r="AC834" s="54"/>
    </row>
    <row r="835" ht="78.0" customHeight="1">
      <c r="A835" s="769">
        <v>45566.0</v>
      </c>
      <c r="B835" s="21" t="s">
        <v>5988</v>
      </c>
      <c r="C835" s="21" t="s">
        <v>5989</v>
      </c>
      <c r="D835" s="825"/>
      <c r="E835" s="26"/>
      <c r="F835" s="26"/>
      <c r="G835" s="21" t="s">
        <v>5990</v>
      </c>
      <c r="H835" s="21" t="s">
        <v>5991</v>
      </c>
      <c r="I835" s="21" t="s">
        <v>5992</v>
      </c>
      <c r="J835" s="28"/>
      <c r="K835" s="28"/>
      <c r="L835" s="28"/>
      <c r="M835" s="28"/>
      <c r="N835" s="28"/>
      <c r="O835" s="28"/>
      <c r="P835" s="28"/>
      <c r="Q835" s="28"/>
      <c r="R835" s="28"/>
      <c r="S835" s="28"/>
      <c r="T835" s="28"/>
      <c r="U835" s="28"/>
      <c r="V835" s="28"/>
      <c r="W835" s="28"/>
      <c r="X835" s="28"/>
      <c r="Y835" s="28"/>
      <c r="Z835" s="28"/>
      <c r="AA835" s="28"/>
      <c r="AB835" s="28"/>
      <c r="AC835" s="28"/>
    </row>
    <row r="836" ht="78.0" customHeight="1">
      <c r="A836" s="48">
        <v>45566.0</v>
      </c>
      <c r="B836" s="50" t="s">
        <v>5995</v>
      </c>
      <c r="C836" s="50" t="s">
        <v>5996</v>
      </c>
      <c r="D836" s="855"/>
      <c r="E836" s="52"/>
      <c r="F836" s="52"/>
      <c r="G836" s="50" t="s">
        <v>5997</v>
      </c>
      <c r="H836" s="50" t="s">
        <v>5998</v>
      </c>
      <c r="I836" s="50" t="s">
        <v>5999</v>
      </c>
      <c r="J836" s="54"/>
      <c r="K836" s="54"/>
      <c r="L836" s="54"/>
      <c r="M836" s="54"/>
      <c r="N836" s="54"/>
      <c r="O836" s="54"/>
      <c r="P836" s="54"/>
      <c r="Q836" s="54"/>
      <c r="R836" s="54"/>
      <c r="S836" s="54"/>
      <c r="T836" s="54"/>
      <c r="U836" s="54"/>
      <c r="V836" s="54"/>
      <c r="W836" s="54"/>
      <c r="X836" s="54"/>
      <c r="Y836" s="54"/>
      <c r="Z836" s="54"/>
      <c r="AA836" s="54"/>
      <c r="AB836" s="54"/>
      <c r="AC836" s="54"/>
    </row>
    <row r="837" ht="78.0" customHeight="1">
      <c r="A837" s="769">
        <v>45566.0</v>
      </c>
      <c r="B837" s="21" t="s">
        <v>6000</v>
      </c>
      <c r="C837" s="21" t="s">
        <v>6001</v>
      </c>
      <c r="D837" s="825"/>
      <c r="E837" s="26"/>
      <c r="F837" s="26"/>
      <c r="G837" s="21" t="s">
        <v>6002</v>
      </c>
      <c r="H837" s="28"/>
      <c r="I837" s="28"/>
      <c r="J837" s="28"/>
      <c r="K837" s="28"/>
      <c r="L837" s="28"/>
      <c r="M837" s="28"/>
      <c r="N837" s="28"/>
      <c r="O837" s="28"/>
      <c r="P837" s="28"/>
      <c r="Q837" s="28"/>
      <c r="R837" s="28"/>
      <c r="S837" s="28"/>
      <c r="T837" s="28"/>
      <c r="U837" s="28"/>
      <c r="V837" s="28"/>
      <c r="W837" s="28"/>
      <c r="X837" s="28"/>
      <c r="Y837" s="28"/>
      <c r="Z837" s="28"/>
      <c r="AA837" s="28"/>
      <c r="AB837" s="28"/>
      <c r="AC837" s="28"/>
    </row>
    <row r="838" ht="78.0" customHeight="1">
      <c r="A838" s="48">
        <v>45566.0</v>
      </c>
      <c r="B838" s="50" t="s">
        <v>6005</v>
      </c>
      <c r="C838" s="50" t="s">
        <v>6006</v>
      </c>
      <c r="D838" s="855"/>
      <c r="E838" s="52"/>
      <c r="F838" s="52"/>
      <c r="G838" s="50" t="s">
        <v>6008</v>
      </c>
      <c r="H838" s="50" t="s">
        <v>6010</v>
      </c>
      <c r="I838" s="50" t="s">
        <v>6011</v>
      </c>
      <c r="J838" s="855" t="s">
        <v>6012</v>
      </c>
      <c r="K838" s="855" t="s">
        <v>6013</v>
      </c>
      <c r="L838" s="54"/>
      <c r="M838" s="54"/>
      <c r="N838" s="54"/>
      <c r="O838" s="54"/>
      <c r="P838" s="54"/>
      <c r="Q838" s="54"/>
      <c r="R838" s="54"/>
      <c r="S838" s="54"/>
      <c r="T838" s="54"/>
      <c r="U838" s="54"/>
      <c r="V838" s="54"/>
      <c r="W838" s="54"/>
      <c r="X838" s="54"/>
      <c r="Y838" s="54"/>
      <c r="Z838" s="54"/>
      <c r="AA838" s="54"/>
      <c r="AB838" s="54"/>
      <c r="AC838" s="54"/>
    </row>
    <row r="839" ht="78.0" customHeight="1">
      <c r="A839" s="769">
        <v>45565.0</v>
      </c>
      <c r="B839" s="21" t="s">
        <v>6015</v>
      </c>
      <c r="C839" s="21" t="s">
        <v>6016</v>
      </c>
      <c r="D839" s="825"/>
      <c r="E839" s="26"/>
      <c r="F839" s="26"/>
      <c r="G839" s="21" t="s">
        <v>6018</v>
      </c>
      <c r="H839" s="21" t="s">
        <v>6019</v>
      </c>
      <c r="I839" s="21" t="s">
        <v>6020</v>
      </c>
      <c r="J839" s="825" t="s">
        <v>6021</v>
      </c>
      <c r="K839" s="28"/>
      <c r="L839" s="28"/>
      <c r="M839" s="28"/>
      <c r="N839" s="28"/>
      <c r="O839" s="28"/>
      <c r="P839" s="28"/>
      <c r="Q839" s="28"/>
      <c r="R839" s="28"/>
      <c r="S839" s="28"/>
      <c r="T839" s="28"/>
      <c r="U839" s="28"/>
      <c r="V839" s="28"/>
      <c r="W839" s="28"/>
      <c r="X839" s="28"/>
      <c r="Y839" s="28"/>
      <c r="Z839" s="28"/>
      <c r="AA839" s="28"/>
      <c r="AB839" s="28"/>
      <c r="AC839" s="28"/>
    </row>
    <row r="840" ht="78.0" customHeight="1">
      <c r="A840" s="48">
        <v>45565.0</v>
      </c>
      <c r="B840" s="50" t="s">
        <v>6024</v>
      </c>
      <c r="C840" s="52"/>
      <c r="D840" s="855"/>
      <c r="E840" s="52"/>
      <c r="F840" s="52"/>
      <c r="G840" s="50" t="s">
        <v>6027</v>
      </c>
      <c r="H840" s="54"/>
      <c r="I840" s="54"/>
      <c r="J840" s="54"/>
      <c r="K840" s="54"/>
      <c r="L840" s="54"/>
      <c r="M840" s="54"/>
      <c r="N840" s="54"/>
      <c r="O840" s="54"/>
      <c r="P840" s="54"/>
      <c r="Q840" s="54"/>
      <c r="R840" s="54"/>
      <c r="S840" s="54"/>
      <c r="T840" s="54"/>
      <c r="U840" s="54"/>
      <c r="V840" s="54"/>
      <c r="W840" s="54"/>
      <c r="X840" s="54"/>
      <c r="Y840" s="54"/>
      <c r="Z840" s="54"/>
      <c r="AA840" s="54"/>
      <c r="AB840" s="54"/>
      <c r="AC840" s="54"/>
    </row>
    <row r="841" ht="78.0" customHeight="1">
      <c r="A841" s="769">
        <v>45565.0</v>
      </c>
      <c r="B841" s="21" t="s">
        <v>6032</v>
      </c>
      <c r="C841" s="26"/>
      <c r="D841" s="825"/>
      <c r="E841" s="26"/>
      <c r="F841" s="26"/>
      <c r="G841" s="26"/>
      <c r="H841" s="26"/>
      <c r="I841" s="26"/>
      <c r="J841" s="26"/>
      <c r="K841" s="26"/>
      <c r="L841" s="28"/>
      <c r="M841" s="28"/>
      <c r="N841" s="28"/>
      <c r="O841" s="28"/>
      <c r="P841" s="28"/>
      <c r="Q841" s="28"/>
      <c r="R841" s="28"/>
      <c r="S841" s="28"/>
      <c r="T841" s="28"/>
      <c r="U841" s="28"/>
      <c r="V841" s="28"/>
      <c r="W841" s="28"/>
      <c r="X841" s="28"/>
      <c r="Y841" s="28"/>
      <c r="Z841" s="28"/>
      <c r="AA841" s="28"/>
      <c r="AB841" s="28"/>
      <c r="AC841" s="28"/>
    </row>
    <row r="842" ht="78.0" customHeight="1">
      <c r="A842" s="48">
        <v>45565.0</v>
      </c>
      <c r="B842" s="50" t="s">
        <v>6037</v>
      </c>
      <c r="C842" s="50" t="s">
        <v>6038</v>
      </c>
      <c r="D842" s="855"/>
      <c r="E842" s="52"/>
      <c r="F842" s="52"/>
      <c r="G842" s="52"/>
      <c r="H842" s="52"/>
      <c r="I842" s="52"/>
      <c r="J842" s="52"/>
      <c r="K842" s="54"/>
      <c r="L842" s="54"/>
      <c r="M842" s="54"/>
      <c r="N842" s="54"/>
      <c r="O842" s="54"/>
      <c r="P842" s="54"/>
      <c r="Q842" s="54"/>
      <c r="R842" s="54"/>
      <c r="S842" s="54"/>
      <c r="T842" s="54"/>
      <c r="U842" s="54"/>
      <c r="V842" s="54"/>
      <c r="W842" s="54"/>
      <c r="X842" s="54"/>
      <c r="Y842" s="54"/>
      <c r="Z842" s="54"/>
      <c r="AA842" s="54"/>
      <c r="AB842" s="54"/>
      <c r="AC842" s="54"/>
    </row>
    <row r="843" ht="78.0" customHeight="1">
      <c r="A843" s="769">
        <v>45565.0</v>
      </c>
      <c r="B843" s="21" t="s">
        <v>6041</v>
      </c>
      <c r="C843" s="825" t="s">
        <v>6042</v>
      </c>
      <c r="D843" s="825"/>
      <c r="E843" s="28"/>
      <c r="F843" s="28"/>
      <c r="G843" s="26"/>
      <c r="H843" s="28"/>
      <c r="I843" s="28"/>
      <c r="J843" s="28"/>
      <c r="K843" s="28"/>
      <c r="L843" s="28"/>
      <c r="M843" s="28"/>
      <c r="N843" s="28"/>
      <c r="O843" s="28"/>
      <c r="P843" s="28"/>
      <c r="Q843" s="28"/>
      <c r="R843" s="28"/>
      <c r="S843" s="28"/>
      <c r="T843" s="28"/>
      <c r="U843" s="28"/>
      <c r="V843" s="28"/>
      <c r="W843" s="28"/>
      <c r="X843" s="28"/>
      <c r="Y843" s="28"/>
      <c r="Z843" s="28"/>
      <c r="AA843" s="28"/>
      <c r="AB843" s="28"/>
      <c r="AC843" s="28"/>
    </row>
    <row r="844" ht="78.0" customHeight="1">
      <c r="A844" s="48">
        <v>45565.0</v>
      </c>
      <c r="B844" s="50" t="s">
        <v>6044</v>
      </c>
      <c r="C844" s="855" t="s">
        <v>6045</v>
      </c>
      <c r="D844" s="855"/>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row>
    <row r="845" ht="78.0" customHeight="1">
      <c r="A845" s="769">
        <v>45565.0</v>
      </c>
      <c r="B845" s="21" t="s">
        <v>6047</v>
      </c>
      <c r="C845" s="21" t="s">
        <v>6048</v>
      </c>
      <c r="D845" s="825"/>
      <c r="E845" s="26"/>
      <c r="F845" s="26"/>
      <c r="G845" s="825" t="s">
        <v>6050</v>
      </c>
      <c r="H845" s="28"/>
      <c r="I845" s="28"/>
      <c r="J845" s="28"/>
      <c r="K845" s="28"/>
      <c r="L845" s="28"/>
      <c r="M845" s="28"/>
      <c r="N845" s="28"/>
      <c r="O845" s="28"/>
      <c r="P845" s="28"/>
      <c r="Q845" s="28"/>
      <c r="R845" s="28"/>
      <c r="S845" s="28"/>
      <c r="T845" s="28"/>
      <c r="U845" s="28"/>
      <c r="V845" s="28"/>
      <c r="W845" s="28"/>
      <c r="X845" s="28"/>
      <c r="Y845" s="28"/>
      <c r="Z845" s="28"/>
      <c r="AA845" s="28"/>
      <c r="AB845" s="28"/>
      <c r="AC845" s="28"/>
    </row>
    <row r="846" ht="78.0" customHeight="1">
      <c r="A846" s="48">
        <v>45564.0</v>
      </c>
      <c r="B846" s="50" t="s">
        <v>6053</v>
      </c>
      <c r="C846" s="50" t="s">
        <v>6054</v>
      </c>
      <c r="D846" s="855"/>
      <c r="E846" s="52"/>
      <c r="F846" s="52"/>
      <c r="G846" s="855" t="s">
        <v>6057</v>
      </c>
      <c r="H846" s="54"/>
      <c r="I846" s="54"/>
      <c r="J846" s="54"/>
      <c r="K846" s="54"/>
      <c r="L846" s="54"/>
      <c r="M846" s="54"/>
      <c r="N846" s="54"/>
      <c r="O846" s="54"/>
      <c r="P846" s="54"/>
      <c r="Q846" s="54"/>
      <c r="R846" s="54"/>
      <c r="S846" s="54"/>
      <c r="T846" s="54"/>
      <c r="U846" s="54"/>
      <c r="V846" s="54"/>
      <c r="W846" s="54"/>
      <c r="X846" s="54"/>
      <c r="Y846" s="54"/>
      <c r="Z846" s="54"/>
      <c r="AA846" s="54"/>
      <c r="AB846" s="54"/>
      <c r="AC846" s="54"/>
    </row>
    <row r="847" ht="78.0" customHeight="1">
      <c r="A847" s="769">
        <v>45564.0</v>
      </c>
      <c r="B847" s="21" t="s">
        <v>6058</v>
      </c>
      <c r="C847" s="26"/>
      <c r="D847" s="825"/>
      <c r="E847" s="26"/>
      <c r="F847" s="26"/>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row>
    <row r="848" ht="78.0" customHeight="1">
      <c r="A848" s="48">
        <v>45564.0</v>
      </c>
      <c r="B848" s="50" t="s">
        <v>6060</v>
      </c>
      <c r="C848" s="50" t="s">
        <v>5589</v>
      </c>
      <c r="D848" s="855"/>
      <c r="E848" s="52"/>
      <c r="F848" s="52"/>
      <c r="G848" s="52"/>
      <c r="H848" s="54"/>
      <c r="I848" s="54"/>
      <c r="J848" s="54"/>
      <c r="K848" s="54"/>
      <c r="L848" s="54"/>
      <c r="M848" s="54"/>
      <c r="N848" s="54"/>
      <c r="O848" s="54"/>
      <c r="P848" s="54"/>
      <c r="Q848" s="54"/>
      <c r="R848" s="54"/>
      <c r="S848" s="54"/>
      <c r="T848" s="54"/>
      <c r="U848" s="54"/>
      <c r="V848" s="54"/>
      <c r="W848" s="54"/>
      <c r="X848" s="54"/>
      <c r="Y848" s="54"/>
      <c r="Z848" s="54"/>
      <c r="AA848" s="54"/>
      <c r="AB848" s="54"/>
      <c r="AC848" s="54"/>
    </row>
    <row r="849" ht="78.0" customHeight="1">
      <c r="A849" s="769">
        <v>45564.0</v>
      </c>
      <c r="B849" s="21" t="s">
        <v>6063</v>
      </c>
      <c r="C849" s="21" t="s">
        <v>6064</v>
      </c>
      <c r="D849" s="825"/>
      <c r="E849" s="26"/>
      <c r="F849" s="26"/>
      <c r="G849" s="21" t="s">
        <v>6065</v>
      </c>
      <c r="H849" s="825" t="s">
        <v>6066</v>
      </c>
      <c r="I849" s="28"/>
      <c r="J849" s="28"/>
      <c r="K849" s="28"/>
      <c r="L849" s="28"/>
      <c r="M849" s="28"/>
      <c r="N849" s="28"/>
      <c r="O849" s="28"/>
      <c r="P849" s="28"/>
      <c r="Q849" s="28"/>
      <c r="R849" s="28"/>
      <c r="S849" s="28"/>
      <c r="T849" s="28"/>
      <c r="U849" s="28"/>
      <c r="V849" s="28"/>
      <c r="W849" s="28"/>
      <c r="X849" s="28"/>
      <c r="Y849" s="28"/>
      <c r="Z849" s="28"/>
      <c r="AA849" s="28"/>
      <c r="AB849" s="28"/>
      <c r="AC849" s="28"/>
    </row>
    <row r="850" ht="78.0" customHeight="1">
      <c r="A850" s="48">
        <v>45563.0</v>
      </c>
      <c r="B850" s="50" t="s">
        <v>6068</v>
      </c>
      <c r="C850" s="855" t="s">
        <v>6069</v>
      </c>
      <c r="D850" s="855"/>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row>
    <row r="851" ht="78.0" customHeight="1">
      <c r="A851" s="769">
        <v>45563.0</v>
      </c>
      <c r="B851" s="21" t="s">
        <v>6071</v>
      </c>
      <c r="C851" s="21" t="s">
        <v>6074</v>
      </c>
      <c r="D851" s="825"/>
      <c r="E851" s="26"/>
      <c r="F851" s="26"/>
      <c r="G851" s="825" t="s">
        <v>6076</v>
      </c>
      <c r="H851" s="825" t="s">
        <v>6078</v>
      </c>
      <c r="I851" s="825" t="s">
        <v>6079</v>
      </c>
      <c r="J851" s="28"/>
      <c r="K851" s="28"/>
      <c r="L851" s="28"/>
      <c r="M851" s="28"/>
      <c r="N851" s="28"/>
      <c r="O851" s="28"/>
      <c r="P851" s="28"/>
      <c r="Q851" s="28"/>
      <c r="R851" s="28"/>
      <c r="S851" s="28"/>
      <c r="T851" s="28"/>
      <c r="U851" s="28"/>
      <c r="V851" s="28"/>
      <c r="W851" s="28"/>
      <c r="X851" s="28"/>
      <c r="Y851" s="28"/>
      <c r="Z851" s="28"/>
      <c r="AA851" s="28"/>
      <c r="AB851" s="28"/>
      <c r="AC851" s="28"/>
    </row>
    <row r="852" ht="78.0" customHeight="1">
      <c r="A852" s="48">
        <v>45562.0</v>
      </c>
      <c r="B852" s="50" t="s">
        <v>6080</v>
      </c>
      <c r="C852" s="52"/>
      <c r="D852" s="855"/>
      <c r="E852" s="52"/>
      <c r="F852" s="52"/>
      <c r="G852" s="52"/>
      <c r="H852" s="52"/>
      <c r="I852" s="54"/>
      <c r="J852" s="54"/>
      <c r="K852" s="54"/>
      <c r="L852" s="54"/>
      <c r="M852" s="54"/>
      <c r="N852" s="54"/>
      <c r="O852" s="54"/>
      <c r="P852" s="54"/>
      <c r="Q852" s="54"/>
      <c r="R852" s="54"/>
      <c r="S852" s="54"/>
      <c r="T852" s="54"/>
      <c r="U852" s="54"/>
      <c r="V852" s="54"/>
      <c r="W852" s="54"/>
      <c r="X852" s="54"/>
      <c r="Y852" s="54"/>
      <c r="Z852" s="54"/>
      <c r="AA852" s="54"/>
      <c r="AB852" s="54"/>
      <c r="AC852" s="54"/>
    </row>
    <row r="853" ht="78.0" customHeight="1">
      <c r="A853" s="769">
        <v>45562.0</v>
      </c>
      <c r="B853" s="21" t="s">
        <v>6081</v>
      </c>
      <c r="C853" s="21" t="s">
        <v>6082</v>
      </c>
      <c r="D853" s="825"/>
      <c r="E853" s="26"/>
      <c r="F853" s="26"/>
      <c r="G853" s="825" t="s">
        <v>6084</v>
      </c>
      <c r="H853" s="28"/>
      <c r="I853" s="28"/>
      <c r="J853" s="28"/>
      <c r="K853" s="28"/>
      <c r="L853" s="28"/>
      <c r="M853" s="28"/>
      <c r="N853" s="28"/>
      <c r="O853" s="28"/>
      <c r="P853" s="28"/>
      <c r="Q853" s="28"/>
      <c r="R853" s="28"/>
      <c r="S853" s="28"/>
      <c r="T853" s="28"/>
      <c r="U853" s="28"/>
      <c r="V853" s="28"/>
      <c r="W853" s="28"/>
      <c r="X853" s="28"/>
      <c r="Y853" s="28"/>
      <c r="Z853" s="28"/>
      <c r="AA853" s="28"/>
      <c r="AB853" s="28"/>
      <c r="AC853" s="28"/>
    </row>
    <row r="854" ht="78.0" customHeight="1">
      <c r="A854" s="48">
        <v>45562.0</v>
      </c>
      <c r="B854" s="52"/>
      <c r="C854" s="50" t="s">
        <v>6087</v>
      </c>
      <c r="D854" s="855"/>
      <c r="E854" s="52"/>
      <c r="F854" s="52"/>
      <c r="G854" s="52"/>
      <c r="H854" s="52"/>
      <c r="I854" s="52"/>
      <c r="J854" s="54"/>
      <c r="K854" s="54"/>
      <c r="L854" s="54"/>
      <c r="M854" s="54"/>
      <c r="N854" s="54"/>
      <c r="O854" s="54"/>
      <c r="P854" s="54"/>
      <c r="Q854" s="54"/>
      <c r="R854" s="54"/>
      <c r="S854" s="54"/>
      <c r="T854" s="54"/>
      <c r="U854" s="54"/>
      <c r="V854" s="54"/>
      <c r="W854" s="54"/>
      <c r="X854" s="54"/>
      <c r="Y854" s="54"/>
      <c r="Z854" s="54"/>
      <c r="AA854" s="54"/>
      <c r="AB854" s="54"/>
      <c r="AC854" s="54"/>
    </row>
    <row r="855" ht="78.0" customHeight="1">
      <c r="A855" s="769">
        <v>45562.0</v>
      </c>
      <c r="B855" s="21" t="s">
        <v>6088</v>
      </c>
      <c r="C855" s="825" t="s">
        <v>4541</v>
      </c>
      <c r="D855" s="825"/>
      <c r="E855" s="28"/>
      <c r="F855" s="28"/>
      <c r="G855" s="825" t="s">
        <v>6091</v>
      </c>
      <c r="H855" s="28"/>
      <c r="I855" s="28"/>
      <c r="J855" s="28"/>
      <c r="K855" s="28"/>
      <c r="L855" s="28"/>
      <c r="M855" s="28"/>
      <c r="N855" s="28"/>
      <c r="O855" s="28"/>
      <c r="P855" s="28"/>
      <c r="Q855" s="28"/>
      <c r="R855" s="28"/>
      <c r="S855" s="28"/>
      <c r="T855" s="28"/>
      <c r="U855" s="28"/>
      <c r="V855" s="28"/>
      <c r="W855" s="28"/>
      <c r="X855" s="28"/>
      <c r="Y855" s="28"/>
      <c r="Z855" s="28"/>
      <c r="AA855" s="28"/>
      <c r="AB855" s="28"/>
      <c r="AC855" s="28"/>
    </row>
    <row r="856" ht="78.0" customHeight="1">
      <c r="A856" s="48">
        <v>45562.0</v>
      </c>
      <c r="B856" s="50" t="s">
        <v>6092</v>
      </c>
      <c r="C856" s="52"/>
      <c r="D856" s="855"/>
      <c r="E856" s="52"/>
      <c r="F856" s="52"/>
      <c r="G856" s="50" t="s">
        <v>6093</v>
      </c>
      <c r="H856" s="855" t="s">
        <v>6094</v>
      </c>
      <c r="I856" s="855" t="s">
        <v>6095</v>
      </c>
      <c r="J856" s="855" t="s">
        <v>6096</v>
      </c>
      <c r="K856" s="855" t="s">
        <v>6097</v>
      </c>
      <c r="L856" s="54"/>
      <c r="M856" s="54"/>
      <c r="N856" s="54"/>
      <c r="O856" s="54"/>
      <c r="P856" s="54"/>
      <c r="Q856" s="54"/>
      <c r="R856" s="54"/>
      <c r="S856" s="54"/>
      <c r="T856" s="54"/>
      <c r="U856" s="54"/>
      <c r="V856" s="54"/>
      <c r="W856" s="54"/>
      <c r="X856" s="54"/>
      <c r="Y856" s="54"/>
      <c r="Z856" s="54"/>
      <c r="AA856" s="54"/>
      <c r="AB856" s="54"/>
      <c r="AC856" s="54"/>
    </row>
    <row r="857" ht="78.0" customHeight="1">
      <c r="A857" s="769">
        <v>45562.0</v>
      </c>
      <c r="B857" s="21" t="s">
        <v>6099</v>
      </c>
      <c r="C857" s="21" t="s">
        <v>6100</v>
      </c>
      <c r="D857" s="825"/>
      <c r="E857" s="26"/>
      <c r="F857" s="26"/>
      <c r="G857" s="825" t="s">
        <v>6102</v>
      </c>
      <c r="H857" s="825" t="s">
        <v>6103</v>
      </c>
      <c r="I857" s="28"/>
      <c r="J857" s="28"/>
      <c r="K857" s="28"/>
      <c r="L857" s="28"/>
      <c r="M857" s="28"/>
      <c r="N857" s="28"/>
      <c r="O857" s="28"/>
      <c r="P857" s="28"/>
      <c r="Q857" s="28"/>
      <c r="R857" s="28"/>
      <c r="S857" s="28"/>
      <c r="T857" s="28"/>
      <c r="U857" s="28"/>
      <c r="V857" s="28"/>
      <c r="W857" s="28"/>
      <c r="X857" s="28"/>
      <c r="Y857" s="28"/>
      <c r="Z857" s="28"/>
      <c r="AA857" s="28"/>
      <c r="AB857" s="28"/>
      <c r="AC857" s="28"/>
    </row>
    <row r="858" ht="78.0" customHeight="1">
      <c r="A858" s="48">
        <v>45562.0</v>
      </c>
      <c r="B858" s="50" t="s">
        <v>6105</v>
      </c>
      <c r="C858" s="50" t="s">
        <v>6106</v>
      </c>
      <c r="D858" s="855"/>
      <c r="E858" s="52"/>
      <c r="F858" s="52"/>
      <c r="G858" s="50" t="s">
        <v>1</v>
      </c>
      <c r="H858" s="54"/>
      <c r="I858" s="54"/>
      <c r="J858" s="54"/>
      <c r="K858" s="54"/>
      <c r="L858" s="54"/>
      <c r="M858" s="54"/>
      <c r="N858" s="54"/>
      <c r="O858" s="54"/>
      <c r="P858" s="54"/>
      <c r="Q858" s="54"/>
      <c r="R858" s="54"/>
      <c r="S858" s="54"/>
      <c r="T858" s="54"/>
      <c r="U858" s="54"/>
      <c r="V858" s="54"/>
      <c r="W858" s="54"/>
      <c r="X858" s="54"/>
      <c r="Y858" s="54"/>
      <c r="Z858" s="54"/>
      <c r="AA858" s="54"/>
      <c r="AB858" s="54"/>
      <c r="AC858" s="54"/>
    </row>
    <row r="859" ht="78.0" customHeight="1">
      <c r="A859" s="769">
        <v>45562.0</v>
      </c>
      <c r="B859" s="21" t="s">
        <v>6108</v>
      </c>
      <c r="C859" s="21" t="s">
        <v>6109</v>
      </c>
      <c r="D859" s="825"/>
      <c r="E859" s="26"/>
      <c r="F859" s="26"/>
      <c r="G859" s="21" t="s">
        <v>6110</v>
      </c>
      <c r="H859" s="21" t="s">
        <v>6111</v>
      </c>
      <c r="I859" s="21" t="s">
        <v>6112</v>
      </c>
      <c r="J859" s="21" t="s">
        <v>6113</v>
      </c>
      <c r="K859" s="21" t="s">
        <v>6114</v>
      </c>
      <c r="L859" s="825" t="s">
        <v>6115</v>
      </c>
      <c r="M859" s="28"/>
      <c r="N859" s="28"/>
      <c r="O859" s="28"/>
      <c r="P859" s="28"/>
      <c r="Q859" s="28"/>
      <c r="R859" s="28"/>
      <c r="S859" s="28"/>
      <c r="T859" s="28"/>
      <c r="U859" s="28"/>
      <c r="V859" s="28"/>
      <c r="W859" s="28"/>
      <c r="X859" s="28"/>
      <c r="Y859" s="28"/>
      <c r="Z859" s="28"/>
      <c r="AA859" s="28"/>
      <c r="AB859" s="28"/>
      <c r="AC859" s="28"/>
    </row>
    <row r="860" ht="78.0" customHeight="1">
      <c r="A860" s="48">
        <v>45561.0</v>
      </c>
      <c r="B860" s="50" t="s">
        <v>6117</v>
      </c>
      <c r="C860" s="50" t="s">
        <v>6118</v>
      </c>
      <c r="D860" s="855"/>
      <c r="E860" s="52"/>
      <c r="F860" s="52"/>
      <c r="G860" s="52"/>
      <c r="H860" s="50" t="s">
        <v>6119</v>
      </c>
      <c r="I860" s="855" t="s">
        <v>6120</v>
      </c>
      <c r="J860" s="855" t="s">
        <v>6121</v>
      </c>
      <c r="K860" s="855" t="s">
        <v>6122</v>
      </c>
      <c r="L860" s="54"/>
      <c r="M860" s="54"/>
      <c r="N860" s="54"/>
      <c r="O860" s="54"/>
      <c r="P860" s="54"/>
      <c r="Q860" s="54"/>
      <c r="R860" s="54"/>
      <c r="S860" s="54"/>
      <c r="T860" s="54"/>
      <c r="U860" s="54"/>
      <c r="V860" s="54"/>
      <c r="W860" s="54"/>
      <c r="X860" s="54"/>
      <c r="Y860" s="54"/>
      <c r="Z860" s="54"/>
      <c r="AA860" s="54"/>
      <c r="AB860" s="54"/>
      <c r="AC860" s="54"/>
    </row>
    <row r="861" ht="78.0" customHeight="1">
      <c r="A861" s="769">
        <v>45561.0</v>
      </c>
      <c r="B861" s="21" t="s">
        <v>6125</v>
      </c>
      <c r="C861" s="21" t="s">
        <v>6126</v>
      </c>
      <c r="D861" s="825"/>
      <c r="E861" s="26"/>
      <c r="F861" s="26"/>
      <c r="G861" s="26"/>
      <c r="H861" s="28"/>
      <c r="I861" s="28"/>
      <c r="J861" s="28"/>
      <c r="K861" s="28"/>
      <c r="L861" s="28"/>
      <c r="M861" s="28"/>
      <c r="N861" s="28"/>
      <c r="O861" s="28"/>
      <c r="P861" s="28"/>
      <c r="Q861" s="28"/>
      <c r="R861" s="28"/>
      <c r="S861" s="28"/>
      <c r="T861" s="28"/>
      <c r="U861" s="28"/>
      <c r="V861" s="28"/>
      <c r="W861" s="28"/>
      <c r="X861" s="28"/>
      <c r="Y861" s="28"/>
      <c r="Z861" s="28"/>
      <c r="AA861" s="28"/>
      <c r="AB861" s="28"/>
      <c r="AC861" s="28"/>
    </row>
    <row r="862" ht="78.0" customHeight="1">
      <c r="A862" s="48">
        <v>45561.0</v>
      </c>
      <c r="B862" s="50" t="s">
        <v>6130</v>
      </c>
      <c r="C862" s="50" t="s">
        <v>6131</v>
      </c>
      <c r="D862" s="855"/>
      <c r="E862" s="52"/>
      <c r="F862" s="52"/>
      <c r="G862" s="50" t="s">
        <v>6134</v>
      </c>
      <c r="H862" s="52"/>
      <c r="I862" s="52"/>
      <c r="J862" s="52"/>
      <c r="K862" s="52"/>
      <c r="L862" s="52"/>
      <c r="M862" s="54"/>
      <c r="N862" s="54"/>
      <c r="O862" s="54"/>
      <c r="P862" s="54"/>
      <c r="Q862" s="54"/>
      <c r="R862" s="54"/>
      <c r="S862" s="54"/>
      <c r="T862" s="54"/>
      <c r="U862" s="54"/>
      <c r="V862" s="54"/>
      <c r="W862" s="54"/>
      <c r="X862" s="54"/>
      <c r="Y862" s="54"/>
      <c r="Z862" s="54"/>
      <c r="AA862" s="54"/>
      <c r="AB862" s="54"/>
      <c r="AC862" s="54"/>
    </row>
    <row r="863" ht="78.0" customHeight="1">
      <c r="A863" s="769">
        <v>45561.0</v>
      </c>
      <c r="B863" s="21" t="s">
        <v>6135</v>
      </c>
      <c r="C863" s="21" t="s">
        <v>6136</v>
      </c>
      <c r="D863" s="825"/>
      <c r="E863" s="26"/>
      <c r="F863" s="26"/>
      <c r="G863" s="825" t="s">
        <v>6138</v>
      </c>
      <c r="H863" s="21" t="s">
        <v>6139</v>
      </c>
      <c r="I863" s="26"/>
      <c r="J863" s="26"/>
      <c r="K863" s="26"/>
      <c r="L863" s="28"/>
      <c r="M863" s="28"/>
      <c r="N863" s="28"/>
      <c r="O863" s="28"/>
      <c r="P863" s="28"/>
      <c r="Q863" s="28"/>
      <c r="R863" s="28"/>
      <c r="S863" s="28"/>
      <c r="T863" s="28"/>
      <c r="U863" s="28"/>
      <c r="V863" s="28"/>
      <c r="W863" s="28"/>
      <c r="X863" s="28"/>
      <c r="Y863" s="28"/>
      <c r="Z863" s="28"/>
      <c r="AA863" s="28"/>
      <c r="AB863" s="28"/>
      <c r="AC863" s="28"/>
    </row>
    <row r="864" ht="78.0" customHeight="1">
      <c r="A864" s="48">
        <v>45561.0</v>
      </c>
      <c r="B864" s="50" t="s">
        <v>6142</v>
      </c>
      <c r="C864" s="52"/>
      <c r="D864" s="855"/>
      <c r="E864" s="52"/>
      <c r="F864" s="52"/>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row>
    <row r="865" ht="78.0" customHeight="1">
      <c r="A865" s="769">
        <v>45561.0</v>
      </c>
      <c r="B865" s="21" t="s">
        <v>6143</v>
      </c>
      <c r="C865" s="21" t="s">
        <v>6145</v>
      </c>
      <c r="D865" s="825"/>
      <c r="E865" s="26"/>
      <c r="F865" s="26"/>
      <c r="G865" s="26"/>
      <c r="H865" s="28"/>
      <c r="I865" s="28"/>
      <c r="J865" s="28"/>
      <c r="K865" s="28"/>
      <c r="L865" s="28"/>
      <c r="M865" s="28"/>
      <c r="N865" s="28"/>
      <c r="O865" s="28"/>
      <c r="P865" s="28"/>
      <c r="Q865" s="28"/>
      <c r="R865" s="28"/>
      <c r="S865" s="28"/>
      <c r="T865" s="28"/>
      <c r="U865" s="28"/>
      <c r="V865" s="28"/>
      <c r="W865" s="28"/>
      <c r="X865" s="28"/>
      <c r="Y865" s="28"/>
      <c r="Z865" s="28"/>
      <c r="AA865" s="28"/>
      <c r="AB865" s="28"/>
      <c r="AC865" s="28"/>
    </row>
    <row r="866" ht="78.0" customHeight="1">
      <c r="A866" s="48">
        <v>45561.0</v>
      </c>
      <c r="B866" s="50" t="s">
        <v>6149</v>
      </c>
      <c r="C866" s="50" t="s">
        <v>6150</v>
      </c>
      <c r="D866" s="855"/>
      <c r="E866" s="52"/>
      <c r="F866" s="52"/>
      <c r="G866" s="50" t="s">
        <v>6151</v>
      </c>
      <c r="H866" s="50" t="s">
        <v>6152</v>
      </c>
      <c r="I866" s="855" t="s">
        <v>6153</v>
      </c>
      <c r="J866" s="855" t="s">
        <v>6154</v>
      </c>
      <c r="K866" s="855" t="s">
        <v>6155</v>
      </c>
      <c r="L866" s="855" t="s">
        <v>6156</v>
      </c>
      <c r="M866" s="54"/>
      <c r="N866" s="54"/>
      <c r="O866" s="54"/>
      <c r="P866" s="54"/>
      <c r="Q866" s="54"/>
      <c r="R866" s="54"/>
      <c r="S866" s="54"/>
      <c r="T866" s="54"/>
      <c r="U866" s="54"/>
      <c r="V866" s="54"/>
      <c r="W866" s="54"/>
      <c r="X866" s="54"/>
      <c r="Y866" s="54"/>
      <c r="Z866" s="54"/>
      <c r="AA866" s="54"/>
      <c r="AB866" s="54"/>
      <c r="AC866" s="54"/>
    </row>
    <row r="867" ht="78.0" customHeight="1">
      <c r="A867" s="769">
        <v>45561.0</v>
      </c>
      <c r="B867" s="21" t="s">
        <v>6157</v>
      </c>
      <c r="C867" s="825" t="s">
        <v>6158</v>
      </c>
      <c r="D867" s="825"/>
      <c r="E867" s="28"/>
      <c r="F867" s="28"/>
      <c r="G867" s="825" t="s">
        <v>6159</v>
      </c>
      <c r="H867" s="28"/>
      <c r="I867" s="28"/>
      <c r="J867" s="28"/>
      <c r="K867" s="28"/>
      <c r="L867" s="28"/>
      <c r="M867" s="28"/>
      <c r="N867" s="28"/>
      <c r="O867" s="28"/>
      <c r="P867" s="28"/>
      <c r="Q867" s="28"/>
      <c r="R867" s="28"/>
      <c r="S867" s="28"/>
      <c r="T867" s="28"/>
      <c r="U867" s="28"/>
      <c r="V867" s="28"/>
      <c r="W867" s="28"/>
      <c r="X867" s="28"/>
      <c r="Y867" s="28"/>
      <c r="Z867" s="28"/>
      <c r="AA867" s="28"/>
      <c r="AB867" s="28"/>
      <c r="AC867" s="28"/>
    </row>
    <row r="868" ht="78.0" customHeight="1">
      <c r="A868" s="48">
        <v>45560.0</v>
      </c>
      <c r="B868" s="50" t="s">
        <v>6164</v>
      </c>
      <c r="C868" s="50" t="s">
        <v>6165</v>
      </c>
      <c r="D868" s="855"/>
      <c r="E868" s="52"/>
      <c r="F868" s="52"/>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row>
    <row r="869" ht="78.0" customHeight="1">
      <c r="A869" s="769">
        <v>45560.0</v>
      </c>
      <c r="B869" s="21" t="s">
        <v>6167</v>
      </c>
      <c r="C869" s="21" t="s">
        <v>6168</v>
      </c>
      <c r="D869" s="825"/>
      <c r="E869" s="26"/>
      <c r="F869" s="26"/>
      <c r="G869" s="21" t="s">
        <v>6169</v>
      </c>
      <c r="H869" s="26"/>
      <c r="I869" s="26"/>
      <c r="J869" s="26"/>
      <c r="K869" s="26"/>
      <c r="L869" s="26"/>
      <c r="M869" s="28"/>
      <c r="N869" s="28"/>
      <c r="O869" s="28"/>
      <c r="P869" s="28"/>
      <c r="Q869" s="28"/>
      <c r="R869" s="28"/>
      <c r="S869" s="28"/>
      <c r="T869" s="28"/>
      <c r="U869" s="28"/>
      <c r="V869" s="28"/>
      <c r="W869" s="28"/>
      <c r="X869" s="28"/>
      <c r="Y869" s="28"/>
      <c r="Z869" s="28"/>
      <c r="AA869" s="28"/>
      <c r="AB869" s="28"/>
      <c r="AC869" s="28"/>
    </row>
    <row r="870" ht="78.0" customHeight="1">
      <c r="A870" s="48">
        <v>45560.0</v>
      </c>
      <c r="B870" s="50" t="s">
        <v>6171</v>
      </c>
      <c r="C870" s="50" t="s">
        <v>6172</v>
      </c>
      <c r="D870" s="855"/>
      <c r="E870" s="52"/>
      <c r="F870" s="52"/>
      <c r="G870" s="50" t="s">
        <v>6173</v>
      </c>
      <c r="H870" s="855" t="s">
        <v>6174</v>
      </c>
      <c r="I870" s="855" t="s">
        <v>6175</v>
      </c>
      <c r="J870" s="54"/>
      <c r="K870" s="54"/>
      <c r="L870" s="54"/>
      <c r="M870" s="54"/>
      <c r="N870" s="54"/>
      <c r="O870" s="54"/>
      <c r="P870" s="54"/>
      <c r="Q870" s="54"/>
      <c r="R870" s="54"/>
      <c r="S870" s="54"/>
      <c r="T870" s="54"/>
      <c r="U870" s="54"/>
      <c r="V870" s="54"/>
      <c r="W870" s="54"/>
      <c r="X870" s="54"/>
      <c r="Y870" s="54"/>
      <c r="Z870" s="54"/>
      <c r="AA870" s="54"/>
      <c r="AB870" s="54"/>
      <c r="AC870" s="54"/>
    </row>
    <row r="871" ht="78.0" customHeight="1">
      <c r="A871" s="769">
        <v>45560.0</v>
      </c>
      <c r="B871" s="21" t="s">
        <v>6177</v>
      </c>
      <c r="C871" s="21" t="s">
        <v>6179</v>
      </c>
      <c r="D871" s="825"/>
      <c r="E871" s="26"/>
      <c r="F871" s="26"/>
      <c r="G871" s="825" t="s">
        <v>6180</v>
      </c>
      <c r="H871" s="825" t="s">
        <v>6181</v>
      </c>
      <c r="I871" s="28"/>
      <c r="J871" s="28"/>
      <c r="K871" s="28"/>
      <c r="L871" s="28"/>
      <c r="M871" s="28"/>
      <c r="N871" s="28"/>
      <c r="O871" s="28"/>
      <c r="P871" s="28"/>
      <c r="Q871" s="28"/>
      <c r="R871" s="28"/>
      <c r="S871" s="28"/>
      <c r="T871" s="28"/>
      <c r="U871" s="28"/>
      <c r="V871" s="28"/>
      <c r="W871" s="28"/>
      <c r="X871" s="28"/>
      <c r="Y871" s="28"/>
      <c r="Z871" s="28"/>
      <c r="AA871" s="28"/>
      <c r="AB871" s="28"/>
      <c r="AC871" s="28"/>
    </row>
    <row r="872" ht="78.0" customHeight="1">
      <c r="A872" s="48">
        <v>45560.0</v>
      </c>
      <c r="B872" s="50" t="s">
        <v>6185</v>
      </c>
      <c r="C872" s="50" t="s">
        <v>1270</v>
      </c>
      <c r="D872" s="855"/>
      <c r="E872" s="52"/>
      <c r="F872" s="52"/>
      <c r="G872" s="50" t="s">
        <v>6186</v>
      </c>
      <c r="H872" s="855" t="s">
        <v>6187</v>
      </c>
      <c r="I872" s="855" t="s">
        <v>6188</v>
      </c>
      <c r="J872" s="855" t="s">
        <v>6189</v>
      </c>
      <c r="K872" s="855" t="s">
        <v>6191</v>
      </c>
      <c r="L872" s="855" t="s">
        <v>6192</v>
      </c>
      <c r="M872" s="855" t="s">
        <v>6193</v>
      </c>
      <c r="N872" s="855" t="s">
        <v>6194</v>
      </c>
      <c r="O872" s="54"/>
      <c r="P872" s="54"/>
      <c r="Q872" s="54"/>
      <c r="R872" s="54"/>
      <c r="S872" s="54"/>
      <c r="T872" s="54"/>
      <c r="U872" s="54"/>
      <c r="V872" s="54"/>
      <c r="W872" s="54"/>
      <c r="X872" s="54"/>
      <c r="Y872" s="54"/>
      <c r="Z872" s="54"/>
      <c r="AA872" s="54"/>
      <c r="AB872" s="54"/>
      <c r="AC872" s="54"/>
    </row>
    <row r="873" ht="78.0" customHeight="1">
      <c r="A873" s="769">
        <v>45560.0</v>
      </c>
      <c r="B873" s="21" t="s">
        <v>6195</v>
      </c>
      <c r="C873" s="21" t="s">
        <v>6196</v>
      </c>
      <c r="D873" s="825"/>
      <c r="E873" s="26"/>
      <c r="F873" s="26"/>
      <c r="G873" s="26"/>
      <c r="H873" s="21" t="s">
        <v>6198</v>
      </c>
      <c r="I873" s="21" t="s">
        <v>6200</v>
      </c>
      <c r="J873" s="825" t="s">
        <v>6201</v>
      </c>
      <c r="K873" s="825" t="s">
        <v>6202</v>
      </c>
      <c r="L873" s="825" t="s">
        <v>6204</v>
      </c>
      <c r="M873" s="825" t="s">
        <v>6205</v>
      </c>
      <c r="N873" s="28"/>
      <c r="O873" s="28"/>
      <c r="P873" s="28"/>
      <c r="Q873" s="28"/>
      <c r="R873" s="28"/>
      <c r="S873" s="28"/>
      <c r="T873" s="28"/>
      <c r="U873" s="28"/>
      <c r="V873" s="28"/>
      <c r="W873" s="28"/>
      <c r="X873" s="28"/>
      <c r="Y873" s="28"/>
      <c r="Z873" s="28"/>
      <c r="AA873" s="28"/>
      <c r="AB873" s="28"/>
      <c r="AC873" s="28"/>
    </row>
    <row r="874" ht="78.0" customHeight="1">
      <c r="A874" s="48">
        <v>45560.0</v>
      </c>
      <c r="B874" s="50" t="s">
        <v>6208</v>
      </c>
      <c r="C874" s="50" t="s">
        <v>6209</v>
      </c>
      <c r="D874" s="855"/>
      <c r="E874" s="52"/>
      <c r="F874" s="52"/>
      <c r="G874" s="52"/>
      <c r="H874" s="52"/>
      <c r="I874" s="54"/>
      <c r="J874" s="54"/>
      <c r="K874" s="54"/>
      <c r="L874" s="54"/>
      <c r="M874" s="54"/>
      <c r="N874" s="54"/>
      <c r="O874" s="54"/>
      <c r="P874" s="54"/>
      <c r="Q874" s="54"/>
      <c r="R874" s="54"/>
      <c r="S874" s="54"/>
      <c r="T874" s="54"/>
      <c r="U874" s="54"/>
      <c r="V874" s="54"/>
      <c r="W874" s="54"/>
      <c r="X874" s="54"/>
      <c r="Y874" s="54"/>
      <c r="Z874" s="54"/>
      <c r="AA874" s="54"/>
      <c r="AB874" s="54"/>
      <c r="AC874" s="54"/>
    </row>
    <row r="875" ht="78.0" customHeight="1">
      <c r="A875" s="769">
        <v>45560.0</v>
      </c>
      <c r="B875" s="21" t="s">
        <v>6212</v>
      </c>
      <c r="C875" s="21" t="s">
        <v>6213</v>
      </c>
      <c r="D875" s="825"/>
      <c r="E875" s="26"/>
      <c r="F875" s="26"/>
      <c r="G875" s="21" t="s">
        <v>6214</v>
      </c>
      <c r="H875" s="21" t="s">
        <v>6215</v>
      </c>
      <c r="I875" s="26"/>
      <c r="J875" s="26"/>
      <c r="K875" s="26"/>
      <c r="L875" s="26"/>
      <c r="M875" s="26"/>
      <c r="N875" s="26"/>
      <c r="O875" s="28"/>
      <c r="P875" s="28"/>
      <c r="Q875" s="28"/>
      <c r="R875" s="28"/>
      <c r="S875" s="28"/>
      <c r="T875" s="28"/>
      <c r="U875" s="28"/>
      <c r="V875" s="28"/>
      <c r="W875" s="28"/>
      <c r="X875" s="28"/>
      <c r="Y875" s="28"/>
      <c r="Z875" s="28"/>
      <c r="AA875" s="28"/>
      <c r="AB875" s="28"/>
      <c r="AC875" s="28"/>
    </row>
    <row r="876" ht="78.0" customHeight="1">
      <c r="A876" s="48">
        <v>45560.0</v>
      </c>
      <c r="B876" s="50" t="s">
        <v>6216</v>
      </c>
      <c r="C876" s="50" t="s">
        <v>6217</v>
      </c>
      <c r="D876" s="855"/>
      <c r="E876" s="52"/>
      <c r="F876" s="52"/>
      <c r="G876" s="855" t="s">
        <v>6220</v>
      </c>
      <c r="H876" s="50" t="s">
        <v>6221</v>
      </c>
      <c r="I876" s="50" t="s">
        <v>6222</v>
      </c>
      <c r="J876" s="52"/>
      <c r="K876" s="52"/>
      <c r="L876" s="52"/>
      <c r="M876" s="52"/>
      <c r="N876" s="54"/>
      <c r="O876" s="54"/>
      <c r="P876" s="54"/>
      <c r="Q876" s="54"/>
      <c r="R876" s="54"/>
      <c r="S876" s="54"/>
      <c r="T876" s="54"/>
      <c r="U876" s="54"/>
      <c r="V876" s="54"/>
      <c r="W876" s="54"/>
      <c r="X876" s="54"/>
      <c r="Y876" s="54"/>
      <c r="Z876" s="54"/>
      <c r="AA876" s="54"/>
      <c r="AB876" s="54"/>
      <c r="AC876" s="54"/>
    </row>
    <row r="877" ht="78.0" customHeight="1">
      <c r="A877" s="769">
        <v>45560.0</v>
      </c>
      <c r="B877" s="21" t="s">
        <v>6224</v>
      </c>
      <c r="C877" s="21" t="s">
        <v>6225</v>
      </c>
      <c r="D877" s="825"/>
      <c r="E877" s="26"/>
      <c r="F877" s="26"/>
      <c r="G877" s="825" t="s">
        <v>6226</v>
      </c>
      <c r="H877" s="825" t="s">
        <v>6227</v>
      </c>
      <c r="I877" s="825" t="s">
        <v>6228</v>
      </c>
      <c r="J877" s="825" t="s">
        <v>6229</v>
      </c>
      <c r="K877" s="825" t="s">
        <v>6230</v>
      </c>
      <c r="L877" s="28"/>
      <c r="M877" s="28"/>
      <c r="N877" s="28"/>
      <c r="O877" s="28"/>
      <c r="P877" s="28"/>
      <c r="Q877" s="28"/>
      <c r="R877" s="28"/>
      <c r="S877" s="28"/>
      <c r="T877" s="28"/>
      <c r="U877" s="28"/>
      <c r="V877" s="28"/>
      <c r="W877" s="28"/>
      <c r="X877" s="28"/>
      <c r="Y877" s="28"/>
      <c r="Z877" s="28"/>
      <c r="AA877" s="28"/>
      <c r="AB877" s="28"/>
      <c r="AC877" s="28"/>
    </row>
    <row r="878" ht="78.0" customHeight="1">
      <c r="A878" s="48">
        <v>45559.0</v>
      </c>
      <c r="B878" s="50" t="s">
        <v>6231</v>
      </c>
      <c r="C878" s="52"/>
      <c r="D878" s="855"/>
      <c r="E878" s="52"/>
      <c r="F878" s="52"/>
      <c r="G878" s="52"/>
      <c r="H878" s="52"/>
      <c r="I878" s="54"/>
      <c r="J878" s="54"/>
      <c r="K878" s="54"/>
      <c r="L878" s="54"/>
      <c r="M878" s="54"/>
      <c r="N878" s="54"/>
      <c r="O878" s="54"/>
      <c r="P878" s="54"/>
      <c r="Q878" s="54"/>
      <c r="R878" s="54"/>
      <c r="S878" s="54"/>
      <c r="T878" s="54"/>
      <c r="U878" s="54"/>
      <c r="V878" s="54"/>
      <c r="W878" s="54"/>
      <c r="X878" s="54"/>
      <c r="Y878" s="54"/>
      <c r="Z878" s="54"/>
      <c r="AA878" s="54"/>
      <c r="AB878" s="54"/>
      <c r="AC878" s="54"/>
    </row>
    <row r="879" ht="78.0" customHeight="1">
      <c r="A879" s="769">
        <v>45559.0</v>
      </c>
      <c r="B879" s="21" t="s">
        <v>6233</v>
      </c>
      <c r="C879" s="21" t="s">
        <v>6234</v>
      </c>
      <c r="D879" s="825"/>
      <c r="E879" s="26"/>
      <c r="F879" s="26"/>
      <c r="G879" s="26"/>
      <c r="H879" s="26"/>
      <c r="I879" s="26"/>
      <c r="J879" s="28"/>
      <c r="K879" s="28"/>
      <c r="L879" s="28"/>
      <c r="M879" s="28"/>
      <c r="N879" s="28"/>
      <c r="O879" s="28"/>
      <c r="P879" s="28"/>
      <c r="Q879" s="28"/>
      <c r="R879" s="28"/>
      <c r="S879" s="28"/>
      <c r="T879" s="28"/>
      <c r="U879" s="28"/>
      <c r="V879" s="28"/>
      <c r="W879" s="28"/>
      <c r="X879" s="28"/>
      <c r="Y879" s="28"/>
      <c r="Z879" s="28"/>
      <c r="AA879" s="28"/>
      <c r="AB879" s="28"/>
      <c r="AC879" s="28"/>
    </row>
    <row r="880" ht="78.0" customHeight="1">
      <c r="A880" s="48">
        <v>45559.0</v>
      </c>
      <c r="B880" s="50" t="s">
        <v>6240</v>
      </c>
      <c r="C880" s="50" t="s">
        <v>6241</v>
      </c>
      <c r="D880" s="855"/>
      <c r="E880" s="52"/>
      <c r="F880" s="52"/>
      <c r="G880" s="50" t="s">
        <v>6243</v>
      </c>
      <c r="H880" s="50" t="s">
        <v>6244</v>
      </c>
      <c r="I880" s="50" t="s">
        <v>6245</v>
      </c>
      <c r="J880" s="52"/>
      <c r="K880" s="52"/>
      <c r="L880" s="54"/>
      <c r="M880" s="54"/>
      <c r="N880" s="54"/>
      <c r="O880" s="54"/>
      <c r="P880" s="54"/>
      <c r="Q880" s="54"/>
      <c r="R880" s="54"/>
      <c r="S880" s="54"/>
      <c r="T880" s="54"/>
      <c r="U880" s="54"/>
      <c r="V880" s="54"/>
      <c r="W880" s="54"/>
      <c r="X880" s="54"/>
      <c r="Y880" s="54"/>
      <c r="Z880" s="54"/>
      <c r="AA880" s="54"/>
      <c r="AB880" s="54"/>
      <c r="AC880" s="54"/>
    </row>
    <row r="881" ht="78.0" customHeight="1">
      <c r="A881" s="769">
        <v>45558.0</v>
      </c>
      <c r="B881" s="21" t="s">
        <v>6240</v>
      </c>
      <c r="C881" s="825" t="s">
        <v>6247</v>
      </c>
      <c r="D881" s="825"/>
      <c r="E881" s="28"/>
      <c r="F881" s="28"/>
      <c r="G881" s="825" t="s">
        <v>6249</v>
      </c>
      <c r="H881" s="28"/>
      <c r="I881" s="28"/>
      <c r="J881" s="28"/>
      <c r="K881" s="28"/>
      <c r="L881" s="28"/>
      <c r="M881" s="28"/>
      <c r="N881" s="28"/>
      <c r="O881" s="28"/>
      <c r="P881" s="28"/>
      <c r="Q881" s="28"/>
      <c r="R881" s="28"/>
      <c r="S881" s="28"/>
      <c r="T881" s="28"/>
      <c r="U881" s="28"/>
      <c r="V881" s="28"/>
      <c r="W881" s="28"/>
      <c r="X881" s="28"/>
      <c r="Y881" s="28"/>
      <c r="Z881" s="28"/>
      <c r="AA881" s="28"/>
      <c r="AB881" s="28"/>
      <c r="AC881" s="28"/>
    </row>
    <row r="882" ht="78.0" customHeight="1">
      <c r="A882" s="48">
        <v>45558.0</v>
      </c>
      <c r="B882" s="50" t="s">
        <v>6253</v>
      </c>
      <c r="C882" s="52"/>
      <c r="D882" s="855"/>
      <c r="E882" s="52"/>
      <c r="F882" s="52"/>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row>
    <row r="883" ht="78.0" customHeight="1">
      <c r="A883" s="929">
        <v>45557.0</v>
      </c>
      <c r="B883" s="21" t="s">
        <v>6256</v>
      </c>
      <c r="C883" s="26"/>
      <c r="D883" s="825"/>
      <c r="E883" s="26"/>
      <c r="F883" s="26"/>
      <c r="G883" s="26"/>
      <c r="H883" s="26"/>
      <c r="I883" s="26"/>
      <c r="J883" s="28"/>
      <c r="K883" s="28"/>
      <c r="L883" s="28"/>
      <c r="M883" s="28"/>
      <c r="N883" s="28"/>
      <c r="O883" s="28"/>
      <c r="P883" s="28"/>
      <c r="Q883" s="28"/>
      <c r="R883" s="28"/>
      <c r="S883" s="28"/>
      <c r="T883" s="28"/>
      <c r="U883" s="28"/>
      <c r="V883" s="28"/>
      <c r="W883" s="28"/>
      <c r="X883" s="28"/>
      <c r="Y883" s="28"/>
      <c r="Z883" s="28"/>
      <c r="AA883" s="28"/>
      <c r="AB883" s="28"/>
      <c r="AC883" s="28"/>
    </row>
    <row r="884" ht="78.0" customHeight="1">
      <c r="A884" s="48">
        <v>45557.0</v>
      </c>
      <c r="B884" s="50" t="s">
        <v>6257</v>
      </c>
      <c r="C884" s="52"/>
      <c r="D884" s="855"/>
      <c r="E884" s="52"/>
      <c r="F884" s="52"/>
      <c r="G884" s="52"/>
      <c r="H884" s="54"/>
      <c r="I884" s="54"/>
      <c r="J884" s="54"/>
      <c r="K884" s="54"/>
      <c r="L884" s="54"/>
      <c r="M884" s="54"/>
      <c r="N884" s="54"/>
      <c r="O884" s="54"/>
      <c r="P884" s="54"/>
      <c r="Q884" s="54"/>
      <c r="R884" s="54"/>
      <c r="S884" s="54"/>
      <c r="T884" s="54"/>
      <c r="U884" s="54"/>
      <c r="V884" s="54"/>
      <c r="W884" s="54"/>
      <c r="X884" s="54"/>
      <c r="Y884" s="54"/>
      <c r="Z884" s="54"/>
      <c r="AA884" s="54"/>
      <c r="AB884" s="54"/>
      <c r="AC884" s="54"/>
    </row>
    <row r="885" ht="78.0" customHeight="1">
      <c r="A885" s="929">
        <v>45556.0</v>
      </c>
      <c r="B885" s="21" t="s">
        <v>6259</v>
      </c>
      <c r="C885" s="825" t="s">
        <v>6260</v>
      </c>
      <c r="D885" s="825"/>
      <c r="E885" s="28"/>
      <c r="F885" s="28"/>
      <c r="G885" s="825" t="s">
        <v>6261</v>
      </c>
      <c r="H885" s="825" t="s">
        <v>6262</v>
      </c>
      <c r="I885" s="825" t="s">
        <v>1044</v>
      </c>
      <c r="J885" s="28"/>
      <c r="K885" s="28"/>
      <c r="L885" s="28"/>
      <c r="M885" s="28"/>
      <c r="N885" s="28"/>
      <c r="O885" s="28"/>
      <c r="P885" s="28"/>
      <c r="Q885" s="28"/>
      <c r="R885" s="28"/>
      <c r="S885" s="28"/>
      <c r="T885" s="28"/>
      <c r="U885" s="28"/>
      <c r="V885" s="28"/>
      <c r="W885" s="28"/>
      <c r="X885" s="28"/>
      <c r="Y885" s="28"/>
      <c r="Z885" s="28"/>
      <c r="AA885" s="28"/>
      <c r="AB885" s="28"/>
      <c r="AC885" s="28"/>
    </row>
    <row r="886" ht="78.0" customHeight="1">
      <c r="A886" s="930">
        <v>45554.0</v>
      </c>
      <c r="B886" s="50" t="s">
        <v>6269</v>
      </c>
      <c r="C886" s="855" t="s">
        <v>6270</v>
      </c>
      <c r="D886" s="855"/>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row>
    <row r="887" ht="78.0" customHeight="1">
      <c r="A887" s="929">
        <v>45551.0</v>
      </c>
      <c r="B887" s="21" t="s">
        <v>6273</v>
      </c>
      <c r="C887" s="825" t="s">
        <v>6274</v>
      </c>
      <c r="D887" s="825"/>
      <c r="E887" s="28"/>
      <c r="F887" s="28"/>
      <c r="G887" s="825" t="s">
        <v>6277</v>
      </c>
      <c r="H887" s="28"/>
      <c r="I887" s="28"/>
      <c r="J887" s="28"/>
      <c r="K887" s="28"/>
      <c r="L887" s="28"/>
      <c r="M887" s="28"/>
      <c r="N887" s="28"/>
      <c r="O887" s="28"/>
      <c r="P887" s="28"/>
      <c r="Q887" s="28"/>
      <c r="R887" s="28"/>
      <c r="S887" s="28"/>
      <c r="T887" s="28"/>
      <c r="U887" s="28"/>
      <c r="V887" s="28"/>
      <c r="W887" s="28"/>
      <c r="X887" s="28"/>
      <c r="Y887" s="28"/>
      <c r="Z887" s="28"/>
      <c r="AA887" s="28"/>
      <c r="AB887" s="28"/>
      <c r="AC887" s="28"/>
    </row>
    <row r="888" ht="78.0" customHeight="1">
      <c r="A888" s="930">
        <v>45550.0</v>
      </c>
      <c r="B888" s="50" t="s">
        <v>6278</v>
      </c>
      <c r="C888" s="50" t="s">
        <v>6279</v>
      </c>
      <c r="D888" s="855"/>
      <c r="E888" s="52"/>
      <c r="F888" s="52"/>
      <c r="G888" s="50" t="s">
        <v>6281</v>
      </c>
      <c r="H888" s="50" t="s">
        <v>4341</v>
      </c>
      <c r="I888" s="52"/>
      <c r="J888" s="54"/>
      <c r="K888" s="54"/>
      <c r="L888" s="54"/>
      <c r="M888" s="54"/>
      <c r="N888" s="54"/>
      <c r="O888" s="54"/>
      <c r="P888" s="54"/>
      <c r="Q888" s="54"/>
      <c r="R888" s="54"/>
      <c r="S888" s="54"/>
      <c r="T888" s="54"/>
      <c r="U888" s="54"/>
      <c r="V888" s="54"/>
      <c r="W888" s="54"/>
      <c r="X888" s="54"/>
      <c r="Y888" s="54"/>
      <c r="Z888" s="54"/>
      <c r="AA888" s="54"/>
      <c r="AB888" s="54"/>
      <c r="AC888" s="54"/>
    </row>
    <row r="889" ht="78.0" customHeight="1">
      <c r="A889" s="929">
        <v>45550.0</v>
      </c>
      <c r="B889" s="21" t="s">
        <v>6283</v>
      </c>
      <c r="C889" s="21" t="s">
        <v>6284</v>
      </c>
      <c r="D889" s="825"/>
      <c r="E889" s="26"/>
      <c r="F889" s="26"/>
      <c r="G889" s="825" t="s">
        <v>6286</v>
      </c>
      <c r="H889" s="825" t="s">
        <v>6287</v>
      </c>
      <c r="I889" s="28"/>
      <c r="J889" s="28"/>
      <c r="K889" s="28"/>
      <c r="L889" s="28"/>
      <c r="M889" s="28"/>
      <c r="N889" s="28"/>
      <c r="O889" s="28"/>
      <c r="P889" s="28"/>
      <c r="Q889" s="28"/>
      <c r="R889" s="28"/>
      <c r="S889" s="28"/>
      <c r="T889" s="28"/>
      <c r="U889" s="28"/>
      <c r="V889" s="28"/>
      <c r="W889" s="28"/>
      <c r="X889" s="28"/>
      <c r="Y889" s="28"/>
      <c r="Z889" s="28"/>
      <c r="AA889" s="28"/>
      <c r="AB889" s="28"/>
      <c r="AC889" s="28"/>
    </row>
    <row r="890" ht="78.0" customHeight="1">
      <c r="A890" s="932">
        <v>45548.0</v>
      </c>
      <c r="B890" s="50" t="s">
        <v>6290</v>
      </c>
      <c r="C890" s="50" t="s">
        <v>6291</v>
      </c>
      <c r="D890" s="855"/>
      <c r="E890" s="52"/>
      <c r="F890" s="52"/>
      <c r="G890" s="52"/>
      <c r="H890" s="54"/>
      <c r="I890" s="54"/>
      <c r="J890" s="54"/>
      <c r="K890" s="54"/>
      <c r="L890" s="54"/>
      <c r="M890" s="54"/>
      <c r="N890" s="54"/>
      <c r="O890" s="54"/>
      <c r="P890" s="54"/>
      <c r="Q890" s="54"/>
      <c r="R890" s="54"/>
      <c r="S890" s="54"/>
      <c r="T890" s="54"/>
      <c r="U890" s="54"/>
      <c r="V890" s="54"/>
      <c r="W890" s="54"/>
      <c r="X890" s="54"/>
      <c r="Y890" s="54"/>
      <c r="Z890" s="54"/>
      <c r="AA890" s="54"/>
      <c r="AB890" s="54"/>
      <c r="AC890" s="54"/>
    </row>
    <row r="891" ht="78.0" customHeight="1">
      <c r="A891" s="933">
        <v>45547.0</v>
      </c>
      <c r="B891" s="21" t="s">
        <v>6292</v>
      </c>
      <c r="C891" s="21" t="s">
        <v>6293</v>
      </c>
      <c r="D891" s="825"/>
      <c r="E891" s="26"/>
      <c r="F891" s="26"/>
      <c r="G891" s="21" t="s">
        <v>6295</v>
      </c>
      <c r="H891" s="21" t="s">
        <v>6296</v>
      </c>
      <c r="I891" s="825" t="s">
        <v>6298</v>
      </c>
      <c r="J891" s="28"/>
      <c r="K891" s="28"/>
      <c r="L891" s="28"/>
      <c r="M891" s="28"/>
      <c r="N891" s="28"/>
      <c r="O891" s="28"/>
      <c r="P891" s="28"/>
      <c r="Q891" s="28"/>
      <c r="R891" s="28"/>
      <c r="S891" s="28"/>
      <c r="T891" s="28"/>
      <c r="U891" s="28"/>
      <c r="V891" s="28"/>
      <c r="W891" s="28"/>
      <c r="X891" s="28"/>
      <c r="Y891" s="28"/>
      <c r="Z891" s="28"/>
      <c r="AA891" s="28"/>
      <c r="AB891" s="28"/>
      <c r="AC891" s="28"/>
    </row>
    <row r="892" ht="78.0" customHeight="1">
      <c r="A892" s="932">
        <v>45545.0</v>
      </c>
      <c r="B892" s="50" t="s">
        <v>6300</v>
      </c>
      <c r="C892" s="50" t="s">
        <v>572</v>
      </c>
      <c r="D892" s="855"/>
      <c r="E892" s="52"/>
      <c r="F892" s="52"/>
      <c r="G892" s="52"/>
      <c r="H892" s="52"/>
      <c r="I892" s="54"/>
      <c r="J892" s="54"/>
      <c r="K892" s="54"/>
      <c r="L892" s="54"/>
      <c r="M892" s="54"/>
      <c r="N892" s="54"/>
      <c r="O892" s="54"/>
      <c r="P892" s="54"/>
      <c r="Q892" s="54"/>
      <c r="R892" s="54"/>
      <c r="S892" s="54"/>
      <c r="T892" s="54"/>
      <c r="U892" s="54"/>
      <c r="V892" s="54"/>
      <c r="W892" s="54"/>
      <c r="X892" s="54"/>
      <c r="Y892" s="54"/>
      <c r="Z892" s="54"/>
      <c r="AA892" s="54"/>
      <c r="AB892" s="54"/>
      <c r="AC892" s="54"/>
    </row>
    <row r="893" ht="78.0" customHeight="1">
      <c r="A893" s="934">
        <v>45544.0</v>
      </c>
      <c r="B893" s="21" t="s">
        <v>6304</v>
      </c>
      <c r="C893" s="21" t="s">
        <v>6305</v>
      </c>
      <c r="D893" s="825"/>
      <c r="E893" s="26"/>
      <c r="F893" s="26"/>
      <c r="G893" s="825" t="s">
        <v>6306</v>
      </c>
      <c r="H893" s="28"/>
      <c r="I893" s="28"/>
      <c r="J893" s="28"/>
      <c r="K893" s="28"/>
      <c r="L893" s="28"/>
      <c r="M893" s="28"/>
      <c r="N893" s="28"/>
      <c r="O893" s="28"/>
      <c r="P893" s="28"/>
      <c r="Q893" s="28"/>
      <c r="R893" s="28"/>
      <c r="S893" s="28"/>
      <c r="T893" s="28"/>
      <c r="U893" s="28"/>
      <c r="V893" s="28"/>
      <c r="W893" s="28"/>
      <c r="X893" s="28"/>
      <c r="Y893" s="28"/>
      <c r="Z893" s="28"/>
      <c r="AA893" s="28"/>
      <c r="AB893" s="28"/>
      <c r="AC893" s="28"/>
    </row>
    <row r="894" ht="78.0" customHeight="1">
      <c r="A894" s="932">
        <v>45544.0</v>
      </c>
      <c r="B894" s="50" t="s">
        <v>6309</v>
      </c>
      <c r="C894" s="50" t="s">
        <v>6310</v>
      </c>
      <c r="D894" s="855"/>
      <c r="E894" s="52"/>
      <c r="F894" s="52"/>
      <c r="G894" s="50" t="s">
        <v>6311</v>
      </c>
      <c r="H894" s="50" t="s">
        <v>6312</v>
      </c>
      <c r="I894" s="50" t="s">
        <v>6313</v>
      </c>
      <c r="J894" s="54"/>
      <c r="K894" s="54"/>
      <c r="L894" s="54"/>
      <c r="M894" s="54"/>
      <c r="N894" s="54"/>
      <c r="O894" s="54"/>
      <c r="P894" s="54"/>
      <c r="Q894" s="54"/>
      <c r="R894" s="54"/>
      <c r="S894" s="54"/>
      <c r="T894" s="54"/>
      <c r="U894" s="54"/>
      <c r="V894" s="54"/>
      <c r="W894" s="54"/>
      <c r="X894" s="54"/>
      <c r="Y894" s="54"/>
      <c r="Z894" s="54"/>
      <c r="AA894" s="54"/>
      <c r="AB894" s="54"/>
      <c r="AC894" s="54"/>
    </row>
    <row r="895" ht="78.0" customHeight="1">
      <c r="A895" s="936">
        <v>45541.0</v>
      </c>
      <c r="B895" s="21" t="s">
        <v>6315</v>
      </c>
      <c r="C895" s="21" t="s">
        <v>6316</v>
      </c>
      <c r="D895" s="825"/>
      <c r="E895" s="26"/>
      <c r="F895" s="26"/>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row>
    <row r="896" ht="78.0" customHeight="1">
      <c r="A896" s="938">
        <v>45538.0</v>
      </c>
      <c r="B896" s="50" t="s">
        <v>6317</v>
      </c>
      <c r="C896" s="50" t="s">
        <v>6317</v>
      </c>
      <c r="D896" s="855"/>
      <c r="E896" s="52"/>
      <c r="F896" s="52"/>
      <c r="G896" s="52"/>
      <c r="H896" s="54"/>
      <c r="I896" s="54"/>
      <c r="J896" s="54"/>
      <c r="K896" s="54"/>
      <c r="L896" s="54"/>
      <c r="M896" s="54"/>
      <c r="N896" s="54"/>
      <c r="O896" s="54"/>
      <c r="P896" s="54"/>
      <c r="Q896" s="54"/>
      <c r="R896" s="54"/>
      <c r="S896" s="54"/>
      <c r="T896" s="54"/>
      <c r="U896" s="54"/>
      <c r="V896" s="54"/>
      <c r="W896" s="54"/>
      <c r="X896" s="54"/>
      <c r="Y896" s="54"/>
      <c r="Z896" s="54"/>
      <c r="AA896" s="54"/>
      <c r="AB896" s="54"/>
      <c r="AC896" s="54"/>
    </row>
    <row r="897" ht="78.0" customHeight="1">
      <c r="A897" s="933">
        <v>45537.0</v>
      </c>
      <c r="B897" s="21" t="s">
        <v>6320</v>
      </c>
      <c r="C897" s="859" t="s">
        <v>6321</v>
      </c>
      <c r="D897" s="825"/>
      <c r="E897" s="26"/>
      <c r="F897" s="26"/>
      <c r="G897" s="26"/>
      <c r="H897" s="26"/>
      <c r="I897" s="26"/>
      <c r="J897" s="28"/>
      <c r="K897" s="28"/>
      <c r="L897" s="28"/>
      <c r="M897" s="28"/>
      <c r="N897" s="28"/>
      <c r="O897" s="28"/>
      <c r="P897" s="28"/>
      <c r="Q897" s="28"/>
      <c r="R897" s="28"/>
      <c r="S897" s="28"/>
      <c r="T897" s="28"/>
      <c r="U897" s="28"/>
      <c r="V897" s="28"/>
      <c r="W897" s="28"/>
      <c r="X897" s="28"/>
      <c r="Y897" s="28"/>
      <c r="Z897" s="28"/>
      <c r="AA897" s="28"/>
      <c r="AB897" s="28"/>
      <c r="AC897" s="28"/>
    </row>
    <row r="898" ht="78.0" customHeight="1">
      <c r="A898" s="939">
        <v>45534.0</v>
      </c>
      <c r="B898" s="50" t="s">
        <v>6328</v>
      </c>
      <c r="C898" s="799" t="s">
        <v>6329</v>
      </c>
      <c r="D898" s="855"/>
      <c r="E898" s="52"/>
      <c r="F898" s="52"/>
      <c r="G898" s="50" t="s">
        <v>6332</v>
      </c>
      <c r="H898" s="855" t="s">
        <v>6334</v>
      </c>
      <c r="I898" s="855" t="s">
        <v>6335</v>
      </c>
      <c r="J898" s="54"/>
      <c r="K898" s="54"/>
      <c r="L898" s="54"/>
      <c r="M898" s="54"/>
      <c r="N898" s="54"/>
      <c r="O898" s="54"/>
      <c r="P898" s="54"/>
      <c r="Q898" s="54"/>
      <c r="R898" s="54"/>
      <c r="S898" s="54"/>
      <c r="T898" s="54"/>
      <c r="U898" s="54"/>
      <c r="V898" s="54"/>
      <c r="W898" s="54"/>
      <c r="X898" s="54"/>
      <c r="Y898" s="54"/>
      <c r="Z898" s="54"/>
      <c r="AA898" s="54"/>
      <c r="AB898" s="54"/>
      <c r="AC898" s="54"/>
    </row>
    <row r="899" ht="78.0" customHeight="1">
      <c r="A899" s="453">
        <v>45455.0</v>
      </c>
      <c r="B899" s="414" t="s">
        <v>6336</v>
      </c>
      <c r="C899" s="414" t="s">
        <v>6337</v>
      </c>
      <c r="D899" s="414"/>
      <c r="E899" s="42"/>
      <c r="F899" s="414" t="s">
        <v>6338</v>
      </c>
      <c r="G899" s="42"/>
      <c r="H899" s="42"/>
      <c r="I899" s="42"/>
      <c r="J899" s="42"/>
      <c r="K899" s="44"/>
      <c r="L899" s="44"/>
      <c r="M899" s="44"/>
      <c r="N899" s="44"/>
      <c r="O899" s="44"/>
      <c r="P899" s="44"/>
      <c r="Q899" s="44"/>
      <c r="R899" s="44"/>
      <c r="S899" s="44"/>
      <c r="T899" s="44"/>
      <c r="U899" s="44"/>
      <c r="V899" s="44"/>
      <c r="W899" s="44"/>
      <c r="X899" s="28"/>
      <c r="Y899" s="28"/>
      <c r="Z899" s="28"/>
      <c r="AA899" s="28"/>
      <c r="AB899" s="28"/>
      <c r="AC899" s="28"/>
    </row>
    <row r="900" ht="78.0" customHeight="1">
      <c r="A900" s="448">
        <v>45424.0</v>
      </c>
      <c r="B900" s="427" t="s">
        <v>6339</v>
      </c>
      <c r="C900" s="427" t="s">
        <v>6340</v>
      </c>
      <c r="D900" s="427"/>
      <c r="E900" s="428"/>
      <c r="F900" s="427" t="s">
        <v>6341</v>
      </c>
      <c r="G900" s="428"/>
      <c r="H900" s="428"/>
      <c r="I900" s="428"/>
      <c r="J900" s="428"/>
      <c r="K900" s="432"/>
      <c r="L900" s="432"/>
      <c r="M900" s="432"/>
      <c r="N900" s="432"/>
      <c r="O900" s="432"/>
      <c r="P900" s="432"/>
      <c r="Q900" s="432"/>
      <c r="R900" s="432"/>
      <c r="S900" s="432"/>
      <c r="T900" s="432"/>
      <c r="U900" s="432"/>
      <c r="V900" s="432"/>
      <c r="W900" s="432"/>
      <c r="X900" s="54"/>
      <c r="Y900" s="54"/>
      <c r="Z900" s="54"/>
      <c r="AA900" s="54"/>
      <c r="AB900" s="54"/>
      <c r="AC900" s="54"/>
    </row>
    <row r="901" ht="78.0" customHeight="1">
      <c r="A901" s="448">
        <v>45363.0</v>
      </c>
      <c r="B901" s="573" t="s">
        <v>6342</v>
      </c>
      <c r="C901" s="427" t="s">
        <v>6343</v>
      </c>
      <c r="D901" s="427"/>
      <c r="E901" s="428"/>
      <c r="F901" s="427" t="s">
        <v>6345</v>
      </c>
      <c r="G901" s="428"/>
      <c r="H901" s="428"/>
      <c r="I901" s="428"/>
      <c r="J901" s="428"/>
      <c r="K901" s="432"/>
      <c r="L901" s="432"/>
      <c r="M901" s="432"/>
      <c r="N901" s="432"/>
      <c r="O901" s="432"/>
      <c r="P901" s="432"/>
      <c r="Q901" s="432"/>
      <c r="R901" s="432"/>
      <c r="S901" s="432"/>
      <c r="T901" s="432"/>
      <c r="U901" s="432"/>
      <c r="V901" s="432"/>
      <c r="W901" s="432"/>
      <c r="X901" s="54"/>
      <c r="Y901" s="54"/>
      <c r="Z901" s="54"/>
      <c r="AA901" s="54"/>
      <c r="AB901" s="54"/>
      <c r="AC901" s="54"/>
    </row>
    <row r="902" ht="78.0" customHeight="1">
      <c r="A902" s="941">
        <v>1467.0</v>
      </c>
      <c r="B902" s="26"/>
      <c r="C902" s="28"/>
      <c r="D902" s="825"/>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row>
    <row r="903" ht="78.0" customHeight="1">
      <c r="A903" s="942">
        <v>1467.0</v>
      </c>
      <c r="B903" s="943" t="s">
        <v>6347</v>
      </c>
      <c r="C903" s="944"/>
      <c r="D903" s="945"/>
      <c r="E903" s="944"/>
      <c r="F903" s="944"/>
      <c r="G903" s="944"/>
      <c r="H903" s="944"/>
      <c r="I903" s="944"/>
      <c r="J903" s="944"/>
      <c r="K903" s="944"/>
      <c r="L903" s="944"/>
      <c r="M903" s="944"/>
      <c r="N903" s="944"/>
      <c r="O903" s="944"/>
      <c r="P903" s="944"/>
      <c r="Q903" s="944"/>
      <c r="R903" s="944"/>
      <c r="S903" s="944"/>
      <c r="T903" s="944"/>
      <c r="U903" s="944"/>
      <c r="V903" s="944"/>
      <c r="W903" s="944"/>
      <c r="X903" s="944"/>
      <c r="Y903" s="944"/>
      <c r="Z903" s="944"/>
      <c r="AA903" s="944"/>
      <c r="AB903" s="944"/>
      <c r="AC903" s="944"/>
    </row>
    <row r="904" ht="78.0" customHeight="1">
      <c r="A904" s="946">
        <v>1466.0</v>
      </c>
      <c r="B904" s="52"/>
      <c r="C904" s="54"/>
      <c r="D904" s="855"/>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row>
    <row r="905" ht="78.0" customHeight="1">
      <c r="A905" s="942">
        <v>1466.0</v>
      </c>
      <c r="B905" s="943" t="s">
        <v>6347</v>
      </c>
      <c r="C905" s="944"/>
      <c r="D905" s="945"/>
      <c r="E905" s="944"/>
      <c r="F905" s="944"/>
      <c r="G905" s="944"/>
      <c r="H905" s="944"/>
      <c r="I905" s="944"/>
      <c r="J905" s="944"/>
      <c r="K905" s="944"/>
      <c r="L905" s="944"/>
      <c r="M905" s="944"/>
      <c r="N905" s="944"/>
      <c r="O905" s="944"/>
      <c r="P905" s="944"/>
      <c r="Q905" s="944"/>
      <c r="R905" s="944"/>
      <c r="S905" s="944"/>
      <c r="T905" s="944"/>
      <c r="U905" s="944"/>
      <c r="V905" s="944"/>
      <c r="W905" s="944"/>
      <c r="X905" s="944"/>
      <c r="Y905" s="944"/>
      <c r="Z905" s="944"/>
      <c r="AA905" s="944"/>
      <c r="AB905" s="944"/>
      <c r="AC905" s="944"/>
    </row>
    <row r="906" ht="78.0" customHeight="1">
      <c r="A906" s="941">
        <v>1465.0</v>
      </c>
      <c r="B906" s="26"/>
      <c r="C906" s="28"/>
      <c r="D906" s="825"/>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row>
    <row r="907" ht="78.0" customHeight="1">
      <c r="A907" s="946">
        <v>1464.0</v>
      </c>
      <c r="B907" s="52"/>
      <c r="C907" s="54"/>
      <c r="D907" s="855"/>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row>
    <row r="908" ht="78.0" customHeight="1">
      <c r="A908" s="941">
        <v>1463.0</v>
      </c>
      <c r="B908" s="26"/>
      <c r="C908" s="28"/>
      <c r="D908" s="825"/>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row>
    <row r="909" ht="78.0" customHeight="1">
      <c r="A909" s="946">
        <v>1462.0</v>
      </c>
      <c r="B909" s="52"/>
      <c r="C909" s="54"/>
      <c r="D909" s="855"/>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row>
    <row r="910" ht="78.0" customHeight="1">
      <c r="A910" s="941">
        <v>1461.0</v>
      </c>
      <c r="B910" s="26"/>
      <c r="C910" s="28"/>
      <c r="D910" s="825"/>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row>
    <row r="911" ht="78.0" customHeight="1">
      <c r="A911" s="946">
        <v>1460.0</v>
      </c>
      <c r="B911" s="52"/>
      <c r="C911" s="54"/>
      <c r="D911" s="855"/>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row>
    <row r="912" ht="78.0" customHeight="1">
      <c r="A912" s="941">
        <v>1459.0</v>
      </c>
      <c r="B912" s="26"/>
      <c r="C912" s="28"/>
      <c r="D912" s="825"/>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row>
    <row r="913" ht="78.0" customHeight="1">
      <c r="A913" s="946">
        <v>1458.0</v>
      </c>
      <c r="B913" s="52"/>
      <c r="C913" s="54"/>
      <c r="D913" s="855"/>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row>
    <row r="914" ht="78.0" customHeight="1">
      <c r="A914" s="941">
        <v>1457.0</v>
      </c>
      <c r="B914" s="26"/>
      <c r="C914" s="28"/>
      <c r="D914" s="825"/>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row>
    <row r="915" ht="78.0" customHeight="1">
      <c r="A915" s="946">
        <v>1456.0</v>
      </c>
      <c r="B915" s="52"/>
      <c r="C915" s="54"/>
      <c r="D915" s="855"/>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row>
    <row r="916" ht="78.0" customHeight="1">
      <c r="A916" s="941">
        <v>1455.0</v>
      </c>
      <c r="B916" s="26"/>
      <c r="C916" s="28"/>
      <c r="D916" s="825"/>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row>
    <row r="917" ht="78.0" customHeight="1">
      <c r="A917" s="946">
        <v>1454.0</v>
      </c>
      <c r="B917" s="52"/>
      <c r="C917" s="54"/>
      <c r="D917" s="855"/>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row>
    <row r="918" ht="78.0" customHeight="1">
      <c r="A918" s="941">
        <v>1453.0</v>
      </c>
      <c r="B918" s="26"/>
      <c r="C918" s="28"/>
      <c r="D918" s="825"/>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row>
    <row r="919" ht="78.0" customHeight="1">
      <c r="A919" s="946">
        <v>1452.0</v>
      </c>
      <c r="B919" s="52"/>
      <c r="C919" s="54"/>
      <c r="D919" s="855"/>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row>
    <row r="920" ht="78.0" customHeight="1">
      <c r="A920" s="941">
        <v>1451.0</v>
      </c>
      <c r="B920" s="26"/>
      <c r="C920" s="28"/>
      <c r="D920" s="825"/>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row>
    <row r="921" ht="78.0" customHeight="1">
      <c r="A921" s="946">
        <v>1450.0</v>
      </c>
      <c r="B921" s="52"/>
      <c r="C921" s="54"/>
      <c r="D921" s="855"/>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row>
    <row r="922" ht="78.0" customHeight="1">
      <c r="A922" s="941">
        <v>1449.0</v>
      </c>
      <c r="B922" s="26"/>
      <c r="C922" s="28"/>
      <c r="D922" s="825"/>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row>
    <row r="923" ht="78.0" customHeight="1">
      <c r="A923" s="946">
        <v>1448.0</v>
      </c>
      <c r="B923" s="52"/>
      <c r="C923" s="54"/>
      <c r="D923" s="855"/>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row>
    <row r="924" ht="78.0" customHeight="1">
      <c r="A924" s="941">
        <v>1447.0</v>
      </c>
      <c r="B924" s="26"/>
      <c r="C924" s="28"/>
      <c r="D924" s="825"/>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row>
    <row r="925" ht="78.0" customHeight="1">
      <c r="A925" s="946">
        <v>1446.0</v>
      </c>
      <c r="B925" s="52"/>
      <c r="C925" s="54"/>
      <c r="D925" s="855"/>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row>
    <row r="926" ht="78.0" customHeight="1">
      <c r="A926" s="941">
        <v>1445.0</v>
      </c>
      <c r="B926" s="26"/>
      <c r="C926" s="28"/>
      <c r="D926" s="825"/>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row>
    <row r="927" ht="78.0" customHeight="1">
      <c r="A927" s="946">
        <v>1444.0</v>
      </c>
      <c r="B927" s="52"/>
      <c r="C927" s="54"/>
      <c r="D927" s="855"/>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row>
    <row r="928" ht="78.0" customHeight="1">
      <c r="A928" s="941">
        <v>1443.0</v>
      </c>
      <c r="B928" s="26"/>
      <c r="C928" s="28"/>
      <c r="D928" s="825"/>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row>
    <row r="929" ht="78.0" customHeight="1">
      <c r="A929" s="946">
        <v>1442.0</v>
      </c>
      <c r="B929" s="52"/>
      <c r="C929" s="54"/>
      <c r="D929" s="855"/>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row>
    <row r="930" ht="78.0" customHeight="1">
      <c r="A930" s="941">
        <v>1441.0</v>
      </c>
      <c r="B930" s="26"/>
      <c r="C930" s="28"/>
      <c r="D930" s="825"/>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row>
    <row r="931" ht="78.0" customHeight="1">
      <c r="A931" s="946">
        <v>1440.0</v>
      </c>
      <c r="B931" s="52"/>
      <c r="C931" s="54"/>
      <c r="D931" s="855"/>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row>
    <row r="932" ht="78.0" customHeight="1">
      <c r="A932" s="941">
        <v>1439.0</v>
      </c>
      <c r="B932" s="26"/>
      <c r="C932" s="28"/>
      <c r="D932" s="825"/>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row>
    <row r="933" ht="78.0" customHeight="1">
      <c r="A933" s="946">
        <v>1438.0</v>
      </c>
      <c r="B933" s="52"/>
      <c r="C933" s="54"/>
      <c r="D933" s="855"/>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row>
    <row r="934" ht="78.0" customHeight="1">
      <c r="A934" s="941">
        <v>1437.0</v>
      </c>
      <c r="B934" s="26"/>
      <c r="C934" s="28"/>
      <c r="D934" s="825"/>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row>
    <row r="935" ht="78.0" customHeight="1">
      <c r="A935" s="946">
        <v>1436.0</v>
      </c>
      <c r="B935" s="52"/>
      <c r="C935" s="54"/>
      <c r="D935" s="855"/>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row>
    <row r="936" ht="78.0" customHeight="1">
      <c r="A936" s="941">
        <v>1435.0</v>
      </c>
      <c r="B936" s="26"/>
      <c r="C936" s="28"/>
      <c r="D936" s="825"/>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row>
    <row r="937" ht="78.0" customHeight="1">
      <c r="A937" s="946">
        <v>1434.0</v>
      </c>
      <c r="B937" s="52"/>
      <c r="C937" s="54"/>
      <c r="D937" s="855"/>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row>
    <row r="938" ht="78.0" customHeight="1">
      <c r="A938" s="941">
        <v>1433.0</v>
      </c>
      <c r="B938" s="26"/>
      <c r="C938" s="28"/>
      <c r="D938" s="825"/>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row>
    <row r="939" ht="78.0" customHeight="1">
      <c r="A939" s="946">
        <v>1432.0</v>
      </c>
      <c r="B939" s="52"/>
      <c r="C939" s="54"/>
      <c r="D939" s="855"/>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row>
    <row r="940" ht="78.0" customHeight="1">
      <c r="A940" s="941">
        <v>1431.0</v>
      </c>
      <c r="B940" s="26"/>
      <c r="C940" s="28"/>
      <c r="D940" s="825"/>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row>
    <row r="941" ht="78.0" customHeight="1">
      <c r="A941" s="946">
        <v>1430.0</v>
      </c>
      <c r="B941" s="52"/>
      <c r="C941" s="54"/>
      <c r="D941" s="855"/>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row>
    <row r="942" ht="78.0" customHeight="1">
      <c r="A942" s="941">
        <v>1429.0</v>
      </c>
      <c r="B942" s="26"/>
      <c r="C942" s="28"/>
      <c r="D942" s="825"/>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row>
    <row r="943" ht="78.0" customHeight="1">
      <c r="A943" s="946">
        <v>1428.0</v>
      </c>
      <c r="B943" s="52"/>
      <c r="C943" s="54"/>
      <c r="D943" s="855"/>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row>
    <row r="944" ht="78.0" customHeight="1">
      <c r="A944" s="941">
        <v>1427.0</v>
      </c>
      <c r="B944" s="26"/>
      <c r="C944" s="28"/>
      <c r="D944" s="825"/>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row>
    <row r="945" ht="78.0" customHeight="1">
      <c r="A945" s="946">
        <v>1426.0</v>
      </c>
      <c r="B945" s="52"/>
      <c r="C945" s="54"/>
      <c r="D945" s="855"/>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row>
    <row r="946" ht="78.0" customHeight="1">
      <c r="A946" s="941">
        <v>1425.0</v>
      </c>
      <c r="B946" s="26"/>
      <c r="C946" s="28"/>
      <c r="D946" s="825"/>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row>
    <row r="947" ht="78.0" customHeight="1">
      <c r="A947" s="946">
        <v>1424.0</v>
      </c>
      <c r="B947" s="52"/>
      <c r="C947" s="54"/>
      <c r="D947" s="855"/>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row>
    <row r="948" ht="78.0" customHeight="1">
      <c r="A948" s="941">
        <v>1423.0</v>
      </c>
      <c r="B948" s="26"/>
      <c r="C948" s="28"/>
      <c r="D948" s="825"/>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row>
    <row r="949" ht="78.0" customHeight="1">
      <c r="A949" s="946">
        <v>1422.0</v>
      </c>
      <c r="B949" s="52"/>
      <c r="C949" s="54"/>
      <c r="D949" s="855"/>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row>
    <row r="950" ht="78.0" customHeight="1">
      <c r="A950" s="941">
        <v>1421.0</v>
      </c>
      <c r="B950" s="26"/>
      <c r="C950" s="28"/>
      <c r="D950" s="825"/>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row>
    <row r="951" ht="78.0" customHeight="1">
      <c r="A951" s="946">
        <v>1420.0</v>
      </c>
      <c r="B951" s="52"/>
      <c r="C951" s="54"/>
      <c r="D951" s="855"/>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row>
    <row r="952" ht="78.0" customHeight="1">
      <c r="A952" s="941">
        <v>1419.0</v>
      </c>
      <c r="B952" s="26"/>
      <c r="C952" s="28"/>
      <c r="D952" s="825"/>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row>
    <row r="953" ht="78.0" customHeight="1">
      <c r="A953" s="946">
        <v>1418.0</v>
      </c>
      <c r="B953" s="52"/>
      <c r="C953" s="54"/>
      <c r="D953" s="855"/>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row>
    <row r="954" ht="78.0" customHeight="1">
      <c r="A954" s="941">
        <v>1417.0</v>
      </c>
      <c r="B954" s="26"/>
      <c r="C954" s="28"/>
      <c r="D954" s="825"/>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row>
    <row r="955" ht="78.0" customHeight="1">
      <c r="A955" s="946">
        <v>1416.0</v>
      </c>
      <c r="B955" s="52"/>
      <c r="C955" s="54"/>
      <c r="D955" s="855"/>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row>
    <row r="956" ht="78.0" customHeight="1">
      <c r="A956" s="941">
        <v>1415.0</v>
      </c>
      <c r="B956" s="26"/>
      <c r="C956" s="28"/>
      <c r="D956" s="825"/>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row>
    <row r="957" ht="78.0" customHeight="1">
      <c r="A957" s="946">
        <v>1414.0</v>
      </c>
      <c r="B957" s="52"/>
      <c r="C957" s="54"/>
      <c r="D957" s="855"/>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row>
    <row r="958" ht="78.0" customHeight="1">
      <c r="A958" s="941">
        <v>1413.0</v>
      </c>
      <c r="B958" s="26"/>
      <c r="C958" s="28"/>
      <c r="D958" s="825"/>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row>
    <row r="959" ht="78.0" customHeight="1">
      <c r="A959" s="946">
        <v>1412.0</v>
      </c>
      <c r="B959" s="52"/>
      <c r="C959" s="54"/>
      <c r="D959" s="855"/>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row>
    <row r="960" ht="78.0" customHeight="1">
      <c r="A960" s="941">
        <v>1411.0</v>
      </c>
      <c r="B960" s="26"/>
      <c r="C960" s="28"/>
      <c r="D960" s="825"/>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row>
    <row r="961" ht="78.0" customHeight="1">
      <c r="A961" s="946">
        <v>1410.0</v>
      </c>
      <c r="B961" s="52"/>
      <c r="C961" s="54"/>
      <c r="D961" s="855"/>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row>
    <row r="962" ht="78.0" customHeight="1">
      <c r="A962" s="941">
        <v>1409.0</v>
      </c>
      <c r="B962" s="26"/>
      <c r="C962" s="28"/>
      <c r="D962" s="825"/>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row>
    <row r="963" ht="78.0" customHeight="1">
      <c r="A963" s="946">
        <v>1408.0</v>
      </c>
      <c r="B963" s="52"/>
      <c r="C963" s="54"/>
      <c r="D963" s="855"/>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row>
    <row r="964" ht="78.0" customHeight="1">
      <c r="A964" s="941">
        <v>1407.0</v>
      </c>
      <c r="B964" s="26"/>
      <c r="C964" s="28"/>
      <c r="D964" s="825"/>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row>
    <row r="965" ht="78.0" customHeight="1">
      <c r="A965" s="946">
        <v>1406.0</v>
      </c>
      <c r="B965" s="52"/>
      <c r="C965" s="54"/>
      <c r="D965" s="855"/>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row>
    <row r="966" ht="78.0" customHeight="1">
      <c r="A966" s="941">
        <v>1405.0</v>
      </c>
      <c r="B966" s="26"/>
      <c r="C966" s="28"/>
      <c r="D966" s="825"/>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row>
    <row r="967" ht="78.0" customHeight="1">
      <c r="A967" s="946">
        <v>1404.0</v>
      </c>
      <c r="B967" s="52"/>
      <c r="C967" s="54"/>
      <c r="D967" s="855"/>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row>
    <row r="968" ht="78.0" customHeight="1">
      <c r="A968" s="941">
        <v>1403.0</v>
      </c>
      <c r="B968" s="26"/>
      <c r="C968" s="28"/>
      <c r="D968" s="825"/>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row>
    <row r="969" ht="78.0" customHeight="1">
      <c r="A969" s="946">
        <v>1402.0</v>
      </c>
      <c r="B969" s="52"/>
      <c r="C969" s="54"/>
      <c r="D969" s="855"/>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row>
    <row r="970" ht="78.0" customHeight="1">
      <c r="A970" s="941">
        <v>1401.0</v>
      </c>
      <c r="B970" s="26"/>
      <c r="C970" s="28"/>
      <c r="D970" s="825"/>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row>
    <row r="971" ht="78.0" customHeight="1">
      <c r="A971" s="946">
        <v>1400.0</v>
      </c>
      <c r="B971" s="52"/>
      <c r="C971" s="54"/>
      <c r="D971" s="855"/>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row>
    <row r="972" ht="78.0" customHeight="1">
      <c r="A972" s="941">
        <v>1399.0</v>
      </c>
      <c r="B972" s="26"/>
      <c r="C972" s="28"/>
      <c r="D972" s="825"/>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row>
    <row r="973" ht="78.0" customHeight="1">
      <c r="A973" s="946">
        <v>1398.0</v>
      </c>
      <c r="B973" s="52"/>
      <c r="C973" s="54"/>
      <c r="D973" s="855"/>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row>
    <row r="974" ht="78.0" customHeight="1">
      <c r="A974" s="941">
        <v>1397.0</v>
      </c>
      <c r="B974" s="26"/>
      <c r="C974" s="28"/>
      <c r="D974" s="825"/>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row>
    <row r="975" ht="78.0" customHeight="1">
      <c r="A975" s="946">
        <v>1396.0</v>
      </c>
      <c r="B975" s="52"/>
      <c r="C975" s="54"/>
      <c r="D975" s="855"/>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row>
    <row r="976" ht="78.0" customHeight="1">
      <c r="A976" s="941">
        <v>1395.0</v>
      </c>
      <c r="B976" s="26"/>
      <c r="C976" s="28"/>
      <c r="D976" s="825"/>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row>
    <row r="977" ht="78.0" customHeight="1">
      <c r="A977" s="946">
        <v>1394.0</v>
      </c>
      <c r="B977" s="52"/>
      <c r="C977" s="54"/>
      <c r="D977" s="855"/>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row>
    <row r="978" ht="78.0" customHeight="1">
      <c r="A978" s="941">
        <v>1393.0</v>
      </c>
      <c r="B978" s="26"/>
      <c r="C978" s="28"/>
      <c r="D978" s="825"/>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row>
    <row r="979" ht="78.0" customHeight="1">
      <c r="A979" s="946">
        <v>1392.0</v>
      </c>
      <c r="B979" s="52"/>
      <c r="C979" s="54"/>
      <c r="D979" s="855"/>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row>
    <row r="980" ht="78.0" customHeight="1">
      <c r="A980" s="941">
        <v>1391.0</v>
      </c>
      <c r="B980" s="26"/>
      <c r="C980" s="28"/>
      <c r="D980" s="825"/>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row>
    <row r="981" ht="78.0" customHeight="1">
      <c r="A981" s="946">
        <v>1390.0</v>
      </c>
      <c r="B981" s="52"/>
      <c r="C981" s="54"/>
      <c r="D981" s="855"/>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row>
    <row r="982" ht="78.0" customHeight="1">
      <c r="A982" s="941">
        <v>1389.0</v>
      </c>
      <c r="B982" s="26"/>
      <c r="C982" s="28"/>
      <c r="D982" s="825"/>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row>
    <row r="983" ht="78.0" customHeight="1">
      <c r="A983" s="946">
        <v>1388.0</v>
      </c>
      <c r="B983" s="52"/>
      <c r="C983" s="54"/>
      <c r="D983" s="855"/>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row>
    <row r="984" ht="78.0" customHeight="1">
      <c r="A984" s="941">
        <v>1387.0</v>
      </c>
      <c r="B984" s="26"/>
      <c r="C984" s="28"/>
      <c r="D984" s="825"/>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row>
    <row r="985" ht="78.0" customHeight="1">
      <c r="A985" s="946">
        <v>1386.0</v>
      </c>
      <c r="B985" s="52"/>
      <c r="C985" s="54"/>
      <c r="D985" s="855"/>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row>
    <row r="986" ht="78.0" customHeight="1">
      <c r="A986" s="941">
        <v>1385.0</v>
      </c>
      <c r="B986" s="26"/>
      <c r="C986" s="28"/>
      <c r="D986" s="825"/>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row>
    <row r="987" ht="78.0" customHeight="1">
      <c r="A987" s="946">
        <v>1384.0</v>
      </c>
      <c r="B987" s="52"/>
      <c r="C987" s="54"/>
      <c r="D987" s="855"/>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row>
    <row r="988" ht="78.0" customHeight="1">
      <c r="A988" s="941">
        <v>1383.0</v>
      </c>
      <c r="B988" s="26"/>
      <c r="C988" s="28"/>
      <c r="D988" s="825"/>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row>
    <row r="989" ht="78.0" customHeight="1">
      <c r="A989" s="946">
        <v>1382.0</v>
      </c>
      <c r="B989" s="52"/>
      <c r="C989" s="54"/>
      <c r="D989" s="855"/>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row>
    <row r="990" ht="78.0" customHeight="1">
      <c r="A990" s="941">
        <v>1381.0</v>
      </c>
      <c r="B990" s="26"/>
      <c r="C990" s="28"/>
      <c r="D990" s="825"/>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row>
    <row r="991" ht="78.0" customHeight="1">
      <c r="A991" s="946">
        <v>1380.0</v>
      </c>
      <c r="B991" s="52"/>
      <c r="C991" s="54"/>
      <c r="D991" s="855"/>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row>
    <row r="992" ht="78.0" customHeight="1">
      <c r="A992" s="941">
        <v>1379.0</v>
      </c>
      <c r="B992" s="26"/>
      <c r="C992" s="28"/>
      <c r="D992" s="825"/>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row>
    <row r="993" ht="78.0" customHeight="1">
      <c r="A993" s="946">
        <v>1378.0</v>
      </c>
      <c r="B993" s="52"/>
      <c r="C993" s="54"/>
      <c r="D993" s="855"/>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row>
    <row r="994" ht="78.0" customHeight="1">
      <c r="A994" s="941">
        <v>1377.0</v>
      </c>
      <c r="B994" s="26"/>
      <c r="C994" s="28"/>
      <c r="D994" s="825"/>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row>
    <row r="995" ht="78.0" customHeight="1">
      <c r="A995" s="946">
        <v>1376.0</v>
      </c>
      <c r="B995" s="52"/>
      <c r="C995" s="54"/>
      <c r="D995" s="855"/>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row>
    <row r="996" ht="78.0" customHeight="1">
      <c r="A996" s="941">
        <v>1375.0</v>
      </c>
      <c r="B996" s="26"/>
      <c r="C996" s="28"/>
      <c r="D996" s="825"/>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row>
    <row r="997" ht="78.0" customHeight="1">
      <c r="A997" s="946">
        <v>1374.0</v>
      </c>
      <c r="B997" s="52"/>
      <c r="C997" s="54"/>
      <c r="D997" s="855"/>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row>
    <row r="998" ht="78.0" customHeight="1">
      <c r="A998" s="941">
        <v>1373.0</v>
      </c>
      <c r="B998" s="26"/>
      <c r="C998" s="28"/>
      <c r="D998" s="825"/>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row>
    <row r="999" ht="78.0" customHeight="1">
      <c r="A999" s="946">
        <v>1372.0</v>
      </c>
      <c r="B999" s="52"/>
      <c r="C999" s="54"/>
      <c r="D999" s="855"/>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row>
    <row r="1000" ht="78.0" customHeight="1">
      <c r="A1000" s="941">
        <v>1371.0</v>
      </c>
      <c r="B1000" s="26"/>
      <c r="C1000" s="28"/>
      <c r="D1000" s="825"/>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row>
    <row r="1001" ht="78.0" customHeight="1">
      <c r="A1001" s="946">
        <v>1370.0</v>
      </c>
      <c r="B1001" s="52"/>
      <c r="C1001" s="54"/>
      <c r="D1001" s="855"/>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c r="AA1001" s="54"/>
      <c r="AB1001" s="54"/>
      <c r="AC1001" s="54"/>
    </row>
    <row r="1002" ht="78.0" customHeight="1">
      <c r="A1002" s="941">
        <v>1369.0</v>
      </c>
      <c r="B1002" s="26"/>
      <c r="C1002" s="28"/>
      <c r="D1002" s="825"/>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row>
    <row r="1003" ht="78.0" customHeight="1">
      <c r="A1003" s="946">
        <v>1368.0</v>
      </c>
      <c r="B1003" s="52"/>
      <c r="C1003" s="54"/>
      <c r="D1003" s="855"/>
      <c r="E1003" s="54"/>
      <c r="F1003" s="54"/>
      <c r="G1003" s="54"/>
      <c r="H1003" s="54"/>
      <c r="I1003" s="54"/>
      <c r="J1003" s="54"/>
      <c r="K1003" s="54"/>
      <c r="L1003" s="54"/>
      <c r="M1003" s="54"/>
      <c r="N1003" s="54"/>
      <c r="O1003" s="54"/>
      <c r="P1003" s="54"/>
      <c r="Q1003" s="54"/>
      <c r="R1003" s="54"/>
      <c r="S1003" s="54"/>
      <c r="T1003" s="54"/>
      <c r="U1003" s="54"/>
      <c r="V1003" s="54"/>
      <c r="W1003" s="54"/>
      <c r="X1003" s="54"/>
      <c r="Y1003" s="54"/>
      <c r="Z1003" s="54"/>
      <c r="AA1003" s="54"/>
      <c r="AB1003" s="54"/>
      <c r="AC1003" s="54"/>
    </row>
    <row r="1004" ht="78.0" customHeight="1">
      <c r="A1004" s="941">
        <v>1367.0</v>
      </c>
      <c r="B1004" s="26"/>
      <c r="C1004" s="28"/>
      <c r="D1004" s="825"/>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row>
    <row r="1005" ht="78.0" customHeight="1">
      <c r="A1005" s="946">
        <v>1366.0</v>
      </c>
      <c r="B1005" s="52"/>
      <c r="C1005" s="54"/>
      <c r="D1005" s="855"/>
      <c r="E1005" s="54"/>
      <c r="F1005" s="54"/>
      <c r="G1005" s="54"/>
      <c r="H1005" s="54"/>
      <c r="I1005" s="54"/>
      <c r="J1005" s="54"/>
      <c r="K1005" s="54"/>
      <c r="L1005" s="54"/>
      <c r="M1005" s="54"/>
      <c r="N1005" s="54"/>
      <c r="O1005" s="54"/>
      <c r="P1005" s="54"/>
      <c r="Q1005" s="54"/>
      <c r="R1005" s="54"/>
      <c r="S1005" s="54"/>
      <c r="T1005" s="54"/>
      <c r="U1005" s="54"/>
      <c r="V1005" s="54"/>
      <c r="W1005" s="54"/>
      <c r="X1005" s="54"/>
      <c r="Y1005" s="54"/>
      <c r="Z1005" s="54"/>
      <c r="AA1005" s="54"/>
      <c r="AB1005" s="54"/>
      <c r="AC1005" s="54"/>
    </row>
    <row r="1006" ht="78.0" customHeight="1">
      <c r="A1006" s="941">
        <v>1365.0</v>
      </c>
      <c r="B1006" s="26"/>
      <c r="C1006" s="28"/>
      <c r="D1006" s="825"/>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row>
    <row r="1007" ht="78.0" customHeight="1">
      <c r="A1007" s="946">
        <v>1364.0</v>
      </c>
      <c r="B1007" s="52"/>
      <c r="C1007" s="54"/>
      <c r="D1007" s="855"/>
      <c r="E1007" s="54"/>
      <c r="F1007" s="54"/>
      <c r="G1007" s="54"/>
      <c r="H1007" s="54"/>
      <c r="I1007" s="54"/>
      <c r="J1007" s="54"/>
      <c r="K1007" s="54"/>
      <c r="L1007" s="54"/>
      <c r="M1007" s="54"/>
      <c r="N1007" s="54"/>
      <c r="O1007" s="54"/>
      <c r="P1007" s="54"/>
      <c r="Q1007" s="54"/>
      <c r="R1007" s="54"/>
      <c r="S1007" s="54"/>
      <c r="T1007" s="54"/>
      <c r="U1007" s="54"/>
      <c r="V1007" s="54"/>
      <c r="W1007" s="54"/>
      <c r="X1007" s="54"/>
      <c r="Y1007" s="54"/>
      <c r="Z1007" s="54"/>
      <c r="AA1007" s="54"/>
      <c r="AB1007" s="54"/>
      <c r="AC1007" s="54"/>
    </row>
    <row r="1008" ht="78.0" customHeight="1">
      <c r="A1008" s="941">
        <v>1363.0</v>
      </c>
      <c r="B1008" s="26"/>
      <c r="C1008" s="28"/>
      <c r="D1008" s="825"/>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row>
    <row r="1009" ht="78.0" customHeight="1">
      <c r="A1009" s="946">
        <v>1362.0</v>
      </c>
      <c r="B1009" s="52"/>
      <c r="C1009" s="54"/>
      <c r="D1009" s="855"/>
      <c r="E1009" s="54"/>
      <c r="F1009" s="54"/>
      <c r="G1009" s="54"/>
      <c r="H1009" s="54"/>
      <c r="I1009" s="54"/>
      <c r="J1009" s="54"/>
      <c r="K1009" s="54"/>
      <c r="L1009" s="54"/>
      <c r="M1009" s="54"/>
      <c r="N1009" s="54"/>
      <c r="O1009" s="54"/>
      <c r="P1009" s="54"/>
      <c r="Q1009" s="54"/>
      <c r="R1009" s="54"/>
      <c r="S1009" s="54"/>
      <c r="T1009" s="54"/>
      <c r="U1009" s="54"/>
      <c r="V1009" s="54"/>
      <c r="W1009" s="54"/>
      <c r="X1009" s="54"/>
      <c r="Y1009" s="54"/>
      <c r="Z1009" s="54"/>
      <c r="AA1009" s="54"/>
      <c r="AB1009" s="54"/>
      <c r="AC1009" s="54"/>
    </row>
    <row r="1010" ht="78.0" customHeight="1">
      <c r="A1010" s="941">
        <v>1361.0</v>
      </c>
      <c r="B1010" s="26"/>
      <c r="C1010" s="28"/>
      <c r="D1010" s="825"/>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row>
    <row r="1011" ht="78.0" customHeight="1">
      <c r="A1011" s="946">
        <v>1360.0</v>
      </c>
      <c r="B1011" s="52"/>
      <c r="C1011" s="54"/>
      <c r="D1011" s="855"/>
      <c r="E1011" s="54"/>
      <c r="F1011" s="54"/>
      <c r="G1011" s="54"/>
      <c r="H1011" s="54"/>
      <c r="I1011" s="54"/>
      <c r="J1011" s="54"/>
      <c r="K1011" s="54"/>
      <c r="L1011" s="54"/>
      <c r="M1011" s="54"/>
      <c r="N1011" s="54"/>
      <c r="O1011" s="54"/>
      <c r="P1011" s="54"/>
      <c r="Q1011" s="54"/>
      <c r="R1011" s="54"/>
      <c r="S1011" s="54"/>
      <c r="T1011" s="54"/>
      <c r="U1011" s="54"/>
      <c r="V1011" s="54"/>
      <c r="W1011" s="54"/>
      <c r="X1011" s="54"/>
      <c r="Y1011" s="54"/>
      <c r="Z1011" s="54"/>
      <c r="AA1011" s="54"/>
      <c r="AB1011" s="54"/>
      <c r="AC1011" s="54"/>
    </row>
    <row r="1012" ht="78.0" customHeight="1">
      <c r="A1012" s="941">
        <v>1359.0</v>
      </c>
      <c r="B1012" s="26"/>
      <c r="C1012" s="28"/>
      <c r="D1012" s="825"/>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row>
    <row r="1013" ht="78.0" customHeight="1">
      <c r="A1013" s="946">
        <v>1358.0</v>
      </c>
      <c r="B1013" s="52"/>
      <c r="C1013" s="54"/>
      <c r="D1013" s="855"/>
      <c r="E1013" s="54"/>
      <c r="F1013" s="54"/>
      <c r="G1013" s="54"/>
      <c r="H1013" s="54"/>
      <c r="I1013" s="54"/>
      <c r="J1013" s="54"/>
      <c r="K1013" s="54"/>
      <c r="L1013" s="54"/>
      <c r="M1013" s="54"/>
      <c r="N1013" s="54"/>
      <c r="O1013" s="54"/>
      <c r="P1013" s="54"/>
      <c r="Q1013" s="54"/>
      <c r="R1013" s="54"/>
      <c r="S1013" s="54"/>
      <c r="T1013" s="54"/>
      <c r="U1013" s="54"/>
      <c r="V1013" s="54"/>
      <c r="W1013" s="54"/>
      <c r="X1013" s="54"/>
      <c r="Y1013" s="54"/>
      <c r="Z1013" s="54"/>
      <c r="AA1013" s="54"/>
      <c r="AB1013" s="54"/>
      <c r="AC1013" s="54"/>
    </row>
    <row r="1014" ht="78.0" customHeight="1">
      <c r="A1014" s="941">
        <v>1357.0</v>
      </c>
      <c r="B1014" s="26"/>
      <c r="C1014" s="28"/>
      <c r="D1014" s="825"/>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row>
    <row r="1015" ht="78.0" customHeight="1">
      <c r="A1015" s="946">
        <v>1356.0</v>
      </c>
      <c r="B1015" s="52"/>
      <c r="C1015" s="54"/>
      <c r="D1015" s="855"/>
      <c r="E1015" s="54"/>
      <c r="F1015" s="54"/>
      <c r="G1015" s="54"/>
      <c r="H1015" s="54"/>
      <c r="I1015" s="54"/>
      <c r="J1015" s="54"/>
      <c r="K1015" s="54"/>
      <c r="L1015" s="54"/>
      <c r="M1015" s="54"/>
      <c r="N1015" s="54"/>
      <c r="O1015" s="54"/>
      <c r="P1015" s="54"/>
      <c r="Q1015" s="54"/>
      <c r="R1015" s="54"/>
      <c r="S1015" s="54"/>
      <c r="T1015" s="54"/>
      <c r="U1015" s="54"/>
      <c r="V1015" s="54"/>
      <c r="W1015" s="54"/>
      <c r="X1015" s="54"/>
      <c r="Y1015" s="54"/>
      <c r="Z1015" s="54"/>
      <c r="AA1015" s="54"/>
      <c r="AB1015" s="54"/>
      <c r="AC1015" s="54"/>
    </row>
    <row r="1016" ht="78.0" customHeight="1">
      <c r="A1016" s="941">
        <v>1355.0</v>
      </c>
      <c r="B1016" s="26"/>
      <c r="C1016" s="28"/>
      <c r="D1016" s="825"/>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row>
    <row r="1017" ht="78.0" customHeight="1">
      <c r="A1017" s="946">
        <v>1354.0</v>
      </c>
      <c r="B1017" s="52"/>
      <c r="C1017" s="54"/>
      <c r="D1017" s="855"/>
      <c r="E1017" s="54"/>
      <c r="F1017" s="54"/>
      <c r="G1017" s="54"/>
      <c r="H1017" s="54"/>
      <c r="I1017" s="54"/>
      <c r="J1017" s="54"/>
      <c r="K1017" s="54"/>
      <c r="L1017" s="54"/>
      <c r="M1017" s="54"/>
      <c r="N1017" s="54"/>
      <c r="O1017" s="54"/>
      <c r="P1017" s="54"/>
      <c r="Q1017" s="54"/>
      <c r="R1017" s="54"/>
      <c r="S1017" s="54"/>
      <c r="T1017" s="54"/>
      <c r="U1017" s="54"/>
      <c r="V1017" s="54"/>
      <c r="W1017" s="54"/>
      <c r="X1017" s="54"/>
      <c r="Y1017" s="54"/>
      <c r="Z1017" s="54"/>
      <c r="AA1017" s="54"/>
      <c r="AB1017" s="54"/>
      <c r="AC1017" s="54"/>
    </row>
    <row r="1018" ht="78.0" customHeight="1">
      <c r="A1018" s="941">
        <v>1353.0</v>
      </c>
      <c r="B1018" s="26"/>
      <c r="C1018" s="28"/>
      <c r="D1018" s="825"/>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row>
    <row r="1019" ht="78.0" customHeight="1">
      <c r="A1019" s="946">
        <v>1352.0</v>
      </c>
      <c r="B1019" s="52"/>
      <c r="C1019" s="54"/>
      <c r="D1019" s="855"/>
      <c r="E1019" s="54"/>
      <c r="F1019" s="54"/>
      <c r="G1019" s="54"/>
      <c r="H1019" s="54"/>
      <c r="I1019" s="54"/>
      <c r="J1019" s="54"/>
      <c r="K1019" s="54"/>
      <c r="L1019" s="54"/>
      <c r="M1019" s="54"/>
      <c r="N1019" s="54"/>
      <c r="O1019" s="54"/>
      <c r="P1019" s="54"/>
      <c r="Q1019" s="54"/>
      <c r="R1019" s="54"/>
      <c r="S1019" s="54"/>
      <c r="T1019" s="54"/>
      <c r="U1019" s="54"/>
      <c r="V1019" s="54"/>
      <c r="W1019" s="54"/>
      <c r="X1019" s="54"/>
      <c r="Y1019" s="54"/>
      <c r="Z1019" s="54"/>
      <c r="AA1019" s="54"/>
      <c r="AB1019" s="54"/>
      <c r="AC1019" s="54"/>
    </row>
    <row r="1020" ht="78.0" customHeight="1">
      <c r="A1020" s="941">
        <v>1351.0</v>
      </c>
      <c r="B1020" s="26"/>
      <c r="C1020" s="28"/>
      <c r="D1020" s="825"/>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row>
    <row r="1021" ht="78.0" customHeight="1">
      <c r="A1021" s="946">
        <v>1350.0</v>
      </c>
      <c r="B1021" s="52"/>
      <c r="C1021" s="54"/>
      <c r="D1021" s="855"/>
      <c r="E1021" s="54"/>
      <c r="F1021" s="54"/>
      <c r="G1021" s="54"/>
      <c r="H1021" s="54"/>
      <c r="I1021" s="54"/>
      <c r="J1021" s="54"/>
      <c r="K1021" s="54"/>
      <c r="L1021" s="54"/>
      <c r="M1021" s="54"/>
      <c r="N1021" s="54"/>
      <c r="O1021" s="54"/>
      <c r="P1021" s="54"/>
      <c r="Q1021" s="54"/>
      <c r="R1021" s="54"/>
      <c r="S1021" s="54"/>
      <c r="T1021" s="54"/>
      <c r="U1021" s="54"/>
      <c r="V1021" s="54"/>
      <c r="W1021" s="54"/>
      <c r="X1021" s="54"/>
      <c r="Y1021" s="54"/>
      <c r="Z1021" s="54"/>
      <c r="AA1021" s="54"/>
      <c r="AB1021" s="54"/>
      <c r="AC1021" s="54"/>
    </row>
    <row r="1022" ht="78.0" customHeight="1">
      <c r="A1022" s="941">
        <v>1349.0</v>
      </c>
      <c r="B1022" s="26"/>
      <c r="C1022" s="28"/>
      <c r="D1022" s="825"/>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row>
    <row r="1023" ht="78.0" customHeight="1">
      <c r="A1023" s="946">
        <v>1348.0</v>
      </c>
      <c r="B1023" s="52"/>
      <c r="C1023" s="54"/>
      <c r="D1023" s="855"/>
      <c r="E1023" s="54"/>
      <c r="F1023" s="54"/>
      <c r="G1023" s="54"/>
      <c r="H1023" s="54"/>
      <c r="I1023" s="54"/>
      <c r="J1023" s="54"/>
      <c r="K1023" s="54"/>
      <c r="L1023" s="54"/>
      <c r="M1023" s="54"/>
      <c r="N1023" s="54"/>
      <c r="O1023" s="54"/>
      <c r="P1023" s="54"/>
      <c r="Q1023" s="54"/>
      <c r="R1023" s="54"/>
      <c r="S1023" s="54"/>
      <c r="T1023" s="54"/>
      <c r="U1023" s="54"/>
      <c r="V1023" s="54"/>
      <c r="W1023" s="54"/>
      <c r="X1023" s="54"/>
      <c r="Y1023" s="54"/>
      <c r="Z1023" s="54"/>
      <c r="AA1023" s="54"/>
      <c r="AB1023" s="54"/>
      <c r="AC1023" s="54"/>
    </row>
    <row r="1024" ht="78.0" customHeight="1">
      <c r="A1024" s="941">
        <v>1347.0</v>
      </c>
      <c r="B1024" s="26"/>
      <c r="C1024" s="28"/>
      <c r="D1024" s="825"/>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row>
    <row r="1025" ht="78.0" customHeight="1">
      <c r="A1025" s="946">
        <v>1346.0</v>
      </c>
      <c r="B1025" s="52"/>
      <c r="C1025" s="54"/>
      <c r="D1025" s="855"/>
      <c r="E1025" s="54"/>
      <c r="F1025" s="54"/>
      <c r="G1025" s="54"/>
      <c r="H1025" s="54"/>
      <c r="I1025" s="54"/>
      <c r="J1025" s="54"/>
      <c r="K1025" s="54"/>
      <c r="L1025" s="54"/>
      <c r="M1025" s="54"/>
      <c r="N1025" s="54"/>
      <c r="O1025" s="54"/>
      <c r="P1025" s="54"/>
      <c r="Q1025" s="54"/>
      <c r="R1025" s="54"/>
      <c r="S1025" s="54"/>
      <c r="T1025" s="54"/>
      <c r="U1025" s="54"/>
      <c r="V1025" s="54"/>
      <c r="W1025" s="54"/>
      <c r="X1025" s="54"/>
      <c r="Y1025" s="54"/>
      <c r="Z1025" s="54"/>
      <c r="AA1025" s="54"/>
      <c r="AB1025" s="54"/>
      <c r="AC1025" s="54"/>
    </row>
    <row r="1026" ht="78.0" customHeight="1">
      <c r="A1026" s="941">
        <v>1345.0</v>
      </c>
      <c r="B1026" s="26"/>
      <c r="C1026" s="28"/>
      <c r="D1026" s="825"/>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row>
    <row r="1027" ht="78.0" customHeight="1">
      <c r="A1027" s="946">
        <v>1344.0</v>
      </c>
      <c r="B1027" s="52"/>
      <c r="C1027" s="54"/>
      <c r="D1027" s="855"/>
      <c r="E1027" s="54"/>
      <c r="F1027" s="54"/>
      <c r="G1027" s="54"/>
      <c r="H1027" s="54"/>
      <c r="I1027" s="54"/>
      <c r="J1027" s="54"/>
      <c r="K1027" s="54"/>
      <c r="L1027" s="54"/>
      <c r="M1027" s="54"/>
      <c r="N1027" s="54"/>
      <c r="O1027" s="54"/>
      <c r="P1027" s="54"/>
      <c r="Q1027" s="54"/>
      <c r="R1027" s="54"/>
      <c r="S1027" s="54"/>
      <c r="T1027" s="54"/>
      <c r="U1027" s="54"/>
      <c r="V1027" s="54"/>
      <c r="W1027" s="54"/>
      <c r="X1027" s="54"/>
      <c r="Y1027" s="54"/>
      <c r="Z1027" s="54"/>
      <c r="AA1027" s="54"/>
      <c r="AB1027" s="54"/>
      <c r="AC1027" s="54"/>
    </row>
    <row r="1028" ht="78.0" customHeight="1">
      <c r="A1028" s="941">
        <v>1343.0</v>
      </c>
      <c r="B1028" s="26"/>
      <c r="C1028" s="28"/>
      <c r="D1028" s="825"/>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row>
    <row r="1029" ht="78.0" customHeight="1">
      <c r="A1029" s="946">
        <v>1342.0</v>
      </c>
      <c r="B1029" s="52"/>
      <c r="C1029" s="54"/>
      <c r="D1029" s="855"/>
      <c r="E1029" s="54"/>
      <c r="F1029" s="54"/>
      <c r="G1029" s="54"/>
      <c r="H1029" s="54"/>
      <c r="I1029" s="54"/>
      <c r="J1029" s="54"/>
      <c r="K1029" s="54"/>
      <c r="L1029" s="54"/>
      <c r="M1029" s="54"/>
      <c r="N1029" s="54"/>
      <c r="O1029" s="54"/>
      <c r="P1029" s="54"/>
      <c r="Q1029" s="54"/>
      <c r="R1029" s="54"/>
      <c r="S1029" s="54"/>
      <c r="T1029" s="54"/>
      <c r="U1029" s="54"/>
      <c r="V1029" s="54"/>
      <c r="W1029" s="54"/>
      <c r="X1029" s="54"/>
      <c r="Y1029" s="54"/>
      <c r="Z1029" s="54"/>
      <c r="AA1029" s="54"/>
      <c r="AB1029" s="54"/>
      <c r="AC1029" s="54"/>
    </row>
    <row r="1030" ht="78.0" customHeight="1">
      <c r="A1030" s="941">
        <v>1341.0</v>
      </c>
      <c r="B1030" s="26"/>
      <c r="C1030" s="28"/>
      <c r="D1030" s="825"/>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row>
    <row r="1031" ht="78.0" customHeight="1">
      <c r="A1031" s="946">
        <v>1340.0</v>
      </c>
      <c r="B1031" s="52"/>
      <c r="C1031" s="54"/>
      <c r="D1031" s="855"/>
      <c r="E1031" s="54"/>
      <c r="F1031" s="54"/>
      <c r="G1031" s="54"/>
      <c r="H1031" s="54"/>
      <c r="I1031" s="54"/>
      <c r="J1031" s="54"/>
      <c r="K1031" s="54"/>
      <c r="L1031" s="54"/>
      <c r="M1031" s="54"/>
      <c r="N1031" s="54"/>
      <c r="O1031" s="54"/>
      <c r="P1031" s="54"/>
      <c r="Q1031" s="54"/>
      <c r="R1031" s="54"/>
      <c r="S1031" s="54"/>
      <c r="T1031" s="54"/>
      <c r="U1031" s="54"/>
      <c r="V1031" s="54"/>
      <c r="W1031" s="54"/>
      <c r="X1031" s="54"/>
      <c r="Y1031" s="54"/>
      <c r="Z1031" s="54"/>
      <c r="AA1031" s="54"/>
      <c r="AB1031" s="54"/>
      <c r="AC1031" s="54"/>
    </row>
    <row r="1032" ht="78.0" customHeight="1">
      <c r="A1032" s="941">
        <v>1339.0</v>
      </c>
      <c r="B1032" s="26"/>
      <c r="C1032" s="28"/>
      <c r="D1032" s="825"/>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row>
    <row r="1033" ht="78.0" customHeight="1">
      <c r="A1033" s="946">
        <v>1338.0</v>
      </c>
      <c r="B1033" s="52"/>
      <c r="C1033" s="54"/>
      <c r="D1033" s="855"/>
      <c r="E1033" s="54"/>
      <c r="F1033" s="54"/>
      <c r="G1033" s="54"/>
      <c r="H1033" s="54"/>
      <c r="I1033" s="54"/>
      <c r="J1033" s="54"/>
      <c r="K1033" s="54"/>
      <c r="L1033" s="54"/>
      <c r="M1033" s="54"/>
      <c r="N1033" s="54"/>
      <c r="O1033" s="54"/>
      <c r="P1033" s="54"/>
      <c r="Q1033" s="54"/>
      <c r="R1033" s="54"/>
      <c r="S1033" s="54"/>
      <c r="T1033" s="54"/>
      <c r="U1033" s="54"/>
      <c r="V1033" s="54"/>
      <c r="W1033" s="54"/>
      <c r="X1033" s="54"/>
      <c r="Y1033" s="54"/>
      <c r="Z1033" s="54"/>
      <c r="AA1033" s="54"/>
      <c r="AB1033" s="54"/>
      <c r="AC1033" s="54"/>
    </row>
    <row r="1034" ht="78.0" customHeight="1">
      <c r="A1034" s="941">
        <v>1337.0</v>
      </c>
      <c r="B1034" s="26"/>
      <c r="C1034" s="28"/>
      <c r="D1034" s="825"/>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c r="AA1034" s="28"/>
      <c r="AB1034" s="28"/>
      <c r="AC1034" s="28"/>
    </row>
    <row r="1035" ht="78.0" customHeight="1">
      <c r="A1035" s="946">
        <v>1336.0</v>
      </c>
      <c r="B1035" s="52"/>
      <c r="C1035" s="54"/>
      <c r="D1035" s="855"/>
      <c r="E1035" s="54"/>
      <c r="F1035" s="54"/>
      <c r="G1035" s="54"/>
      <c r="H1035" s="54"/>
      <c r="I1035" s="54"/>
      <c r="J1035" s="54"/>
      <c r="K1035" s="54"/>
      <c r="L1035" s="54"/>
      <c r="M1035" s="54"/>
      <c r="N1035" s="54"/>
      <c r="O1035" s="54"/>
      <c r="P1035" s="54"/>
      <c r="Q1035" s="54"/>
      <c r="R1035" s="54"/>
      <c r="S1035" s="54"/>
      <c r="T1035" s="54"/>
      <c r="U1035" s="54"/>
      <c r="V1035" s="54"/>
      <c r="W1035" s="54"/>
      <c r="X1035" s="54"/>
      <c r="Y1035" s="54"/>
      <c r="Z1035" s="54"/>
      <c r="AA1035" s="54"/>
      <c r="AB1035" s="54"/>
      <c r="AC1035" s="54"/>
    </row>
    <row r="1036" ht="78.0" customHeight="1">
      <c r="A1036" s="941">
        <v>1335.0</v>
      </c>
      <c r="B1036" s="26"/>
      <c r="C1036" s="28"/>
      <c r="D1036" s="825"/>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c r="AA1036" s="28"/>
      <c r="AB1036" s="28"/>
      <c r="AC1036" s="28"/>
    </row>
    <row r="1037" ht="78.0" customHeight="1">
      <c r="A1037" s="946">
        <v>1334.0</v>
      </c>
      <c r="B1037" s="52"/>
      <c r="C1037" s="54"/>
      <c r="D1037" s="855"/>
      <c r="E1037" s="54"/>
      <c r="F1037" s="54"/>
      <c r="G1037" s="54"/>
      <c r="H1037" s="54"/>
      <c r="I1037" s="54"/>
      <c r="J1037" s="54"/>
      <c r="K1037" s="54"/>
      <c r="L1037" s="54"/>
      <c r="M1037" s="54"/>
      <c r="N1037" s="54"/>
      <c r="O1037" s="54"/>
      <c r="P1037" s="54"/>
      <c r="Q1037" s="54"/>
      <c r="R1037" s="54"/>
      <c r="S1037" s="54"/>
      <c r="T1037" s="54"/>
      <c r="U1037" s="54"/>
      <c r="V1037" s="54"/>
      <c r="W1037" s="54"/>
      <c r="X1037" s="54"/>
      <c r="Y1037" s="54"/>
      <c r="Z1037" s="54"/>
      <c r="AA1037" s="54"/>
      <c r="AB1037" s="54"/>
      <c r="AC1037" s="54"/>
    </row>
    <row r="1038" ht="78.0" customHeight="1">
      <c r="A1038" s="941">
        <v>1333.0</v>
      </c>
      <c r="B1038" s="26"/>
      <c r="C1038" s="28"/>
      <c r="D1038" s="825"/>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c r="AA1038" s="28"/>
      <c r="AB1038" s="28"/>
      <c r="AC1038" s="28"/>
    </row>
    <row r="1039" ht="78.0" customHeight="1">
      <c r="A1039" s="946">
        <v>1332.0</v>
      </c>
      <c r="B1039" s="52"/>
      <c r="C1039" s="54"/>
      <c r="D1039" s="855"/>
      <c r="E1039" s="54"/>
      <c r="F1039" s="54"/>
      <c r="G1039" s="54"/>
      <c r="H1039" s="54"/>
      <c r="I1039" s="54"/>
      <c r="J1039" s="54"/>
      <c r="K1039" s="54"/>
      <c r="L1039" s="54"/>
      <c r="M1039" s="54"/>
      <c r="N1039" s="54"/>
      <c r="O1039" s="54"/>
      <c r="P1039" s="54"/>
      <c r="Q1039" s="54"/>
      <c r="R1039" s="54"/>
      <c r="S1039" s="54"/>
      <c r="T1039" s="54"/>
      <c r="U1039" s="54"/>
      <c r="V1039" s="54"/>
      <c r="W1039" s="54"/>
      <c r="X1039" s="54"/>
      <c r="Y1039" s="54"/>
      <c r="Z1039" s="54"/>
      <c r="AA1039" s="54"/>
      <c r="AB1039" s="54"/>
      <c r="AC1039" s="54"/>
    </row>
    <row r="1040" ht="78.0" customHeight="1">
      <c r="A1040" s="941">
        <v>1331.0</v>
      </c>
      <c r="B1040" s="26"/>
      <c r="C1040" s="28"/>
      <c r="D1040" s="825"/>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c r="AA1040" s="28"/>
      <c r="AB1040" s="28"/>
      <c r="AC1040" s="28"/>
    </row>
    <row r="1041" ht="78.0" customHeight="1">
      <c r="A1041" s="946">
        <v>1330.0</v>
      </c>
      <c r="B1041" s="52"/>
      <c r="C1041" s="54"/>
      <c r="D1041" s="855"/>
      <c r="E1041" s="54"/>
      <c r="F1041" s="54"/>
      <c r="G1041" s="54"/>
      <c r="H1041" s="54"/>
      <c r="I1041" s="54"/>
      <c r="J1041" s="54"/>
      <c r="K1041" s="54"/>
      <c r="L1041" s="54"/>
      <c r="M1041" s="54"/>
      <c r="N1041" s="54"/>
      <c r="O1041" s="54"/>
      <c r="P1041" s="54"/>
      <c r="Q1041" s="54"/>
      <c r="R1041" s="54"/>
      <c r="S1041" s="54"/>
      <c r="T1041" s="54"/>
      <c r="U1041" s="54"/>
      <c r="V1041" s="54"/>
      <c r="W1041" s="54"/>
      <c r="X1041" s="54"/>
      <c r="Y1041" s="54"/>
      <c r="Z1041" s="54"/>
      <c r="AA1041" s="54"/>
      <c r="AB1041" s="54"/>
      <c r="AC1041" s="54"/>
    </row>
    <row r="1042" ht="78.0" customHeight="1">
      <c r="A1042" s="941">
        <v>1329.0</v>
      </c>
      <c r="B1042" s="26"/>
      <c r="C1042" s="28"/>
      <c r="D1042" s="825"/>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c r="AA1042" s="28"/>
      <c r="AB1042" s="28"/>
      <c r="AC1042" s="28"/>
    </row>
    <row r="1043" ht="78.0" customHeight="1">
      <c r="A1043" s="946">
        <v>1328.0</v>
      </c>
      <c r="B1043" s="52"/>
      <c r="C1043" s="54"/>
      <c r="D1043" s="855"/>
      <c r="E1043" s="54"/>
      <c r="F1043" s="54"/>
      <c r="G1043" s="54"/>
      <c r="H1043" s="54"/>
      <c r="I1043" s="54"/>
      <c r="J1043" s="54"/>
      <c r="K1043" s="54"/>
      <c r="L1043" s="54"/>
      <c r="M1043" s="54"/>
      <c r="N1043" s="54"/>
      <c r="O1043" s="54"/>
      <c r="P1043" s="54"/>
      <c r="Q1043" s="54"/>
      <c r="R1043" s="54"/>
      <c r="S1043" s="54"/>
      <c r="T1043" s="54"/>
      <c r="U1043" s="54"/>
      <c r="V1043" s="54"/>
      <c r="W1043" s="54"/>
      <c r="X1043" s="54"/>
      <c r="Y1043" s="54"/>
      <c r="Z1043" s="54"/>
      <c r="AA1043" s="54"/>
      <c r="AB1043" s="54"/>
      <c r="AC1043" s="54"/>
    </row>
    <row r="1044" ht="78.0" customHeight="1">
      <c r="A1044" s="941">
        <v>1327.0</v>
      </c>
      <c r="B1044" s="26"/>
      <c r="C1044" s="28"/>
      <c r="D1044" s="825"/>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c r="AA1044" s="28"/>
      <c r="AB1044" s="28"/>
      <c r="AC1044" s="28"/>
    </row>
    <row r="1045" ht="78.0" customHeight="1">
      <c r="A1045" s="946">
        <v>1326.0</v>
      </c>
      <c r="B1045" s="52"/>
      <c r="C1045" s="54"/>
      <c r="D1045" s="855"/>
      <c r="E1045" s="54"/>
      <c r="F1045" s="54"/>
      <c r="G1045" s="54"/>
      <c r="H1045" s="54"/>
      <c r="I1045" s="54"/>
      <c r="J1045" s="54"/>
      <c r="K1045" s="54"/>
      <c r="L1045" s="54"/>
      <c r="M1045" s="54"/>
      <c r="N1045" s="54"/>
      <c r="O1045" s="54"/>
      <c r="P1045" s="54"/>
      <c r="Q1045" s="54"/>
      <c r="R1045" s="54"/>
      <c r="S1045" s="54"/>
      <c r="T1045" s="54"/>
      <c r="U1045" s="54"/>
      <c r="V1045" s="54"/>
      <c r="W1045" s="54"/>
      <c r="X1045" s="54"/>
      <c r="Y1045" s="54"/>
      <c r="Z1045" s="54"/>
      <c r="AA1045" s="54"/>
      <c r="AB1045" s="54"/>
      <c r="AC1045" s="54"/>
    </row>
    <row r="1046" ht="78.0" customHeight="1">
      <c r="A1046" s="941">
        <v>1325.0</v>
      </c>
      <c r="B1046" s="26"/>
      <c r="C1046" s="28"/>
      <c r="D1046" s="825"/>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c r="AB1046" s="28"/>
      <c r="AC1046" s="28"/>
    </row>
    <row r="1047" ht="78.0" customHeight="1">
      <c r="A1047" s="946">
        <v>1324.0</v>
      </c>
      <c r="B1047" s="52"/>
      <c r="C1047" s="54"/>
      <c r="D1047" s="855"/>
      <c r="E1047" s="54"/>
      <c r="F1047" s="54"/>
      <c r="G1047" s="54"/>
      <c r="H1047" s="54"/>
      <c r="I1047" s="54"/>
      <c r="J1047" s="54"/>
      <c r="K1047" s="54"/>
      <c r="L1047" s="54"/>
      <c r="M1047" s="54"/>
      <c r="N1047" s="54"/>
      <c r="O1047" s="54"/>
      <c r="P1047" s="54"/>
      <c r="Q1047" s="54"/>
      <c r="R1047" s="54"/>
      <c r="S1047" s="54"/>
      <c r="T1047" s="54"/>
      <c r="U1047" s="54"/>
      <c r="V1047" s="54"/>
      <c r="W1047" s="54"/>
      <c r="X1047" s="54"/>
      <c r="Y1047" s="54"/>
      <c r="Z1047" s="54"/>
      <c r="AA1047" s="54"/>
      <c r="AB1047" s="54"/>
      <c r="AC1047" s="54"/>
    </row>
    <row r="1048" ht="78.0" customHeight="1">
      <c r="A1048" s="941">
        <v>1323.0</v>
      </c>
      <c r="B1048" s="26"/>
      <c r="C1048" s="28"/>
      <c r="D1048" s="825"/>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c r="AA1048" s="28"/>
      <c r="AB1048" s="28"/>
      <c r="AC1048" s="28"/>
    </row>
    <row r="1049" ht="78.0" customHeight="1">
      <c r="A1049" s="946">
        <v>1322.0</v>
      </c>
      <c r="B1049" s="52"/>
      <c r="C1049" s="54"/>
      <c r="D1049" s="855"/>
      <c r="E1049" s="54"/>
      <c r="F1049" s="54"/>
      <c r="G1049" s="54"/>
      <c r="H1049" s="54"/>
      <c r="I1049" s="54"/>
      <c r="J1049" s="54"/>
      <c r="K1049" s="54"/>
      <c r="L1049" s="54"/>
      <c r="M1049" s="54"/>
      <c r="N1049" s="54"/>
      <c r="O1049" s="54"/>
      <c r="P1049" s="54"/>
      <c r="Q1049" s="54"/>
      <c r="R1049" s="54"/>
      <c r="S1049" s="54"/>
      <c r="T1049" s="54"/>
      <c r="U1049" s="54"/>
      <c r="V1049" s="54"/>
      <c r="W1049" s="54"/>
      <c r="X1049" s="54"/>
      <c r="Y1049" s="54"/>
      <c r="Z1049" s="54"/>
      <c r="AA1049" s="54"/>
      <c r="AB1049" s="54"/>
      <c r="AC1049" s="54"/>
    </row>
    <row r="1050" ht="78.0" customHeight="1">
      <c r="A1050" s="941">
        <v>1321.0</v>
      </c>
      <c r="B1050" s="26"/>
      <c r="C1050" s="28"/>
      <c r="D1050" s="825"/>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c r="AA1050" s="28"/>
      <c r="AB1050" s="28"/>
      <c r="AC1050" s="28"/>
    </row>
    <row r="1051" ht="78.0" customHeight="1">
      <c r="A1051" s="946">
        <v>1320.0</v>
      </c>
      <c r="B1051" s="52"/>
      <c r="C1051" s="54"/>
      <c r="D1051" s="855"/>
      <c r="E1051" s="54"/>
      <c r="F1051" s="54"/>
      <c r="G1051" s="54"/>
      <c r="H1051" s="54"/>
      <c r="I1051" s="54"/>
      <c r="J1051" s="54"/>
      <c r="K1051" s="54"/>
      <c r="L1051" s="54"/>
      <c r="M1051" s="54"/>
      <c r="N1051" s="54"/>
      <c r="O1051" s="54"/>
      <c r="P1051" s="54"/>
      <c r="Q1051" s="54"/>
      <c r="R1051" s="54"/>
      <c r="S1051" s="54"/>
      <c r="T1051" s="54"/>
      <c r="U1051" s="54"/>
      <c r="V1051" s="54"/>
      <c r="W1051" s="54"/>
      <c r="X1051" s="54"/>
      <c r="Y1051" s="54"/>
      <c r="Z1051" s="54"/>
      <c r="AA1051" s="54"/>
      <c r="AB1051" s="54"/>
      <c r="AC1051" s="54"/>
    </row>
    <row r="1052" ht="78.0" customHeight="1">
      <c r="A1052" s="941">
        <v>1319.0</v>
      </c>
      <c r="B1052" s="26"/>
      <c r="C1052" s="28"/>
      <c r="D1052" s="825"/>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c r="AA1052" s="28"/>
      <c r="AB1052" s="28"/>
      <c r="AC1052" s="28"/>
    </row>
    <row r="1053" ht="78.0" customHeight="1">
      <c r="A1053" s="946">
        <v>1318.0</v>
      </c>
      <c r="B1053" s="52"/>
      <c r="C1053" s="54"/>
      <c r="D1053" s="855"/>
      <c r="E1053" s="54"/>
      <c r="F1053" s="54"/>
      <c r="G1053" s="54"/>
      <c r="H1053" s="54"/>
      <c r="I1053" s="54"/>
      <c r="J1053" s="54"/>
      <c r="K1053" s="54"/>
      <c r="L1053" s="54"/>
      <c r="M1053" s="54"/>
      <c r="N1053" s="54"/>
      <c r="O1053" s="54"/>
      <c r="P1053" s="54"/>
      <c r="Q1053" s="54"/>
      <c r="R1053" s="54"/>
      <c r="S1053" s="54"/>
      <c r="T1053" s="54"/>
      <c r="U1053" s="54"/>
      <c r="V1053" s="54"/>
      <c r="W1053" s="54"/>
      <c r="X1053" s="54"/>
      <c r="Y1053" s="54"/>
      <c r="Z1053" s="54"/>
      <c r="AA1053" s="54"/>
      <c r="AB1053" s="54"/>
      <c r="AC1053" s="54"/>
    </row>
    <row r="1054" ht="78.0" customHeight="1">
      <c r="A1054" s="941">
        <v>1317.0</v>
      </c>
      <c r="B1054" s="26"/>
      <c r="C1054" s="28"/>
      <c r="D1054" s="825"/>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c r="AA1054" s="28"/>
      <c r="AB1054" s="28"/>
      <c r="AC1054" s="28"/>
    </row>
    <row r="1055" ht="78.0" customHeight="1">
      <c r="A1055" s="946">
        <v>1316.0</v>
      </c>
      <c r="B1055" s="52"/>
      <c r="C1055" s="54"/>
      <c r="D1055" s="855"/>
      <c r="E1055" s="54"/>
      <c r="F1055" s="54"/>
      <c r="G1055" s="54"/>
      <c r="H1055" s="54"/>
      <c r="I1055" s="54"/>
      <c r="J1055" s="54"/>
      <c r="K1055" s="54"/>
      <c r="L1055" s="54"/>
      <c r="M1055" s="54"/>
      <c r="N1055" s="54"/>
      <c r="O1055" s="54"/>
      <c r="P1055" s="54"/>
      <c r="Q1055" s="54"/>
      <c r="R1055" s="54"/>
      <c r="S1055" s="54"/>
      <c r="T1055" s="54"/>
      <c r="U1055" s="54"/>
      <c r="V1055" s="54"/>
      <c r="W1055" s="54"/>
      <c r="X1055" s="54"/>
      <c r="Y1055" s="54"/>
      <c r="Z1055" s="54"/>
      <c r="AA1055" s="54"/>
      <c r="AB1055" s="54"/>
      <c r="AC1055" s="54"/>
    </row>
    <row r="1056" ht="78.0" customHeight="1">
      <c r="A1056" s="941">
        <v>1315.0</v>
      </c>
      <c r="B1056" s="26"/>
      <c r="C1056" s="28"/>
      <c r="D1056" s="825"/>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c r="AA1056" s="28"/>
      <c r="AB1056" s="28"/>
      <c r="AC1056" s="28"/>
    </row>
    <row r="1057" ht="78.0" customHeight="1">
      <c r="A1057" s="946">
        <v>1314.0</v>
      </c>
      <c r="B1057" s="52"/>
      <c r="C1057" s="54"/>
      <c r="D1057" s="855"/>
      <c r="E1057" s="54"/>
      <c r="F1057" s="54"/>
      <c r="G1057" s="54"/>
      <c r="H1057" s="54"/>
      <c r="I1057" s="54"/>
      <c r="J1057" s="54"/>
      <c r="K1057" s="54"/>
      <c r="L1057" s="54"/>
      <c r="M1057" s="54"/>
      <c r="N1057" s="54"/>
      <c r="O1057" s="54"/>
      <c r="P1057" s="54"/>
      <c r="Q1057" s="54"/>
      <c r="R1057" s="54"/>
      <c r="S1057" s="54"/>
      <c r="T1057" s="54"/>
      <c r="U1057" s="54"/>
      <c r="V1057" s="54"/>
      <c r="W1057" s="54"/>
      <c r="X1057" s="54"/>
      <c r="Y1057" s="54"/>
      <c r="Z1057" s="54"/>
      <c r="AA1057" s="54"/>
      <c r="AB1057" s="54"/>
      <c r="AC1057" s="54"/>
    </row>
    <row r="1058" ht="78.0" customHeight="1">
      <c r="A1058" s="941">
        <v>1313.0</v>
      </c>
      <c r="B1058" s="26"/>
      <c r="C1058" s="28"/>
      <c r="D1058" s="825"/>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c r="AA1058" s="28"/>
      <c r="AB1058" s="28"/>
      <c r="AC1058" s="28"/>
    </row>
    <row r="1059" ht="78.0" customHeight="1">
      <c r="A1059" s="946">
        <v>1312.0</v>
      </c>
      <c r="B1059" s="52"/>
      <c r="C1059" s="54"/>
      <c r="D1059" s="855"/>
      <c r="E1059" s="54"/>
      <c r="F1059" s="54"/>
      <c r="G1059" s="54"/>
      <c r="H1059" s="54"/>
      <c r="I1059" s="54"/>
      <c r="J1059" s="54"/>
      <c r="K1059" s="54"/>
      <c r="L1059" s="54"/>
      <c r="M1059" s="54"/>
      <c r="N1059" s="54"/>
      <c r="O1059" s="54"/>
      <c r="P1059" s="54"/>
      <c r="Q1059" s="54"/>
      <c r="R1059" s="54"/>
      <c r="S1059" s="54"/>
      <c r="T1059" s="54"/>
      <c r="U1059" s="54"/>
      <c r="V1059" s="54"/>
      <c r="W1059" s="54"/>
      <c r="X1059" s="54"/>
      <c r="Y1059" s="54"/>
      <c r="Z1059" s="54"/>
      <c r="AA1059" s="54"/>
      <c r="AB1059" s="54"/>
      <c r="AC1059" s="54"/>
    </row>
    <row r="1060" ht="78.0" customHeight="1">
      <c r="A1060" s="941">
        <v>1311.0</v>
      </c>
      <c r="B1060" s="26"/>
      <c r="C1060" s="28"/>
      <c r="D1060" s="825"/>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c r="AA1060" s="28"/>
      <c r="AB1060" s="28"/>
      <c r="AC1060" s="28"/>
    </row>
    <row r="1061" ht="78.0" customHeight="1">
      <c r="A1061" s="946">
        <v>1310.0</v>
      </c>
      <c r="B1061" s="52"/>
      <c r="C1061" s="54"/>
      <c r="D1061" s="855"/>
      <c r="E1061" s="54"/>
      <c r="F1061" s="54"/>
      <c r="G1061" s="54"/>
      <c r="H1061" s="54"/>
      <c r="I1061" s="54"/>
      <c r="J1061" s="54"/>
      <c r="K1061" s="54"/>
      <c r="L1061" s="54"/>
      <c r="M1061" s="54"/>
      <c r="N1061" s="54"/>
      <c r="O1061" s="54"/>
      <c r="P1061" s="54"/>
      <c r="Q1061" s="54"/>
      <c r="R1061" s="54"/>
      <c r="S1061" s="54"/>
      <c r="T1061" s="54"/>
      <c r="U1061" s="54"/>
      <c r="V1061" s="54"/>
      <c r="W1061" s="54"/>
      <c r="X1061" s="54"/>
      <c r="Y1061" s="54"/>
      <c r="Z1061" s="54"/>
      <c r="AA1061" s="54"/>
      <c r="AB1061" s="54"/>
      <c r="AC1061" s="54"/>
    </row>
    <row r="1062" ht="78.0" customHeight="1">
      <c r="A1062" s="941">
        <v>1309.0</v>
      </c>
      <c r="B1062" s="26"/>
      <c r="C1062" s="28"/>
      <c r="D1062" s="825"/>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c r="AB1062" s="28"/>
      <c r="AC1062" s="28"/>
    </row>
    <row r="1063" ht="78.0" customHeight="1">
      <c r="A1063" s="946">
        <v>1308.0</v>
      </c>
      <c r="B1063" s="52"/>
      <c r="C1063" s="54"/>
      <c r="D1063" s="855"/>
      <c r="E1063" s="54"/>
      <c r="F1063" s="54"/>
      <c r="G1063" s="54"/>
      <c r="H1063" s="54"/>
      <c r="I1063" s="54"/>
      <c r="J1063" s="54"/>
      <c r="K1063" s="54"/>
      <c r="L1063" s="54"/>
      <c r="M1063" s="54"/>
      <c r="N1063" s="54"/>
      <c r="O1063" s="54"/>
      <c r="P1063" s="54"/>
      <c r="Q1063" s="54"/>
      <c r="R1063" s="54"/>
      <c r="S1063" s="54"/>
      <c r="T1063" s="54"/>
      <c r="U1063" s="54"/>
      <c r="V1063" s="54"/>
      <c r="W1063" s="54"/>
      <c r="X1063" s="54"/>
      <c r="Y1063" s="54"/>
      <c r="Z1063" s="54"/>
      <c r="AA1063" s="54"/>
      <c r="AB1063" s="54"/>
      <c r="AC1063" s="54"/>
    </row>
    <row r="1064" ht="78.0" customHeight="1">
      <c r="A1064" s="941">
        <v>1307.0</v>
      </c>
      <c r="B1064" s="26"/>
      <c r="C1064" s="28"/>
      <c r="D1064" s="825"/>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c r="AA1064" s="28"/>
      <c r="AB1064" s="28"/>
      <c r="AC1064" s="28"/>
    </row>
    <row r="1065" ht="78.0" customHeight="1">
      <c r="A1065" s="946">
        <v>1306.0</v>
      </c>
      <c r="B1065" s="52"/>
      <c r="C1065" s="54"/>
      <c r="D1065" s="855"/>
      <c r="E1065" s="54"/>
      <c r="F1065" s="54"/>
      <c r="G1065" s="54"/>
      <c r="H1065" s="54"/>
      <c r="I1065" s="54"/>
      <c r="J1065" s="54"/>
      <c r="K1065" s="54"/>
      <c r="L1065" s="54"/>
      <c r="M1065" s="54"/>
      <c r="N1065" s="54"/>
      <c r="O1065" s="54"/>
      <c r="P1065" s="54"/>
      <c r="Q1065" s="54"/>
      <c r="R1065" s="54"/>
      <c r="S1065" s="54"/>
      <c r="T1065" s="54"/>
      <c r="U1065" s="54"/>
      <c r="V1065" s="54"/>
      <c r="W1065" s="54"/>
      <c r="X1065" s="54"/>
      <c r="Y1065" s="54"/>
      <c r="Z1065" s="54"/>
      <c r="AA1065" s="54"/>
      <c r="AB1065" s="54"/>
      <c r="AC1065" s="54"/>
    </row>
    <row r="1066" ht="78.0" customHeight="1">
      <c r="A1066" s="941">
        <v>1305.0</v>
      </c>
      <c r="B1066" s="26"/>
      <c r="C1066" s="28"/>
      <c r="D1066" s="825"/>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c r="AA1066" s="28"/>
      <c r="AB1066" s="28"/>
      <c r="AC1066" s="28"/>
    </row>
    <row r="1067" ht="78.0" customHeight="1">
      <c r="A1067" s="946">
        <v>1304.0</v>
      </c>
      <c r="B1067" s="52"/>
      <c r="C1067" s="54"/>
      <c r="D1067" s="855"/>
      <c r="E1067" s="54"/>
      <c r="F1067" s="54"/>
      <c r="G1067" s="54"/>
      <c r="H1067" s="54"/>
      <c r="I1067" s="54"/>
      <c r="J1067" s="54"/>
      <c r="K1067" s="54"/>
      <c r="L1067" s="54"/>
      <c r="M1067" s="54"/>
      <c r="N1067" s="54"/>
      <c r="O1067" s="54"/>
      <c r="P1067" s="54"/>
      <c r="Q1067" s="54"/>
      <c r="R1067" s="54"/>
      <c r="S1067" s="54"/>
      <c r="T1067" s="54"/>
      <c r="U1067" s="54"/>
      <c r="V1067" s="54"/>
      <c r="W1067" s="54"/>
      <c r="X1067" s="54"/>
      <c r="Y1067" s="54"/>
      <c r="Z1067" s="54"/>
      <c r="AA1067" s="54"/>
      <c r="AB1067" s="54"/>
      <c r="AC1067" s="54"/>
    </row>
    <row r="1068" ht="78.0" customHeight="1">
      <c r="A1068" s="941">
        <v>1303.0</v>
      </c>
      <c r="B1068" s="26"/>
      <c r="C1068" s="28"/>
      <c r="D1068" s="825"/>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c r="AA1068" s="28"/>
      <c r="AB1068" s="28"/>
      <c r="AC1068" s="28"/>
    </row>
    <row r="1069" ht="78.0" customHeight="1">
      <c r="A1069" s="946">
        <v>1302.0</v>
      </c>
      <c r="B1069" s="52"/>
      <c r="C1069" s="54"/>
      <c r="D1069" s="855"/>
      <c r="E1069" s="54"/>
      <c r="F1069" s="54"/>
      <c r="G1069" s="54"/>
      <c r="H1069" s="54"/>
      <c r="I1069" s="54"/>
      <c r="J1069" s="54"/>
      <c r="K1069" s="54"/>
      <c r="L1069" s="54"/>
      <c r="M1069" s="54"/>
      <c r="N1069" s="54"/>
      <c r="O1069" s="54"/>
      <c r="P1069" s="54"/>
      <c r="Q1069" s="54"/>
      <c r="R1069" s="54"/>
      <c r="S1069" s="54"/>
      <c r="T1069" s="54"/>
      <c r="U1069" s="54"/>
      <c r="V1069" s="54"/>
      <c r="W1069" s="54"/>
      <c r="X1069" s="54"/>
      <c r="Y1069" s="54"/>
      <c r="Z1069" s="54"/>
      <c r="AA1069" s="54"/>
      <c r="AB1069" s="54"/>
      <c r="AC1069" s="54"/>
    </row>
    <row r="1070" ht="78.0" customHeight="1">
      <c r="A1070" s="941">
        <v>1301.0</v>
      </c>
      <c r="B1070" s="26"/>
      <c r="C1070" s="28"/>
      <c r="D1070" s="825"/>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c r="AA1070" s="28"/>
      <c r="AB1070" s="28"/>
      <c r="AC1070" s="28"/>
    </row>
    <row r="1071" ht="78.0" customHeight="1">
      <c r="A1071" s="946">
        <v>1300.0</v>
      </c>
      <c r="B1071" s="52"/>
      <c r="C1071" s="54"/>
      <c r="D1071" s="855"/>
      <c r="E1071" s="54"/>
      <c r="F1071" s="54"/>
      <c r="G1071" s="54"/>
      <c r="H1071" s="54"/>
      <c r="I1071" s="54"/>
      <c r="J1071" s="54"/>
      <c r="K1071" s="54"/>
      <c r="L1071" s="54"/>
      <c r="M1071" s="54"/>
      <c r="N1071" s="54"/>
      <c r="O1071" s="54"/>
      <c r="P1071" s="54"/>
      <c r="Q1071" s="54"/>
      <c r="R1071" s="54"/>
      <c r="S1071" s="54"/>
      <c r="T1071" s="54"/>
      <c r="U1071" s="54"/>
      <c r="V1071" s="54"/>
      <c r="W1071" s="54"/>
      <c r="X1071" s="54"/>
      <c r="Y1071" s="54"/>
      <c r="Z1071" s="54"/>
      <c r="AA1071" s="54"/>
      <c r="AB1071" s="54"/>
      <c r="AC1071" s="54"/>
    </row>
    <row r="1072" ht="78.0" customHeight="1">
      <c r="A1072" s="941">
        <v>1299.0</v>
      </c>
      <c r="B1072" s="26"/>
      <c r="C1072" s="28"/>
      <c r="D1072" s="825"/>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c r="AA1072" s="28"/>
      <c r="AB1072" s="28"/>
      <c r="AC1072" s="28"/>
    </row>
    <row r="1073" ht="78.0" customHeight="1">
      <c r="A1073" s="946">
        <v>1298.0</v>
      </c>
      <c r="B1073" s="52"/>
      <c r="C1073" s="54"/>
      <c r="D1073" s="855"/>
      <c r="E1073" s="54"/>
      <c r="F1073" s="54"/>
      <c r="G1073" s="54"/>
      <c r="H1073" s="54"/>
      <c r="I1073" s="54"/>
      <c r="J1073" s="54"/>
      <c r="K1073" s="54"/>
      <c r="L1073" s="54"/>
      <c r="M1073" s="54"/>
      <c r="N1073" s="54"/>
      <c r="O1073" s="54"/>
      <c r="P1073" s="54"/>
      <c r="Q1073" s="54"/>
      <c r="R1073" s="54"/>
      <c r="S1073" s="54"/>
      <c r="T1073" s="54"/>
      <c r="U1073" s="54"/>
      <c r="V1073" s="54"/>
      <c r="W1073" s="54"/>
      <c r="X1073" s="54"/>
      <c r="Y1073" s="54"/>
      <c r="Z1073" s="54"/>
      <c r="AA1073" s="54"/>
      <c r="AB1073" s="54"/>
      <c r="AC1073" s="54"/>
    </row>
    <row r="1074" ht="78.0" customHeight="1">
      <c r="A1074" s="941">
        <v>1297.0</v>
      </c>
      <c r="B1074" s="26"/>
      <c r="C1074" s="28"/>
      <c r="D1074" s="825"/>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c r="AA1074" s="28"/>
      <c r="AB1074" s="28"/>
      <c r="AC1074" s="28"/>
    </row>
    <row r="1075" ht="78.0" customHeight="1">
      <c r="A1075" s="946">
        <v>1296.0</v>
      </c>
      <c r="B1075" s="52"/>
      <c r="C1075" s="54"/>
      <c r="D1075" s="855"/>
      <c r="E1075" s="54"/>
      <c r="F1075" s="54"/>
      <c r="G1075" s="54"/>
      <c r="H1075" s="54"/>
      <c r="I1075" s="54"/>
      <c r="J1075" s="54"/>
      <c r="K1075" s="54"/>
      <c r="L1075" s="54"/>
      <c r="M1075" s="54"/>
      <c r="N1075" s="54"/>
      <c r="O1075" s="54"/>
      <c r="P1075" s="54"/>
      <c r="Q1075" s="54"/>
      <c r="R1075" s="54"/>
      <c r="S1075" s="54"/>
      <c r="T1075" s="54"/>
      <c r="U1075" s="54"/>
      <c r="V1075" s="54"/>
      <c r="W1075" s="54"/>
      <c r="X1075" s="54"/>
      <c r="Y1075" s="54"/>
      <c r="Z1075" s="54"/>
      <c r="AA1075" s="54"/>
      <c r="AB1075" s="54"/>
      <c r="AC1075" s="54"/>
    </row>
    <row r="1076" ht="78.0" customHeight="1">
      <c r="A1076" s="941">
        <v>1295.0</v>
      </c>
      <c r="B1076" s="26"/>
      <c r="C1076" s="28"/>
      <c r="D1076" s="825"/>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c r="AA1076" s="28"/>
      <c r="AB1076" s="28"/>
      <c r="AC1076" s="28"/>
    </row>
    <row r="1077" ht="78.0" customHeight="1">
      <c r="A1077" s="946">
        <v>1294.0</v>
      </c>
      <c r="B1077" s="52"/>
      <c r="C1077" s="54"/>
      <c r="D1077" s="855"/>
      <c r="E1077" s="54"/>
      <c r="F1077" s="54"/>
      <c r="G1077" s="54"/>
      <c r="H1077" s="54"/>
      <c r="I1077" s="54"/>
      <c r="J1077" s="54"/>
      <c r="K1077" s="54"/>
      <c r="L1077" s="54"/>
      <c r="M1077" s="54"/>
      <c r="N1077" s="54"/>
      <c r="O1077" s="54"/>
      <c r="P1077" s="54"/>
      <c r="Q1077" s="54"/>
      <c r="R1077" s="54"/>
      <c r="S1077" s="54"/>
      <c r="T1077" s="54"/>
      <c r="U1077" s="54"/>
      <c r="V1077" s="54"/>
      <c r="W1077" s="54"/>
      <c r="X1077" s="54"/>
      <c r="Y1077" s="54"/>
      <c r="Z1077" s="54"/>
      <c r="AA1077" s="54"/>
      <c r="AB1077" s="54"/>
      <c r="AC1077" s="54"/>
    </row>
    <row r="1078" ht="78.0" customHeight="1">
      <c r="A1078" s="941">
        <v>1293.0</v>
      </c>
      <c r="B1078" s="26"/>
      <c r="C1078" s="28"/>
      <c r="D1078" s="825"/>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c r="AA1078" s="28"/>
      <c r="AB1078" s="28"/>
      <c r="AC1078" s="28"/>
    </row>
    <row r="1079" ht="78.0" customHeight="1">
      <c r="A1079" s="946">
        <v>1292.0</v>
      </c>
      <c r="B1079" s="52"/>
      <c r="C1079" s="54"/>
      <c r="D1079" s="855"/>
      <c r="E1079" s="54"/>
      <c r="F1079" s="54"/>
      <c r="G1079" s="54"/>
      <c r="H1079" s="54"/>
      <c r="I1079" s="54"/>
      <c r="J1079" s="54"/>
      <c r="K1079" s="54"/>
      <c r="L1079" s="54"/>
      <c r="M1079" s="54"/>
      <c r="N1079" s="54"/>
      <c r="O1079" s="54"/>
      <c r="P1079" s="54"/>
      <c r="Q1079" s="54"/>
      <c r="R1079" s="54"/>
      <c r="S1079" s="54"/>
      <c r="T1079" s="54"/>
      <c r="U1079" s="54"/>
      <c r="V1079" s="54"/>
      <c r="W1079" s="54"/>
      <c r="X1079" s="54"/>
      <c r="Y1079" s="54"/>
      <c r="Z1079" s="54"/>
      <c r="AA1079" s="54"/>
      <c r="AB1079" s="54"/>
      <c r="AC1079" s="54"/>
    </row>
    <row r="1080" ht="78.0" customHeight="1">
      <c r="A1080" s="941">
        <v>1291.0</v>
      </c>
      <c r="B1080" s="26"/>
      <c r="C1080" s="28"/>
      <c r="D1080" s="825"/>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c r="AA1080" s="28"/>
      <c r="AB1080" s="28"/>
      <c r="AC1080" s="28"/>
    </row>
    <row r="1081" ht="78.0" customHeight="1">
      <c r="A1081" s="946">
        <v>1290.0</v>
      </c>
      <c r="B1081" s="52"/>
      <c r="C1081" s="54"/>
      <c r="D1081" s="855"/>
      <c r="E1081" s="54"/>
      <c r="F1081" s="54"/>
      <c r="G1081" s="54"/>
      <c r="H1081" s="54"/>
      <c r="I1081" s="54"/>
      <c r="J1081" s="54"/>
      <c r="K1081" s="54"/>
      <c r="L1081" s="54"/>
      <c r="M1081" s="54"/>
      <c r="N1081" s="54"/>
      <c r="O1081" s="54"/>
      <c r="P1081" s="54"/>
      <c r="Q1081" s="54"/>
      <c r="R1081" s="54"/>
      <c r="S1081" s="54"/>
      <c r="T1081" s="54"/>
      <c r="U1081" s="54"/>
      <c r="V1081" s="54"/>
      <c r="W1081" s="54"/>
      <c r="X1081" s="54"/>
      <c r="Y1081" s="54"/>
      <c r="Z1081" s="54"/>
      <c r="AA1081" s="54"/>
      <c r="AB1081" s="54"/>
      <c r="AC1081" s="54"/>
    </row>
    <row r="1082" ht="78.0" customHeight="1">
      <c r="A1082" s="941">
        <v>1289.0</v>
      </c>
      <c r="B1082" s="26"/>
      <c r="C1082" s="28"/>
      <c r="D1082" s="825"/>
      <c r="E1082" s="28"/>
      <c r="F1082" s="28"/>
      <c r="G1082" s="28"/>
      <c r="H1082" s="28"/>
      <c r="I1082" s="28"/>
      <c r="J1082" s="28"/>
      <c r="K1082" s="28"/>
      <c r="L1082" s="28"/>
      <c r="M1082" s="28"/>
      <c r="N1082" s="28"/>
      <c r="O1082" s="28"/>
      <c r="P1082" s="28"/>
      <c r="Q1082" s="28"/>
      <c r="R1082" s="28"/>
      <c r="S1082" s="28"/>
      <c r="T1082" s="28"/>
      <c r="U1082" s="28"/>
      <c r="V1082" s="28"/>
      <c r="W1082" s="28"/>
      <c r="X1082" s="28"/>
      <c r="Y1082" s="28"/>
      <c r="Z1082" s="28"/>
      <c r="AA1082" s="28"/>
      <c r="AB1082" s="28"/>
      <c r="AC1082" s="28"/>
    </row>
    <row r="1083" ht="78.0" customHeight="1">
      <c r="A1083" s="946">
        <v>1288.0</v>
      </c>
      <c r="B1083" s="52"/>
      <c r="C1083" s="54"/>
      <c r="D1083" s="855"/>
      <c r="E1083" s="54"/>
      <c r="F1083" s="54"/>
      <c r="G1083" s="54"/>
      <c r="H1083" s="54"/>
      <c r="I1083" s="54"/>
      <c r="J1083" s="54"/>
      <c r="K1083" s="54"/>
      <c r="L1083" s="54"/>
      <c r="M1083" s="54"/>
      <c r="N1083" s="54"/>
      <c r="O1083" s="54"/>
      <c r="P1083" s="54"/>
      <c r="Q1083" s="54"/>
      <c r="R1083" s="54"/>
      <c r="S1083" s="54"/>
      <c r="T1083" s="54"/>
      <c r="U1083" s="54"/>
      <c r="V1083" s="54"/>
      <c r="W1083" s="54"/>
      <c r="X1083" s="54"/>
      <c r="Y1083" s="54"/>
      <c r="Z1083" s="54"/>
      <c r="AA1083" s="54"/>
      <c r="AB1083" s="54"/>
      <c r="AC1083" s="54"/>
    </row>
    <row r="1084" ht="78.0" customHeight="1">
      <c r="A1084" s="941">
        <v>1287.0</v>
      </c>
      <c r="B1084" s="26"/>
      <c r="C1084" s="28"/>
      <c r="D1084" s="825"/>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c r="AA1084" s="28"/>
      <c r="AB1084" s="28"/>
      <c r="AC1084" s="28"/>
    </row>
    <row r="1085" ht="78.0" customHeight="1">
      <c r="A1085" s="946">
        <v>1286.0</v>
      </c>
      <c r="B1085" s="52"/>
      <c r="C1085" s="54"/>
      <c r="D1085" s="855"/>
      <c r="E1085" s="54"/>
      <c r="F1085" s="54"/>
      <c r="G1085" s="54"/>
      <c r="H1085" s="54"/>
      <c r="I1085" s="54"/>
      <c r="J1085" s="54"/>
      <c r="K1085" s="54"/>
      <c r="L1085" s="54"/>
      <c r="M1085" s="54"/>
      <c r="N1085" s="54"/>
      <c r="O1085" s="54"/>
      <c r="P1085" s="54"/>
      <c r="Q1085" s="54"/>
      <c r="R1085" s="54"/>
      <c r="S1085" s="54"/>
      <c r="T1085" s="54"/>
      <c r="U1085" s="54"/>
      <c r="V1085" s="54"/>
      <c r="W1085" s="54"/>
      <c r="X1085" s="54"/>
      <c r="Y1085" s="54"/>
      <c r="Z1085" s="54"/>
      <c r="AA1085" s="54"/>
      <c r="AB1085" s="54"/>
      <c r="AC1085" s="54"/>
    </row>
    <row r="1086" ht="78.0" customHeight="1">
      <c r="A1086" s="941">
        <v>1285.0</v>
      </c>
      <c r="B1086" s="26"/>
      <c r="C1086" s="28"/>
      <c r="D1086" s="825"/>
      <c r="E1086" s="28"/>
      <c r="F1086" s="28"/>
      <c r="G1086" s="28"/>
      <c r="H1086" s="28"/>
      <c r="I1086" s="28"/>
      <c r="J1086" s="28"/>
      <c r="K1086" s="28"/>
      <c r="L1086" s="28"/>
      <c r="M1086" s="28"/>
      <c r="N1086" s="28"/>
      <c r="O1086" s="28"/>
      <c r="P1086" s="28"/>
      <c r="Q1086" s="28"/>
      <c r="R1086" s="28"/>
      <c r="S1086" s="28"/>
      <c r="T1086" s="28"/>
      <c r="U1086" s="28"/>
      <c r="V1086" s="28"/>
      <c r="W1086" s="28"/>
      <c r="X1086" s="28"/>
      <c r="Y1086" s="28"/>
      <c r="Z1086" s="28"/>
      <c r="AA1086" s="28"/>
      <c r="AB1086" s="28"/>
      <c r="AC1086" s="28"/>
    </row>
    <row r="1087" ht="78.0" customHeight="1">
      <c r="A1087" s="946">
        <v>1284.0</v>
      </c>
      <c r="B1087" s="52"/>
      <c r="C1087" s="54"/>
      <c r="D1087" s="855"/>
      <c r="E1087" s="54"/>
      <c r="F1087" s="54"/>
      <c r="G1087" s="54"/>
      <c r="H1087" s="54"/>
      <c r="I1087" s="54"/>
      <c r="J1087" s="54"/>
      <c r="K1087" s="54"/>
      <c r="L1087" s="54"/>
      <c r="M1087" s="54"/>
      <c r="N1087" s="54"/>
      <c r="O1087" s="54"/>
      <c r="P1087" s="54"/>
      <c r="Q1087" s="54"/>
      <c r="R1087" s="54"/>
      <c r="S1087" s="54"/>
      <c r="T1087" s="54"/>
      <c r="U1087" s="54"/>
      <c r="V1087" s="54"/>
      <c r="W1087" s="54"/>
      <c r="X1087" s="54"/>
      <c r="Y1087" s="54"/>
      <c r="Z1087" s="54"/>
      <c r="AA1087" s="54"/>
      <c r="AB1087" s="54"/>
      <c r="AC1087" s="54"/>
    </row>
    <row r="1088" ht="78.0" customHeight="1">
      <c r="A1088" s="941">
        <v>1283.0</v>
      </c>
      <c r="B1088" s="26"/>
      <c r="C1088" s="28"/>
      <c r="D1088" s="825"/>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c r="AA1088" s="28"/>
      <c r="AB1088" s="28"/>
      <c r="AC1088" s="28"/>
    </row>
    <row r="1089" ht="78.0" customHeight="1">
      <c r="A1089" s="946">
        <v>1282.0</v>
      </c>
      <c r="B1089" s="52"/>
      <c r="C1089" s="54"/>
      <c r="D1089" s="855"/>
      <c r="E1089" s="54"/>
      <c r="F1089" s="54"/>
      <c r="G1089" s="54"/>
      <c r="H1089" s="54"/>
      <c r="I1089" s="54"/>
      <c r="J1089" s="54"/>
      <c r="K1089" s="54"/>
      <c r="L1089" s="54"/>
      <c r="M1089" s="54"/>
      <c r="N1089" s="54"/>
      <c r="O1089" s="54"/>
      <c r="P1089" s="54"/>
      <c r="Q1089" s="54"/>
      <c r="R1089" s="54"/>
      <c r="S1089" s="54"/>
      <c r="T1089" s="54"/>
      <c r="U1089" s="54"/>
      <c r="V1089" s="54"/>
      <c r="W1089" s="54"/>
      <c r="X1089" s="54"/>
      <c r="Y1089" s="54"/>
      <c r="Z1089" s="54"/>
      <c r="AA1089" s="54"/>
      <c r="AB1089" s="54"/>
      <c r="AC1089" s="54"/>
    </row>
    <row r="1090" ht="78.0" customHeight="1">
      <c r="A1090" s="941">
        <v>1281.0</v>
      </c>
      <c r="B1090" s="26"/>
      <c r="C1090" s="28"/>
      <c r="D1090" s="825"/>
      <c r="E1090" s="28"/>
      <c r="F1090" s="28"/>
      <c r="G1090" s="28"/>
      <c r="H1090" s="28"/>
      <c r="I1090" s="28"/>
      <c r="J1090" s="28"/>
      <c r="K1090" s="28"/>
      <c r="L1090" s="28"/>
      <c r="M1090" s="28"/>
      <c r="N1090" s="28"/>
      <c r="O1090" s="28"/>
      <c r="P1090" s="28"/>
      <c r="Q1090" s="28"/>
      <c r="R1090" s="28"/>
      <c r="S1090" s="28"/>
      <c r="T1090" s="28"/>
      <c r="U1090" s="28"/>
      <c r="V1090" s="28"/>
      <c r="W1090" s="28"/>
      <c r="X1090" s="28"/>
      <c r="Y1090" s="28"/>
      <c r="Z1090" s="28"/>
      <c r="AA1090" s="28"/>
      <c r="AB1090" s="28"/>
      <c r="AC1090" s="28"/>
    </row>
    <row r="1091" ht="78.0" customHeight="1">
      <c r="A1091" s="946">
        <v>1280.0</v>
      </c>
      <c r="B1091" s="52"/>
      <c r="C1091" s="54"/>
      <c r="D1091" s="855"/>
      <c r="E1091" s="54"/>
      <c r="F1091" s="54"/>
      <c r="G1091" s="54"/>
      <c r="H1091" s="54"/>
      <c r="I1091" s="54"/>
      <c r="J1091" s="54"/>
      <c r="K1091" s="54"/>
      <c r="L1091" s="54"/>
      <c r="M1091" s="54"/>
      <c r="N1091" s="54"/>
      <c r="O1091" s="54"/>
      <c r="P1091" s="54"/>
      <c r="Q1091" s="54"/>
      <c r="R1091" s="54"/>
      <c r="S1091" s="54"/>
      <c r="T1091" s="54"/>
      <c r="U1091" s="54"/>
      <c r="V1091" s="54"/>
      <c r="W1091" s="54"/>
      <c r="X1091" s="54"/>
      <c r="Y1091" s="54"/>
      <c r="Z1091" s="54"/>
      <c r="AA1091" s="54"/>
      <c r="AB1091" s="54"/>
      <c r="AC1091" s="54"/>
    </row>
    <row r="1092" ht="78.0" customHeight="1">
      <c r="A1092" s="941">
        <v>1279.0</v>
      </c>
      <c r="B1092" s="26"/>
      <c r="C1092" s="28"/>
      <c r="D1092" s="825"/>
      <c r="E1092" s="28"/>
      <c r="F1092" s="28"/>
      <c r="G1092" s="28"/>
      <c r="H1092" s="28"/>
      <c r="I1092" s="28"/>
      <c r="J1092" s="28"/>
      <c r="K1092" s="28"/>
      <c r="L1092" s="28"/>
      <c r="M1092" s="28"/>
      <c r="N1092" s="28"/>
      <c r="O1092" s="28"/>
      <c r="P1092" s="28"/>
      <c r="Q1092" s="28"/>
      <c r="R1092" s="28"/>
      <c r="S1092" s="28"/>
      <c r="T1092" s="28"/>
      <c r="U1092" s="28"/>
      <c r="V1092" s="28"/>
      <c r="W1092" s="28"/>
      <c r="X1092" s="28"/>
      <c r="Y1092" s="28"/>
      <c r="Z1092" s="28"/>
      <c r="AA1092" s="28"/>
      <c r="AB1092" s="28"/>
      <c r="AC1092" s="28"/>
    </row>
    <row r="1093" ht="78.0" customHeight="1">
      <c r="A1093" s="946">
        <v>1278.0</v>
      </c>
      <c r="B1093" s="52"/>
      <c r="C1093" s="54"/>
      <c r="D1093" s="855"/>
      <c r="E1093" s="54"/>
      <c r="F1093" s="54"/>
      <c r="G1093" s="54"/>
      <c r="H1093" s="54"/>
      <c r="I1093" s="54"/>
      <c r="J1093" s="54"/>
      <c r="K1093" s="54"/>
      <c r="L1093" s="54"/>
      <c r="M1093" s="54"/>
      <c r="N1093" s="54"/>
      <c r="O1093" s="54"/>
      <c r="P1093" s="54"/>
      <c r="Q1093" s="54"/>
      <c r="R1093" s="54"/>
      <c r="S1093" s="54"/>
      <c r="T1093" s="54"/>
      <c r="U1093" s="54"/>
      <c r="V1093" s="54"/>
      <c r="W1093" s="54"/>
      <c r="X1093" s="54"/>
      <c r="Y1093" s="54"/>
      <c r="Z1093" s="54"/>
      <c r="AA1093" s="54"/>
      <c r="AB1093" s="54"/>
      <c r="AC1093" s="54"/>
    </row>
    <row r="1094" ht="78.0" customHeight="1">
      <c r="A1094" s="941">
        <v>1277.0</v>
      </c>
      <c r="B1094" s="26"/>
      <c r="C1094" s="28"/>
      <c r="D1094" s="825"/>
      <c r="E1094" s="28"/>
      <c r="F1094" s="28"/>
      <c r="G1094" s="28"/>
      <c r="H1094" s="28"/>
      <c r="I1094" s="28"/>
      <c r="J1094" s="28"/>
      <c r="K1094" s="28"/>
      <c r="L1094" s="28"/>
      <c r="M1094" s="28"/>
      <c r="N1094" s="28"/>
      <c r="O1094" s="28"/>
      <c r="P1094" s="28"/>
      <c r="Q1094" s="28"/>
      <c r="R1094" s="28"/>
      <c r="S1094" s="28"/>
      <c r="T1094" s="28"/>
      <c r="U1094" s="28"/>
      <c r="V1094" s="28"/>
      <c r="W1094" s="28"/>
      <c r="X1094" s="28"/>
      <c r="Y1094" s="28"/>
      <c r="Z1094" s="28"/>
      <c r="AA1094" s="28"/>
      <c r="AB1094" s="28"/>
      <c r="AC1094" s="28"/>
    </row>
    <row r="1095" ht="78.0" customHeight="1">
      <c r="A1095" s="946">
        <v>1276.0</v>
      </c>
      <c r="B1095" s="52"/>
      <c r="C1095" s="54"/>
      <c r="D1095" s="855"/>
      <c r="E1095" s="54"/>
      <c r="F1095" s="54"/>
      <c r="G1095" s="54"/>
      <c r="H1095" s="54"/>
      <c r="I1095" s="54"/>
      <c r="J1095" s="54"/>
      <c r="K1095" s="54"/>
      <c r="L1095" s="54"/>
      <c r="M1095" s="54"/>
      <c r="N1095" s="54"/>
      <c r="O1095" s="54"/>
      <c r="P1095" s="54"/>
      <c r="Q1095" s="54"/>
      <c r="R1095" s="54"/>
      <c r="S1095" s="54"/>
      <c r="T1095" s="54"/>
      <c r="U1095" s="54"/>
      <c r="V1095" s="54"/>
      <c r="W1095" s="54"/>
      <c r="X1095" s="54"/>
      <c r="Y1095" s="54"/>
      <c r="Z1095" s="54"/>
      <c r="AA1095" s="54"/>
      <c r="AB1095" s="54"/>
      <c r="AC1095" s="54"/>
    </row>
    <row r="1096" ht="78.0" customHeight="1">
      <c r="A1096" s="941">
        <v>1275.0</v>
      </c>
      <c r="B1096" s="26"/>
      <c r="C1096" s="28"/>
      <c r="D1096" s="825"/>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row>
    <row r="1097" ht="78.0" customHeight="1">
      <c r="A1097" s="946">
        <v>1274.0</v>
      </c>
      <c r="B1097" s="52"/>
      <c r="C1097" s="54"/>
      <c r="D1097" s="855"/>
      <c r="E1097" s="54"/>
      <c r="F1097" s="54"/>
      <c r="G1097" s="54"/>
      <c r="H1097" s="54"/>
      <c r="I1097" s="54"/>
      <c r="J1097" s="54"/>
      <c r="K1097" s="54"/>
      <c r="L1097" s="54"/>
      <c r="M1097" s="54"/>
      <c r="N1097" s="54"/>
      <c r="O1097" s="54"/>
      <c r="P1097" s="54"/>
      <c r="Q1097" s="54"/>
      <c r="R1097" s="54"/>
      <c r="S1097" s="54"/>
      <c r="T1097" s="54"/>
      <c r="U1097" s="54"/>
      <c r="V1097" s="54"/>
      <c r="W1097" s="54"/>
      <c r="X1097" s="54"/>
      <c r="Y1097" s="54"/>
      <c r="Z1097" s="54"/>
      <c r="AA1097" s="54"/>
      <c r="AB1097" s="54"/>
      <c r="AC1097" s="54"/>
    </row>
    <row r="1098" ht="78.0" customHeight="1">
      <c r="A1098" s="941">
        <v>1273.0</v>
      </c>
      <c r="B1098" s="26"/>
      <c r="C1098" s="28"/>
      <c r="D1098" s="825"/>
      <c r="E1098" s="28"/>
      <c r="F1098" s="28"/>
      <c r="G1098" s="28"/>
      <c r="H1098" s="28"/>
      <c r="I1098" s="28"/>
      <c r="J1098" s="28"/>
      <c r="K1098" s="28"/>
      <c r="L1098" s="28"/>
      <c r="M1098" s="28"/>
      <c r="N1098" s="28"/>
      <c r="O1098" s="28"/>
      <c r="P1098" s="28"/>
      <c r="Q1098" s="28"/>
      <c r="R1098" s="28"/>
      <c r="S1098" s="28"/>
      <c r="T1098" s="28"/>
      <c r="U1098" s="28"/>
      <c r="V1098" s="28"/>
      <c r="W1098" s="28"/>
      <c r="X1098" s="28"/>
      <c r="Y1098" s="28"/>
      <c r="Z1098" s="28"/>
      <c r="AA1098" s="28"/>
      <c r="AB1098" s="28"/>
      <c r="AC1098" s="28"/>
    </row>
    <row r="1099" ht="78.0" customHeight="1">
      <c r="A1099" s="946">
        <v>1272.0</v>
      </c>
      <c r="B1099" s="52"/>
      <c r="C1099" s="54"/>
      <c r="D1099" s="855"/>
      <c r="E1099" s="54"/>
      <c r="F1099" s="54"/>
      <c r="G1099" s="54"/>
      <c r="H1099" s="54"/>
      <c r="I1099" s="54"/>
      <c r="J1099" s="54"/>
      <c r="K1099" s="54"/>
      <c r="L1099" s="54"/>
      <c r="M1099" s="54"/>
      <c r="N1099" s="54"/>
      <c r="O1099" s="54"/>
      <c r="P1099" s="54"/>
      <c r="Q1099" s="54"/>
      <c r="R1099" s="54"/>
      <c r="S1099" s="54"/>
      <c r="T1099" s="54"/>
      <c r="U1099" s="54"/>
      <c r="V1099" s="54"/>
      <c r="W1099" s="54"/>
      <c r="X1099" s="54"/>
      <c r="Y1099" s="54"/>
      <c r="Z1099" s="54"/>
      <c r="AA1099" s="54"/>
      <c r="AB1099" s="54"/>
      <c r="AC1099" s="54"/>
    </row>
    <row r="1100" ht="78.0" customHeight="1">
      <c r="A1100" s="941">
        <v>1271.0</v>
      </c>
      <c r="B1100" s="26"/>
      <c r="C1100" s="28"/>
      <c r="D1100" s="825"/>
      <c r="E1100" s="28"/>
      <c r="F1100" s="28"/>
      <c r="G1100" s="28"/>
      <c r="H1100" s="28"/>
      <c r="I1100" s="28"/>
      <c r="J1100" s="28"/>
      <c r="K1100" s="28"/>
      <c r="L1100" s="28"/>
      <c r="M1100" s="28"/>
      <c r="N1100" s="28"/>
      <c r="O1100" s="28"/>
      <c r="P1100" s="28"/>
      <c r="Q1100" s="28"/>
      <c r="R1100" s="28"/>
      <c r="S1100" s="28"/>
      <c r="T1100" s="28"/>
      <c r="U1100" s="28"/>
      <c r="V1100" s="28"/>
      <c r="W1100" s="28"/>
      <c r="X1100" s="28"/>
      <c r="Y1100" s="28"/>
      <c r="Z1100" s="28"/>
      <c r="AA1100" s="28"/>
      <c r="AB1100" s="28"/>
      <c r="AC1100" s="28"/>
    </row>
    <row r="1101" ht="78.0" customHeight="1">
      <c r="A1101" s="946">
        <v>1270.0</v>
      </c>
      <c r="B1101" s="52"/>
      <c r="C1101" s="54"/>
      <c r="D1101" s="855"/>
      <c r="E1101" s="54"/>
      <c r="F1101" s="54"/>
      <c r="G1101" s="54"/>
      <c r="H1101" s="54"/>
      <c r="I1101" s="54"/>
      <c r="J1101" s="54"/>
      <c r="K1101" s="54"/>
      <c r="L1101" s="54"/>
      <c r="M1101" s="54"/>
      <c r="N1101" s="54"/>
      <c r="O1101" s="54"/>
      <c r="P1101" s="54"/>
      <c r="Q1101" s="54"/>
      <c r="R1101" s="54"/>
      <c r="S1101" s="54"/>
      <c r="T1101" s="54"/>
      <c r="U1101" s="54"/>
      <c r="V1101" s="54"/>
      <c r="W1101" s="54"/>
      <c r="X1101" s="54"/>
      <c r="Y1101" s="54"/>
      <c r="Z1101" s="54"/>
      <c r="AA1101" s="54"/>
      <c r="AB1101" s="54"/>
      <c r="AC1101" s="54"/>
    </row>
    <row r="1102" ht="78.0" customHeight="1">
      <c r="A1102" s="941">
        <v>1269.0</v>
      </c>
      <c r="B1102" s="26"/>
      <c r="C1102" s="28"/>
      <c r="D1102" s="825"/>
      <c r="E1102" s="28"/>
      <c r="F1102" s="28"/>
      <c r="G1102" s="28"/>
      <c r="H1102" s="28"/>
      <c r="I1102" s="28"/>
      <c r="J1102" s="28"/>
      <c r="K1102" s="28"/>
      <c r="L1102" s="28"/>
      <c r="M1102" s="28"/>
      <c r="N1102" s="28"/>
      <c r="O1102" s="28"/>
      <c r="P1102" s="28"/>
      <c r="Q1102" s="28"/>
      <c r="R1102" s="28"/>
      <c r="S1102" s="28"/>
      <c r="T1102" s="28"/>
      <c r="U1102" s="28"/>
      <c r="V1102" s="28"/>
      <c r="W1102" s="28"/>
      <c r="X1102" s="28"/>
      <c r="Y1102" s="28"/>
      <c r="Z1102" s="28"/>
      <c r="AA1102" s="28"/>
      <c r="AB1102" s="28"/>
      <c r="AC1102" s="28"/>
    </row>
    <row r="1103" ht="78.0" customHeight="1">
      <c r="A1103" s="946">
        <v>1268.0</v>
      </c>
      <c r="B1103" s="52"/>
      <c r="C1103" s="54"/>
      <c r="D1103" s="855"/>
      <c r="E1103" s="54"/>
      <c r="F1103" s="54"/>
      <c r="G1103" s="54"/>
      <c r="H1103" s="54"/>
      <c r="I1103" s="54"/>
      <c r="J1103" s="54"/>
      <c r="K1103" s="54"/>
      <c r="L1103" s="54"/>
      <c r="M1103" s="54"/>
      <c r="N1103" s="54"/>
      <c r="O1103" s="54"/>
      <c r="P1103" s="54"/>
      <c r="Q1103" s="54"/>
      <c r="R1103" s="54"/>
      <c r="S1103" s="54"/>
      <c r="T1103" s="54"/>
      <c r="U1103" s="54"/>
      <c r="V1103" s="54"/>
      <c r="W1103" s="54"/>
      <c r="X1103" s="54"/>
      <c r="Y1103" s="54"/>
      <c r="Z1103" s="54"/>
      <c r="AA1103" s="54"/>
      <c r="AB1103" s="54"/>
      <c r="AC1103" s="54"/>
    </row>
    <row r="1104" ht="78.0" customHeight="1">
      <c r="A1104" s="941">
        <v>1267.0</v>
      </c>
      <c r="B1104" s="26"/>
      <c r="C1104" s="28"/>
      <c r="D1104" s="825"/>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row>
    <row r="1105" ht="78.0" customHeight="1">
      <c r="A1105" s="946">
        <v>1266.0</v>
      </c>
      <c r="B1105" s="52"/>
      <c r="C1105" s="54"/>
      <c r="D1105" s="855"/>
      <c r="E1105" s="54"/>
      <c r="F1105" s="54"/>
      <c r="G1105" s="54"/>
      <c r="H1105" s="54"/>
      <c r="I1105" s="54"/>
      <c r="J1105" s="54"/>
      <c r="K1105" s="54"/>
      <c r="L1105" s="54"/>
      <c r="M1105" s="54"/>
      <c r="N1105" s="54"/>
      <c r="O1105" s="54"/>
      <c r="P1105" s="54"/>
      <c r="Q1105" s="54"/>
      <c r="R1105" s="54"/>
      <c r="S1105" s="54"/>
      <c r="T1105" s="54"/>
      <c r="U1105" s="54"/>
      <c r="V1105" s="54"/>
      <c r="W1105" s="54"/>
      <c r="X1105" s="54"/>
      <c r="Y1105" s="54"/>
      <c r="Z1105" s="54"/>
      <c r="AA1105" s="54"/>
      <c r="AB1105" s="54"/>
      <c r="AC1105" s="54"/>
    </row>
    <row r="1106" ht="78.0" customHeight="1">
      <c r="A1106" s="941">
        <v>1265.0</v>
      </c>
      <c r="B1106" s="26"/>
      <c r="C1106" s="28"/>
      <c r="D1106" s="825"/>
      <c r="E1106" s="28"/>
      <c r="F1106" s="28"/>
      <c r="G1106" s="28"/>
      <c r="H1106" s="28"/>
      <c r="I1106" s="28"/>
      <c r="J1106" s="28"/>
      <c r="K1106" s="28"/>
      <c r="L1106" s="28"/>
      <c r="M1106" s="28"/>
      <c r="N1106" s="28"/>
      <c r="O1106" s="28"/>
      <c r="P1106" s="28"/>
      <c r="Q1106" s="28"/>
      <c r="R1106" s="28"/>
      <c r="S1106" s="28"/>
      <c r="T1106" s="28"/>
      <c r="U1106" s="28"/>
      <c r="V1106" s="28"/>
      <c r="W1106" s="28"/>
      <c r="X1106" s="28"/>
      <c r="Y1106" s="28"/>
      <c r="Z1106" s="28"/>
      <c r="AA1106" s="28"/>
      <c r="AB1106" s="28"/>
      <c r="AC1106" s="28"/>
    </row>
    <row r="1107" ht="78.0" customHeight="1">
      <c r="A1107" s="946">
        <v>1264.0</v>
      </c>
      <c r="B1107" s="52"/>
      <c r="C1107" s="54"/>
      <c r="D1107" s="855"/>
      <c r="E1107" s="54"/>
      <c r="F1107" s="54"/>
      <c r="G1107" s="54"/>
      <c r="H1107" s="54"/>
      <c r="I1107" s="54"/>
      <c r="J1107" s="54"/>
      <c r="K1107" s="54"/>
      <c r="L1107" s="54"/>
      <c r="M1107" s="54"/>
      <c r="N1107" s="54"/>
      <c r="O1107" s="54"/>
      <c r="P1107" s="54"/>
      <c r="Q1107" s="54"/>
      <c r="R1107" s="54"/>
      <c r="S1107" s="54"/>
      <c r="T1107" s="54"/>
      <c r="U1107" s="54"/>
      <c r="V1107" s="54"/>
      <c r="W1107" s="54"/>
      <c r="X1107" s="54"/>
      <c r="Y1107" s="54"/>
      <c r="Z1107" s="54"/>
      <c r="AA1107" s="54"/>
      <c r="AB1107" s="54"/>
      <c r="AC1107" s="54"/>
    </row>
    <row r="1108" ht="78.0" customHeight="1">
      <c r="A1108" s="941">
        <v>1263.0</v>
      </c>
      <c r="B1108" s="26"/>
      <c r="C1108" s="28"/>
      <c r="D1108" s="825"/>
      <c r="E1108" s="28"/>
      <c r="F1108" s="28"/>
      <c r="G1108" s="28"/>
      <c r="H1108" s="28"/>
      <c r="I1108" s="28"/>
      <c r="J1108" s="28"/>
      <c r="K1108" s="28"/>
      <c r="L1108" s="28"/>
      <c r="M1108" s="28"/>
      <c r="N1108" s="28"/>
      <c r="O1108" s="28"/>
      <c r="P1108" s="28"/>
      <c r="Q1108" s="28"/>
      <c r="R1108" s="28"/>
      <c r="S1108" s="28"/>
      <c r="T1108" s="28"/>
      <c r="U1108" s="28"/>
      <c r="V1108" s="28"/>
      <c r="W1108" s="28"/>
      <c r="X1108" s="28"/>
      <c r="Y1108" s="28"/>
      <c r="Z1108" s="28"/>
      <c r="AA1108" s="28"/>
      <c r="AB1108" s="28"/>
      <c r="AC1108" s="28"/>
    </row>
    <row r="1109" ht="78.0" customHeight="1">
      <c r="A1109" s="946">
        <v>1262.0</v>
      </c>
      <c r="B1109" s="52"/>
      <c r="C1109" s="54"/>
      <c r="D1109" s="855"/>
      <c r="E1109" s="54"/>
      <c r="F1109" s="54"/>
      <c r="G1109" s="54"/>
      <c r="H1109" s="54"/>
      <c r="I1109" s="54"/>
      <c r="J1109" s="54"/>
      <c r="K1109" s="54"/>
      <c r="L1109" s="54"/>
      <c r="M1109" s="54"/>
      <c r="N1109" s="54"/>
      <c r="O1109" s="54"/>
      <c r="P1109" s="54"/>
      <c r="Q1109" s="54"/>
      <c r="R1109" s="54"/>
      <c r="S1109" s="54"/>
      <c r="T1109" s="54"/>
      <c r="U1109" s="54"/>
      <c r="V1109" s="54"/>
      <c r="W1109" s="54"/>
      <c r="X1109" s="54"/>
      <c r="Y1109" s="54"/>
      <c r="Z1109" s="54"/>
      <c r="AA1109" s="54"/>
      <c r="AB1109" s="54"/>
      <c r="AC1109" s="54"/>
    </row>
    <row r="1110" ht="78.0" customHeight="1">
      <c r="A1110" s="941">
        <v>1261.0</v>
      </c>
      <c r="B1110" s="26"/>
      <c r="C1110" s="28"/>
      <c r="D1110" s="825"/>
      <c r="E1110" s="28"/>
      <c r="F1110" s="28"/>
      <c r="G1110" s="28"/>
      <c r="H1110" s="28"/>
      <c r="I1110" s="28"/>
      <c r="J1110" s="28"/>
      <c r="K1110" s="28"/>
      <c r="L1110" s="28"/>
      <c r="M1110" s="28"/>
      <c r="N1110" s="28"/>
      <c r="O1110" s="28"/>
      <c r="P1110" s="28"/>
      <c r="Q1110" s="28"/>
      <c r="R1110" s="28"/>
      <c r="S1110" s="28"/>
      <c r="T1110" s="28"/>
      <c r="U1110" s="28"/>
      <c r="V1110" s="28"/>
      <c r="W1110" s="28"/>
      <c r="X1110" s="28"/>
      <c r="Y1110" s="28"/>
      <c r="Z1110" s="28"/>
      <c r="AA1110" s="28"/>
      <c r="AB1110" s="28"/>
      <c r="AC1110" s="28"/>
    </row>
    <row r="1111" ht="78.0" customHeight="1">
      <c r="A1111" s="946">
        <v>1260.0</v>
      </c>
      <c r="B1111" s="52"/>
      <c r="C1111" s="54"/>
      <c r="D1111" s="855"/>
      <c r="E1111" s="54"/>
      <c r="F1111" s="54"/>
      <c r="G1111" s="54"/>
      <c r="H1111" s="54"/>
      <c r="I1111" s="54"/>
      <c r="J1111" s="54"/>
      <c r="K1111" s="54"/>
      <c r="L1111" s="54"/>
      <c r="M1111" s="54"/>
      <c r="N1111" s="54"/>
      <c r="O1111" s="54"/>
      <c r="P1111" s="54"/>
      <c r="Q1111" s="54"/>
      <c r="R1111" s="54"/>
      <c r="S1111" s="54"/>
      <c r="T1111" s="54"/>
      <c r="U1111" s="54"/>
      <c r="V1111" s="54"/>
      <c r="W1111" s="54"/>
      <c r="X1111" s="54"/>
      <c r="Y1111" s="54"/>
      <c r="Z1111" s="54"/>
      <c r="AA1111" s="54"/>
      <c r="AB1111" s="54"/>
      <c r="AC1111" s="54"/>
    </row>
    <row r="1112" ht="78.0" customHeight="1">
      <c r="A1112" s="941">
        <v>1259.0</v>
      </c>
      <c r="B1112" s="26"/>
      <c r="C1112" s="28"/>
      <c r="D1112" s="825"/>
      <c r="E1112" s="28"/>
      <c r="F1112" s="28"/>
      <c r="G1112" s="28"/>
      <c r="H1112" s="28"/>
      <c r="I1112" s="28"/>
      <c r="J1112" s="28"/>
      <c r="K1112" s="28"/>
      <c r="L1112" s="28"/>
      <c r="M1112" s="28"/>
      <c r="N1112" s="28"/>
      <c r="O1112" s="28"/>
      <c r="P1112" s="28"/>
      <c r="Q1112" s="28"/>
      <c r="R1112" s="28"/>
      <c r="S1112" s="28"/>
      <c r="T1112" s="28"/>
      <c r="U1112" s="28"/>
      <c r="V1112" s="28"/>
      <c r="W1112" s="28"/>
      <c r="X1112" s="28"/>
      <c r="Y1112" s="28"/>
      <c r="Z1112" s="28"/>
      <c r="AA1112" s="28"/>
      <c r="AB1112" s="28"/>
      <c r="AC1112" s="28"/>
    </row>
    <row r="1113" ht="78.0" customHeight="1">
      <c r="A1113" s="946">
        <v>1258.0</v>
      </c>
      <c r="B1113" s="52"/>
      <c r="C1113" s="54"/>
      <c r="D1113" s="855"/>
      <c r="E1113" s="54"/>
      <c r="F1113" s="54"/>
      <c r="G1113" s="54"/>
      <c r="H1113" s="54"/>
      <c r="I1113" s="54"/>
      <c r="J1113" s="54"/>
      <c r="K1113" s="54"/>
      <c r="L1113" s="54"/>
      <c r="M1113" s="54"/>
      <c r="N1113" s="54"/>
      <c r="O1113" s="54"/>
      <c r="P1113" s="54"/>
      <c r="Q1113" s="54"/>
      <c r="R1113" s="54"/>
      <c r="S1113" s="54"/>
      <c r="T1113" s="54"/>
      <c r="U1113" s="54"/>
      <c r="V1113" s="54"/>
      <c r="W1113" s="54"/>
      <c r="X1113" s="54"/>
      <c r="Y1113" s="54"/>
      <c r="Z1113" s="54"/>
      <c r="AA1113" s="54"/>
      <c r="AB1113" s="54"/>
      <c r="AC1113" s="54"/>
    </row>
    <row r="1114" ht="78.0" customHeight="1">
      <c r="A1114" s="941">
        <v>1257.0</v>
      </c>
      <c r="B1114" s="26"/>
      <c r="C1114" s="28"/>
      <c r="D1114" s="825"/>
      <c r="E1114" s="28"/>
      <c r="F1114" s="28"/>
      <c r="G1114" s="28"/>
      <c r="H1114" s="28"/>
      <c r="I1114" s="28"/>
      <c r="J1114" s="28"/>
      <c r="K1114" s="28"/>
      <c r="L1114" s="28"/>
      <c r="M1114" s="28"/>
      <c r="N1114" s="28"/>
      <c r="O1114" s="28"/>
      <c r="P1114" s="28"/>
      <c r="Q1114" s="28"/>
      <c r="R1114" s="28"/>
      <c r="S1114" s="28"/>
      <c r="T1114" s="28"/>
      <c r="U1114" s="28"/>
      <c r="V1114" s="28"/>
      <c r="W1114" s="28"/>
      <c r="X1114" s="28"/>
      <c r="Y1114" s="28"/>
      <c r="Z1114" s="28"/>
      <c r="AA1114" s="28"/>
      <c r="AB1114" s="28"/>
      <c r="AC1114" s="28"/>
    </row>
    <row r="1115" ht="78.0" customHeight="1">
      <c r="A1115" s="946">
        <v>1256.0</v>
      </c>
      <c r="B1115" s="52"/>
      <c r="C1115" s="54"/>
      <c r="D1115" s="855"/>
      <c r="E1115" s="54"/>
      <c r="F1115" s="54"/>
      <c r="G1115" s="54"/>
      <c r="H1115" s="54"/>
      <c r="I1115" s="54"/>
      <c r="J1115" s="54"/>
      <c r="K1115" s="54"/>
      <c r="L1115" s="54"/>
      <c r="M1115" s="54"/>
      <c r="N1115" s="54"/>
      <c r="O1115" s="54"/>
      <c r="P1115" s="54"/>
      <c r="Q1115" s="54"/>
      <c r="R1115" s="54"/>
      <c r="S1115" s="54"/>
      <c r="T1115" s="54"/>
      <c r="U1115" s="54"/>
      <c r="V1115" s="54"/>
      <c r="W1115" s="54"/>
      <c r="X1115" s="54"/>
      <c r="Y1115" s="54"/>
      <c r="Z1115" s="54"/>
      <c r="AA1115" s="54"/>
      <c r="AB1115" s="54"/>
      <c r="AC1115" s="54"/>
    </row>
    <row r="1116" ht="78.0" customHeight="1">
      <c r="A1116" s="941">
        <v>1255.0</v>
      </c>
      <c r="B1116" s="26"/>
      <c r="C1116" s="28"/>
      <c r="D1116" s="825"/>
      <c r="E1116" s="28"/>
      <c r="F1116" s="28"/>
      <c r="G1116" s="28"/>
      <c r="H1116" s="28"/>
      <c r="I1116" s="28"/>
      <c r="J1116" s="28"/>
      <c r="K1116" s="28"/>
      <c r="L1116" s="28"/>
      <c r="M1116" s="28"/>
      <c r="N1116" s="28"/>
      <c r="O1116" s="28"/>
      <c r="P1116" s="28"/>
      <c r="Q1116" s="28"/>
      <c r="R1116" s="28"/>
      <c r="S1116" s="28"/>
      <c r="T1116" s="28"/>
      <c r="U1116" s="28"/>
      <c r="V1116" s="28"/>
      <c r="W1116" s="28"/>
      <c r="X1116" s="28"/>
      <c r="Y1116" s="28"/>
      <c r="Z1116" s="28"/>
      <c r="AA1116" s="28"/>
      <c r="AB1116" s="28"/>
      <c r="AC1116" s="28"/>
    </row>
    <row r="1117" ht="78.0" customHeight="1">
      <c r="A1117" s="946">
        <v>1254.0</v>
      </c>
      <c r="B1117" s="52"/>
      <c r="C1117" s="54"/>
      <c r="D1117" s="855"/>
      <c r="E1117" s="54"/>
      <c r="F1117" s="54"/>
      <c r="G1117" s="54"/>
      <c r="H1117" s="54"/>
      <c r="I1117" s="54"/>
      <c r="J1117" s="54"/>
      <c r="K1117" s="54"/>
      <c r="L1117" s="54"/>
      <c r="M1117" s="54"/>
      <c r="N1117" s="54"/>
      <c r="O1117" s="54"/>
      <c r="P1117" s="54"/>
      <c r="Q1117" s="54"/>
      <c r="R1117" s="54"/>
      <c r="S1117" s="54"/>
      <c r="T1117" s="54"/>
      <c r="U1117" s="54"/>
      <c r="V1117" s="54"/>
      <c r="W1117" s="54"/>
      <c r="X1117" s="54"/>
      <c r="Y1117" s="54"/>
      <c r="Z1117" s="54"/>
      <c r="AA1117" s="54"/>
      <c r="AB1117" s="54"/>
      <c r="AC1117" s="54"/>
    </row>
    <row r="1118" ht="78.0" customHeight="1">
      <c r="A1118" s="941">
        <v>1253.0</v>
      </c>
      <c r="B1118" s="26"/>
      <c r="C1118" s="28"/>
      <c r="D1118" s="825"/>
      <c r="E1118" s="28"/>
      <c r="F1118" s="28"/>
      <c r="G1118" s="28"/>
      <c r="H1118" s="28"/>
      <c r="I1118" s="28"/>
      <c r="J1118" s="28"/>
      <c r="K1118" s="28"/>
      <c r="L1118" s="28"/>
      <c r="M1118" s="28"/>
      <c r="N1118" s="28"/>
      <c r="O1118" s="28"/>
      <c r="P1118" s="28"/>
      <c r="Q1118" s="28"/>
      <c r="R1118" s="28"/>
      <c r="S1118" s="28"/>
      <c r="T1118" s="28"/>
      <c r="U1118" s="28"/>
      <c r="V1118" s="28"/>
      <c r="W1118" s="28"/>
      <c r="X1118" s="28"/>
      <c r="Y1118" s="28"/>
      <c r="Z1118" s="28"/>
      <c r="AA1118" s="28"/>
      <c r="AB1118" s="28"/>
      <c r="AC1118" s="28"/>
    </row>
    <row r="1119" ht="78.0" customHeight="1">
      <c r="A1119" s="946">
        <v>1252.0</v>
      </c>
      <c r="B1119" s="52"/>
      <c r="C1119" s="54"/>
      <c r="D1119" s="855"/>
      <c r="E1119" s="54"/>
      <c r="F1119" s="54"/>
      <c r="G1119" s="54"/>
      <c r="H1119" s="54"/>
      <c r="I1119" s="54"/>
      <c r="J1119" s="54"/>
      <c r="K1119" s="54"/>
      <c r="L1119" s="54"/>
      <c r="M1119" s="54"/>
      <c r="N1119" s="54"/>
      <c r="O1119" s="54"/>
      <c r="P1119" s="54"/>
      <c r="Q1119" s="54"/>
      <c r="R1119" s="54"/>
      <c r="S1119" s="54"/>
      <c r="T1119" s="54"/>
      <c r="U1119" s="54"/>
      <c r="V1119" s="54"/>
      <c r="W1119" s="54"/>
      <c r="X1119" s="54"/>
      <c r="Y1119" s="54"/>
      <c r="Z1119" s="54"/>
      <c r="AA1119" s="54"/>
      <c r="AB1119" s="54"/>
      <c r="AC1119" s="54"/>
    </row>
    <row r="1120" ht="78.0" customHeight="1">
      <c r="A1120" s="941">
        <v>1251.0</v>
      </c>
      <c r="B1120" s="26"/>
      <c r="C1120" s="28"/>
      <c r="D1120" s="825"/>
      <c r="E1120" s="28"/>
      <c r="F1120" s="28"/>
      <c r="G1120" s="28"/>
      <c r="H1120" s="28"/>
      <c r="I1120" s="28"/>
      <c r="J1120" s="28"/>
      <c r="K1120" s="28"/>
      <c r="L1120" s="28"/>
      <c r="M1120" s="28"/>
      <c r="N1120" s="28"/>
      <c r="O1120" s="28"/>
      <c r="P1120" s="28"/>
      <c r="Q1120" s="28"/>
      <c r="R1120" s="28"/>
      <c r="S1120" s="28"/>
      <c r="T1120" s="28"/>
      <c r="U1120" s="28"/>
      <c r="V1120" s="28"/>
      <c r="W1120" s="28"/>
      <c r="X1120" s="28"/>
      <c r="Y1120" s="28"/>
      <c r="Z1120" s="28"/>
      <c r="AA1120" s="28"/>
      <c r="AB1120" s="28"/>
      <c r="AC1120" s="28"/>
    </row>
    <row r="1121" ht="78.0" customHeight="1">
      <c r="A1121" s="946">
        <v>1250.0</v>
      </c>
      <c r="B1121" s="52"/>
      <c r="C1121" s="54"/>
      <c r="D1121" s="855"/>
      <c r="E1121" s="54"/>
      <c r="F1121" s="54"/>
      <c r="G1121" s="54"/>
      <c r="H1121" s="54"/>
      <c r="I1121" s="54"/>
      <c r="J1121" s="54"/>
      <c r="K1121" s="54"/>
      <c r="L1121" s="54"/>
      <c r="M1121" s="54"/>
      <c r="N1121" s="54"/>
      <c r="O1121" s="54"/>
      <c r="P1121" s="54"/>
      <c r="Q1121" s="54"/>
      <c r="R1121" s="54"/>
      <c r="S1121" s="54"/>
      <c r="T1121" s="54"/>
      <c r="U1121" s="54"/>
      <c r="V1121" s="54"/>
      <c r="W1121" s="54"/>
      <c r="X1121" s="54"/>
      <c r="Y1121" s="54"/>
      <c r="Z1121" s="54"/>
      <c r="AA1121" s="54"/>
      <c r="AB1121" s="54"/>
      <c r="AC1121" s="54"/>
    </row>
    <row r="1122" ht="78.0" customHeight="1">
      <c r="A1122" s="941">
        <v>1249.0</v>
      </c>
      <c r="B1122" s="26"/>
      <c r="C1122" s="28"/>
      <c r="D1122" s="825"/>
      <c r="E1122" s="28"/>
      <c r="F1122" s="28"/>
      <c r="G1122" s="28"/>
      <c r="H1122" s="28"/>
      <c r="I1122" s="28"/>
      <c r="J1122" s="28"/>
      <c r="K1122" s="28"/>
      <c r="L1122" s="28"/>
      <c r="M1122" s="28"/>
      <c r="N1122" s="28"/>
      <c r="O1122" s="28"/>
      <c r="P1122" s="28"/>
      <c r="Q1122" s="28"/>
      <c r="R1122" s="28"/>
      <c r="S1122" s="28"/>
      <c r="T1122" s="28"/>
      <c r="U1122" s="28"/>
      <c r="V1122" s="28"/>
      <c r="W1122" s="28"/>
      <c r="X1122" s="28"/>
      <c r="Y1122" s="28"/>
      <c r="Z1122" s="28"/>
      <c r="AA1122" s="28"/>
      <c r="AB1122" s="28"/>
      <c r="AC1122" s="28"/>
    </row>
    <row r="1123" ht="78.0" customHeight="1">
      <c r="A1123" s="946">
        <v>1248.0</v>
      </c>
      <c r="B1123" s="52"/>
      <c r="C1123" s="54"/>
      <c r="D1123" s="855"/>
      <c r="E1123" s="54"/>
      <c r="F1123" s="54"/>
      <c r="G1123" s="54"/>
      <c r="H1123" s="54"/>
      <c r="I1123" s="54"/>
      <c r="J1123" s="54"/>
      <c r="K1123" s="54"/>
      <c r="L1123" s="54"/>
      <c r="M1123" s="54"/>
      <c r="N1123" s="54"/>
      <c r="O1123" s="54"/>
      <c r="P1123" s="54"/>
      <c r="Q1123" s="54"/>
      <c r="R1123" s="54"/>
      <c r="S1123" s="54"/>
      <c r="T1123" s="54"/>
      <c r="U1123" s="54"/>
      <c r="V1123" s="54"/>
      <c r="W1123" s="54"/>
      <c r="X1123" s="54"/>
      <c r="Y1123" s="54"/>
      <c r="Z1123" s="54"/>
      <c r="AA1123" s="54"/>
      <c r="AB1123" s="54"/>
      <c r="AC1123" s="54"/>
    </row>
    <row r="1124" ht="78.0" customHeight="1">
      <c r="A1124" s="941">
        <v>1247.0</v>
      </c>
      <c r="B1124" s="26"/>
      <c r="C1124" s="28"/>
      <c r="D1124" s="825"/>
      <c r="E1124" s="28"/>
      <c r="F1124" s="28"/>
      <c r="G1124" s="28"/>
      <c r="H1124" s="28"/>
      <c r="I1124" s="28"/>
      <c r="J1124" s="28"/>
      <c r="K1124" s="28"/>
      <c r="L1124" s="28"/>
      <c r="M1124" s="28"/>
      <c r="N1124" s="28"/>
      <c r="O1124" s="28"/>
      <c r="P1124" s="28"/>
      <c r="Q1124" s="28"/>
      <c r="R1124" s="28"/>
      <c r="S1124" s="28"/>
      <c r="T1124" s="28"/>
      <c r="U1124" s="28"/>
      <c r="V1124" s="28"/>
      <c r="W1124" s="28"/>
      <c r="X1124" s="28"/>
      <c r="Y1124" s="28"/>
      <c r="Z1124" s="28"/>
      <c r="AA1124" s="28"/>
      <c r="AB1124" s="28"/>
      <c r="AC1124" s="28"/>
    </row>
    <row r="1125" ht="78.0" customHeight="1">
      <c r="A1125" s="946">
        <v>1246.0</v>
      </c>
      <c r="B1125" s="52"/>
      <c r="C1125" s="54"/>
      <c r="D1125" s="855"/>
      <c r="E1125" s="54"/>
      <c r="F1125" s="54"/>
      <c r="G1125" s="54"/>
      <c r="H1125" s="54"/>
      <c r="I1125" s="54"/>
      <c r="J1125" s="54"/>
      <c r="K1125" s="54"/>
      <c r="L1125" s="54"/>
      <c r="M1125" s="54"/>
      <c r="N1125" s="54"/>
      <c r="O1125" s="54"/>
      <c r="P1125" s="54"/>
      <c r="Q1125" s="54"/>
      <c r="R1125" s="54"/>
      <c r="S1125" s="54"/>
      <c r="T1125" s="54"/>
      <c r="U1125" s="54"/>
      <c r="V1125" s="54"/>
      <c r="W1125" s="54"/>
      <c r="X1125" s="54"/>
      <c r="Y1125" s="54"/>
      <c r="Z1125" s="54"/>
      <c r="AA1125" s="54"/>
      <c r="AB1125" s="54"/>
      <c r="AC1125" s="54"/>
    </row>
    <row r="1126" ht="78.0" customHeight="1">
      <c r="A1126" s="941">
        <v>1245.0</v>
      </c>
      <c r="B1126" s="26"/>
      <c r="C1126" s="28"/>
      <c r="D1126" s="825"/>
      <c r="E1126" s="28"/>
      <c r="F1126" s="28"/>
      <c r="G1126" s="28"/>
      <c r="H1126" s="28"/>
      <c r="I1126" s="28"/>
      <c r="J1126" s="28"/>
      <c r="K1126" s="28"/>
      <c r="L1126" s="28"/>
      <c r="M1126" s="28"/>
      <c r="N1126" s="28"/>
      <c r="O1126" s="28"/>
      <c r="P1126" s="28"/>
      <c r="Q1126" s="28"/>
      <c r="R1126" s="28"/>
      <c r="S1126" s="28"/>
      <c r="T1126" s="28"/>
      <c r="U1126" s="28"/>
      <c r="V1126" s="28"/>
      <c r="W1126" s="28"/>
      <c r="X1126" s="28"/>
      <c r="Y1126" s="28"/>
      <c r="Z1126" s="28"/>
      <c r="AA1126" s="28"/>
      <c r="AB1126" s="28"/>
      <c r="AC1126" s="28"/>
    </row>
    <row r="1127" ht="78.0" customHeight="1">
      <c r="A1127" s="946">
        <v>1244.0</v>
      </c>
      <c r="B1127" s="52"/>
      <c r="C1127" s="54"/>
      <c r="D1127" s="855"/>
      <c r="E1127" s="54"/>
      <c r="F1127" s="54"/>
      <c r="G1127" s="54"/>
      <c r="H1127" s="54"/>
      <c r="I1127" s="54"/>
      <c r="J1127" s="54"/>
      <c r="K1127" s="54"/>
      <c r="L1127" s="54"/>
      <c r="M1127" s="54"/>
      <c r="N1127" s="54"/>
      <c r="O1127" s="54"/>
      <c r="P1127" s="54"/>
      <c r="Q1127" s="54"/>
      <c r="R1127" s="54"/>
      <c r="S1127" s="54"/>
      <c r="T1127" s="54"/>
      <c r="U1127" s="54"/>
      <c r="V1127" s="54"/>
      <c r="W1127" s="54"/>
      <c r="X1127" s="54"/>
      <c r="Y1127" s="54"/>
      <c r="Z1127" s="54"/>
      <c r="AA1127" s="54"/>
      <c r="AB1127" s="54"/>
      <c r="AC1127" s="54"/>
    </row>
    <row r="1128" ht="78.0" customHeight="1">
      <c r="A1128" s="941">
        <v>1243.0</v>
      </c>
      <c r="B1128" s="26"/>
      <c r="C1128" s="28"/>
      <c r="D1128" s="825"/>
      <c r="E1128" s="28"/>
      <c r="F1128" s="28"/>
      <c r="G1128" s="28"/>
      <c r="H1128" s="28"/>
      <c r="I1128" s="28"/>
      <c r="J1128" s="28"/>
      <c r="K1128" s="28"/>
      <c r="L1128" s="28"/>
      <c r="M1128" s="28"/>
      <c r="N1128" s="28"/>
      <c r="O1128" s="28"/>
      <c r="P1128" s="28"/>
      <c r="Q1128" s="28"/>
      <c r="R1128" s="28"/>
      <c r="S1128" s="28"/>
      <c r="T1128" s="28"/>
      <c r="U1128" s="28"/>
      <c r="V1128" s="28"/>
      <c r="W1128" s="28"/>
      <c r="X1128" s="28"/>
      <c r="Y1128" s="28"/>
      <c r="Z1128" s="28"/>
      <c r="AA1128" s="28"/>
      <c r="AB1128" s="28"/>
      <c r="AC1128" s="28"/>
    </row>
    <row r="1129" ht="78.0" customHeight="1">
      <c r="A1129" s="946">
        <v>1242.0</v>
      </c>
      <c r="B1129" s="52"/>
      <c r="C1129" s="54"/>
      <c r="D1129" s="855"/>
      <c r="E1129" s="54"/>
      <c r="F1129" s="54"/>
      <c r="G1129" s="54"/>
      <c r="H1129" s="54"/>
      <c r="I1129" s="54"/>
      <c r="J1129" s="54"/>
      <c r="K1129" s="54"/>
      <c r="L1129" s="54"/>
      <c r="M1129" s="54"/>
      <c r="N1129" s="54"/>
      <c r="O1129" s="54"/>
      <c r="P1129" s="54"/>
      <c r="Q1129" s="54"/>
      <c r="R1129" s="54"/>
      <c r="S1129" s="54"/>
      <c r="T1129" s="54"/>
      <c r="U1129" s="54"/>
      <c r="V1129" s="54"/>
      <c r="W1129" s="54"/>
      <c r="X1129" s="54"/>
      <c r="Y1129" s="54"/>
      <c r="Z1129" s="54"/>
      <c r="AA1129" s="54"/>
      <c r="AB1129" s="54"/>
      <c r="AC1129" s="54"/>
    </row>
    <row r="1130" ht="78.0" customHeight="1">
      <c r="A1130" s="941">
        <v>1241.0</v>
      </c>
      <c r="B1130" s="26"/>
      <c r="C1130" s="28"/>
      <c r="D1130" s="825"/>
      <c r="E1130" s="28"/>
      <c r="F1130" s="28"/>
      <c r="G1130" s="28"/>
      <c r="H1130" s="28"/>
      <c r="I1130" s="28"/>
      <c r="J1130" s="28"/>
      <c r="K1130" s="28"/>
      <c r="L1130" s="28"/>
      <c r="M1130" s="28"/>
      <c r="N1130" s="28"/>
      <c r="O1130" s="28"/>
      <c r="P1130" s="28"/>
      <c r="Q1130" s="28"/>
      <c r="R1130" s="28"/>
      <c r="S1130" s="28"/>
      <c r="T1130" s="28"/>
      <c r="U1130" s="28"/>
      <c r="V1130" s="28"/>
      <c r="W1130" s="28"/>
      <c r="X1130" s="28"/>
      <c r="Y1130" s="28"/>
      <c r="Z1130" s="28"/>
      <c r="AA1130" s="28"/>
      <c r="AB1130" s="28"/>
      <c r="AC1130" s="28"/>
    </row>
    <row r="1131" ht="78.0" customHeight="1">
      <c r="A1131" s="946">
        <v>1240.0</v>
      </c>
      <c r="B1131" s="52"/>
      <c r="C1131" s="54"/>
      <c r="D1131" s="855"/>
      <c r="E1131" s="54"/>
      <c r="F1131" s="54"/>
      <c r="G1131" s="54"/>
      <c r="H1131" s="54"/>
      <c r="I1131" s="54"/>
      <c r="J1131" s="54"/>
      <c r="K1131" s="54"/>
      <c r="L1131" s="54"/>
      <c r="M1131" s="54"/>
      <c r="N1131" s="54"/>
      <c r="O1131" s="54"/>
      <c r="P1131" s="54"/>
      <c r="Q1131" s="54"/>
      <c r="R1131" s="54"/>
      <c r="S1131" s="54"/>
      <c r="T1131" s="54"/>
      <c r="U1131" s="54"/>
      <c r="V1131" s="54"/>
      <c r="W1131" s="54"/>
      <c r="X1131" s="54"/>
      <c r="Y1131" s="54"/>
      <c r="Z1131" s="54"/>
      <c r="AA1131" s="54"/>
      <c r="AB1131" s="54"/>
      <c r="AC1131" s="54"/>
    </row>
    <row r="1132" ht="78.0" customHeight="1">
      <c r="A1132" s="941">
        <v>1239.0</v>
      </c>
      <c r="B1132" s="26"/>
      <c r="C1132" s="28"/>
      <c r="D1132" s="825"/>
      <c r="E1132" s="28"/>
      <c r="F1132" s="28"/>
      <c r="G1132" s="28"/>
      <c r="H1132" s="28"/>
      <c r="I1132" s="28"/>
      <c r="J1132" s="28"/>
      <c r="K1132" s="28"/>
      <c r="L1132" s="28"/>
      <c r="M1132" s="28"/>
      <c r="N1132" s="28"/>
      <c r="O1132" s="28"/>
      <c r="P1132" s="28"/>
      <c r="Q1132" s="28"/>
      <c r="R1132" s="28"/>
      <c r="S1132" s="28"/>
      <c r="T1132" s="28"/>
      <c r="U1132" s="28"/>
      <c r="V1132" s="28"/>
      <c r="W1132" s="28"/>
      <c r="X1132" s="28"/>
      <c r="Y1132" s="28"/>
      <c r="Z1132" s="28"/>
      <c r="AA1132" s="28"/>
      <c r="AB1132" s="28"/>
      <c r="AC1132" s="28"/>
    </row>
    <row r="1133" ht="78.0" customHeight="1">
      <c r="A1133" s="946">
        <v>1238.0</v>
      </c>
      <c r="B1133" s="52"/>
      <c r="C1133" s="54"/>
      <c r="D1133" s="855"/>
      <c r="E1133" s="54"/>
      <c r="F1133" s="54"/>
      <c r="G1133" s="54"/>
      <c r="H1133" s="54"/>
      <c r="I1133" s="54"/>
      <c r="J1133" s="54"/>
      <c r="K1133" s="54"/>
      <c r="L1133" s="54"/>
      <c r="M1133" s="54"/>
      <c r="N1133" s="54"/>
      <c r="O1133" s="54"/>
      <c r="P1133" s="54"/>
      <c r="Q1133" s="54"/>
      <c r="R1133" s="54"/>
      <c r="S1133" s="54"/>
      <c r="T1133" s="54"/>
      <c r="U1133" s="54"/>
      <c r="V1133" s="54"/>
      <c r="W1133" s="54"/>
      <c r="X1133" s="54"/>
      <c r="Y1133" s="54"/>
      <c r="Z1133" s="54"/>
      <c r="AA1133" s="54"/>
      <c r="AB1133" s="54"/>
      <c r="AC1133" s="54"/>
    </row>
    <row r="1134" ht="78.0" customHeight="1">
      <c r="A1134" s="941">
        <v>1237.0</v>
      </c>
      <c r="B1134" s="26"/>
      <c r="C1134" s="28"/>
      <c r="D1134" s="825"/>
      <c r="E1134" s="28"/>
      <c r="F1134" s="28"/>
      <c r="G1134" s="28"/>
      <c r="H1134" s="28"/>
      <c r="I1134" s="28"/>
      <c r="J1134" s="28"/>
      <c r="K1134" s="28"/>
      <c r="L1134" s="28"/>
      <c r="M1134" s="28"/>
      <c r="N1134" s="28"/>
      <c r="O1134" s="28"/>
      <c r="P1134" s="28"/>
      <c r="Q1134" s="28"/>
      <c r="R1134" s="28"/>
      <c r="S1134" s="28"/>
      <c r="T1134" s="28"/>
      <c r="U1134" s="28"/>
      <c r="V1134" s="28"/>
      <c r="W1134" s="28"/>
      <c r="X1134" s="28"/>
      <c r="Y1134" s="28"/>
      <c r="Z1134" s="28"/>
      <c r="AA1134" s="28"/>
      <c r="AB1134" s="28"/>
      <c r="AC1134" s="28"/>
    </row>
    <row r="1135" ht="78.0" customHeight="1">
      <c r="A1135" s="946">
        <v>1236.0</v>
      </c>
      <c r="B1135" s="52"/>
      <c r="C1135" s="54"/>
      <c r="D1135" s="855"/>
      <c r="E1135" s="54"/>
      <c r="F1135" s="54"/>
      <c r="G1135" s="54"/>
      <c r="H1135" s="54"/>
      <c r="I1135" s="54"/>
      <c r="J1135" s="54"/>
      <c r="K1135" s="54"/>
      <c r="L1135" s="54"/>
      <c r="M1135" s="54"/>
      <c r="N1135" s="54"/>
      <c r="O1135" s="54"/>
      <c r="P1135" s="54"/>
      <c r="Q1135" s="54"/>
      <c r="R1135" s="54"/>
      <c r="S1135" s="54"/>
      <c r="T1135" s="54"/>
      <c r="U1135" s="54"/>
      <c r="V1135" s="54"/>
      <c r="W1135" s="54"/>
      <c r="X1135" s="54"/>
      <c r="Y1135" s="54"/>
      <c r="Z1135" s="54"/>
      <c r="AA1135" s="54"/>
      <c r="AB1135" s="54"/>
      <c r="AC1135" s="54"/>
    </row>
    <row r="1136" ht="78.0" customHeight="1">
      <c r="A1136" s="941">
        <v>1235.0</v>
      </c>
      <c r="B1136" s="26"/>
      <c r="C1136" s="28"/>
      <c r="D1136" s="825"/>
      <c r="E1136" s="28"/>
      <c r="F1136" s="28"/>
      <c r="G1136" s="28"/>
      <c r="H1136" s="28"/>
      <c r="I1136" s="28"/>
      <c r="J1136" s="28"/>
      <c r="K1136" s="28"/>
      <c r="L1136" s="28"/>
      <c r="M1136" s="28"/>
      <c r="N1136" s="28"/>
      <c r="O1136" s="28"/>
      <c r="P1136" s="28"/>
      <c r="Q1136" s="28"/>
      <c r="R1136" s="28"/>
      <c r="S1136" s="28"/>
      <c r="T1136" s="28"/>
      <c r="U1136" s="28"/>
      <c r="V1136" s="28"/>
      <c r="W1136" s="28"/>
      <c r="X1136" s="28"/>
      <c r="Y1136" s="28"/>
      <c r="Z1136" s="28"/>
      <c r="AA1136" s="28"/>
      <c r="AB1136" s="28"/>
      <c r="AC1136" s="28"/>
    </row>
    <row r="1137" ht="78.0" customHeight="1">
      <c r="A1137" s="946">
        <v>1234.0</v>
      </c>
      <c r="B1137" s="52"/>
      <c r="C1137" s="54"/>
      <c r="D1137" s="855"/>
      <c r="E1137" s="54"/>
      <c r="F1137" s="54"/>
      <c r="G1137" s="54"/>
      <c r="H1137" s="54"/>
      <c r="I1137" s="54"/>
      <c r="J1137" s="54"/>
      <c r="K1137" s="54"/>
      <c r="L1137" s="54"/>
      <c r="M1137" s="54"/>
      <c r="N1137" s="54"/>
      <c r="O1137" s="54"/>
      <c r="P1137" s="54"/>
      <c r="Q1137" s="54"/>
      <c r="R1137" s="54"/>
      <c r="S1137" s="54"/>
      <c r="T1137" s="54"/>
      <c r="U1137" s="54"/>
      <c r="V1137" s="54"/>
      <c r="W1137" s="54"/>
      <c r="X1137" s="54"/>
      <c r="Y1137" s="54"/>
      <c r="Z1137" s="54"/>
      <c r="AA1137" s="54"/>
      <c r="AB1137" s="54"/>
      <c r="AC1137" s="54"/>
    </row>
    <row r="1138" ht="78.0" customHeight="1">
      <c r="A1138" s="941">
        <v>1233.0</v>
      </c>
      <c r="B1138" s="26"/>
      <c r="C1138" s="28"/>
      <c r="D1138" s="825"/>
      <c r="E1138" s="28"/>
      <c r="F1138" s="28"/>
      <c r="G1138" s="28"/>
      <c r="H1138" s="28"/>
      <c r="I1138" s="28"/>
      <c r="J1138" s="28"/>
      <c r="K1138" s="28"/>
      <c r="L1138" s="28"/>
      <c r="M1138" s="28"/>
      <c r="N1138" s="28"/>
      <c r="O1138" s="28"/>
      <c r="P1138" s="28"/>
      <c r="Q1138" s="28"/>
      <c r="R1138" s="28"/>
      <c r="S1138" s="28"/>
      <c r="T1138" s="28"/>
      <c r="U1138" s="28"/>
      <c r="V1138" s="28"/>
      <c r="W1138" s="28"/>
      <c r="X1138" s="28"/>
      <c r="Y1138" s="28"/>
      <c r="Z1138" s="28"/>
      <c r="AA1138" s="28"/>
      <c r="AB1138" s="28"/>
      <c r="AC1138" s="28"/>
    </row>
    <row r="1139" ht="78.0" customHeight="1">
      <c r="A1139" s="946">
        <v>1232.0</v>
      </c>
      <c r="B1139" s="52"/>
      <c r="C1139" s="54"/>
      <c r="D1139" s="855"/>
      <c r="E1139" s="54"/>
      <c r="F1139" s="54"/>
      <c r="G1139" s="54"/>
      <c r="H1139" s="54"/>
      <c r="I1139" s="54"/>
      <c r="J1139" s="54"/>
      <c r="K1139" s="54"/>
      <c r="L1139" s="54"/>
      <c r="M1139" s="54"/>
      <c r="N1139" s="54"/>
      <c r="O1139" s="54"/>
      <c r="P1139" s="54"/>
      <c r="Q1139" s="54"/>
      <c r="R1139" s="54"/>
      <c r="S1139" s="54"/>
      <c r="T1139" s="54"/>
      <c r="U1139" s="54"/>
      <c r="V1139" s="54"/>
      <c r="W1139" s="54"/>
      <c r="X1139" s="54"/>
      <c r="Y1139" s="54"/>
      <c r="Z1139" s="54"/>
      <c r="AA1139" s="54"/>
      <c r="AB1139" s="54"/>
      <c r="AC1139" s="54"/>
    </row>
    <row r="1140" ht="78.0" customHeight="1">
      <c r="A1140" s="941">
        <v>1231.0</v>
      </c>
      <c r="B1140" s="26"/>
      <c r="C1140" s="28"/>
      <c r="D1140" s="825"/>
      <c r="E1140" s="28"/>
      <c r="F1140" s="28"/>
      <c r="G1140" s="28"/>
      <c r="H1140" s="28"/>
      <c r="I1140" s="28"/>
      <c r="J1140" s="28"/>
      <c r="K1140" s="28"/>
      <c r="L1140" s="28"/>
      <c r="M1140" s="28"/>
      <c r="N1140" s="28"/>
      <c r="O1140" s="28"/>
      <c r="P1140" s="28"/>
      <c r="Q1140" s="28"/>
      <c r="R1140" s="28"/>
      <c r="S1140" s="28"/>
      <c r="T1140" s="28"/>
      <c r="U1140" s="28"/>
      <c r="V1140" s="28"/>
      <c r="W1140" s="28"/>
      <c r="X1140" s="28"/>
      <c r="Y1140" s="28"/>
      <c r="Z1140" s="28"/>
      <c r="AA1140" s="28"/>
      <c r="AB1140" s="28"/>
      <c r="AC1140" s="28"/>
    </row>
    <row r="1141" ht="78.0" customHeight="1">
      <c r="A1141" s="946">
        <v>1230.0</v>
      </c>
      <c r="B1141" s="52"/>
      <c r="C1141" s="54"/>
      <c r="D1141" s="855"/>
      <c r="E1141" s="54"/>
      <c r="F1141" s="54"/>
      <c r="G1141" s="54"/>
      <c r="H1141" s="54"/>
      <c r="I1141" s="54"/>
      <c r="J1141" s="54"/>
      <c r="K1141" s="54"/>
      <c r="L1141" s="54"/>
      <c r="M1141" s="54"/>
      <c r="N1141" s="54"/>
      <c r="O1141" s="54"/>
      <c r="P1141" s="54"/>
      <c r="Q1141" s="54"/>
      <c r="R1141" s="54"/>
      <c r="S1141" s="54"/>
      <c r="T1141" s="54"/>
      <c r="U1141" s="54"/>
      <c r="V1141" s="54"/>
      <c r="W1141" s="54"/>
      <c r="X1141" s="54"/>
      <c r="Y1141" s="54"/>
      <c r="Z1141" s="54"/>
      <c r="AA1141" s="54"/>
      <c r="AB1141" s="54"/>
      <c r="AC1141" s="54"/>
    </row>
    <row r="1142" ht="78.0" customHeight="1">
      <c r="A1142" s="941">
        <v>1229.0</v>
      </c>
      <c r="B1142" s="26"/>
      <c r="C1142" s="28"/>
      <c r="D1142" s="825"/>
      <c r="E1142" s="28"/>
      <c r="F1142" s="28"/>
      <c r="G1142" s="28"/>
      <c r="H1142" s="28"/>
      <c r="I1142" s="28"/>
      <c r="J1142" s="28"/>
      <c r="K1142" s="28"/>
      <c r="L1142" s="28"/>
      <c r="M1142" s="28"/>
      <c r="N1142" s="28"/>
      <c r="O1142" s="28"/>
      <c r="P1142" s="28"/>
      <c r="Q1142" s="28"/>
      <c r="R1142" s="28"/>
      <c r="S1142" s="28"/>
      <c r="T1142" s="28"/>
      <c r="U1142" s="28"/>
      <c r="V1142" s="28"/>
      <c r="W1142" s="28"/>
      <c r="X1142" s="28"/>
      <c r="Y1142" s="28"/>
      <c r="Z1142" s="28"/>
      <c r="AA1142" s="28"/>
      <c r="AB1142" s="28"/>
      <c r="AC1142" s="28"/>
    </row>
    <row r="1143" ht="78.0" customHeight="1">
      <c r="A1143" s="946">
        <v>1228.0</v>
      </c>
      <c r="B1143" s="52"/>
      <c r="C1143" s="54"/>
      <c r="D1143" s="855"/>
      <c r="E1143" s="54"/>
      <c r="F1143" s="54"/>
      <c r="G1143" s="54"/>
      <c r="H1143" s="54"/>
      <c r="I1143" s="54"/>
      <c r="J1143" s="54"/>
      <c r="K1143" s="54"/>
      <c r="L1143" s="54"/>
      <c r="M1143" s="54"/>
      <c r="N1143" s="54"/>
      <c r="O1143" s="54"/>
      <c r="P1143" s="54"/>
      <c r="Q1143" s="54"/>
      <c r="R1143" s="54"/>
      <c r="S1143" s="54"/>
      <c r="T1143" s="54"/>
      <c r="U1143" s="54"/>
      <c r="V1143" s="54"/>
      <c r="W1143" s="54"/>
      <c r="X1143" s="54"/>
      <c r="Y1143" s="54"/>
      <c r="Z1143" s="54"/>
      <c r="AA1143" s="54"/>
      <c r="AB1143" s="54"/>
      <c r="AC1143" s="54"/>
    </row>
    <row r="1144" ht="78.0" customHeight="1">
      <c r="A1144" s="941">
        <v>1227.0</v>
      </c>
      <c r="B1144" s="26"/>
      <c r="C1144" s="28"/>
      <c r="D1144" s="825"/>
      <c r="E1144" s="28"/>
      <c r="F1144" s="28"/>
      <c r="G1144" s="28"/>
      <c r="H1144" s="28"/>
      <c r="I1144" s="28"/>
      <c r="J1144" s="28"/>
      <c r="K1144" s="28"/>
      <c r="L1144" s="28"/>
      <c r="M1144" s="28"/>
      <c r="N1144" s="28"/>
      <c r="O1144" s="28"/>
      <c r="P1144" s="28"/>
      <c r="Q1144" s="28"/>
      <c r="R1144" s="28"/>
      <c r="S1144" s="28"/>
      <c r="T1144" s="28"/>
      <c r="U1144" s="28"/>
      <c r="V1144" s="28"/>
      <c r="W1144" s="28"/>
      <c r="X1144" s="28"/>
      <c r="Y1144" s="28"/>
      <c r="Z1144" s="28"/>
      <c r="AA1144" s="28"/>
      <c r="AB1144" s="28"/>
      <c r="AC1144" s="28"/>
    </row>
    <row r="1145" ht="78.0" customHeight="1">
      <c r="A1145" s="946">
        <v>1226.0</v>
      </c>
      <c r="B1145" s="52"/>
      <c r="C1145" s="54"/>
      <c r="D1145" s="855"/>
      <c r="E1145" s="54"/>
      <c r="F1145" s="54"/>
      <c r="G1145" s="54"/>
      <c r="H1145" s="54"/>
      <c r="I1145" s="54"/>
      <c r="J1145" s="54"/>
      <c r="K1145" s="54"/>
      <c r="L1145" s="54"/>
      <c r="M1145" s="54"/>
      <c r="N1145" s="54"/>
      <c r="O1145" s="54"/>
      <c r="P1145" s="54"/>
      <c r="Q1145" s="54"/>
      <c r="R1145" s="54"/>
      <c r="S1145" s="54"/>
      <c r="T1145" s="54"/>
      <c r="U1145" s="54"/>
      <c r="V1145" s="54"/>
      <c r="W1145" s="54"/>
      <c r="X1145" s="54"/>
      <c r="Y1145" s="54"/>
      <c r="Z1145" s="54"/>
      <c r="AA1145" s="54"/>
      <c r="AB1145" s="54"/>
      <c r="AC1145" s="54"/>
    </row>
    <row r="1146" ht="78.0" customHeight="1">
      <c r="A1146" s="941">
        <v>1225.0</v>
      </c>
      <c r="B1146" s="26"/>
      <c r="C1146" s="28"/>
      <c r="D1146" s="825"/>
      <c r="E1146" s="28"/>
      <c r="F1146" s="28"/>
      <c r="G1146" s="28"/>
      <c r="H1146" s="28"/>
      <c r="I1146" s="28"/>
      <c r="J1146" s="28"/>
      <c r="K1146" s="28"/>
      <c r="L1146" s="28"/>
      <c r="M1146" s="28"/>
      <c r="N1146" s="28"/>
      <c r="O1146" s="28"/>
      <c r="P1146" s="28"/>
      <c r="Q1146" s="28"/>
      <c r="R1146" s="28"/>
      <c r="S1146" s="28"/>
      <c r="T1146" s="28"/>
      <c r="U1146" s="28"/>
      <c r="V1146" s="28"/>
      <c r="W1146" s="28"/>
      <c r="X1146" s="28"/>
      <c r="Y1146" s="28"/>
      <c r="Z1146" s="28"/>
      <c r="AA1146" s="28"/>
      <c r="AB1146" s="28"/>
      <c r="AC1146" s="28"/>
    </row>
    <row r="1147" ht="78.0" customHeight="1">
      <c r="A1147" s="946">
        <v>1224.0</v>
      </c>
      <c r="B1147" s="52"/>
      <c r="C1147" s="54"/>
      <c r="D1147" s="855"/>
      <c r="E1147" s="54"/>
      <c r="F1147" s="54"/>
      <c r="G1147" s="54"/>
      <c r="H1147" s="54"/>
      <c r="I1147" s="54"/>
      <c r="J1147" s="54"/>
      <c r="K1147" s="54"/>
      <c r="L1147" s="54"/>
      <c r="M1147" s="54"/>
      <c r="N1147" s="54"/>
      <c r="O1147" s="54"/>
      <c r="P1147" s="54"/>
      <c r="Q1147" s="54"/>
      <c r="R1147" s="54"/>
      <c r="S1147" s="54"/>
      <c r="T1147" s="54"/>
      <c r="U1147" s="54"/>
      <c r="V1147" s="54"/>
      <c r="W1147" s="54"/>
      <c r="X1147" s="54"/>
      <c r="Y1147" s="54"/>
      <c r="Z1147" s="54"/>
      <c r="AA1147" s="54"/>
      <c r="AB1147" s="54"/>
      <c r="AC1147" s="54"/>
    </row>
    <row r="1148" ht="78.0" customHeight="1">
      <c r="A1148" s="941">
        <v>1223.0</v>
      </c>
      <c r="B1148" s="26"/>
      <c r="C1148" s="28"/>
      <c r="D1148" s="825"/>
      <c r="E1148" s="28"/>
      <c r="F1148" s="28"/>
      <c r="G1148" s="28"/>
      <c r="H1148" s="28"/>
      <c r="I1148" s="28"/>
      <c r="J1148" s="28"/>
      <c r="K1148" s="28"/>
      <c r="L1148" s="28"/>
      <c r="M1148" s="28"/>
      <c r="N1148" s="28"/>
      <c r="O1148" s="28"/>
      <c r="P1148" s="28"/>
      <c r="Q1148" s="28"/>
      <c r="R1148" s="28"/>
      <c r="S1148" s="28"/>
      <c r="T1148" s="28"/>
      <c r="U1148" s="28"/>
      <c r="V1148" s="28"/>
      <c r="W1148" s="28"/>
      <c r="X1148" s="28"/>
      <c r="Y1148" s="28"/>
      <c r="Z1148" s="28"/>
      <c r="AA1148" s="28"/>
      <c r="AB1148" s="28"/>
      <c r="AC1148" s="28"/>
    </row>
    <row r="1149" ht="78.0" customHeight="1">
      <c r="A1149" s="946">
        <v>1222.0</v>
      </c>
      <c r="B1149" s="52"/>
      <c r="C1149" s="54"/>
      <c r="D1149" s="855"/>
      <c r="E1149" s="54"/>
      <c r="F1149" s="54"/>
      <c r="G1149" s="54"/>
      <c r="H1149" s="54"/>
      <c r="I1149" s="54"/>
      <c r="J1149" s="54"/>
      <c r="K1149" s="54"/>
      <c r="L1149" s="54"/>
      <c r="M1149" s="54"/>
      <c r="N1149" s="54"/>
      <c r="O1149" s="54"/>
      <c r="P1149" s="54"/>
      <c r="Q1149" s="54"/>
      <c r="R1149" s="54"/>
      <c r="S1149" s="54"/>
      <c r="T1149" s="54"/>
      <c r="U1149" s="54"/>
      <c r="V1149" s="54"/>
      <c r="W1149" s="54"/>
      <c r="X1149" s="54"/>
      <c r="Y1149" s="54"/>
      <c r="Z1149" s="54"/>
      <c r="AA1149" s="54"/>
      <c r="AB1149" s="54"/>
      <c r="AC1149" s="54"/>
    </row>
    <row r="1150" ht="78.0" customHeight="1">
      <c r="A1150" s="941">
        <v>1221.0</v>
      </c>
      <c r="B1150" s="26"/>
      <c r="C1150" s="28"/>
      <c r="D1150" s="825"/>
      <c r="E1150" s="28"/>
      <c r="F1150" s="28"/>
      <c r="G1150" s="28"/>
      <c r="H1150" s="28"/>
      <c r="I1150" s="28"/>
      <c r="J1150" s="28"/>
      <c r="K1150" s="28"/>
      <c r="L1150" s="28"/>
      <c r="M1150" s="28"/>
      <c r="N1150" s="28"/>
      <c r="O1150" s="28"/>
      <c r="P1150" s="28"/>
      <c r="Q1150" s="28"/>
      <c r="R1150" s="28"/>
      <c r="S1150" s="28"/>
      <c r="T1150" s="28"/>
      <c r="U1150" s="28"/>
      <c r="V1150" s="28"/>
      <c r="W1150" s="28"/>
      <c r="X1150" s="28"/>
      <c r="Y1150" s="28"/>
      <c r="Z1150" s="28"/>
      <c r="AA1150" s="28"/>
      <c r="AB1150" s="28"/>
      <c r="AC1150" s="28"/>
    </row>
    <row r="1151" ht="78.0" customHeight="1">
      <c r="A1151" s="946">
        <v>1220.0</v>
      </c>
      <c r="B1151" s="52"/>
      <c r="C1151" s="54"/>
      <c r="D1151" s="855"/>
      <c r="E1151" s="54"/>
      <c r="F1151" s="54"/>
      <c r="G1151" s="54"/>
      <c r="H1151" s="54"/>
      <c r="I1151" s="54"/>
      <c r="J1151" s="54"/>
      <c r="K1151" s="54"/>
      <c r="L1151" s="54"/>
      <c r="M1151" s="54"/>
      <c r="N1151" s="54"/>
      <c r="O1151" s="54"/>
      <c r="P1151" s="54"/>
      <c r="Q1151" s="54"/>
      <c r="R1151" s="54"/>
      <c r="S1151" s="54"/>
      <c r="T1151" s="54"/>
      <c r="U1151" s="54"/>
      <c r="V1151" s="54"/>
      <c r="W1151" s="54"/>
      <c r="X1151" s="54"/>
      <c r="Y1151" s="54"/>
      <c r="Z1151" s="54"/>
      <c r="AA1151" s="54"/>
      <c r="AB1151" s="54"/>
      <c r="AC1151" s="54"/>
    </row>
    <row r="1152" ht="78.0" customHeight="1">
      <c r="A1152" s="941">
        <v>1219.0</v>
      </c>
      <c r="B1152" s="26"/>
      <c r="C1152" s="28"/>
      <c r="D1152" s="825"/>
      <c r="E1152" s="28"/>
      <c r="F1152" s="28"/>
      <c r="G1152" s="28"/>
      <c r="H1152" s="28"/>
      <c r="I1152" s="28"/>
      <c r="J1152" s="28"/>
      <c r="K1152" s="28"/>
      <c r="L1152" s="28"/>
      <c r="M1152" s="28"/>
      <c r="N1152" s="28"/>
      <c r="O1152" s="28"/>
      <c r="P1152" s="28"/>
      <c r="Q1152" s="28"/>
      <c r="R1152" s="28"/>
      <c r="S1152" s="28"/>
      <c r="T1152" s="28"/>
      <c r="U1152" s="28"/>
      <c r="V1152" s="28"/>
      <c r="W1152" s="28"/>
      <c r="X1152" s="28"/>
      <c r="Y1152" s="28"/>
      <c r="Z1152" s="28"/>
      <c r="AA1152" s="28"/>
      <c r="AB1152" s="28"/>
      <c r="AC1152" s="28"/>
    </row>
    <row r="1153" ht="78.0" customHeight="1">
      <c r="A1153" s="946">
        <v>1218.0</v>
      </c>
      <c r="B1153" s="52"/>
      <c r="C1153" s="54"/>
      <c r="D1153" s="855"/>
      <c r="E1153" s="54"/>
      <c r="F1153" s="54"/>
      <c r="G1153" s="54"/>
      <c r="H1153" s="54"/>
      <c r="I1153" s="54"/>
      <c r="J1153" s="54"/>
      <c r="K1153" s="54"/>
      <c r="L1153" s="54"/>
      <c r="M1153" s="54"/>
      <c r="N1153" s="54"/>
      <c r="O1153" s="54"/>
      <c r="P1153" s="54"/>
      <c r="Q1153" s="54"/>
      <c r="R1153" s="54"/>
      <c r="S1153" s="54"/>
      <c r="T1153" s="54"/>
      <c r="U1153" s="54"/>
      <c r="V1153" s="54"/>
      <c r="W1153" s="54"/>
      <c r="X1153" s="54"/>
      <c r="Y1153" s="54"/>
      <c r="Z1153" s="54"/>
      <c r="AA1153" s="54"/>
      <c r="AB1153" s="54"/>
      <c r="AC1153" s="54"/>
    </row>
    <row r="1154" ht="78.0" customHeight="1">
      <c r="A1154" s="941">
        <v>1217.0</v>
      </c>
      <c r="B1154" s="26"/>
      <c r="C1154" s="28"/>
      <c r="D1154" s="825"/>
      <c r="E1154" s="28"/>
      <c r="F1154" s="28"/>
      <c r="G1154" s="28"/>
      <c r="H1154" s="28"/>
      <c r="I1154" s="28"/>
      <c r="J1154" s="28"/>
      <c r="K1154" s="28"/>
      <c r="L1154" s="28"/>
      <c r="M1154" s="28"/>
      <c r="N1154" s="28"/>
      <c r="O1154" s="28"/>
      <c r="P1154" s="28"/>
      <c r="Q1154" s="28"/>
      <c r="R1154" s="28"/>
      <c r="S1154" s="28"/>
      <c r="T1154" s="28"/>
      <c r="U1154" s="28"/>
      <c r="V1154" s="28"/>
      <c r="W1154" s="28"/>
      <c r="X1154" s="28"/>
      <c r="Y1154" s="28"/>
      <c r="Z1154" s="28"/>
      <c r="AA1154" s="28"/>
      <c r="AB1154" s="28"/>
      <c r="AC1154" s="28"/>
    </row>
    <row r="1155" ht="78.0" customHeight="1">
      <c r="A1155" s="946">
        <v>1216.0</v>
      </c>
      <c r="B1155" s="52"/>
      <c r="C1155" s="54"/>
      <c r="D1155" s="855"/>
      <c r="E1155" s="54"/>
      <c r="F1155" s="54"/>
      <c r="G1155" s="54"/>
      <c r="H1155" s="54"/>
      <c r="I1155" s="54"/>
      <c r="J1155" s="54"/>
      <c r="K1155" s="54"/>
      <c r="L1155" s="54"/>
      <c r="M1155" s="54"/>
      <c r="N1155" s="54"/>
      <c r="O1155" s="54"/>
      <c r="P1155" s="54"/>
      <c r="Q1155" s="54"/>
      <c r="R1155" s="54"/>
      <c r="S1155" s="54"/>
      <c r="T1155" s="54"/>
      <c r="U1155" s="54"/>
      <c r="V1155" s="54"/>
      <c r="W1155" s="54"/>
      <c r="X1155" s="54"/>
      <c r="Y1155" s="54"/>
      <c r="Z1155" s="54"/>
      <c r="AA1155" s="54"/>
      <c r="AB1155" s="54"/>
      <c r="AC1155" s="54"/>
    </row>
    <row r="1156" ht="78.0" customHeight="1">
      <c r="A1156" s="941">
        <v>1215.0</v>
      </c>
      <c r="B1156" s="26"/>
      <c r="C1156" s="28"/>
      <c r="D1156" s="825"/>
      <c r="E1156" s="28"/>
      <c r="F1156" s="28"/>
      <c r="G1156" s="28"/>
      <c r="H1156" s="28"/>
      <c r="I1156" s="28"/>
      <c r="J1156" s="28"/>
      <c r="K1156" s="28"/>
      <c r="L1156" s="28"/>
      <c r="M1156" s="28"/>
      <c r="N1156" s="28"/>
      <c r="O1156" s="28"/>
      <c r="P1156" s="28"/>
      <c r="Q1156" s="28"/>
      <c r="R1156" s="28"/>
      <c r="S1156" s="28"/>
      <c r="T1156" s="28"/>
      <c r="U1156" s="28"/>
      <c r="V1156" s="28"/>
      <c r="W1156" s="28"/>
      <c r="X1156" s="28"/>
      <c r="Y1156" s="28"/>
      <c r="Z1156" s="28"/>
      <c r="AA1156" s="28"/>
      <c r="AB1156" s="28"/>
      <c r="AC1156" s="28"/>
    </row>
    <row r="1157" ht="78.0" customHeight="1">
      <c r="A1157" s="946">
        <v>1214.0</v>
      </c>
      <c r="B1157" s="52"/>
      <c r="C1157" s="54"/>
      <c r="D1157" s="855"/>
      <c r="E1157" s="54"/>
      <c r="F1157" s="54"/>
      <c r="G1157" s="54"/>
      <c r="H1157" s="54"/>
      <c r="I1157" s="54"/>
      <c r="J1157" s="54"/>
      <c r="K1157" s="54"/>
      <c r="L1157" s="54"/>
      <c r="M1157" s="54"/>
      <c r="N1157" s="54"/>
      <c r="O1157" s="54"/>
      <c r="P1157" s="54"/>
      <c r="Q1157" s="54"/>
      <c r="R1157" s="54"/>
      <c r="S1157" s="54"/>
      <c r="T1157" s="54"/>
      <c r="U1157" s="54"/>
      <c r="V1157" s="54"/>
      <c r="W1157" s="54"/>
      <c r="X1157" s="54"/>
      <c r="Y1157" s="54"/>
      <c r="Z1157" s="54"/>
      <c r="AA1157" s="54"/>
      <c r="AB1157" s="54"/>
      <c r="AC1157" s="54"/>
    </row>
    <row r="1158" ht="78.0" customHeight="1">
      <c r="A1158" s="941">
        <v>1213.0</v>
      </c>
      <c r="B1158" s="26"/>
      <c r="C1158" s="28"/>
      <c r="D1158" s="825"/>
      <c r="E1158" s="28"/>
      <c r="F1158" s="28"/>
      <c r="G1158" s="28"/>
      <c r="H1158" s="28"/>
      <c r="I1158" s="28"/>
      <c r="J1158" s="28"/>
      <c r="K1158" s="28"/>
      <c r="L1158" s="28"/>
      <c r="M1158" s="28"/>
      <c r="N1158" s="28"/>
      <c r="O1158" s="28"/>
      <c r="P1158" s="28"/>
      <c r="Q1158" s="28"/>
      <c r="R1158" s="28"/>
      <c r="S1158" s="28"/>
      <c r="T1158" s="28"/>
      <c r="U1158" s="28"/>
      <c r="V1158" s="28"/>
      <c r="W1158" s="28"/>
      <c r="X1158" s="28"/>
      <c r="Y1158" s="28"/>
      <c r="Z1158" s="28"/>
      <c r="AA1158" s="28"/>
      <c r="AB1158" s="28"/>
      <c r="AC1158" s="28"/>
    </row>
    <row r="1159" ht="78.0" customHeight="1">
      <c r="A1159" s="946">
        <v>1212.0</v>
      </c>
      <c r="B1159" s="52"/>
      <c r="C1159" s="54"/>
      <c r="D1159" s="855"/>
      <c r="E1159" s="54"/>
      <c r="F1159" s="54"/>
      <c r="G1159" s="54"/>
      <c r="H1159" s="54"/>
      <c r="I1159" s="54"/>
      <c r="J1159" s="54"/>
      <c r="K1159" s="54"/>
      <c r="L1159" s="54"/>
      <c r="M1159" s="54"/>
      <c r="N1159" s="54"/>
      <c r="O1159" s="54"/>
      <c r="P1159" s="54"/>
      <c r="Q1159" s="54"/>
      <c r="R1159" s="54"/>
      <c r="S1159" s="54"/>
      <c r="T1159" s="54"/>
      <c r="U1159" s="54"/>
      <c r="V1159" s="54"/>
      <c r="W1159" s="54"/>
      <c r="X1159" s="54"/>
      <c r="Y1159" s="54"/>
      <c r="Z1159" s="54"/>
      <c r="AA1159" s="54"/>
      <c r="AB1159" s="54"/>
      <c r="AC1159" s="54"/>
    </row>
    <row r="1160" ht="78.0" customHeight="1">
      <c r="A1160" s="941">
        <v>1211.0</v>
      </c>
      <c r="B1160" s="26"/>
      <c r="C1160" s="28"/>
      <c r="D1160" s="825"/>
      <c r="E1160" s="28"/>
      <c r="F1160" s="28"/>
      <c r="G1160" s="28"/>
      <c r="H1160" s="28"/>
      <c r="I1160" s="28"/>
      <c r="J1160" s="28"/>
      <c r="K1160" s="28"/>
      <c r="L1160" s="28"/>
      <c r="M1160" s="28"/>
      <c r="N1160" s="28"/>
      <c r="O1160" s="28"/>
      <c r="P1160" s="28"/>
      <c r="Q1160" s="28"/>
      <c r="R1160" s="28"/>
      <c r="S1160" s="28"/>
      <c r="T1160" s="28"/>
      <c r="U1160" s="28"/>
      <c r="V1160" s="28"/>
      <c r="W1160" s="28"/>
      <c r="X1160" s="28"/>
      <c r="Y1160" s="28"/>
      <c r="Z1160" s="28"/>
      <c r="AA1160" s="28"/>
      <c r="AB1160" s="28"/>
      <c r="AC1160" s="28"/>
    </row>
    <row r="1161" ht="78.0" customHeight="1">
      <c r="A1161" s="946">
        <v>1210.0</v>
      </c>
      <c r="B1161" s="52"/>
      <c r="C1161" s="54"/>
      <c r="D1161" s="855"/>
      <c r="E1161" s="54"/>
      <c r="F1161" s="54"/>
      <c r="G1161" s="54"/>
      <c r="H1161" s="54"/>
      <c r="I1161" s="54"/>
      <c r="J1161" s="54"/>
      <c r="K1161" s="54"/>
      <c r="L1161" s="54"/>
      <c r="M1161" s="54"/>
      <c r="N1161" s="54"/>
      <c r="O1161" s="54"/>
      <c r="P1161" s="54"/>
      <c r="Q1161" s="54"/>
      <c r="R1161" s="54"/>
      <c r="S1161" s="54"/>
      <c r="T1161" s="54"/>
      <c r="U1161" s="54"/>
      <c r="V1161" s="54"/>
      <c r="W1161" s="54"/>
      <c r="X1161" s="54"/>
      <c r="Y1161" s="54"/>
      <c r="Z1161" s="54"/>
      <c r="AA1161" s="54"/>
      <c r="AB1161" s="54"/>
      <c r="AC1161" s="54"/>
    </row>
    <row r="1162" ht="78.0" customHeight="1">
      <c r="A1162" s="941">
        <v>1209.0</v>
      </c>
      <c r="B1162" s="26"/>
      <c r="C1162" s="28"/>
      <c r="D1162" s="825"/>
      <c r="E1162" s="28"/>
      <c r="F1162" s="28"/>
      <c r="G1162" s="28"/>
      <c r="H1162" s="28"/>
      <c r="I1162" s="28"/>
      <c r="J1162" s="28"/>
      <c r="K1162" s="28"/>
      <c r="L1162" s="28"/>
      <c r="M1162" s="28"/>
      <c r="N1162" s="28"/>
      <c r="O1162" s="28"/>
      <c r="P1162" s="28"/>
      <c r="Q1162" s="28"/>
      <c r="R1162" s="28"/>
      <c r="S1162" s="28"/>
      <c r="T1162" s="28"/>
      <c r="U1162" s="28"/>
      <c r="V1162" s="28"/>
      <c r="W1162" s="28"/>
      <c r="X1162" s="28"/>
      <c r="Y1162" s="28"/>
      <c r="Z1162" s="28"/>
      <c r="AA1162" s="28"/>
      <c r="AB1162" s="28"/>
      <c r="AC1162" s="28"/>
    </row>
    <row r="1163" ht="78.0" customHeight="1">
      <c r="A1163" s="946">
        <v>1208.0</v>
      </c>
      <c r="B1163" s="52"/>
      <c r="C1163" s="54"/>
      <c r="D1163" s="855"/>
      <c r="E1163" s="54"/>
      <c r="F1163" s="54"/>
      <c r="G1163" s="54"/>
      <c r="H1163" s="54"/>
      <c r="I1163" s="54"/>
      <c r="J1163" s="54"/>
      <c r="K1163" s="54"/>
      <c r="L1163" s="54"/>
      <c r="M1163" s="54"/>
      <c r="N1163" s="54"/>
      <c r="O1163" s="54"/>
      <c r="P1163" s="54"/>
      <c r="Q1163" s="54"/>
      <c r="R1163" s="54"/>
      <c r="S1163" s="54"/>
      <c r="T1163" s="54"/>
      <c r="U1163" s="54"/>
      <c r="V1163" s="54"/>
      <c r="W1163" s="54"/>
      <c r="X1163" s="54"/>
      <c r="Y1163" s="54"/>
      <c r="Z1163" s="54"/>
      <c r="AA1163" s="54"/>
      <c r="AB1163" s="54"/>
      <c r="AC1163" s="54"/>
    </row>
    <row r="1164" ht="78.0" customHeight="1">
      <c r="A1164" s="941">
        <v>1207.0</v>
      </c>
      <c r="B1164" s="26"/>
      <c r="C1164" s="28"/>
      <c r="D1164" s="825"/>
      <c r="E1164" s="28"/>
      <c r="F1164" s="28"/>
      <c r="G1164" s="28"/>
      <c r="H1164" s="28"/>
      <c r="I1164" s="28"/>
      <c r="J1164" s="28"/>
      <c r="K1164" s="28"/>
      <c r="L1164" s="28"/>
      <c r="M1164" s="28"/>
      <c r="N1164" s="28"/>
      <c r="O1164" s="28"/>
      <c r="P1164" s="28"/>
      <c r="Q1164" s="28"/>
      <c r="R1164" s="28"/>
      <c r="S1164" s="28"/>
      <c r="T1164" s="28"/>
      <c r="U1164" s="28"/>
      <c r="V1164" s="28"/>
      <c r="W1164" s="28"/>
      <c r="X1164" s="28"/>
      <c r="Y1164" s="28"/>
      <c r="Z1164" s="28"/>
      <c r="AA1164" s="28"/>
      <c r="AB1164" s="28"/>
      <c r="AC1164" s="28"/>
    </row>
    <row r="1165" ht="78.0" customHeight="1">
      <c r="A1165" s="946">
        <v>1206.0</v>
      </c>
      <c r="B1165" s="52"/>
      <c r="C1165" s="54"/>
      <c r="D1165" s="855"/>
      <c r="E1165" s="54"/>
      <c r="F1165" s="54"/>
      <c r="G1165" s="54"/>
      <c r="H1165" s="54"/>
      <c r="I1165" s="54"/>
      <c r="J1165" s="54"/>
      <c r="K1165" s="54"/>
      <c r="L1165" s="54"/>
      <c r="M1165" s="54"/>
      <c r="N1165" s="54"/>
      <c r="O1165" s="54"/>
      <c r="P1165" s="54"/>
      <c r="Q1165" s="54"/>
      <c r="R1165" s="54"/>
      <c r="S1165" s="54"/>
      <c r="T1165" s="54"/>
      <c r="U1165" s="54"/>
      <c r="V1165" s="54"/>
      <c r="W1165" s="54"/>
      <c r="X1165" s="54"/>
      <c r="Y1165" s="54"/>
      <c r="Z1165" s="54"/>
      <c r="AA1165" s="54"/>
      <c r="AB1165" s="54"/>
      <c r="AC1165" s="54"/>
    </row>
    <row r="1166" ht="78.0" customHeight="1">
      <c r="A1166" s="941">
        <v>1205.0</v>
      </c>
      <c r="B1166" s="26"/>
      <c r="C1166" s="28"/>
      <c r="D1166" s="825"/>
      <c r="E1166" s="28"/>
      <c r="F1166" s="28"/>
      <c r="G1166" s="28"/>
      <c r="H1166" s="28"/>
      <c r="I1166" s="28"/>
      <c r="J1166" s="28"/>
      <c r="K1166" s="28"/>
      <c r="L1166" s="28"/>
      <c r="M1166" s="28"/>
      <c r="N1166" s="28"/>
      <c r="O1166" s="28"/>
      <c r="P1166" s="28"/>
      <c r="Q1166" s="28"/>
      <c r="R1166" s="28"/>
      <c r="S1166" s="28"/>
      <c r="T1166" s="28"/>
      <c r="U1166" s="28"/>
      <c r="V1166" s="28"/>
      <c r="W1166" s="28"/>
      <c r="X1166" s="28"/>
      <c r="Y1166" s="28"/>
      <c r="Z1166" s="28"/>
      <c r="AA1166" s="28"/>
      <c r="AB1166" s="28"/>
      <c r="AC1166" s="28"/>
    </row>
    <row r="1167" ht="78.0" customHeight="1">
      <c r="A1167" s="946">
        <v>1204.0</v>
      </c>
      <c r="B1167" s="52"/>
      <c r="C1167" s="54"/>
      <c r="D1167" s="855"/>
      <c r="E1167" s="54"/>
      <c r="F1167" s="54"/>
      <c r="G1167" s="54"/>
      <c r="H1167" s="54"/>
      <c r="I1167" s="54"/>
      <c r="J1167" s="54"/>
      <c r="K1167" s="54"/>
      <c r="L1167" s="54"/>
      <c r="M1167" s="54"/>
      <c r="N1167" s="54"/>
      <c r="O1167" s="54"/>
      <c r="P1167" s="54"/>
      <c r="Q1167" s="54"/>
      <c r="R1167" s="54"/>
      <c r="S1167" s="54"/>
      <c r="T1167" s="54"/>
      <c r="U1167" s="54"/>
      <c r="V1167" s="54"/>
      <c r="W1167" s="54"/>
      <c r="X1167" s="54"/>
      <c r="Y1167" s="54"/>
      <c r="Z1167" s="54"/>
      <c r="AA1167" s="54"/>
      <c r="AB1167" s="54"/>
      <c r="AC1167" s="54"/>
    </row>
    <row r="1168" ht="78.0" customHeight="1">
      <c r="A1168" s="941">
        <v>1203.0</v>
      </c>
      <c r="B1168" s="26"/>
      <c r="C1168" s="28"/>
      <c r="D1168" s="825"/>
      <c r="E1168" s="28"/>
      <c r="F1168" s="28"/>
      <c r="G1168" s="28"/>
      <c r="H1168" s="28"/>
      <c r="I1168" s="28"/>
      <c r="J1168" s="28"/>
      <c r="K1168" s="28"/>
      <c r="L1168" s="28"/>
      <c r="M1168" s="28"/>
      <c r="N1168" s="28"/>
      <c r="O1168" s="28"/>
      <c r="P1168" s="28"/>
      <c r="Q1168" s="28"/>
      <c r="R1168" s="28"/>
      <c r="S1168" s="28"/>
      <c r="T1168" s="28"/>
      <c r="U1168" s="28"/>
      <c r="V1168" s="28"/>
      <c r="W1168" s="28"/>
      <c r="X1168" s="28"/>
      <c r="Y1168" s="28"/>
      <c r="Z1168" s="28"/>
      <c r="AA1168" s="28"/>
      <c r="AB1168" s="28"/>
      <c r="AC1168" s="28"/>
    </row>
    <row r="1169" ht="78.0" customHeight="1">
      <c r="A1169" s="946">
        <v>1202.0</v>
      </c>
      <c r="B1169" s="52"/>
      <c r="C1169" s="54"/>
      <c r="D1169" s="855"/>
      <c r="E1169" s="54"/>
      <c r="F1169" s="54"/>
      <c r="G1169" s="54"/>
      <c r="H1169" s="54"/>
      <c r="I1169" s="54"/>
      <c r="J1169" s="54"/>
      <c r="K1169" s="54"/>
      <c r="L1169" s="54"/>
      <c r="M1169" s="54"/>
      <c r="N1169" s="54"/>
      <c r="O1169" s="54"/>
      <c r="P1169" s="54"/>
      <c r="Q1169" s="54"/>
      <c r="R1169" s="54"/>
      <c r="S1169" s="54"/>
      <c r="T1169" s="54"/>
      <c r="U1169" s="54"/>
      <c r="V1169" s="54"/>
      <c r="W1169" s="54"/>
      <c r="X1169" s="54"/>
      <c r="Y1169" s="54"/>
      <c r="Z1169" s="54"/>
      <c r="AA1169" s="54"/>
      <c r="AB1169" s="54"/>
      <c r="AC1169" s="54"/>
    </row>
    <row r="1170" ht="78.0" customHeight="1">
      <c r="A1170" s="941">
        <v>1201.0</v>
      </c>
      <c r="B1170" s="26"/>
      <c r="C1170" s="28"/>
      <c r="D1170" s="825"/>
      <c r="E1170" s="28"/>
      <c r="F1170" s="28"/>
      <c r="G1170" s="28"/>
      <c r="H1170" s="28"/>
      <c r="I1170" s="28"/>
      <c r="J1170" s="28"/>
      <c r="K1170" s="28"/>
      <c r="L1170" s="28"/>
      <c r="M1170" s="28"/>
      <c r="N1170" s="28"/>
      <c r="O1170" s="28"/>
      <c r="P1170" s="28"/>
      <c r="Q1170" s="28"/>
      <c r="R1170" s="28"/>
      <c r="S1170" s="28"/>
      <c r="T1170" s="28"/>
      <c r="U1170" s="28"/>
      <c r="V1170" s="28"/>
      <c r="W1170" s="28"/>
      <c r="X1170" s="28"/>
      <c r="Y1170" s="28"/>
      <c r="Z1170" s="28"/>
      <c r="AA1170" s="28"/>
      <c r="AB1170" s="28"/>
      <c r="AC1170" s="28"/>
    </row>
    <row r="1171" ht="78.0" customHeight="1">
      <c r="A1171" s="946">
        <v>1200.0</v>
      </c>
      <c r="B1171" s="52"/>
      <c r="C1171" s="54"/>
      <c r="D1171" s="855"/>
      <c r="E1171" s="54"/>
      <c r="F1171" s="54"/>
      <c r="G1171" s="54"/>
      <c r="H1171" s="54"/>
      <c r="I1171" s="54"/>
      <c r="J1171" s="54"/>
      <c r="K1171" s="54"/>
      <c r="L1171" s="54"/>
      <c r="M1171" s="54"/>
      <c r="N1171" s="54"/>
      <c r="O1171" s="54"/>
      <c r="P1171" s="54"/>
      <c r="Q1171" s="54"/>
      <c r="R1171" s="54"/>
      <c r="S1171" s="54"/>
      <c r="T1171" s="54"/>
      <c r="U1171" s="54"/>
      <c r="V1171" s="54"/>
      <c r="W1171" s="54"/>
      <c r="X1171" s="54"/>
      <c r="Y1171" s="54"/>
      <c r="Z1171" s="54"/>
      <c r="AA1171" s="54"/>
      <c r="AB1171" s="54"/>
      <c r="AC1171" s="54"/>
    </row>
    <row r="1172" ht="78.0" customHeight="1">
      <c r="A1172" s="941">
        <v>1199.0</v>
      </c>
      <c r="B1172" s="26"/>
      <c r="C1172" s="28"/>
      <c r="D1172" s="825"/>
      <c r="E1172" s="28"/>
      <c r="F1172" s="28"/>
      <c r="G1172" s="28"/>
      <c r="H1172" s="28"/>
      <c r="I1172" s="28"/>
      <c r="J1172" s="28"/>
      <c r="K1172" s="28"/>
      <c r="L1172" s="28"/>
      <c r="M1172" s="28"/>
      <c r="N1172" s="28"/>
      <c r="O1172" s="28"/>
      <c r="P1172" s="28"/>
      <c r="Q1172" s="28"/>
      <c r="R1172" s="28"/>
      <c r="S1172" s="28"/>
      <c r="T1172" s="28"/>
      <c r="U1172" s="28"/>
      <c r="V1172" s="28"/>
      <c r="W1172" s="28"/>
      <c r="X1172" s="28"/>
      <c r="Y1172" s="28"/>
      <c r="Z1172" s="28"/>
      <c r="AA1172" s="28"/>
      <c r="AB1172" s="28"/>
      <c r="AC1172" s="28"/>
    </row>
    <row r="1173" ht="78.0" customHeight="1">
      <c r="A1173" s="946">
        <v>1198.0</v>
      </c>
      <c r="B1173" s="52"/>
      <c r="C1173" s="54"/>
      <c r="D1173" s="855"/>
      <c r="E1173" s="54"/>
      <c r="F1173" s="54"/>
      <c r="G1173" s="54"/>
      <c r="H1173" s="54"/>
      <c r="I1173" s="54"/>
      <c r="J1173" s="54"/>
      <c r="K1173" s="54"/>
      <c r="L1173" s="54"/>
      <c r="M1173" s="54"/>
      <c r="N1173" s="54"/>
      <c r="O1173" s="54"/>
      <c r="P1173" s="54"/>
      <c r="Q1173" s="54"/>
      <c r="R1173" s="54"/>
      <c r="S1173" s="54"/>
      <c r="T1173" s="54"/>
      <c r="U1173" s="54"/>
      <c r="V1173" s="54"/>
      <c r="W1173" s="54"/>
      <c r="X1173" s="54"/>
      <c r="Y1173" s="54"/>
      <c r="Z1173" s="54"/>
      <c r="AA1173" s="54"/>
      <c r="AB1173" s="54"/>
      <c r="AC1173" s="54"/>
    </row>
    <row r="1174" ht="78.0" customHeight="1">
      <c r="A1174" s="941">
        <v>1197.0</v>
      </c>
      <c r="B1174" s="26"/>
      <c r="C1174" s="28"/>
      <c r="D1174" s="825"/>
      <c r="E1174" s="28"/>
      <c r="F1174" s="28"/>
      <c r="G1174" s="28"/>
      <c r="H1174" s="28"/>
      <c r="I1174" s="28"/>
      <c r="J1174" s="28"/>
      <c r="K1174" s="28"/>
      <c r="L1174" s="28"/>
      <c r="M1174" s="28"/>
      <c r="N1174" s="28"/>
      <c r="O1174" s="28"/>
      <c r="P1174" s="28"/>
      <c r="Q1174" s="28"/>
      <c r="R1174" s="28"/>
      <c r="S1174" s="28"/>
      <c r="T1174" s="28"/>
      <c r="U1174" s="28"/>
      <c r="V1174" s="28"/>
      <c r="W1174" s="28"/>
      <c r="X1174" s="28"/>
      <c r="Y1174" s="28"/>
      <c r="Z1174" s="28"/>
      <c r="AA1174" s="28"/>
      <c r="AB1174" s="28"/>
      <c r="AC1174" s="28"/>
    </row>
    <row r="1175" ht="78.0" customHeight="1">
      <c r="A1175" s="946">
        <v>1196.0</v>
      </c>
      <c r="B1175" s="52"/>
      <c r="C1175" s="54"/>
      <c r="D1175" s="855"/>
      <c r="E1175" s="54"/>
      <c r="F1175" s="54"/>
      <c r="G1175" s="54"/>
      <c r="H1175" s="54"/>
      <c r="I1175" s="54"/>
      <c r="J1175" s="54"/>
      <c r="K1175" s="54"/>
      <c r="L1175" s="54"/>
      <c r="M1175" s="54"/>
      <c r="N1175" s="54"/>
      <c r="O1175" s="54"/>
      <c r="P1175" s="54"/>
      <c r="Q1175" s="54"/>
      <c r="R1175" s="54"/>
      <c r="S1175" s="54"/>
      <c r="T1175" s="54"/>
      <c r="U1175" s="54"/>
      <c r="V1175" s="54"/>
      <c r="W1175" s="54"/>
      <c r="X1175" s="54"/>
      <c r="Y1175" s="54"/>
      <c r="Z1175" s="54"/>
      <c r="AA1175" s="54"/>
      <c r="AB1175" s="54"/>
      <c r="AC1175" s="54"/>
    </row>
    <row r="1176" ht="78.0" customHeight="1">
      <c r="A1176" s="941">
        <v>1195.0</v>
      </c>
      <c r="B1176" s="26"/>
      <c r="C1176" s="28"/>
      <c r="D1176" s="825"/>
      <c r="E1176" s="28"/>
      <c r="F1176" s="28"/>
      <c r="G1176" s="28"/>
      <c r="H1176" s="28"/>
      <c r="I1176" s="28"/>
      <c r="J1176" s="28"/>
      <c r="K1176" s="28"/>
      <c r="L1176" s="28"/>
      <c r="M1176" s="28"/>
      <c r="N1176" s="28"/>
      <c r="O1176" s="28"/>
      <c r="P1176" s="28"/>
      <c r="Q1176" s="28"/>
      <c r="R1176" s="28"/>
      <c r="S1176" s="28"/>
      <c r="T1176" s="28"/>
      <c r="U1176" s="28"/>
      <c r="V1176" s="28"/>
      <c r="W1176" s="28"/>
      <c r="X1176" s="28"/>
      <c r="Y1176" s="28"/>
      <c r="Z1176" s="28"/>
      <c r="AA1176" s="28"/>
      <c r="AB1176" s="28"/>
      <c r="AC1176" s="28"/>
    </row>
    <row r="1177" ht="78.0" customHeight="1">
      <c r="A1177" s="946">
        <v>1194.0</v>
      </c>
      <c r="B1177" s="52"/>
      <c r="C1177" s="54"/>
      <c r="D1177" s="855"/>
      <c r="E1177" s="54"/>
      <c r="F1177" s="54"/>
      <c r="G1177" s="54"/>
      <c r="H1177" s="54"/>
      <c r="I1177" s="54"/>
      <c r="J1177" s="54"/>
      <c r="K1177" s="54"/>
      <c r="L1177" s="54"/>
      <c r="M1177" s="54"/>
      <c r="N1177" s="54"/>
      <c r="O1177" s="54"/>
      <c r="P1177" s="54"/>
      <c r="Q1177" s="54"/>
      <c r="R1177" s="54"/>
      <c r="S1177" s="54"/>
      <c r="T1177" s="54"/>
      <c r="U1177" s="54"/>
      <c r="V1177" s="54"/>
      <c r="W1177" s="54"/>
      <c r="X1177" s="54"/>
      <c r="Y1177" s="54"/>
      <c r="Z1177" s="54"/>
      <c r="AA1177" s="54"/>
      <c r="AB1177" s="54"/>
      <c r="AC1177" s="54"/>
    </row>
    <row r="1178" ht="78.0" customHeight="1">
      <c r="A1178" s="941">
        <v>1193.0</v>
      </c>
      <c r="B1178" s="26"/>
      <c r="C1178" s="28"/>
      <c r="D1178" s="825"/>
      <c r="E1178" s="28"/>
      <c r="F1178" s="28"/>
      <c r="G1178" s="28"/>
      <c r="H1178" s="28"/>
      <c r="I1178" s="28"/>
      <c r="J1178" s="28"/>
      <c r="K1178" s="28"/>
      <c r="L1178" s="28"/>
      <c r="M1178" s="28"/>
      <c r="N1178" s="28"/>
      <c r="O1178" s="28"/>
      <c r="P1178" s="28"/>
      <c r="Q1178" s="28"/>
      <c r="R1178" s="28"/>
      <c r="S1178" s="28"/>
      <c r="T1178" s="28"/>
      <c r="U1178" s="28"/>
      <c r="V1178" s="28"/>
      <c r="W1178" s="28"/>
      <c r="X1178" s="28"/>
      <c r="Y1178" s="28"/>
      <c r="Z1178" s="28"/>
      <c r="AA1178" s="28"/>
      <c r="AB1178" s="28"/>
      <c r="AC1178" s="28"/>
    </row>
    <row r="1179" ht="78.0" customHeight="1">
      <c r="A1179" s="946">
        <v>1192.0</v>
      </c>
      <c r="B1179" s="52"/>
      <c r="C1179" s="54"/>
      <c r="D1179" s="855"/>
      <c r="E1179" s="54"/>
      <c r="F1179" s="54"/>
      <c r="G1179" s="54"/>
      <c r="H1179" s="54"/>
      <c r="I1179" s="54"/>
      <c r="J1179" s="54"/>
      <c r="K1179" s="54"/>
      <c r="L1179" s="54"/>
      <c r="M1179" s="54"/>
      <c r="N1179" s="54"/>
      <c r="O1179" s="54"/>
      <c r="P1179" s="54"/>
      <c r="Q1179" s="54"/>
      <c r="R1179" s="54"/>
      <c r="S1179" s="54"/>
      <c r="T1179" s="54"/>
      <c r="U1179" s="54"/>
      <c r="V1179" s="54"/>
      <c r="W1179" s="54"/>
      <c r="X1179" s="54"/>
      <c r="Y1179" s="54"/>
      <c r="Z1179" s="54"/>
      <c r="AA1179" s="54"/>
      <c r="AB1179" s="54"/>
      <c r="AC1179" s="54"/>
    </row>
    <row r="1180" ht="78.0" customHeight="1">
      <c r="A1180" s="941">
        <v>1191.0</v>
      </c>
      <c r="B1180" s="26"/>
      <c r="C1180" s="28"/>
      <c r="D1180" s="825"/>
      <c r="E1180" s="28"/>
      <c r="F1180" s="28"/>
      <c r="G1180" s="28"/>
      <c r="H1180" s="28"/>
      <c r="I1180" s="28"/>
      <c r="J1180" s="28"/>
      <c r="K1180" s="28"/>
      <c r="L1180" s="28"/>
      <c r="M1180" s="28"/>
      <c r="N1180" s="28"/>
      <c r="O1180" s="28"/>
      <c r="P1180" s="28"/>
      <c r="Q1180" s="28"/>
      <c r="R1180" s="28"/>
      <c r="S1180" s="28"/>
      <c r="T1180" s="28"/>
      <c r="U1180" s="28"/>
      <c r="V1180" s="28"/>
      <c r="W1180" s="28"/>
      <c r="X1180" s="28"/>
      <c r="Y1180" s="28"/>
      <c r="Z1180" s="28"/>
      <c r="AA1180" s="28"/>
      <c r="AB1180" s="28"/>
      <c r="AC1180" s="28"/>
    </row>
    <row r="1181" ht="78.0" customHeight="1">
      <c r="A1181" s="946">
        <v>1190.0</v>
      </c>
      <c r="B1181" s="52"/>
      <c r="C1181" s="54"/>
      <c r="D1181" s="855"/>
      <c r="E1181" s="54"/>
      <c r="F1181" s="54"/>
      <c r="G1181" s="54"/>
      <c r="H1181" s="54"/>
      <c r="I1181" s="54"/>
      <c r="J1181" s="54"/>
      <c r="K1181" s="54"/>
      <c r="L1181" s="54"/>
      <c r="M1181" s="54"/>
      <c r="N1181" s="54"/>
      <c r="O1181" s="54"/>
      <c r="P1181" s="54"/>
      <c r="Q1181" s="54"/>
      <c r="R1181" s="54"/>
      <c r="S1181" s="54"/>
      <c r="T1181" s="54"/>
      <c r="U1181" s="54"/>
      <c r="V1181" s="54"/>
      <c r="W1181" s="54"/>
      <c r="X1181" s="54"/>
      <c r="Y1181" s="54"/>
      <c r="Z1181" s="54"/>
      <c r="AA1181" s="54"/>
      <c r="AB1181" s="54"/>
      <c r="AC1181" s="54"/>
    </row>
    <row r="1182" ht="78.0" customHeight="1">
      <c r="A1182" s="941">
        <v>1189.0</v>
      </c>
      <c r="B1182" s="26"/>
      <c r="C1182" s="28"/>
      <c r="D1182" s="825"/>
      <c r="E1182" s="28"/>
      <c r="F1182" s="28"/>
      <c r="G1182" s="28"/>
      <c r="H1182" s="28"/>
      <c r="I1182" s="28"/>
      <c r="J1182" s="28"/>
      <c r="K1182" s="28"/>
      <c r="L1182" s="28"/>
      <c r="M1182" s="28"/>
      <c r="N1182" s="28"/>
      <c r="O1182" s="28"/>
      <c r="P1182" s="28"/>
      <c r="Q1182" s="28"/>
      <c r="R1182" s="28"/>
      <c r="S1182" s="28"/>
      <c r="T1182" s="28"/>
      <c r="U1182" s="28"/>
      <c r="V1182" s="28"/>
      <c r="W1182" s="28"/>
      <c r="X1182" s="28"/>
      <c r="Y1182" s="28"/>
      <c r="Z1182" s="28"/>
      <c r="AA1182" s="28"/>
      <c r="AB1182" s="28"/>
      <c r="AC1182" s="28"/>
    </row>
    <row r="1183" ht="78.0" customHeight="1">
      <c r="A1183" s="946">
        <v>1188.0</v>
      </c>
      <c r="B1183" s="52"/>
      <c r="C1183" s="54"/>
      <c r="D1183" s="855"/>
      <c r="E1183" s="54"/>
      <c r="F1183" s="54"/>
      <c r="G1183" s="54"/>
      <c r="H1183" s="54"/>
      <c r="I1183" s="54"/>
      <c r="J1183" s="54"/>
      <c r="K1183" s="54"/>
      <c r="L1183" s="54"/>
      <c r="M1183" s="54"/>
      <c r="N1183" s="54"/>
      <c r="O1183" s="54"/>
      <c r="P1183" s="54"/>
      <c r="Q1183" s="54"/>
      <c r="R1183" s="54"/>
      <c r="S1183" s="54"/>
      <c r="T1183" s="54"/>
      <c r="U1183" s="54"/>
      <c r="V1183" s="54"/>
      <c r="W1183" s="54"/>
      <c r="X1183" s="54"/>
      <c r="Y1183" s="54"/>
      <c r="Z1183" s="54"/>
      <c r="AA1183" s="54"/>
      <c r="AB1183" s="54"/>
      <c r="AC1183" s="54"/>
    </row>
    <row r="1184" ht="78.0" customHeight="1">
      <c r="A1184" s="941">
        <v>1187.0</v>
      </c>
      <c r="B1184" s="26"/>
      <c r="C1184" s="28"/>
      <c r="D1184" s="825"/>
      <c r="E1184" s="28"/>
      <c r="F1184" s="28"/>
      <c r="G1184" s="28"/>
      <c r="H1184" s="28"/>
      <c r="I1184" s="28"/>
      <c r="J1184" s="28"/>
      <c r="K1184" s="28"/>
      <c r="L1184" s="28"/>
      <c r="M1184" s="28"/>
      <c r="N1184" s="28"/>
      <c r="O1184" s="28"/>
      <c r="P1184" s="28"/>
      <c r="Q1184" s="28"/>
      <c r="R1184" s="28"/>
      <c r="S1184" s="28"/>
      <c r="T1184" s="28"/>
      <c r="U1184" s="28"/>
      <c r="V1184" s="28"/>
      <c r="W1184" s="28"/>
      <c r="X1184" s="28"/>
      <c r="Y1184" s="28"/>
      <c r="Z1184" s="28"/>
      <c r="AA1184" s="28"/>
      <c r="AB1184" s="28"/>
      <c r="AC1184" s="28"/>
    </row>
    <row r="1185" ht="78.0" customHeight="1">
      <c r="A1185" s="946">
        <v>1186.0</v>
      </c>
      <c r="B1185" s="52"/>
      <c r="C1185" s="54"/>
      <c r="D1185" s="855"/>
      <c r="E1185" s="54"/>
      <c r="F1185" s="54"/>
      <c r="G1185" s="54"/>
      <c r="H1185" s="54"/>
      <c r="I1185" s="54"/>
      <c r="J1185" s="54"/>
      <c r="K1185" s="54"/>
      <c r="L1185" s="54"/>
      <c r="M1185" s="54"/>
      <c r="N1185" s="54"/>
      <c r="O1185" s="54"/>
      <c r="P1185" s="54"/>
      <c r="Q1185" s="54"/>
      <c r="R1185" s="54"/>
      <c r="S1185" s="54"/>
      <c r="T1185" s="54"/>
      <c r="U1185" s="54"/>
      <c r="V1185" s="54"/>
      <c r="W1185" s="54"/>
      <c r="X1185" s="54"/>
      <c r="Y1185" s="54"/>
      <c r="Z1185" s="54"/>
      <c r="AA1185" s="54"/>
      <c r="AB1185" s="54"/>
      <c r="AC1185" s="54"/>
    </row>
    <row r="1186" ht="78.0" customHeight="1">
      <c r="A1186" s="941">
        <v>1185.0</v>
      </c>
      <c r="B1186" s="26"/>
      <c r="C1186" s="28"/>
      <c r="D1186" s="825"/>
      <c r="E1186" s="28"/>
      <c r="F1186" s="28"/>
      <c r="G1186" s="28"/>
      <c r="H1186" s="28"/>
      <c r="I1186" s="28"/>
      <c r="J1186" s="28"/>
      <c r="K1186" s="28"/>
      <c r="L1186" s="28"/>
      <c r="M1186" s="28"/>
      <c r="N1186" s="28"/>
      <c r="O1186" s="28"/>
      <c r="P1186" s="28"/>
      <c r="Q1186" s="28"/>
      <c r="R1186" s="28"/>
      <c r="S1186" s="28"/>
      <c r="T1186" s="28"/>
      <c r="U1186" s="28"/>
      <c r="V1186" s="28"/>
      <c r="W1186" s="28"/>
      <c r="X1186" s="28"/>
      <c r="Y1186" s="28"/>
      <c r="Z1186" s="28"/>
      <c r="AA1186" s="28"/>
      <c r="AB1186" s="28"/>
      <c r="AC1186" s="28"/>
    </row>
    <row r="1187" ht="78.0" customHeight="1">
      <c r="A1187" s="946">
        <v>1184.0</v>
      </c>
      <c r="B1187" s="52"/>
      <c r="C1187" s="54"/>
      <c r="D1187" s="855"/>
      <c r="E1187" s="54"/>
      <c r="F1187" s="54"/>
      <c r="G1187" s="54"/>
      <c r="H1187" s="54"/>
      <c r="I1187" s="54"/>
      <c r="J1187" s="54"/>
      <c r="K1187" s="54"/>
      <c r="L1187" s="54"/>
      <c r="M1187" s="54"/>
      <c r="N1187" s="54"/>
      <c r="O1187" s="54"/>
      <c r="P1187" s="54"/>
      <c r="Q1187" s="54"/>
      <c r="R1187" s="54"/>
      <c r="S1187" s="54"/>
      <c r="T1187" s="54"/>
      <c r="U1187" s="54"/>
      <c r="V1187" s="54"/>
      <c r="W1187" s="54"/>
      <c r="X1187" s="54"/>
      <c r="Y1187" s="54"/>
      <c r="Z1187" s="54"/>
      <c r="AA1187" s="54"/>
      <c r="AB1187" s="54"/>
      <c r="AC1187" s="54"/>
    </row>
    <row r="1188" ht="78.0" customHeight="1">
      <c r="A1188" s="941">
        <v>1183.0</v>
      </c>
      <c r="B1188" s="26"/>
      <c r="C1188" s="28"/>
      <c r="D1188" s="825"/>
      <c r="E1188" s="28"/>
      <c r="F1188" s="28"/>
      <c r="G1188" s="28"/>
      <c r="H1188" s="28"/>
      <c r="I1188" s="28"/>
      <c r="J1188" s="28"/>
      <c r="K1188" s="28"/>
      <c r="L1188" s="28"/>
      <c r="M1188" s="28"/>
      <c r="N1188" s="28"/>
      <c r="O1188" s="28"/>
      <c r="P1188" s="28"/>
      <c r="Q1188" s="28"/>
      <c r="R1188" s="28"/>
      <c r="S1188" s="28"/>
      <c r="T1188" s="28"/>
      <c r="U1188" s="28"/>
      <c r="V1188" s="28"/>
      <c r="W1188" s="28"/>
      <c r="X1188" s="28"/>
      <c r="Y1188" s="28"/>
      <c r="Z1188" s="28"/>
      <c r="AA1188" s="28"/>
      <c r="AB1188" s="28"/>
      <c r="AC1188" s="28"/>
    </row>
    <row r="1189" ht="78.0" customHeight="1">
      <c r="A1189" s="946">
        <v>1182.0</v>
      </c>
      <c r="B1189" s="52"/>
      <c r="C1189" s="54"/>
      <c r="D1189" s="855"/>
      <c r="E1189" s="54"/>
      <c r="F1189" s="54"/>
      <c r="G1189" s="54"/>
      <c r="H1189" s="54"/>
      <c r="I1189" s="54"/>
      <c r="J1189" s="54"/>
      <c r="K1189" s="54"/>
      <c r="L1189" s="54"/>
      <c r="M1189" s="54"/>
      <c r="N1189" s="54"/>
      <c r="O1189" s="54"/>
      <c r="P1189" s="54"/>
      <c r="Q1189" s="54"/>
      <c r="R1189" s="54"/>
      <c r="S1189" s="54"/>
      <c r="T1189" s="54"/>
      <c r="U1189" s="54"/>
      <c r="V1189" s="54"/>
      <c r="W1189" s="54"/>
      <c r="X1189" s="54"/>
      <c r="Y1189" s="54"/>
      <c r="Z1189" s="54"/>
      <c r="AA1189" s="54"/>
      <c r="AB1189" s="54"/>
      <c r="AC1189" s="54"/>
    </row>
    <row r="1190" ht="78.0" customHeight="1">
      <c r="A1190" s="941">
        <v>1181.0</v>
      </c>
      <c r="B1190" s="26"/>
      <c r="C1190" s="28"/>
      <c r="D1190" s="825"/>
      <c r="E1190" s="28"/>
      <c r="F1190" s="28"/>
      <c r="G1190" s="28"/>
      <c r="H1190" s="28"/>
      <c r="I1190" s="28"/>
      <c r="J1190" s="28"/>
      <c r="K1190" s="28"/>
      <c r="L1190" s="28"/>
      <c r="M1190" s="28"/>
      <c r="N1190" s="28"/>
      <c r="O1190" s="28"/>
      <c r="P1190" s="28"/>
      <c r="Q1190" s="28"/>
      <c r="R1190" s="28"/>
      <c r="S1190" s="28"/>
      <c r="T1190" s="28"/>
      <c r="U1190" s="28"/>
      <c r="V1190" s="28"/>
      <c r="W1190" s="28"/>
      <c r="X1190" s="28"/>
      <c r="Y1190" s="28"/>
      <c r="Z1190" s="28"/>
      <c r="AA1190" s="28"/>
      <c r="AB1190" s="28"/>
      <c r="AC1190" s="28"/>
    </row>
    <row r="1191" ht="78.0" customHeight="1">
      <c r="A1191" s="946">
        <v>1180.0</v>
      </c>
      <c r="B1191" s="52"/>
      <c r="C1191" s="54"/>
      <c r="D1191" s="855"/>
      <c r="E1191" s="54"/>
      <c r="F1191" s="54"/>
      <c r="G1191" s="54"/>
      <c r="H1191" s="54"/>
      <c r="I1191" s="54"/>
      <c r="J1191" s="54"/>
      <c r="K1191" s="54"/>
      <c r="L1191" s="54"/>
      <c r="M1191" s="54"/>
      <c r="N1191" s="54"/>
      <c r="O1191" s="54"/>
      <c r="P1191" s="54"/>
      <c r="Q1191" s="54"/>
      <c r="R1191" s="54"/>
      <c r="S1191" s="54"/>
      <c r="T1191" s="54"/>
      <c r="U1191" s="54"/>
      <c r="V1191" s="54"/>
      <c r="W1191" s="54"/>
      <c r="X1191" s="54"/>
      <c r="Y1191" s="54"/>
      <c r="Z1191" s="54"/>
      <c r="AA1191" s="54"/>
      <c r="AB1191" s="54"/>
      <c r="AC1191" s="54"/>
    </row>
    <row r="1192" ht="78.0" customHeight="1">
      <c r="A1192" s="941">
        <v>1179.0</v>
      </c>
      <c r="B1192" s="26"/>
      <c r="C1192" s="28"/>
      <c r="D1192" s="825"/>
      <c r="E1192" s="28"/>
      <c r="F1192" s="28"/>
      <c r="G1192" s="28"/>
      <c r="H1192" s="28"/>
      <c r="I1192" s="28"/>
      <c r="J1192" s="28"/>
      <c r="K1192" s="28"/>
      <c r="L1192" s="28"/>
      <c r="M1192" s="28"/>
      <c r="N1192" s="28"/>
      <c r="O1192" s="28"/>
      <c r="P1192" s="28"/>
      <c r="Q1192" s="28"/>
      <c r="R1192" s="28"/>
      <c r="S1192" s="28"/>
      <c r="T1192" s="28"/>
      <c r="U1192" s="28"/>
      <c r="V1192" s="28"/>
      <c r="W1192" s="28"/>
      <c r="X1192" s="28"/>
      <c r="Y1192" s="28"/>
      <c r="Z1192" s="28"/>
      <c r="AA1192" s="28"/>
      <c r="AB1192" s="28"/>
      <c r="AC1192" s="28"/>
    </row>
    <row r="1193" ht="78.0" customHeight="1">
      <c r="A1193" s="946">
        <v>1178.0</v>
      </c>
      <c r="B1193" s="52"/>
      <c r="C1193" s="54"/>
      <c r="D1193" s="855"/>
      <c r="E1193" s="54"/>
      <c r="F1193" s="54"/>
      <c r="G1193" s="54"/>
      <c r="H1193" s="54"/>
      <c r="I1193" s="54"/>
      <c r="J1193" s="54"/>
      <c r="K1193" s="54"/>
      <c r="L1193" s="54"/>
      <c r="M1193" s="54"/>
      <c r="N1193" s="54"/>
      <c r="O1193" s="54"/>
      <c r="P1193" s="54"/>
      <c r="Q1193" s="54"/>
      <c r="R1193" s="54"/>
      <c r="S1193" s="54"/>
      <c r="T1193" s="54"/>
      <c r="U1193" s="54"/>
      <c r="V1193" s="54"/>
      <c r="W1193" s="54"/>
      <c r="X1193" s="54"/>
      <c r="Y1193" s="54"/>
      <c r="Z1193" s="54"/>
      <c r="AA1193" s="54"/>
      <c r="AB1193" s="54"/>
      <c r="AC1193" s="54"/>
    </row>
    <row r="1194" ht="78.0" customHeight="1">
      <c r="A1194" s="941">
        <v>1177.0</v>
      </c>
      <c r="B1194" s="26"/>
      <c r="C1194" s="28"/>
      <c r="D1194" s="825"/>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row>
    <row r="1195" ht="78.0" customHeight="1">
      <c r="A1195" s="946">
        <v>1176.0</v>
      </c>
      <c r="B1195" s="52"/>
      <c r="C1195" s="54"/>
      <c r="D1195" s="855"/>
      <c r="E1195" s="54"/>
      <c r="F1195" s="54"/>
      <c r="G1195" s="54"/>
      <c r="H1195" s="54"/>
      <c r="I1195" s="54"/>
      <c r="J1195" s="54"/>
      <c r="K1195" s="54"/>
      <c r="L1195" s="54"/>
      <c r="M1195" s="54"/>
      <c r="N1195" s="54"/>
      <c r="O1195" s="54"/>
      <c r="P1195" s="54"/>
      <c r="Q1195" s="54"/>
      <c r="R1195" s="54"/>
      <c r="S1195" s="54"/>
      <c r="T1195" s="54"/>
      <c r="U1195" s="54"/>
      <c r="V1195" s="54"/>
      <c r="W1195" s="54"/>
      <c r="X1195" s="54"/>
      <c r="Y1195" s="54"/>
      <c r="Z1195" s="54"/>
      <c r="AA1195" s="54"/>
      <c r="AB1195" s="54"/>
      <c r="AC1195" s="54"/>
    </row>
    <row r="1196" ht="78.0" customHeight="1">
      <c r="A1196" s="941">
        <v>1175.0</v>
      </c>
      <c r="B1196" s="26"/>
      <c r="C1196" s="28"/>
      <c r="D1196" s="825"/>
      <c r="E1196" s="28"/>
      <c r="F1196" s="28"/>
      <c r="G1196" s="28"/>
      <c r="H1196" s="28"/>
      <c r="I1196" s="28"/>
      <c r="J1196" s="28"/>
      <c r="K1196" s="28"/>
      <c r="L1196" s="28"/>
      <c r="M1196" s="28"/>
      <c r="N1196" s="28"/>
      <c r="O1196" s="28"/>
      <c r="P1196" s="28"/>
      <c r="Q1196" s="28"/>
      <c r="R1196" s="28"/>
      <c r="S1196" s="28"/>
      <c r="T1196" s="28"/>
      <c r="U1196" s="28"/>
      <c r="V1196" s="28"/>
      <c r="W1196" s="28"/>
      <c r="X1196" s="28"/>
      <c r="Y1196" s="28"/>
      <c r="Z1196" s="28"/>
      <c r="AA1196" s="28"/>
      <c r="AB1196" s="28"/>
      <c r="AC1196" s="28"/>
    </row>
    <row r="1197" ht="78.0" customHeight="1">
      <c r="A1197" s="946">
        <v>1174.0</v>
      </c>
      <c r="B1197" s="52"/>
      <c r="C1197" s="54"/>
      <c r="D1197" s="855"/>
      <c r="E1197" s="54"/>
      <c r="F1197" s="54"/>
      <c r="G1197" s="54"/>
      <c r="H1197" s="54"/>
      <c r="I1197" s="54"/>
      <c r="J1197" s="54"/>
      <c r="K1197" s="54"/>
      <c r="L1197" s="54"/>
      <c r="M1197" s="54"/>
      <c r="N1197" s="54"/>
      <c r="O1197" s="54"/>
      <c r="P1197" s="54"/>
      <c r="Q1197" s="54"/>
      <c r="R1197" s="54"/>
      <c r="S1197" s="54"/>
      <c r="T1197" s="54"/>
      <c r="U1197" s="54"/>
      <c r="V1197" s="54"/>
      <c r="W1197" s="54"/>
      <c r="X1197" s="54"/>
      <c r="Y1197" s="54"/>
      <c r="Z1197" s="54"/>
      <c r="AA1197" s="54"/>
      <c r="AB1197" s="54"/>
      <c r="AC1197" s="54"/>
    </row>
    <row r="1198" ht="78.0" customHeight="1">
      <c r="A1198" s="941">
        <v>1173.0</v>
      </c>
      <c r="B1198" s="26"/>
      <c r="C1198" s="28"/>
      <c r="D1198" s="825"/>
      <c r="E1198" s="28"/>
      <c r="F1198" s="28"/>
      <c r="G1198" s="28"/>
      <c r="H1198" s="28"/>
      <c r="I1198" s="28"/>
      <c r="J1198" s="28"/>
      <c r="K1198" s="28"/>
      <c r="L1198" s="28"/>
      <c r="M1198" s="28"/>
      <c r="N1198" s="28"/>
      <c r="O1198" s="28"/>
      <c r="P1198" s="28"/>
      <c r="Q1198" s="28"/>
      <c r="R1198" s="28"/>
      <c r="S1198" s="28"/>
      <c r="T1198" s="28"/>
      <c r="U1198" s="28"/>
      <c r="V1198" s="28"/>
      <c r="W1198" s="28"/>
      <c r="X1198" s="28"/>
      <c r="Y1198" s="28"/>
      <c r="Z1198" s="28"/>
      <c r="AA1198" s="28"/>
      <c r="AB1198" s="28"/>
      <c r="AC1198" s="28"/>
    </row>
    <row r="1199" ht="78.0" customHeight="1">
      <c r="A1199" s="946">
        <v>1172.0</v>
      </c>
      <c r="B1199" s="52"/>
      <c r="C1199" s="54"/>
      <c r="D1199" s="855"/>
      <c r="E1199" s="54"/>
      <c r="F1199" s="54"/>
      <c r="G1199" s="54"/>
      <c r="H1199" s="54"/>
      <c r="I1199" s="54"/>
      <c r="J1199" s="54"/>
      <c r="K1199" s="54"/>
      <c r="L1199" s="54"/>
      <c r="M1199" s="54"/>
      <c r="N1199" s="54"/>
      <c r="O1199" s="54"/>
      <c r="P1199" s="54"/>
      <c r="Q1199" s="54"/>
      <c r="R1199" s="54"/>
      <c r="S1199" s="54"/>
      <c r="T1199" s="54"/>
      <c r="U1199" s="54"/>
      <c r="V1199" s="54"/>
      <c r="W1199" s="54"/>
      <c r="X1199" s="54"/>
      <c r="Y1199" s="54"/>
      <c r="Z1199" s="54"/>
      <c r="AA1199" s="54"/>
      <c r="AB1199" s="54"/>
      <c r="AC1199" s="54"/>
    </row>
    <row r="1200" ht="78.0" customHeight="1">
      <c r="A1200" s="941">
        <v>1171.0</v>
      </c>
      <c r="B1200" s="26"/>
      <c r="C1200" s="28"/>
      <c r="D1200" s="825"/>
      <c r="E1200" s="28"/>
      <c r="F1200" s="28"/>
      <c r="G1200" s="28"/>
      <c r="H1200" s="28"/>
      <c r="I1200" s="28"/>
      <c r="J1200" s="28"/>
      <c r="K1200" s="28"/>
      <c r="L1200" s="28"/>
      <c r="M1200" s="28"/>
      <c r="N1200" s="28"/>
      <c r="O1200" s="28"/>
      <c r="P1200" s="28"/>
      <c r="Q1200" s="28"/>
      <c r="R1200" s="28"/>
      <c r="S1200" s="28"/>
      <c r="T1200" s="28"/>
      <c r="U1200" s="28"/>
      <c r="V1200" s="28"/>
      <c r="W1200" s="28"/>
      <c r="X1200" s="28"/>
      <c r="Y1200" s="28"/>
      <c r="Z1200" s="28"/>
      <c r="AA1200" s="28"/>
      <c r="AB1200" s="28"/>
      <c r="AC1200" s="28"/>
    </row>
    <row r="1201" ht="78.0" customHeight="1">
      <c r="A1201" s="946">
        <v>1170.0</v>
      </c>
      <c r="B1201" s="52"/>
      <c r="C1201" s="54"/>
      <c r="D1201" s="855"/>
      <c r="E1201" s="54"/>
      <c r="F1201" s="54"/>
      <c r="G1201" s="54"/>
      <c r="H1201" s="54"/>
      <c r="I1201" s="54"/>
      <c r="J1201" s="54"/>
      <c r="K1201" s="54"/>
      <c r="L1201" s="54"/>
      <c r="M1201" s="54"/>
      <c r="N1201" s="54"/>
      <c r="O1201" s="54"/>
      <c r="P1201" s="54"/>
      <c r="Q1201" s="54"/>
      <c r="R1201" s="54"/>
      <c r="S1201" s="54"/>
      <c r="T1201" s="54"/>
      <c r="U1201" s="54"/>
      <c r="V1201" s="54"/>
      <c r="W1201" s="54"/>
      <c r="X1201" s="54"/>
      <c r="Y1201" s="54"/>
      <c r="Z1201" s="54"/>
      <c r="AA1201" s="54"/>
      <c r="AB1201" s="54"/>
      <c r="AC1201" s="54"/>
    </row>
    <row r="1202" ht="78.0" customHeight="1">
      <c r="A1202" s="941">
        <v>1169.0</v>
      </c>
      <c r="B1202" s="26"/>
      <c r="C1202" s="28"/>
      <c r="D1202" s="825"/>
      <c r="E1202" s="28"/>
      <c r="F1202" s="28"/>
      <c r="G1202" s="28"/>
      <c r="H1202" s="28"/>
      <c r="I1202" s="28"/>
      <c r="J1202" s="28"/>
      <c r="K1202" s="28"/>
      <c r="L1202" s="28"/>
      <c r="M1202" s="28"/>
      <c r="N1202" s="28"/>
      <c r="O1202" s="28"/>
      <c r="P1202" s="28"/>
      <c r="Q1202" s="28"/>
      <c r="R1202" s="28"/>
      <c r="S1202" s="28"/>
      <c r="T1202" s="28"/>
      <c r="U1202" s="28"/>
      <c r="V1202" s="28"/>
      <c r="W1202" s="28"/>
      <c r="X1202" s="28"/>
      <c r="Y1202" s="28"/>
      <c r="Z1202" s="28"/>
      <c r="AA1202" s="28"/>
      <c r="AB1202" s="28"/>
      <c r="AC1202" s="28"/>
    </row>
    <row r="1203" ht="78.0" customHeight="1">
      <c r="A1203" s="946">
        <v>1168.0</v>
      </c>
      <c r="B1203" s="52"/>
      <c r="C1203" s="54"/>
      <c r="D1203" s="855"/>
      <c r="E1203" s="54"/>
      <c r="F1203" s="54"/>
      <c r="G1203" s="54"/>
      <c r="H1203" s="54"/>
      <c r="I1203" s="54"/>
      <c r="J1203" s="54"/>
      <c r="K1203" s="54"/>
      <c r="L1203" s="54"/>
      <c r="M1203" s="54"/>
      <c r="N1203" s="54"/>
      <c r="O1203" s="54"/>
      <c r="P1203" s="54"/>
      <c r="Q1203" s="54"/>
      <c r="R1203" s="54"/>
      <c r="S1203" s="54"/>
      <c r="T1203" s="54"/>
      <c r="U1203" s="54"/>
      <c r="V1203" s="54"/>
      <c r="W1203" s="54"/>
      <c r="X1203" s="54"/>
      <c r="Y1203" s="54"/>
      <c r="Z1203" s="54"/>
      <c r="AA1203" s="54"/>
      <c r="AB1203" s="54"/>
      <c r="AC1203" s="54"/>
    </row>
    <row r="1204" ht="78.0" customHeight="1">
      <c r="A1204" s="941">
        <v>1167.0</v>
      </c>
      <c r="B1204" s="26"/>
      <c r="C1204" s="28"/>
      <c r="D1204" s="825"/>
      <c r="E1204" s="28"/>
      <c r="F1204" s="28"/>
      <c r="G1204" s="28"/>
      <c r="H1204" s="28"/>
      <c r="I1204" s="28"/>
      <c r="J1204" s="28"/>
      <c r="K1204" s="28"/>
      <c r="L1204" s="28"/>
      <c r="M1204" s="28"/>
      <c r="N1204" s="28"/>
      <c r="O1204" s="28"/>
      <c r="P1204" s="28"/>
      <c r="Q1204" s="28"/>
      <c r="R1204" s="28"/>
      <c r="S1204" s="28"/>
      <c r="T1204" s="28"/>
      <c r="U1204" s="28"/>
      <c r="V1204" s="28"/>
      <c r="W1204" s="28"/>
      <c r="X1204" s="28"/>
      <c r="Y1204" s="28"/>
      <c r="Z1204" s="28"/>
      <c r="AA1204" s="28"/>
      <c r="AB1204" s="28"/>
      <c r="AC1204" s="28"/>
    </row>
    <row r="1205" ht="78.0" customHeight="1">
      <c r="A1205" s="946">
        <v>1166.0</v>
      </c>
      <c r="B1205" s="52"/>
      <c r="C1205" s="54"/>
      <c r="D1205" s="855"/>
      <c r="E1205" s="54"/>
      <c r="F1205" s="54"/>
      <c r="G1205" s="54"/>
      <c r="H1205" s="54"/>
      <c r="I1205" s="54"/>
      <c r="J1205" s="54"/>
      <c r="K1205" s="54"/>
      <c r="L1205" s="54"/>
      <c r="M1205" s="54"/>
      <c r="N1205" s="54"/>
      <c r="O1205" s="54"/>
      <c r="P1205" s="54"/>
      <c r="Q1205" s="54"/>
      <c r="R1205" s="54"/>
      <c r="S1205" s="54"/>
      <c r="T1205" s="54"/>
      <c r="U1205" s="54"/>
      <c r="V1205" s="54"/>
      <c r="W1205" s="54"/>
      <c r="X1205" s="54"/>
      <c r="Y1205" s="54"/>
      <c r="Z1205" s="54"/>
      <c r="AA1205" s="54"/>
      <c r="AB1205" s="54"/>
      <c r="AC1205" s="54"/>
    </row>
    <row r="1206" ht="78.0" customHeight="1">
      <c r="A1206" s="941">
        <v>1165.0</v>
      </c>
      <c r="B1206" s="26"/>
      <c r="C1206" s="28"/>
      <c r="D1206" s="825"/>
      <c r="E1206" s="28"/>
      <c r="F1206" s="28"/>
      <c r="G1206" s="28"/>
      <c r="H1206" s="28"/>
      <c r="I1206" s="28"/>
      <c r="J1206" s="28"/>
      <c r="K1206" s="28"/>
      <c r="L1206" s="28"/>
      <c r="M1206" s="28"/>
      <c r="N1206" s="28"/>
      <c r="O1206" s="28"/>
      <c r="P1206" s="28"/>
      <c r="Q1206" s="28"/>
      <c r="R1206" s="28"/>
      <c r="S1206" s="28"/>
      <c r="T1206" s="28"/>
      <c r="U1206" s="28"/>
      <c r="V1206" s="28"/>
      <c r="W1206" s="28"/>
      <c r="X1206" s="28"/>
      <c r="Y1206" s="28"/>
      <c r="Z1206" s="28"/>
      <c r="AA1206" s="28"/>
      <c r="AB1206" s="28"/>
      <c r="AC1206" s="28"/>
    </row>
    <row r="1207" ht="78.0" customHeight="1">
      <c r="A1207" s="946">
        <v>1164.0</v>
      </c>
      <c r="B1207" s="52"/>
      <c r="C1207" s="54"/>
      <c r="D1207" s="855"/>
      <c r="E1207" s="54"/>
      <c r="F1207" s="54"/>
      <c r="G1207" s="54"/>
      <c r="H1207" s="54"/>
      <c r="I1207" s="54"/>
      <c r="J1207" s="54"/>
      <c r="K1207" s="54"/>
      <c r="L1207" s="54"/>
      <c r="M1207" s="54"/>
      <c r="N1207" s="54"/>
      <c r="O1207" s="54"/>
      <c r="P1207" s="54"/>
      <c r="Q1207" s="54"/>
      <c r="R1207" s="54"/>
      <c r="S1207" s="54"/>
      <c r="T1207" s="54"/>
      <c r="U1207" s="54"/>
      <c r="V1207" s="54"/>
      <c r="W1207" s="54"/>
      <c r="X1207" s="54"/>
      <c r="Y1207" s="54"/>
      <c r="Z1207" s="54"/>
      <c r="AA1207" s="54"/>
      <c r="AB1207" s="54"/>
      <c r="AC1207" s="54"/>
    </row>
    <row r="1208" ht="78.0" customHeight="1">
      <c r="A1208" s="941">
        <v>1163.0</v>
      </c>
      <c r="B1208" s="26"/>
      <c r="C1208" s="28"/>
      <c r="D1208" s="825"/>
      <c r="E1208" s="28"/>
      <c r="F1208" s="28"/>
      <c r="G1208" s="28"/>
      <c r="H1208" s="28"/>
      <c r="I1208" s="28"/>
      <c r="J1208" s="28"/>
      <c r="K1208" s="28"/>
      <c r="L1208" s="28"/>
      <c r="M1208" s="28"/>
      <c r="N1208" s="28"/>
      <c r="O1208" s="28"/>
      <c r="P1208" s="28"/>
      <c r="Q1208" s="28"/>
      <c r="R1208" s="28"/>
      <c r="S1208" s="28"/>
      <c r="T1208" s="28"/>
      <c r="U1208" s="28"/>
      <c r="V1208" s="28"/>
      <c r="W1208" s="28"/>
      <c r="X1208" s="28"/>
      <c r="Y1208" s="28"/>
      <c r="Z1208" s="28"/>
      <c r="AA1208" s="28"/>
      <c r="AB1208" s="28"/>
      <c r="AC1208" s="28"/>
    </row>
    <row r="1209" ht="78.0" customHeight="1">
      <c r="A1209" s="946">
        <v>1162.0</v>
      </c>
      <c r="B1209" s="52"/>
      <c r="C1209" s="54"/>
      <c r="D1209" s="855"/>
      <c r="E1209" s="54"/>
      <c r="F1209" s="54"/>
      <c r="G1209" s="54"/>
      <c r="H1209" s="54"/>
      <c r="I1209" s="54"/>
      <c r="J1209" s="54"/>
      <c r="K1209" s="54"/>
      <c r="L1209" s="54"/>
      <c r="M1209" s="54"/>
      <c r="N1209" s="54"/>
      <c r="O1209" s="54"/>
      <c r="P1209" s="54"/>
      <c r="Q1209" s="54"/>
      <c r="R1209" s="54"/>
      <c r="S1209" s="54"/>
      <c r="T1209" s="54"/>
      <c r="U1209" s="54"/>
      <c r="V1209" s="54"/>
      <c r="W1209" s="54"/>
      <c r="X1209" s="54"/>
      <c r="Y1209" s="54"/>
      <c r="Z1209" s="54"/>
      <c r="AA1209" s="54"/>
      <c r="AB1209" s="54"/>
      <c r="AC1209" s="54"/>
    </row>
    <row r="1210" ht="78.0" customHeight="1">
      <c r="A1210" s="941">
        <v>1161.0</v>
      </c>
      <c r="B1210" s="26"/>
      <c r="C1210" s="28"/>
      <c r="D1210" s="825"/>
      <c r="E1210" s="28"/>
      <c r="F1210" s="28"/>
      <c r="G1210" s="28"/>
      <c r="H1210" s="28"/>
      <c r="I1210" s="28"/>
      <c r="J1210" s="28"/>
      <c r="K1210" s="28"/>
      <c r="L1210" s="28"/>
      <c r="M1210" s="28"/>
      <c r="N1210" s="28"/>
      <c r="O1210" s="28"/>
      <c r="P1210" s="28"/>
      <c r="Q1210" s="28"/>
      <c r="R1210" s="28"/>
      <c r="S1210" s="28"/>
      <c r="T1210" s="28"/>
      <c r="U1210" s="28"/>
      <c r="V1210" s="28"/>
      <c r="W1210" s="28"/>
      <c r="X1210" s="28"/>
      <c r="Y1210" s="28"/>
      <c r="Z1210" s="28"/>
      <c r="AA1210" s="28"/>
      <c r="AB1210" s="28"/>
      <c r="AC1210" s="28"/>
    </row>
    <row r="1211" ht="78.0" customHeight="1">
      <c r="A1211" s="946">
        <v>1160.0</v>
      </c>
      <c r="B1211" s="52"/>
      <c r="C1211" s="54"/>
      <c r="D1211" s="855"/>
      <c r="E1211" s="54"/>
      <c r="F1211" s="54"/>
      <c r="G1211" s="54"/>
      <c r="H1211" s="54"/>
      <c r="I1211" s="54"/>
      <c r="J1211" s="54"/>
      <c r="K1211" s="54"/>
      <c r="L1211" s="54"/>
      <c r="M1211" s="54"/>
      <c r="N1211" s="54"/>
      <c r="O1211" s="54"/>
      <c r="P1211" s="54"/>
      <c r="Q1211" s="54"/>
      <c r="R1211" s="54"/>
      <c r="S1211" s="54"/>
      <c r="T1211" s="54"/>
      <c r="U1211" s="54"/>
      <c r="V1211" s="54"/>
      <c r="W1211" s="54"/>
      <c r="X1211" s="54"/>
      <c r="Y1211" s="54"/>
      <c r="Z1211" s="54"/>
      <c r="AA1211" s="54"/>
      <c r="AB1211" s="54"/>
      <c r="AC1211" s="54"/>
    </row>
    <row r="1212" ht="78.0" customHeight="1">
      <c r="A1212" s="941">
        <v>1159.0</v>
      </c>
      <c r="B1212" s="26"/>
      <c r="C1212" s="28"/>
      <c r="D1212" s="825"/>
      <c r="E1212" s="28"/>
      <c r="F1212" s="28"/>
      <c r="G1212" s="28"/>
      <c r="H1212" s="28"/>
      <c r="I1212" s="28"/>
      <c r="J1212" s="28"/>
      <c r="K1212" s="28"/>
      <c r="L1212" s="28"/>
      <c r="M1212" s="28"/>
      <c r="N1212" s="28"/>
      <c r="O1212" s="28"/>
      <c r="P1212" s="28"/>
      <c r="Q1212" s="28"/>
      <c r="R1212" s="28"/>
      <c r="S1212" s="28"/>
      <c r="T1212" s="28"/>
      <c r="U1212" s="28"/>
      <c r="V1212" s="28"/>
      <c r="W1212" s="28"/>
      <c r="X1212" s="28"/>
      <c r="Y1212" s="28"/>
      <c r="Z1212" s="28"/>
      <c r="AA1212" s="28"/>
      <c r="AB1212" s="28"/>
      <c r="AC1212" s="28"/>
    </row>
    <row r="1213" ht="78.0" customHeight="1">
      <c r="A1213" s="946">
        <v>1158.0</v>
      </c>
      <c r="B1213" s="52"/>
      <c r="C1213" s="54"/>
      <c r="D1213" s="855"/>
      <c r="E1213" s="54"/>
      <c r="F1213" s="54"/>
      <c r="G1213" s="54"/>
      <c r="H1213" s="54"/>
      <c r="I1213" s="54"/>
      <c r="J1213" s="54"/>
      <c r="K1213" s="54"/>
      <c r="L1213" s="54"/>
      <c r="M1213" s="54"/>
      <c r="N1213" s="54"/>
      <c r="O1213" s="54"/>
      <c r="P1213" s="54"/>
      <c r="Q1213" s="54"/>
      <c r="R1213" s="54"/>
      <c r="S1213" s="54"/>
      <c r="T1213" s="54"/>
      <c r="U1213" s="54"/>
      <c r="V1213" s="54"/>
      <c r="W1213" s="54"/>
      <c r="X1213" s="54"/>
      <c r="Y1213" s="54"/>
      <c r="Z1213" s="54"/>
      <c r="AA1213" s="54"/>
      <c r="AB1213" s="54"/>
      <c r="AC1213" s="54"/>
    </row>
    <row r="1214" ht="78.0" customHeight="1">
      <c r="A1214" s="941">
        <v>1157.0</v>
      </c>
      <c r="B1214" s="26"/>
      <c r="C1214" s="28"/>
      <c r="D1214" s="825"/>
      <c r="E1214" s="28"/>
      <c r="F1214" s="28"/>
      <c r="G1214" s="28"/>
      <c r="H1214" s="28"/>
      <c r="I1214" s="28"/>
      <c r="J1214" s="28"/>
      <c r="K1214" s="28"/>
      <c r="L1214" s="28"/>
      <c r="M1214" s="28"/>
      <c r="N1214" s="28"/>
      <c r="O1214" s="28"/>
      <c r="P1214" s="28"/>
      <c r="Q1214" s="28"/>
      <c r="R1214" s="28"/>
      <c r="S1214" s="28"/>
      <c r="T1214" s="28"/>
      <c r="U1214" s="28"/>
      <c r="V1214" s="28"/>
      <c r="W1214" s="28"/>
      <c r="X1214" s="28"/>
      <c r="Y1214" s="28"/>
      <c r="Z1214" s="28"/>
      <c r="AA1214" s="28"/>
      <c r="AB1214" s="28"/>
      <c r="AC1214" s="28"/>
    </row>
    <row r="1215" ht="78.0" customHeight="1">
      <c r="A1215" s="946">
        <v>1156.0</v>
      </c>
      <c r="B1215" s="52"/>
      <c r="C1215" s="54"/>
      <c r="D1215" s="855"/>
      <c r="E1215" s="54"/>
      <c r="F1215" s="54"/>
      <c r="G1215" s="54"/>
      <c r="H1215" s="54"/>
      <c r="I1215" s="54"/>
      <c r="J1215" s="54"/>
      <c r="K1215" s="54"/>
      <c r="L1215" s="54"/>
      <c r="M1215" s="54"/>
      <c r="N1215" s="54"/>
      <c r="O1215" s="54"/>
      <c r="P1215" s="54"/>
      <c r="Q1215" s="54"/>
      <c r="R1215" s="54"/>
      <c r="S1215" s="54"/>
      <c r="T1215" s="54"/>
      <c r="U1215" s="54"/>
      <c r="V1215" s="54"/>
      <c r="W1215" s="54"/>
      <c r="X1215" s="54"/>
      <c r="Y1215" s="54"/>
      <c r="Z1215" s="54"/>
      <c r="AA1215" s="54"/>
      <c r="AB1215" s="54"/>
      <c r="AC1215" s="54"/>
    </row>
    <row r="1216" ht="78.0" customHeight="1">
      <c r="A1216" s="941">
        <v>1155.0</v>
      </c>
      <c r="B1216" s="26"/>
      <c r="C1216" s="28"/>
      <c r="D1216" s="825"/>
      <c r="E1216" s="28"/>
      <c r="F1216" s="28"/>
      <c r="G1216" s="28"/>
      <c r="H1216" s="28"/>
      <c r="I1216" s="28"/>
      <c r="J1216" s="28"/>
      <c r="K1216" s="28"/>
      <c r="L1216" s="28"/>
      <c r="M1216" s="28"/>
      <c r="N1216" s="28"/>
      <c r="O1216" s="28"/>
      <c r="P1216" s="28"/>
      <c r="Q1216" s="28"/>
      <c r="R1216" s="28"/>
      <c r="S1216" s="28"/>
      <c r="T1216" s="28"/>
      <c r="U1216" s="28"/>
      <c r="V1216" s="28"/>
      <c r="W1216" s="28"/>
      <c r="X1216" s="28"/>
      <c r="Y1216" s="28"/>
      <c r="Z1216" s="28"/>
      <c r="AA1216" s="28"/>
      <c r="AB1216" s="28"/>
      <c r="AC1216" s="28"/>
    </row>
    <row r="1217" ht="78.0" customHeight="1">
      <c r="A1217" s="946">
        <v>1154.0</v>
      </c>
      <c r="B1217" s="52"/>
      <c r="C1217" s="54"/>
      <c r="D1217" s="855"/>
      <c r="E1217" s="54"/>
      <c r="F1217" s="54"/>
      <c r="G1217" s="54"/>
      <c r="H1217" s="54"/>
      <c r="I1217" s="54"/>
      <c r="J1217" s="54"/>
      <c r="K1217" s="54"/>
      <c r="L1217" s="54"/>
      <c r="M1217" s="54"/>
      <c r="N1217" s="54"/>
      <c r="O1217" s="54"/>
      <c r="P1217" s="54"/>
      <c r="Q1217" s="54"/>
      <c r="R1217" s="54"/>
      <c r="S1217" s="54"/>
      <c r="T1217" s="54"/>
      <c r="U1217" s="54"/>
      <c r="V1217" s="54"/>
      <c r="W1217" s="54"/>
      <c r="X1217" s="54"/>
      <c r="Y1217" s="54"/>
      <c r="Z1217" s="54"/>
      <c r="AA1217" s="54"/>
      <c r="AB1217" s="54"/>
      <c r="AC1217" s="54"/>
    </row>
    <row r="1218" ht="78.0" customHeight="1">
      <c r="A1218" s="941">
        <v>1153.0</v>
      </c>
      <c r="B1218" s="26"/>
      <c r="C1218" s="28"/>
      <c r="D1218" s="825"/>
      <c r="E1218" s="28"/>
      <c r="F1218" s="28"/>
      <c r="G1218" s="28"/>
      <c r="H1218" s="28"/>
      <c r="I1218" s="28"/>
      <c r="J1218" s="28"/>
      <c r="K1218" s="28"/>
      <c r="L1218" s="28"/>
      <c r="M1218" s="28"/>
      <c r="N1218" s="28"/>
      <c r="O1218" s="28"/>
      <c r="P1218" s="28"/>
      <c r="Q1218" s="28"/>
      <c r="R1218" s="28"/>
      <c r="S1218" s="28"/>
      <c r="T1218" s="28"/>
      <c r="U1218" s="28"/>
      <c r="V1218" s="28"/>
      <c r="W1218" s="28"/>
      <c r="X1218" s="28"/>
      <c r="Y1218" s="28"/>
      <c r="Z1218" s="28"/>
      <c r="AA1218" s="28"/>
      <c r="AB1218" s="28"/>
      <c r="AC1218" s="28"/>
    </row>
    <row r="1219" ht="78.0" customHeight="1">
      <c r="A1219" s="946">
        <v>1152.0</v>
      </c>
      <c r="B1219" s="52"/>
      <c r="C1219" s="54"/>
      <c r="D1219" s="855"/>
      <c r="E1219" s="54"/>
      <c r="F1219" s="54"/>
      <c r="G1219" s="54"/>
      <c r="H1219" s="54"/>
      <c r="I1219" s="54"/>
      <c r="J1219" s="54"/>
      <c r="K1219" s="54"/>
      <c r="L1219" s="54"/>
      <c r="M1219" s="54"/>
      <c r="N1219" s="54"/>
      <c r="O1219" s="54"/>
      <c r="P1219" s="54"/>
      <c r="Q1219" s="54"/>
      <c r="R1219" s="54"/>
      <c r="S1219" s="54"/>
      <c r="T1219" s="54"/>
      <c r="U1219" s="54"/>
      <c r="V1219" s="54"/>
      <c r="W1219" s="54"/>
      <c r="X1219" s="54"/>
      <c r="Y1219" s="54"/>
      <c r="Z1219" s="54"/>
      <c r="AA1219" s="54"/>
      <c r="AB1219" s="54"/>
      <c r="AC1219" s="54"/>
    </row>
    <row r="1220" ht="78.0" customHeight="1">
      <c r="A1220" s="941">
        <v>1151.0</v>
      </c>
      <c r="B1220" s="26"/>
      <c r="C1220" s="28"/>
      <c r="D1220" s="825"/>
      <c r="E1220" s="28"/>
      <c r="F1220" s="28"/>
      <c r="G1220" s="28"/>
      <c r="H1220" s="28"/>
      <c r="I1220" s="28"/>
      <c r="J1220" s="28"/>
      <c r="K1220" s="28"/>
      <c r="L1220" s="28"/>
      <c r="M1220" s="28"/>
      <c r="N1220" s="28"/>
      <c r="O1220" s="28"/>
      <c r="P1220" s="28"/>
      <c r="Q1220" s="28"/>
      <c r="R1220" s="28"/>
      <c r="S1220" s="28"/>
      <c r="T1220" s="28"/>
      <c r="U1220" s="28"/>
      <c r="V1220" s="28"/>
      <c r="W1220" s="28"/>
      <c r="X1220" s="28"/>
      <c r="Y1220" s="28"/>
      <c r="Z1220" s="28"/>
      <c r="AA1220" s="28"/>
      <c r="AB1220" s="28"/>
      <c r="AC1220" s="28"/>
    </row>
    <row r="1221" ht="78.0" customHeight="1">
      <c r="A1221" s="946">
        <v>1150.0</v>
      </c>
      <c r="B1221" s="52"/>
      <c r="C1221" s="54"/>
      <c r="D1221" s="855"/>
      <c r="E1221" s="54"/>
      <c r="F1221" s="54"/>
      <c r="G1221" s="54"/>
      <c r="H1221" s="54"/>
      <c r="I1221" s="54"/>
      <c r="J1221" s="54"/>
      <c r="K1221" s="54"/>
      <c r="L1221" s="54"/>
      <c r="M1221" s="54"/>
      <c r="N1221" s="54"/>
      <c r="O1221" s="54"/>
      <c r="P1221" s="54"/>
      <c r="Q1221" s="54"/>
      <c r="R1221" s="54"/>
      <c r="S1221" s="54"/>
      <c r="T1221" s="54"/>
      <c r="U1221" s="54"/>
      <c r="V1221" s="54"/>
      <c r="W1221" s="54"/>
      <c r="X1221" s="54"/>
      <c r="Y1221" s="54"/>
      <c r="Z1221" s="54"/>
      <c r="AA1221" s="54"/>
      <c r="AB1221" s="54"/>
      <c r="AC1221" s="54"/>
    </row>
    <row r="1222" ht="78.0" customHeight="1">
      <c r="A1222" s="941">
        <v>1149.0</v>
      </c>
      <c r="B1222" s="26"/>
      <c r="C1222" s="28"/>
      <c r="D1222" s="825"/>
      <c r="E1222" s="28"/>
      <c r="F1222" s="28"/>
      <c r="G1222" s="28"/>
      <c r="H1222" s="28"/>
      <c r="I1222" s="28"/>
      <c r="J1222" s="28"/>
      <c r="K1222" s="28"/>
      <c r="L1222" s="28"/>
      <c r="M1222" s="28"/>
      <c r="N1222" s="28"/>
      <c r="O1222" s="28"/>
      <c r="P1222" s="28"/>
      <c r="Q1222" s="28"/>
      <c r="R1222" s="28"/>
      <c r="S1222" s="28"/>
      <c r="T1222" s="28"/>
      <c r="U1222" s="28"/>
      <c r="V1222" s="28"/>
      <c r="W1222" s="28"/>
      <c r="X1222" s="28"/>
      <c r="Y1222" s="28"/>
      <c r="Z1222" s="28"/>
      <c r="AA1222" s="28"/>
      <c r="AB1222" s="28"/>
      <c r="AC1222" s="28"/>
    </row>
    <row r="1223" ht="78.0" customHeight="1">
      <c r="A1223" s="946">
        <v>1148.0</v>
      </c>
      <c r="B1223" s="52"/>
      <c r="C1223" s="54"/>
      <c r="D1223" s="855"/>
      <c r="E1223" s="54"/>
      <c r="F1223" s="54"/>
      <c r="G1223" s="54"/>
      <c r="H1223" s="54"/>
      <c r="I1223" s="54"/>
      <c r="J1223" s="54"/>
      <c r="K1223" s="54"/>
      <c r="L1223" s="54"/>
      <c r="M1223" s="54"/>
      <c r="N1223" s="54"/>
      <c r="O1223" s="54"/>
      <c r="P1223" s="54"/>
      <c r="Q1223" s="54"/>
      <c r="R1223" s="54"/>
      <c r="S1223" s="54"/>
      <c r="T1223" s="54"/>
      <c r="U1223" s="54"/>
      <c r="V1223" s="54"/>
      <c r="W1223" s="54"/>
      <c r="X1223" s="54"/>
      <c r="Y1223" s="54"/>
      <c r="Z1223" s="54"/>
      <c r="AA1223" s="54"/>
      <c r="AB1223" s="54"/>
      <c r="AC1223" s="54"/>
    </row>
    <row r="1224" ht="78.0" customHeight="1">
      <c r="A1224" s="941">
        <v>1147.0</v>
      </c>
      <c r="B1224" s="26"/>
      <c r="C1224" s="28"/>
      <c r="D1224" s="825"/>
      <c r="E1224" s="28"/>
      <c r="F1224" s="28"/>
      <c r="G1224" s="28"/>
      <c r="H1224" s="28"/>
      <c r="I1224" s="28"/>
      <c r="J1224" s="28"/>
      <c r="K1224" s="28"/>
      <c r="L1224" s="28"/>
      <c r="M1224" s="28"/>
      <c r="N1224" s="28"/>
      <c r="O1224" s="28"/>
      <c r="P1224" s="28"/>
      <c r="Q1224" s="28"/>
      <c r="R1224" s="28"/>
      <c r="S1224" s="28"/>
      <c r="T1224" s="28"/>
      <c r="U1224" s="28"/>
      <c r="V1224" s="28"/>
      <c r="W1224" s="28"/>
      <c r="X1224" s="28"/>
      <c r="Y1224" s="28"/>
      <c r="Z1224" s="28"/>
      <c r="AA1224" s="28"/>
      <c r="AB1224" s="28"/>
      <c r="AC1224" s="28"/>
    </row>
    <row r="1225" ht="78.0" customHeight="1">
      <c r="A1225" s="946">
        <v>1146.0</v>
      </c>
      <c r="B1225" s="52"/>
      <c r="C1225" s="54"/>
      <c r="D1225" s="855"/>
      <c r="E1225" s="54"/>
      <c r="F1225" s="54"/>
      <c r="G1225" s="54"/>
      <c r="H1225" s="54"/>
      <c r="I1225" s="54"/>
      <c r="J1225" s="54"/>
      <c r="K1225" s="54"/>
      <c r="L1225" s="54"/>
      <c r="M1225" s="54"/>
      <c r="N1225" s="54"/>
      <c r="O1225" s="54"/>
      <c r="P1225" s="54"/>
      <c r="Q1225" s="54"/>
      <c r="R1225" s="54"/>
      <c r="S1225" s="54"/>
      <c r="T1225" s="54"/>
      <c r="U1225" s="54"/>
      <c r="V1225" s="54"/>
      <c r="W1225" s="54"/>
      <c r="X1225" s="54"/>
      <c r="Y1225" s="54"/>
      <c r="Z1225" s="54"/>
      <c r="AA1225" s="54"/>
      <c r="AB1225" s="54"/>
      <c r="AC1225" s="54"/>
    </row>
    <row r="1226" ht="78.0" customHeight="1">
      <c r="A1226" s="941">
        <v>1145.0</v>
      </c>
      <c r="B1226" s="26"/>
      <c r="C1226" s="28"/>
      <c r="D1226" s="825"/>
      <c r="E1226" s="28"/>
      <c r="F1226" s="28"/>
      <c r="G1226" s="28"/>
      <c r="H1226" s="28"/>
      <c r="I1226" s="28"/>
      <c r="J1226" s="28"/>
      <c r="K1226" s="28"/>
      <c r="L1226" s="28"/>
      <c r="M1226" s="28"/>
      <c r="N1226" s="28"/>
      <c r="O1226" s="28"/>
      <c r="P1226" s="28"/>
      <c r="Q1226" s="28"/>
      <c r="R1226" s="28"/>
      <c r="S1226" s="28"/>
      <c r="T1226" s="28"/>
      <c r="U1226" s="28"/>
      <c r="V1226" s="28"/>
      <c r="W1226" s="28"/>
      <c r="X1226" s="28"/>
      <c r="Y1226" s="28"/>
      <c r="Z1226" s="28"/>
      <c r="AA1226" s="28"/>
      <c r="AB1226" s="28"/>
      <c r="AC1226" s="28"/>
    </row>
    <row r="1227" ht="78.0" customHeight="1">
      <c r="A1227" s="946">
        <v>1144.0</v>
      </c>
      <c r="B1227" s="52"/>
      <c r="C1227" s="54"/>
      <c r="D1227" s="855"/>
      <c r="E1227" s="54"/>
      <c r="F1227" s="54"/>
      <c r="G1227" s="54"/>
      <c r="H1227" s="54"/>
      <c r="I1227" s="54"/>
      <c r="J1227" s="54"/>
      <c r="K1227" s="54"/>
      <c r="L1227" s="54"/>
      <c r="M1227" s="54"/>
      <c r="N1227" s="54"/>
      <c r="O1227" s="54"/>
      <c r="P1227" s="54"/>
      <c r="Q1227" s="54"/>
      <c r="R1227" s="54"/>
      <c r="S1227" s="54"/>
      <c r="T1227" s="54"/>
      <c r="U1227" s="54"/>
      <c r="V1227" s="54"/>
      <c r="W1227" s="54"/>
      <c r="X1227" s="54"/>
      <c r="Y1227" s="54"/>
      <c r="Z1227" s="54"/>
      <c r="AA1227" s="54"/>
      <c r="AB1227" s="54"/>
      <c r="AC1227" s="54"/>
    </row>
    <row r="1228" ht="78.0" customHeight="1">
      <c r="A1228" s="941">
        <v>1143.0</v>
      </c>
      <c r="B1228" s="26"/>
      <c r="C1228" s="28"/>
      <c r="D1228" s="825"/>
      <c r="E1228" s="28"/>
      <c r="F1228" s="28"/>
      <c r="G1228" s="28"/>
      <c r="H1228" s="28"/>
      <c r="I1228" s="28"/>
      <c r="J1228" s="28"/>
      <c r="K1228" s="28"/>
      <c r="L1228" s="28"/>
      <c r="M1228" s="28"/>
      <c r="N1228" s="28"/>
      <c r="O1228" s="28"/>
      <c r="P1228" s="28"/>
      <c r="Q1228" s="28"/>
      <c r="R1228" s="28"/>
      <c r="S1228" s="28"/>
      <c r="T1228" s="28"/>
      <c r="U1228" s="28"/>
      <c r="V1228" s="28"/>
      <c r="W1228" s="28"/>
      <c r="X1228" s="28"/>
      <c r="Y1228" s="28"/>
      <c r="Z1228" s="28"/>
      <c r="AA1228" s="28"/>
      <c r="AB1228" s="28"/>
      <c r="AC1228" s="28"/>
    </row>
    <row r="1229" ht="78.0" customHeight="1">
      <c r="A1229" s="946">
        <v>1142.0</v>
      </c>
      <c r="B1229" s="52"/>
      <c r="C1229" s="54"/>
      <c r="D1229" s="855"/>
      <c r="E1229" s="54"/>
      <c r="F1229" s="54"/>
      <c r="G1229" s="54"/>
      <c r="H1229" s="54"/>
      <c r="I1229" s="54"/>
      <c r="J1229" s="54"/>
      <c r="K1229" s="54"/>
      <c r="L1229" s="54"/>
      <c r="M1229" s="54"/>
      <c r="N1229" s="54"/>
      <c r="O1229" s="54"/>
      <c r="P1229" s="54"/>
      <c r="Q1229" s="54"/>
      <c r="R1229" s="54"/>
      <c r="S1229" s="54"/>
      <c r="T1229" s="54"/>
      <c r="U1229" s="54"/>
      <c r="V1229" s="54"/>
      <c r="W1229" s="54"/>
      <c r="X1229" s="54"/>
      <c r="Y1229" s="54"/>
      <c r="Z1229" s="54"/>
      <c r="AA1229" s="54"/>
      <c r="AB1229" s="54"/>
      <c r="AC1229" s="54"/>
    </row>
    <row r="1230" ht="78.0" customHeight="1">
      <c r="A1230" s="941">
        <v>1141.0</v>
      </c>
      <c r="B1230" s="26"/>
      <c r="C1230" s="28"/>
      <c r="D1230" s="825"/>
      <c r="E1230" s="28"/>
      <c r="F1230" s="28"/>
      <c r="G1230" s="28"/>
      <c r="H1230" s="28"/>
      <c r="I1230" s="28"/>
      <c r="J1230" s="28"/>
      <c r="K1230" s="28"/>
      <c r="L1230" s="28"/>
      <c r="M1230" s="28"/>
      <c r="N1230" s="28"/>
      <c r="O1230" s="28"/>
      <c r="P1230" s="28"/>
      <c r="Q1230" s="28"/>
      <c r="R1230" s="28"/>
      <c r="S1230" s="28"/>
      <c r="T1230" s="28"/>
      <c r="U1230" s="28"/>
      <c r="V1230" s="28"/>
      <c r="W1230" s="28"/>
      <c r="X1230" s="28"/>
      <c r="Y1230" s="28"/>
      <c r="Z1230" s="28"/>
      <c r="AA1230" s="28"/>
      <c r="AB1230" s="28"/>
      <c r="AC1230" s="28"/>
    </row>
    <row r="1231" ht="78.0" customHeight="1">
      <c r="A1231" s="946">
        <v>1140.0</v>
      </c>
      <c r="B1231" s="52"/>
      <c r="C1231" s="54"/>
      <c r="D1231" s="855"/>
      <c r="E1231" s="54"/>
      <c r="F1231" s="54"/>
      <c r="G1231" s="54"/>
      <c r="H1231" s="54"/>
      <c r="I1231" s="54"/>
      <c r="J1231" s="54"/>
      <c r="K1231" s="54"/>
      <c r="L1231" s="54"/>
      <c r="M1231" s="54"/>
      <c r="N1231" s="54"/>
      <c r="O1231" s="54"/>
      <c r="P1231" s="54"/>
      <c r="Q1231" s="54"/>
      <c r="R1231" s="54"/>
      <c r="S1231" s="54"/>
      <c r="T1231" s="54"/>
      <c r="U1231" s="54"/>
      <c r="V1231" s="54"/>
      <c r="W1231" s="54"/>
      <c r="X1231" s="54"/>
      <c r="Y1231" s="54"/>
      <c r="Z1231" s="54"/>
      <c r="AA1231" s="54"/>
      <c r="AB1231" s="54"/>
      <c r="AC1231" s="54"/>
    </row>
    <row r="1232" ht="78.0" customHeight="1">
      <c r="A1232" s="941">
        <v>1139.0</v>
      </c>
      <c r="B1232" s="26"/>
      <c r="C1232" s="28"/>
      <c r="D1232" s="825"/>
      <c r="E1232" s="28"/>
      <c r="F1232" s="28"/>
      <c r="G1232" s="28"/>
      <c r="H1232" s="28"/>
      <c r="I1232" s="28"/>
      <c r="J1232" s="28"/>
      <c r="K1232" s="28"/>
      <c r="L1232" s="28"/>
      <c r="M1232" s="28"/>
      <c r="N1232" s="28"/>
      <c r="O1232" s="28"/>
      <c r="P1232" s="28"/>
      <c r="Q1232" s="28"/>
      <c r="R1232" s="28"/>
      <c r="S1232" s="28"/>
      <c r="T1232" s="28"/>
      <c r="U1232" s="28"/>
      <c r="V1232" s="28"/>
      <c r="W1232" s="28"/>
      <c r="X1232" s="28"/>
      <c r="Y1232" s="28"/>
      <c r="Z1232" s="28"/>
      <c r="AA1232" s="28"/>
      <c r="AB1232" s="28"/>
      <c r="AC1232" s="28"/>
    </row>
    <row r="1233" ht="78.0" customHeight="1">
      <c r="A1233" s="946">
        <v>1138.0</v>
      </c>
      <c r="B1233" s="52"/>
      <c r="C1233" s="54"/>
      <c r="D1233" s="855"/>
      <c r="E1233" s="54"/>
      <c r="F1233" s="54"/>
      <c r="G1233" s="54"/>
      <c r="H1233" s="54"/>
      <c r="I1233" s="54"/>
      <c r="J1233" s="54"/>
      <c r="K1233" s="54"/>
      <c r="L1233" s="54"/>
      <c r="M1233" s="54"/>
      <c r="N1233" s="54"/>
      <c r="O1233" s="54"/>
      <c r="P1233" s="54"/>
      <c r="Q1233" s="54"/>
      <c r="R1233" s="54"/>
      <c r="S1233" s="54"/>
      <c r="T1233" s="54"/>
      <c r="U1233" s="54"/>
      <c r="V1233" s="54"/>
      <c r="W1233" s="54"/>
      <c r="X1233" s="54"/>
      <c r="Y1233" s="54"/>
      <c r="Z1233" s="54"/>
      <c r="AA1233" s="54"/>
      <c r="AB1233" s="54"/>
      <c r="AC1233" s="54"/>
    </row>
    <row r="1234" ht="78.0" customHeight="1">
      <c r="A1234" s="941">
        <v>1137.0</v>
      </c>
      <c r="B1234" s="26"/>
      <c r="C1234" s="28"/>
      <c r="D1234" s="825"/>
      <c r="E1234" s="28"/>
      <c r="F1234" s="28"/>
      <c r="G1234" s="28"/>
      <c r="H1234" s="28"/>
      <c r="I1234" s="28"/>
      <c r="J1234" s="28"/>
      <c r="K1234" s="28"/>
      <c r="L1234" s="28"/>
      <c r="M1234" s="28"/>
      <c r="N1234" s="28"/>
      <c r="O1234" s="28"/>
      <c r="P1234" s="28"/>
      <c r="Q1234" s="28"/>
      <c r="R1234" s="28"/>
      <c r="S1234" s="28"/>
      <c r="T1234" s="28"/>
      <c r="U1234" s="28"/>
      <c r="V1234" s="28"/>
      <c r="W1234" s="28"/>
      <c r="X1234" s="28"/>
      <c r="Y1234" s="28"/>
      <c r="Z1234" s="28"/>
      <c r="AA1234" s="28"/>
      <c r="AB1234" s="28"/>
      <c r="AC1234" s="28"/>
    </row>
    <row r="1235" ht="78.0" customHeight="1">
      <c r="A1235" s="946">
        <v>1136.0</v>
      </c>
      <c r="B1235" s="52"/>
      <c r="C1235" s="54"/>
      <c r="D1235" s="855"/>
      <c r="E1235" s="54"/>
      <c r="F1235" s="54"/>
      <c r="G1235" s="54"/>
      <c r="H1235" s="54"/>
      <c r="I1235" s="54"/>
      <c r="J1235" s="54"/>
      <c r="K1235" s="54"/>
      <c r="L1235" s="54"/>
      <c r="M1235" s="54"/>
      <c r="N1235" s="54"/>
      <c r="O1235" s="54"/>
      <c r="P1235" s="54"/>
      <c r="Q1235" s="54"/>
      <c r="R1235" s="54"/>
      <c r="S1235" s="54"/>
      <c r="T1235" s="54"/>
      <c r="U1235" s="54"/>
      <c r="V1235" s="54"/>
      <c r="W1235" s="54"/>
      <c r="X1235" s="54"/>
      <c r="Y1235" s="54"/>
      <c r="Z1235" s="54"/>
      <c r="AA1235" s="54"/>
      <c r="AB1235" s="54"/>
      <c r="AC1235" s="54"/>
    </row>
    <row r="1236" ht="78.0" customHeight="1">
      <c r="A1236" s="941">
        <v>1135.0</v>
      </c>
      <c r="B1236" s="26"/>
      <c r="C1236" s="28"/>
      <c r="D1236" s="825"/>
      <c r="E1236" s="28"/>
      <c r="F1236" s="28"/>
      <c r="G1236" s="28"/>
      <c r="H1236" s="28"/>
      <c r="I1236" s="28"/>
      <c r="J1236" s="28"/>
      <c r="K1236" s="28"/>
      <c r="L1236" s="28"/>
      <c r="M1236" s="28"/>
      <c r="N1236" s="28"/>
      <c r="O1236" s="28"/>
      <c r="P1236" s="28"/>
      <c r="Q1236" s="28"/>
      <c r="R1236" s="28"/>
      <c r="S1236" s="28"/>
      <c r="T1236" s="28"/>
      <c r="U1236" s="28"/>
      <c r="V1236" s="28"/>
      <c r="W1236" s="28"/>
      <c r="X1236" s="28"/>
      <c r="Y1236" s="28"/>
      <c r="Z1236" s="28"/>
      <c r="AA1236" s="28"/>
      <c r="AB1236" s="28"/>
      <c r="AC1236" s="28"/>
    </row>
    <row r="1237" ht="78.0" customHeight="1">
      <c r="A1237" s="946">
        <v>1134.0</v>
      </c>
      <c r="B1237" s="52"/>
      <c r="C1237" s="54"/>
      <c r="D1237" s="855"/>
      <c r="E1237" s="54"/>
      <c r="F1237" s="54"/>
      <c r="G1237" s="54"/>
      <c r="H1237" s="54"/>
      <c r="I1237" s="54"/>
      <c r="J1237" s="54"/>
      <c r="K1237" s="54"/>
      <c r="L1237" s="54"/>
      <c r="M1237" s="54"/>
      <c r="N1237" s="54"/>
      <c r="O1237" s="54"/>
      <c r="P1237" s="54"/>
      <c r="Q1237" s="54"/>
      <c r="R1237" s="54"/>
      <c r="S1237" s="54"/>
      <c r="T1237" s="54"/>
      <c r="U1237" s="54"/>
      <c r="V1237" s="54"/>
      <c r="W1237" s="54"/>
      <c r="X1237" s="54"/>
      <c r="Y1237" s="54"/>
      <c r="Z1237" s="54"/>
      <c r="AA1237" s="54"/>
      <c r="AB1237" s="54"/>
      <c r="AC1237" s="54"/>
    </row>
    <row r="1238" ht="78.0" customHeight="1">
      <c r="A1238" s="941">
        <v>1133.0</v>
      </c>
      <c r="B1238" s="26"/>
      <c r="C1238" s="28"/>
      <c r="D1238" s="825"/>
      <c r="E1238" s="28"/>
      <c r="F1238" s="28"/>
      <c r="G1238" s="28"/>
      <c r="H1238" s="28"/>
      <c r="I1238" s="28"/>
      <c r="J1238" s="28"/>
      <c r="K1238" s="28"/>
      <c r="L1238" s="28"/>
      <c r="M1238" s="28"/>
      <c r="N1238" s="28"/>
      <c r="O1238" s="28"/>
      <c r="P1238" s="28"/>
      <c r="Q1238" s="28"/>
      <c r="R1238" s="28"/>
      <c r="S1238" s="28"/>
      <c r="T1238" s="28"/>
      <c r="U1238" s="28"/>
      <c r="V1238" s="28"/>
      <c r="W1238" s="28"/>
      <c r="X1238" s="28"/>
      <c r="Y1238" s="28"/>
      <c r="Z1238" s="28"/>
      <c r="AA1238" s="28"/>
      <c r="AB1238" s="28"/>
      <c r="AC1238" s="28"/>
    </row>
    <row r="1239" ht="78.0" customHeight="1">
      <c r="A1239" s="946">
        <v>1132.0</v>
      </c>
      <c r="B1239" s="52"/>
      <c r="C1239" s="54"/>
      <c r="D1239" s="855"/>
      <c r="E1239" s="54"/>
      <c r="F1239" s="54"/>
      <c r="G1239" s="54"/>
      <c r="H1239" s="54"/>
      <c r="I1239" s="54"/>
      <c r="J1239" s="54"/>
      <c r="K1239" s="54"/>
      <c r="L1239" s="54"/>
      <c r="M1239" s="54"/>
      <c r="N1239" s="54"/>
      <c r="O1239" s="54"/>
      <c r="P1239" s="54"/>
      <c r="Q1239" s="54"/>
      <c r="R1239" s="54"/>
      <c r="S1239" s="54"/>
      <c r="T1239" s="54"/>
      <c r="U1239" s="54"/>
      <c r="V1239" s="54"/>
      <c r="W1239" s="54"/>
      <c r="X1239" s="54"/>
      <c r="Y1239" s="54"/>
      <c r="Z1239" s="54"/>
      <c r="AA1239" s="54"/>
      <c r="AB1239" s="54"/>
      <c r="AC1239" s="54"/>
    </row>
    <row r="1240" ht="78.0" customHeight="1">
      <c r="A1240" s="941">
        <v>1131.0</v>
      </c>
      <c r="B1240" s="26"/>
      <c r="C1240" s="28"/>
      <c r="D1240" s="825"/>
      <c r="E1240" s="28"/>
      <c r="F1240" s="28"/>
      <c r="G1240" s="28"/>
      <c r="H1240" s="28"/>
      <c r="I1240" s="28"/>
      <c r="J1240" s="28"/>
      <c r="K1240" s="28"/>
      <c r="L1240" s="28"/>
      <c r="M1240" s="28"/>
      <c r="N1240" s="28"/>
      <c r="O1240" s="28"/>
      <c r="P1240" s="28"/>
      <c r="Q1240" s="28"/>
      <c r="R1240" s="28"/>
      <c r="S1240" s="28"/>
      <c r="T1240" s="28"/>
      <c r="U1240" s="28"/>
      <c r="V1240" s="28"/>
      <c r="W1240" s="28"/>
      <c r="X1240" s="28"/>
      <c r="Y1240" s="28"/>
      <c r="Z1240" s="28"/>
      <c r="AA1240" s="28"/>
      <c r="AB1240" s="28"/>
      <c r="AC1240" s="28"/>
    </row>
    <row r="1241" ht="78.0" customHeight="1">
      <c r="A1241" s="946">
        <v>1130.0</v>
      </c>
      <c r="B1241" s="52"/>
      <c r="C1241" s="54"/>
      <c r="D1241" s="855"/>
      <c r="E1241" s="54"/>
      <c r="F1241" s="54"/>
      <c r="G1241" s="54"/>
      <c r="H1241" s="54"/>
      <c r="I1241" s="54"/>
      <c r="J1241" s="54"/>
      <c r="K1241" s="54"/>
      <c r="L1241" s="54"/>
      <c r="M1241" s="54"/>
      <c r="N1241" s="54"/>
      <c r="O1241" s="54"/>
      <c r="P1241" s="54"/>
      <c r="Q1241" s="54"/>
      <c r="R1241" s="54"/>
      <c r="S1241" s="54"/>
      <c r="T1241" s="54"/>
      <c r="U1241" s="54"/>
      <c r="V1241" s="54"/>
      <c r="W1241" s="54"/>
      <c r="X1241" s="54"/>
      <c r="Y1241" s="54"/>
      <c r="Z1241" s="54"/>
      <c r="AA1241" s="54"/>
      <c r="AB1241" s="54"/>
      <c r="AC1241" s="54"/>
    </row>
    <row r="1242" ht="78.0" customHeight="1">
      <c r="A1242" s="941">
        <v>1129.0</v>
      </c>
      <c r="B1242" s="26"/>
      <c r="C1242" s="28"/>
      <c r="D1242" s="825"/>
      <c r="E1242" s="28"/>
      <c r="F1242" s="28"/>
      <c r="G1242" s="28"/>
      <c r="H1242" s="28"/>
      <c r="I1242" s="28"/>
      <c r="J1242" s="28"/>
      <c r="K1242" s="28"/>
      <c r="L1242" s="28"/>
      <c r="M1242" s="28"/>
      <c r="N1242" s="28"/>
      <c r="O1242" s="28"/>
      <c r="P1242" s="28"/>
      <c r="Q1242" s="28"/>
      <c r="R1242" s="28"/>
      <c r="S1242" s="28"/>
      <c r="T1242" s="28"/>
      <c r="U1242" s="28"/>
      <c r="V1242" s="28"/>
      <c r="W1242" s="28"/>
      <c r="X1242" s="28"/>
      <c r="Y1242" s="28"/>
      <c r="Z1242" s="28"/>
      <c r="AA1242" s="28"/>
      <c r="AB1242" s="28"/>
      <c r="AC1242" s="28"/>
    </row>
    <row r="1243" ht="78.0" customHeight="1">
      <c r="A1243" s="946">
        <v>1128.0</v>
      </c>
      <c r="B1243" s="52"/>
      <c r="C1243" s="54"/>
      <c r="D1243" s="855"/>
      <c r="E1243" s="54"/>
      <c r="F1243" s="54"/>
      <c r="G1243" s="54"/>
      <c r="H1243" s="54"/>
      <c r="I1243" s="54"/>
      <c r="J1243" s="54"/>
      <c r="K1243" s="54"/>
      <c r="L1243" s="54"/>
      <c r="M1243" s="54"/>
      <c r="N1243" s="54"/>
      <c r="O1243" s="54"/>
      <c r="P1243" s="54"/>
      <c r="Q1243" s="54"/>
      <c r="R1243" s="54"/>
      <c r="S1243" s="54"/>
      <c r="T1243" s="54"/>
      <c r="U1243" s="54"/>
      <c r="V1243" s="54"/>
      <c r="W1243" s="54"/>
      <c r="X1243" s="54"/>
      <c r="Y1243" s="54"/>
      <c r="Z1243" s="54"/>
      <c r="AA1243" s="54"/>
      <c r="AB1243" s="54"/>
      <c r="AC1243" s="54"/>
    </row>
    <row r="1244" ht="78.0" customHeight="1">
      <c r="A1244" s="941">
        <v>1127.0</v>
      </c>
      <c r="B1244" s="26"/>
      <c r="C1244" s="28"/>
      <c r="D1244" s="825"/>
      <c r="E1244" s="28"/>
      <c r="F1244" s="28"/>
      <c r="G1244" s="28"/>
      <c r="H1244" s="28"/>
      <c r="I1244" s="28"/>
      <c r="J1244" s="28"/>
      <c r="K1244" s="28"/>
      <c r="L1244" s="28"/>
      <c r="M1244" s="28"/>
      <c r="N1244" s="28"/>
      <c r="O1244" s="28"/>
      <c r="P1244" s="28"/>
      <c r="Q1244" s="28"/>
      <c r="R1244" s="28"/>
      <c r="S1244" s="28"/>
      <c r="T1244" s="28"/>
      <c r="U1244" s="28"/>
      <c r="V1244" s="28"/>
      <c r="W1244" s="28"/>
      <c r="X1244" s="28"/>
      <c r="Y1244" s="28"/>
      <c r="Z1244" s="28"/>
      <c r="AA1244" s="28"/>
      <c r="AB1244" s="28"/>
      <c r="AC1244" s="28"/>
    </row>
    <row r="1245" ht="78.0" customHeight="1">
      <c r="A1245" s="946">
        <v>1126.0</v>
      </c>
      <c r="B1245" s="52"/>
      <c r="C1245" s="54"/>
      <c r="D1245" s="855"/>
      <c r="E1245" s="54"/>
      <c r="F1245" s="54"/>
      <c r="G1245" s="54"/>
      <c r="H1245" s="54"/>
      <c r="I1245" s="54"/>
      <c r="J1245" s="54"/>
      <c r="K1245" s="54"/>
      <c r="L1245" s="54"/>
      <c r="M1245" s="54"/>
      <c r="N1245" s="54"/>
      <c r="O1245" s="54"/>
      <c r="P1245" s="54"/>
      <c r="Q1245" s="54"/>
      <c r="R1245" s="54"/>
      <c r="S1245" s="54"/>
      <c r="T1245" s="54"/>
      <c r="U1245" s="54"/>
      <c r="V1245" s="54"/>
      <c r="W1245" s="54"/>
      <c r="X1245" s="54"/>
      <c r="Y1245" s="54"/>
      <c r="Z1245" s="54"/>
      <c r="AA1245" s="54"/>
      <c r="AB1245" s="54"/>
      <c r="AC1245" s="54"/>
    </row>
    <row r="1246" ht="78.0" customHeight="1">
      <c r="A1246" s="941">
        <v>1125.0</v>
      </c>
      <c r="B1246" s="26"/>
      <c r="C1246" s="28"/>
      <c r="D1246" s="825"/>
      <c r="E1246" s="28"/>
      <c r="F1246" s="28"/>
      <c r="G1246" s="28"/>
      <c r="H1246" s="28"/>
      <c r="I1246" s="28"/>
      <c r="J1246" s="28"/>
      <c r="K1246" s="28"/>
      <c r="L1246" s="28"/>
      <c r="M1246" s="28"/>
      <c r="N1246" s="28"/>
      <c r="O1246" s="28"/>
      <c r="P1246" s="28"/>
      <c r="Q1246" s="28"/>
      <c r="R1246" s="28"/>
      <c r="S1246" s="28"/>
      <c r="T1246" s="28"/>
      <c r="U1246" s="28"/>
      <c r="V1246" s="28"/>
      <c r="W1246" s="28"/>
      <c r="X1246" s="28"/>
      <c r="Y1246" s="28"/>
      <c r="Z1246" s="28"/>
      <c r="AA1246" s="28"/>
      <c r="AB1246" s="28"/>
      <c r="AC1246" s="28"/>
    </row>
    <row r="1247" ht="78.0" customHeight="1">
      <c r="A1247" s="946">
        <v>1124.0</v>
      </c>
      <c r="B1247" s="52"/>
      <c r="C1247" s="54"/>
      <c r="D1247" s="855"/>
      <c r="E1247" s="54"/>
      <c r="F1247" s="54"/>
      <c r="G1247" s="54"/>
      <c r="H1247" s="54"/>
      <c r="I1247" s="54"/>
      <c r="J1247" s="54"/>
      <c r="K1247" s="54"/>
      <c r="L1247" s="54"/>
      <c r="M1247" s="54"/>
      <c r="N1247" s="54"/>
      <c r="O1247" s="54"/>
      <c r="P1247" s="54"/>
      <c r="Q1247" s="54"/>
      <c r="R1247" s="54"/>
      <c r="S1247" s="54"/>
      <c r="T1247" s="54"/>
      <c r="U1247" s="54"/>
      <c r="V1247" s="54"/>
      <c r="W1247" s="54"/>
      <c r="X1247" s="54"/>
      <c r="Y1247" s="54"/>
      <c r="Z1247" s="54"/>
      <c r="AA1247" s="54"/>
      <c r="AB1247" s="54"/>
      <c r="AC1247" s="54"/>
    </row>
    <row r="1248" ht="78.0" customHeight="1">
      <c r="A1248" s="941">
        <v>1123.0</v>
      </c>
      <c r="B1248" s="26"/>
      <c r="C1248" s="28"/>
      <c r="D1248" s="825"/>
      <c r="E1248" s="28"/>
      <c r="F1248" s="28"/>
      <c r="G1248" s="28"/>
      <c r="H1248" s="28"/>
      <c r="I1248" s="28"/>
      <c r="J1248" s="28"/>
      <c r="K1248" s="28"/>
      <c r="L1248" s="28"/>
      <c r="M1248" s="28"/>
      <c r="N1248" s="28"/>
      <c r="O1248" s="28"/>
      <c r="P1248" s="28"/>
      <c r="Q1248" s="28"/>
      <c r="R1248" s="28"/>
      <c r="S1248" s="28"/>
      <c r="T1248" s="28"/>
      <c r="U1248" s="28"/>
      <c r="V1248" s="28"/>
      <c r="W1248" s="28"/>
      <c r="X1248" s="28"/>
      <c r="Y1248" s="28"/>
      <c r="Z1248" s="28"/>
      <c r="AA1248" s="28"/>
      <c r="AB1248" s="28"/>
      <c r="AC1248" s="28"/>
    </row>
    <row r="1249" ht="78.0" customHeight="1">
      <c r="A1249" s="946">
        <v>1122.0</v>
      </c>
      <c r="B1249" s="52"/>
      <c r="C1249" s="54"/>
      <c r="D1249" s="855"/>
      <c r="E1249" s="54"/>
      <c r="F1249" s="54"/>
      <c r="G1249" s="54"/>
      <c r="H1249" s="54"/>
      <c r="I1249" s="54"/>
      <c r="J1249" s="54"/>
      <c r="K1249" s="54"/>
      <c r="L1249" s="54"/>
      <c r="M1249" s="54"/>
      <c r="N1249" s="54"/>
      <c r="O1249" s="54"/>
      <c r="P1249" s="54"/>
      <c r="Q1249" s="54"/>
      <c r="R1249" s="54"/>
      <c r="S1249" s="54"/>
      <c r="T1249" s="54"/>
      <c r="U1249" s="54"/>
      <c r="V1249" s="54"/>
      <c r="W1249" s="54"/>
      <c r="X1249" s="54"/>
      <c r="Y1249" s="54"/>
      <c r="Z1249" s="54"/>
      <c r="AA1249" s="54"/>
      <c r="AB1249" s="54"/>
      <c r="AC1249" s="54"/>
    </row>
    <row r="1250" ht="78.0" customHeight="1">
      <c r="A1250" s="941">
        <v>1121.0</v>
      </c>
      <c r="B1250" s="26"/>
      <c r="C1250" s="28"/>
      <c r="D1250" s="825"/>
      <c r="E1250" s="28"/>
      <c r="F1250" s="28"/>
      <c r="G1250" s="28"/>
      <c r="H1250" s="28"/>
      <c r="I1250" s="28"/>
      <c r="J1250" s="28"/>
      <c r="K1250" s="28"/>
      <c r="L1250" s="28"/>
      <c r="M1250" s="28"/>
      <c r="N1250" s="28"/>
      <c r="O1250" s="28"/>
      <c r="P1250" s="28"/>
      <c r="Q1250" s="28"/>
      <c r="R1250" s="28"/>
      <c r="S1250" s="28"/>
      <c r="T1250" s="28"/>
      <c r="U1250" s="28"/>
      <c r="V1250" s="28"/>
      <c r="W1250" s="28"/>
      <c r="X1250" s="28"/>
      <c r="Y1250" s="28"/>
      <c r="Z1250" s="28"/>
      <c r="AA1250" s="28"/>
      <c r="AB1250" s="28"/>
      <c r="AC1250" s="28"/>
    </row>
    <row r="1251" ht="78.0" customHeight="1">
      <c r="A1251" s="946">
        <v>1120.0</v>
      </c>
      <c r="B1251" s="52"/>
      <c r="C1251" s="54"/>
      <c r="D1251" s="855"/>
      <c r="E1251" s="54"/>
      <c r="F1251" s="54"/>
      <c r="G1251" s="54"/>
      <c r="H1251" s="54"/>
      <c r="I1251" s="54"/>
      <c r="J1251" s="54"/>
      <c r="K1251" s="54"/>
      <c r="L1251" s="54"/>
      <c r="M1251" s="54"/>
      <c r="N1251" s="54"/>
      <c r="O1251" s="54"/>
      <c r="P1251" s="54"/>
      <c r="Q1251" s="54"/>
      <c r="R1251" s="54"/>
      <c r="S1251" s="54"/>
      <c r="T1251" s="54"/>
      <c r="U1251" s="54"/>
      <c r="V1251" s="54"/>
      <c r="W1251" s="54"/>
      <c r="X1251" s="54"/>
      <c r="Y1251" s="54"/>
      <c r="Z1251" s="54"/>
      <c r="AA1251" s="54"/>
      <c r="AB1251" s="54"/>
      <c r="AC1251" s="54"/>
    </row>
    <row r="1252" ht="78.0" customHeight="1">
      <c r="A1252" s="941">
        <v>1119.0</v>
      </c>
      <c r="B1252" s="26"/>
      <c r="C1252" s="28"/>
      <c r="D1252" s="825"/>
      <c r="E1252" s="28"/>
      <c r="F1252" s="28"/>
      <c r="G1252" s="28"/>
      <c r="H1252" s="28"/>
      <c r="I1252" s="28"/>
      <c r="J1252" s="28"/>
      <c r="K1252" s="28"/>
      <c r="L1252" s="28"/>
      <c r="M1252" s="28"/>
      <c r="N1252" s="28"/>
      <c r="O1252" s="28"/>
      <c r="P1252" s="28"/>
      <c r="Q1252" s="28"/>
      <c r="R1252" s="28"/>
      <c r="S1252" s="28"/>
      <c r="T1252" s="28"/>
      <c r="U1252" s="28"/>
      <c r="V1252" s="28"/>
      <c r="W1252" s="28"/>
      <c r="X1252" s="28"/>
      <c r="Y1252" s="28"/>
      <c r="Z1252" s="28"/>
      <c r="AA1252" s="28"/>
      <c r="AB1252" s="28"/>
      <c r="AC1252" s="28"/>
    </row>
    <row r="1253" ht="78.0" customHeight="1">
      <c r="A1253" s="946">
        <v>1118.0</v>
      </c>
      <c r="B1253" s="52"/>
      <c r="C1253" s="54"/>
      <c r="D1253" s="855"/>
      <c r="E1253" s="54"/>
      <c r="F1253" s="54"/>
      <c r="G1253" s="54"/>
      <c r="H1253" s="54"/>
      <c r="I1253" s="54"/>
      <c r="J1253" s="54"/>
      <c r="K1253" s="54"/>
      <c r="L1253" s="54"/>
      <c r="M1253" s="54"/>
      <c r="N1253" s="54"/>
      <c r="O1253" s="54"/>
      <c r="P1253" s="54"/>
      <c r="Q1253" s="54"/>
      <c r="R1253" s="54"/>
      <c r="S1253" s="54"/>
      <c r="T1253" s="54"/>
      <c r="U1253" s="54"/>
      <c r="V1253" s="54"/>
      <c r="W1253" s="54"/>
      <c r="X1253" s="54"/>
      <c r="Y1253" s="54"/>
      <c r="Z1253" s="54"/>
      <c r="AA1253" s="54"/>
      <c r="AB1253" s="54"/>
      <c r="AC1253" s="54"/>
    </row>
    <row r="1254" ht="78.0" customHeight="1">
      <c r="A1254" s="941">
        <v>1117.0</v>
      </c>
      <c r="B1254" s="26"/>
      <c r="C1254" s="28"/>
      <c r="D1254" s="825"/>
      <c r="E1254" s="28"/>
      <c r="F1254" s="28"/>
      <c r="G1254" s="28"/>
      <c r="H1254" s="28"/>
      <c r="I1254" s="28"/>
      <c r="J1254" s="28"/>
      <c r="K1254" s="28"/>
      <c r="L1254" s="28"/>
      <c r="M1254" s="28"/>
      <c r="N1254" s="28"/>
      <c r="O1254" s="28"/>
      <c r="P1254" s="28"/>
      <c r="Q1254" s="28"/>
      <c r="R1254" s="28"/>
      <c r="S1254" s="28"/>
      <c r="T1254" s="28"/>
      <c r="U1254" s="28"/>
      <c r="V1254" s="28"/>
      <c r="W1254" s="28"/>
      <c r="X1254" s="28"/>
      <c r="Y1254" s="28"/>
      <c r="Z1254" s="28"/>
      <c r="AA1254" s="28"/>
      <c r="AB1254" s="28"/>
      <c r="AC1254" s="28"/>
    </row>
    <row r="1255" ht="78.0" customHeight="1">
      <c r="A1255" s="946">
        <v>1116.0</v>
      </c>
      <c r="B1255" s="52"/>
      <c r="C1255" s="54"/>
      <c r="D1255" s="855"/>
      <c r="E1255" s="54"/>
      <c r="F1255" s="54"/>
      <c r="G1255" s="54"/>
      <c r="H1255" s="54"/>
      <c r="I1255" s="54"/>
      <c r="J1255" s="54"/>
      <c r="K1255" s="54"/>
      <c r="L1255" s="54"/>
      <c r="M1255" s="54"/>
      <c r="N1255" s="54"/>
      <c r="O1255" s="54"/>
      <c r="P1255" s="54"/>
      <c r="Q1255" s="54"/>
      <c r="R1255" s="54"/>
      <c r="S1255" s="54"/>
      <c r="T1255" s="54"/>
      <c r="U1255" s="54"/>
      <c r="V1255" s="54"/>
      <c r="W1255" s="54"/>
      <c r="X1255" s="54"/>
      <c r="Y1255" s="54"/>
      <c r="Z1255" s="54"/>
      <c r="AA1255" s="54"/>
      <c r="AB1255" s="54"/>
      <c r="AC1255" s="54"/>
    </row>
    <row r="1256" ht="78.0" customHeight="1">
      <c r="A1256" s="941">
        <v>1115.0</v>
      </c>
      <c r="B1256" s="26"/>
      <c r="C1256" s="28"/>
      <c r="D1256" s="825"/>
      <c r="E1256" s="28"/>
      <c r="F1256" s="28"/>
      <c r="G1256" s="28"/>
      <c r="H1256" s="28"/>
      <c r="I1256" s="28"/>
      <c r="J1256" s="28"/>
      <c r="K1256" s="28"/>
      <c r="L1256" s="28"/>
      <c r="M1256" s="28"/>
      <c r="N1256" s="28"/>
      <c r="O1256" s="28"/>
      <c r="P1256" s="28"/>
      <c r="Q1256" s="28"/>
      <c r="R1256" s="28"/>
      <c r="S1256" s="28"/>
      <c r="T1256" s="28"/>
      <c r="U1256" s="28"/>
      <c r="V1256" s="28"/>
      <c r="W1256" s="28"/>
      <c r="X1256" s="28"/>
      <c r="Y1256" s="28"/>
      <c r="Z1256" s="28"/>
      <c r="AA1256" s="28"/>
      <c r="AB1256" s="28"/>
      <c r="AC1256" s="28"/>
    </row>
    <row r="1257" ht="78.0" customHeight="1">
      <c r="A1257" s="946">
        <v>1114.0</v>
      </c>
      <c r="B1257" s="52"/>
      <c r="C1257" s="54"/>
      <c r="D1257" s="855"/>
      <c r="E1257" s="54"/>
      <c r="F1257" s="54"/>
      <c r="G1257" s="54"/>
      <c r="H1257" s="54"/>
      <c r="I1257" s="54"/>
      <c r="J1257" s="54"/>
      <c r="K1257" s="54"/>
      <c r="L1257" s="54"/>
      <c r="M1257" s="54"/>
      <c r="N1257" s="54"/>
      <c r="O1257" s="54"/>
      <c r="P1257" s="54"/>
      <c r="Q1257" s="54"/>
      <c r="R1257" s="54"/>
      <c r="S1257" s="54"/>
      <c r="T1257" s="54"/>
      <c r="U1257" s="54"/>
      <c r="V1257" s="54"/>
      <c r="W1257" s="54"/>
      <c r="X1257" s="54"/>
      <c r="Y1257" s="54"/>
      <c r="Z1257" s="54"/>
      <c r="AA1257" s="54"/>
      <c r="AB1257" s="54"/>
      <c r="AC1257" s="54"/>
    </row>
    <row r="1258" ht="78.0" customHeight="1">
      <c r="A1258" s="941">
        <v>1113.0</v>
      </c>
      <c r="B1258" s="26"/>
      <c r="C1258" s="28"/>
      <c r="D1258" s="825"/>
      <c r="E1258" s="28"/>
      <c r="F1258" s="28"/>
      <c r="G1258" s="28"/>
      <c r="H1258" s="28"/>
      <c r="I1258" s="28"/>
      <c r="J1258" s="28"/>
      <c r="K1258" s="28"/>
      <c r="L1258" s="28"/>
      <c r="M1258" s="28"/>
      <c r="N1258" s="28"/>
      <c r="O1258" s="28"/>
      <c r="P1258" s="28"/>
      <c r="Q1258" s="28"/>
      <c r="R1258" s="28"/>
      <c r="S1258" s="28"/>
      <c r="T1258" s="28"/>
      <c r="U1258" s="28"/>
      <c r="V1258" s="28"/>
      <c r="W1258" s="28"/>
      <c r="X1258" s="28"/>
      <c r="Y1258" s="28"/>
      <c r="Z1258" s="28"/>
      <c r="AA1258" s="28"/>
      <c r="AB1258" s="28"/>
      <c r="AC1258" s="28"/>
    </row>
    <row r="1259" ht="78.0" customHeight="1">
      <c r="A1259" s="946">
        <v>1112.0</v>
      </c>
      <c r="B1259" s="52"/>
      <c r="C1259" s="54"/>
      <c r="D1259" s="855"/>
      <c r="E1259" s="54"/>
      <c r="F1259" s="54"/>
      <c r="G1259" s="54"/>
      <c r="H1259" s="54"/>
      <c r="I1259" s="54"/>
      <c r="J1259" s="54"/>
      <c r="K1259" s="54"/>
      <c r="L1259" s="54"/>
      <c r="M1259" s="54"/>
      <c r="N1259" s="54"/>
      <c r="O1259" s="54"/>
      <c r="P1259" s="54"/>
      <c r="Q1259" s="54"/>
      <c r="R1259" s="54"/>
      <c r="S1259" s="54"/>
      <c r="T1259" s="54"/>
      <c r="U1259" s="54"/>
      <c r="V1259" s="54"/>
      <c r="W1259" s="54"/>
      <c r="X1259" s="54"/>
      <c r="Y1259" s="54"/>
      <c r="Z1259" s="54"/>
      <c r="AA1259" s="54"/>
      <c r="AB1259" s="54"/>
      <c r="AC1259" s="54"/>
    </row>
    <row r="1260" ht="78.0" customHeight="1">
      <c r="A1260" s="941">
        <v>1111.0</v>
      </c>
      <c r="B1260" s="26"/>
      <c r="C1260" s="28"/>
      <c r="D1260" s="825"/>
      <c r="E1260" s="28"/>
      <c r="F1260" s="28"/>
      <c r="G1260" s="28"/>
      <c r="H1260" s="28"/>
      <c r="I1260" s="28"/>
      <c r="J1260" s="28"/>
      <c r="K1260" s="28"/>
      <c r="L1260" s="28"/>
      <c r="M1260" s="28"/>
      <c r="N1260" s="28"/>
      <c r="O1260" s="28"/>
      <c r="P1260" s="28"/>
      <c r="Q1260" s="28"/>
      <c r="R1260" s="28"/>
      <c r="S1260" s="28"/>
      <c r="T1260" s="28"/>
      <c r="U1260" s="28"/>
      <c r="V1260" s="28"/>
      <c r="W1260" s="28"/>
      <c r="X1260" s="28"/>
      <c r="Y1260" s="28"/>
      <c r="Z1260" s="28"/>
      <c r="AA1260" s="28"/>
      <c r="AB1260" s="28"/>
      <c r="AC1260" s="28"/>
    </row>
    <row r="1261" ht="78.0" customHeight="1">
      <c r="A1261" s="946">
        <v>1110.0</v>
      </c>
      <c r="B1261" s="52"/>
      <c r="C1261" s="54"/>
      <c r="D1261" s="855"/>
      <c r="E1261" s="54"/>
      <c r="F1261" s="54"/>
      <c r="G1261" s="54"/>
      <c r="H1261" s="54"/>
      <c r="I1261" s="54"/>
      <c r="J1261" s="54"/>
      <c r="K1261" s="54"/>
      <c r="L1261" s="54"/>
      <c r="M1261" s="54"/>
      <c r="N1261" s="54"/>
      <c r="O1261" s="54"/>
      <c r="P1261" s="54"/>
      <c r="Q1261" s="54"/>
      <c r="R1261" s="54"/>
      <c r="S1261" s="54"/>
      <c r="T1261" s="54"/>
      <c r="U1261" s="54"/>
      <c r="V1261" s="54"/>
      <c r="W1261" s="54"/>
      <c r="X1261" s="54"/>
      <c r="Y1261" s="54"/>
      <c r="Z1261" s="54"/>
      <c r="AA1261" s="54"/>
      <c r="AB1261" s="54"/>
      <c r="AC1261" s="54"/>
    </row>
    <row r="1262" ht="78.0" customHeight="1">
      <c r="A1262" s="941">
        <v>1109.0</v>
      </c>
      <c r="B1262" s="26"/>
      <c r="C1262" s="28"/>
      <c r="D1262" s="825"/>
      <c r="E1262" s="28"/>
      <c r="F1262" s="28"/>
      <c r="G1262" s="28"/>
      <c r="H1262" s="28"/>
      <c r="I1262" s="28"/>
      <c r="J1262" s="28"/>
      <c r="K1262" s="28"/>
      <c r="L1262" s="28"/>
      <c r="M1262" s="28"/>
      <c r="N1262" s="28"/>
      <c r="O1262" s="28"/>
      <c r="P1262" s="28"/>
      <c r="Q1262" s="28"/>
      <c r="R1262" s="28"/>
      <c r="S1262" s="28"/>
      <c r="T1262" s="28"/>
      <c r="U1262" s="28"/>
      <c r="V1262" s="28"/>
      <c r="W1262" s="28"/>
      <c r="X1262" s="28"/>
      <c r="Y1262" s="28"/>
      <c r="Z1262" s="28"/>
      <c r="AA1262" s="28"/>
      <c r="AB1262" s="28"/>
      <c r="AC1262" s="28"/>
    </row>
    <row r="1263" ht="78.0" customHeight="1">
      <c r="A1263" s="946">
        <v>1108.0</v>
      </c>
      <c r="B1263" s="52"/>
      <c r="C1263" s="54"/>
      <c r="D1263" s="855"/>
      <c r="E1263" s="54"/>
      <c r="F1263" s="54"/>
      <c r="G1263" s="54"/>
      <c r="H1263" s="54"/>
      <c r="I1263" s="54"/>
      <c r="J1263" s="54"/>
      <c r="K1263" s="54"/>
      <c r="L1263" s="54"/>
      <c r="M1263" s="54"/>
      <c r="N1263" s="54"/>
      <c r="O1263" s="54"/>
      <c r="P1263" s="54"/>
      <c r="Q1263" s="54"/>
      <c r="R1263" s="54"/>
      <c r="S1263" s="54"/>
      <c r="T1263" s="54"/>
      <c r="U1263" s="54"/>
      <c r="V1263" s="54"/>
      <c r="W1263" s="54"/>
      <c r="X1263" s="54"/>
      <c r="Y1263" s="54"/>
      <c r="Z1263" s="54"/>
      <c r="AA1263" s="54"/>
      <c r="AB1263" s="54"/>
      <c r="AC1263" s="54"/>
    </row>
    <row r="1264" ht="78.0" customHeight="1">
      <c r="A1264" s="941">
        <v>1107.0</v>
      </c>
      <c r="B1264" s="26"/>
      <c r="C1264" s="28"/>
      <c r="D1264" s="825"/>
      <c r="E1264" s="28"/>
      <c r="F1264" s="28"/>
      <c r="G1264" s="28"/>
      <c r="H1264" s="28"/>
      <c r="I1264" s="28"/>
      <c r="J1264" s="28"/>
      <c r="K1264" s="28"/>
      <c r="L1264" s="28"/>
      <c r="M1264" s="28"/>
      <c r="N1264" s="28"/>
      <c r="O1264" s="28"/>
      <c r="P1264" s="28"/>
      <c r="Q1264" s="28"/>
      <c r="R1264" s="28"/>
      <c r="S1264" s="28"/>
      <c r="T1264" s="28"/>
      <c r="U1264" s="28"/>
      <c r="V1264" s="28"/>
      <c r="W1264" s="28"/>
      <c r="X1264" s="28"/>
      <c r="Y1264" s="28"/>
      <c r="Z1264" s="28"/>
      <c r="AA1264" s="28"/>
      <c r="AB1264" s="28"/>
      <c r="AC1264" s="28"/>
    </row>
    <row r="1265" ht="78.0" customHeight="1">
      <c r="A1265" s="946">
        <v>1106.0</v>
      </c>
      <c r="B1265" s="52"/>
      <c r="C1265" s="54"/>
      <c r="D1265" s="855"/>
      <c r="E1265" s="54"/>
      <c r="F1265" s="54"/>
      <c r="G1265" s="54"/>
      <c r="H1265" s="54"/>
      <c r="I1265" s="54"/>
      <c r="J1265" s="54"/>
      <c r="K1265" s="54"/>
      <c r="L1265" s="54"/>
      <c r="M1265" s="54"/>
      <c r="N1265" s="54"/>
      <c r="O1265" s="54"/>
      <c r="P1265" s="54"/>
      <c r="Q1265" s="54"/>
      <c r="R1265" s="54"/>
      <c r="S1265" s="54"/>
      <c r="T1265" s="54"/>
      <c r="U1265" s="54"/>
      <c r="V1265" s="54"/>
      <c r="W1265" s="54"/>
      <c r="X1265" s="54"/>
      <c r="Y1265" s="54"/>
      <c r="Z1265" s="54"/>
      <c r="AA1265" s="54"/>
      <c r="AB1265" s="54"/>
      <c r="AC1265" s="54"/>
    </row>
    <row r="1266" ht="78.0" customHeight="1">
      <c r="A1266" s="941">
        <v>1105.0</v>
      </c>
      <c r="B1266" s="26"/>
      <c r="C1266" s="28"/>
      <c r="D1266" s="825"/>
      <c r="E1266" s="28"/>
      <c r="F1266" s="28"/>
      <c r="G1266" s="28"/>
      <c r="H1266" s="28"/>
      <c r="I1266" s="28"/>
      <c r="J1266" s="28"/>
      <c r="K1266" s="28"/>
      <c r="L1266" s="28"/>
      <c r="M1266" s="28"/>
      <c r="N1266" s="28"/>
      <c r="O1266" s="28"/>
      <c r="P1266" s="28"/>
      <c r="Q1266" s="28"/>
      <c r="R1266" s="28"/>
      <c r="S1266" s="28"/>
      <c r="T1266" s="28"/>
      <c r="U1266" s="28"/>
      <c r="V1266" s="28"/>
      <c r="W1266" s="28"/>
      <c r="X1266" s="28"/>
      <c r="Y1266" s="28"/>
      <c r="Z1266" s="28"/>
      <c r="AA1266" s="28"/>
      <c r="AB1266" s="28"/>
      <c r="AC1266" s="28"/>
    </row>
    <row r="1267" ht="78.0" customHeight="1">
      <c r="A1267" s="946">
        <v>1104.0</v>
      </c>
      <c r="B1267" s="52"/>
      <c r="C1267" s="54"/>
      <c r="D1267" s="855"/>
      <c r="E1267" s="54"/>
      <c r="F1267" s="54"/>
      <c r="G1267" s="54"/>
      <c r="H1267" s="54"/>
      <c r="I1267" s="54"/>
      <c r="J1267" s="54"/>
      <c r="K1267" s="54"/>
      <c r="L1267" s="54"/>
      <c r="M1267" s="54"/>
      <c r="N1267" s="54"/>
      <c r="O1267" s="54"/>
      <c r="P1267" s="54"/>
      <c r="Q1267" s="54"/>
      <c r="R1267" s="54"/>
      <c r="S1267" s="54"/>
      <c r="T1267" s="54"/>
      <c r="U1267" s="54"/>
      <c r="V1267" s="54"/>
      <c r="W1267" s="54"/>
      <c r="X1267" s="54"/>
      <c r="Y1267" s="54"/>
      <c r="Z1267" s="54"/>
      <c r="AA1267" s="54"/>
      <c r="AB1267" s="54"/>
      <c r="AC1267" s="54"/>
    </row>
    <row r="1268" ht="78.0" customHeight="1">
      <c r="A1268" s="941">
        <v>1103.0</v>
      </c>
      <c r="B1268" s="26"/>
      <c r="C1268" s="28"/>
      <c r="D1268" s="825"/>
      <c r="E1268" s="28"/>
      <c r="F1268" s="28"/>
      <c r="G1268" s="28"/>
      <c r="H1268" s="28"/>
      <c r="I1268" s="28"/>
      <c r="J1268" s="28"/>
      <c r="K1268" s="28"/>
      <c r="L1268" s="28"/>
      <c r="M1268" s="28"/>
      <c r="N1268" s="28"/>
      <c r="O1268" s="28"/>
      <c r="P1268" s="28"/>
      <c r="Q1268" s="28"/>
      <c r="R1268" s="28"/>
      <c r="S1268" s="28"/>
      <c r="T1268" s="28"/>
      <c r="U1268" s="28"/>
      <c r="V1268" s="28"/>
      <c r="W1268" s="28"/>
      <c r="X1268" s="28"/>
      <c r="Y1268" s="28"/>
      <c r="Z1268" s="28"/>
      <c r="AA1268" s="28"/>
      <c r="AB1268" s="28"/>
      <c r="AC1268" s="28"/>
    </row>
    <row r="1269" ht="78.0" customHeight="1">
      <c r="A1269" s="946">
        <v>1102.0</v>
      </c>
      <c r="B1269" s="52"/>
      <c r="C1269" s="54"/>
      <c r="D1269" s="855"/>
      <c r="E1269" s="54"/>
      <c r="F1269" s="54"/>
      <c r="G1269" s="54"/>
      <c r="H1269" s="54"/>
      <c r="I1269" s="54"/>
      <c r="J1269" s="54"/>
      <c r="K1269" s="54"/>
      <c r="L1269" s="54"/>
      <c r="M1269" s="54"/>
      <c r="N1269" s="54"/>
      <c r="O1269" s="54"/>
      <c r="P1269" s="54"/>
      <c r="Q1269" s="54"/>
      <c r="R1269" s="54"/>
      <c r="S1269" s="54"/>
      <c r="T1269" s="54"/>
      <c r="U1269" s="54"/>
      <c r="V1269" s="54"/>
      <c r="W1269" s="54"/>
      <c r="X1269" s="54"/>
      <c r="Y1269" s="54"/>
      <c r="Z1269" s="54"/>
      <c r="AA1269" s="54"/>
      <c r="AB1269" s="54"/>
      <c r="AC1269" s="54"/>
    </row>
    <row r="1270" ht="78.0" customHeight="1">
      <c r="A1270" s="941">
        <v>1101.0</v>
      </c>
      <c r="B1270" s="26"/>
      <c r="C1270" s="28"/>
      <c r="D1270" s="825"/>
      <c r="E1270" s="28"/>
      <c r="F1270" s="28"/>
      <c r="G1270" s="28"/>
      <c r="H1270" s="28"/>
      <c r="I1270" s="28"/>
      <c r="J1270" s="28"/>
      <c r="K1270" s="28"/>
      <c r="L1270" s="28"/>
      <c r="M1270" s="28"/>
      <c r="N1270" s="28"/>
      <c r="O1270" s="28"/>
      <c r="P1270" s="28"/>
      <c r="Q1270" s="28"/>
      <c r="R1270" s="28"/>
      <c r="S1270" s="28"/>
      <c r="T1270" s="28"/>
      <c r="U1270" s="28"/>
      <c r="V1270" s="28"/>
      <c r="W1270" s="28"/>
      <c r="X1270" s="28"/>
      <c r="Y1270" s="28"/>
      <c r="Z1270" s="28"/>
      <c r="AA1270" s="28"/>
      <c r="AB1270" s="28"/>
      <c r="AC1270" s="28"/>
    </row>
    <row r="1271" ht="78.0" customHeight="1">
      <c r="A1271" s="946">
        <v>1100.0</v>
      </c>
      <c r="B1271" s="52"/>
      <c r="C1271" s="54"/>
      <c r="D1271" s="855"/>
      <c r="E1271" s="54"/>
      <c r="F1271" s="54"/>
      <c r="G1271" s="54"/>
      <c r="H1271" s="54"/>
      <c r="I1271" s="54"/>
      <c r="J1271" s="54"/>
      <c r="K1271" s="54"/>
      <c r="L1271" s="54"/>
      <c r="M1271" s="54"/>
      <c r="N1271" s="54"/>
      <c r="O1271" s="54"/>
      <c r="P1271" s="54"/>
      <c r="Q1271" s="54"/>
      <c r="R1271" s="54"/>
      <c r="S1271" s="54"/>
      <c r="T1271" s="54"/>
      <c r="U1271" s="54"/>
      <c r="V1271" s="54"/>
      <c r="W1271" s="54"/>
      <c r="X1271" s="54"/>
      <c r="Y1271" s="54"/>
      <c r="Z1271" s="54"/>
      <c r="AA1271" s="54"/>
      <c r="AB1271" s="54"/>
      <c r="AC1271" s="54"/>
    </row>
    <row r="1272" ht="78.0" customHeight="1">
      <c r="A1272" s="941">
        <v>1099.0</v>
      </c>
      <c r="B1272" s="26"/>
      <c r="C1272" s="28"/>
      <c r="D1272" s="825"/>
      <c r="E1272" s="28"/>
      <c r="F1272" s="28"/>
      <c r="G1272" s="28"/>
      <c r="H1272" s="28"/>
      <c r="I1272" s="28"/>
      <c r="J1272" s="28"/>
      <c r="K1272" s="28"/>
      <c r="L1272" s="28"/>
      <c r="M1272" s="28"/>
      <c r="N1272" s="28"/>
      <c r="O1272" s="28"/>
      <c r="P1272" s="28"/>
      <c r="Q1272" s="28"/>
      <c r="R1272" s="28"/>
      <c r="S1272" s="28"/>
      <c r="T1272" s="28"/>
      <c r="U1272" s="28"/>
      <c r="V1272" s="28"/>
      <c r="W1272" s="28"/>
      <c r="X1272" s="28"/>
      <c r="Y1272" s="28"/>
      <c r="Z1272" s="28"/>
      <c r="AA1272" s="28"/>
      <c r="AB1272" s="28"/>
      <c r="AC1272" s="28"/>
    </row>
    <row r="1273" ht="78.0" customHeight="1">
      <c r="A1273" s="946">
        <v>1098.0</v>
      </c>
      <c r="B1273" s="52"/>
      <c r="C1273" s="54"/>
      <c r="D1273" s="855"/>
      <c r="E1273" s="54"/>
      <c r="F1273" s="54"/>
      <c r="G1273" s="54"/>
      <c r="H1273" s="54"/>
      <c r="I1273" s="54"/>
      <c r="J1273" s="54"/>
      <c r="K1273" s="54"/>
      <c r="L1273" s="54"/>
      <c r="M1273" s="54"/>
      <c r="N1273" s="54"/>
      <c r="O1273" s="54"/>
      <c r="P1273" s="54"/>
      <c r="Q1273" s="54"/>
      <c r="R1273" s="54"/>
      <c r="S1273" s="54"/>
      <c r="T1273" s="54"/>
      <c r="U1273" s="54"/>
      <c r="V1273" s="54"/>
      <c r="W1273" s="54"/>
      <c r="X1273" s="54"/>
      <c r="Y1273" s="54"/>
      <c r="Z1273" s="54"/>
      <c r="AA1273" s="54"/>
      <c r="AB1273" s="54"/>
      <c r="AC1273" s="54"/>
    </row>
    <row r="1274" ht="78.0" customHeight="1">
      <c r="A1274" s="941">
        <v>1097.0</v>
      </c>
      <c r="B1274" s="26"/>
      <c r="C1274" s="28"/>
      <c r="D1274" s="825"/>
      <c r="E1274" s="28"/>
      <c r="F1274" s="28"/>
      <c r="G1274" s="28"/>
      <c r="H1274" s="28"/>
      <c r="I1274" s="28"/>
      <c r="J1274" s="28"/>
      <c r="K1274" s="28"/>
      <c r="L1274" s="28"/>
      <c r="M1274" s="28"/>
      <c r="N1274" s="28"/>
      <c r="O1274" s="28"/>
      <c r="P1274" s="28"/>
      <c r="Q1274" s="28"/>
      <c r="R1274" s="28"/>
      <c r="S1274" s="28"/>
      <c r="T1274" s="28"/>
      <c r="U1274" s="28"/>
      <c r="V1274" s="28"/>
      <c r="W1274" s="28"/>
      <c r="X1274" s="28"/>
      <c r="Y1274" s="28"/>
      <c r="Z1274" s="28"/>
      <c r="AA1274" s="28"/>
      <c r="AB1274" s="28"/>
      <c r="AC1274" s="28"/>
    </row>
    <row r="1275" ht="78.0" customHeight="1">
      <c r="A1275" s="946">
        <v>1096.0</v>
      </c>
      <c r="B1275" s="52"/>
      <c r="C1275" s="54"/>
      <c r="D1275" s="855"/>
      <c r="E1275" s="54"/>
      <c r="F1275" s="54"/>
      <c r="G1275" s="54"/>
      <c r="H1275" s="54"/>
      <c r="I1275" s="54"/>
      <c r="J1275" s="54"/>
      <c r="K1275" s="54"/>
      <c r="L1275" s="54"/>
      <c r="M1275" s="54"/>
      <c r="N1275" s="54"/>
      <c r="O1275" s="54"/>
      <c r="P1275" s="54"/>
      <c r="Q1275" s="54"/>
      <c r="R1275" s="54"/>
      <c r="S1275" s="54"/>
      <c r="T1275" s="54"/>
      <c r="U1275" s="54"/>
      <c r="V1275" s="54"/>
      <c r="W1275" s="54"/>
      <c r="X1275" s="54"/>
      <c r="Y1275" s="54"/>
      <c r="Z1275" s="54"/>
      <c r="AA1275" s="54"/>
      <c r="AB1275" s="54"/>
      <c r="AC1275" s="54"/>
    </row>
    <row r="1276" ht="78.0" customHeight="1">
      <c r="A1276" s="941">
        <v>1095.0</v>
      </c>
      <c r="B1276" s="26"/>
      <c r="C1276" s="28"/>
      <c r="D1276" s="825"/>
      <c r="E1276" s="28"/>
      <c r="F1276" s="28"/>
      <c r="G1276" s="28"/>
      <c r="H1276" s="28"/>
      <c r="I1276" s="28"/>
      <c r="J1276" s="28"/>
      <c r="K1276" s="28"/>
      <c r="L1276" s="28"/>
      <c r="M1276" s="28"/>
      <c r="N1276" s="28"/>
      <c r="O1276" s="28"/>
      <c r="P1276" s="28"/>
      <c r="Q1276" s="28"/>
      <c r="R1276" s="28"/>
      <c r="S1276" s="28"/>
      <c r="T1276" s="28"/>
      <c r="U1276" s="28"/>
      <c r="V1276" s="28"/>
      <c r="W1276" s="28"/>
      <c r="X1276" s="28"/>
      <c r="Y1276" s="28"/>
      <c r="Z1276" s="28"/>
      <c r="AA1276" s="28"/>
      <c r="AB1276" s="28"/>
      <c r="AC1276" s="28"/>
    </row>
    <row r="1277" ht="78.0" customHeight="1">
      <c r="A1277" s="946">
        <v>1094.0</v>
      </c>
      <c r="B1277" s="52"/>
      <c r="C1277" s="54"/>
      <c r="D1277" s="855"/>
      <c r="E1277" s="54"/>
      <c r="F1277" s="54"/>
      <c r="G1277" s="54"/>
      <c r="H1277" s="54"/>
      <c r="I1277" s="54"/>
      <c r="J1277" s="54"/>
      <c r="K1277" s="54"/>
      <c r="L1277" s="54"/>
      <c r="M1277" s="54"/>
      <c r="N1277" s="54"/>
      <c r="O1277" s="54"/>
      <c r="P1277" s="54"/>
      <c r="Q1277" s="54"/>
      <c r="R1277" s="54"/>
      <c r="S1277" s="54"/>
      <c r="T1277" s="54"/>
      <c r="U1277" s="54"/>
      <c r="V1277" s="54"/>
      <c r="W1277" s="54"/>
      <c r="X1277" s="54"/>
      <c r="Y1277" s="54"/>
      <c r="Z1277" s="54"/>
      <c r="AA1277" s="54"/>
      <c r="AB1277" s="54"/>
      <c r="AC1277" s="54"/>
    </row>
    <row r="1278" ht="78.0" customHeight="1">
      <c r="A1278" s="941">
        <v>1093.0</v>
      </c>
      <c r="B1278" s="26"/>
      <c r="C1278" s="28"/>
      <c r="D1278" s="825"/>
      <c r="E1278" s="28"/>
      <c r="F1278" s="28"/>
      <c r="G1278" s="28"/>
      <c r="H1278" s="28"/>
      <c r="I1278" s="28"/>
      <c r="J1278" s="28"/>
      <c r="K1278" s="28"/>
      <c r="L1278" s="28"/>
      <c r="M1278" s="28"/>
      <c r="N1278" s="28"/>
      <c r="O1278" s="28"/>
      <c r="P1278" s="28"/>
      <c r="Q1278" s="28"/>
      <c r="R1278" s="28"/>
      <c r="S1278" s="28"/>
      <c r="T1278" s="28"/>
      <c r="U1278" s="28"/>
      <c r="V1278" s="28"/>
      <c r="W1278" s="28"/>
      <c r="X1278" s="28"/>
      <c r="Y1278" s="28"/>
      <c r="Z1278" s="28"/>
      <c r="AA1278" s="28"/>
      <c r="AB1278" s="28"/>
      <c r="AC1278" s="28"/>
    </row>
    <row r="1279" ht="78.0" customHeight="1">
      <c r="A1279" s="946">
        <v>1092.0</v>
      </c>
      <c r="B1279" s="52"/>
      <c r="C1279" s="54"/>
      <c r="D1279" s="855"/>
      <c r="E1279" s="54"/>
      <c r="F1279" s="54"/>
      <c r="G1279" s="54"/>
      <c r="H1279" s="54"/>
      <c r="I1279" s="54"/>
      <c r="J1279" s="54"/>
      <c r="K1279" s="54"/>
      <c r="L1279" s="54"/>
      <c r="M1279" s="54"/>
      <c r="N1279" s="54"/>
      <c r="O1279" s="54"/>
      <c r="P1279" s="54"/>
      <c r="Q1279" s="54"/>
      <c r="R1279" s="54"/>
      <c r="S1279" s="54"/>
      <c r="T1279" s="54"/>
      <c r="U1279" s="54"/>
      <c r="V1279" s="54"/>
      <c r="W1279" s="54"/>
      <c r="X1279" s="54"/>
      <c r="Y1279" s="54"/>
      <c r="Z1279" s="54"/>
      <c r="AA1279" s="54"/>
      <c r="AB1279" s="54"/>
      <c r="AC1279" s="54"/>
    </row>
    <row r="1280" ht="78.0" customHeight="1">
      <c r="A1280" s="941">
        <v>1091.0</v>
      </c>
      <c r="B1280" s="26"/>
      <c r="C1280" s="28"/>
      <c r="D1280" s="825"/>
      <c r="E1280" s="28"/>
      <c r="F1280" s="28"/>
      <c r="G1280" s="28"/>
      <c r="H1280" s="28"/>
      <c r="I1280" s="28"/>
      <c r="J1280" s="28"/>
      <c r="K1280" s="28"/>
      <c r="L1280" s="28"/>
      <c r="M1280" s="28"/>
      <c r="N1280" s="28"/>
      <c r="O1280" s="28"/>
      <c r="P1280" s="28"/>
      <c r="Q1280" s="28"/>
      <c r="R1280" s="28"/>
      <c r="S1280" s="28"/>
      <c r="T1280" s="28"/>
      <c r="U1280" s="28"/>
      <c r="V1280" s="28"/>
      <c r="W1280" s="28"/>
      <c r="X1280" s="28"/>
      <c r="Y1280" s="28"/>
      <c r="Z1280" s="28"/>
      <c r="AA1280" s="28"/>
      <c r="AB1280" s="28"/>
      <c r="AC1280" s="28"/>
    </row>
    <row r="1281" ht="78.0" customHeight="1">
      <c r="A1281" s="946">
        <v>1090.0</v>
      </c>
      <c r="B1281" s="52"/>
      <c r="C1281" s="54"/>
      <c r="D1281" s="855"/>
      <c r="E1281" s="54"/>
      <c r="F1281" s="54"/>
      <c r="G1281" s="54"/>
      <c r="H1281" s="54"/>
      <c r="I1281" s="54"/>
      <c r="J1281" s="54"/>
      <c r="K1281" s="54"/>
      <c r="L1281" s="54"/>
      <c r="M1281" s="54"/>
      <c r="N1281" s="54"/>
      <c r="O1281" s="54"/>
      <c r="P1281" s="54"/>
      <c r="Q1281" s="54"/>
      <c r="R1281" s="54"/>
      <c r="S1281" s="54"/>
      <c r="T1281" s="54"/>
      <c r="U1281" s="54"/>
      <c r="V1281" s="54"/>
      <c r="W1281" s="54"/>
      <c r="X1281" s="54"/>
      <c r="Y1281" s="54"/>
      <c r="Z1281" s="54"/>
      <c r="AA1281" s="54"/>
      <c r="AB1281" s="54"/>
      <c r="AC1281" s="54"/>
    </row>
    <row r="1282" ht="78.0" customHeight="1">
      <c r="A1282" s="941">
        <v>1089.0</v>
      </c>
      <c r="B1282" s="26"/>
      <c r="C1282" s="28"/>
      <c r="D1282" s="825"/>
      <c r="E1282" s="28"/>
      <c r="F1282" s="28"/>
      <c r="G1282" s="28"/>
      <c r="H1282" s="28"/>
      <c r="I1282" s="28"/>
      <c r="J1282" s="28"/>
      <c r="K1282" s="28"/>
      <c r="L1282" s="28"/>
      <c r="M1282" s="28"/>
      <c r="N1282" s="28"/>
      <c r="O1282" s="28"/>
      <c r="P1282" s="28"/>
      <c r="Q1282" s="28"/>
      <c r="R1282" s="28"/>
      <c r="S1282" s="28"/>
      <c r="T1282" s="28"/>
      <c r="U1282" s="28"/>
      <c r="V1282" s="28"/>
      <c r="W1282" s="28"/>
      <c r="X1282" s="28"/>
      <c r="Y1282" s="28"/>
      <c r="Z1282" s="28"/>
      <c r="AA1282" s="28"/>
      <c r="AB1282" s="28"/>
      <c r="AC1282" s="28"/>
    </row>
    <row r="1283" ht="78.0" customHeight="1">
      <c r="A1283" s="946">
        <v>1088.0</v>
      </c>
      <c r="B1283" s="52"/>
      <c r="C1283" s="54"/>
      <c r="D1283" s="855"/>
      <c r="E1283" s="54"/>
      <c r="F1283" s="54"/>
      <c r="G1283" s="54"/>
      <c r="H1283" s="54"/>
      <c r="I1283" s="54"/>
      <c r="J1283" s="54"/>
      <c r="K1283" s="54"/>
      <c r="L1283" s="54"/>
      <c r="M1283" s="54"/>
      <c r="N1283" s="54"/>
      <c r="O1283" s="54"/>
      <c r="P1283" s="54"/>
      <c r="Q1283" s="54"/>
      <c r="R1283" s="54"/>
      <c r="S1283" s="54"/>
      <c r="T1283" s="54"/>
      <c r="U1283" s="54"/>
      <c r="V1283" s="54"/>
      <c r="W1283" s="54"/>
      <c r="X1283" s="54"/>
      <c r="Y1283" s="54"/>
      <c r="Z1283" s="54"/>
      <c r="AA1283" s="54"/>
      <c r="AB1283" s="54"/>
      <c r="AC1283" s="54"/>
    </row>
    <row r="1284" ht="78.0" customHeight="1">
      <c r="A1284" s="941">
        <v>1087.0</v>
      </c>
      <c r="B1284" s="26"/>
      <c r="C1284" s="28"/>
      <c r="D1284" s="825"/>
      <c r="E1284" s="28"/>
      <c r="F1284" s="28"/>
      <c r="G1284" s="28"/>
      <c r="H1284" s="28"/>
      <c r="I1284" s="28"/>
      <c r="J1284" s="28"/>
      <c r="K1284" s="28"/>
      <c r="L1284" s="28"/>
      <c r="M1284" s="28"/>
      <c r="N1284" s="28"/>
      <c r="O1284" s="28"/>
      <c r="P1284" s="28"/>
      <c r="Q1284" s="28"/>
      <c r="R1284" s="28"/>
      <c r="S1284" s="28"/>
      <c r="T1284" s="28"/>
      <c r="U1284" s="28"/>
      <c r="V1284" s="28"/>
      <c r="W1284" s="28"/>
      <c r="X1284" s="28"/>
      <c r="Y1284" s="28"/>
      <c r="Z1284" s="28"/>
      <c r="AA1284" s="28"/>
      <c r="AB1284" s="28"/>
      <c r="AC1284" s="28"/>
    </row>
    <row r="1285" ht="78.0" customHeight="1">
      <c r="A1285" s="946">
        <v>1086.0</v>
      </c>
      <c r="B1285" s="52"/>
      <c r="C1285" s="54"/>
      <c r="D1285" s="855"/>
      <c r="E1285" s="54"/>
      <c r="F1285" s="54"/>
      <c r="G1285" s="54"/>
      <c r="H1285" s="54"/>
      <c r="I1285" s="54"/>
      <c r="J1285" s="54"/>
      <c r="K1285" s="54"/>
      <c r="L1285" s="54"/>
      <c r="M1285" s="54"/>
      <c r="N1285" s="54"/>
      <c r="O1285" s="54"/>
      <c r="P1285" s="54"/>
      <c r="Q1285" s="54"/>
      <c r="R1285" s="54"/>
      <c r="S1285" s="54"/>
      <c r="T1285" s="54"/>
      <c r="U1285" s="54"/>
      <c r="V1285" s="54"/>
      <c r="W1285" s="54"/>
      <c r="X1285" s="54"/>
      <c r="Y1285" s="54"/>
      <c r="Z1285" s="54"/>
      <c r="AA1285" s="54"/>
      <c r="AB1285" s="54"/>
      <c r="AC1285" s="54"/>
    </row>
    <row r="1286" ht="78.0" customHeight="1">
      <c r="A1286" s="941">
        <v>1085.0</v>
      </c>
      <c r="B1286" s="26"/>
      <c r="C1286" s="28"/>
      <c r="D1286" s="825"/>
      <c r="E1286" s="28"/>
      <c r="F1286" s="28"/>
      <c r="G1286" s="28"/>
      <c r="H1286" s="28"/>
      <c r="I1286" s="28"/>
      <c r="J1286" s="28"/>
      <c r="K1286" s="28"/>
      <c r="L1286" s="28"/>
      <c r="M1286" s="28"/>
      <c r="N1286" s="28"/>
      <c r="O1286" s="28"/>
      <c r="P1286" s="28"/>
      <c r="Q1286" s="28"/>
      <c r="R1286" s="28"/>
      <c r="S1286" s="28"/>
      <c r="T1286" s="28"/>
      <c r="U1286" s="28"/>
      <c r="V1286" s="28"/>
      <c r="W1286" s="28"/>
      <c r="X1286" s="28"/>
      <c r="Y1286" s="28"/>
      <c r="Z1286" s="28"/>
      <c r="AA1286" s="28"/>
      <c r="AB1286" s="28"/>
      <c r="AC1286" s="28"/>
    </row>
    <row r="1287" ht="78.0" customHeight="1">
      <c r="A1287" s="946">
        <v>1084.0</v>
      </c>
      <c r="B1287" s="52"/>
      <c r="C1287" s="54"/>
      <c r="D1287" s="855"/>
      <c r="E1287" s="54"/>
      <c r="F1287" s="54"/>
      <c r="G1287" s="54"/>
      <c r="H1287" s="54"/>
      <c r="I1287" s="54"/>
      <c r="J1287" s="54"/>
      <c r="K1287" s="54"/>
      <c r="L1287" s="54"/>
      <c r="M1287" s="54"/>
      <c r="N1287" s="54"/>
      <c r="O1287" s="54"/>
      <c r="P1287" s="54"/>
      <c r="Q1287" s="54"/>
      <c r="R1287" s="54"/>
      <c r="S1287" s="54"/>
      <c r="T1287" s="54"/>
      <c r="U1287" s="54"/>
      <c r="V1287" s="54"/>
      <c r="W1287" s="54"/>
      <c r="X1287" s="54"/>
      <c r="Y1287" s="54"/>
      <c r="Z1287" s="54"/>
      <c r="AA1287" s="54"/>
      <c r="AB1287" s="54"/>
      <c r="AC1287" s="54"/>
    </row>
    <row r="1288" ht="78.0" customHeight="1">
      <c r="A1288" s="941">
        <v>1083.0</v>
      </c>
      <c r="B1288" s="26"/>
      <c r="C1288" s="28"/>
      <c r="D1288" s="825"/>
      <c r="E1288" s="28"/>
      <c r="F1288" s="28"/>
      <c r="G1288" s="28"/>
      <c r="H1288" s="28"/>
      <c r="I1288" s="28"/>
      <c r="J1288" s="28"/>
      <c r="K1288" s="28"/>
      <c r="L1288" s="28"/>
      <c r="M1288" s="28"/>
      <c r="N1288" s="28"/>
      <c r="O1288" s="28"/>
      <c r="P1288" s="28"/>
      <c r="Q1288" s="28"/>
      <c r="R1288" s="28"/>
      <c r="S1288" s="28"/>
      <c r="T1288" s="28"/>
      <c r="U1288" s="28"/>
      <c r="V1288" s="28"/>
      <c r="W1288" s="28"/>
      <c r="X1288" s="28"/>
      <c r="Y1288" s="28"/>
      <c r="Z1288" s="28"/>
      <c r="AA1288" s="28"/>
      <c r="AB1288" s="28"/>
      <c r="AC1288" s="28"/>
    </row>
    <row r="1289" ht="78.0" customHeight="1">
      <c r="A1289" s="946">
        <v>1082.0</v>
      </c>
      <c r="B1289" s="52"/>
      <c r="C1289" s="54"/>
      <c r="D1289" s="855"/>
      <c r="E1289" s="54"/>
      <c r="F1289" s="54"/>
      <c r="G1289" s="54"/>
      <c r="H1289" s="54"/>
      <c r="I1289" s="54"/>
      <c r="J1289" s="54"/>
      <c r="K1289" s="54"/>
      <c r="L1289" s="54"/>
      <c r="M1289" s="54"/>
      <c r="N1289" s="54"/>
      <c r="O1289" s="54"/>
      <c r="P1289" s="54"/>
      <c r="Q1289" s="54"/>
      <c r="R1289" s="54"/>
      <c r="S1289" s="54"/>
      <c r="T1289" s="54"/>
      <c r="U1289" s="54"/>
      <c r="V1289" s="54"/>
      <c r="W1289" s="54"/>
      <c r="X1289" s="54"/>
      <c r="Y1289" s="54"/>
      <c r="Z1289" s="54"/>
      <c r="AA1289" s="54"/>
      <c r="AB1289" s="54"/>
      <c r="AC1289" s="54"/>
    </row>
    <row r="1290" ht="78.0" customHeight="1">
      <c r="A1290" s="941">
        <v>1081.0</v>
      </c>
      <c r="B1290" s="26"/>
      <c r="C1290" s="28"/>
      <c r="D1290" s="825"/>
      <c r="E1290" s="28"/>
      <c r="F1290" s="28"/>
      <c r="G1290" s="28"/>
      <c r="H1290" s="28"/>
      <c r="I1290" s="28"/>
      <c r="J1290" s="28"/>
      <c r="K1290" s="28"/>
      <c r="L1290" s="28"/>
      <c r="M1290" s="28"/>
      <c r="N1290" s="28"/>
      <c r="O1290" s="28"/>
      <c r="P1290" s="28"/>
      <c r="Q1290" s="28"/>
      <c r="R1290" s="28"/>
      <c r="S1290" s="28"/>
      <c r="T1290" s="28"/>
      <c r="U1290" s="28"/>
      <c r="V1290" s="28"/>
      <c r="W1290" s="28"/>
      <c r="X1290" s="28"/>
      <c r="Y1290" s="28"/>
      <c r="Z1290" s="28"/>
      <c r="AA1290" s="28"/>
      <c r="AB1290" s="28"/>
      <c r="AC1290" s="28"/>
    </row>
    <row r="1291" ht="78.0" customHeight="1">
      <c r="A1291" s="946">
        <v>1080.0</v>
      </c>
      <c r="B1291" s="52"/>
      <c r="C1291" s="54"/>
      <c r="D1291" s="855"/>
      <c r="E1291" s="54"/>
      <c r="F1291" s="54"/>
      <c r="G1291" s="54"/>
      <c r="H1291" s="54"/>
      <c r="I1291" s="54"/>
      <c r="J1291" s="54"/>
      <c r="K1291" s="54"/>
      <c r="L1291" s="54"/>
      <c r="M1291" s="54"/>
      <c r="N1291" s="54"/>
      <c r="O1291" s="54"/>
      <c r="P1291" s="54"/>
      <c r="Q1291" s="54"/>
      <c r="R1291" s="54"/>
      <c r="S1291" s="54"/>
      <c r="T1291" s="54"/>
      <c r="U1291" s="54"/>
      <c r="V1291" s="54"/>
      <c r="W1291" s="54"/>
      <c r="X1291" s="54"/>
      <c r="Y1291" s="54"/>
      <c r="Z1291" s="54"/>
      <c r="AA1291" s="54"/>
      <c r="AB1291" s="54"/>
      <c r="AC1291" s="54"/>
    </row>
    <row r="1292" ht="78.0" customHeight="1">
      <c r="A1292" s="941">
        <v>1079.0</v>
      </c>
      <c r="B1292" s="26"/>
      <c r="C1292" s="28"/>
      <c r="D1292" s="825"/>
      <c r="E1292" s="28"/>
      <c r="F1292" s="28"/>
      <c r="G1292" s="28"/>
      <c r="H1292" s="28"/>
      <c r="I1292" s="28"/>
      <c r="J1292" s="28"/>
      <c r="K1292" s="28"/>
      <c r="L1292" s="28"/>
      <c r="M1292" s="28"/>
      <c r="N1292" s="28"/>
      <c r="O1292" s="28"/>
      <c r="P1292" s="28"/>
      <c r="Q1292" s="28"/>
      <c r="R1292" s="28"/>
      <c r="S1292" s="28"/>
      <c r="T1292" s="28"/>
      <c r="U1292" s="28"/>
      <c r="V1292" s="28"/>
      <c r="W1292" s="28"/>
      <c r="X1292" s="28"/>
      <c r="Y1292" s="28"/>
      <c r="Z1292" s="28"/>
      <c r="AA1292" s="28"/>
      <c r="AB1292" s="28"/>
      <c r="AC1292" s="28"/>
    </row>
    <row r="1293" ht="78.0" customHeight="1">
      <c r="A1293" s="946">
        <v>1078.0</v>
      </c>
      <c r="B1293" s="52"/>
      <c r="C1293" s="54"/>
      <c r="D1293" s="855"/>
      <c r="E1293" s="54"/>
      <c r="F1293" s="54"/>
      <c r="G1293" s="54"/>
      <c r="H1293" s="54"/>
      <c r="I1293" s="54"/>
      <c r="J1293" s="54"/>
      <c r="K1293" s="54"/>
      <c r="L1293" s="54"/>
      <c r="M1293" s="54"/>
      <c r="N1293" s="54"/>
      <c r="O1293" s="54"/>
      <c r="P1293" s="54"/>
      <c r="Q1293" s="54"/>
      <c r="R1293" s="54"/>
      <c r="S1293" s="54"/>
      <c r="T1293" s="54"/>
      <c r="U1293" s="54"/>
      <c r="V1293" s="54"/>
      <c r="W1293" s="54"/>
      <c r="X1293" s="54"/>
      <c r="Y1293" s="54"/>
      <c r="Z1293" s="54"/>
      <c r="AA1293" s="54"/>
      <c r="AB1293" s="54"/>
      <c r="AC1293" s="54"/>
    </row>
    <row r="1294" ht="78.0" customHeight="1">
      <c r="A1294" s="941">
        <v>1077.0</v>
      </c>
      <c r="B1294" s="26"/>
      <c r="C1294" s="28"/>
      <c r="D1294" s="825"/>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row>
    <row r="1295" ht="78.0" customHeight="1">
      <c r="A1295" s="946">
        <v>1076.0</v>
      </c>
      <c r="B1295" s="52"/>
      <c r="C1295" s="54"/>
      <c r="D1295" s="855"/>
      <c r="E1295" s="54"/>
      <c r="F1295" s="54"/>
      <c r="G1295" s="54"/>
      <c r="H1295" s="54"/>
      <c r="I1295" s="54"/>
      <c r="J1295" s="54"/>
      <c r="K1295" s="54"/>
      <c r="L1295" s="54"/>
      <c r="M1295" s="54"/>
      <c r="N1295" s="54"/>
      <c r="O1295" s="54"/>
      <c r="P1295" s="54"/>
      <c r="Q1295" s="54"/>
      <c r="R1295" s="54"/>
      <c r="S1295" s="54"/>
      <c r="T1295" s="54"/>
      <c r="U1295" s="54"/>
      <c r="V1295" s="54"/>
      <c r="W1295" s="54"/>
      <c r="X1295" s="54"/>
      <c r="Y1295" s="54"/>
      <c r="Z1295" s="54"/>
      <c r="AA1295" s="54"/>
      <c r="AB1295" s="54"/>
      <c r="AC1295" s="54"/>
    </row>
    <row r="1296" ht="78.0" customHeight="1">
      <c r="A1296" s="941">
        <v>1075.0</v>
      </c>
      <c r="B1296" s="26"/>
      <c r="C1296" s="28"/>
      <c r="D1296" s="825"/>
      <c r="E1296" s="28"/>
      <c r="F1296" s="28"/>
      <c r="G1296" s="28"/>
      <c r="H1296" s="28"/>
      <c r="I1296" s="28"/>
      <c r="J1296" s="28"/>
      <c r="K1296" s="28"/>
      <c r="L1296" s="28"/>
      <c r="M1296" s="28"/>
      <c r="N1296" s="28"/>
      <c r="O1296" s="28"/>
      <c r="P1296" s="28"/>
      <c r="Q1296" s="28"/>
      <c r="R1296" s="28"/>
      <c r="S1296" s="28"/>
      <c r="T1296" s="28"/>
      <c r="U1296" s="28"/>
      <c r="V1296" s="28"/>
      <c r="W1296" s="28"/>
      <c r="X1296" s="28"/>
      <c r="Y1296" s="28"/>
      <c r="Z1296" s="28"/>
      <c r="AA1296" s="28"/>
      <c r="AB1296" s="28"/>
      <c r="AC1296" s="28"/>
    </row>
    <row r="1297" ht="78.0" customHeight="1">
      <c r="A1297" s="946">
        <v>1074.0</v>
      </c>
      <c r="B1297" s="52"/>
      <c r="C1297" s="54"/>
      <c r="D1297" s="855"/>
      <c r="E1297" s="54"/>
      <c r="F1297" s="54"/>
      <c r="G1297" s="54"/>
      <c r="H1297" s="54"/>
      <c r="I1297" s="54"/>
      <c r="J1297" s="54"/>
      <c r="K1297" s="54"/>
      <c r="L1297" s="54"/>
      <c r="M1297" s="54"/>
      <c r="N1297" s="54"/>
      <c r="O1297" s="54"/>
      <c r="P1297" s="54"/>
      <c r="Q1297" s="54"/>
      <c r="R1297" s="54"/>
      <c r="S1297" s="54"/>
      <c r="T1297" s="54"/>
      <c r="U1297" s="54"/>
      <c r="V1297" s="54"/>
      <c r="W1297" s="54"/>
      <c r="X1297" s="54"/>
      <c r="Y1297" s="54"/>
      <c r="Z1297" s="54"/>
      <c r="AA1297" s="54"/>
      <c r="AB1297" s="54"/>
      <c r="AC1297" s="54"/>
    </row>
    <row r="1298" ht="78.0" customHeight="1">
      <c r="A1298" s="941">
        <v>1073.0</v>
      </c>
      <c r="B1298" s="26"/>
      <c r="C1298" s="28"/>
      <c r="D1298" s="825"/>
      <c r="E1298" s="28"/>
      <c r="F1298" s="28"/>
      <c r="G1298" s="28"/>
      <c r="H1298" s="28"/>
      <c r="I1298" s="28"/>
      <c r="J1298" s="28"/>
      <c r="K1298" s="28"/>
      <c r="L1298" s="28"/>
      <c r="M1298" s="28"/>
      <c r="N1298" s="28"/>
      <c r="O1298" s="28"/>
      <c r="P1298" s="28"/>
      <c r="Q1298" s="28"/>
      <c r="R1298" s="28"/>
      <c r="S1298" s="28"/>
      <c r="T1298" s="28"/>
      <c r="U1298" s="28"/>
      <c r="V1298" s="28"/>
      <c r="W1298" s="28"/>
      <c r="X1298" s="28"/>
      <c r="Y1298" s="28"/>
      <c r="Z1298" s="28"/>
      <c r="AA1298" s="28"/>
      <c r="AB1298" s="28"/>
      <c r="AC1298" s="28"/>
    </row>
    <row r="1299" ht="78.0" customHeight="1">
      <c r="A1299" s="946">
        <v>1072.0</v>
      </c>
      <c r="B1299" s="52"/>
      <c r="C1299" s="54"/>
      <c r="D1299" s="855"/>
      <c r="E1299" s="54"/>
      <c r="F1299" s="54"/>
      <c r="G1299" s="54"/>
      <c r="H1299" s="54"/>
      <c r="I1299" s="54"/>
      <c r="J1299" s="54"/>
      <c r="K1299" s="54"/>
      <c r="L1299" s="54"/>
      <c r="M1299" s="54"/>
      <c r="N1299" s="54"/>
      <c r="O1299" s="54"/>
      <c r="P1299" s="54"/>
      <c r="Q1299" s="54"/>
      <c r="R1299" s="54"/>
      <c r="S1299" s="54"/>
      <c r="T1299" s="54"/>
      <c r="U1299" s="54"/>
      <c r="V1299" s="54"/>
      <c r="W1299" s="54"/>
      <c r="X1299" s="54"/>
      <c r="Y1299" s="54"/>
      <c r="Z1299" s="54"/>
      <c r="AA1299" s="54"/>
      <c r="AB1299" s="54"/>
      <c r="AC1299" s="54"/>
    </row>
    <row r="1300" ht="78.0" customHeight="1">
      <c r="A1300" s="941">
        <v>1071.0</v>
      </c>
      <c r="B1300" s="26"/>
      <c r="C1300" s="28"/>
      <c r="D1300" s="825"/>
      <c r="E1300" s="28"/>
      <c r="F1300" s="28"/>
      <c r="G1300" s="28"/>
      <c r="H1300" s="28"/>
      <c r="I1300" s="28"/>
      <c r="J1300" s="28"/>
      <c r="K1300" s="28"/>
      <c r="L1300" s="28"/>
      <c r="M1300" s="28"/>
      <c r="N1300" s="28"/>
      <c r="O1300" s="28"/>
      <c r="P1300" s="28"/>
      <c r="Q1300" s="28"/>
      <c r="R1300" s="28"/>
      <c r="S1300" s="28"/>
      <c r="T1300" s="28"/>
      <c r="U1300" s="28"/>
      <c r="V1300" s="28"/>
      <c r="W1300" s="28"/>
      <c r="X1300" s="28"/>
      <c r="Y1300" s="28"/>
      <c r="Z1300" s="28"/>
      <c r="AA1300" s="28"/>
      <c r="AB1300" s="28"/>
      <c r="AC1300" s="28"/>
    </row>
    <row r="1301" ht="78.0" customHeight="1">
      <c r="A1301" s="946">
        <v>1070.0</v>
      </c>
      <c r="B1301" s="52"/>
      <c r="C1301" s="54"/>
      <c r="D1301" s="855"/>
      <c r="E1301" s="54"/>
      <c r="F1301" s="54"/>
      <c r="G1301" s="54"/>
      <c r="H1301" s="54"/>
      <c r="I1301" s="54"/>
      <c r="J1301" s="54"/>
      <c r="K1301" s="54"/>
      <c r="L1301" s="54"/>
      <c r="M1301" s="54"/>
      <c r="N1301" s="54"/>
      <c r="O1301" s="54"/>
      <c r="P1301" s="54"/>
      <c r="Q1301" s="54"/>
      <c r="R1301" s="54"/>
      <c r="S1301" s="54"/>
      <c r="T1301" s="54"/>
      <c r="U1301" s="54"/>
      <c r="V1301" s="54"/>
      <c r="W1301" s="54"/>
      <c r="X1301" s="54"/>
      <c r="Y1301" s="54"/>
      <c r="Z1301" s="54"/>
      <c r="AA1301" s="54"/>
      <c r="AB1301" s="54"/>
      <c r="AC1301" s="54"/>
    </row>
    <row r="1302" ht="78.0" customHeight="1">
      <c r="A1302" s="941">
        <v>1069.0</v>
      </c>
      <c r="B1302" s="26"/>
      <c r="C1302" s="28"/>
      <c r="D1302" s="825"/>
      <c r="E1302" s="28"/>
      <c r="F1302" s="28"/>
      <c r="G1302" s="28"/>
      <c r="H1302" s="28"/>
      <c r="I1302" s="28"/>
      <c r="J1302" s="28"/>
      <c r="K1302" s="28"/>
      <c r="L1302" s="28"/>
      <c r="M1302" s="28"/>
      <c r="N1302" s="28"/>
      <c r="O1302" s="28"/>
      <c r="P1302" s="28"/>
      <c r="Q1302" s="28"/>
      <c r="R1302" s="28"/>
      <c r="S1302" s="28"/>
      <c r="T1302" s="28"/>
      <c r="U1302" s="28"/>
      <c r="V1302" s="28"/>
      <c r="W1302" s="28"/>
      <c r="X1302" s="28"/>
      <c r="Y1302" s="28"/>
      <c r="Z1302" s="28"/>
      <c r="AA1302" s="28"/>
      <c r="AB1302" s="28"/>
      <c r="AC1302" s="28"/>
    </row>
    <row r="1303" ht="78.0" customHeight="1">
      <c r="A1303" s="946">
        <v>1068.0</v>
      </c>
      <c r="B1303" s="52"/>
      <c r="C1303" s="54"/>
      <c r="D1303" s="855"/>
      <c r="E1303" s="54"/>
      <c r="F1303" s="54"/>
      <c r="G1303" s="54"/>
      <c r="H1303" s="54"/>
      <c r="I1303" s="54"/>
      <c r="J1303" s="54"/>
      <c r="K1303" s="54"/>
      <c r="L1303" s="54"/>
      <c r="M1303" s="54"/>
      <c r="N1303" s="54"/>
      <c r="O1303" s="54"/>
      <c r="P1303" s="54"/>
      <c r="Q1303" s="54"/>
      <c r="R1303" s="54"/>
      <c r="S1303" s="54"/>
      <c r="T1303" s="54"/>
      <c r="U1303" s="54"/>
      <c r="V1303" s="54"/>
      <c r="W1303" s="54"/>
      <c r="X1303" s="54"/>
      <c r="Y1303" s="54"/>
      <c r="Z1303" s="54"/>
      <c r="AA1303" s="54"/>
      <c r="AB1303" s="54"/>
      <c r="AC1303" s="54"/>
    </row>
    <row r="1304" ht="78.0" customHeight="1">
      <c r="A1304" s="941">
        <v>1067.0</v>
      </c>
      <c r="B1304" s="26"/>
      <c r="C1304" s="28"/>
      <c r="D1304" s="825"/>
      <c r="E1304" s="28"/>
      <c r="F1304" s="28"/>
      <c r="G1304" s="28"/>
      <c r="H1304" s="28"/>
      <c r="I1304" s="28"/>
      <c r="J1304" s="28"/>
      <c r="K1304" s="28"/>
      <c r="L1304" s="28"/>
      <c r="M1304" s="28"/>
      <c r="N1304" s="28"/>
      <c r="O1304" s="28"/>
      <c r="P1304" s="28"/>
      <c r="Q1304" s="28"/>
      <c r="R1304" s="28"/>
      <c r="S1304" s="28"/>
      <c r="T1304" s="28"/>
      <c r="U1304" s="28"/>
      <c r="V1304" s="28"/>
      <c r="W1304" s="28"/>
      <c r="X1304" s="28"/>
      <c r="Y1304" s="28"/>
      <c r="Z1304" s="28"/>
      <c r="AA1304" s="28"/>
      <c r="AB1304" s="28"/>
      <c r="AC1304" s="28"/>
    </row>
    <row r="1305" ht="78.0" customHeight="1">
      <c r="A1305" s="946">
        <v>1066.0</v>
      </c>
      <c r="B1305" s="52"/>
      <c r="C1305" s="54"/>
      <c r="D1305" s="855"/>
      <c r="E1305" s="54"/>
      <c r="F1305" s="54"/>
      <c r="G1305" s="54"/>
      <c r="H1305" s="54"/>
      <c r="I1305" s="54"/>
      <c r="J1305" s="54"/>
      <c r="K1305" s="54"/>
      <c r="L1305" s="54"/>
      <c r="M1305" s="54"/>
      <c r="N1305" s="54"/>
      <c r="O1305" s="54"/>
      <c r="P1305" s="54"/>
      <c r="Q1305" s="54"/>
      <c r="R1305" s="54"/>
      <c r="S1305" s="54"/>
      <c r="T1305" s="54"/>
      <c r="U1305" s="54"/>
      <c r="V1305" s="54"/>
      <c r="W1305" s="54"/>
      <c r="X1305" s="54"/>
      <c r="Y1305" s="54"/>
      <c r="Z1305" s="54"/>
      <c r="AA1305" s="54"/>
      <c r="AB1305" s="54"/>
      <c r="AC1305" s="54"/>
    </row>
    <row r="1306" ht="78.0" customHeight="1">
      <c r="A1306" s="941">
        <v>1065.0</v>
      </c>
      <c r="B1306" s="26"/>
      <c r="C1306" s="28"/>
      <c r="D1306" s="825"/>
      <c r="E1306" s="28"/>
      <c r="F1306" s="28"/>
      <c r="G1306" s="28"/>
      <c r="H1306" s="28"/>
      <c r="I1306" s="28"/>
      <c r="J1306" s="28"/>
      <c r="K1306" s="28"/>
      <c r="L1306" s="28"/>
      <c r="M1306" s="28"/>
      <c r="N1306" s="28"/>
      <c r="O1306" s="28"/>
      <c r="P1306" s="28"/>
      <c r="Q1306" s="28"/>
      <c r="R1306" s="28"/>
      <c r="S1306" s="28"/>
      <c r="T1306" s="28"/>
      <c r="U1306" s="28"/>
      <c r="V1306" s="28"/>
      <c r="W1306" s="28"/>
      <c r="X1306" s="28"/>
      <c r="Y1306" s="28"/>
      <c r="Z1306" s="28"/>
      <c r="AA1306" s="28"/>
      <c r="AB1306" s="28"/>
      <c r="AC1306" s="28"/>
    </row>
    <row r="1307" ht="78.0" customHeight="1">
      <c r="A1307" s="946">
        <v>1064.0</v>
      </c>
      <c r="B1307" s="52"/>
      <c r="C1307" s="54"/>
      <c r="D1307" s="855"/>
      <c r="E1307" s="54"/>
      <c r="F1307" s="54"/>
      <c r="G1307" s="54"/>
      <c r="H1307" s="54"/>
      <c r="I1307" s="54"/>
      <c r="J1307" s="54"/>
      <c r="K1307" s="54"/>
      <c r="L1307" s="54"/>
      <c r="M1307" s="54"/>
      <c r="N1307" s="54"/>
      <c r="O1307" s="54"/>
      <c r="P1307" s="54"/>
      <c r="Q1307" s="54"/>
      <c r="R1307" s="54"/>
      <c r="S1307" s="54"/>
      <c r="T1307" s="54"/>
      <c r="U1307" s="54"/>
      <c r="V1307" s="54"/>
      <c r="W1307" s="54"/>
      <c r="X1307" s="54"/>
      <c r="Y1307" s="54"/>
      <c r="Z1307" s="54"/>
      <c r="AA1307" s="54"/>
      <c r="AB1307" s="54"/>
      <c r="AC1307" s="54"/>
    </row>
    <row r="1308" ht="78.0" customHeight="1">
      <c r="A1308" s="941">
        <v>1063.0</v>
      </c>
      <c r="B1308" s="26"/>
      <c r="C1308" s="28"/>
      <c r="D1308" s="825"/>
      <c r="E1308" s="28"/>
      <c r="F1308" s="28"/>
      <c r="G1308" s="28"/>
      <c r="H1308" s="28"/>
      <c r="I1308" s="28"/>
      <c r="J1308" s="28"/>
      <c r="K1308" s="28"/>
      <c r="L1308" s="28"/>
      <c r="M1308" s="28"/>
      <c r="N1308" s="28"/>
      <c r="O1308" s="28"/>
      <c r="P1308" s="28"/>
      <c r="Q1308" s="28"/>
      <c r="R1308" s="28"/>
      <c r="S1308" s="28"/>
      <c r="T1308" s="28"/>
      <c r="U1308" s="28"/>
      <c r="V1308" s="28"/>
      <c r="W1308" s="28"/>
      <c r="X1308" s="28"/>
      <c r="Y1308" s="28"/>
      <c r="Z1308" s="28"/>
      <c r="AA1308" s="28"/>
      <c r="AB1308" s="28"/>
      <c r="AC1308" s="28"/>
    </row>
    <row r="1309" ht="78.0" customHeight="1">
      <c r="A1309" s="946">
        <v>1062.0</v>
      </c>
      <c r="B1309" s="52"/>
      <c r="C1309" s="54"/>
      <c r="D1309" s="855"/>
      <c r="E1309" s="54"/>
      <c r="F1309" s="54"/>
      <c r="G1309" s="54"/>
      <c r="H1309" s="54"/>
      <c r="I1309" s="54"/>
      <c r="J1309" s="54"/>
      <c r="K1309" s="54"/>
      <c r="L1309" s="54"/>
      <c r="M1309" s="54"/>
      <c r="N1309" s="54"/>
      <c r="O1309" s="54"/>
      <c r="P1309" s="54"/>
      <c r="Q1309" s="54"/>
      <c r="R1309" s="54"/>
      <c r="S1309" s="54"/>
      <c r="T1309" s="54"/>
      <c r="U1309" s="54"/>
      <c r="V1309" s="54"/>
      <c r="W1309" s="54"/>
      <c r="X1309" s="54"/>
      <c r="Y1309" s="54"/>
      <c r="Z1309" s="54"/>
      <c r="AA1309" s="54"/>
      <c r="AB1309" s="54"/>
      <c r="AC1309" s="54"/>
    </row>
    <row r="1310" ht="78.0" customHeight="1">
      <c r="A1310" s="941">
        <v>1061.0</v>
      </c>
      <c r="B1310" s="26"/>
      <c r="C1310" s="28"/>
      <c r="D1310" s="825"/>
      <c r="E1310" s="28"/>
      <c r="F1310" s="28"/>
      <c r="G1310" s="28"/>
      <c r="H1310" s="28"/>
      <c r="I1310" s="28"/>
      <c r="J1310" s="28"/>
      <c r="K1310" s="28"/>
      <c r="L1310" s="28"/>
      <c r="M1310" s="28"/>
      <c r="N1310" s="28"/>
      <c r="O1310" s="28"/>
      <c r="P1310" s="28"/>
      <c r="Q1310" s="28"/>
      <c r="R1310" s="28"/>
      <c r="S1310" s="28"/>
      <c r="T1310" s="28"/>
      <c r="U1310" s="28"/>
      <c r="V1310" s="28"/>
      <c r="W1310" s="28"/>
      <c r="X1310" s="28"/>
      <c r="Y1310" s="28"/>
      <c r="Z1310" s="28"/>
      <c r="AA1310" s="28"/>
      <c r="AB1310" s="28"/>
      <c r="AC1310" s="28"/>
    </row>
    <row r="1311" ht="78.0" customHeight="1">
      <c r="A1311" s="946">
        <v>1060.0</v>
      </c>
      <c r="B1311" s="52"/>
      <c r="C1311" s="54"/>
      <c r="D1311" s="855"/>
      <c r="E1311" s="54"/>
      <c r="F1311" s="54"/>
      <c r="G1311" s="54"/>
      <c r="H1311" s="54"/>
      <c r="I1311" s="54"/>
      <c r="J1311" s="54"/>
      <c r="K1311" s="54"/>
      <c r="L1311" s="54"/>
      <c r="M1311" s="54"/>
      <c r="N1311" s="54"/>
      <c r="O1311" s="54"/>
      <c r="P1311" s="54"/>
      <c r="Q1311" s="54"/>
      <c r="R1311" s="54"/>
      <c r="S1311" s="54"/>
      <c r="T1311" s="54"/>
      <c r="U1311" s="54"/>
      <c r="V1311" s="54"/>
      <c r="W1311" s="54"/>
      <c r="X1311" s="54"/>
      <c r="Y1311" s="54"/>
      <c r="Z1311" s="54"/>
      <c r="AA1311" s="54"/>
      <c r="AB1311" s="54"/>
      <c r="AC1311" s="54"/>
    </row>
    <row r="1312" ht="78.0" customHeight="1">
      <c r="A1312" s="941">
        <v>1059.0</v>
      </c>
      <c r="B1312" s="26"/>
      <c r="C1312" s="28"/>
      <c r="D1312" s="825"/>
      <c r="E1312" s="28"/>
      <c r="F1312" s="28"/>
      <c r="G1312" s="28"/>
      <c r="H1312" s="28"/>
      <c r="I1312" s="28"/>
      <c r="J1312" s="28"/>
      <c r="K1312" s="28"/>
      <c r="L1312" s="28"/>
      <c r="M1312" s="28"/>
      <c r="N1312" s="28"/>
      <c r="O1312" s="28"/>
      <c r="P1312" s="28"/>
      <c r="Q1312" s="28"/>
      <c r="R1312" s="28"/>
      <c r="S1312" s="28"/>
      <c r="T1312" s="28"/>
      <c r="U1312" s="28"/>
      <c r="V1312" s="28"/>
      <c r="W1312" s="28"/>
      <c r="X1312" s="28"/>
      <c r="Y1312" s="28"/>
      <c r="Z1312" s="28"/>
      <c r="AA1312" s="28"/>
      <c r="AB1312" s="28"/>
      <c r="AC1312" s="28"/>
    </row>
    <row r="1313" ht="78.0" customHeight="1">
      <c r="A1313" s="946">
        <v>1058.0</v>
      </c>
      <c r="B1313" s="52"/>
      <c r="C1313" s="54"/>
      <c r="D1313" s="855"/>
      <c r="E1313" s="54"/>
      <c r="F1313" s="54"/>
      <c r="G1313" s="54"/>
      <c r="H1313" s="54"/>
      <c r="I1313" s="54"/>
      <c r="J1313" s="54"/>
      <c r="K1313" s="54"/>
      <c r="L1313" s="54"/>
      <c r="M1313" s="54"/>
      <c r="N1313" s="54"/>
      <c r="O1313" s="54"/>
      <c r="P1313" s="54"/>
      <c r="Q1313" s="54"/>
      <c r="R1313" s="54"/>
      <c r="S1313" s="54"/>
      <c r="T1313" s="54"/>
      <c r="U1313" s="54"/>
      <c r="V1313" s="54"/>
      <c r="W1313" s="54"/>
      <c r="X1313" s="54"/>
      <c r="Y1313" s="54"/>
      <c r="Z1313" s="54"/>
      <c r="AA1313" s="54"/>
      <c r="AB1313" s="54"/>
      <c r="AC1313" s="54"/>
    </row>
    <row r="1314" ht="78.0" customHeight="1">
      <c r="A1314" s="941">
        <v>1057.0</v>
      </c>
      <c r="B1314" s="26"/>
      <c r="C1314" s="28"/>
      <c r="D1314" s="825"/>
      <c r="E1314" s="28"/>
      <c r="F1314" s="28"/>
      <c r="G1314" s="28"/>
      <c r="H1314" s="28"/>
      <c r="I1314" s="28"/>
      <c r="J1314" s="28"/>
      <c r="K1314" s="28"/>
      <c r="L1314" s="28"/>
      <c r="M1314" s="28"/>
      <c r="N1314" s="28"/>
      <c r="O1314" s="28"/>
      <c r="P1314" s="28"/>
      <c r="Q1314" s="28"/>
      <c r="R1314" s="28"/>
      <c r="S1314" s="28"/>
      <c r="T1314" s="28"/>
      <c r="U1314" s="28"/>
      <c r="V1314" s="28"/>
      <c r="W1314" s="28"/>
      <c r="X1314" s="28"/>
      <c r="Y1314" s="28"/>
      <c r="Z1314" s="28"/>
      <c r="AA1314" s="28"/>
      <c r="AB1314" s="28"/>
      <c r="AC1314" s="28"/>
    </row>
    <row r="1315" ht="78.0" customHeight="1">
      <c r="A1315" s="946">
        <v>1056.0</v>
      </c>
      <c r="B1315" s="52"/>
      <c r="C1315" s="54"/>
      <c r="D1315" s="855"/>
      <c r="E1315" s="54"/>
      <c r="F1315" s="54"/>
      <c r="G1315" s="54"/>
      <c r="H1315" s="54"/>
      <c r="I1315" s="54"/>
      <c r="J1315" s="54"/>
      <c r="K1315" s="54"/>
      <c r="L1315" s="54"/>
      <c r="M1315" s="54"/>
      <c r="N1315" s="54"/>
      <c r="O1315" s="54"/>
      <c r="P1315" s="54"/>
      <c r="Q1315" s="54"/>
      <c r="R1315" s="54"/>
      <c r="S1315" s="54"/>
      <c r="T1315" s="54"/>
      <c r="U1315" s="54"/>
      <c r="V1315" s="54"/>
      <c r="W1315" s="54"/>
      <c r="X1315" s="54"/>
      <c r="Y1315" s="54"/>
      <c r="Z1315" s="54"/>
      <c r="AA1315" s="54"/>
      <c r="AB1315" s="54"/>
      <c r="AC1315" s="54"/>
    </row>
    <row r="1316" ht="78.0" customHeight="1">
      <c r="A1316" s="941">
        <v>1055.0</v>
      </c>
      <c r="B1316" s="26"/>
      <c r="C1316" s="28"/>
      <c r="D1316" s="825"/>
      <c r="E1316" s="28"/>
      <c r="F1316" s="28"/>
      <c r="G1316" s="28"/>
      <c r="H1316" s="28"/>
      <c r="I1316" s="28"/>
      <c r="J1316" s="28"/>
      <c r="K1316" s="28"/>
      <c r="L1316" s="28"/>
      <c r="M1316" s="28"/>
      <c r="N1316" s="28"/>
      <c r="O1316" s="28"/>
      <c r="P1316" s="28"/>
      <c r="Q1316" s="28"/>
      <c r="R1316" s="28"/>
      <c r="S1316" s="28"/>
      <c r="T1316" s="28"/>
      <c r="U1316" s="28"/>
      <c r="V1316" s="28"/>
      <c r="W1316" s="28"/>
      <c r="X1316" s="28"/>
      <c r="Y1316" s="28"/>
      <c r="Z1316" s="28"/>
      <c r="AA1316" s="28"/>
      <c r="AB1316" s="28"/>
      <c r="AC1316" s="28"/>
    </row>
    <row r="1317" ht="78.0" customHeight="1">
      <c r="A1317" s="946">
        <v>1054.0</v>
      </c>
      <c r="B1317" s="52"/>
      <c r="C1317" s="54"/>
      <c r="D1317" s="855"/>
      <c r="E1317" s="54"/>
      <c r="F1317" s="54"/>
      <c r="G1317" s="54"/>
      <c r="H1317" s="54"/>
      <c r="I1317" s="54"/>
      <c r="J1317" s="54"/>
      <c r="K1317" s="54"/>
      <c r="L1317" s="54"/>
      <c r="M1317" s="54"/>
      <c r="N1317" s="54"/>
      <c r="O1317" s="54"/>
      <c r="P1317" s="54"/>
      <c r="Q1317" s="54"/>
      <c r="R1317" s="54"/>
      <c r="S1317" s="54"/>
      <c r="T1317" s="54"/>
      <c r="U1317" s="54"/>
      <c r="V1317" s="54"/>
      <c r="W1317" s="54"/>
      <c r="X1317" s="54"/>
      <c r="Y1317" s="54"/>
      <c r="Z1317" s="54"/>
      <c r="AA1317" s="54"/>
      <c r="AB1317" s="54"/>
      <c r="AC1317" s="54"/>
    </row>
    <row r="1318" ht="78.0" customHeight="1">
      <c r="A1318" s="941">
        <v>1053.0</v>
      </c>
      <c r="B1318" s="26"/>
      <c r="C1318" s="28"/>
      <c r="D1318" s="825"/>
      <c r="E1318" s="28"/>
      <c r="F1318" s="28"/>
      <c r="G1318" s="28"/>
      <c r="H1318" s="28"/>
      <c r="I1318" s="28"/>
      <c r="J1318" s="28"/>
      <c r="K1318" s="28"/>
      <c r="L1318" s="28"/>
      <c r="M1318" s="28"/>
      <c r="N1318" s="28"/>
      <c r="O1318" s="28"/>
      <c r="P1318" s="28"/>
      <c r="Q1318" s="28"/>
      <c r="R1318" s="28"/>
      <c r="S1318" s="28"/>
      <c r="T1318" s="28"/>
      <c r="U1318" s="28"/>
      <c r="V1318" s="28"/>
      <c r="W1318" s="28"/>
      <c r="X1318" s="28"/>
      <c r="Y1318" s="28"/>
      <c r="Z1318" s="28"/>
      <c r="AA1318" s="28"/>
      <c r="AB1318" s="28"/>
      <c r="AC1318" s="28"/>
    </row>
    <row r="1319" ht="78.0" customHeight="1">
      <c r="A1319" s="946">
        <v>1052.0</v>
      </c>
      <c r="B1319" s="52"/>
      <c r="C1319" s="54"/>
      <c r="D1319" s="855"/>
      <c r="E1319" s="54"/>
      <c r="F1319" s="54"/>
      <c r="G1319" s="54"/>
      <c r="H1319" s="54"/>
      <c r="I1319" s="54"/>
      <c r="J1319" s="54"/>
      <c r="K1319" s="54"/>
      <c r="L1319" s="54"/>
      <c r="M1319" s="54"/>
      <c r="N1319" s="54"/>
      <c r="O1319" s="54"/>
      <c r="P1319" s="54"/>
      <c r="Q1319" s="54"/>
      <c r="R1319" s="54"/>
      <c r="S1319" s="54"/>
      <c r="T1319" s="54"/>
      <c r="U1319" s="54"/>
      <c r="V1319" s="54"/>
      <c r="W1319" s="54"/>
      <c r="X1319" s="54"/>
      <c r="Y1319" s="54"/>
      <c r="Z1319" s="54"/>
      <c r="AA1319" s="54"/>
      <c r="AB1319" s="54"/>
      <c r="AC1319" s="54"/>
    </row>
    <row r="1320" ht="78.0" customHeight="1">
      <c r="A1320" s="941">
        <v>1051.0</v>
      </c>
      <c r="B1320" s="26"/>
      <c r="C1320" s="28"/>
      <c r="D1320" s="825"/>
      <c r="E1320" s="28"/>
      <c r="F1320" s="28"/>
      <c r="G1320" s="28"/>
      <c r="H1320" s="28"/>
      <c r="I1320" s="28"/>
      <c r="J1320" s="28"/>
      <c r="K1320" s="28"/>
      <c r="L1320" s="28"/>
      <c r="M1320" s="28"/>
      <c r="N1320" s="28"/>
      <c r="O1320" s="28"/>
      <c r="P1320" s="28"/>
      <c r="Q1320" s="28"/>
      <c r="R1320" s="28"/>
      <c r="S1320" s="28"/>
      <c r="T1320" s="28"/>
      <c r="U1320" s="28"/>
      <c r="V1320" s="28"/>
      <c r="W1320" s="28"/>
      <c r="X1320" s="28"/>
      <c r="Y1320" s="28"/>
      <c r="Z1320" s="28"/>
      <c r="AA1320" s="28"/>
      <c r="AB1320" s="28"/>
      <c r="AC1320" s="28"/>
    </row>
    <row r="1321" ht="78.0" customHeight="1">
      <c r="A1321" s="946">
        <v>1050.0</v>
      </c>
      <c r="B1321" s="52"/>
      <c r="C1321" s="54"/>
      <c r="D1321" s="855"/>
      <c r="E1321" s="54"/>
      <c r="F1321" s="54"/>
      <c r="G1321" s="54"/>
      <c r="H1321" s="54"/>
      <c r="I1321" s="54"/>
      <c r="J1321" s="54"/>
      <c r="K1321" s="54"/>
      <c r="L1321" s="54"/>
      <c r="M1321" s="54"/>
      <c r="N1321" s="54"/>
      <c r="O1321" s="54"/>
      <c r="P1321" s="54"/>
      <c r="Q1321" s="54"/>
      <c r="R1321" s="54"/>
      <c r="S1321" s="54"/>
      <c r="T1321" s="54"/>
      <c r="U1321" s="54"/>
      <c r="V1321" s="54"/>
      <c r="W1321" s="54"/>
      <c r="X1321" s="54"/>
      <c r="Y1321" s="54"/>
      <c r="Z1321" s="54"/>
      <c r="AA1321" s="54"/>
      <c r="AB1321" s="54"/>
      <c r="AC1321" s="54"/>
    </row>
    <row r="1322" ht="78.0" customHeight="1">
      <c r="A1322" s="941">
        <v>1049.0</v>
      </c>
      <c r="B1322" s="26"/>
      <c r="C1322" s="28"/>
      <c r="D1322" s="825"/>
      <c r="E1322" s="28"/>
      <c r="F1322" s="28"/>
      <c r="G1322" s="28"/>
      <c r="H1322" s="28"/>
      <c r="I1322" s="28"/>
      <c r="J1322" s="28"/>
      <c r="K1322" s="28"/>
      <c r="L1322" s="28"/>
      <c r="M1322" s="28"/>
      <c r="N1322" s="28"/>
      <c r="O1322" s="28"/>
      <c r="P1322" s="28"/>
      <c r="Q1322" s="28"/>
      <c r="R1322" s="28"/>
      <c r="S1322" s="28"/>
      <c r="T1322" s="28"/>
      <c r="U1322" s="28"/>
      <c r="V1322" s="28"/>
      <c r="W1322" s="28"/>
      <c r="X1322" s="28"/>
      <c r="Y1322" s="28"/>
      <c r="Z1322" s="28"/>
      <c r="AA1322" s="28"/>
      <c r="AB1322" s="28"/>
      <c r="AC1322" s="28"/>
    </row>
    <row r="1323" ht="78.0" customHeight="1">
      <c r="A1323" s="946">
        <v>1048.0</v>
      </c>
      <c r="B1323" s="52"/>
      <c r="C1323" s="54"/>
      <c r="D1323" s="855"/>
      <c r="E1323" s="54"/>
      <c r="F1323" s="54"/>
      <c r="G1323" s="54"/>
      <c r="H1323" s="54"/>
      <c r="I1323" s="54"/>
      <c r="J1323" s="54"/>
      <c r="K1323" s="54"/>
      <c r="L1323" s="54"/>
      <c r="M1323" s="54"/>
      <c r="N1323" s="54"/>
      <c r="O1323" s="54"/>
      <c r="P1323" s="54"/>
      <c r="Q1323" s="54"/>
      <c r="R1323" s="54"/>
      <c r="S1323" s="54"/>
      <c r="T1323" s="54"/>
      <c r="U1323" s="54"/>
      <c r="V1323" s="54"/>
      <c r="W1323" s="54"/>
      <c r="X1323" s="54"/>
      <c r="Y1323" s="54"/>
      <c r="Z1323" s="54"/>
      <c r="AA1323" s="54"/>
      <c r="AB1323" s="54"/>
      <c r="AC1323" s="54"/>
    </row>
    <row r="1324" ht="78.0" customHeight="1">
      <c r="A1324" s="941">
        <v>1047.0</v>
      </c>
      <c r="B1324" s="26"/>
      <c r="C1324" s="28"/>
      <c r="D1324" s="825"/>
      <c r="E1324" s="28"/>
      <c r="F1324" s="28"/>
      <c r="G1324" s="28"/>
      <c r="H1324" s="28"/>
      <c r="I1324" s="28"/>
      <c r="J1324" s="28"/>
      <c r="K1324" s="28"/>
      <c r="L1324" s="28"/>
      <c r="M1324" s="28"/>
      <c r="N1324" s="28"/>
      <c r="O1324" s="28"/>
      <c r="P1324" s="28"/>
      <c r="Q1324" s="28"/>
      <c r="R1324" s="28"/>
      <c r="S1324" s="28"/>
      <c r="T1324" s="28"/>
      <c r="U1324" s="28"/>
      <c r="V1324" s="28"/>
      <c r="W1324" s="28"/>
      <c r="X1324" s="28"/>
      <c r="Y1324" s="28"/>
      <c r="Z1324" s="28"/>
      <c r="AA1324" s="28"/>
      <c r="AB1324" s="28"/>
      <c r="AC1324" s="28"/>
    </row>
    <row r="1325" ht="78.0" customHeight="1">
      <c r="A1325" s="946">
        <v>1046.0</v>
      </c>
      <c r="B1325" s="52"/>
      <c r="C1325" s="54"/>
      <c r="D1325" s="855"/>
      <c r="E1325" s="54"/>
      <c r="F1325" s="54"/>
      <c r="G1325" s="54"/>
      <c r="H1325" s="54"/>
      <c r="I1325" s="54"/>
      <c r="J1325" s="54"/>
      <c r="K1325" s="54"/>
      <c r="L1325" s="54"/>
      <c r="M1325" s="54"/>
      <c r="N1325" s="54"/>
      <c r="O1325" s="54"/>
      <c r="P1325" s="54"/>
      <c r="Q1325" s="54"/>
      <c r="R1325" s="54"/>
      <c r="S1325" s="54"/>
      <c r="T1325" s="54"/>
      <c r="U1325" s="54"/>
      <c r="V1325" s="54"/>
      <c r="W1325" s="54"/>
      <c r="X1325" s="54"/>
      <c r="Y1325" s="54"/>
      <c r="Z1325" s="54"/>
      <c r="AA1325" s="54"/>
      <c r="AB1325" s="54"/>
      <c r="AC1325" s="54"/>
    </row>
    <row r="1326" ht="78.0" customHeight="1">
      <c r="A1326" s="941">
        <v>1045.0</v>
      </c>
      <c r="B1326" s="26"/>
      <c r="C1326" s="28"/>
      <c r="D1326" s="825"/>
      <c r="E1326" s="28"/>
      <c r="F1326" s="28"/>
      <c r="G1326" s="28"/>
      <c r="H1326" s="28"/>
      <c r="I1326" s="28"/>
      <c r="J1326" s="28"/>
      <c r="K1326" s="28"/>
      <c r="L1326" s="28"/>
      <c r="M1326" s="28"/>
      <c r="N1326" s="28"/>
      <c r="O1326" s="28"/>
      <c r="P1326" s="28"/>
      <c r="Q1326" s="28"/>
      <c r="R1326" s="28"/>
      <c r="S1326" s="28"/>
      <c r="T1326" s="28"/>
      <c r="U1326" s="28"/>
      <c r="V1326" s="28"/>
      <c r="W1326" s="28"/>
      <c r="X1326" s="28"/>
      <c r="Y1326" s="28"/>
      <c r="Z1326" s="28"/>
      <c r="AA1326" s="28"/>
      <c r="AB1326" s="28"/>
      <c r="AC1326" s="28"/>
    </row>
    <row r="1327" ht="78.0" customHeight="1">
      <c r="A1327" s="946">
        <v>1044.0</v>
      </c>
      <c r="B1327" s="52"/>
      <c r="C1327" s="54"/>
      <c r="D1327" s="855"/>
      <c r="E1327" s="54"/>
      <c r="F1327" s="54"/>
      <c r="G1327" s="54"/>
      <c r="H1327" s="54"/>
      <c r="I1327" s="54"/>
      <c r="J1327" s="54"/>
      <c r="K1327" s="54"/>
      <c r="L1327" s="54"/>
      <c r="M1327" s="54"/>
      <c r="N1327" s="54"/>
      <c r="O1327" s="54"/>
      <c r="P1327" s="54"/>
      <c r="Q1327" s="54"/>
      <c r="R1327" s="54"/>
      <c r="S1327" s="54"/>
      <c r="T1327" s="54"/>
      <c r="U1327" s="54"/>
      <c r="V1327" s="54"/>
      <c r="W1327" s="54"/>
      <c r="X1327" s="54"/>
      <c r="Y1327" s="54"/>
      <c r="Z1327" s="54"/>
      <c r="AA1327" s="54"/>
      <c r="AB1327" s="54"/>
      <c r="AC1327" s="54"/>
    </row>
    <row r="1328" ht="78.0" customHeight="1">
      <c r="A1328" s="941">
        <v>1043.0</v>
      </c>
      <c r="B1328" s="26"/>
      <c r="C1328" s="28"/>
      <c r="D1328" s="825"/>
      <c r="E1328" s="28"/>
      <c r="F1328" s="28"/>
      <c r="G1328" s="28"/>
      <c r="H1328" s="28"/>
      <c r="I1328" s="28"/>
      <c r="J1328" s="28"/>
      <c r="K1328" s="28"/>
      <c r="L1328" s="28"/>
      <c r="M1328" s="28"/>
      <c r="N1328" s="28"/>
      <c r="O1328" s="28"/>
      <c r="P1328" s="28"/>
      <c r="Q1328" s="28"/>
      <c r="R1328" s="28"/>
      <c r="S1328" s="28"/>
      <c r="T1328" s="28"/>
      <c r="U1328" s="28"/>
      <c r="V1328" s="28"/>
      <c r="W1328" s="28"/>
      <c r="X1328" s="28"/>
      <c r="Y1328" s="28"/>
      <c r="Z1328" s="28"/>
      <c r="AA1328" s="28"/>
      <c r="AB1328" s="28"/>
      <c r="AC1328" s="28"/>
    </row>
    <row r="1329" ht="78.0" customHeight="1">
      <c r="A1329" s="946">
        <v>1042.0</v>
      </c>
      <c r="B1329" s="52"/>
      <c r="C1329" s="54"/>
      <c r="D1329" s="855"/>
      <c r="E1329" s="54"/>
      <c r="F1329" s="54"/>
      <c r="G1329" s="54"/>
      <c r="H1329" s="54"/>
      <c r="I1329" s="54"/>
      <c r="J1329" s="54"/>
      <c r="K1329" s="54"/>
      <c r="L1329" s="54"/>
      <c r="M1329" s="54"/>
      <c r="N1329" s="54"/>
      <c r="O1329" s="54"/>
      <c r="P1329" s="54"/>
      <c r="Q1329" s="54"/>
      <c r="R1329" s="54"/>
      <c r="S1329" s="54"/>
      <c r="T1329" s="54"/>
      <c r="U1329" s="54"/>
      <c r="V1329" s="54"/>
      <c r="W1329" s="54"/>
      <c r="X1329" s="54"/>
      <c r="Y1329" s="54"/>
      <c r="Z1329" s="54"/>
      <c r="AA1329" s="54"/>
      <c r="AB1329" s="54"/>
      <c r="AC1329" s="54"/>
    </row>
    <row r="1330" ht="78.0" customHeight="1">
      <c r="A1330" s="941">
        <v>1041.0</v>
      </c>
      <c r="B1330" s="26"/>
      <c r="C1330" s="28"/>
      <c r="D1330" s="825"/>
      <c r="E1330" s="28"/>
      <c r="F1330" s="28"/>
      <c r="G1330" s="28"/>
      <c r="H1330" s="28"/>
      <c r="I1330" s="28"/>
      <c r="J1330" s="28"/>
      <c r="K1330" s="28"/>
      <c r="L1330" s="28"/>
      <c r="M1330" s="28"/>
      <c r="N1330" s="28"/>
      <c r="O1330" s="28"/>
      <c r="P1330" s="28"/>
      <c r="Q1330" s="28"/>
      <c r="R1330" s="28"/>
      <c r="S1330" s="28"/>
      <c r="T1330" s="28"/>
      <c r="U1330" s="28"/>
      <c r="V1330" s="28"/>
      <c r="W1330" s="28"/>
      <c r="X1330" s="28"/>
      <c r="Y1330" s="28"/>
      <c r="Z1330" s="28"/>
      <c r="AA1330" s="28"/>
      <c r="AB1330" s="28"/>
      <c r="AC1330" s="28"/>
    </row>
    <row r="1331" ht="78.0" customHeight="1">
      <c r="A1331" s="946">
        <v>1040.0</v>
      </c>
      <c r="B1331" s="52"/>
      <c r="C1331" s="54"/>
      <c r="D1331" s="855"/>
      <c r="E1331" s="54"/>
      <c r="F1331" s="54"/>
      <c r="G1331" s="54"/>
      <c r="H1331" s="54"/>
      <c r="I1331" s="54"/>
      <c r="J1331" s="54"/>
      <c r="K1331" s="54"/>
      <c r="L1331" s="54"/>
      <c r="M1331" s="54"/>
      <c r="N1331" s="54"/>
      <c r="O1331" s="54"/>
      <c r="P1331" s="54"/>
      <c r="Q1331" s="54"/>
      <c r="R1331" s="54"/>
      <c r="S1331" s="54"/>
      <c r="T1331" s="54"/>
      <c r="U1331" s="54"/>
      <c r="V1331" s="54"/>
      <c r="W1331" s="54"/>
      <c r="X1331" s="54"/>
      <c r="Y1331" s="54"/>
      <c r="Z1331" s="54"/>
      <c r="AA1331" s="54"/>
      <c r="AB1331" s="54"/>
      <c r="AC1331" s="54"/>
    </row>
    <row r="1332" ht="78.0" customHeight="1">
      <c r="A1332" s="941">
        <v>1039.0</v>
      </c>
      <c r="B1332" s="26"/>
      <c r="C1332" s="28"/>
      <c r="D1332" s="825"/>
      <c r="E1332" s="28"/>
      <c r="F1332" s="28"/>
      <c r="G1332" s="28"/>
      <c r="H1332" s="28"/>
      <c r="I1332" s="28"/>
      <c r="J1332" s="28"/>
      <c r="K1332" s="28"/>
      <c r="L1332" s="28"/>
      <c r="M1332" s="28"/>
      <c r="N1332" s="28"/>
      <c r="O1332" s="28"/>
      <c r="P1332" s="28"/>
      <c r="Q1332" s="28"/>
      <c r="R1332" s="28"/>
      <c r="S1332" s="28"/>
      <c r="T1332" s="28"/>
      <c r="U1332" s="28"/>
      <c r="V1332" s="28"/>
      <c r="W1332" s="28"/>
      <c r="X1332" s="28"/>
      <c r="Y1332" s="28"/>
      <c r="Z1332" s="28"/>
      <c r="AA1332" s="28"/>
      <c r="AB1332" s="28"/>
      <c r="AC1332" s="28"/>
    </row>
    <row r="1333" ht="78.0" customHeight="1">
      <c r="A1333" s="946">
        <v>1038.0</v>
      </c>
      <c r="B1333" s="52"/>
      <c r="C1333" s="54"/>
      <c r="D1333" s="855"/>
      <c r="E1333" s="54"/>
      <c r="F1333" s="54"/>
      <c r="G1333" s="54"/>
      <c r="H1333" s="54"/>
      <c r="I1333" s="54"/>
      <c r="J1333" s="54"/>
      <c r="K1333" s="54"/>
      <c r="L1333" s="54"/>
      <c r="M1333" s="54"/>
      <c r="N1333" s="54"/>
      <c r="O1333" s="54"/>
      <c r="P1333" s="54"/>
      <c r="Q1333" s="54"/>
      <c r="R1333" s="54"/>
      <c r="S1333" s="54"/>
      <c r="T1333" s="54"/>
      <c r="U1333" s="54"/>
      <c r="V1333" s="54"/>
      <c r="W1333" s="54"/>
      <c r="X1333" s="54"/>
      <c r="Y1333" s="54"/>
      <c r="Z1333" s="54"/>
      <c r="AA1333" s="54"/>
      <c r="AB1333" s="54"/>
      <c r="AC1333" s="54"/>
    </row>
    <row r="1334" ht="78.0" customHeight="1">
      <c r="A1334" s="941">
        <v>1037.0</v>
      </c>
      <c r="B1334" s="26"/>
      <c r="C1334" s="28"/>
      <c r="D1334" s="825"/>
      <c r="E1334" s="28"/>
      <c r="F1334" s="28"/>
      <c r="G1334" s="28"/>
      <c r="H1334" s="28"/>
      <c r="I1334" s="28"/>
      <c r="J1334" s="28"/>
      <c r="K1334" s="28"/>
      <c r="L1334" s="28"/>
      <c r="M1334" s="28"/>
      <c r="N1334" s="28"/>
      <c r="O1334" s="28"/>
      <c r="P1334" s="28"/>
      <c r="Q1334" s="28"/>
      <c r="R1334" s="28"/>
      <c r="S1334" s="28"/>
      <c r="T1334" s="28"/>
      <c r="U1334" s="28"/>
      <c r="V1334" s="28"/>
      <c r="W1334" s="28"/>
      <c r="X1334" s="28"/>
      <c r="Y1334" s="28"/>
      <c r="Z1334" s="28"/>
      <c r="AA1334" s="28"/>
      <c r="AB1334" s="28"/>
      <c r="AC1334" s="28"/>
    </row>
    <row r="1335" ht="78.0" customHeight="1">
      <c r="A1335" s="946">
        <v>1036.0</v>
      </c>
      <c r="B1335" s="52"/>
      <c r="C1335" s="54"/>
      <c r="D1335" s="855"/>
      <c r="E1335" s="54"/>
      <c r="F1335" s="54"/>
      <c r="G1335" s="54"/>
      <c r="H1335" s="54"/>
      <c r="I1335" s="54"/>
      <c r="J1335" s="54"/>
      <c r="K1335" s="54"/>
      <c r="L1335" s="54"/>
      <c r="M1335" s="54"/>
      <c r="N1335" s="54"/>
      <c r="O1335" s="54"/>
      <c r="P1335" s="54"/>
      <c r="Q1335" s="54"/>
      <c r="R1335" s="54"/>
      <c r="S1335" s="54"/>
      <c r="T1335" s="54"/>
      <c r="U1335" s="54"/>
      <c r="V1335" s="54"/>
      <c r="W1335" s="54"/>
      <c r="X1335" s="54"/>
      <c r="Y1335" s="54"/>
      <c r="Z1335" s="54"/>
      <c r="AA1335" s="54"/>
      <c r="AB1335" s="54"/>
      <c r="AC1335" s="54"/>
    </row>
    <row r="1336" ht="78.0" customHeight="1">
      <c r="A1336" s="941">
        <v>1035.0</v>
      </c>
      <c r="B1336" s="26"/>
      <c r="C1336" s="28"/>
      <c r="D1336" s="825"/>
      <c r="E1336" s="28"/>
      <c r="F1336" s="28"/>
      <c r="G1336" s="28"/>
      <c r="H1336" s="28"/>
      <c r="I1336" s="28"/>
      <c r="J1336" s="28"/>
      <c r="K1336" s="28"/>
      <c r="L1336" s="28"/>
      <c r="M1336" s="28"/>
      <c r="N1336" s="28"/>
      <c r="O1336" s="28"/>
      <c r="P1336" s="28"/>
      <c r="Q1336" s="28"/>
      <c r="R1336" s="28"/>
      <c r="S1336" s="28"/>
      <c r="T1336" s="28"/>
      <c r="U1336" s="28"/>
      <c r="V1336" s="28"/>
      <c r="W1336" s="28"/>
      <c r="X1336" s="28"/>
      <c r="Y1336" s="28"/>
      <c r="Z1336" s="28"/>
      <c r="AA1336" s="28"/>
      <c r="AB1336" s="28"/>
      <c r="AC1336" s="28"/>
    </row>
    <row r="1337" ht="78.0" customHeight="1">
      <c r="A1337" s="946">
        <v>1034.0</v>
      </c>
      <c r="B1337" s="52"/>
      <c r="C1337" s="54"/>
      <c r="D1337" s="855"/>
      <c r="E1337" s="54"/>
      <c r="F1337" s="54"/>
      <c r="G1337" s="54"/>
      <c r="H1337" s="54"/>
      <c r="I1337" s="54"/>
      <c r="J1337" s="54"/>
      <c r="K1337" s="54"/>
      <c r="L1337" s="54"/>
      <c r="M1337" s="54"/>
      <c r="N1337" s="54"/>
      <c r="O1337" s="54"/>
      <c r="P1337" s="54"/>
      <c r="Q1337" s="54"/>
      <c r="R1337" s="54"/>
      <c r="S1337" s="54"/>
      <c r="T1337" s="54"/>
      <c r="U1337" s="54"/>
      <c r="V1337" s="54"/>
      <c r="W1337" s="54"/>
      <c r="X1337" s="54"/>
      <c r="Y1337" s="54"/>
      <c r="Z1337" s="54"/>
      <c r="AA1337" s="54"/>
      <c r="AB1337" s="54"/>
      <c r="AC1337" s="54"/>
    </row>
    <row r="1338" ht="78.0" customHeight="1">
      <c r="A1338" s="941">
        <v>1033.0</v>
      </c>
      <c r="B1338" s="26"/>
      <c r="C1338" s="28"/>
      <c r="D1338" s="825"/>
      <c r="E1338" s="28"/>
      <c r="F1338" s="28"/>
      <c r="G1338" s="28"/>
      <c r="H1338" s="28"/>
      <c r="I1338" s="28"/>
      <c r="J1338" s="28"/>
      <c r="K1338" s="28"/>
      <c r="L1338" s="28"/>
      <c r="M1338" s="28"/>
      <c r="N1338" s="28"/>
      <c r="O1338" s="28"/>
      <c r="P1338" s="28"/>
      <c r="Q1338" s="28"/>
      <c r="R1338" s="28"/>
      <c r="S1338" s="28"/>
      <c r="T1338" s="28"/>
      <c r="U1338" s="28"/>
      <c r="V1338" s="28"/>
      <c r="W1338" s="28"/>
      <c r="X1338" s="28"/>
      <c r="Y1338" s="28"/>
      <c r="Z1338" s="28"/>
      <c r="AA1338" s="28"/>
      <c r="AB1338" s="28"/>
      <c r="AC1338" s="28"/>
    </row>
    <row r="1339" ht="78.0" customHeight="1">
      <c r="A1339" s="946">
        <v>1032.0</v>
      </c>
      <c r="B1339" s="52"/>
      <c r="C1339" s="54"/>
      <c r="D1339" s="855"/>
      <c r="E1339" s="54"/>
      <c r="F1339" s="54"/>
      <c r="G1339" s="54"/>
      <c r="H1339" s="54"/>
      <c r="I1339" s="54"/>
      <c r="J1339" s="54"/>
      <c r="K1339" s="54"/>
      <c r="L1339" s="54"/>
      <c r="M1339" s="54"/>
      <c r="N1339" s="54"/>
      <c r="O1339" s="54"/>
      <c r="P1339" s="54"/>
      <c r="Q1339" s="54"/>
      <c r="R1339" s="54"/>
      <c r="S1339" s="54"/>
      <c r="T1339" s="54"/>
      <c r="U1339" s="54"/>
      <c r="V1339" s="54"/>
      <c r="W1339" s="54"/>
      <c r="X1339" s="54"/>
      <c r="Y1339" s="54"/>
      <c r="Z1339" s="54"/>
      <c r="AA1339" s="54"/>
      <c r="AB1339" s="54"/>
      <c r="AC1339" s="54"/>
    </row>
    <row r="1340" ht="78.0" customHeight="1">
      <c r="A1340" s="941">
        <v>1031.0</v>
      </c>
      <c r="B1340" s="26"/>
      <c r="C1340" s="28"/>
      <c r="D1340" s="825"/>
      <c r="E1340" s="28"/>
      <c r="F1340" s="28"/>
      <c r="G1340" s="28"/>
      <c r="H1340" s="28"/>
      <c r="I1340" s="28"/>
      <c r="J1340" s="28"/>
      <c r="K1340" s="28"/>
      <c r="L1340" s="28"/>
      <c r="M1340" s="28"/>
      <c r="N1340" s="28"/>
      <c r="O1340" s="28"/>
      <c r="P1340" s="28"/>
      <c r="Q1340" s="28"/>
      <c r="R1340" s="28"/>
      <c r="S1340" s="28"/>
      <c r="T1340" s="28"/>
      <c r="U1340" s="28"/>
      <c r="V1340" s="28"/>
      <c r="W1340" s="28"/>
      <c r="X1340" s="28"/>
      <c r="Y1340" s="28"/>
      <c r="Z1340" s="28"/>
      <c r="AA1340" s="28"/>
      <c r="AB1340" s="28"/>
      <c r="AC1340" s="28"/>
    </row>
    <row r="1341" ht="78.0" customHeight="1">
      <c r="A1341" s="946">
        <v>1030.0</v>
      </c>
      <c r="B1341" s="52"/>
      <c r="C1341" s="54"/>
      <c r="D1341" s="855"/>
      <c r="E1341" s="54"/>
      <c r="F1341" s="54"/>
      <c r="G1341" s="54"/>
      <c r="H1341" s="54"/>
      <c r="I1341" s="54"/>
      <c r="J1341" s="54"/>
      <c r="K1341" s="54"/>
      <c r="L1341" s="54"/>
      <c r="M1341" s="54"/>
      <c r="N1341" s="54"/>
      <c r="O1341" s="54"/>
      <c r="P1341" s="54"/>
      <c r="Q1341" s="54"/>
      <c r="R1341" s="54"/>
      <c r="S1341" s="54"/>
      <c r="T1341" s="54"/>
      <c r="U1341" s="54"/>
      <c r="V1341" s="54"/>
      <c r="W1341" s="54"/>
      <c r="X1341" s="54"/>
      <c r="Y1341" s="54"/>
      <c r="Z1341" s="54"/>
      <c r="AA1341" s="54"/>
      <c r="AB1341" s="54"/>
      <c r="AC1341" s="54"/>
    </row>
    <row r="1342" ht="78.0" customHeight="1">
      <c r="A1342" s="941">
        <v>1029.0</v>
      </c>
      <c r="B1342" s="26"/>
      <c r="C1342" s="28"/>
      <c r="D1342" s="825"/>
      <c r="E1342" s="28"/>
      <c r="F1342" s="28"/>
      <c r="G1342" s="28"/>
      <c r="H1342" s="28"/>
      <c r="I1342" s="28"/>
      <c r="J1342" s="28"/>
      <c r="K1342" s="28"/>
      <c r="L1342" s="28"/>
      <c r="M1342" s="28"/>
      <c r="N1342" s="28"/>
      <c r="O1342" s="28"/>
      <c r="P1342" s="28"/>
      <c r="Q1342" s="28"/>
      <c r="R1342" s="28"/>
      <c r="S1342" s="28"/>
      <c r="T1342" s="28"/>
      <c r="U1342" s="28"/>
      <c r="V1342" s="28"/>
      <c r="W1342" s="28"/>
      <c r="X1342" s="28"/>
      <c r="Y1342" s="28"/>
      <c r="Z1342" s="28"/>
      <c r="AA1342" s="28"/>
      <c r="AB1342" s="28"/>
      <c r="AC1342" s="28"/>
    </row>
    <row r="1343" ht="78.0" customHeight="1">
      <c r="A1343" s="946">
        <v>1028.0</v>
      </c>
      <c r="B1343" s="52"/>
      <c r="C1343" s="54"/>
      <c r="D1343" s="855"/>
      <c r="E1343" s="54"/>
      <c r="F1343" s="54"/>
      <c r="G1343" s="54"/>
      <c r="H1343" s="54"/>
      <c r="I1343" s="54"/>
      <c r="J1343" s="54"/>
      <c r="K1343" s="54"/>
      <c r="L1343" s="54"/>
      <c r="M1343" s="54"/>
      <c r="N1343" s="54"/>
      <c r="O1343" s="54"/>
      <c r="P1343" s="54"/>
      <c r="Q1343" s="54"/>
      <c r="R1343" s="54"/>
      <c r="S1343" s="54"/>
      <c r="T1343" s="54"/>
      <c r="U1343" s="54"/>
      <c r="V1343" s="54"/>
      <c r="W1343" s="54"/>
      <c r="X1343" s="54"/>
      <c r="Y1343" s="54"/>
      <c r="Z1343" s="54"/>
      <c r="AA1343" s="54"/>
      <c r="AB1343" s="54"/>
      <c r="AC1343" s="54"/>
    </row>
    <row r="1344" ht="78.0" customHeight="1">
      <c r="A1344" s="941">
        <v>1027.0</v>
      </c>
      <c r="B1344" s="26"/>
      <c r="C1344" s="28"/>
      <c r="D1344" s="825"/>
      <c r="E1344" s="28"/>
      <c r="F1344" s="28"/>
      <c r="G1344" s="28"/>
      <c r="H1344" s="28"/>
      <c r="I1344" s="28"/>
      <c r="J1344" s="28"/>
      <c r="K1344" s="28"/>
      <c r="L1344" s="28"/>
      <c r="M1344" s="28"/>
      <c r="N1344" s="28"/>
      <c r="O1344" s="28"/>
      <c r="P1344" s="28"/>
      <c r="Q1344" s="28"/>
      <c r="R1344" s="28"/>
      <c r="S1344" s="28"/>
      <c r="T1344" s="28"/>
      <c r="U1344" s="28"/>
      <c r="V1344" s="28"/>
      <c r="W1344" s="28"/>
      <c r="X1344" s="28"/>
      <c r="Y1344" s="28"/>
      <c r="Z1344" s="28"/>
      <c r="AA1344" s="28"/>
      <c r="AB1344" s="28"/>
      <c r="AC1344" s="28"/>
    </row>
    <row r="1345" ht="78.0" customHeight="1">
      <c r="A1345" s="946">
        <v>1026.0</v>
      </c>
      <c r="B1345" s="52"/>
      <c r="C1345" s="54"/>
      <c r="D1345" s="855"/>
      <c r="E1345" s="54"/>
      <c r="F1345" s="54"/>
      <c r="G1345" s="54"/>
      <c r="H1345" s="54"/>
      <c r="I1345" s="54"/>
      <c r="J1345" s="54"/>
      <c r="K1345" s="54"/>
      <c r="L1345" s="54"/>
      <c r="M1345" s="54"/>
      <c r="N1345" s="54"/>
      <c r="O1345" s="54"/>
      <c r="P1345" s="54"/>
      <c r="Q1345" s="54"/>
      <c r="R1345" s="54"/>
      <c r="S1345" s="54"/>
      <c r="T1345" s="54"/>
      <c r="U1345" s="54"/>
      <c r="V1345" s="54"/>
      <c r="W1345" s="54"/>
      <c r="X1345" s="54"/>
      <c r="Y1345" s="54"/>
      <c r="Z1345" s="54"/>
      <c r="AA1345" s="54"/>
      <c r="AB1345" s="54"/>
      <c r="AC1345" s="54"/>
    </row>
    <row r="1346" ht="78.0" customHeight="1">
      <c r="A1346" s="941">
        <v>1025.0</v>
      </c>
      <c r="B1346" s="26"/>
      <c r="C1346" s="28"/>
      <c r="D1346" s="825"/>
      <c r="E1346" s="28"/>
      <c r="F1346" s="28"/>
      <c r="G1346" s="28"/>
      <c r="H1346" s="28"/>
      <c r="I1346" s="28"/>
      <c r="J1346" s="28"/>
      <c r="K1346" s="28"/>
      <c r="L1346" s="28"/>
      <c r="M1346" s="28"/>
      <c r="N1346" s="28"/>
      <c r="O1346" s="28"/>
      <c r="P1346" s="28"/>
      <c r="Q1346" s="28"/>
      <c r="R1346" s="28"/>
      <c r="S1346" s="28"/>
      <c r="T1346" s="28"/>
      <c r="U1346" s="28"/>
      <c r="V1346" s="28"/>
      <c r="W1346" s="28"/>
      <c r="X1346" s="28"/>
      <c r="Y1346" s="28"/>
      <c r="Z1346" s="28"/>
      <c r="AA1346" s="28"/>
      <c r="AB1346" s="28"/>
      <c r="AC1346" s="28"/>
    </row>
    <row r="1347" ht="78.0" customHeight="1">
      <c r="A1347" s="946">
        <v>1024.0</v>
      </c>
      <c r="B1347" s="52"/>
      <c r="C1347" s="54"/>
      <c r="D1347" s="855"/>
      <c r="E1347" s="54"/>
      <c r="F1347" s="54"/>
      <c r="G1347" s="54"/>
      <c r="H1347" s="54"/>
      <c r="I1347" s="54"/>
      <c r="J1347" s="54"/>
      <c r="K1347" s="54"/>
      <c r="L1347" s="54"/>
      <c r="M1347" s="54"/>
      <c r="N1347" s="54"/>
      <c r="O1347" s="54"/>
      <c r="P1347" s="54"/>
      <c r="Q1347" s="54"/>
      <c r="R1347" s="54"/>
      <c r="S1347" s="54"/>
      <c r="T1347" s="54"/>
      <c r="U1347" s="54"/>
      <c r="V1347" s="54"/>
      <c r="W1347" s="54"/>
      <c r="X1347" s="54"/>
      <c r="Y1347" s="54"/>
      <c r="Z1347" s="54"/>
      <c r="AA1347" s="54"/>
      <c r="AB1347" s="54"/>
      <c r="AC1347" s="54"/>
    </row>
    <row r="1348" ht="78.0" customHeight="1">
      <c r="A1348" s="941">
        <v>1023.0</v>
      </c>
      <c r="B1348" s="26"/>
      <c r="C1348" s="28"/>
      <c r="D1348" s="825"/>
      <c r="E1348" s="28"/>
      <c r="F1348" s="28"/>
      <c r="G1348" s="28"/>
      <c r="H1348" s="28"/>
      <c r="I1348" s="28"/>
      <c r="J1348" s="28"/>
      <c r="K1348" s="28"/>
      <c r="L1348" s="28"/>
      <c r="M1348" s="28"/>
      <c r="N1348" s="28"/>
      <c r="O1348" s="28"/>
      <c r="P1348" s="28"/>
      <c r="Q1348" s="28"/>
      <c r="R1348" s="28"/>
      <c r="S1348" s="28"/>
      <c r="T1348" s="28"/>
      <c r="U1348" s="28"/>
      <c r="V1348" s="28"/>
      <c r="W1348" s="28"/>
      <c r="X1348" s="28"/>
      <c r="Y1348" s="28"/>
      <c r="Z1348" s="28"/>
      <c r="AA1348" s="28"/>
      <c r="AB1348" s="28"/>
      <c r="AC1348" s="28"/>
    </row>
    <row r="1349" ht="78.0" customHeight="1">
      <c r="A1349" s="946">
        <v>1022.0</v>
      </c>
      <c r="B1349" s="52"/>
      <c r="C1349" s="54"/>
      <c r="D1349" s="855"/>
      <c r="E1349" s="54"/>
      <c r="F1349" s="54"/>
      <c r="G1349" s="54"/>
      <c r="H1349" s="54"/>
      <c r="I1349" s="54"/>
      <c r="J1349" s="54"/>
      <c r="K1349" s="54"/>
      <c r="L1349" s="54"/>
      <c r="M1349" s="54"/>
      <c r="N1349" s="54"/>
      <c r="O1349" s="54"/>
      <c r="P1349" s="54"/>
      <c r="Q1349" s="54"/>
      <c r="R1349" s="54"/>
      <c r="S1349" s="54"/>
      <c r="T1349" s="54"/>
      <c r="U1349" s="54"/>
      <c r="V1349" s="54"/>
      <c r="W1349" s="54"/>
      <c r="X1349" s="54"/>
      <c r="Y1349" s="54"/>
      <c r="Z1349" s="54"/>
      <c r="AA1349" s="54"/>
      <c r="AB1349" s="54"/>
      <c r="AC1349" s="54"/>
    </row>
    <row r="1350" ht="78.0" customHeight="1">
      <c r="A1350" s="941">
        <v>1021.0</v>
      </c>
      <c r="B1350" s="26"/>
      <c r="C1350" s="28"/>
      <c r="D1350" s="825"/>
      <c r="E1350" s="28"/>
      <c r="F1350" s="28"/>
      <c r="G1350" s="28"/>
      <c r="H1350" s="28"/>
      <c r="I1350" s="28"/>
      <c r="J1350" s="28"/>
      <c r="K1350" s="28"/>
      <c r="L1350" s="28"/>
      <c r="M1350" s="28"/>
      <c r="N1350" s="28"/>
      <c r="O1350" s="28"/>
      <c r="P1350" s="28"/>
      <c r="Q1350" s="28"/>
      <c r="R1350" s="28"/>
      <c r="S1350" s="28"/>
      <c r="T1350" s="28"/>
      <c r="U1350" s="28"/>
      <c r="V1350" s="28"/>
      <c r="W1350" s="28"/>
      <c r="X1350" s="28"/>
      <c r="Y1350" s="28"/>
      <c r="Z1350" s="28"/>
      <c r="AA1350" s="28"/>
      <c r="AB1350" s="28"/>
      <c r="AC1350" s="28"/>
    </row>
    <row r="1351" ht="78.0" customHeight="1">
      <c r="A1351" s="946">
        <v>1020.0</v>
      </c>
      <c r="B1351" s="52"/>
      <c r="C1351" s="54"/>
      <c r="D1351" s="855"/>
      <c r="E1351" s="54"/>
      <c r="F1351" s="54"/>
      <c r="G1351" s="54"/>
      <c r="H1351" s="54"/>
      <c r="I1351" s="54"/>
      <c r="J1351" s="54"/>
      <c r="K1351" s="54"/>
      <c r="L1351" s="54"/>
      <c r="M1351" s="54"/>
      <c r="N1351" s="54"/>
      <c r="O1351" s="54"/>
      <c r="P1351" s="54"/>
      <c r="Q1351" s="54"/>
      <c r="R1351" s="54"/>
      <c r="S1351" s="54"/>
      <c r="T1351" s="54"/>
      <c r="U1351" s="54"/>
      <c r="V1351" s="54"/>
      <c r="W1351" s="54"/>
      <c r="X1351" s="54"/>
      <c r="Y1351" s="54"/>
      <c r="Z1351" s="54"/>
      <c r="AA1351" s="54"/>
      <c r="AB1351" s="54"/>
      <c r="AC1351" s="54"/>
    </row>
    <row r="1352" ht="78.0" customHeight="1">
      <c r="A1352" s="941">
        <v>1019.0</v>
      </c>
      <c r="B1352" s="26"/>
      <c r="C1352" s="28"/>
      <c r="D1352" s="825"/>
      <c r="E1352" s="28"/>
      <c r="F1352" s="28"/>
      <c r="G1352" s="28"/>
      <c r="H1352" s="28"/>
      <c r="I1352" s="28"/>
      <c r="J1352" s="28"/>
      <c r="K1352" s="28"/>
      <c r="L1352" s="28"/>
      <c r="M1352" s="28"/>
      <c r="N1352" s="28"/>
      <c r="O1352" s="28"/>
      <c r="P1352" s="28"/>
      <c r="Q1352" s="28"/>
      <c r="R1352" s="28"/>
      <c r="S1352" s="28"/>
      <c r="T1352" s="28"/>
      <c r="U1352" s="28"/>
      <c r="V1352" s="28"/>
      <c r="W1352" s="28"/>
      <c r="X1352" s="28"/>
      <c r="Y1352" s="28"/>
      <c r="Z1352" s="28"/>
      <c r="AA1352" s="28"/>
      <c r="AB1352" s="28"/>
      <c r="AC1352" s="28"/>
    </row>
    <row r="1353" ht="78.0" customHeight="1">
      <c r="A1353" s="946">
        <v>1018.0</v>
      </c>
      <c r="B1353" s="52"/>
      <c r="C1353" s="54"/>
      <c r="D1353" s="855"/>
      <c r="E1353" s="54"/>
      <c r="F1353" s="54"/>
      <c r="G1353" s="54"/>
      <c r="H1353" s="54"/>
      <c r="I1353" s="54"/>
      <c r="J1353" s="54"/>
      <c r="K1353" s="54"/>
      <c r="L1353" s="54"/>
      <c r="M1353" s="54"/>
      <c r="N1353" s="54"/>
      <c r="O1353" s="54"/>
      <c r="P1353" s="54"/>
      <c r="Q1353" s="54"/>
      <c r="R1353" s="54"/>
      <c r="S1353" s="54"/>
      <c r="T1353" s="54"/>
      <c r="U1353" s="54"/>
      <c r="V1353" s="54"/>
      <c r="W1353" s="54"/>
      <c r="X1353" s="54"/>
      <c r="Y1353" s="54"/>
      <c r="Z1353" s="54"/>
      <c r="AA1353" s="54"/>
      <c r="AB1353" s="54"/>
      <c r="AC1353" s="54"/>
    </row>
    <row r="1354" ht="78.0" customHeight="1">
      <c r="A1354" s="941">
        <v>1017.0</v>
      </c>
      <c r="B1354" s="26"/>
      <c r="C1354" s="28"/>
      <c r="D1354" s="825"/>
      <c r="E1354" s="28"/>
      <c r="F1354" s="28"/>
      <c r="G1354" s="28"/>
      <c r="H1354" s="28"/>
      <c r="I1354" s="28"/>
      <c r="J1354" s="28"/>
      <c r="K1354" s="28"/>
      <c r="L1354" s="28"/>
      <c r="M1354" s="28"/>
      <c r="N1354" s="28"/>
      <c r="O1354" s="28"/>
      <c r="P1354" s="28"/>
      <c r="Q1354" s="28"/>
      <c r="R1354" s="28"/>
      <c r="S1354" s="28"/>
      <c r="T1354" s="28"/>
      <c r="U1354" s="28"/>
      <c r="V1354" s="28"/>
      <c r="W1354" s="28"/>
      <c r="X1354" s="28"/>
      <c r="Y1354" s="28"/>
      <c r="Z1354" s="28"/>
      <c r="AA1354" s="28"/>
      <c r="AB1354" s="28"/>
      <c r="AC1354" s="28"/>
    </row>
    <row r="1355" ht="78.0" customHeight="1">
      <c r="A1355" s="946">
        <v>1016.0</v>
      </c>
      <c r="B1355" s="52"/>
      <c r="C1355" s="54"/>
      <c r="D1355" s="855"/>
      <c r="E1355" s="54"/>
      <c r="F1355" s="54"/>
      <c r="G1355" s="54"/>
      <c r="H1355" s="54"/>
      <c r="I1355" s="54"/>
      <c r="J1355" s="54"/>
      <c r="K1355" s="54"/>
      <c r="L1355" s="54"/>
      <c r="M1355" s="54"/>
      <c r="N1355" s="54"/>
      <c r="O1355" s="54"/>
      <c r="P1355" s="54"/>
      <c r="Q1355" s="54"/>
      <c r="R1355" s="54"/>
      <c r="S1355" s="54"/>
      <c r="T1355" s="54"/>
      <c r="U1355" s="54"/>
      <c r="V1355" s="54"/>
      <c r="W1355" s="54"/>
      <c r="X1355" s="54"/>
      <c r="Y1355" s="54"/>
      <c r="Z1355" s="54"/>
      <c r="AA1355" s="54"/>
      <c r="AB1355" s="54"/>
      <c r="AC1355" s="54"/>
    </row>
    <row r="1356" ht="78.0" customHeight="1">
      <c r="A1356" s="941">
        <v>1015.0</v>
      </c>
      <c r="B1356" s="26"/>
      <c r="C1356" s="28"/>
      <c r="D1356" s="825"/>
      <c r="E1356" s="28"/>
      <c r="F1356" s="28"/>
      <c r="G1356" s="28"/>
      <c r="H1356" s="28"/>
      <c r="I1356" s="28"/>
      <c r="J1356" s="28"/>
      <c r="K1356" s="28"/>
      <c r="L1356" s="28"/>
      <c r="M1356" s="28"/>
      <c r="N1356" s="28"/>
      <c r="O1356" s="28"/>
      <c r="P1356" s="28"/>
      <c r="Q1356" s="28"/>
      <c r="R1356" s="28"/>
      <c r="S1356" s="28"/>
      <c r="T1356" s="28"/>
      <c r="U1356" s="28"/>
      <c r="V1356" s="28"/>
      <c r="W1356" s="28"/>
      <c r="X1356" s="28"/>
      <c r="Y1356" s="28"/>
      <c r="Z1356" s="28"/>
      <c r="AA1356" s="28"/>
      <c r="AB1356" s="28"/>
      <c r="AC1356" s="28"/>
    </row>
    <row r="1357" ht="78.0" customHeight="1">
      <c r="A1357" s="946">
        <v>1014.0</v>
      </c>
      <c r="B1357" s="52"/>
      <c r="C1357" s="54"/>
      <c r="D1357" s="855"/>
      <c r="E1357" s="54"/>
      <c r="F1357" s="54"/>
      <c r="G1357" s="54"/>
      <c r="H1357" s="54"/>
      <c r="I1357" s="54"/>
      <c r="J1357" s="54"/>
      <c r="K1357" s="54"/>
      <c r="L1357" s="54"/>
      <c r="M1357" s="54"/>
      <c r="N1357" s="54"/>
      <c r="O1357" s="54"/>
      <c r="P1357" s="54"/>
      <c r="Q1357" s="54"/>
      <c r="R1357" s="54"/>
      <c r="S1357" s="54"/>
      <c r="T1357" s="54"/>
      <c r="U1357" s="54"/>
      <c r="V1357" s="54"/>
      <c r="W1357" s="54"/>
      <c r="X1357" s="54"/>
      <c r="Y1357" s="54"/>
      <c r="Z1357" s="54"/>
      <c r="AA1357" s="54"/>
      <c r="AB1357" s="54"/>
      <c r="AC1357" s="54"/>
    </row>
    <row r="1358" ht="78.0" customHeight="1">
      <c r="A1358" s="941">
        <v>1013.0</v>
      </c>
      <c r="B1358" s="26"/>
      <c r="C1358" s="28"/>
      <c r="D1358" s="825"/>
      <c r="E1358" s="28"/>
      <c r="F1358" s="28"/>
      <c r="G1358" s="28"/>
      <c r="H1358" s="28"/>
      <c r="I1358" s="28"/>
      <c r="J1358" s="28"/>
      <c r="K1358" s="28"/>
      <c r="L1358" s="28"/>
      <c r="M1358" s="28"/>
      <c r="N1358" s="28"/>
      <c r="O1358" s="28"/>
      <c r="P1358" s="28"/>
      <c r="Q1358" s="28"/>
      <c r="R1358" s="28"/>
      <c r="S1358" s="28"/>
      <c r="T1358" s="28"/>
      <c r="U1358" s="28"/>
      <c r="V1358" s="28"/>
      <c r="W1358" s="28"/>
      <c r="X1358" s="28"/>
      <c r="Y1358" s="28"/>
      <c r="Z1358" s="28"/>
      <c r="AA1358" s="28"/>
      <c r="AB1358" s="28"/>
      <c r="AC1358" s="28"/>
    </row>
    <row r="1359" ht="78.0" customHeight="1">
      <c r="A1359" s="946">
        <v>1012.0</v>
      </c>
      <c r="B1359" s="52"/>
      <c r="C1359" s="54"/>
      <c r="D1359" s="855"/>
      <c r="E1359" s="54"/>
      <c r="F1359" s="54"/>
      <c r="G1359" s="54"/>
      <c r="H1359" s="54"/>
      <c r="I1359" s="54"/>
      <c r="J1359" s="54"/>
      <c r="K1359" s="54"/>
      <c r="L1359" s="54"/>
      <c r="M1359" s="54"/>
      <c r="N1359" s="54"/>
      <c r="O1359" s="54"/>
      <c r="P1359" s="54"/>
      <c r="Q1359" s="54"/>
      <c r="R1359" s="54"/>
      <c r="S1359" s="54"/>
      <c r="T1359" s="54"/>
      <c r="U1359" s="54"/>
      <c r="V1359" s="54"/>
      <c r="W1359" s="54"/>
      <c r="X1359" s="54"/>
      <c r="Y1359" s="54"/>
      <c r="Z1359" s="54"/>
      <c r="AA1359" s="54"/>
      <c r="AB1359" s="54"/>
      <c r="AC1359" s="54"/>
    </row>
    <row r="1360" ht="78.0" customHeight="1">
      <c r="A1360" s="941">
        <v>1011.0</v>
      </c>
      <c r="B1360" s="26"/>
      <c r="C1360" s="28"/>
      <c r="D1360" s="825"/>
      <c r="E1360" s="28"/>
      <c r="F1360" s="28"/>
      <c r="G1360" s="28"/>
      <c r="H1360" s="28"/>
      <c r="I1360" s="28"/>
      <c r="J1360" s="28"/>
      <c r="K1360" s="28"/>
      <c r="L1360" s="28"/>
      <c r="M1360" s="28"/>
      <c r="N1360" s="28"/>
      <c r="O1360" s="28"/>
      <c r="P1360" s="28"/>
      <c r="Q1360" s="28"/>
      <c r="R1360" s="28"/>
      <c r="S1360" s="28"/>
      <c r="T1360" s="28"/>
      <c r="U1360" s="28"/>
      <c r="V1360" s="28"/>
      <c r="W1360" s="28"/>
      <c r="X1360" s="28"/>
      <c r="Y1360" s="28"/>
      <c r="Z1360" s="28"/>
      <c r="AA1360" s="28"/>
      <c r="AB1360" s="28"/>
      <c r="AC1360" s="28"/>
    </row>
    <row r="1361" ht="78.0" customHeight="1">
      <c r="A1361" s="946">
        <v>1010.0</v>
      </c>
      <c r="B1361" s="52"/>
      <c r="C1361" s="54"/>
      <c r="D1361" s="855"/>
      <c r="E1361" s="54"/>
      <c r="F1361" s="54"/>
      <c r="G1361" s="54"/>
      <c r="H1361" s="54"/>
      <c r="I1361" s="54"/>
      <c r="J1361" s="54"/>
      <c r="K1361" s="54"/>
      <c r="L1361" s="54"/>
      <c r="M1361" s="54"/>
      <c r="N1361" s="54"/>
      <c r="O1361" s="54"/>
      <c r="P1361" s="54"/>
      <c r="Q1361" s="54"/>
      <c r="R1361" s="54"/>
      <c r="S1361" s="54"/>
      <c r="T1361" s="54"/>
      <c r="U1361" s="54"/>
      <c r="V1361" s="54"/>
      <c r="W1361" s="54"/>
      <c r="X1361" s="54"/>
      <c r="Y1361" s="54"/>
      <c r="Z1361" s="54"/>
      <c r="AA1361" s="54"/>
      <c r="AB1361" s="54"/>
      <c r="AC1361" s="54"/>
    </row>
    <row r="1362" ht="78.0" customHeight="1">
      <c r="A1362" s="941">
        <v>1009.0</v>
      </c>
      <c r="B1362" s="26"/>
      <c r="C1362" s="28"/>
      <c r="D1362" s="825"/>
      <c r="E1362" s="28"/>
      <c r="F1362" s="28"/>
      <c r="G1362" s="28"/>
      <c r="H1362" s="28"/>
      <c r="I1362" s="28"/>
      <c r="J1362" s="28"/>
      <c r="K1362" s="28"/>
      <c r="L1362" s="28"/>
      <c r="M1362" s="28"/>
      <c r="N1362" s="28"/>
      <c r="O1362" s="28"/>
      <c r="P1362" s="28"/>
      <c r="Q1362" s="28"/>
      <c r="R1362" s="28"/>
      <c r="S1362" s="28"/>
      <c r="T1362" s="28"/>
      <c r="U1362" s="28"/>
      <c r="V1362" s="28"/>
      <c r="W1362" s="28"/>
      <c r="X1362" s="28"/>
      <c r="Y1362" s="28"/>
      <c r="Z1362" s="28"/>
      <c r="AA1362" s="28"/>
      <c r="AB1362" s="28"/>
      <c r="AC1362" s="28"/>
    </row>
    <row r="1363" ht="78.0" customHeight="1">
      <c r="A1363" s="946">
        <v>1008.0</v>
      </c>
      <c r="B1363" s="52"/>
      <c r="C1363" s="54"/>
      <c r="D1363" s="855"/>
      <c r="E1363" s="54"/>
      <c r="F1363" s="54"/>
      <c r="G1363" s="54"/>
      <c r="H1363" s="54"/>
      <c r="I1363" s="54"/>
      <c r="J1363" s="54"/>
      <c r="K1363" s="54"/>
      <c r="L1363" s="54"/>
      <c r="M1363" s="54"/>
      <c r="N1363" s="54"/>
      <c r="O1363" s="54"/>
      <c r="P1363" s="54"/>
      <c r="Q1363" s="54"/>
      <c r="R1363" s="54"/>
      <c r="S1363" s="54"/>
      <c r="T1363" s="54"/>
      <c r="U1363" s="54"/>
      <c r="V1363" s="54"/>
      <c r="W1363" s="54"/>
      <c r="X1363" s="54"/>
      <c r="Y1363" s="54"/>
      <c r="Z1363" s="54"/>
      <c r="AA1363" s="54"/>
      <c r="AB1363" s="54"/>
      <c r="AC1363" s="54"/>
    </row>
    <row r="1364" ht="78.0" customHeight="1">
      <c r="A1364" s="941">
        <v>1007.0</v>
      </c>
      <c r="B1364" s="26"/>
      <c r="C1364" s="28"/>
      <c r="D1364" s="825"/>
      <c r="E1364" s="28"/>
      <c r="F1364" s="28"/>
      <c r="G1364" s="28"/>
      <c r="H1364" s="28"/>
      <c r="I1364" s="28"/>
      <c r="J1364" s="28"/>
      <c r="K1364" s="28"/>
      <c r="L1364" s="28"/>
      <c r="M1364" s="28"/>
      <c r="N1364" s="28"/>
      <c r="O1364" s="28"/>
      <c r="P1364" s="28"/>
      <c r="Q1364" s="28"/>
      <c r="R1364" s="28"/>
      <c r="S1364" s="28"/>
      <c r="T1364" s="28"/>
      <c r="U1364" s="28"/>
      <c r="V1364" s="28"/>
      <c r="W1364" s="28"/>
      <c r="X1364" s="28"/>
      <c r="Y1364" s="28"/>
      <c r="Z1364" s="28"/>
      <c r="AA1364" s="28"/>
      <c r="AB1364" s="28"/>
      <c r="AC1364" s="28"/>
    </row>
    <row r="1365" ht="78.0" customHeight="1">
      <c r="A1365" s="946">
        <v>1006.0</v>
      </c>
      <c r="B1365" s="52"/>
      <c r="C1365" s="54"/>
      <c r="D1365" s="855"/>
      <c r="E1365" s="54"/>
      <c r="F1365" s="54"/>
      <c r="G1365" s="54"/>
      <c r="H1365" s="54"/>
      <c r="I1365" s="54"/>
      <c r="J1365" s="54"/>
      <c r="K1365" s="54"/>
      <c r="L1365" s="54"/>
      <c r="M1365" s="54"/>
      <c r="N1365" s="54"/>
      <c r="O1365" s="54"/>
      <c r="P1365" s="54"/>
      <c r="Q1365" s="54"/>
      <c r="R1365" s="54"/>
      <c r="S1365" s="54"/>
      <c r="T1365" s="54"/>
      <c r="U1365" s="54"/>
      <c r="V1365" s="54"/>
      <c r="W1365" s="54"/>
      <c r="X1365" s="54"/>
      <c r="Y1365" s="54"/>
      <c r="Z1365" s="54"/>
      <c r="AA1365" s="54"/>
      <c r="AB1365" s="54"/>
      <c r="AC1365" s="54"/>
    </row>
    <row r="1366" ht="78.0" customHeight="1">
      <c r="A1366" s="941">
        <v>1005.0</v>
      </c>
      <c r="B1366" s="26"/>
      <c r="C1366" s="28"/>
      <c r="D1366" s="825"/>
      <c r="E1366" s="28"/>
      <c r="F1366" s="28"/>
      <c r="G1366" s="28"/>
      <c r="H1366" s="28"/>
      <c r="I1366" s="28"/>
      <c r="J1366" s="28"/>
      <c r="K1366" s="28"/>
      <c r="L1366" s="28"/>
      <c r="M1366" s="28"/>
      <c r="N1366" s="28"/>
      <c r="O1366" s="28"/>
      <c r="P1366" s="28"/>
      <c r="Q1366" s="28"/>
      <c r="R1366" s="28"/>
      <c r="S1366" s="28"/>
      <c r="T1366" s="28"/>
      <c r="U1366" s="28"/>
      <c r="V1366" s="28"/>
      <c r="W1366" s="28"/>
      <c r="X1366" s="28"/>
      <c r="Y1366" s="28"/>
      <c r="Z1366" s="28"/>
      <c r="AA1366" s="28"/>
      <c r="AB1366" s="28"/>
      <c r="AC1366" s="28"/>
    </row>
    <row r="1367" ht="78.0" customHeight="1">
      <c r="A1367" s="946">
        <v>1004.0</v>
      </c>
      <c r="B1367" s="52"/>
      <c r="C1367" s="54"/>
      <c r="D1367" s="855"/>
      <c r="E1367" s="54"/>
      <c r="F1367" s="54"/>
      <c r="G1367" s="54"/>
      <c r="H1367" s="54"/>
      <c r="I1367" s="54"/>
      <c r="J1367" s="54"/>
      <c r="K1367" s="54"/>
      <c r="L1367" s="54"/>
      <c r="M1367" s="54"/>
      <c r="N1367" s="54"/>
      <c r="O1367" s="54"/>
      <c r="P1367" s="54"/>
      <c r="Q1367" s="54"/>
      <c r="R1367" s="54"/>
      <c r="S1367" s="54"/>
      <c r="T1367" s="54"/>
      <c r="U1367" s="54"/>
      <c r="V1367" s="54"/>
      <c r="W1367" s="54"/>
      <c r="X1367" s="54"/>
      <c r="Y1367" s="54"/>
      <c r="Z1367" s="54"/>
      <c r="AA1367" s="54"/>
      <c r="AB1367" s="54"/>
      <c r="AC1367" s="54"/>
    </row>
    <row r="1368" ht="78.0" customHeight="1">
      <c r="A1368" s="941">
        <v>1003.0</v>
      </c>
      <c r="B1368" s="26"/>
      <c r="C1368" s="28"/>
      <c r="D1368" s="825"/>
      <c r="E1368" s="28"/>
      <c r="F1368" s="28"/>
      <c r="G1368" s="28"/>
      <c r="H1368" s="28"/>
      <c r="I1368" s="28"/>
      <c r="J1368" s="28"/>
      <c r="K1368" s="28"/>
      <c r="L1368" s="28"/>
      <c r="M1368" s="28"/>
      <c r="N1368" s="28"/>
      <c r="O1368" s="28"/>
      <c r="P1368" s="28"/>
      <c r="Q1368" s="28"/>
      <c r="R1368" s="28"/>
      <c r="S1368" s="28"/>
      <c r="T1368" s="28"/>
      <c r="U1368" s="28"/>
      <c r="V1368" s="28"/>
      <c r="W1368" s="28"/>
      <c r="X1368" s="28"/>
      <c r="Y1368" s="28"/>
      <c r="Z1368" s="28"/>
      <c r="AA1368" s="28"/>
      <c r="AB1368" s="28"/>
      <c r="AC1368" s="28"/>
    </row>
    <row r="1369" ht="78.0" customHeight="1">
      <c r="A1369" s="946">
        <v>1002.0</v>
      </c>
      <c r="B1369" s="52"/>
      <c r="C1369" s="54"/>
      <c r="D1369" s="855"/>
      <c r="E1369" s="54"/>
      <c r="F1369" s="54"/>
      <c r="G1369" s="54"/>
      <c r="H1369" s="54"/>
      <c r="I1369" s="54"/>
      <c r="J1369" s="54"/>
      <c r="K1369" s="54"/>
      <c r="L1369" s="54"/>
      <c r="M1369" s="54"/>
      <c r="N1369" s="54"/>
      <c r="O1369" s="54"/>
      <c r="P1369" s="54"/>
      <c r="Q1369" s="54"/>
      <c r="R1369" s="54"/>
      <c r="S1369" s="54"/>
      <c r="T1369" s="54"/>
      <c r="U1369" s="54"/>
      <c r="V1369" s="54"/>
      <c r="W1369" s="54"/>
      <c r="X1369" s="54"/>
      <c r="Y1369" s="54"/>
      <c r="Z1369" s="54"/>
      <c r="AA1369" s="54"/>
      <c r="AB1369" s="54"/>
      <c r="AC1369" s="54"/>
    </row>
    <row r="1370" ht="78.0" customHeight="1">
      <c r="A1370" s="941">
        <v>1001.0</v>
      </c>
      <c r="B1370" s="26"/>
      <c r="C1370" s="28"/>
      <c r="D1370" s="825"/>
      <c r="E1370" s="28"/>
      <c r="F1370" s="28"/>
      <c r="G1370" s="28"/>
      <c r="H1370" s="28"/>
      <c r="I1370" s="28"/>
      <c r="J1370" s="28"/>
      <c r="K1370" s="28"/>
      <c r="L1370" s="28"/>
      <c r="M1370" s="28"/>
      <c r="N1370" s="28"/>
      <c r="O1370" s="28"/>
      <c r="P1370" s="28"/>
      <c r="Q1370" s="28"/>
      <c r="R1370" s="28"/>
      <c r="S1370" s="28"/>
      <c r="T1370" s="28"/>
      <c r="U1370" s="28"/>
      <c r="V1370" s="28"/>
      <c r="W1370" s="28"/>
      <c r="X1370" s="28"/>
      <c r="Y1370" s="28"/>
      <c r="Z1370" s="28"/>
      <c r="AA1370" s="28"/>
      <c r="AB1370" s="28"/>
      <c r="AC1370" s="28"/>
    </row>
    <row r="1371" ht="78.0" customHeight="1">
      <c r="A1371" s="946">
        <v>1000.0</v>
      </c>
      <c r="B1371" s="52"/>
      <c r="C1371" s="54"/>
      <c r="D1371" s="855"/>
      <c r="E1371" s="54"/>
      <c r="F1371" s="54"/>
      <c r="G1371" s="54"/>
      <c r="H1371" s="54"/>
      <c r="I1371" s="54"/>
      <c r="J1371" s="54"/>
      <c r="K1371" s="54"/>
      <c r="L1371" s="54"/>
      <c r="M1371" s="54"/>
      <c r="N1371" s="54"/>
      <c r="O1371" s="54"/>
      <c r="P1371" s="54"/>
      <c r="Q1371" s="54"/>
      <c r="R1371" s="54"/>
      <c r="S1371" s="54"/>
      <c r="T1371" s="54"/>
      <c r="U1371" s="54"/>
      <c r="V1371" s="54"/>
      <c r="W1371" s="54"/>
      <c r="X1371" s="54"/>
      <c r="Y1371" s="54"/>
      <c r="Z1371" s="54"/>
      <c r="AA1371" s="54"/>
      <c r="AB1371" s="54"/>
      <c r="AC1371" s="54"/>
    </row>
    <row r="1372" ht="78.0" customHeight="1">
      <c r="A1372" s="941">
        <v>999.0</v>
      </c>
      <c r="B1372" s="26"/>
      <c r="C1372" s="28"/>
      <c r="D1372" s="825"/>
      <c r="E1372" s="28"/>
      <c r="F1372" s="28"/>
      <c r="G1372" s="28"/>
      <c r="H1372" s="28"/>
      <c r="I1372" s="28"/>
      <c r="J1372" s="28"/>
      <c r="K1372" s="28"/>
      <c r="L1372" s="28"/>
      <c r="M1372" s="28"/>
      <c r="N1372" s="28"/>
      <c r="O1372" s="28"/>
      <c r="P1372" s="28"/>
      <c r="Q1372" s="28"/>
      <c r="R1372" s="28"/>
      <c r="S1372" s="28"/>
      <c r="T1372" s="28"/>
      <c r="U1372" s="28"/>
      <c r="V1372" s="28"/>
      <c r="W1372" s="28"/>
      <c r="X1372" s="28"/>
      <c r="Y1372" s="28"/>
      <c r="Z1372" s="28"/>
      <c r="AA1372" s="28"/>
      <c r="AB1372" s="28"/>
      <c r="AC1372" s="28"/>
    </row>
    <row r="1373" ht="78.0" customHeight="1">
      <c r="A1373" s="946">
        <v>998.0</v>
      </c>
      <c r="B1373" s="52"/>
      <c r="C1373" s="54"/>
      <c r="D1373" s="855"/>
      <c r="E1373" s="54"/>
      <c r="F1373" s="54"/>
      <c r="G1373" s="54"/>
      <c r="H1373" s="54"/>
      <c r="I1373" s="54"/>
      <c r="J1373" s="54"/>
      <c r="K1373" s="54"/>
      <c r="L1373" s="54"/>
      <c r="M1373" s="54"/>
      <c r="N1373" s="54"/>
      <c r="O1373" s="54"/>
      <c r="P1373" s="54"/>
      <c r="Q1373" s="54"/>
      <c r="R1373" s="54"/>
      <c r="S1373" s="54"/>
      <c r="T1373" s="54"/>
      <c r="U1373" s="54"/>
      <c r="V1373" s="54"/>
      <c r="W1373" s="54"/>
      <c r="X1373" s="54"/>
      <c r="Y1373" s="54"/>
      <c r="Z1373" s="54"/>
      <c r="AA1373" s="54"/>
      <c r="AB1373" s="54"/>
      <c r="AC1373" s="54"/>
    </row>
    <row r="1374" ht="78.0" customHeight="1">
      <c r="A1374" s="941">
        <v>997.0</v>
      </c>
      <c r="B1374" s="26"/>
      <c r="C1374" s="28"/>
      <c r="D1374" s="825"/>
      <c r="E1374" s="28"/>
      <c r="F1374" s="28"/>
      <c r="G1374" s="28"/>
      <c r="H1374" s="28"/>
      <c r="I1374" s="28"/>
      <c r="J1374" s="28"/>
      <c r="K1374" s="28"/>
      <c r="L1374" s="28"/>
      <c r="M1374" s="28"/>
      <c r="N1374" s="28"/>
      <c r="O1374" s="28"/>
      <c r="P1374" s="28"/>
      <c r="Q1374" s="28"/>
      <c r="R1374" s="28"/>
      <c r="S1374" s="28"/>
      <c r="T1374" s="28"/>
      <c r="U1374" s="28"/>
      <c r="V1374" s="28"/>
      <c r="W1374" s="28"/>
      <c r="X1374" s="28"/>
      <c r="Y1374" s="28"/>
      <c r="Z1374" s="28"/>
      <c r="AA1374" s="28"/>
      <c r="AB1374" s="28"/>
      <c r="AC1374" s="28"/>
    </row>
    <row r="1375" ht="78.0" customHeight="1">
      <c r="A1375" s="946">
        <v>996.0</v>
      </c>
      <c r="B1375" s="52"/>
      <c r="C1375" s="54"/>
      <c r="D1375" s="855"/>
      <c r="E1375" s="54"/>
      <c r="F1375" s="54"/>
      <c r="G1375" s="54"/>
      <c r="H1375" s="54"/>
      <c r="I1375" s="54"/>
      <c r="J1375" s="54"/>
      <c r="K1375" s="54"/>
      <c r="L1375" s="54"/>
      <c r="M1375" s="54"/>
      <c r="N1375" s="54"/>
      <c r="O1375" s="54"/>
      <c r="P1375" s="54"/>
      <c r="Q1375" s="54"/>
      <c r="R1375" s="54"/>
      <c r="S1375" s="54"/>
      <c r="T1375" s="54"/>
      <c r="U1375" s="54"/>
      <c r="V1375" s="54"/>
      <c r="W1375" s="54"/>
      <c r="X1375" s="54"/>
      <c r="Y1375" s="54"/>
      <c r="Z1375" s="54"/>
      <c r="AA1375" s="54"/>
      <c r="AB1375" s="54"/>
      <c r="AC1375" s="54"/>
    </row>
    <row r="1376" ht="78.0" customHeight="1">
      <c r="A1376" s="941">
        <v>995.0</v>
      </c>
      <c r="B1376" s="26"/>
      <c r="C1376" s="28"/>
      <c r="D1376" s="825"/>
      <c r="E1376" s="28"/>
      <c r="F1376" s="28"/>
      <c r="G1376" s="28"/>
      <c r="H1376" s="28"/>
      <c r="I1376" s="28"/>
      <c r="J1376" s="28"/>
      <c r="K1376" s="28"/>
      <c r="L1376" s="28"/>
      <c r="M1376" s="28"/>
      <c r="N1376" s="28"/>
      <c r="O1376" s="28"/>
      <c r="P1376" s="28"/>
      <c r="Q1376" s="28"/>
      <c r="R1376" s="28"/>
      <c r="S1376" s="28"/>
      <c r="T1376" s="28"/>
      <c r="U1376" s="28"/>
      <c r="V1376" s="28"/>
      <c r="W1376" s="28"/>
      <c r="X1376" s="28"/>
      <c r="Y1376" s="28"/>
      <c r="Z1376" s="28"/>
      <c r="AA1376" s="28"/>
      <c r="AB1376" s="28"/>
      <c r="AC1376" s="28"/>
    </row>
    <row r="1377" ht="78.0" customHeight="1">
      <c r="A1377" s="946">
        <v>994.0</v>
      </c>
      <c r="B1377" s="52"/>
      <c r="C1377" s="54"/>
      <c r="D1377" s="855"/>
      <c r="E1377" s="54"/>
      <c r="F1377" s="54"/>
      <c r="G1377" s="54"/>
      <c r="H1377" s="54"/>
      <c r="I1377" s="54"/>
      <c r="J1377" s="54"/>
      <c r="K1377" s="54"/>
      <c r="L1377" s="54"/>
      <c r="M1377" s="54"/>
      <c r="N1377" s="54"/>
      <c r="O1377" s="54"/>
      <c r="P1377" s="54"/>
      <c r="Q1377" s="54"/>
      <c r="R1377" s="54"/>
      <c r="S1377" s="54"/>
      <c r="T1377" s="54"/>
      <c r="U1377" s="54"/>
      <c r="V1377" s="54"/>
      <c r="W1377" s="54"/>
      <c r="X1377" s="54"/>
      <c r="Y1377" s="54"/>
      <c r="Z1377" s="54"/>
      <c r="AA1377" s="54"/>
      <c r="AB1377" s="54"/>
      <c r="AC1377" s="54"/>
    </row>
    <row r="1378" ht="78.0" customHeight="1">
      <c r="A1378" s="941">
        <v>993.0</v>
      </c>
      <c r="B1378" s="26"/>
      <c r="C1378" s="28"/>
      <c r="D1378" s="825"/>
      <c r="E1378" s="28"/>
      <c r="F1378" s="28"/>
      <c r="G1378" s="28"/>
      <c r="H1378" s="28"/>
      <c r="I1378" s="28"/>
      <c r="J1378" s="28"/>
      <c r="K1378" s="28"/>
      <c r="L1378" s="28"/>
      <c r="M1378" s="28"/>
      <c r="N1378" s="28"/>
      <c r="O1378" s="28"/>
      <c r="P1378" s="28"/>
      <c r="Q1378" s="28"/>
      <c r="R1378" s="28"/>
      <c r="S1378" s="28"/>
      <c r="T1378" s="28"/>
      <c r="U1378" s="28"/>
      <c r="V1378" s="28"/>
      <c r="W1378" s="28"/>
      <c r="X1378" s="28"/>
      <c r="Y1378" s="28"/>
      <c r="Z1378" s="28"/>
      <c r="AA1378" s="28"/>
      <c r="AB1378" s="28"/>
      <c r="AC1378" s="28"/>
    </row>
    <row r="1379" ht="78.0" customHeight="1">
      <c r="A1379" s="946">
        <v>992.0</v>
      </c>
      <c r="B1379" s="52"/>
      <c r="C1379" s="54"/>
      <c r="D1379" s="855"/>
      <c r="E1379" s="54"/>
      <c r="F1379" s="54"/>
      <c r="G1379" s="54"/>
      <c r="H1379" s="54"/>
      <c r="I1379" s="54"/>
      <c r="J1379" s="54"/>
      <c r="K1379" s="54"/>
      <c r="L1379" s="54"/>
      <c r="M1379" s="54"/>
      <c r="N1379" s="54"/>
      <c r="O1379" s="54"/>
      <c r="P1379" s="54"/>
      <c r="Q1379" s="54"/>
      <c r="R1379" s="54"/>
      <c r="S1379" s="54"/>
      <c r="T1379" s="54"/>
      <c r="U1379" s="54"/>
      <c r="V1379" s="54"/>
      <c r="W1379" s="54"/>
      <c r="X1379" s="54"/>
      <c r="Y1379" s="54"/>
      <c r="Z1379" s="54"/>
      <c r="AA1379" s="54"/>
      <c r="AB1379" s="54"/>
      <c r="AC1379" s="54"/>
    </row>
    <row r="1380" ht="78.0" customHeight="1">
      <c r="A1380" s="941">
        <v>991.0</v>
      </c>
      <c r="B1380" s="26"/>
      <c r="C1380" s="28"/>
      <c r="D1380" s="825"/>
      <c r="E1380" s="28"/>
      <c r="F1380" s="28"/>
      <c r="G1380" s="28"/>
      <c r="H1380" s="28"/>
      <c r="I1380" s="28"/>
      <c r="J1380" s="28"/>
      <c r="K1380" s="28"/>
      <c r="L1380" s="28"/>
      <c r="M1380" s="28"/>
      <c r="N1380" s="28"/>
      <c r="O1380" s="28"/>
      <c r="P1380" s="28"/>
      <c r="Q1380" s="28"/>
      <c r="R1380" s="28"/>
      <c r="S1380" s="28"/>
      <c r="T1380" s="28"/>
      <c r="U1380" s="28"/>
      <c r="V1380" s="28"/>
      <c r="W1380" s="28"/>
      <c r="X1380" s="28"/>
      <c r="Y1380" s="28"/>
      <c r="Z1380" s="28"/>
      <c r="AA1380" s="28"/>
      <c r="AB1380" s="28"/>
      <c r="AC1380" s="28"/>
    </row>
    <row r="1381" ht="78.0" customHeight="1">
      <c r="A1381" s="946">
        <v>990.0</v>
      </c>
      <c r="B1381" s="52"/>
      <c r="C1381" s="54"/>
      <c r="D1381" s="855"/>
      <c r="E1381" s="54"/>
      <c r="F1381" s="54"/>
      <c r="G1381" s="54"/>
      <c r="H1381" s="54"/>
      <c r="I1381" s="54"/>
      <c r="J1381" s="54"/>
      <c r="K1381" s="54"/>
      <c r="L1381" s="54"/>
      <c r="M1381" s="54"/>
      <c r="N1381" s="54"/>
      <c r="O1381" s="54"/>
      <c r="P1381" s="54"/>
      <c r="Q1381" s="54"/>
      <c r="R1381" s="54"/>
      <c r="S1381" s="54"/>
      <c r="T1381" s="54"/>
      <c r="U1381" s="54"/>
      <c r="V1381" s="54"/>
      <c r="W1381" s="54"/>
      <c r="X1381" s="54"/>
      <c r="Y1381" s="54"/>
      <c r="Z1381" s="54"/>
      <c r="AA1381" s="54"/>
      <c r="AB1381" s="54"/>
      <c r="AC1381" s="54"/>
    </row>
    <row r="1382" ht="78.0" customHeight="1">
      <c r="A1382" s="941">
        <v>989.0</v>
      </c>
      <c r="B1382" s="26"/>
      <c r="C1382" s="28"/>
      <c r="D1382" s="825"/>
      <c r="E1382" s="28"/>
      <c r="F1382" s="28"/>
      <c r="G1382" s="28"/>
      <c r="H1382" s="28"/>
      <c r="I1382" s="28"/>
      <c r="J1382" s="28"/>
      <c r="K1382" s="28"/>
      <c r="L1382" s="28"/>
      <c r="M1382" s="28"/>
      <c r="N1382" s="28"/>
      <c r="O1382" s="28"/>
      <c r="P1382" s="28"/>
      <c r="Q1382" s="28"/>
      <c r="R1382" s="28"/>
      <c r="S1382" s="28"/>
      <c r="T1382" s="28"/>
      <c r="U1382" s="28"/>
      <c r="V1382" s="28"/>
      <c r="W1382" s="28"/>
      <c r="X1382" s="28"/>
      <c r="Y1382" s="28"/>
      <c r="Z1382" s="28"/>
      <c r="AA1382" s="28"/>
      <c r="AB1382" s="28"/>
      <c r="AC1382" s="28"/>
    </row>
    <row r="1383" ht="78.0" customHeight="1">
      <c r="A1383" s="946">
        <v>988.0</v>
      </c>
      <c r="B1383" s="52"/>
      <c r="C1383" s="54"/>
      <c r="D1383" s="855"/>
      <c r="E1383" s="54"/>
      <c r="F1383" s="54"/>
      <c r="G1383" s="54"/>
      <c r="H1383" s="54"/>
      <c r="I1383" s="54"/>
      <c r="J1383" s="54"/>
      <c r="K1383" s="54"/>
      <c r="L1383" s="54"/>
      <c r="M1383" s="54"/>
      <c r="N1383" s="54"/>
      <c r="O1383" s="54"/>
      <c r="P1383" s="54"/>
      <c r="Q1383" s="54"/>
      <c r="R1383" s="54"/>
      <c r="S1383" s="54"/>
      <c r="T1383" s="54"/>
      <c r="U1383" s="54"/>
      <c r="V1383" s="54"/>
      <c r="W1383" s="54"/>
      <c r="X1383" s="54"/>
      <c r="Y1383" s="54"/>
      <c r="Z1383" s="54"/>
      <c r="AA1383" s="54"/>
      <c r="AB1383" s="54"/>
      <c r="AC1383" s="54"/>
    </row>
    <row r="1384" ht="78.0" customHeight="1">
      <c r="A1384" s="941">
        <v>987.0</v>
      </c>
      <c r="B1384" s="26"/>
      <c r="C1384" s="28"/>
      <c r="D1384" s="825"/>
      <c r="E1384" s="28"/>
      <c r="F1384" s="28"/>
      <c r="G1384" s="28"/>
      <c r="H1384" s="28"/>
      <c r="I1384" s="28"/>
      <c r="J1384" s="28"/>
      <c r="K1384" s="28"/>
      <c r="L1384" s="28"/>
      <c r="M1384" s="28"/>
      <c r="N1384" s="28"/>
      <c r="O1384" s="28"/>
      <c r="P1384" s="28"/>
      <c r="Q1384" s="28"/>
      <c r="R1384" s="28"/>
      <c r="S1384" s="28"/>
      <c r="T1384" s="28"/>
      <c r="U1384" s="28"/>
      <c r="V1384" s="28"/>
      <c r="W1384" s="28"/>
      <c r="X1384" s="28"/>
      <c r="Y1384" s="28"/>
      <c r="Z1384" s="28"/>
      <c r="AA1384" s="28"/>
      <c r="AB1384" s="28"/>
      <c r="AC1384" s="28"/>
    </row>
    <row r="1385" ht="78.0" customHeight="1">
      <c r="A1385" s="946">
        <v>986.0</v>
      </c>
      <c r="B1385" s="52"/>
      <c r="C1385" s="54"/>
      <c r="D1385" s="855"/>
      <c r="E1385" s="54"/>
      <c r="F1385" s="54"/>
      <c r="G1385" s="54"/>
      <c r="H1385" s="54"/>
      <c r="I1385" s="54"/>
      <c r="J1385" s="54"/>
      <c r="K1385" s="54"/>
      <c r="L1385" s="54"/>
      <c r="M1385" s="54"/>
      <c r="N1385" s="54"/>
      <c r="O1385" s="54"/>
      <c r="P1385" s="54"/>
      <c r="Q1385" s="54"/>
      <c r="R1385" s="54"/>
      <c r="S1385" s="54"/>
      <c r="T1385" s="54"/>
      <c r="U1385" s="54"/>
      <c r="V1385" s="54"/>
      <c r="W1385" s="54"/>
      <c r="X1385" s="54"/>
      <c r="Y1385" s="54"/>
      <c r="Z1385" s="54"/>
      <c r="AA1385" s="54"/>
      <c r="AB1385" s="54"/>
      <c r="AC1385" s="54"/>
    </row>
    <row r="1386" ht="78.0" customHeight="1">
      <c r="A1386" s="941">
        <v>985.0</v>
      </c>
      <c r="B1386" s="26"/>
      <c r="C1386" s="28"/>
      <c r="D1386" s="825"/>
      <c r="E1386" s="28"/>
      <c r="F1386" s="28"/>
      <c r="G1386" s="28"/>
      <c r="H1386" s="28"/>
      <c r="I1386" s="28"/>
      <c r="J1386" s="28"/>
      <c r="K1386" s="28"/>
      <c r="L1386" s="28"/>
      <c r="M1386" s="28"/>
      <c r="N1386" s="28"/>
      <c r="O1386" s="28"/>
      <c r="P1386" s="28"/>
      <c r="Q1386" s="28"/>
      <c r="R1386" s="28"/>
      <c r="S1386" s="28"/>
      <c r="T1386" s="28"/>
      <c r="U1386" s="28"/>
      <c r="V1386" s="28"/>
      <c r="W1386" s="28"/>
      <c r="X1386" s="28"/>
      <c r="Y1386" s="28"/>
      <c r="Z1386" s="28"/>
      <c r="AA1386" s="28"/>
      <c r="AB1386" s="28"/>
      <c r="AC1386" s="28"/>
    </row>
    <row r="1387" ht="78.0" customHeight="1">
      <c r="A1387" s="946">
        <v>984.0</v>
      </c>
      <c r="B1387" s="52"/>
      <c r="C1387" s="54"/>
      <c r="D1387" s="855"/>
      <c r="E1387" s="54"/>
      <c r="F1387" s="54"/>
      <c r="G1387" s="54"/>
      <c r="H1387" s="54"/>
      <c r="I1387" s="54"/>
      <c r="J1387" s="54"/>
      <c r="K1387" s="54"/>
      <c r="L1387" s="54"/>
      <c r="M1387" s="54"/>
      <c r="N1387" s="54"/>
      <c r="O1387" s="54"/>
      <c r="P1387" s="54"/>
      <c r="Q1387" s="54"/>
      <c r="R1387" s="54"/>
      <c r="S1387" s="54"/>
      <c r="T1387" s="54"/>
      <c r="U1387" s="54"/>
      <c r="V1387" s="54"/>
      <c r="W1387" s="54"/>
      <c r="X1387" s="54"/>
      <c r="Y1387" s="54"/>
      <c r="Z1387" s="54"/>
      <c r="AA1387" s="54"/>
      <c r="AB1387" s="54"/>
      <c r="AC1387" s="54"/>
    </row>
    <row r="1388" ht="78.0" customHeight="1">
      <c r="A1388" s="941">
        <v>983.0</v>
      </c>
      <c r="B1388" s="26"/>
      <c r="C1388" s="28"/>
      <c r="D1388" s="825"/>
      <c r="E1388" s="28"/>
      <c r="F1388" s="28"/>
      <c r="G1388" s="28"/>
      <c r="H1388" s="28"/>
      <c r="I1388" s="28"/>
      <c r="J1388" s="28"/>
      <c r="K1388" s="28"/>
      <c r="L1388" s="28"/>
      <c r="M1388" s="28"/>
      <c r="N1388" s="28"/>
      <c r="O1388" s="28"/>
      <c r="P1388" s="28"/>
      <c r="Q1388" s="28"/>
      <c r="R1388" s="28"/>
      <c r="S1388" s="28"/>
      <c r="T1388" s="28"/>
      <c r="U1388" s="28"/>
      <c r="V1388" s="28"/>
      <c r="W1388" s="28"/>
      <c r="X1388" s="28"/>
      <c r="Y1388" s="28"/>
      <c r="Z1388" s="28"/>
      <c r="AA1388" s="28"/>
      <c r="AB1388" s="28"/>
      <c r="AC1388" s="28"/>
    </row>
    <row r="1389" ht="78.0" customHeight="1">
      <c r="A1389" s="946">
        <v>982.0</v>
      </c>
      <c r="B1389" s="52"/>
      <c r="C1389" s="54"/>
      <c r="D1389" s="855"/>
      <c r="E1389" s="54"/>
      <c r="F1389" s="54"/>
      <c r="G1389" s="54"/>
      <c r="H1389" s="54"/>
      <c r="I1389" s="54"/>
      <c r="J1389" s="54"/>
      <c r="K1389" s="54"/>
      <c r="L1389" s="54"/>
      <c r="M1389" s="54"/>
      <c r="N1389" s="54"/>
      <c r="O1389" s="54"/>
      <c r="P1389" s="54"/>
      <c r="Q1389" s="54"/>
      <c r="R1389" s="54"/>
      <c r="S1389" s="54"/>
      <c r="T1389" s="54"/>
      <c r="U1389" s="54"/>
      <c r="V1389" s="54"/>
      <c r="W1389" s="54"/>
      <c r="X1389" s="54"/>
      <c r="Y1389" s="54"/>
      <c r="Z1389" s="54"/>
      <c r="AA1389" s="54"/>
      <c r="AB1389" s="54"/>
      <c r="AC1389" s="54"/>
    </row>
    <row r="1390" ht="78.0" customHeight="1">
      <c r="A1390" s="941">
        <v>981.0</v>
      </c>
      <c r="B1390" s="26"/>
      <c r="C1390" s="28"/>
      <c r="D1390" s="825"/>
      <c r="E1390" s="28"/>
      <c r="F1390" s="28"/>
      <c r="G1390" s="28"/>
      <c r="H1390" s="28"/>
      <c r="I1390" s="28"/>
      <c r="J1390" s="28"/>
      <c r="K1390" s="28"/>
      <c r="L1390" s="28"/>
      <c r="M1390" s="28"/>
      <c r="N1390" s="28"/>
      <c r="O1390" s="28"/>
      <c r="P1390" s="28"/>
      <c r="Q1390" s="28"/>
      <c r="R1390" s="28"/>
      <c r="S1390" s="28"/>
      <c r="T1390" s="28"/>
      <c r="U1390" s="28"/>
      <c r="V1390" s="28"/>
      <c r="W1390" s="28"/>
      <c r="X1390" s="28"/>
      <c r="Y1390" s="28"/>
      <c r="Z1390" s="28"/>
      <c r="AA1390" s="28"/>
      <c r="AB1390" s="28"/>
      <c r="AC1390" s="28"/>
    </row>
    <row r="1391" ht="78.0" customHeight="1">
      <c r="A1391" s="946">
        <v>980.0</v>
      </c>
      <c r="B1391" s="52"/>
      <c r="C1391" s="54"/>
      <c r="D1391" s="855"/>
      <c r="E1391" s="54"/>
      <c r="F1391" s="54"/>
      <c r="G1391" s="54"/>
      <c r="H1391" s="54"/>
      <c r="I1391" s="54"/>
      <c r="J1391" s="54"/>
      <c r="K1391" s="54"/>
      <c r="L1391" s="54"/>
      <c r="M1391" s="54"/>
      <c r="N1391" s="54"/>
      <c r="O1391" s="54"/>
      <c r="P1391" s="54"/>
      <c r="Q1391" s="54"/>
      <c r="R1391" s="54"/>
      <c r="S1391" s="54"/>
      <c r="T1391" s="54"/>
      <c r="U1391" s="54"/>
      <c r="V1391" s="54"/>
      <c r="W1391" s="54"/>
      <c r="X1391" s="54"/>
      <c r="Y1391" s="54"/>
      <c r="Z1391" s="54"/>
      <c r="AA1391" s="54"/>
      <c r="AB1391" s="54"/>
      <c r="AC1391" s="54"/>
    </row>
    <row r="1392" ht="78.0" customHeight="1">
      <c r="A1392" s="941">
        <v>979.0</v>
      </c>
      <c r="B1392" s="26"/>
      <c r="C1392" s="28"/>
      <c r="D1392" s="825"/>
      <c r="E1392" s="28"/>
      <c r="F1392" s="28"/>
      <c r="G1392" s="28"/>
      <c r="H1392" s="28"/>
      <c r="I1392" s="28"/>
      <c r="J1392" s="28"/>
      <c r="K1392" s="28"/>
      <c r="L1392" s="28"/>
      <c r="M1392" s="28"/>
      <c r="N1392" s="28"/>
      <c r="O1392" s="28"/>
      <c r="P1392" s="28"/>
      <c r="Q1392" s="28"/>
      <c r="R1392" s="28"/>
      <c r="S1392" s="28"/>
      <c r="T1392" s="28"/>
      <c r="U1392" s="28"/>
      <c r="V1392" s="28"/>
      <c r="W1392" s="28"/>
      <c r="X1392" s="28"/>
      <c r="Y1392" s="28"/>
      <c r="Z1392" s="28"/>
      <c r="AA1392" s="28"/>
      <c r="AB1392" s="28"/>
      <c r="AC1392" s="28"/>
    </row>
    <row r="1393" ht="78.0" customHeight="1">
      <c r="A1393" s="946">
        <v>978.0</v>
      </c>
      <c r="B1393" s="52"/>
      <c r="C1393" s="54"/>
      <c r="D1393" s="855"/>
      <c r="E1393" s="54"/>
      <c r="F1393" s="54"/>
      <c r="G1393" s="54"/>
      <c r="H1393" s="54"/>
      <c r="I1393" s="54"/>
      <c r="J1393" s="54"/>
      <c r="K1393" s="54"/>
      <c r="L1393" s="54"/>
      <c r="M1393" s="54"/>
      <c r="N1393" s="54"/>
      <c r="O1393" s="54"/>
      <c r="P1393" s="54"/>
      <c r="Q1393" s="54"/>
      <c r="R1393" s="54"/>
      <c r="S1393" s="54"/>
      <c r="T1393" s="54"/>
      <c r="U1393" s="54"/>
      <c r="V1393" s="54"/>
      <c r="W1393" s="54"/>
      <c r="X1393" s="54"/>
      <c r="Y1393" s="54"/>
      <c r="Z1393" s="54"/>
      <c r="AA1393" s="54"/>
      <c r="AB1393" s="54"/>
      <c r="AC1393" s="54"/>
    </row>
    <row r="1394" ht="78.0" customHeight="1">
      <c r="A1394" s="941">
        <v>977.0</v>
      </c>
      <c r="B1394" s="26"/>
      <c r="C1394" s="28"/>
      <c r="D1394" s="825"/>
      <c r="E1394" s="28"/>
      <c r="F1394" s="28"/>
      <c r="G1394" s="28"/>
      <c r="H1394" s="28"/>
      <c r="I1394" s="28"/>
      <c r="J1394" s="28"/>
      <c r="K1394" s="28"/>
      <c r="L1394" s="28"/>
      <c r="M1394" s="28"/>
      <c r="N1394" s="28"/>
      <c r="O1394" s="28"/>
      <c r="P1394" s="28"/>
      <c r="Q1394" s="28"/>
      <c r="R1394" s="28"/>
      <c r="S1394" s="28"/>
      <c r="T1394" s="28"/>
      <c r="U1394" s="28"/>
      <c r="V1394" s="28"/>
      <c r="W1394" s="28"/>
      <c r="X1394" s="28"/>
      <c r="Y1394" s="28"/>
      <c r="Z1394" s="28"/>
      <c r="AA1394" s="28"/>
      <c r="AB1394" s="28"/>
      <c r="AC1394" s="28"/>
    </row>
    <row r="1395" ht="78.0" customHeight="1">
      <c r="A1395" s="946">
        <v>976.0</v>
      </c>
      <c r="B1395" s="52"/>
      <c r="C1395" s="54"/>
      <c r="D1395" s="855"/>
      <c r="E1395" s="54"/>
      <c r="F1395" s="54"/>
      <c r="G1395" s="54"/>
      <c r="H1395" s="54"/>
      <c r="I1395" s="54"/>
      <c r="J1395" s="54"/>
      <c r="K1395" s="54"/>
      <c r="L1395" s="54"/>
      <c r="M1395" s="54"/>
      <c r="N1395" s="54"/>
      <c r="O1395" s="54"/>
      <c r="P1395" s="54"/>
      <c r="Q1395" s="54"/>
      <c r="R1395" s="54"/>
      <c r="S1395" s="54"/>
      <c r="T1395" s="54"/>
      <c r="U1395" s="54"/>
      <c r="V1395" s="54"/>
      <c r="W1395" s="54"/>
      <c r="X1395" s="54"/>
      <c r="Y1395" s="54"/>
      <c r="Z1395" s="54"/>
      <c r="AA1395" s="54"/>
      <c r="AB1395" s="54"/>
      <c r="AC1395" s="54"/>
    </row>
    <row r="1396" ht="78.0" customHeight="1">
      <c r="A1396" s="941">
        <v>975.0</v>
      </c>
      <c r="B1396" s="26"/>
      <c r="C1396" s="28"/>
      <c r="D1396" s="825"/>
      <c r="E1396" s="28"/>
      <c r="F1396" s="28"/>
      <c r="G1396" s="28"/>
      <c r="H1396" s="28"/>
      <c r="I1396" s="28"/>
      <c r="J1396" s="28"/>
      <c r="K1396" s="28"/>
      <c r="L1396" s="28"/>
      <c r="M1396" s="28"/>
      <c r="N1396" s="28"/>
      <c r="O1396" s="28"/>
      <c r="P1396" s="28"/>
      <c r="Q1396" s="28"/>
      <c r="R1396" s="28"/>
      <c r="S1396" s="28"/>
      <c r="T1396" s="28"/>
      <c r="U1396" s="28"/>
      <c r="V1396" s="28"/>
      <c r="W1396" s="28"/>
      <c r="X1396" s="28"/>
      <c r="Y1396" s="28"/>
      <c r="Z1396" s="28"/>
      <c r="AA1396" s="28"/>
      <c r="AB1396" s="28"/>
      <c r="AC1396" s="28"/>
    </row>
    <row r="1397" ht="78.0" customHeight="1">
      <c r="A1397" s="946">
        <v>974.0</v>
      </c>
      <c r="B1397" s="52"/>
      <c r="C1397" s="54"/>
      <c r="D1397" s="855"/>
      <c r="E1397" s="54"/>
      <c r="F1397" s="54"/>
      <c r="G1397" s="54"/>
      <c r="H1397" s="54"/>
      <c r="I1397" s="54"/>
      <c r="J1397" s="54"/>
      <c r="K1397" s="54"/>
      <c r="L1397" s="54"/>
      <c r="M1397" s="54"/>
      <c r="N1397" s="54"/>
      <c r="O1397" s="54"/>
      <c r="P1397" s="54"/>
      <c r="Q1397" s="54"/>
      <c r="R1397" s="54"/>
      <c r="S1397" s="54"/>
      <c r="T1397" s="54"/>
      <c r="U1397" s="54"/>
      <c r="V1397" s="54"/>
      <c r="W1397" s="54"/>
      <c r="X1397" s="54"/>
      <c r="Y1397" s="54"/>
      <c r="Z1397" s="54"/>
      <c r="AA1397" s="54"/>
      <c r="AB1397" s="54"/>
      <c r="AC1397" s="54"/>
    </row>
    <row r="1398" ht="78.0" customHeight="1">
      <c r="A1398" s="941">
        <v>973.0</v>
      </c>
      <c r="B1398" s="26"/>
      <c r="C1398" s="28"/>
      <c r="D1398" s="825"/>
      <c r="E1398" s="28"/>
      <c r="F1398" s="28"/>
      <c r="G1398" s="28"/>
      <c r="H1398" s="28"/>
      <c r="I1398" s="28"/>
      <c r="J1398" s="28"/>
      <c r="K1398" s="28"/>
      <c r="L1398" s="28"/>
      <c r="M1398" s="28"/>
      <c r="N1398" s="28"/>
      <c r="O1398" s="28"/>
      <c r="P1398" s="28"/>
      <c r="Q1398" s="28"/>
      <c r="R1398" s="28"/>
      <c r="S1398" s="28"/>
      <c r="T1398" s="28"/>
      <c r="U1398" s="28"/>
      <c r="V1398" s="28"/>
      <c r="W1398" s="28"/>
      <c r="X1398" s="28"/>
      <c r="Y1398" s="28"/>
      <c r="Z1398" s="28"/>
      <c r="AA1398" s="28"/>
      <c r="AB1398" s="28"/>
      <c r="AC1398" s="28"/>
    </row>
    <row r="1399" ht="78.0" customHeight="1">
      <c r="A1399" s="946">
        <v>972.0</v>
      </c>
      <c r="B1399" s="52"/>
      <c r="C1399" s="54"/>
      <c r="D1399" s="855"/>
      <c r="E1399" s="54"/>
      <c r="F1399" s="54"/>
      <c r="G1399" s="54"/>
      <c r="H1399" s="54"/>
      <c r="I1399" s="54"/>
      <c r="J1399" s="54"/>
      <c r="K1399" s="54"/>
      <c r="L1399" s="54"/>
      <c r="M1399" s="54"/>
      <c r="N1399" s="54"/>
      <c r="O1399" s="54"/>
      <c r="P1399" s="54"/>
      <c r="Q1399" s="54"/>
      <c r="R1399" s="54"/>
      <c r="S1399" s="54"/>
      <c r="T1399" s="54"/>
      <c r="U1399" s="54"/>
      <c r="V1399" s="54"/>
      <c r="W1399" s="54"/>
      <c r="X1399" s="54"/>
      <c r="Y1399" s="54"/>
      <c r="Z1399" s="54"/>
      <c r="AA1399" s="54"/>
      <c r="AB1399" s="54"/>
      <c r="AC1399" s="54"/>
    </row>
    <row r="1400" ht="78.0" customHeight="1">
      <c r="A1400" s="941">
        <v>971.0</v>
      </c>
      <c r="B1400" s="26"/>
      <c r="C1400" s="28"/>
      <c r="D1400" s="825"/>
      <c r="E1400" s="28"/>
      <c r="F1400" s="28"/>
      <c r="G1400" s="28"/>
      <c r="H1400" s="28"/>
      <c r="I1400" s="28"/>
      <c r="J1400" s="28"/>
      <c r="K1400" s="28"/>
      <c r="L1400" s="28"/>
      <c r="M1400" s="28"/>
      <c r="N1400" s="28"/>
      <c r="O1400" s="28"/>
      <c r="P1400" s="28"/>
      <c r="Q1400" s="28"/>
      <c r="R1400" s="28"/>
      <c r="S1400" s="28"/>
      <c r="T1400" s="28"/>
      <c r="U1400" s="28"/>
      <c r="V1400" s="28"/>
      <c r="W1400" s="28"/>
      <c r="X1400" s="28"/>
      <c r="Y1400" s="28"/>
      <c r="Z1400" s="28"/>
      <c r="AA1400" s="28"/>
      <c r="AB1400" s="28"/>
      <c r="AC1400" s="28"/>
    </row>
    <row r="1401" ht="78.0" customHeight="1">
      <c r="A1401" s="946">
        <v>970.0</v>
      </c>
      <c r="B1401" s="52"/>
      <c r="C1401" s="54"/>
      <c r="D1401" s="855"/>
      <c r="E1401" s="54"/>
      <c r="F1401" s="54"/>
      <c r="G1401" s="54"/>
      <c r="H1401" s="54"/>
      <c r="I1401" s="54"/>
      <c r="J1401" s="54"/>
      <c r="K1401" s="54"/>
      <c r="L1401" s="54"/>
      <c r="M1401" s="54"/>
      <c r="N1401" s="54"/>
      <c r="O1401" s="54"/>
      <c r="P1401" s="54"/>
      <c r="Q1401" s="54"/>
      <c r="R1401" s="54"/>
      <c r="S1401" s="54"/>
      <c r="T1401" s="54"/>
      <c r="U1401" s="54"/>
      <c r="V1401" s="54"/>
      <c r="W1401" s="54"/>
      <c r="X1401" s="54"/>
      <c r="Y1401" s="54"/>
      <c r="Z1401" s="54"/>
      <c r="AA1401" s="54"/>
      <c r="AB1401" s="54"/>
      <c r="AC1401" s="54"/>
    </row>
    <row r="1402" ht="78.0" customHeight="1">
      <c r="A1402" s="941">
        <v>969.0</v>
      </c>
      <c r="B1402" s="26"/>
      <c r="C1402" s="28"/>
      <c r="D1402" s="825"/>
      <c r="E1402" s="28"/>
      <c r="F1402" s="28"/>
      <c r="G1402" s="28"/>
      <c r="H1402" s="28"/>
      <c r="I1402" s="28"/>
      <c r="J1402" s="28"/>
      <c r="K1402" s="28"/>
      <c r="L1402" s="28"/>
      <c r="M1402" s="28"/>
      <c r="N1402" s="28"/>
      <c r="O1402" s="28"/>
      <c r="P1402" s="28"/>
      <c r="Q1402" s="28"/>
      <c r="R1402" s="28"/>
      <c r="S1402" s="28"/>
      <c r="T1402" s="28"/>
      <c r="U1402" s="28"/>
      <c r="V1402" s="28"/>
      <c r="W1402" s="28"/>
      <c r="X1402" s="28"/>
      <c r="Y1402" s="28"/>
      <c r="Z1402" s="28"/>
      <c r="AA1402" s="28"/>
      <c r="AB1402" s="28"/>
      <c r="AC1402" s="28"/>
    </row>
    <row r="1403" ht="78.0" customHeight="1">
      <c r="A1403" s="946">
        <v>968.0</v>
      </c>
      <c r="B1403" s="52"/>
      <c r="C1403" s="54"/>
      <c r="D1403" s="855"/>
      <c r="E1403" s="54"/>
      <c r="F1403" s="54"/>
      <c r="G1403" s="54"/>
      <c r="H1403" s="54"/>
      <c r="I1403" s="54"/>
      <c r="J1403" s="54"/>
      <c r="K1403" s="54"/>
      <c r="L1403" s="54"/>
      <c r="M1403" s="54"/>
      <c r="N1403" s="54"/>
      <c r="O1403" s="54"/>
      <c r="P1403" s="54"/>
      <c r="Q1403" s="54"/>
      <c r="R1403" s="54"/>
      <c r="S1403" s="54"/>
      <c r="T1403" s="54"/>
      <c r="U1403" s="54"/>
      <c r="V1403" s="54"/>
      <c r="W1403" s="54"/>
      <c r="X1403" s="54"/>
      <c r="Y1403" s="54"/>
      <c r="Z1403" s="54"/>
      <c r="AA1403" s="54"/>
      <c r="AB1403" s="54"/>
      <c r="AC1403" s="54"/>
    </row>
    <row r="1404" ht="78.0" customHeight="1">
      <c r="A1404" s="941">
        <v>967.0</v>
      </c>
      <c r="B1404" s="26"/>
      <c r="C1404" s="28"/>
      <c r="D1404" s="825"/>
      <c r="E1404" s="28"/>
      <c r="F1404" s="28"/>
      <c r="G1404" s="28"/>
      <c r="H1404" s="28"/>
      <c r="I1404" s="28"/>
      <c r="J1404" s="28"/>
      <c r="K1404" s="28"/>
      <c r="L1404" s="28"/>
      <c r="M1404" s="28"/>
      <c r="N1404" s="28"/>
      <c r="O1404" s="28"/>
      <c r="P1404" s="28"/>
      <c r="Q1404" s="28"/>
      <c r="R1404" s="28"/>
      <c r="S1404" s="28"/>
      <c r="T1404" s="28"/>
      <c r="U1404" s="28"/>
      <c r="V1404" s="28"/>
      <c r="W1404" s="28"/>
      <c r="X1404" s="28"/>
      <c r="Y1404" s="28"/>
      <c r="Z1404" s="28"/>
      <c r="AA1404" s="28"/>
      <c r="AB1404" s="28"/>
      <c r="AC1404" s="28"/>
    </row>
    <row r="1405" ht="78.0" customHeight="1">
      <c r="A1405" s="946">
        <v>966.0</v>
      </c>
      <c r="B1405" s="52"/>
      <c r="C1405" s="54"/>
      <c r="D1405" s="855"/>
      <c r="E1405" s="54"/>
      <c r="F1405" s="54"/>
      <c r="G1405" s="54"/>
      <c r="H1405" s="54"/>
      <c r="I1405" s="54"/>
      <c r="J1405" s="54"/>
      <c r="K1405" s="54"/>
      <c r="L1405" s="54"/>
      <c r="M1405" s="54"/>
      <c r="N1405" s="54"/>
      <c r="O1405" s="54"/>
      <c r="P1405" s="54"/>
      <c r="Q1405" s="54"/>
      <c r="R1405" s="54"/>
      <c r="S1405" s="54"/>
      <c r="T1405" s="54"/>
      <c r="U1405" s="54"/>
      <c r="V1405" s="54"/>
      <c r="W1405" s="54"/>
      <c r="X1405" s="54"/>
      <c r="Y1405" s="54"/>
      <c r="Z1405" s="54"/>
      <c r="AA1405" s="54"/>
      <c r="AB1405" s="54"/>
      <c r="AC1405" s="54"/>
    </row>
    <row r="1406" ht="78.0" customHeight="1">
      <c r="A1406" s="941">
        <v>965.0</v>
      </c>
      <c r="B1406" s="26"/>
      <c r="C1406" s="28"/>
      <c r="D1406" s="825"/>
      <c r="E1406" s="28"/>
      <c r="F1406" s="28"/>
      <c r="G1406" s="28"/>
      <c r="H1406" s="28"/>
      <c r="I1406" s="28"/>
      <c r="J1406" s="28"/>
      <c r="K1406" s="28"/>
      <c r="L1406" s="28"/>
      <c r="M1406" s="28"/>
      <c r="N1406" s="28"/>
      <c r="O1406" s="28"/>
      <c r="P1406" s="28"/>
      <c r="Q1406" s="28"/>
      <c r="R1406" s="28"/>
      <c r="S1406" s="28"/>
      <c r="T1406" s="28"/>
      <c r="U1406" s="28"/>
      <c r="V1406" s="28"/>
      <c r="W1406" s="28"/>
      <c r="X1406" s="28"/>
      <c r="Y1406" s="28"/>
      <c r="Z1406" s="28"/>
      <c r="AA1406" s="28"/>
      <c r="AB1406" s="28"/>
      <c r="AC1406" s="28"/>
    </row>
    <row r="1407" ht="78.0" customHeight="1">
      <c r="A1407" s="946">
        <v>964.0</v>
      </c>
      <c r="B1407" s="52"/>
      <c r="C1407" s="54"/>
      <c r="D1407" s="855"/>
      <c r="E1407" s="54"/>
      <c r="F1407" s="54"/>
      <c r="G1407" s="54"/>
      <c r="H1407" s="54"/>
      <c r="I1407" s="54"/>
      <c r="J1407" s="54"/>
      <c r="K1407" s="54"/>
      <c r="L1407" s="54"/>
      <c r="M1407" s="54"/>
      <c r="N1407" s="54"/>
      <c r="O1407" s="54"/>
      <c r="P1407" s="54"/>
      <c r="Q1407" s="54"/>
      <c r="R1407" s="54"/>
      <c r="S1407" s="54"/>
      <c r="T1407" s="54"/>
      <c r="U1407" s="54"/>
      <c r="V1407" s="54"/>
      <c r="W1407" s="54"/>
      <c r="X1407" s="54"/>
      <c r="Y1407" s="54"/>
      <c r="Z1407" s="54"/>
      <c r="AA1407" s="54"/>
      <c r="AB1407" s="54"/>
      <c r="AC1407" s="54"/>
    </row>
    <row r="1408" ht="78.0" customHeight="1">
      <c r="A1408" s="941">
        <v>963.0</v>
      </c>
      <c r="B1408" s="26"/>
      <c r="C1408" s="28"/>
      <c r="D1408" s="825"/>
      <c r="E1408" s="28"/>
      <c r="F1408" s="28"/>
      <c r="G1408" s="28"/>
      <c r="H1408" s="28"/>
      <c r="I1408" s="28"/>
      <c r="J1408" s="28"/>
      <c r="K1408" s="28"/>
      <c r="L1408" s="28"/>
      <c r="M1408" s="28"/>
      <c r="N1408" s="28"/>
      <c r="O1408" s="28"/>
      <c r="P1408" s="28"/>
      <c r="Q1408" s="28"/>
      <c r="R1408" s="28"/>
      <c r="S1408" s="28"/>
      <c r="T1408" s="28"/>
      <c r="U1408" s="28"/>
      <c r="V1408" s="28"/>
      <c r="W1408" s="28"/>
      <c r="X1408" s="28"/>
      <c r="Y1408" s="28"/>
      <c r="Z1408" s="28"/>
      <c r="AA1408" s="28"/>
      <c r="AB1408" s="28"/>
      <c r="AC1408" s="28"/>
    </row>
    <row r="1409" ht="78.0" customHeight="1">
      <c r="A1409" s="946">
        <v>962.0</v>
      </c>
      <c r="B1409" s="52"/>
      <c r="C1409" s="54"/>
      <c r="D1409" s="855"/>
      <c r="E1409" s="54"/>
      <c r="F1409" s="54"/>
      <c r="G1409" s="54"/>
      <c r="H1409" s="54"/>
      <c r="I1409" s="54"/>
      <c r="J1409" s="54"/>
      <c r="K1409" s="54"/>
      <c r="L1409" s="54"/>
      <c r="M1409" s="54"/>
      <c r="N1409" s="54"/>
      <c r="O1409" s="54"/>
      <c r="P1409" s="54"/>
      <c r="Q1409" s="54"/>
      <c r="R1409" s="54"/>
      <c r="S1409" s="54"/>
      <c r="T1409" s="54"/>
      <c r="U1409" s="54"/>
      <c r="V1409" s="54"/>
      <c r="W1409" s="54"/>
      <c r="X1409" s="54"/>
      <c r="Y1409" s="54"/>
      <c r="Z1409" s="54"/>
      <c r="AA1409" s="54"/>
      <c r="AB1409" s="54"/>
      <c r="AC1409" s="54"/>
    </row>
    <row r="1410" ht="78.0" customHeight="1">
      <c r="A1410" s="941">
        <v>961.0</v>
      </c>
      <c r="B1410" s="26"/>
      <c r="C1410" s="28"/>
      <c r="D1410" s="825"/>
      <c r="E1410" s="28"/>
      <c r="F1410" s="28"/>
      <c r="G1410" s="28"/>
      <c r="H1410" s="28"/>
      <c r="I1410" s="28"/>
      <c r="J1410" s="28"/>
      <c r="K1410" s="28"/>
      <c r="L1410" s="28"/>
      <c r="M1410" s="28"/>
      <c r="N1410" s="28"/>
      <c r="O1410" s="28"/>
      <c r="P1410" s="28"/>
      <c r="Q1410" s="28"/>
      <c r="R1410" s="28"/>
      <c r="S1410" s="28"/>
      <c r="T1410" s="28"/>
      <c r="U1410" s="28"/>
      <c r="V1410" s="28"/>
      <c r="W1410" s="28"/>
      <c r="X1410" s="28"/>
      <c r="Y1410" s="28"/>
      <c r="Z1410" s="28"/>
      <c r="AA1410" s="28"/>
      <c r="AB1410" s="28"/>
      <c r="AC1410" s="28"/>
    </row>
    <row r="1411" ht="78.0" customHeight="1">
      <c r="A1411" s="946">
        <v>960.0</v>
      </c>
      <c r="B1411" s="52"/>
      <c r="C1411" s="54"/>
      <c r="D1411" s="855"/>
      <c r="E1411" s="54"/>
      <c r="F1411" s="54"/>
      <c r="G1411" s="54"/>
      <c r="H1411" s="54"/>
      <c r="I1411" s="54"/>
      <c r="J1411" s="54"/>
      <c r="K1411" s="54"/>
      <c r="L1411" s="54"/>
      <c r="M1411" s="54"/>
      <c r="N1411" s="54"/>
      <c r="O1411" s="54"/>
      <c r="P1411" s="54"/>
      <c r="Q1411" s="54"/>
      <c r="R1411" s="54"/>
      <c r="S1411" s="54"/>
      <c r="T1411" s="54"/>
      <c r="U1411" s="54"/>
      <c r="V1411" s="54"/>
      <c r="W1411" s="54"/>
      <c r="X1411" s="54"/>
      <c r="Y1411" s="54"/>
      <c r="Z1411" s="54"/>
      <c r="AA1411" s="54"/>
      <c r="AB1411" s="54"/>
      <c r="AC1411" s="54"/>
    </row>
    <row r="1412" ht="78.0" customHeight="1">
      <c r="A1412" s="941">
        <v>959.0</v>
      </c>
      <c r="B1412" s="26"/>
      <c r="C1412" s="28"/>
      <c r="D1412" s="825"/>
      <c r="E1412" s="28"/>
      <c r="F1412" s="28"/>
      <c r="G1412" s="28"/>
      <c r="H1412" s="28"/>
      <c r="I1412" s="28"/>
      <c r="J1412" s="28"/>
      <c r="K1412" s="28"/>
      <c r="L1412" s="28"/>
      <c r="M1412" s="28"/>
      <c r="N1412" s="28"/>
      <c r="O1412" s="28"/>
      <c r="P1412" s="28"/>
      <c r="Q1412" s="28"/>
      <c r="R1412" s="28"/>
      <c r="S1412" s="28"/>
      <c r="T1412" s="28"/>
      <c r="U1412" s="28"/>
      <c r="V1412" s="28"/>
      <c r="W1412" s="28"/>
      <c r="X1412" s="28"/>
      <c r="Y1412" s="28"/>
      <c r="Z1412" s="28"/>
      <c r="AA1412" s="28"/>
      <c r="AB1412" s="28"/>
      <c r="AC1412" s="28"/>
    </row>
    <row r="1413" ht="78.0" customHeight="1">
      <c r="A1413" s="946">
        <v>958.0</v>
      </c>
      <c r="B1413" s="52"/>
      <c r="C1413" s="54"/>
      <c r="D1413" s="855"/>
      <c r="E1413" s="54"/>
      <c r="F1413" s="54"/>
      <c r="G1413" s="54"/>
      <c r="H1413" s="54"/>
      <c r="I1413" s="54"/>
      <c r="J1413" s="54"/>
      <c r="K1413" s="54"/>
      <c r="L1413" s="54"/>
      <c r="M1413" s="54"/>
      <c r="N1413" s="54"/>
      <c r="O1413" s="54"/>
      <c r="P1413" s="54"/>
      <c r="Q1413" s="54"/>
      <c r="R1413" s="54"/>
      <c r="S1413" s="54"/>
      <c r="T1413" s="54"/>
      <c r="U1413" s="54"/>
      <c r="V1413" s="54"/>
      <c r="W1413" s="54"/>
      <c r="X1413" s="54"/>
      <c r="Y1413" s="54"/>
      <c r="Z1413" s="54"/>
      <c r="AA1413" s="54"/>
      <c r="AB1413" s="54"/>
      <c r="AC1413" s="54"/>
    </row>
    <row r="1414" ht="78.0" customHeight="1">
      <c r="A1414" s="941">
        <v>957.0</v>
      </c>
      <c r="B1414" s="26"/>
      <c r="C1414" s="28"/>
      <c r="D1414" s="825"/>
      <c r="E1414" s="28"/>
      <c r="F1414" s="28"/>
      <c r="G1414" s="28"/>
      <c r="H1414" s="28"/>
      <c r="I1414" s="28"/>
      <c r="J1414" s="28"/>
      <c r="K1414" s="28"/>
      <c r="L1414" s="28"/>
      <c r="M1414" s="28"/>
      <c r="N1414" s="28"/>
      <c r="O1414" s="28"/>
      <c r="P1414" s="28"/>
      <c r="Q1414" s="28"/>
      <c r="R1414" s="28"/>
      <c r="S1414" s="28"/>
      <c r="T1414" s="28"/>
      <c r="U1414" s="28"/>
      <c r="V1414" s="28"/>
      <c r="W1414" s="28"/>
      <c r="X1414" s="28"/>
      <c r="Y1414" s="28"/>
      <c r="Z1414" s="28"/>
      <c r="AA1414" s="28"/>
      <c r="AB1414" s="28"/>
      <c r="AC1414" s="28"/>
    </row>
    <row r="1415" ht="78.0" customHeight="1">
      <c r="A1415" s="946">
        <v>956.0</v>
      </c>
      <c r="B1415" s="52"/>
      <c r="C1415" s="54"/>
      <c r="D1415" s="855"/>
      <c r="E1415" s="54"/>
      <c r="F1415" s="54"/>
      <c r="G1415" s="54"/>
      <c r="H1415" s="54"/>
      <c r="I1415" s="54"/>
      <c r="J1415" s="54"/>
      <c r="K1415" s="54"/>
      <c r="L1415" s="54"/>
      <c r="M1415" s="54"/>
      <c r="N1415" s="54"/>
      <c r="O1415" s="54"/>
      <c r="P1415" s="54"/>
      <c r="Q1415" s="54"/>
      <c r="R1415" s="54"/>
      <c r="S1415" s="54"/>
      <c r="T1415" s="54"/>
      <c r="U1415" s="54"/>
      <c r="V1415" s="54"/>
      <c r="W1415" s="54"/>
      <c r="X1415" s="54"/>
      <c r="Y1415" s="54"/>
      <c r="Z1415" s="54"/>
      <c r="AA1415" s="54"/>
      <c r="AB1415" s="54"/>
      <c r="AC1415" s="54"/>
    </row>
    <row r="1416" ht="78.0" customHeight="1">
      <c r="A1416" s="941">
        <v>955.0</v>
      </c>
      <c r="B1416" s="26"/>
      <c r="C1416" s="28"/>
      <c r="D1416" s="825"/>
      <c r="E1416" s="28"/>
      <c r="F1416" s="28"/>
      <c r="G1416" s="28"/>
      <c r="H1416" s="28"/>
      <c r="I1416" s="28"/>
      <c r="J1416" s="28"/>
      <c r="K1416" s="28"/>
      <c r="L1416" s="28"/>
      <c r="M1416" s="28"/>
      <c r="N1416" s="28"/>
      <c r="O1416" s="28"/>
      <c r="P1416" s="28"/>
      <c r="Q1416" s="28"/>
      <c r="R1416" s="28"/>
      <c r="S1416" s="28"/>
      <c r="T1416" s="28"/>
      <c r="U1416" s="28"/>
      <c r="V1416" s="28"/>
      <c r="W1416" s="28"/>
      <c r="X1416" s="28"/>
      <c r="Y1416" s="28"/>
      <c r="Z1416" s="28"/>
      <c r="AA1416" s="28"/>
      <c r="AB1416" s="28"/>
      <c r="AC1416" s="28"/>
    </row>
    <row r="1417" ht="78.0" customHeight="1">
      <c r="A1417" s="946">
        <v>954.0</v>
      </c>
      <c r="B1417" s="52"/>
      <c r="C1417" s="54"/>
      <c r="D1417" s="855"/>
      <c r="E1417" s="54"/>
      <c r="F1417" s="54"/>
      <c r="G1417" s="54"/>
      <c r="H1417" s="54"/>
      <c r="I1417" s="54"/>
      <c r="J1417" s="54"/>
      <c r="K1417" s="54"/>
      <c r="L1417" s="54"/>
      <c r="M1417" s="54"/>
      <c r="N1417" s="54"/>
      <c r="O1417" s="54"/>
      <c r="P1417" s="54"/>
      <c r="Q1417" s="54"/>
      <c r="R1417" s="54"/>
      <c r="S1417" s="54"/>
      <c r="T1417" s="54"/>
      <c r="U1417" s="54"/>
      <c r="V1417" s="54"/>
      <c r="W1417" s="54"/>
      <c r="X1417" s="54"/>
      <c r="Y1417" s="54"/>
      <c r="Z1417" s="54"/>
      <c r="AA1417" s="54"/>
      <c r="AB1417" s="54"/>
      <c r="AC1417" s="54"/>
    </row>
    <row r="1418" ht="78.0" customHeight="1">
      <c r="A1418" s="941">
        <v>953.0</v>
      </c>
      <c r="B1418" s="26"/>
      <c r="C1418" s="28"/>
      <c r="D1418" s="825"/>
      <c r="E1418" s="28"/>
      <c r="F1418" s="28"/>
      <c r="G1418" s="28"/>
      <c r="H1418" s="28"/>
      <c r="I1418" s="28"/>
      <c r="J1418" s="28"/>
      <c r="K1418" s="28"/>
      <c r="L1418" s="28"/>
      <c r="M1418" s="28"/>
      <c r="N1418" s="28"/>
      <c r="O1418" s="28"/>
      <c r="P1418" s="28"/>
      <c r="Q1418" s="28"/>
      <c r="R1418" s="28"/>
      <c r="S1418" s="28"/>
      <c r="T1418" s="28"/>
      <c r="U1418" s="28"/>
      <c r="V1418" s="28"/>
      <c r="W1418" s="28"/>
      <c r="X1418" s="28"/>
      <c r="Y1418" s="28"/>
      <c r="Z1418" s="28"/>
      <c r="AA1418" s="28"/>
      <c r="AB1418" s="28"/>
      <c r="AC1418" s="28"/>
    </row>
    <row r="1419" ht="78.0" customHeight="1">
      <c r="A1419" s="946">
        <v>952.0</v>
      </c>
      <c r="B1419" s="52"/>
      <c r="C1419" s="54"/>
      <c r="D1419" s="855"/>
      <c r="E1419" s="54"/>
      <c r="F1419" s="54"/>
      <c r="G1419" s="54"/>
      <c r="H1419" s="54"/>
      <c r="I1419" s="54"/>
      <c r="J1419" s="54"/>
      <c r="K1419" s="54"/>
      <c r="L1419" s="54"/>
      <c r="M1419" s="54"/>
      <c r="N1419" s="54"/>
      <c r="O1419" s="54"/>
      <c r="P1419" s="54"/>
      <c r="Q1419" s="54"/>
      <c r="R1419" s="54"/>
      <c r="S1419" s="54"/>
      <c r="T1419" s="54"/>
      <c r="U1419" s="54"/>
      <c r="V1419" s="54"/>
      <c r="W1419" s="54"/>
      <c r="X1419" s="54"/>
      <c r="Y1419" s="54"/>
      <c r="Z1419" s="54"/>
      <c r="AA1419" s="54"/>
      <c r="AB1419" s="54"/>
      <c r="AC1419" s="54"/>
    </row>
    <row r="1420" ht="78.0" customHeight="1">
      <c r="A1420" s="941">
        <v>951.0</v>
      </c>
      <c r="B1420" s="26"/>
      <c r="C1420" s="28"/>
      <c r="D1420" s="825"/>
      <c r="E1420" s="28"/>
      <c r="F1420" s="28"/>
      <c r="G1420" s="28"/>
      <c r="H1420" s="28"/>
      <c r="I1420" s="28"/>
      <c r="J1420" s="28"/>
      <c r="K1420" s="28"/>
      <c r="L1420" s="28"/>
      <c r="M1420" s="28"/>
      <c r="N1420" s="28"/>
      <c r="O1420" s="28"/>
      <c r="P1420" s="28"/>
      <c r="Q1420" s="28"/>
      <c r="R1420" s="28"/>
      <c r="S1420" s="28"/>
      <c r="T1420" s="28"/>
      <c r="U1420" s="28"/>
      <c r="V1420" s="28"/>
      <c r="W1420" s="28"/>
      <c r="X1420" s="28"/>
      <c r="Y1420" s="28"/>
      <c r="Z1420" s="28"/>
      <c r="AA1420" s="28"/>
      <c r="AB1420" s="28"/>
      <c r="AC1420" s="28"/>
    </row>
    <row r="1421" ht="78.0" customHeight="1">
      <c r="A1421" s="946">
        <v>950.0</v>
      </c>
      <c r="B1421" s="52"/>
      <c r="C1421" s="54"/>
      <c r="D1421" s="855"/>
      <c r="E1421" s="54"/>
      <c r="F1421" s="54"/>
      <c r="G1421" s="54"/>
      <c r="H1421" s="54"/>
      <c r="I1421" s="54"/>
      <c r="J1421" s="54"/>
      <c r="K1421" s="54"/>
      <c r="L1421" s="54"/>
      <c r="M1421" s="54"/>
      <c r="N1421" s="54"/>
      <c r="O1421" s="54"/>
      <c r="P1421" s="54"/>
      <c r="Q1421" s="54"/>
      <c r="R1421" s="54"/>
      <c r="S1421" s="54"/>
      <c r="T1421" s="54"/>
      <c r="U1421" s="54"/>
      <c r="V1421" s="54"/>
      <c r="W1421" s="54"/>
      <c r="X1421" s="54"/>
      <c r="Y1421" s="54"/>
      <c r="Z1421" s="54"/>
      <c r="AA1421" s="54"/>
      <c r="AB1421" s="54"/>
      <c r="AC1421" s="54"/>
    </row>
    <row r="1422" ht="78.0" customHeight="1">
      <c r="A1422" s="941">
        <v>949.0</v>
      </c>
      <c r="B1422" s="26"/>
      <c r="C1422" s="28"/>
      <c r="D1422" s="825"/>
      <c r="E1422" s="28"/>
      <c r="F1422" s="28"/>
      <c r="G1422" s="28"/>
      <c r="H1422" s="28"/>
      <c r="I1422" s="28"/>
      <c r="J1422" s="28"/>
      <c r="K1422" s="28"/>
      <c r="L1422" s="28"/>
      <c r="M1422" s="28"/>
      <c r="N1422" s="28"/>
      <c r="O1422" s="28"/>
      <c r="P1422" s="28"/>
      <c r="Q1422" s="28"/>
      <c r="R1422" s="28"/>
      <c r="S1422" s="28"/>
      <c r="T1422" s="28"/>
      <c r="U1422" s="28"/>
      <c r="V1422" s="28"/>
      <c r="W1422" s="28"/>
      <c r="X1422" s="28"/>
      <c r="Y1422" s="28"/>
      <c r="Z1422" s="28"/>
      <c r="AA1422" s="28"/>
      <c r="AB1422" s="28"/>
      <c r="AC1422" s="28"/>
    </row>
    <row r="1423" ht="78.0" customHeight="1">
      <c r="A1423" s="946">
        <v>948.0</v>
      </c>
      <c r="B1423" s="52"/>
      <c r="C1423" s="54"/>
      <c r="D1423" s="855"/>
      <c r="E1423" s="54"/>
      <c r="F1423" s="54"/>
      <c r="G1423" s="54"/>
      <c r="H1423" s="54"/>
      <c r="I1423" s="54"/>
      <c r="J1423" s="54"/>
      <c r="K1423" s="54"/>
      <c r="L1423" s="54"/>
      <c r="M1423" s="54"/>
      <c r="N1423" s="54"/>
      <c r="O1423" s="54"/>
      <c r="P1423" s="54"/>
      <c r="Q1423" s="54"/>
      <c r="R1423" s="54"/>
      <c r="S1423" s="54"/>
      <c r="T1423" s="54"/>
      <c r="U1423" s="54"/>
      <c r="V1423" s="54"/>
      <c r="W1423" s="54"/>
      <c r="X1423" s="54"/>
      <c r="Y1423" s="54"/>
      <c r="Z1423" s="54"/>
      <c r="AA1423" s="54"/>
      <c r="AB1423" s="54"/>
      <c r="AC1423" s="54"/>
    </row>
    <row r="1424" ht="78.0" customHeight="1">
      <c r="A1424" s="941">
        <v>947.0</v>
      </c>
      <c r="B1424" s="26"/>
      <c r="C1424" s="28"/>
      <c r="D1424" s="825"/>
      <c r="E1424" s="28"/>
      <c r="F1424" s="28"/>
      <c r="G1424" s="28"/>
      <c r="H1424" s="28"/>
      <c r="I1424" s="28"/>
      <c r="J1424" s="28"/>
      <c r="K1424" s="28"/>
      <c r="L1424" s="28"/>
      <c r="M1424" s="28"/>
      <c r="N1424" s="28"/>
      <c r="O1424" s="28"/>
      <c r="P1424" s="28"/>
      <c r="Q1424" s="28"/>
      <c r="R1424" s="28"/>
      <c r="S1424" s="28"/>
      <c r="T1424" s="28"/>
      <c r="U1424" s="28"/>
      <c r="V1424" s="28"/>
      <c r="W1424" s="28"/>
      <c r="X1424" s="28"/>
      <c r="Y1424" s="28"/>
      <c r="Z1424" s="28"/>
      <c r="AA1424" s="28"/>
      <c r="AB1424" s="28"/>
      <c r="AC1424" s="28"/>
    </row>
    <row r="1425" ht="78.0" customHeight="1">
      <c r="A1425" s="946">
        <v>946.0</v>
      </c>
      <c r="B1425" s="52"/>
      <c r="C1425" s="54"/>
      <c r="D1425" s="855"/>
      <c r="E1425" s="54"/>
      <c r="F1425" s="54"/>
      <c r="G1425" s="54"/>
      <c r="H1425" s="54"/>
      <c r="I1425" s="54"/>
      <c r="J1425" s="54"/>
      <c r="K1425" s="54"/>
      <c r="L1425" s="54"/>
      <c r="M1425" s="54"/>
      <c r="N1425" s="54"/>
      <c r="O1425" s="54"/>
      <c r="P1425" s="54"/>
      <c r="Q1425" s="54"/>
      <c r="R1425" s="54"/>
      <c r="S1425" s="54"/>
      <c r="T1425" s="54"/>
      <c r="U1425" s="54"/>
      <c r="V1425" s="54"/>
      <c r="W1425" s="54"/>
      <c r="X1425" s="54"/>
      <c r="Y1425" s="54"/>
      <c r="Z1425" s="54"/>
      <c r="AA1425" s="54"/>
      <c r="AB1425" s="54"/>
      <c r="AC1425" s="54"/>
    </row>
    <row r="1426" ht="78.0" customHeight="1">
      <c r="A1426" s="941">
        <v>945.0</v>
      </c>
      <c r="B1426" s="26"/>
      <c r="C1426" s="28"/>
      <c r="D1426" s="825"/>
      <c r="E1426" s="28"/>
      <c r="F1426" s="28"/>
      <c r="G1426" s="28"/>
      <c r="H1426" s="28"/>
      <c r="I1426" s="28"/>
      <c r="J1426" s="28"/>
      <c r="K1426" s="28"/>
      <c r="L1426" s="28"/>
      <c r="M1426" s="28"/>
      <c r="N1426" s="28"/>
      <c r="O1426" s="28"/>
      <c r="P1426" s="28"/>
      <c r="Q1426" s="28"/>
      <c r="R1426" s="28"/>
      <c r="S1426" s="28"/>
      <c r="T1426" s="28"/>
      <c r="U1426" s="28"/>
      <c r="V1426" s="28"/>
      <c r="W1426" s="28"/>
      <c r="X1426" s="28"/>
      <c r="Y1426" s="28"/>
      <c r="Z1426" s="28"/>
      <c r="AA1426" s="28"/>
      <c r="AB1426" s="28"/>
      <c r="AC1426" s="28"/>
    </row>
    <row r="1427" ht="78.0" customHeight="1">
      <c r="A1427" s="946">
        <v>944.0</v>
      </c>
      <c r="B1427" s="52"/>
      <c r="C1427" s="54"/>
      <c r="D1427" s="855"/>
      <c r="E1427" s="54"/>
      <c r="F1427" s="54"/>
      <c r="G1427" s="54"/>
      <c r="H1427" s="54"/>
      <c r="I1427" s="54"/>
      <c r="J1427" s="54"/>
      <c r="K1427" s="54"/>
      <c r="L1427" s="54"/>
      <c r="M1427" s="54"/>
      <c r="N1427" s="54"/>
      <c r="O1427" s="54"/>
      <c r="P1427" s="54"/>
      <c r="Q1427" s="54"/>
      <c r="R1427" s="54"/>
      <c r="S1427" s="54"/>
      <c r="T1427" s="54"/>
      <c r="U1427" s="54"/>
      <c r="V1427" s="54"/>
      <c r="W1427" s="54"/>
      <c r="X1427" s="54"/>
      <c r="Y1427" s="54"/>
      <c r="Z1427" s="54"/>
      <c r="AA1427" s="54"/>
      <c r="AB1427" s="54"/>
      <c r="AC1427" s="54"/>
    </row>
    <row r="1428" ht="78.0" customHeight="1">
      <c r="A1428" s="941">
        <v>943.0</v>
      </c>
      <c r="B1428" s="26"/>
      <c r="C1428" s="28"/>
      <c r="D1428" s="825"/>
      <c r="E1428" s="28"/>
      <c r="F1428" s="28"/>
      <c r="G1428" s="28"/>
      <c r="H1428" s="28"/>
      <c r="I1428" s="28"/>
      <c r="J1428" s="28"/>
      <c r="K1428" s="28"/>
      <c r="L1428" s="28"/>
      <c r="M1428" s="28"/>
      <c r="N1428" s="28"/>
      <c r="O1428" s="28"/>
      <c r="P1428" s="28"/>
      <c r="Q1428" s="28"/>
      <c r="R1428" s="28"/>
      <c r="S1428" s="28"/>
      <c r="T1428" s="28"/>
      <c r="U1428" s="28"/>
      <c r="V1428" s="28"/>
      <c r="W1428" s="28"/>
      <c r="X1428" s="28"/>
      <c r="Y1428" s="28"/>
      <c r="Z1428" s="28"/>
      <c r="AA1428" s="28"/>
      <c r="AB1428" s="28"/>
      <c r="AC1428" s="28"/>
    </row>
    <row r="1429" ht="78.0" customHeight="1">
      <c r="A1429" s="946">
        <v>942.0</v>
      </c>
      <c r="B1429" s="52"/>
      <c r="C1429" s="54"/>
      <c r="D1429" s="855"/>
      <c r="E1429" s="54"/>
      <c r="F1429" s="54"/>
      <c r="G1429" s="54"/>
      <c r="H1429" s="54"/>
      <c r="I1429" s="54"/>
      <c r="J1429" s="54"/>
      <c r="K1429" s="54"/>
      <c r="L1429" s="54"/>
      <c r="M1429" s="54"/>
      <c r="N1429" s="54"/>
      <c r="O1429" s="54"/>
      <c r="P1429" s="54"/>
      <c r="Q1429" s="54"/>
      <c r="R1429" s="54"/>
      <c r="S1429" s="54"/>
      <c r="T1429" s="54"/>
      <c r="U1429" s="54"/>
      <c r="V1429" s="54"/>
      <c r="W1429" s="54"/>
      <c r="X1429" s="54"/>
      <c r="Y1429" s="54"/>
      <c r="Z1429" s="54"/>
      <c r="AA1429" s="54"/>
      <c r="AB1429" s="54"/>
      <c r="AC1429" s="54"/>
    </row>
    <row r="1430" ht="78.0" customHeight="1">
      <c r="A1430" s="941">
        <v>941.0</v>
      </c>
      <c r="B1430" s="26"/>
      <c r="C1430" s="28"/>
      <c r="D1430" s="825"/>
      <c r="E1430" s="28"/>
      <c r="F1430" s="28"/>
      <c r="G1430" s="28"/>
      <c r="H1430" s="28"/>
      <c r="I1430" s="28"/>
      <c r="J1430" s="28"/>
      <c r="K1430" s="28"/>
      <c r="L1430" s="28"/>
      <c r="M1430" s="28"/>
      <c r="N1430" s="28"/>
      <c r="O1430" s="28"/>
      <c r="P1430" s="28"/>
      <c r="Q1430" s="28"/>
      <c r="R1430" s="28"/>
      <c r="S1430" s="28"/>
      <c r="T1430" s="28"/>
      <c r="U1430" s="28"/>
      <c r="V1430" s="28"/>
      <c r="W1430" s="28"/>
      <c r="X1430" s="28"/>
      <c r="Y1430" s="28"/>
      <c r="Z1430" s="28"/>
      <c r="AA1430" s="28"/>
      <c r="AB1430" s="28"/>
      <c r="AC1430" s="28"/>
    </row>
    <row r="1431" ht="78.0" customHeight="1">
      <c r="A1431" s="946">
        <v>940.0</v>
      </c>
      <c r="B1431" s="52"/>
      <c r="C1431" s="54"/>
      <c r="D1431" s="855"/>
      <c r="E1431" s="54"/>
      <c r="F1431" s="54"/>
      <c r="G1431" s="54"/>
      <c r="H1431" s="54"/>
      <c r="I1431" s="54"/>
      <c r="J1431" s="54"/>
      <c r="K1431" s="54"/>
      <c r="L1431" s="54"/>
      <c r="M1431" s="54"/>
      <c r="N1431" s="54"/>
      <c r="O1431" s="54"/>
      <c r="P1431" s="54"/>
      <c r="Q1431" s="54"/>
      <c r="R1431" s="54"/>
      <c r="S1431" s="54"/>
      <c r="T1431" s="54"/>
      <c r="U1431" s="54"/>
      <c r="V1431" s="54"/>
      <c r="W1431" s="54"/>
      <c r="X1431" s="54"/>
      <c r="Y1431" s="54"/>
      <c r="Z1431" s="54"/>
      <c r="AA1431" s="54"/>
      <c r="AB1431" s="54"/>
      <c r="AC1431" s="54"/>
    </row>
    <row r="1432" ht="78.0" customHeight="1">
      <c r="A1432" s="941">
        <v>939.0</v>
      </c>
      <c r="B1432" s="26"/>
      <c r="C1432" s="28"/>
      <c r="D1432" s="825"/>
      <c r="E1432" s="28"/>
      <c r="F1432" s="28"/>
      <c r="G1432" s="28"/>
      <c r="H1432" s="28"/>
      <c r="I1432" s="28"/>
      <c r="J1432" s="28"/>
      <c r="K1432" s="28"/>
      <c r="L1432" s="28"/>
      <c r="M1432" s="28"/>
      <c r="N1432" s="28"/>
      <c r="O1432" s="28"/>
      <c r="P1432" s="28"/>
      <c r="Q1432" s="28"/>
      <c r="R1432" s="28"/>
      <c r="S1432" s="28"/>
      <c r="T1432" s="28"/>
      <c r="U1432" s="28"/>
      <c r="V1432" s="28"/>
      <c r="W1432" s="28"/>
      <c r="X1432" s="28"/>
      <c r="Y1432" s="28"/>
      <c r="Z1432" s="28"/>
      <c r="AA1432" s="28"/>
      <c r="AB1432" s="28"/>
      <c r="AC1432" s="28"/>
    </row>
    <row r="1433" ht="78.0" customHeight="1">
      <c r="A1433" s="946">
        <v>938.0</v>
      </c>
      <c r="B1433" s="52"/>
      <c r="C1433" s="54"/>
      <c r="D1433" s="855"/>
      <c r="E1433" s="54"/>
      <c r="F1433" s="54"/>
      <c r="G1433" s="54"/>
      <c r="H1433" s="54"/>
      <c r="I1433" s="54"/>
      <c r="J1433" s="54"/>
      <c r="K1433" s="54"/>
      <c r="L1433" s="54"/>
      <c r="M1433" s="54"/>
      <c r="N1433" s="54"/>
      <c r="O1433" s="54"/>
      <c r="P1433" s="54"/>
      <c r="Q1433" s="54"/>
      <c r="R1433" s="54"/>
      <c r="S1433" s="54"/>
      <c r="T1433" s="54"/>
      <c r="U1433" s="54"/>
      <c r="V1433" s="54"/>
      <c r="W1433" s="54"/>
      <c r="X1433" s="54"/>
      <c r="Y1433" s="54"/>
      <c r="Z1433" s="54"/>
      <c r="AA1433" s="54"/>
      <c r="AB1433" s="54"/>
      <c r="AC1433" s="54"/>
    </row>
    <row r="1434" ht="78.0" customHeight="1">
      <c r="A1434" s="941">
        <v>937.0</v>
      </c>
      <c r="B1434" s="26"/>
      <c r="C1434" s="28"/>
      <c r="D1434" s="825"/>
      <c r="E1434" s="28"/>
      <c r="F1434" s="28"/>
      <c r="G1434" s="28"/>
      <c r="H1434" s="28"/>
      <c r="I1434" s="28"/>
      <c r="J1434" s="28"/>
      <c r="K1434" s="28"/>
      <c r="L1434" s="28"/>
      <c r="M1434" s="28"/>
      <c r="N1434" s="28"/>
      <c r="O1434" s="28"/>
      <c r="P1434" s="28"/>
      <c r="Q1434" s="28"/>
      <c r="R1434" s="28"/>
      <c r="S1434" s="28"/>
      <c r="T1434" s="28"/>
      <c r="U1434" s="28"/>
      <c r="V1434" s="28"/>
      <c r="W1434" s="28"/>
      <c r="X1434" s="28"/>
      <c r="Y1434" s="28"/>
      <c r="Z1434" s="28"/>
      <c r="AA1434" s="28"/>
      <c r="AB1434" s="28"/>
      <c r="AC1434" s="28"/>
    </row>
    <row r="1435" ht="78.0" customHeight="1">
      <c r="A1435" s="946">
        <v>936.0</v>
      </c>
      <c r="B1435" s="52"/>
      <c r="C1435" s="54"/>
      <c r="D1435" s="855"/>
      <c r="E1435" s="54"/>
      <c r="F1435" s="54"/>
      <c r="G1435" s="54"/>
      <c r="H1435" s="54"/>
      <c r="I1435" s="54"/>
      <c r="J1435" s="54"/>
      <c r="K1435" s="54"/>
      <c r="L1435" s="54"/>
      <c r="M1435" s="54"/>
      <c r="N1435" s="54"/>
      <c r="O1435" s="54"/>
      <c r="P1435" s="54"/>
      <c r="Q1435" s="54"/>
      <c r="R1435" s="54"/>
      <c r="S1435" s="54"/>
      <c r="T1435" s="54"/>
      <c r="U1435" s="54"/>
      <c r="V1435" s="54"/>
      <c r="W1435" s="54"/>
      <c r="X1435" s="54"/>
      <c r="Y1435" s="54"/>
      <c r="Z1435" s="54"/>
      <c r="AA1435" s="54"/>
      <c r="AB1435" s="54"/>
      <c r="AC1435" s="54"/>
    </row>
    <row r="1436" ht="78.0" customHeight="1">
      <c r="A1436" s="941">
        <v>935.0</v>
      </c>
      <c r="B1436" s="26"/>
      <c r="C1436" s="28"/>
      <c r="D1436" s="825"/>
      <c r="E1436" s="28"/>
      <c r="F1436" s="28"/>
      <c r="G1436" s="28"/>
      <c r="H1436" s="28"/>
      <c r="I1436" s="28"/>
      <c r="J1436" s="28"/>
      <c r="K1436" s="28"/>
      <c r="L1436" s="28"/>
      <c r="M1436" s="28"/>
      <c r="N1436" s="28"/>
      <c r="O1436" s="28"/>
      <c r="P1436" s="28"/>
      <c r="Q1436" s="28"/>
      <c r="R1436" s="28"/>
      <c r="S1436" s="28"/>
      <c r="T1436" s="28"/>
      <c r="U1436" s="28"/>
      <c r="V1436" s="28"/>
      <c r="W1436" s="28"/>
      <c r="X1436" s="28"/>
      <c r="Y1436" s="28"/>
      <c r="Z1436" s="28"/>
      <c r="AA1436" s="28"/>
      <c r="AB1436" s="28"/>
      <c r="AC1436" s="28"/>
    </row>
    <row r="1437" ht="78.0" customHeight="1">
      <c r="A1437" s="946">
        <v>934.0</v>
      </c>
      <c r="B1437" s="52"/>
      <c r="C1437" s="54"/>
      <c r="D1437" s="855"/>
      <c r="E1437" s="54"/>
      <c r="F1437" s="54"/>
      <c r="G1437" s="54"/>
      <c r="H1437" s="54"/>
      <c r="I1437" s="54"/>
      <c r="J1437" s="54"/>
      <c r="K1437" s="54"/>
      <c r="L1437" s="54"/>
      <c r="M1437" s="54"/>
      <c r="N1437" s="54"/>
      <c r="O1437" s="54"/>
      <c r="P1437" s="54"/>
      <c r="Q1437" s="54"/>
      <c r="R1437" s="54"/>
      <c r="S1437" s="54"/>
      <c r="T1437" s="54"/>
      <c r="U1437" s="54"/>
      <c r="V1437" s="54"/>
      <c r="W1437" s="54"/>
      <c r="X1437" s="54"/>
      <c r="Y1437" s="54"/>
      <c r="Z1437" s="54"/>
      <c r="AA1437" s="54"/>
      <c r="AB1437" s="54"/>
      <c r="AC1437" s="54"/>
    </row>
    <row r="1438" ht="78.0" customHeight="1">
      <c r="A1438" s="941">
        <v>933.0</v>
      </c>
      <c r="B1438" s="26"/>
      <c r="C1438" s="28"/>
      <c r="D1438" s="825"/>
      <c r="E1438" s="28"/>
      <c r="F1438" s="28"/>
      <c r="G1438" s="28"/>
      <c r="H1438" s="28"/>
      <c r="I1438" s="28"/>
      <c r="J1438" s="28"/>
      <c r="K1438" s="28"/>
      <c r="L1438" s="28"/>
      <c r="M1438" s="28"/>
      <c r="N1438" s="28"/>
      <c r="O1438" s="28"/>
      <c r="P1438" s="28"/>
      <c r="Q1438" s="28"/>
      <c r="R1438" s="28"/>
      <c r="S1438" s="28"/>
      <c r="T1438" s="28"/>
      <c r="U1438" s="28"/>
      <c r="V1438" s="28"/>
      <c r="W1438" s="28"/>
      <c r="X1438" s="28"/>
      <c r="Y1438" s="28"/>
      <c r="Z1438" s="28"/>
      <c r="AA1438" s="28"/>
      <c r="AB1438" s="28"/>
      <c r="AC1438" s="28"/>
    </row>
    <row r="1439" ht="78.0" customHeight="1">
      <c r="A1439" s="946">
        <v>932.0</v>
      </c>
      <c r="B1439" s="52"/>
      <c r="C1439" s="54"/>
      <c r="D1439" s="855"/>
      <c r="E1439" s="54"/>
      <c r="F1439" s="54"/>
      <c r="G1439" s="54"/>
      <c r="H1439" s="54"/>
      <c r="I1439" s="54"/>
      <c r="J1439" s="54"/>
      <c r="K1439" s="54"/>
      <c r="L1439" s="54"/>
      <c r="M1439" s="54"/>
      <c r="N1439" s="54"/>
      <c r="O1439" s="54"/>
      <c r="P1439" s="54"/>
      <c r="Q1439" s="54"/>
      <c r="R1439" s="54"/>
      <c r="S1439" s="54"/>
      <c r="T1439" s="54"/>
      <c r="U1439" s="54"/>
      <c r="V1439" s="54"/>
      <c r="W1439" s="54"/>
      <c r="X1439" s="54"/>
      <c r="Y1439" s="54"/>
      <c r="Z1439" s="54"/>
      <c r="AA1439" s="54"/>
      <c r="AB1439" s="54"/>
      <c r="AC1439" s="54"/>
    </row>
    <row r="1440" ht="78.0" customHeight="1">
      <c r="A1440" s="941">
        <v>931.0</v>
      </c>
      <c r="B1440" s="26"/>
      <c r="C1440" s="28"/>
      <c r="D1440" s="825"/>
      <c r="E1440" s="28"/>
      <c r="F1440" s="28"/>
      <c r="G1440" s="28"/>
      <c r="H1440" s="28"/>
      <c r="I1440" s="28"/>
      <c r="J1440" s="28"/>
      <c r="K1440" s="28"/>
      <c r="L1440" s="28"/>
      <c r="M1440" s="28"/>
      <c r="N1440" s="28"/>
      <c r="O1440" s="28"/>
      <c r="P1440" s="28"/>
      <c r="Q1440" s="28"/>
      <c r="R1440" s="28"/>
      <c r="S1440" s="28"/>
      <c r="T1440" s="28"/>
      <c r="U1440" s="28"/>
      <c r="V1440" s="28"/>
      <c r="W1440" s="28"/>
      <c r="X1440" s="28"/>
      <c r="Y1440" s="28"/>
      <c r="Z1440" s="28"/>
      <c r="AA1440" s="28"/>
      <c r="AB1440" s="28"/>
      <c r="AC1440" s="28"/>
    </row>
    <row r="1441" ht="78.0" customHeight="1">
      <c r="A1441" s="946">
        <v>930.0</v>
      </c>
      <c r="B1441" s="52"/>
      <c r="C1441" s="54"/>
      <c r="D1441" s="855"/>
      <c r="E1441" s="54"/>
      <c r="F1441" s="54"/>
      <c r="G1441" s="54"/>
      <c r="H1441" s="54"/>
      <c r="I1441" s="54"/>
      <c r="J1441" s="54"/>
      <c r="K1441" s="54"/>
      <c r="L1441" s="54"/>
      <c r="M1441" s="54"/>
      <c r="N1441" s="54"/>
      <c r="O1441" s="54"/>
      <c r="P1441" s="54"/>
      <c r="Q1441" s="54"/>
      <c r="R1441" s="54"/>
      <c r="S1441" s="54"/>
      <c r="T1441" s="54"/>
      <c r="U1441" s="54"/>
      <c r="V1441" s="54"/>
      <c r="W1441" s="54"/>
      <c r="X1441" s="54"/>
      <c r="Y1441" s="54"/>
      <c r="Z1441" s="54"/>
      <c r="AA1441" s="54"/>
      <c r="AB1441" s="54"/>
      <c r="AC1441" s="54"/>
    </row>
    <row r="1442" ht="78.0" customHeight="1">
      <c r="A1442" s="941">
        <v>929.0</v>
      </c>
      <c r="B1442" s="26"/>
      <c r="C1442" s="28"/>
      <c r="D1442" s="825"/>
      <c r="E1442" s="28"/>
      <c r="F1442" s="28"/>
      <c r="G1442" s="28"/>
      <c r="H1442" s="28"/>
      <c r="I1442" s="28"/>
      <c r="J1442" s="28"/>
      <c r="K1442" s="28"/>
      <c r="L1442" s="28"/>
      <c r="M1442" s="28"/>
      <c r="N1442" s="28"/>
      <c r="O1442" s="28"/>
      <c r="P1442" s="28"/>
      <c r="Q1442" s="28"/>
      <c r="R1442" s="28"/>
      <c r="S1442" s="28"/>
      <c r="T1442" s="28"/>
      <c r="U1442" s="28"/>
      <c r="V1442" s="28"/>
      <c r="W1442" s="28"/>
      <c r="X1442" s="28"/>
      <c r="Y1442" s="28"/>
      <c r="Z1442" s="28"/>
      <c r="AA1442" s="28"/>
      <c r="AB1442" s="28"/>
      <c r="AC1442" s="28"/>
    </row>
    <row r="1443" ht="78.0" customHeight="1">
      <c r="A1443" s="946">
        <v>928.0</v>
      </c>
      <c r="B1443" s="52"/>
      <c r="C1443" s="54"/>
      <c r="D1443" s="855"/>
      <c r="E1443" s="54"/>
      <c r="F1443" s="54"/>
      <c r="G1443" s="54"/>
      <c r="H1443" s="54"/>
      <c r="I1443" s="54"/>
      <c r="J1443" s="54"/>
      <c r="K1443" s="54"/>
      <c r="L1443" s="54"/>
      <c r="M1443" s="54"/>
      <c r="N1443" s="54"/>
      <c r="O1443" s="54"/>
      <c r="P1443" s="54"/>
      <c r="Q1443" s="54"/>
      <c r="R1443" s="54"/>
      <c r="S1443" s="54"/>
      <c r="T1443" s="54"/>
      <c r="U1443" s="54"/>
      <c r="V1443" s="54"/>
      <c r="W1443" s="54"/>
      <c r="X1443" s="54"/>
      <c r="Y1443" s="54"/>
      <c r="Z1443" s="54"/>
      <c r="AA1443" s="54"/>
      <c r="AB1443" s="54"/>
      <c r="AC1443" s="54"/>
    </row>
    <row r="1444" ht="78.0" customHeight="1">
      <c r="A1444" s="941">
        <v>927.0</v>
      </c>
      <c r="B1444" s="26"/>
      <c r="C1444" s="28"/>
      <c r="D1444" s="825"/>
      <c r="E1444" s="28"/>
      <c r="F1444" s="28"/>
      <c r="G1444" s="28"/>
      <c r="H1444" s="28"/>
      <c r="I1444" s="28"/>
      <c r="J1444" s="28"/>
      <c r="K1444" s="28"/>
      <c r="L1444" s="28"/>
      <c r="M1444" s="28"/>
      <c r="N1444" s="28"/>
      <c r="O1444" s="28"/>
      <c r="P1444" s="28"/>
      <c r="Q1444" s="28"/>
      <c r="R1444" s="28"/>
      <c r="S1444" s="28"/>
      <c r="T1444" s="28"/>
      <c r="U1444" s="28"/>
      <c r="V1444" s="28"/>
      <c r="W1444" s="28"/>
      <c r="X1444" s="28"/>
      <c r="Y1444" s="28"/>
      <c r="Z1444" s="28"/>
      <c r="AA1444" s="28"/>
      <c r="AB1444" s="28"/>
      <c r="AC1444" s="28"/>
    </row>
    <row r="1445" ht="78.0" customHeight="1">
      <c r="A1445" s="946">
        <v>926.0</v>
      </c>
      <c r="B1445" s="52"/>
      <c r="C1445" s="54"/>
      <c r="D1445" s="855"/>
      <c r="E1445" s="54"/>
      <c r="F1445" s="54"/>
      <c r="G1445" s="54"/>
      <c r="H1445" s="54"/>
      <c r="I1445" s="54"/>
      <c r="J1445" s="54"/>
      <c r="K1445" s="54"/>
      <c r="L1445" s="54"/>
      <c r="M1445" s="54"/>
      <c r="N1445" s="54"/>
      <c r="O1445" s="54"/>
      <c r="P1445" s="54"/>
      <c r="Q1445" s="54"/>
      <c r="R1445" s="54"/>
      <c r="S1445" s="54"/>
      <c r="T1445" s="54"/>
      <c r="U1445" s="54"/>
      <c r="V1445" s="54"/>
      <c r="W1445" s="54"/>
      <c r="X1445" s="54"/>
      <c r="Y1445" s="54"/>
      <c r="Z1445" s="54"/>
      <c r="AA1445" s="54"/>
      <c r="AB1445" s="54"/>
      <c r="AC1445" s="54"/>
    </row>
    <row r="1446" ht="78.0" customHeight="1">
      <c r="A1446" s="941">
        <v>925.0</v>
      </c>
      <c r="B1446" s="26"/>
      <c r="C1446" s="28"/>
      <c r="D1446" s="825"/>
      <c r="E1446" s="28"/>
      <c r="F1446" s="28"/>
      <c r="G1446" s="28"/>
      <c r="H1446" s="28"/>
      <c r="I1446" s="28"/>
      <c r="J1446" s="28"/>
      <c r="K1446" s="28"/>
      <c r="L1446" s="28"/>
      <c r="M1446" s="28"/>
      <c r="N1446" s="28"/>
      <c r="O1446" s="28"/>
      <c r="P1446" s="28"/>
      <c r="Q1446" s="28"/>
      <c r="R1446" s="28"/>
      <c r="S1446" s="28"/>
      <c r="T1446" s="28"/>
      <c r="U1446" s="28"/>
      <c r="V1446" s="28"/>
      <c r="W1446" s="28"/>
      <c r="X1446" s="28"/>
      <c r="Y1446" s="28"/>
      <c r="Z1446" s="28"/>
      <c r="AA1446" s="28"/>
      <c r="AB1446" s="28"/>
      <c r="AC1446" s="28"/>
    </row>
    <row r="1447" ht="78.0" customHeight="1">
      <c r="A1447" s="946">
        <v>924.0</v>
      </c>
      <c r="B1447" s="52"/>
      <c r="C1447" s="54"/>
      <c r="D1447" s="855"/>
      <c r="E1447" s="54"/>
      <c r="F1447" s="54"/>
      <c r="G1447" s="54"/>
      <c r="H1447" s="54"/>
      <c r="I1447" s="54"/>
      <c r="J1447" s="54"/>
      <c r="K1447" s="54"/>
      <c r="L1447" s="54"/>
      <c r="M1447" s="54"/>
      <c r="N1447" s="54"/>
      <c r="O1447" s="54"/>
      <c r="P1447" s="54"/>
      <c r="Q1447" s="54"/>
      <c r="R1447" s="54"/>
      <c r="S1447" s="54"/>
      <c r="T1447" s="54"/>
      <c r="U1447" s="54"/>
      <c r="V1447" s="54"/>
      <c r="W1447" s="54"/>
      <c r="X1447" s="54"/>
      <c r="Y1447" s="54"/>
      <c r="Z1447" s="54"/>
      <c r="AA1447" s="54"/>
      <c r="AB1447" s="54"/>
      <c r="AC1447" s="54"/>
    </row>
    <row r="1448" ht="78.0" customHeight="1">
      <c r="A1448" s="941">
        <v>923.0</v>
      </c>
      <c r="B1448" s="26"/>
      <c r="C1448" s="28"/>
      <c r="D1448" s="825"/>
      <c r="E1448" s="28"/>
      <c r="F1448" s="28"/>
      <c r="G1448" s="28"/>
      <c r="H1448" s="28"/>
      <c r="I1448" s="28"/>
      <c r="J1448" s="28"/>
      <c r="K1448" s="28"/>
      <c r="L1448" s="28"/>
      <c r="M1448" s="28"/>
      <c r="N1448" s="28"/>
      <c r="O1448" s="28"/>
      <c r="P1448" s="28"/>
      <c r="Q1448" s="28"/>
      <c r="R1448" s="28"/>
      <c r="S1448" s="28"/>
      <c r="T1448" s="28"/>
      <c r="U1448" s="28"/>
      <c r="V1448" s="28"/>
      <c r="W1448" s="28"/>
      <c r="X1448" s="28"/>
      <c r="Y1448" s="28"/>
      <c r="Z1448" s="28"/>
      <c r="AA1448" s="28"/>
      <c r="AB1448" s="28"/>
      <c r="AC1448" s="28"/>
    </row>
    <row r="1449" ht="78.0" customHeight="1">
      <c r="A1449" s="946">
        <v>922.0</v>
      </c>
      <c r="B1449" s="52"/>
      <c r="C1449" s="54"/>
      <c r="D1449" s="855"/>
      <c r="E1449" s="54"/>
      <c r="F1449" s="54"/>
      <c r="G1449" s="54"/>
      <c r="H1449" s="54"/>
      <c r="I1449" s="54"/>
      <c r="J1449" s="54"/>
      <c r="K1449" s="54"/>
      <c r="L1449" s="54"/>
      <c r="M1449" s="54"/>
      <c r="N1449" s="54"/>
      <c r="O1449" s="54"/>
      <c r="P1449" s="54"/>
      <c r="Q1449" s="54"/>
      <c r="R1449" s="54"/>
      <c r="S1449" s="54"/>
      <c r="T1449" s="54"/>
      <c r="U1449" s="54"/>
      <c r="V1449" s="54"/>
      <c r="W1449" s="54"/>
      <c r="X1449" s="54"/>
      <c r="Y1449" s="54"/>
      <c r="Z1449" s="54"/>
      <c r="AA1449" s="54"/>
      <c r="AB1449" s="54"/>
      <c r="AC1449" s="54"/>
    </row>
    <row r="1450" ht="78.0" customHeight="1">
      <c r="A1450" s="941">
        <v>921.0</v>
      </c>
      <c r="B1450" s="26"/>
      <c r="C1450" s="28"/>
      <c r="D1450" s="825"/>
      <c r="E1450" s="28"/>
      <c r="F1450" s="28"/>
      <c r="G1450" s="28"/>
      <c r="H1450" s="28"/>
      <c r="I1450" s="28"/>
      <c r="J1450" s="28"/>
      <c r="K1450" s="28"/>
      <c r="L1450" s="28"/>
      <c r="M1450" s="28"/>
      <c r="N1450" s="28"/>
      <c r="O1450" s="28"/>
      <c r="P1450" s="28"/>
      <c r="Q1450" s="28"/>
      <c r="R1450" s="28"/>
      <c r="S1450" s="28"/>
      <c r="T1450" s="28"/>
      <c r="U1450" s="28"/>
      <c r="V1450" s="28"/>
      <c r="W1450" s="28"/>
      <c r="X1450" s="28"/>
      <c r="Y1450" s="28"/>
      <c r="Z1450" s="28"/>
      <c r="AA1450" s="28"/>
      <c r="AB1450" s="28"/>
      <c r="AC1450" s="28"/>
    </row>
    <row r="1451" ht="78.0" customHeight="1">
      <c r="A1451" s="946">
        <v>920.0</v>
      </c>
      <c r="B1451" s="52"/>
      <c r="C1451" s="54"/>
      <c r="D1451" s="855"/>
      <c r="E1451" s="54"/>
      <c r="F1451" s="54"/>
      <c r="G1451" s="54"/>
      <c r="H1451" s="54"/>
      <c r="I1451" s="54"/>
      <c r="J1451" s="54"/>
      <c r="K1451" s="54"/>
      <c r="L1451" s="54"/>
      <c r="M1451" s="54"/>
      <c r="N1451" s="54"/>
      <c r="O1451" s="54"/>
      <c r="P1451" s="54"/>
      <c r="Q1451" s="54"/>
      <c r="R1451" s="54"/>
      <c r="S1451" s="54"/>
      <c r="T1451" s="54"/>
      <c r="U1451" s="54"/>
      <c r="V1451" s="54"/>
      <c r="W1451" s="54"/>
      <c r="X1451" s="54"/>
      <c r="Y1451" s="54"/>
      <c r="Z1451" s="54"/>
      <c r="AA1451" s="54"/>
      <c r="AB1451" s="54"/>
      <c r="AC1451" s="54"/>
    </row>
    <row r="1452" ht="78.0" customHeight="1">
      <c r="A1452" s="941">
        <v>919.0</v>
      </c>
      <c r="B1452" s="26"/>
      <c r="C1452" s="28"/>
      <c r="D1452" s="825"/>
      <c r="E1452" s="28"/>
      <c r="F1452" s="28"/>
      <c r="G1452" s="28"/>
      <c r="H1452" s="28"/>
      <c r="I1452" s="28"/>
      <c r="J1452" s="28"/>
      <c r="K1452" s="28"/>
      <c r="L1452" s="28"/>
      <c r="M1452" s="28"/>
      <c r="N1452" s="28"/>
      <c r="O1452" s="28"/>
      <c r="P1452" s="28"/>
      <c r="Q1452" s="28"/>
      <c r="R1452" s="28"/>
      <c r="S1452" s="28"/>
      <c r="T1452" s="28"/>
      <c r="U1452" s="28"/>
      <c r="V1452" s="28"/>
      <c r="W1452" s="28"/>
      <c r="X1452" s="28"/>
      <c r="Y1452" s="28"/>
      <c r="Z1452" s="28"/>
      <c r="AA1452" s="28"/>
      <c r="AB1452" s="28"/>
      <c r="AC1452" s="28"/>
    </row>
    <row r="1453" ht="78.0" customHeight="1">
      <c r="A1453" s="946">
        <v>918.0</v>
      </c>
      <c r="B1453" s="52"/>
      <c r="C1453" s="54"/>
      <c r="D1453" s="855"/>
      <c r="E1453" s="54"/>
      <c r="F1453" s="54"/>
      <c r="G1453" s="54"/>
      <c r="H1453" s="54"/>
      <c r="I1453" s="54"/>
      <c r="J1453" s="54"/>
      <c r="K1453" s="54"/>
      <c r="L1453" s="54"/>
      <c r="M1453" s="54"/>
      <c r="N1453" s="54"/>
      <c r="O1453" s="54"/>
      <c r="P1453" s="54"/>
      <c r="Q1453" s="54"/>
      <c r="R1453" s="54"/>
      <c r="S1453" s="54"/>
      <c r="T1453" s="54"/>
      <c r="U1453" s="54"/>
      <c r="V1453" s="54"/>
      <c r="W1453" s="54"/>
      <c r="X1453" s="54"/>
      <c r="Y1453" s="54"/>
      <c r="Z1453" s="54"/>
      <c r="AA1453" s="54"/>
      <c r="AB1453" s="54"/>
      <c r="AC1453" s="54"/>
    </row>
    <row r="1454" ht="78.0" customHeight="1">
      <c r="A1454" s="941">
        <v>917.0</v>
      </c>
      <c r="B1454" s="26"/>
      <c r="C1454" s="28"/>
      <c r="D1454" s="825"/>
      <c r="E1454" s="28"/>
      <c r="F1454" s="28"/>
      <c r="G1454" s="28"/>
      <c r="H1454" s="28"/>
      <c r="I1454" s="28"/>
      <c r="J1454" s="28"/>
      <c r="K1454" s="28"/>
      <c r="L1454" s="28"/>
      <c r="M1454" s="28"/>
      <c r="N1454" s="28"/>
      <c r="O1454" s="28"/>
      <c r="P1454" s="28"/>
      <c r="Q1454" s="28"/>
      <c r="R1454" s="28"/>
      <c r="S1454" s="28"/>
      <c r="T1454" s="28"/>
      <c r="U1454" s="28"/>
      <c r="V1454" s="28"/>
      <c r="W1454" s="28"/>
      <c r="X1454" s="28"/>
      <c r="Y1454" s="28"/>
      <c r="Z1454" s="28"/>
      <c r="AA1454" s="28"/>
      <c r="AB1454" s="28"/>
      <c r="AC1454" s="28"/>
    </row>
    <row r="1455" ht="78.0" customHeight="1">
      <c r="A1455" s="946">
        <v>916.0</v>
      </c>
      <c r="B1455" s="52"/>
      <c r="C1455" s="54"/>
      <c r="D1455" s="855"/>
      <c r="E1455" s="54"/>
      <c r="F1455" s="54"/>
      <c r="G1455" s="54"/>
      <c r="H1455" s="54"/>
      <c r="I1455" s="54"/>
      <c r="J1455" s="54"/>
      <c r="K1455" s="54"/>
      <c r="L1455" s="54"/>
      <c r="M1455" s="54"/>
      <c r="N1455" s="54"/>
      <c r="O1455" s="54"/>
      <c r="P1455" s="54"/>
      <c r="Q1455" s="54"/>
      <c r="R1455" s="54"/>
      <c r="S1455" s="54"/>
      <c r="T1455" s="54"/>
      <c r="U1455" s="54"/>
      <c r="V1455" s="54"/>
      <c r="W1455" s="54"/>
      <c r="X1455" s="54"/>
      <c r="Y1455" s="54"/>
      <c r="Z1455" s="54"/>
      <c r="AA1455" s="54"/>
      <c r="AB1455" s="54"/>
      <c r="AC1455" s="54"/>
    </row>
    <row r="1456" ht="78.0" customHeight="1">
      <c r="A1456" s="941">
        <v>915.0</v>
      </c>
      <c r="B1456" s="26"/>
      <c r="C1456" s="28"/>
      <c r="D1456" s="825"/>
      <c r="E1456" s="28"/>
      <c r="F1456" s="28"/>
      <c r="G1456" s="28"/>
      <c r="H1456" s="28"/>
      <c r="I1456" s="28"/>
      <c r="J1456" s="28"/>
      <c r="K1456" s="28"/>
      <c r="L1456" s="28"/>
      <c r="M1456" s="28"/>
      <c r="N1456" s="28"/>
      <c r="O1456" s="28"/>
      <c r="P1456" s="28"/>
      <c r="Q1456" s="28"/>
      <c r="R1456" s="28"/>
      <c r="S1456" s="28"/>
      <c r="T1456" s="28"/>
      <c r="U1456" s="28"/>
      <c r="V1456" s="28"/>
      <c r="W1456" s="28"/>
      <c r="X1456" s="28"/>
      <c r="Y1456" s="28"/>
      <c r="Z1456" s="28"/>
      <c r="AA1456" s="28"/>
      <c r="AB1456" s="28"/>
      <c r="AC1456" s="28"/>
    </row>
    <row r="1457" ht="78.0" customHeight="1">
      <c r="A1457" s="946">
        <v>914.0</v>
      </c>
      <c r="B1457" s="52"/>
      <c r="C1457" s="54"/>
      <c r="D1457" s="855"/>
      <c r="E1457" s="54"/>
      <c r="F1457" s="54"/>
      <c r="G1457" s="54"/>
      <c r="H1457" s="54"/>
      <c r="I1457" s="54"/>
      <c r="J1457" s="54"/>
      <c r="K1457" s="54"/>
      <c r="L1457" s="54"/>
      <c r="M1457" s="54"/>
      <c r="N1457" s="54"/>
      <c r="O1457" s="54"/>
      <c r="P1457" s="54"/>
      <c r="Q1457" s="54"/>
      <c r="R1457" s="54"/>
      <c r="S1457" s="54"/>
      <c r="T1457" s="54"/>
      <c r="U1457" s="54"/>
      <c r="V1457" s="54"/>
      <c r="W1457" s="54"/>
      <c r="X1457" s="54"/>
      <c r="Y1457" s="54"/>
      <c r="Z1457" s="54"/>
      <c r="AA1457" s="54"/>
      <c r="AB1457" s="54"/>
      <c r="AC1457" s="54"/>
    </row>
    <row r="1458" ht="78.0" customHeight="1">
      <c r="A1458" s="941">
        <v>913.0</v>
      </c>
      <c r="B1458" s="26"/>
      <c r="C1458" s="28"/>
      <c r="D1458" s="825"/>
      <c r="E1458" s="28"/>
      <c r="F1458" s="28"/>
      <c r="G1458" s="28"/>
      <c r="H1458" s="28"/>
      <c r="I1458" s="28"/>
      <c r="J1458" s="28"/>
      <c r="K1458" s="28"/>
      <c r="L1458" s="28"/>
      <c r="M1458" s="28"/>
      <c r="N1458" s="28"/>
      <c r="O1458" s="28"/>
      <c r="P1458" s="28"/>
      <c r="Q1458" s="28"/>
      <c r="R1458" s="28"/>
      <c r="S1458" s="28"/>
      <c r="T1458" s="28"/>
      <c r="U1458" s="28"/>
      <c r="V1458" s="28"/>
      <c r="W1458" s="28"/>
      <c r="X1458" s="28"/>
      <c r="Y1458" s="28"/>
      <c r="Z1458" s="28"/>
      <c r="AA1458" s="28"/>
      <c r="AB1458" s="28"/>
      <c r="AC1458" s="28"/>
    </row>
    <row r="1459" ht="78.0" customHeight="1">
      <c r="A1459" s="946">
        <v>912.0</v>
      </c>
      <c r="B1459" s="52"/>
      <c r="C1459" s="54"/>
      <c r="D1459" s="855"/>
      <c r="E1459" s="54"/>
      <c r="F1459" s="54"/>
      <c r="G1459" s="54"/>
      <c r="H1459" s="54"/>
      <c r="I1459" s="54"/>
      <c r="J1459" s="54"/>
      <c r="K1459" s="54"/>
      <c r="L1459" s="54"/>
      <c r="M1459" s="54"/>
      <c r="N1459" s="54"/>
      <c r="O1459" s="54"/>
      <c r="P1459" s="54"/>
      <c r="Q1459" s="54"/>
      <c r="R1459" s="54"/>
      <c r="S1459" s="54"/>
      <c r="T1459" s="54"/>
      <c r="U1459" s="54"/>
      <c r="V1459" s="54"/>
      <c r="W1459" s="54"/>
      <c r="X1459" s="54"/>
      <c r="Y1459" s="54"/>
      <c r="Z1459" s="54"/>
      <c r="AA1459" s="54"/>
      <c r="AB1459" s="54"/>
      <c r="AC1459" s="54"/>
    </row>
    <row r="1460" ht="78.0" customHeight="1">
      <c r="A1460" s="941">
        <v>911.0</v>
      </c>
      <c r="B1460" s="26"/>
      <c r="C1460" s="28"/>
      <c r="D1460" s="825"/>
      <c r="E1460" s="28"/>
      <c r="F1460" s="28"/>
      <c r="G1460" s="28"/>
      <c r="H1460" s="28"/>
      <c r="I1460" s="28"/>
      <c r="J1460" s="28"/>
      <c r="K1460" s="28"/>
      <c r="L1460" s="28"/>
      <c r="M1460" s="28"/>
      <c r="N1460" s="28"/>
      <c r="O1460" s="28"/>
      <c r="P1460" s="28"/>
      <c r="Q1460" s="28"/>
      <c r="R1460" s="28"/>
      <c r="S1460" s="28"/>
      <c r="T1460" s="28"/>
      <c r="U1460" s="28"/>
      <c r="V1460" s="28"/>
      <c r="W1460" s="28"/>
      <c r="X1460" s="28"/>
      <c r="Y1460" s="28"/>
      <c r="Z1460" s="28"/>
      <c r="AA1460" s="28"/>
      <c r="AB1460" s="28"/>
      <c r="AC1460" s="28"/>
    </row>
    <row r="1461" ht="78.0" customHeight="1">
      <c r="A1461" s="946">
        <v>910.0</v>
      </c>
      <c r="B1461" s="52"/>
      <c r="C1461" s="54"/>
      <c r="D1461" s="855"/>
      <c r="E1461" s="54"/>
      <c r="F1461" s="54"/>
      <c r="G1461" s="54"/>
      <c r="H1461" s="54"/>
      <c r="I1461" s="54"/>
      <c r="J1461" s="54"/>
      <c r="K1461" s="54"/>
      <c r="L1461" s="54"/>
      <c r="M1461" s="54"/>
      <c r="N1461" s="54"/>
      <c r="O1461" s="54"/>
      <c r="P1461" s="54"/>
      <c r="Q1461" s="54"/>
      <c r="R1461" s="54"/>
      <c r="S1461" s="54"/>
      <c r="T1461" s="54"/>
      <c r="U1461" s="54"/>
      <c r="V1461" s="54"/>
      <c r="W1461" s="54"/>
      <c r="X1461" s="54"/>
      <c r="Y1461" s="54"/>
      <c r="Z1461" s="54"/>
      <c r="AA1461" s="54"/>
      <c r="AB1461" s="54"/>
      <c r="AC1461" s="54"/>
    </row>
    <row r="1462" ht="78.0" customHeight="1">
      <c r="A1462" s="941">
        <v>909.0</v>
      </c>
      <c r="B1462" s="26"/>
      <c r="C1462" s="28"/>
      <c r="D1462" s="825"/>
      <c r="E1462" s="28"/>
      <c r="F1462" s="28"/>
      <c r="G1462" s="28"/>
      <c r="H1462" s="28"/>
      <c r="I1462" s="28"/>
      <c r="J1462" s="28"/>
      <c r="K1462" s="28"/>
      <c r="L1462" s="28"/>
      <c r="M1462" s="28"/>
      <c r="N1462" s="28"/>
      <c r="O1462" s="28"/>
      <c r="P1462" s="28"/>
      <c r="Q1462" s="28"/>
      <c r="R1462" s="28"/>
      <c r="S1462" s="28"/>
      <c r="T1462" s="28"/>
      <c r="U1462" s="28"/>
      <c r="V1462" s="28"/>
      <c r="W1462" s="28"/>
      <c r="X1462" s="28"/>
      <c r="Y1462" s="28"/>
      <c r="Z1462" s="28"/>
      <c r="AA1462" s="28"/>
      <c r="AB1462" s="28"/>
      <c r="AC1462" s="28"/>
    </row>
    <row r="1463" ht="78.0" customHeight="1">
      <c r="A1463" s="946">
        <v>908.0</v>
      </c>
      <c r="B1463" s="52"/>
      <c r="C1463" s="54"/>
      <c r="D1463" s="855"/>
      <c r="E1463" s="54"/>
      <c r="F1463" s="54"/>
      <c r="G1463" s="54"/>
      <c r="H1463" s="54"/>
      <c r="I1463" s="54"/>
      <c r="J1463" s="54"/>
      <c r="K1463" s="54"/>
      <c r="L1463" s="54"/>
      <c r="M1463" s="54"/>
      <c r="N1463" s="54"/>
      <c r="O1463" s="54"/>
      <c r="P1463" s="54"/>
      <c r="Q1463" s="54"/>
      <c r="R1463" s="54"/>
      <c r="S1463" s="54"/>
      <c r="T1463" s="54"/>
      <c r="U1463" s="54"/>
      <c r="V1463" s="54"/>
      <c r="W1463" s="54"/>
      <c r="X1463" s="54"/>
      <c r="Y1463" s="54"/>
      <c r="Z1463" s="54"/>
      <c r="AA1463" s="54"/>
      <c r="AB1463" s="54"/>
      <c r="AC1463" s="54"/>
    </row>
    <row r="1464" ht="78.0" customHeight="1">
      <c r="A1464" s="941">
        <v>907.0</v>
      </c>
      <c r="B1464" s="26"/>
      <c r="C1464" s="28"/>
      <c r="D1464" s="825"/>
      <c r="E1464" s="28"/>
      <c r="F1464" s="28"/>
      <c r="G1464" s="28"/>
      <c r="H1464" s="28"/>
      <c r="I1464" s="28"/>
      <c r="J1464" s="28"/>
      <c r="K1464" s="28"/>
      <c r="L1464" s="28"/>
      <c r="M1464" s="28"/>
      <c r="N1464" s="28"/>
      <c r="O1464" s="28"/>
      <c r="P1464" s="28"/>
      <c r="Q1464" s="28"/>
      <c r="R1464" s="28"/>
      <c r="S1464" s="28"/>
      <c r="T1464" s="28"/>
      <c r="U1464" s="28"/>
      <c r="V1464" s="28"/>
      <c r="W1464" s="28"/>
      <c r="X1464" s="28"/>
      <c r="Y1464" s="28"/>
      <c r="Z1464" s="28"/>
      <c r="AA1464" s="28"/>
      <c r="AB1464" s="28"/>
      <c r="AC1464" s="28"/>
    </row>
    <row r="1465" ht="78.0" customHeight="1">
      <c r="A1465" s="946">
        <v>906.0</v>
      </c>
      <c r="B1465" s="52"/>
      <c r="C1465" s="54"/>
      <c r="D1465" s="855"/>
      <c r="E1465" s="54"/>
      <c r="F1465" s="54"/>
      <c r="G1465" s="54"/>
      <c r="H1465" s="54"/>
      <c r="I1465" s="54"/>
      <c r="J1465" s="54"/>
      <c r="K1465" s="54"/>
      <c r="L1465" s="54"/>
      <c r="M1465" s="54"/>
      <c r="N1465" s="54"/>
      <c r="O1465" s="54"/>
      <c r="P1465" s="54"/>
      <c r="Q1465" s="54"/>
      <c r="R1465" s="54"/>
      <c r="S1465" s="54"/>
      <c r="T1465" s="54"/>
      <c r="U1465" s="54"/>
      <c r="V1465" s="54"/>
      <c r="W1465" s="54"/>
      <c r="X1465" s="54"/>
      <c r="Y1465" s="54"/>
      <c r="Z1465" s="54"/>
      <c r="AA1465" s="54"/>
      <c r="AB1465" s="54"/>
      <c r="AC1465" s="54"/>
    </row>
    <row r="1466" ht="78.0" customHeight="1">
      <c r="A1466" s="941">
        <v>905.0</v>
      </c>
      <c r="B1466" s="26"/>
      <c r="C1466" s="28"/>
      <c r="D1466" s="825"/>
      <c r="E1466" s="28"/>
      <c r="F1466" s="28"/>
      <c r="G1466" s="28"/>
      <c r="H1466" s="28"/>
      <c r="I1466" s="28"/>
      <c r="J1466" s="28"/>
      <c r="K1466" s="28"/>
      <c r="L1466" s="28"/>
      <c r="M1466" s="28"/>
      <c r="N1466" s="28"/>
      <c r="O1466" s="28"/>
      <c r="P1466" s="28"/>
      <c r="Q1466" s="28"/>
      <c r="R1466" s="28"/>
      <c r="S1466" s="28"/>
      <c r="T1466" s="28"/>
      <c r="U1466" s="28"/>
      <c r="V1466" s="28"/>
      <c r="W1466" s="28"/>
      <c r="X1466" s="28"/>
      <c r="Y1466" s="28"/>
      <c r="Z1466" s="28"/>
      <c r="AA1466" s="28"/>
      <c r="AB1466" s="28"/>
      <c r="AC1466" s="28"/>
    </row>
    <row r="1467" ht="78.0" customHeight="1">
      <c r="A1467" s="946">
        <v>904.0</v>
      </c>
      <c r="B1467" s="52"/>
      <c r="C1467" s="54"/>
      <c r="D1467" s="855"/>
      <c r="E1467" s="54"/>
      <c r="F1467" s="54"/>
      <c r="G1467" s="54"/>
      <c r="H1467" s="54"/>
      <c r="I1467" s="54"/>
      <c r="J1467" s="54"/>
      <c r="K1467" s="54"/>
      <c r="L1467" s="54"/>
      <c r="M1467" s="54"/>
      <c r="N1467" s="54"/>
      <c r="O1467" s="54"/>
      <c r="P1467" s="54"/>
      <c r="Q1467" s="54"/>
      <c r="R1467" s="54"/>
      <c r="S1467" s="54"/>
      <c r="T1467" s="54"/>
      <c r="U1467" s="54"/>
      <c r="V1467" s="54"/>
      <c r="W1467" s="54"/>
      <c r="X1467" s="54"/>
      <c r="Y1467" s="54"/>
      <c r="Z1467" s="54"/>
      <c r="AA1467" s="54"/>
      <c r="AB1467" s="54"/>
      <c r="AC1467" s="54"/>
    </row>
    <row r="1468" ht="78.0" customHeight="1">
      <c r="A1468" s="941">
        <v>903.0</v>
      </c>
      <c r="B1468" s="26"/>
      <c r="C1468" s="28"/>
      <c r="D1468" s="825"/>
      <c r="E1468" s="28"/>
      <c r="F1468" s="28"/>
      <c r="G1468" s="28"/>
      <c r="H1468" s="28"/>
      <c r="I1468" s="28"/>
      <c r="J1468" s="28"/>
      <c r="K1468" s="28"/>
      <c r="L1468" s="28"/>
      <c r="M1468" s="28"/>
      <c r="N1468" s="28"/>
      <c r="O1468" s="28"/>
      <c r="P1468" s="28"/>
      <c r="Q1468" s="28"/>
      <c r="R1468" s="28"/>
      <c r="S1468" s="28"/>
      <c r="T1468" s="28"/>
      <c r="U1468" s="28"/>
      <c r="V1468" s="28"/>
      <c r="W1468" s="28"/>
      <c r="X1468" s="28"/>
      <c r="Y1468" s="28"/>
      <c r="Z1468" s="28"/>
      <c r="AA1468" s="28"/>
      <c r="AB1468" s="28"/>
      <c r="AC1468" s="28"/>
    </row>
    <row r="1469" ht="78.0" customHeight="1">
      <c r="A1469" s="946">
        <v>902.0</v>
      </c>
      <c r="B1469" s="52"/>
      <c r="C1469" s="54"/>
      <c r="D1469" s="855"/>
      <c r="E1469" s="54"/>
      <c r="F1469" s="54"/>
      <c r="G1469" s="54"/>
      <c r="H1469" s="54"/>
      <c r="I1469" s="54"/>
      <c r="J1469" s="54"/>
      <c r="K1469" s="54"/>
      <c r="L1469" s="54"/>
      <c r="M1469" s="54"/>
      <c r="N1469" s="54"/>
      <c r="O1469" s="54"/>
      <c r="P1469" s="54"/>
      <c r="Q1469" s="54"/>
      <c r="R1469" s="54"/>
      <c r="S1469" s="54"/>
      <c r="T1469" s="54"/>
      <c r="U1469" s="54"/>
      <c r="V1469" s="54"/>
      <c r="W1469" s="54"/>
      <c r="X1469" s="54"/>
      <c r="Y1469" s="54"/>
      <c r="Z1469" s="54"/>
      <c r="AA1469" s="54"/>
      <c r="AB1469" s="54"/>
      <c r="AC1469" s="54"/>
    </row>
    <row r="1470" ht="78.0" customHeight="1">
      <c r="A1470" s="941">
        <v>901.0</v>
      </c>
      <c r="B1470" s="26"/>
      <c r="C1470" s="28"/>
      <c r="D1470" s="825"/>
      <c r="E1470" s="28"/>
      <c r="F1470" s="28"/>
      <c r="G1470" s="28"/>
      <c r="H1470" s="28"/>
      <c r="I1470" s="28"/>
      <c r="J1470" s="28"/>
      <c r="K1470" s="28"/>
      <c r="L1470" s="28"/>
      <c r="M1470" s="28"/>
      <c r="N1470" s="28"/>
      <c r="O1470" s="28"/>
      <c r="P1470" s="28"/>
      <c r="Q1470" s="28"/>
      <c r="R1470" s="28"/>
      <c r="S1470" s="28"/>
      <c r="T1470" s="28"/>
      <c r="U1470" s="28"/>
      <c r="V1470" s="28"/>
      <c r="W1470" s="28"/>
      <c r="X1470" s="28"/>
      <c r="Y1470" s="28"/>
      <c r="Z1470" s="28"/>
      <c r="AA1470" s="28"/>
      <c r="AB1470" s="28"/>
      <c r="AC1470" s="28"/>
    </row>
    <row r="1471" ht="78.0" customHeight="1">
      <c r="A1471" s="946">
        <v>900.0</v>
      </c>
      <c r="B1471" s="52"/>
      <c r="C1471" s="54"/>
      <c r="D1471" s="855"/>
      <c r="E1471" s="54"/>
      <c r="F1471" s="54"/>
      <c r="G1471" s="54"/>
      <c r="H1471" s="54"/>
      <c r="I1471" s="54"/>
      <c r="J1471" s="54"/>
      <c r="K1471" s="54"/>
      <c r="L1471" s="54"/>
      <c r="M1471" s="54"/>
      <c r="N1471" s="54"/>
      <c r="O1471" s="54"/>
      <c r="P1471" s="54"/>
      <c r="Q1471" s="54"/>
      <c r="R1471" s="54"/>
      <c r="S1471" s="54"/>
      <c r="T1471" s="54"/>
      <c r="U1471" s="54"/>
      <c r="V1471" s="54"/>
      <c r="W1471" s="54"/>
      <c r="X1471" s="54"/>
      <c r="Y1471" s="54"/>
      <c r="Z1471" s="54"/>
      <c r="AA1471" s="54"/>
      <c r="AB1471" s="54"/>
      <c r="AC1471" s="54"/>
    </row>
    <row r="1472" ht="78.0" customHeight="1">
      <c r="A1472" s="941">
        <v>899.0</v>
      </c>
      <c r="B1472" s="26"/>
      <c r="C1472" s="28"/>
      <c r="D1472" s="825"/>
      <c r="E1472" s="28"/>
      <c r="F1472" s="28"/>
      <c r="G1472" s="28"/>
      <c r="H1472" s="28"/>
      <c r="I1472" s="28"/>
      <c r="J1472" s="28"/>
      <c r="K1472" s="28"/>
      <c r="L1472" s="28"/>
      <c r="M1472" s="28"/>
      <c r="N1472" s="28"/>
      <c r="O1472" s="28"/>
      <c r="P1472" s="28"/>
      <c r="Q1472" s="28"/>
      <c r="R1472" s="28"/>
      <c r="S1472" s="28"/>
      <c r="T1472" s="28"/>
      <c r="U1472" s="28"/>
      <c r="V1472" s="28"/>
      <c r="W1472" s="28"/>
      <c r="X1472" s="28"/>
      <c r="Y1472" s="28"/>
      <c r="Z1472" s="28"/>
      <c r="AA1472" s="28"/>
      <c r="AB1472" s="28"/>
      <c r="AC1472" s="28"/>
    </row>
    <row r="1473" ht="78.0" customHeight="1">
      <c r="A1473" s="946">
        <v>898.0</v>
      </c>
      <c r="B1473" s="52"/>
      <c r="C1473" s="54"/>
      <c r="D1473" s="855"/>
      <c r="E1473" s="54"/>
      <c r="F1473" s="54"/>
      <c r="G1473" s="54"/>
      <c r="H1473" s="54"/>
      <c r="I1473" s="54"/>
      <c r="J1473" s="54"/>
      <c r="K1473" s="54"/>
      <c r="L1473" s="54"/>
      <c r="M1473" s="54"/>
      <c r="N1473" s="54"/>
      <c r="O1473" s="54"/>
      <c r="P1473" s="54"/>
      <c r="Q1473" s="54"/>
      <c r="R1473" s="54"/>
      <c r="S1473" s="54"/>
      <c r="T1473" s="54"/>
      <c r="U1473" s="54"/>
      <c r="V1473" s="54"/>
      <c r="W1473" s="54"/>
      <c r="X1473" s="54"/>
      <c r="Y1473" s="54"/>
      <c r="Z1473" s="54"/>
      <c r="AA1473" s="54"/>
      <c r="AB1473" s="54"/>
      <c r="AC1473" s="54"/>
    </row>
    <row r="1474" ht="78.0" customHeight="1">
      <c r="A1474" s="941">
        <v>897.0</v>
      </c>
      <c r="B1474" s="26"/>
      <c r="C1474" s="28"/>
      <c r="D1474" s="825"/>
      <c r="E1474" s="28"/>
      <c r="F1474" s="28"/>
      <c r="G1474" s="28"/>
      <c r="H1474" s="28"/>
      <c r="I1474" s="28"/>
      <c r="J1474" s="28"/>
      <c r="K1474" s="28"/>
      <c r="L1474" s="28"/>
      <c r="M1474" s="28"/>
      <c r="N1474" s="28"/>
      <c r="O1474" s="28"/>
      <c r="P1474" s="28"/>
      <c r="Q1474" s="28"/>
      <c r="R1474" s="28"/>
      <c r="S1474" s="28"/>
      <c r="T1474" s="28"/>
      <c r="U1474" s="28"/>
      <c r="V1474" s="28"/>
      <c r="W1474" s="28"/>
      <c r="X1474" s="28"/>
      <c r="Y1474" s="28"/>
      <c r="Z1474" s="28"/>
      <c r="AA1474" s="28"/>
      <c r="AB1474" s="28"/>
      <c r="AC1474" s="28"/>
    </row>
    <row r="1475" ht="78.0" customHeight="1">
      <c r="A1475" s="946">
        <v>896.0</v>
      </c>
      <c r="B1475" s="52"/>
      <c r="C1475" s="54"/>
      <c r="D1475" s="855"/>
      <c r="E1475" s="54"/>
      <c r="F1475" s="54"/>
      <c r="G1475" s="54"/>
      <c r="H1475" s="54"/>
      <c r="I1475" s="54"/>
      <c r="J1475" s="54"/>
      <c r="K1475" s="54"/>
      <c r="L1475" s="54"/>
      <c r="M1475" s="54"/>
      <c r="N1475" s="54"/>
      <c r="O1475" s="54"/>
      <c r="P1475" s="54"/>
      <c r="Q1475" s="54"/>
      <c r="R1475" s="54"/>
      <c r="S1475" s="54"/>
      <c r="T1475" s="54"/>
      <c r="U1475" s="54"/>
      <c r="V1475" s="54"/>
      <c r="W1475" s="54"/>
      <c r="X1475" s="54"/>
      <c r="Y1475" s="54"/>
      <c r="Z1475" s="54"/>
      <c r="AA1475" s="54"/>
      <c r="AB1475" s="54"/>
      <c r="AC1475" s="54"/>
    </row>
    <row r="1476" ht="78.0" customHeight="1">
      <c r="A1476" s="941">
        <v>895.0</v>
      </c>
      <c r="B1476" s="26"/>
      <c r="C1476" s="28"/>
      <c r="D1476" s="825"/>
      <c r="E1476" s="28"/>
      <c r="F1476" s="28"/>
      <c r="G1476" s="28"/>
      <c r="H1476" s="28"/>
      <c r="I1476" s="28"/>
      <c r="J1476" s="28"/>
      <c r="K1476" s="28"/>
      <c r="L1476" s="28"/>
      <c r="M1476" s="28"/>
      <c r="N1476" s="28"/>
      <c r="O1476" s="28"/>
      <c r="P1476" s="28"/>
      <c r="Q1476" s="28"/>
      <c r="R1476" s="28"/>
      <c r="S1476" s="28"/>
      <c r="T1476" s="28"/>
      <c r="U1476" s="28"/>
      <c r="V1476" s="28"/>
      <c r="W1476" s="28"/>
      <c r="X1476" s="28"/>
      <c r="Y1476" s="28"/>
      <c r="Z1476" s="28"/>
      <c r="AA1476" s="28"/>
      <c r="AB1476" s="28"/>
      <c r="AC1476" s="28"/>
    </row>
    <row r="1477" ht="78.0" customHeight="1">
      <c r="A1477" s="946">
        <v>894.0</v>
      </c>
      <c r="B1477" s="52"/>
      <c r="C1477" s="54"/>
      <c r="D1477" s="855"/>
      <c r="E1477" s="54"/>
      <c r="F1477" s="54"/>
      <c r="G1477" s="54"/>
      <c r="H1477" s="54"/>
      <c r="I1477" s="54"/>
      <c r="J1477" s="54"/>
      <c r="K1477" s="54"/>
      <c r="L1477" s="54"/>
      <c r="M1477" s="54"/>
      <c r="N1477" s="54"/>
      <c r="O1477" s="54"/>
      <c r="P1477" s="54"/>
      <c r="Q1477" s="54"/>
      <c r="R1477" s="54"/>
      <c r="S1477" s="54"/>
      <c r="T1477" s="54"/>
      <c r="U1477" s="54"/>
      <c r="V1477" s="54"/>
      <c r="W1477" s="54"/>
      <c r="X1477" s="54"/>
      <c r="Y1477" s="54"/>
      <c r="Z1477" s="54"/>
      <c r="AA1477" s="54"/>
      <c r="AB1477" s="54"/>
      <c r="AC1477" s="54"/>
    </row>
    <row r="1478" ht="78.0" customHeight="1">
      <c r="A1478" s="941">
        <v>893.0</v>
      </c>
      <c r="B1478" s="26"/>
      <c r="C1478" s="28"/>
      <c r="D1478" s="825"/>
      <c r="E1478" s="28"/>
      <c r="F1478" s="28"/>
      <c r="G1478" s="28"/>
      <c r="H1478" s="28"/>
      <c r="I1478" s="28"/>
      <c r="J1478" s="28"/>
      <c r="K1478" s="28"/>
      <c r="L1478" s="28"/>
      <c r="M1478" s="28"/>
      <c r="N1478" s="28"/>
      <c r="O1478" s="28"/>
      <c r="P1478" s="28"/>
      <c r="Q1478" s="28"/>
      <c r="R1478" s="28"/>
      <c r="S1478" s="28"/>
      <c r="T1478" s="28"/>
      <c r="U1478" s="28"/>
      <c r="V1478" s="28"/>
      <c r="W1478" s="28"/>
      <c r="X1478" s="28"/>
      <c r="Y1478" s="28"/>
      <c r="Z1478" s="28"/>
      <c r="AA1478" s="28"/>
      <c r="AB1478" s="28"/>
      <c r="AC1478" s="28"/>
    </row>
    <row r="1479" ht="78.0" customHeight="1">
      <c r="A1479" s="946">
        <v>892.0</v>
      </c>
      <c r="B1479" s="52"/>
      <c r="C1479" s="54"/>
      <c r="D1479" s="855"/>
      <c r="E1479" s="54"/>
      <c r="F1479" s="54"/>
      <c r="G1479" s="54"/>
      <c r="H1479" s="54"/>
      <c r="I1479" s="54"/>
      <c r="J1479" s="54"/>
      <c r="K1479" s="54"/>
      <c r="L1479" s="54"/>
      <c r="M1479" s="54"/>
      <c r="N1479" s="54"/>
      <c r="O1479" s="54"/>
      <c r="P1479" s="54"/>
      <c r="Q1479" s="54"/>
      <c r="R1479" s="54"/>
      <c r="S1479" s="54"/>
      <c r="T1479" s="54"/>
      <c r="U1479" s="54"/>
      <c r="V1479" s="54"/>
      <c r="W1479" s="54"/>
      <c r="X1479" s="54"/>
      <c r="Y1479" s="54"/>
      <c r="Z1479" s="54"/>
      <c r="AA1479" s="54"/>
      <c r="AB1479" s="54"/>
      <c r="AC1479" s="54"/>
    </row>
    <row r="1480" ht="78.0" customHeight="1">
      <c r="A1480" s="941">
        <v>891.0</v>
      </c>
      <c r="B1480" s="26"/>
      <c r="C1480" s="28"/>
      <c r="D1480" s="825"/>
      <c r="E1480" s="28"/>
      <c r="F1480" s="28"/>
      <c r="G1480" s="28"/>
      <c r="H1480" s="28"/>
      <c r="I1480" s="28"/>
      <c r="J1480" s="28"/>
      <c r="K1480" s="28"/>
      <c r="L1480" s="28"/>
      <c r="M1480" s="28"/>
      <c r="N1480" s="28"/>
      <c r="O1480" s="28"/>
      <c r="P1480" s="28"/>
      <c r="Q1480" s="28"/>
      <c r="R1480" s="28"/>
      <c r="S1480" s="28"/>
      <c r="T1480" s="28"/>
      <c r="U1480" s="28"/>
      <c r="V1480" s="28"/>
      <c r="W1480" s="28"/>
      <c r="X1480" s="28"/>
      <c r="Y1480" s="28"/>
      <c r="Z1480" s="28"/>
      <c r="AA1480" s="28"/>
      <c r="AB1480" s="28"/>
      <c r="AC1480" s="28"/>
    </row>
    <row r="1481" ht="78.0" customHeight="1">
      <c r="A1481" s="946">
        <v>890.0</v>
      </c>
      <c r="B1481" s="52"/>
      <c r="C1481" s="54"/>
      <c r="D1481" s="855"/>
      <c r="E1481" s="54"/>
      <c r="F1481" s="54"/>
      <c r="G1481" s="54"/>
      <c r="H1481" s="54"/>
      <c r="I1481" s="54"/>
      <c r="J1481" s="54"/>
      <c r="K1481" s="54"/>
      <c r="L1481" s="54"/>
      <c r="M1481" s="54"/>
      <c r="N1481" s="54"/>
      <c r="O1481" s="54"/>
      <c r="P1481" s="54"/>
      <c r="Q1481" s="54"/>
      <c r="R1481" s="54"/>
      <c r="S1481" s="54"/>
      <c r="T1481" s="54"/>
      <c r="U1481" s="54"/>
      <c r="V1481" s="54"/>
      <c r="W1481" s="54"/>
      <c r="X1481" s="54"/>
      <c r="Y1481" s="54"/>
      <c r="Z1481" s="54"/>
      <c r="AA1481" s="54"/>
      <c r="AB1481" s="54"/>
      <c r="AC1481" s="54"/>
    </row>
    <row r="1482" ht="78.0" customHeight="1">
      <c r="A1482" s="941">
        <v>889.0</v>
      </c>
      <c r="B1482" s="26"/>
      <c r="C1482" s="28"/>
      <c r="D1482" s="825"/>
      <c r="E1482" s="28"/>
      <c r="F1482" s="28"/>
      <c r="G1482" s="28"/>
      <c r="H1482" s="28"/>
      <c r="I1482" s="28"/>
      <c r="J1482" s="28"/>
      <c r="K1482" s="28"/>
      <c r="L1482" s="28"/>
      <c r="M1482" s="28"/>
      <c r="N1482" s="28"/>
      <c r="O1482" s="28"/>
      <c r="P1482" s="28"/>
      <c r="Q1482" s="28"/>
      <c r="R1482" s="28"/>
      <c r="S1482" s="28"/>
      <c r="T1482" s="28"/>
      <c r="U1482" s="28"/>
      <c r="V1482" s="28"/>
      <c r="W1482" s="28"/>
      <c r="X1482" s="28"/>
      <c r="Y1482" s="28"/>
      <c r="Z1482" s="28"/>
      <c r="AA1482" s="28"/>
      <c r="AB1482" s="28"/>
      <c r="AC1482" s="28"/>
    </row>
    <row r="1483" ht="78.0" customHeight="1">
      <c r="A1483" s="946">
        <v>888.0</v>
      </c>
      <c r="B1483" s="52"/>
      <c r="C1483" s="54"/>
      <c r="D1483" s="855"/>
      <c r="E1483" s="54"/>
      <c r="F1483" s="54"/>
      <c r="G1483" s="54"/>
      <c r="H1483" s="54"/>
      <c r="I1483" s="54"/>
      <c r="J1483" s="54"/>
      <c r="K1483" s="54"/>
      <c r="L1483" s="54"/>
      <c r="M1483" s="54"/>
      <c r="N1483" s="54"/>
      <c r="O1483" s="54"/>
      <c r="P1483" s="54"/>
      <c r="Q1483" s="54"/>
      <c r="R1483" s="54"/>
      <c r="S1483" s="54"/>
      <c r="T1483" s="54"/>
      <c r="U1483" s="54"/>
      <c r="V1483" s="54"/>
      <c r="W1483" s="54"/>
      <c r="X1483" s="54"/>
      <c r="Y1483" s="54"/>
      <c r="Z1483" s="54"/>
      <c r="AA1483" s="54"/>
      <c r="AB1483" s="54"/>
      <c r="AC1483" s="54"/>
    </row>
    <row r="1484" ht="78.0" customHeight="1">
      <c r="A1484" s="941">
        <v>887.0</v>
      </c>
      <c r="B1484" s="26"/>
      <c r="C1484" s="28"/>
      <c r="D1484" s="825"/>
      <c r="E1484" s="28"/>
      <c r="F1484" s="28"/>
      <c r="G1484" s="28"/>
      <c r="H1484" s="28"/>
      <c r="I1484" s="28"/>
      <c r="J1484" s="28"/>
      <c r="K1484" s="28"/>
      <c r="L1484" s="28"/>
      <c r="M1484" s="28"/>
      <c r="N1484" s="28"/>
      <c r="O1484" s="28"/>
      <c r="P1484" s="28"/>
      <c r="Q1484" s="28"/>
      <c r="R1484" s="28"/>
      <c r="S1484" s="28"/>
      <c r="T1484" s="28"/>
      <c r="U1484" s="28"/>
      <c r="V1484" s="28"/>
      <c r="W1484" s="28"/>
      <c r="X1484" s="28"/>
      <c r="Y1484" s="28"/>
      <c r="Z1484" s="28"/>
      <c r="AA1484" s="28"/>
      <c r="AB1484" s="28"/>
      <c r="AC1484" s="28"/>
    </row>
    <row r="1485" ht="78.0" customHeight="1">
      <c r="A1485" s="946">
        <v>886.0</v>
      </c>
      <c r="B1485" s="52"/>
      <c r="C1485" s="54"/>
      <c r="D1485" s="855"/>
      <c r="E1485" s="54"/>
      <c r="F1485" s="54"/>
      <c r="G1485" s="54"/>
      <c r="H1485" s="54"/>
      <c r="I1485" s="54"/>
      <c r="J1485" s="54"/>
      <c r="K1485" s="54"/>
      <c r="L1485" s="54"/>
      <c r="M1485" s="54"/>
      <c r="N1485" s="54"/>
      <c r="O1485" s="54"/>
      <c r="P1485" s="54"/>
      <c r="Q1485" s="54"/>
      <c r="R1485" s="54"/>
      <c r="S1485" s="54"/>
      <c r="T1485" s="54"/>
      <c r="U1485" s="54"/>
      <c r="V1485" s="54"/>
      <c r="W1485" s="54"/>
      <c r="X1485" s="54"/>
      <c r="Y1485" s="54"/>
      <c r="Z1485" s="54"/>
      <c r="AA1485" s="54"/>
      <c r="AB1485" s="54"/>
      <c r="AC1485" s="54"/>
    </row>
    <row r="1486" ht="78.0" customHeight="1">
      <c r="A1486" s="941">
        <v>885.0</v>
      </c>
      <c r="B1486" s="26"/>
      <c r="C1486" s="28"/>
      <c r="D1486" s="825"/>
      <c r="E1486" s="28"/>
      <c r="F1486" s="28"/>
      <c r="G1486" s="28"/>
      <c r="H1486" s="28"/>
      <c r="I1486" s="28"/>
      <c r="J1486" s="28"/>
      <c r="K1486" s="28"/>
      <c r="L1486" s="28"/>
      <c r="M1486" s="28"/>
      <c r="N1486" s="28"/>
      <c r="O1486" s="28"/>
      <c r="P1486" s="28"/>
      <c r="Q1486" s="28"/>
      <c r="R1486" s="28"/>
      <c r="S1486" s="28"/>
      <c r="T1486" s="28"/>
      <c r="U1486" s="28"/>
      <c r="V1486" s="28"/>
      <c r="W1486" s="28"/>
      <c r="X1486" s="28"/>
      <c r="Y1486" s="28"/>
      <c r="Z1486" s="28"/>
      <c r="AA1486" s="28"/>
      <c r="AB1486" s="28"/>
      <c r="AC1486" s="28"/>
    </row>
    <row r="1487" ht="78.0" customHeight="1">
      <c r="A1487" s="946">
        <v>884.0</v>
      </c>
      <c r="B1487" s="52"/>
      <c r="C1487" s="54"/>
      <c r="D1487" s="855"/>
      <c r="E1487" s="54"/>
      <c r="F1487" s="54"/>
      <c r="G1487" s="54"/>
      <c r="H1487" s="54"/>
      <c r="I1487" s="54"/>
      <c r="J1487" s="54"/>
      <c r="K1487" s="54"/>
      <c r="L1487" s="54"/>
      <c r="M1487" s="54"/>
      <c r="N1487" s="54"/>
      <c r="O1487" s="54"/>
      <c r="P1487" s="54"/>
      <c r="Q1487" s="54"/>
      <c r="R1487" s="54"/>
      <c r="S1487" s="54"/>
      <c r="T1487" s="54"/>
      <c r="U1487" s="54"/>
      <c r="V1487" s="54"/>
      <c r="W1487" s="54"/>
      <c r="X1487" s="54"/>
      <c r="Y1487" s="54"/>
      <c r="Z1487" s="54"/>
      <c r="AA1487" s="54"/>
      <c r="AB1487" s="54"/>
      <c r="AC1487" s="54"/>
    </row>
    <row r="1488" ht="78.0" customHeight="1">
      <c r="A1488" s="941">
        <v>883.0</v>
      </c>
      <c r="B1488" s="26"/>
      <c r="C1488" s="28"/>
      <c r="D1488" s="825"/>
      <c r="E1488" s="28"/>
      <c r="F1488" s="28"/>
      <c r="G1488" s="28"/>
      <c r="H1488" s="28"/>
      <c r="I1488" s="28"/>
      <c r="J1488" s="28"/>
      <c r="K1488" s="28"/>
      <c r="L1488" s="28"/>
      <c r="M1488" s="28"/>
      <c r="N1488" s="28"/>
      <c r="O1488" s="28"/>
      <c r="P1488" s="28"/>
      <c r="Q1488" s="28"/>
      <c r="R1488" s="28"/>
      <c r="S1488" s="28"/>
      <c r="T1488" s="28"/>
      <c r="U1488" s="28"/>
      <c r="V1488" s="28"/>
      <c r="W1488" s="28"/>
      <c r="X1488" s="28"/>
      <c r="Y1488" s="28"/>
      <c r="Z1488" s="28"/>
      <c r="AA1488" s="28"/>
      <c r="AB1488" s="28"/>
      <c r="AC1488" s="28"/>
    </row>
    <row r="1489" ht="78.0" customHeight="1">
      <c r="A1489" s="946">
        <v>882.0</v>
      </c>
      <c r="B1489" s="52"/>
      <c r="C1489" s="54"/>
      <c r="D1489" s="855"/>
      <c r="E1489" s="54"/>
      <c r="F1489" s="54"/>
      <c r="G1489" s="54"/>
      <c r="H1489" s="54"/>
      <c r="I1489" s="54"/>
      <c r="J1489" s="54"/>
      <c r="K1489" s="54"/>
      <c r="L1489" s="54"/>
      <c r="M1489" s="54"/>
      <c r="N1489" s="54"/>
      <c r="O1489" s="54"/>
      <c r="P1489" s="54"/>
      <c r="Q1489" s="54"/>
      <c r="R1489" s="54"/>
      <c r="S1489" s="54"/>
      <c r="T1489" s="54"/>
      <c r="U1489" s="54"/>
      <c r="V1489" s="54"/>
      <c r="W1489" s="54"/>
      <c r="X1489" s="54"/>
      <c r="Y1489" s="54"/>
      <c r="Z1489" s="54"/>
      <c r="AA1489" s="54"/>
      <c r="AB1489" s="54"/>
      <c r="AC1489" s="54"/>
    </row>
    <row r="1490" ht="78.0" customHeight="1">
      <c r="A1490" s="941">
        <v>881.0</v>
      </c>
      <c r="B1490" s="26"/>
      <c r="C1490" s="28"/>
      <c r="D1490" s="825"/>
      <c r="E1490" s="28"/>
      <c r="F1490" s="28"/>
      <c r="G1490" s="28"/>
      <c r="H1490" s="28"/>
      <c r="I1490" s="28"/>
      <c r="J1490" s="28"/>
      <c r="K1490" s="28"/>
      <c r="L1490" s="28"/>
      <c r="M1490" s="28"/>
      <c r="N1490" s="28"/>
      <c r="O1490" s="28"/>
      <c r="P1490" s="28"/>
      <c r="Q1490" s="28"/>
      <c r="R1490" s="28"/>
      <c r="S1490" s="28"/>
      <c r="T1490" s="28"/>
      <c r="U1490" s="28"/>
      <c r="V1490" s="28"/>
      <c r="W1490" s="28"/>
      <c r="X1490" s="28"/>
      <c r="Y1490" s="28"/>
      <c r="Z1490" s="28"/>
      <c r="AA1490" s="28"/>
      <c r="AB1490" s="28"/>
      <c r="AC1490" s="28"/>
    </row>
    <row r="1491" ht="78.0" customHeight="1">
      <c r="A1491" s="946">
        <v>880.0</v>
      </c>
      <c r="B1491" s="52"/>
      <c r="C1491" s="54"/>
      <c r="D1491" s="855"/>
      <c r="E1491" s="54"/>
      <c r="F1491" s="54"/>
      <c r="G1491" s="54"/>
      <c r="H1491" s="54"/>
      <c r="I1491" s="54"/>
      <c r="J1491" s="54"/>
      <c r="K1491" s="54"/>
      <c r="L1491" s="54"/>
      <c r="M1491" s="54"/>
      <c r="N1491" s="54"/>
      <c r="O1491" s="54"/>
      <c r="P1491" s="54"/>
      <c r="Q1491" s="54"/>
      <c r="R1491" s="54"/>
      <c r="S1491" s="54"/>
      <c r="T1491" s="54"/>
      <c r="U1491" s="54"/>
      <c r="V1491" s="54"/>
      <c r="W1491" s="54"/>
      <c r="X1491" s="54"/>
      <c r="Y1491" s="54"/>
      <c r="Z1491" s="54"/>
      <c r="AA1491" s="54"/>
      <c r="AB1491" s="54"/>
      <c r="AC1491" s="54"/>
    </row>
    <row r="1492" ht="78.0" customHeight="1">
      <c r="A1492" s="941">
        <v>879.0</v>
      </c>
      <c r="B1492" s="26"/>
      <c r="C1492" s="28"/>
      <c r="D1492" s="825"/>
      <c r="E1492" s="28"/>
      <c r="F1492" s="28"/>
      <c r="G1492" s="28"/>
      <c r="H1492" s="28"/>
      <c r="I1492" s="28"/>
      <c r="J1492" s="28"/>
      <c r="K1492" s="28"/>
      <c r="L1492" s="28"/>
      <c r="M1492" s="28"/>
      <c r="N1492" s="28"/>
      <c r="O1492" s="28"/>
      <c r="P1492" s="28"/>
      <c r="Q1492" s="28"/>
      <c r="R1492" s="28"/>
      <c r="S1492" s="28"/>
      <c r="T1492" s="28"/>
      <c r="U1492" s="28"/>
      <c r="V1492" s="28"/>
      <c r="W1492" s="28"/>
      <c r="X1492" s="28"/>
      <c r="Y1492" s="28"/>
      <c r="Z1492" s="28"/>
      <c r="AA1492" s="28"/>
      <c r="AB1492" s="28"/>
      <c r="AC1492" s="28"/>
    </row>
    <row r="1493" ht="78.0" customHeight="1">
      <c r="A1493" s="433" t="s">
        <v>7083</v>
      </c>
      <c r="B1493" s="434" t="s">
        <v>7084</v>
      </c>
      <c r="C1493" s="428"/>
      <c r="D1493" s="427" t="s">
        <v>7085</v>
      </c>
      <c r="E1493" s="428"/>
      <c r="F1493" s="428"/>
      <c r="G1493" s="428"/>
      <c r="H1493" s="428"/>
      <c r="I1493" s="428"/>
      <c r="J1493" s="428"/>
      <c r="K1493" s="432"/>
      <c r="L1493" s="432"/>
      <c r="M1493" s="432"/>
      <c r="N1493" s="432"/>
      <c r="O1493" s="432"/>
      <c r="P1493" s="432"/>
      <c r="Q1493" s="432"/>
      <c r="R1493" s="432"/>
      <c r="S1493" s="432"/>
      <c r="T1493" s="432"/>
      <c r="U1493" s="432"/>
      <c r="V1493" s="432"/>
      <c r="W1493" s="432"/>
      <c r="X1493" s="54"/>
      <c r="Y1493" s="54"/>
      <c r="Z1493" s="54"/>
      <c r="AA1493" s="54"/>
      <c r="AB1493" s="54"/>
      <c r="AC1493" s="54"/>
    </row>
    <row r="1494" ht="78.0" customHeight="1">
      <c r="A1494" s="438" t="s">
        <v>7083</v>
      </c>
      <c r="B1494" s="414" t="s">
        <v>7086</v>
      </c>
      <c r="C1494" s="1088" t="s">
        <v>7087</v>
      </c>
      <c r="D1494" s="414" t="s">
        <v>7088</v>
      </c>
      <c r="E1494" s="414" t="s">
        <v>7089</v>
      </c>
      <c r="F1494" s="42" t="s">
        <v>7090</v>
      </c>
      <c r="G1494" s="42"/>
      <c r="H1494" s="42"/>
      <c r="I1494" s="42"/>
      <c r="J1494" s="42"/>
      <c r="K1494" s="44"/>
      <c r="L1494" s="44"/>
      <c r="M1494" s="44"/>
      <c r="N1494" s="44"/>
      <c r="O1494" s="44"/>
      <c r="P1494" s="44"/>
      <c r="Q1494" s="44"/>
      <c r="R1494" s="44"/>
      <c r="S1494" s="44"/>
      <c r="T1494" s="44"/>
      <c r="U1494" s="44"/>
      <c r="V1494" s="44"/>
      <c r="W1494" s="44"/>
      <c r="X1494" s="28"/>
      <c r="Y1494" s="28"/>
      <c r="Z1494" s="28"/>
      <c r="AA1494" s="28"/>
      <c r="AB1494" s="28"/>
      <c r="AC1494" s="28"/>
    </row>
    <row r="1495" ht="78.0" customHeight="1">
      <c r="A1495" s="58"/>
      <c r="B1495" s="6"/>
      <c r="C1495" s="1089"/>
      <c r="D1495" s="6"/>
      <c r="E1495" s="76"/>
      <c r="F1495" s="9"/>
      <c r="G1495" s="11"/>
      <c r="H1495" s="11"/>
      <c r="I1495" s="13"/>
      <c r="J1495" s="13"/>
      <c r="K1495" s="13"/>
      <c r="L1495" s="13"/>
      <c r="M1495" s="13"/>
      <c r="N1495" s="13"/>
      <c r="O1495" s="13"/>
      <c r="P1495" s="13"/>
      <c r="Q1495" s="13"/>
      <c r="R1495" s="13"/>
      <c r="S1495" s="13"/>
      <c r="T1495" s="13"/>
      <c r="U1495" s="13"/>
      <c r="V1495" s="16"/>
      <c r="W1495" s="16"/>
      <c r="X1495" s="16"/>
      <c r="Y1495" s="16"/>
      <c r="Z1495" s="16"/>
      <c r="AA1495" s="16"/>
    </row>
    <row r="1496" ht="78.0" customHeight="1">
      <c r="A1496" s="58"/>
      <c r="B1496" s="6" t="s">
        <v>7092</v>
      </c>
      <c r="C1496" s="76"/>
      <c r="D1496" s="6" t="s">
        <v>7093</v>
      </c>
      <c r="E1496" s="9"/>
      <c r="F1496" s="73"/>
      <c r="G1496" s="9"/>
      <c r="H1496" s="11"/>
      <c r="I1496" s="11"/>
      <c r="J1496" s="13"/>
      <c r="K1496" s="13"/>
      <c r="L1496" s="13"/>
      <c r="M1496" s="13"/>
      <c r="N1496" s="13"/>
      <c r="O1496" s="13"/>
      <c r="P1496" s="13"/>
      <c r="Q1496" s="13"/>
      <c r="R1496" s="13"/>
      <c r="S1496" s="13"/>
      <c r="T1496" s="13"/>
      <c r="U1496" s="13"/>
      <c r="V1496" s="13"/>
      <c r="W1496" s="16"/>
      <c r="X1496" s="16"/>
      <c r="Y1496" s="16"/>
      <c r="Z1496" s="16"/>
      <c r="AA1496" s="16"/>
      <c r="AB1496" s="16"/>
    </row>
    <row r="1497" ht="78.0" customHeight="1">
      <c r="A1497" s="58"/>
      <c r="B1497" s="6" t="s">
        <v>7094</v>
      </c>
      <c r="C1497" s="76"/>
      <c r="D1497" s="130" t="s">
        <v>7095</v>
      </c>
      <c r="E1497" s="9"/>
      <c r="F1497" s="73"/>
      <c r="G1497" s="9"/>
      <c r="H1497" s="11"/>
      <c r="I1497" s="11"/>
      <c r="J1497" s="13"/>
      <c r="K1497" s="13"/>
      <c r="L1497" s="13"/>
      <c r="M1497" s="13"/>
      <c r="N1497" s="13"/>
      <c r="O1497" s="13"/>
      <c r="P1497" s="13"/>
      <c r="Q1497" s="13"/>
      <c r="R1497" s="13"/>
      <c r="S1497" s="13"/>
      <c r="T1497" s="13"/>
      <c r="U1497" s="13"/>
      <c r="V1497" s="13"/>
      <c r="W1497" s="16"/>
      <c r="X1497" s="16"/>
      <c r="Y1497" s="16"/>
      <c r="Z1497" s="16"/>
      <c r="AA1497" s="16"/>
      <c r="AB1497" s="16"/>
    </row>
    <row r="1498" ht="78.0" customHeight="1">
      <c r="A1498" s="58"/>
      <c r="C1498" s="76"/>
      <c r="D1498" s="130" t="s">
        <v>7097</v>
      </c>
      <c r="E1498" s="9" t="s">
        <v>7098</v>
      </c>
      <c r="F1498" s="73"/>
      <c r="G1498" s="9"/>
      <c r="H1498" s="11"/>
      <c r="I1498" s="11"/>
      <c r="J1498" s="13"/>
      <c r="K1498" s="13"/>
      <c r="L1498" s="13"/>
      <c r="M1498" s="13"/>
      <c r="N1498" s="13"/>
      <c r="O1498" s="13"/>
      <c r="P1498" s="13"/>
      <c r="Q1498" s="13"/>
      <c r="R1498" s="13"/>
      <c r="S1498" s="13"/>
      <c r="T1498" s="13"/>
      <c r="U1498" s="13"/>
      <c r="V1498" s="13"/>
      <c r="W1498" s="16"/>
      <c r="X1498" s="16"/>
      <c r="Y1498" s="16"/>
      <c r="Z1498" s="16"/>
      <c r="AA1498" s="16"/>
      <c r="AB1498" s="16"/>
    </row>
    <row r="1499" ht="78.0" customHeight="1">
      <c r="A1499" s="32"/>
      <c r="B1499" s="34" t="s">
        <v>7099</v>
      </c>
      <c r="C1499" s="36"/>
      <c r="D1499" s="38" t="s">
        <v>7100</v>
      </c>
      <c r="E1499" s="34"/>
      <c r="F1499" s="42"/>
      <c r="G1499" s="42"/>
      <c r="H1499" s="42"/>
      <c r="I1499" s="42"/>
      <c r="J1499" s="42"/>
      <c r="K1499" s="44"/>
      <c r="L1499" s="44"/>
      <c r="M1499" s="44"/>
      <c r="N1499" s="44"/>
      <c r="O1499" s="44"/>
      <c r="P1499" s="44"/>
      <c r="Q1499" s="44"/>
      <c r="R1499" s="44"/>
      <c r="S1499" s="44"/>
      <c r="T1499" s="44"/>
      <c r="U1499" s="44"/>
      <c r="V1499" s="44"/>
      <c r="W1499" s="44"/>
      <c r="X1499" s="28"/>
      <c r="Y1499" s="28"/>
      <c r="Z1499" s="28"/>
      <c r="AA1499" s="28"/>
      <c r="AB1499" s="28"/>
      <c r="AC1499" s="28"/>
    </row>
    <row r="1500" ht="78.0" customHeight="1">
      <c r="A1500" s="32"/>
      <c r="B1500" s="34" t="s">
        <v>7101</v>
      </c>
      <c r="C1500" s="36"/>
      <c r="D1500" s="38" t="s">
        <v>7102</v>
      </c>
      <c r="E1500" s="34" t="s">
        <v>7103</v>
      </c>
      <c r="F1500" s="42"/>
      <c r="G1500" s="42"/>
      <c r="H1500" s="42"/>
      <c r="I1500" s="42"/>
      <c r="J1500" s="42"/>
      <c r="K1500" s="44"/>
      <c r="L1500" s="44"/>
      <c r="M1500" s="44"/>
      <c r="N1500" s="44"/>
      <c r="O1500" s="44"/>
      <c r="P1500" s="44"/>
      <c r="Q1500" s="44"/>
      <c r="R1500" s="44"/>
      <c r="S1500" s="44"/>
      <c r="T1500" s="44"/>
      <c r="U1500" s="44"/>
      <c r="V1500" s="44"/>
      <c r="W1500" s="44"/>
      <c r="X1500" s="28"/>
      <c r="Y1500" s="28"/>
      <c r="Z1500" s="28"/>
      <c r="AA1500" s="28"/>
      <c r="AB1500" s="28"/>
      <c r="AC1500" s="28"/>
    </row>
    <row r="1501" ht="78.0" customHeight="1">
      <c r="A1501" s="32"/>
      <c r="B1501" s="34" t="s">
        <v>7104</v>
      </c>
      <c r="C1501" s="42"/>
      <c r="D1501" s="34" t="s">
        <v>7105</v>
      </c>
      <c r="E1501" s="42"/>
      <c r="F1501" s="42"/>
      <c r="G1501" s="42"/>
      <c r="H1501" s="42"/>
      <c r="I1501" s="42"/>
      <c r="J1501" s="42"/>
      <c r="K1501" s="44"/>
      <c r="L1501" s="44"/>
      <c r="M1501" s="44"/>
      <c r="N1501" s="44"/>
      <c r="O1501" s="44"/>
      <c r="P1501" s="44"/>
      <c r="Q1501" s="44"/>
      <c r="R1501" s="44"/>
      <c r="S1501" s="44"/>
      <c r="T1501" s="44"/>
      <c r="U1501" s="44"/>
      <c r="V1501" s="44"/>
      <c r="W1501" s="44"/>
      <c r="X1501" s="28"/>
      <c r="Y1501" s="28"/>
      <c r="Z1501" s="28"/>
      <c r="AA1501" s="28"/>
      <c r="AB1501" s="28"/>
      <c r="AC1501" s="28"/>
    </row>
    <row r="1502" ht="78.0" customHeight="1">
      <c r="A1502" s="32"/>
      <c r="B1502" s="34" t="s">
        <v>7106</v>
      </c>
      <c r="C1502" s="42"/>
      <c r="D1502" s="414"/>
      <c r="E1502" s="42"/>
      <c r="F1502" s="42"/>
      <c r="G1502" s="42"/>
      <c r="H1502" s="42"/>
      <c r="I1502" s="42"/>
      <c r="J1502" s="42"/>
      <c r="K1502" s="44"/>
      <c r="L1502" s="44"/>
      <c r="M1502" s="44"/>
      <c r="N1502" s="44"/>
      <c r="O1502" s="44"/>
      <c r="P1502" s="44"/>
      <c r="Q1502" s="44"/>
      <c r="R1502" s="44"/>
      <c r="S1502" s="44"/>
      <c r="T1502" s="44"/>
      <c r="U1502" s="44"/>
      <c r="V1502" s="44"/>
      <c r="W1502" s="44"/>
      <c r="X1502" s="28"/>
      <c r="Y1502" s="28"/>
      <c r="Z1502" s="28"/>
      <c r="AA1502" s="28"/>
      <c r="AB1502" s="28"/>
      <c r="AC1502" s="28"/>
    </row>
    <row r="1503" ht="78.0" customHeight="1">
      <c r="A1503" s="1090"/>
      <c r="B1503" s="427" t="s">
        <v>7107</v>
      </c>
      <c r="C1503" s="428"/>
      <c r="D1503" s="427"/>
      <c r="E1503" s="428"/>
      <c r="F1503" s="428"/>
      <c r="G1503" s="428"/>
      <c r="H1503" s="428"/>
      <c r="I1503" s="428"/>
      <c r="J1503" s="428"/>
      <c r="K1503" s="432"/>
      <c r="L1503" s="432"/>
      <c r="M1503" s="432"/>
      <c r="N1503" s="432"/>
      <c r="O1503" s="432"/>
      <c r="P1503" s="432"/>
      <c r="Q1503" s="432"/>
      <c r="R1503" s="432"/>
      <c r="S1503" s="432"/>
      <c r="T1503" s="432"/>
      <c r="U1503" s="432"/>
      <c r="V1503" s="432"/>
      <c r="W1503" s="432"/>
      <c r="X1503" s="54"/>
      <c r="Y1503" s="54"/>
      <c r="Z1503" s="54"/>
      <c r="AA1503" s="54"/>
      <c r="AB1503" s="54"/>
      <c r="AC1503" s="54"/>
    </row>
    <row r="1504" ht="78.0" customHeight="1">
      <c r="A1504" s="1090"/>
      <c r="B1504" s="427" t="s">
        <v>7108</v>
      </c>
      <c r="C1504" s="427" t="s">
        <v>7109</v>
      </c>
      <c r="D1504" s="427"/>
      <c r="E1504" s="428"/>
      <c r="F1504" s="427" t="s">
        <v>7110</v>
      </c>
      <c r="G1504" s="428"/>
      <c r="H1504" s="428"/>
      <c r="I1504" s="428"/>
      <c r="J1504" s="428"/>
      <c r="K1504" s="432"/>
      <c r="L1504" s="432"/>
      <c r="M1504" s="432"/>
      <c r="N1504" s="432"/>
      <c r="O1504" s="432"/>
      <c r="P1504" s="432"/>
      <c r="Q1504" s="432"/>
      <c r="R1504" s="432"/>
      <c r="S1504" s="432"/>
      <c r="T1504" s="432"/>
      <c r="U1504" s="432"/>
      <c r="V1504" s="432"/>
      <c r="W1504" s="432"/>
      <c r="X1504" s="54"/>
      <c r="Y1504" s="54"/>
      <c r="Z1504" s="54"/>
      <c r="AA1504" s="54"/>
      <c r="AB1504" s="54"/>
      <c r="AC1504" s="54"/>
    </row>
    <row r="1505" ht="78.0" customHeight="1">
      <c r="A1505" s="1090"/>
      <c r="B1505" s="427" t="s">
        <v>7112</v>
      </c>
      <c r="C1505" s="427" t="s">
        <v>7113</v>
      </c>
      <c r="D1505" s="427"/>
      <c r="E1505" s="428"/>
      <c r="F1505" s="427" t="s">
        <v>7114</v>
      </c>
      <c r="G1505" s="427" t="s">
        <v>7115</v>
      </c>
      <c r="H1505" s="427" t="s">
        <v>7116</v>
      </c>
      <c r="I1505" s="428"/>
      <c r="J1505" s="428"/>
      <c r="K1505" s="432"/>
      <c r="L1505" s="432"/>
      <c r="M1505" s="432"/>
      <c r="N1505" s="432"/>
      <c r="O1505" s="432"/>
      <c r="P1505" s="432"/>
      <c r="Q1505" s="432"/>
      <c r="R1505" s="432"/>
      <c r="S1505" s="432"/>
      <c r="T1505" s="432"/>
      <c r="U1505" s="432"/>
      <c r="V1505" s="432"/>
      <c r="W1505" s="432"/>
      <c r="X1505" s="54"/>
      <c r="Y1505" s="54"/>
      <c r="Z1505" s="54"/>
      <c r="AA1505" s="54"/>
      <c r="AB1505" s="54"/>
      <c r="AC1505" s="54"/>
    </row>
    <row r="1506" ht="78.0" customHeight="1">
      <c r="A1506" s="1091"/>
      <c r="B1506" s="414" t="s">
        <v>7117</v>
      </c>
      <c r="C1506" s="414" t="s">
        <v>7118</v>
      </c>
      <c r="D1506" s="414"/>
      <c r="E1506" s="42"/>
      <c r="F1506" s="414" t="s">
        <v>7119</v>
      </c>
      <c r="G1506" s="414" t="s">
        <v>7120</v>
      </c>
      <c r="H1506" s="42"/>
      <c r="I1506" s="42"/>
      <c r="J1506" s="42"/>
      <c r="K1506" s="44"/>
      <c r="L1506" s="44"/>
      <c r="M1506" s="44"/>
      <c r="N1506" s="44"/>
      <c r="O1506" s="44"/>
      <c r="P1506" s="44"/>
      <c r="Q1506" s="44"/>
      <c r="R1506" s="44"/>
      <c r="S1506" s="44"/>
      <c r="T1506" s="44"/>
      <c r="U1506" s="44"/>
      <c r="V1506" s="44"/>
      <c r="W1506" s="44"/>
      <c r="X1506" s="28"/>
      <c r="Y1506" s="28"/>
      <c r="Z1506" s="28"/>
      <c r="AA1506" s="28"/>
      <c r="AB1506" s="28"/>
      <c r="AC1506" s="28"/>
    </row>
    <row r="1507" ht="78.0" customHeight="1">
      <c r="A1507" s="1090"/>
      <c r="B1507" s="427" t="s">
        <v>7121</v>
      </c>
      <c r="C1507" s="634" t="s">
        <v>2470</v>
      </c>
      <c r="D1507" s="427"/>
      <c r="E1507" s="428"/>
      <c r="F1507" s="427" t="s">
        <v>7123</v>
      </c>
      <c r="G1507" s="427" t="s">
        <v>7124</v>
      </c>
      <c r="H1507" s="428"/>
      <c r="I1507" s="428"/>
      <c r="J1507" s="428"/>
      <c r="K1507" s="432"/>
      <c r="L1507" s="432"/>
      <c r="M1507" s="432"/>
      <c r="N1507" s="432"/>
      <c r="O1507" s="432"/>
      <c r="P1507" s="432"/>
      <c r="Q1507" s="432"/>
      <c r="R1507" s="432"/>
      <c r="S1507" s="432"/>
      <c r="T1507" s="432"/>
      <c r="U1507" s="432"/>
      <c r="V1507" s="432"/>
      <c r="W1507" s="432"/>
      <c r="X1507" s="54"/>
      <c r="Y1507" s="54"/>
      <c r="Z1507" s="54"/>
      <c r="AA1507" s="54"/>
      <c r="AB1507" s="54"/>
      <c r="AC1507" s="54"/>
    </row>
    <row r="1508" ht="78.0" customHeight="1">
      <c r="A1508" s="1091"/>
      <c r="B1508" s="414" t="s">
        <v>7126</v>
      </c>
      <c r="C1508" s="1088" t="s">
        <v>7127</v>
      </c>
      <c r="D1508" s="414"/>
      <c r="E1508" s="42"/>
      <c r="F1508" s="414" t="s">
        <v>7128</v>
      </c>
      <c r="G1508" s="414" t="s">
        <v>7129</v>
      </c>
      <c r="H1508" s="414" t="s">
        <v>7130</v>
      </c>
      <c r="I1508" s="414" t="s">
        <v>7131</v>
      </c>
      <c r="J1508" s="42"/>
      <c r="K1508" s="44"/>
      <c r="L1508" s="44"/>
      <c r="M1508" s="44"/>
      <c r="N1508" s="44"/>
      <c r="O1508" s="44"/>
      <c r="P1508" s="44"/>
      <c r="Q1508" s="44"/>
      <c r="R1508" s="44"/>
      <c r="S1508" s="44"/>
      <c r="T1508" s="44"/>
      <c r="U1508" s="44"/>
      <c r="V1508" s="44"/>
      <c r="W1508" s="44"/>
      <c r="X1508" s="28"/>
      <c r="Y1508" s="28"/>
      <c r="Z1508" s="28"/>
      <c r="AA1508" s="28"/>
      <c r="AB1508" s="28"/>
      <c r="AC1508" s="28"/>
    </row>
    <row r="1509" ht="78.0" customHeight="1">
      <c r="A1509" s="1090"/>
      <c r="B1509" s="427" t="s">
        <v>7132</v>
      </c>
      <c r="C1509" s="634" t="s">
        <v>7133</v>
      </c>
      <c r="D1509" s="427"/>
      <c r="E1509" s="428"/>
      <c r="F1509" s="427" t="s">
        <v>7134</v>
      </c>
      <c r="G1509" s="427" t="s">
        <v>7135</v>
      </c>
      <c r="H1509" s="427" t="s">
        <v>7136</v>
      </c>
      <c r="I1509" s="427" t="s">
        <v>7137</v>
      </c>
      <c r="J1509" s="428"/>
      <c r="K1509" s="432"/>
      <c r="L1509" s="432"/>
      <c r="M1509" s="432"/>
      <c r="N1509" s="432"/>
      <c r="O1509" s="432"/>
      <c r="P1509" s="432"/>
      <c r="Q1509" s="432"/>
      <c r="R1509" s="432"/>
      <c r="S1509" s="432"/>
      <c r="T1509" s="432"/>
      <c r="U1509" s="432"/>
      <c r="V1509" s="432"/>
      <c r="W1509" s="432"/>
      <c r="X1509" s="54"/>
      <c r="Y1509" s="54"/>
      <c r="Z1509" s="54"/>
      <c r="AA1509" s="54"/>
      <c r="AB1509" s="54"/>
      <c r="AC1509" s="54"/>
    </row>
    <row r="1510" ht="78.0" customHeight="1">
      <c r="A1510" s="1091"/>
      <c r="B1510" s="579" t="s">
        <v>7139</v>
      </c>
      <c r="C1510" s="414" t="s">
        <v>7140</v>
      </c>
      <c r="D1510" s="414"/>
      <c r="E1510" s="42"/>
      <c r="F1510" s="42"/>
      <c r="G1510" s="42"/>
      <c r="H1510" s="42"/>
      <c r="I1510" s="42"/>
      <c r="J1510" s="42"/>
      <c r="K1510" s="44"/>
      <c r="L1510" s="44"/>
      <c r="M1510" s="44"/>
      <c r="N1510" s="44"/>
      <c r="O1510" s="44"/>
      <c r="P1510" s="44"/>
      <c r="Q1510" s="44"/>
      <c r="R1510" s="44"/>
      <c r="S1510" s="44"/>
      <c r="T1510" s="44"/>
      <c r="U1510" s="44"/>
      <c r="V1510" s="44"/>
      <c r="W1510" s="44"/>
      <c r="X1510" s="28"/>
      <c r="Y1510" s="28"/>
      <c r="Z1510" s="28"/>
      <c r="AA1510" s="28"/>
      <c r="AB1510" s="28"/>
      <c r="AC1510" s="28"/>
    </row>
    <row r="1511" ht="78.0" customHeight="1">
      <c r="A1511" s="1091"/>
      <c r="B1511" s="579" t="s">
        <v>7141</v>
      </c>
      <c r="C1511" s="414" t="s">
        <v>7142</v>
      </c>
      <c r="D1511" s="414"/>
      <c r="E1511" s="42"/>
      <c r="F1511" s="42"/>
      <c r="G1511" s="42"/>
      <c r="H1511" s="42"/>
      <c r="I1511" s="42"/>
      <c r="J1511" s="42"/>
      <c r="K1511" s="44"/>
      <c r="L1511" s="44"/>
      <c r="M1511" s="44"/>
      <c r="N1511" s="44"/>
      <c r="O1511" s="44"/>
      <c r="P1511" s="44"/>
      <c r="Q1511" s="44"/>
      <c r="R1511" s="44"/>
      <c r="S1511" s="44"/>
      <c r="T1511" s="44"/>
      <c r="U1511" s="44"/>
      <c r="V1511" s="44"/>
      <c r="W1511" s="44"/>
      <c r="X1511" s="28"/>
      <c r="Y1511" s="28"/>
      <c r="Z1511" s="28"/>
      <c r="AA1511" s="28"/>
      <c r="AB1511" s="28"/>
      <c r="AC1511" s="28"/>
    </row>
    <row r="1512" ht="78.0" customHeight="1">
      <c r="A1512" s="1090"/>
      <c r="B1512" s="573" t="s">
        <v>7143</v>
      </c>
      <c r="C1512" s="427" t="s">
        <v>7144</v>
      </c>
      <c r="D1512" s="427"/>
      <c r="E1512" s="428"/>
      <c r="F1512" s="427" t="s">
        <v>7145</v>
      </c>
      <c r="G1512" s="428"/>
      <c r="H1512" s="428"/>
      <c r="I1512" s="428"/>
      <c r="J1512" s="428"/>
      <c r="K1512" s="432"/>
      <c r="L1512" s="432"/>
      <c r="M1512" s="432"/>
      <c r="N1512" s="432"/>
      <c r="O1512" s="432"/>
      <c r="P1512" s="432"/>
      <c r="Q1512" s="432"/>
      <c r="R1512" s="432"/>
      <c r="S1512" s="432"/>
      <c r="T1512" s="432"/>
      <c r="U1512" s="432"/>
      <c r="V1512" s="432"/>
      <c r="W1512" s="432"/>
      <c r="X1512" s="54"/>
      <c r="Y1512" s="54"/>
      <c r="Z1512" s="54"/>
      <c r="AA1512" s="54"/>
      <c r="AB1512" s="54"/>
      <c r="AC1512" s="54"/>
    </row>
    <row r="1513" ht="78.0" customHeight="1">
      <c r="A1513" s="1090"/>
      <c r="B1513" s="573" t="s">
        <v>7147</v>
      </c>
      <c r="C1513" s="427" t="s">
        <v>7148</v>
      </c>
      <c r="D1513" s="427"/>
      <c r="E1513" s="428"/>
      <c r="F1513" s="428"/>
      <c r="G1513" s="428"/>
      <c r="H1513" s="428"/>
      <c r="I1513" s="428"/>
      <c r="J1513" s="428"/>
      <c r="K1513" s="432"/>
      <c r="L1513" s="432"/>
      <c r="M1513" s="432"/>
      <c r="N1513" s="432"/>
      <c r="O1513" s="432"/>
      <c r="P1513" s="432"/>
      <c r="Q1513" s="432"/>
      <c r="R1513" s="432"/>
      <c r="S1513" s="432"/>
      <c r="T1513" s="432"/>
      <c r="U1513" s="432"/>
      <c r="V1513" s="432"/>
      <c r="W1513" s="432"/>
      <c r="X1513" s="54"/>
      <c r="Y1513" s="54"/>
      <c r="Z1513" s="54"/>
      <c r="AA1513" s="54"/>
      <c r="AB1513" s="54"/>
      <c r="AC1513" s="54"/>
    </row>
    <row r="1514" ht="78.0" customHeight="1">
      <c r="A1514" s="1090"/>
      <c r="B1514" s="427" t="s">
        <v>7149</v>
      </c>
      <c r="C1514" s="427" t="s">
        <v>7150</v>
      </c>
      <c r="D1514" s="427"/>
      <c r="E1514" s="428"/>
      <c r="F1514" s="427" t="s">
        <v>7151</v>
      </c>
      <c r="G1514" s="427" t="s">
        <v>7152</v>
      </c>
      <c r="H1514" s="428"/>
      <c r="I1514" s="428"/>
      <c r="J1514" s="428"/>
      <c r="K1514" s="432"/>
      <c r="L1514" s="432"/>
      <c r="M1514" s="432"/>
      <c r="N1514" s="432"/>
      <c r="O1514" s="432"/>
      <c r="P1514" s="432"/>
      <c r="Q1514" s="432"/>
      <c r="R1514" s="432"/>
      <c r="S1514" s="432"/>
      <c r="T1514" s="432"/>
      <c r="U1514" s="432"/>
      <c r="V1514" s="432"/>
      <c r="W1514" s="432"/>
      <c r="X1514" s="54"/>
      <c r="Y1514" s="54"/>
      <c r="Z1514" s="54"/>
      <c r="AA1514" s="54"/>
      <c r="AB1514" s="54"/>
      <c r="AC1514" s="54"/>
    </row>
    <row r="1515" ht="78.0" customHeight="1">
      <c r="A1515" s="1091"/>
      <c r="B1515" s="414" t="s">
        <v>7153</v>
      </c>
      <c r="C1515" s="414" t="s">
        <v>7154</v>
      </c>
      <c r="D1515" s="414"/>
      <c r="E1515" s="42"/>
      <c r="F1515" s="414" t="s">
        <v>7155</v>
      </c>
      <c r="G1515" s="42"/>
      <c r="H1515" s="42"/>
      <c r="I1515" s="42"/>
      <c r="J1515" s="42"/>
      <c r="K1515" s="44"/>
      <c r="L1515" s="44"/>
      <c r="M1515" s="44"/>
      <c r="N1515" s="44"/>
      <c r="O1515" s="44"/>
      <c r="P1515" s="44"/>
      <c r="Q1515" s="44"/>
      <c r="R1515" s="44"/>
      <c r="S1515" s="44"/>
      <c r="T1515" s="44"/>
      <c r="U1515" s="44"/>
      <c r="V1515" s="44"/>
      <c r="W1515" s="44"/>
      <c r="X1515" s="28"/>
      <c r="Y1515" s="28"/>
      <c r="Z1515" s="28"/>
      <c r="AA1515" s="28"/>
      <c r="AB1515" s="28"/>
      <c r="AC1515" s="28"/>
    </row>
    <row r="1516" ht="78.0" customHeight="1">
      <c r="A1516" s="1090"/>
      <c r="B1516" s="427" t="s">
        <v>7157</v>
      </c>
      <c r="C1516" s="427" t="s">
        <v>7158</v>
      </c>
      <c r="D1516" s="427"/>
      <c r="E1516" s="428"/>
      <c r="F1516" s="427" t="s">
        <v>7159</v>
      </c>
      <c r="G1516" s="427" t="s">
        <v>7160</v>
      </c>
      <c r="H1516" s="428"/>
      <c r="I1516" s="428"/>
      <c r="J1516" s="428"/>
      <c r="K1516" s="432"/>
      <c r="L1516" s="432"/>
      <c r="M1516" s="432"/>
      <c r="N1516" s="432"/>
      <c r="O1516" s="432"/>
      <c r="P1516" s="432"/>
      <c r="Q1516" s="432"/>
      <c r="R1516" s="432"/>
      <c r="S1516" s="432"/>
      <c r="T1516" s="432"/>
      <c r="U1516" s="432"/>
      <c r="V1516" s="432"/>
      <c r="W1516" s="432"/>
      <c r="X1516" s="54"/>
      <c r="Y1516" s="54"/>
      <c r="Z1516" s="54"/>
      <c r="AA1516" s="54"/>
      <c r="AB1516" s="54"/>
      <c r="AC1516" s="54"/>
    </row>
    <row r="1517" ht="78.0" customHeight="1">
      <c r="A1517" s="1091"/>
      <c r="B1517" s="414" t="s">
        <v>7161</v>
      </c>
      <c r="C1517" s="414" t="s">
        <v>717</v>
      </c>
      <c r="D1517" s="414"/>
      <c r="E1517" s="42"/>
      <c r="F1517" s="42"/>
      <c r="G1517" s="42"/>
      <c r="H1517" s="42"/>
      <c r="I1517" s="42"/>
      <c r="J1517" s="42"/>
      <c r="K1517" s="44"/>
      <c r="L1517" s="44"/>
      <c r="M1517" s="44"/>
      <c r="N1517" s="44"/>
      <c r="O1517" s="44"/>
      <c r="P1517" s="44"/>
      <c r="Q1517" s="44"/>
      <c r="R1517" s="44"/>
      <c r="S1517" s="44"/>
      <c r="T1517" s="44"/>
      <c r="U1517" s="44"/>
      <c r="V1517" s="44"/>
      <c r="W1517" s="44"/>
      <c r="X1517" s="28"/>
      <c r="Y1517" s="28"/>
      <c r="Z1517" s="28"/>
      <c r="AA1517" s="28"/>
      <c r="AB1517" s="28"/>
      <c r="AC1517" s="28"/>
    </row>
    <row r="1518" ht="78.0" customHeight="1">
      <c r="A1518" s="1090"/>
      <c r="B1518" s="427" t="s">
        <v>7162</v>
      </c>
      <c r="C1518" s="427" t="s">
        <v>7163</v>
      </c>
      <c r="D1518" s="427"/>
      <c r="E1518" s="428"/>
      <c r="F1518" s="427" t="s">
        <v>7165</v>
      </c>
      <c r="G1518" s="428"/>
      <c r="H1518" s="428"/>
      <c r="I1518" s="428"/>
      <c r="J1518" s="428"/>
      <c r="K1518" s="432"/>
      <c r="L1518" s="432"/>
      <c r="M1518" s="432"/>
      <c r="N1518" s="432"/>
      <c r="O1518" s="432"/>
      <c r="P1518" s="432"/>
      <c r="Q1518" s="432"/>
      <c r="R1518" s="432"/>
      <c r="S1518" s="432"/>
      <c r="T1518" s="432"/>
      <c r="U1518" s="432"/>
      <c r="V1518" s="432"/>
      <c r="W1518" s="432"/>
      <c r="X1518" s="54"/>
      <c r="Y1518" s="54"/>
      <c r="Z1518" s="54"/>
      <c r="AA1518" s="54"/>
      <c r="AB1518" s="54"/>
      <c r="AC1518" s="54"/>
    </row>
    <row r="1519" ht="78.0" customHeight="1">
      <c r="A1519" s="644"/>
      <c r="B1519" s="414" t="s">
        <v>7166</v>
      </c>
      <c r="C1519" s="42"/>
      <c r="D1519" s="414"/>
      <c r="E1519" s="42"/>
      <c r="F1519" s="42"/>
      <c r="G1519" s="42"/>
      <c r="H1519" s="42"/>
      <c r="I1519" s="42"/>
      <c r="J1519" s="42"/>
      <c r="K1519" s="44"/>
      <c r="L1519" s="44"/>
      <c r="M1519" s="44"/>
      <c r="N1519" s="44"/>
      <c r="O1519" s="44"/>
      <c r="P1519" s="44"/>
      <c r="Q1519" s="44"/>
      <c r="R1519" s="44"/>
      <c r="S1519" s="44"/>
      <c r="T1519" s="44"/>
      <c r="U1519" s="44"/>
      <c r="V1519" s="44"/>
      <c r="W1519" s="44"/>
      <c r="X1519" s="28"/>
      <c r="Y1519" s="28"/>
      <c r="Z1519" s="28"/>
      <c r="AA1519" s="28"/>
      <c r="AB1519" s="28"/>
      <c r="AC1519" s="28"/>
    </row>
    <row r="1520" ht="78.0" customHeight="1">
      <c r="A1520" s="646"/>
      <c r="B1520" s="647" t="s">
        <v>7167</v>
      </c>
      <c r="C1520" s="427" t="s">
        <v>7168</v>
      </c>
      <c r="D1520" s="427"/>
      <c r="E1520" s="428"/>
      <c r="F1520" s="428"/>
      <c r="G1520" s="428"/>
      <c r="H1520" s="428"/>
      <c r="I1520" s="428"/>
      <c r="J1520" s="428"/>
      <c r="K1520" s="432"/>
      <c r="L1520" s="432"/>
      <c r="M1520" s="432"/>
      <c r="N1520" s="432"/>
      <c r="O1520" s="432"/>
      <c r="P1520" s="432"/>
      <c r="Q1520" s="432"/>
      <c r="R1520" s="432"/>
      <c r="S1520" s="432"/>
      <c r="T1520" s="432"/>
      <c r="U1520" s="432"/>
      <c r="V1520" s="432"/>
      <c r="W1520" s="432"/>
      <c r="X1520" s="54"/>
      <c r="Y1520" s="54"/>
      <c r="Z1520" s="54"/>
      <c r="AA1520" s="54"/>
      <c r="AB1520" s="54"/>
      <c r="AC1520" s="54"/>
    </row>
    <row r="1521" ht="78.0" customHeight="1">
      <c r="A1521" s="644"/>
      <c r="B1521" s="645" t="s">
        <v>7169</v>
      </c>
      <c r="C1521" s="414" t="s">
        <v>7170</v>
      </c>
      <c r="D1521" s="414"/>
      <c r="E1521" s="42"/>
      <c r="F1521" s="414" t="s">
        <v>7171</v>
      </c>
      <c r="G1521" s="42"/>
      <c r="H1521" s="42"/>
      <c r="I1521" s="42"/>
      <c r="J1521" s="42"/>
      <c r="K1521" s="44"/>
      <c r="L1521" s="44"/>
      <c r="M1521" s="44"/>
      <c r="N1521" s="44"/>
      <c r="O1521" s="44"/>
      <c r="P1521" s="44"/>
      <c r="Q1521" s="44"/>
      <c r="R1521" s="44"/>
      <c r="S1521" s="44"/>
      <c r="T1521" s="44"/>
      <c r="U1521" s="44"/>
      <c r="V1521" s="44"/>
      <c r="W1521" s="44"/>
      <c r="X1521" s="28"/>
      <c r="Y1521" s="28"/>
      <c r="Z1521" s="28"/>
      <c r="AA1521" s="28"/>
      <c r="AB1521" s="28"/>
      <c r="AC1521" s="28"/>
    </row>
    <row r="1522" ht="78.0" customHeight="1">
      <c r="A1522" s="646"/>
      <c r="B1522" s="427" t="s">
        <v>7173</v>
      </c>
      <c r="C1522" s="427" t="s">
        <v>7174</v>
      </c>
      <c r="D1522" s="427"/>
      <c r="E1522" s="428"/>
      <c r="F1522" s="428"/>
      <c r="G1522" s="428"/>
      <c r="H1522" s="428"/>
      <c r="I1522" s="428"/>
      <c r="J1522" s="428"/>
      <c r="K1522" s="432"/>
      <c r="L1522" s="432"/>
      <c r="M1522" s="432"/>
      <c r="N1522" s="432"/>
      <c r="O1522" s="432"/>
      <c r="P1522" s="432"/>
      <c r="Q1522" s="432"/>
      <c r="R1522" s="432"/>
      <c r="S1522" s="432"/>
      <c r="T1522" s="432"/>
      <c r="U1522" s="432"/>
      <c r="V1522" s="432"/>
      <c r="W1522" s="432"/>
      <c r="X1522" s="54"/>
      <c r="Y1522" s="54"/>
      <c r="Z1522" s="54"/>
      <c r="AA1522" s="54"/>
      <c r="AB1522" s="54"/>
      <c r="AC1522" s="54"/>
    </row>
    <row r="1523" ht="78.0" customHeight="1">
      <c r="A1523" s="644"/>
      <c r="B1523" s="414" t="s">
        <v>7175</v>
      </c>
      <c r="C1523" s="42"/>
      <c r="D1523" s="414"/>
      <c r="E1523" s="42"/>
      <c r="F1523" s="42"/>
      <c r="G1523" s="42"/>
      <c r="H1523" s="42"/>
      <c r="I1523" s="42"/>
      <c r="J1523" s="42"/>
      <c r="K1523" s="44"/>
      <c r="L1523" s="44"/>
      <c r="M1523" s="44"/>
      <c r="N1523" s="44"/>
      <c r="O1523" s="44"/>
      <c r="P1523" s="44"/>
      <c r="Q1523" s="44"/>
      <c r="R1523" s="44"/>
      <c r="S1523" s="44"/>
      <c r="T1523" s="44"/>
      <c r="U1523" s="44"/>
      <c r="V1523" s="44"/>
      <c r="W1523" s="44"/>
      <c r="X1523" s="28"/>
      <c r="Y1523" s="28"/>
      <c r="Z1523" s="28"/>
      <c r="AA1523" s="28"/>
      <c r="AB1523" s="28"/>
      <c r="AC1523" s="28"/>
    </row>
    <row r="1524" ht="78.0" customHeight="1">
      <c r="A1524" s="644"/>
      <c r="B1524" s="414" t="s">
        <v>7176</v>
      </c>
      <c r="C1524" s="414" t="s">
        <v>7177</v>
      </c>
      <c r="D1524" s="414"/>
      <c r="E1524" s="42"/>
      <c r="F1524" s="414" t="s">
        <v>7178</v>
      </c>
      <c r="G1524" s="42"/>
      <c r="H1524" s="42"/>
      <c r="I1524" s="42"/>
      <c r="J1524" s="42"/>
      <c r="K1524" s="44"/>
      <c r="L1524" s="44"/>
      <c r="M1524" s="44"/>
      <c r="N1524" s="44"/>
      <c r="O1524" s="44"/>
      <c r="P1524" s="44"/>
      <c r="Q1524" s="44"/>
      <c r="R1524" s="44"/>
      <c r="S1524" s="44"/>
      <c r="T1524" s="44"/>
      <c r="U1524" s="44"/>
      <c r="V1524" s="44"/>
      <c r="W1524" s="44"/>
      <c r="X1524" s="28"/>
      <c r="Y1524" s="28"/>
      <c r="Z1524" s="28"/>
      <c r="AA1524" s="28"/>
      <c r="AB1524" s="28"/>
      <c r="AC1524" s="28"/>
    </row>
    <row r="1525" ht="78.0" customHeight="1">
      <c r="A1525" s="644"/>
      <c r="B1525" s="414" t="s">
        <v>7179</v>
      </c>
      <c r="C1525" s="42"/>
      <c r="D1525" s="414"/>
      <c r="E1525" s="42"/>
      <c r="F1525" s="414" t="s">
        <v>7181</v>
      </c>
      <c r="G1525" s="42"/>
      <c r="H1525" s="42"/>
      <c r="I1525" s="42"/>
      <c r="J1525" s="42"/>
      <c r="K1525" s="44"/>
      <c r="L1525" s="44"/>
      <c r="M1525" s="44"/>
      <c r="N1525" s="44"/>
      <c r="O1525" s="44"/>
      <c r="P1525" s="44"/>
      <c r="Q1525" s="44"/>
      <c r="R1525" s="44"/>
      <c r="S1525" s="44"/>
      <c r="T1525" s="44"/>
      <c r="U1525" s="44"/>
      <c r="V1525" s="626" t="s">
        <v>1</v>
      </c>
      <c r="W1525" s="44"/>
      <c r="X1525" s="28"/>
      <c r="Y1525" s="28"/>
      <c r="Z1525" s="28"/>
      <c r="AA1525" s="28"/>
      <c r="AB1525" s="28"/>
      <c r="AC1525" s="28"/>
    </row>
    <row r="1526" ht="78.0" customHeight="1">
      <c r="A1526" s="646"/>
      <c r="B1526" s="427" t="s">
        <v>7182</v>
      </c>
      <c r="C1526" s="428"/>
      <c r="D1526" s="427"/>
      <c r="E1526" s="428"/>
      <c r="F1526" s="428"/>
      <c r="G1526" s="428"/>
      <c r="H1526" s="428"/>
      <c r="I1526" s="428"/>
      <c r="J1526" s="428"/>
      <c r="K1526" s="432"/>
      <c r="L1526" s="432"/>
      <c r="M1526" s="432"/>
      <c r="N1526" s="432"/>
      <c r="O1526" s="432"/>
      <c r="P1526" s="432"/>
      <c r="Q1526" s="432"/>
      <c r="R1526" s="432"/>
      <c r="S1526" s="432"/>
      <c r="T1526" s="432"/>
      <c r="U1526" s="432"/>
      <c r="V1526" s="432"/>
      <c r="W1526" s="432"/>
      <c r="X1526" s="54"/>
      <c r="Y1526" s="54"/>
      <c r="Z1526" s="54"/>
      <c r="AA1526" s="54"/>
      <c r="AB1526" s="54"/>
      <c r="AC1526" s="54"/>
    </row>
    <row r="1527" ht="78.0" customHeight="1">
      <c r="A1527" s="644"/>
      <c r="B1527" s="414" t="s">
        <v>7183</v>
      </c>
      <c r="C1527" s="414" t="s">
        <v>7184</v>
      </c>
      <c r="D1527" s="414"/>
      <c r="E1527" s="42"/>
      <c r="F1527" s="42"/>
      <c r="G1527" s="42"/>
      <c r="H1527" s="42"/>
      <c r="I1527" s="42"/>
      <c r="J1527" s="42"/>
      <c r="K1527" s="44"/>
      <c r="L1527" s="44"/>
      <c r="M1527" s="44"/>
      <c r="N1527" s="44"/>
      <c r="O1527" s="44"/>
      <c r="P1527" s="44"/>
      <c r="Q1527" s="44"/>
      <c r="R1527" s="44"/>
      <c r="S1527" s="44"/>
      <c r="T1527" s="44"/>
      <c r="U1527" s="44"/>
      <c r="V1527" s="44"/>
      <c r="W1527" s="44"/>
      <c r="X1527" s="28"/>
      <c r="Y1527" s="28"/>
      <c r="Z1527" s="28"/>
      <c r="AA1527" s="28"/>
      <c r="AB1527" s="28"/>
      <c r="AC1527" s="28"/>
    </row>
    <row r="1528" ht="78.0" customHeight="1">
      <c r="A1528" s="646"/>
      <c r="B1528" s="427" t="s">
        <v>7185</v>
      </c>
      <c r="C1528" s="427" t="s">
        <v>7186</v>
      </c>
      <c r="D1528" s="427"/>
      <c r="E1528" s="428"/>
      <c r="F1528" s="427" t="s">
        <v>7188</v>
      </c>
      <c r="G1528" s="428"/>
      <c r="H1528" s="428"/>
      <c r="I1528" s="428"/>
      <c r="J1528" s="428"/>
      <c r="K1528" s="432"/>
      <c r="L1528" s="432"/>
      <c r="M1528" s="432"/>
      <c r="N1528" s="432"/>
      <c r="O1528" s="432"/>
      <c r="P1528" s="432"/>
      <c r="Q1528" s="432"/>
      <c r="R1528" s="432"/>
      <c r="S1528" s="432"/>
      <c r="T1528" s="432"/>
      <c r="U1528" s="432"/>
      <c r="V1528" s="432"/>
      <c r="W1528" s="432"/>
      <c r="X1528" s="54"/>
      <c r="Y1528" s="54"/>
      <c r="Z1528" s="54"/>
      <c r="AA1528" s="54"/>
      <c r="AB1528" s="54"/>
      <c r="AC1528" s="54"/>
    </row>
    <row r="1529" ht="78.0" customHeight="1">
      <c r="A1529" s="646"/>
      <c r="B1529" s="427" t="s">
        <v>7189</v>
      </c>
      <c r="C1529" s="427" t="s">
        <v>7190</v>
      </c>
      <c r="D1529" s="427"/>
      <c r="E1529" s="428"/>
      <c r="F1529" s="428"/>
      <c r="G1529" s="428"/>
      <c r="H1529" s="428"/>
      <c r="I1529" s="428"/>
      <c r="J1529" s="428"/>
      <c r="K1529" s="432"/>
      <c r="L1529" s="432"/>
      <c r="M1529" s="432"/>
      <c r="N1529" s="432"/>
      <c r="O1529" s="432"/>
      <c r="P1529" s="432"/>
      <c r="Q1529" s="432"/>
      <c r="R1529" s="432"/>
      <c r="S1529" s="432"/>
      <c r="T1529" s="432"/>
      <c r="U1529" s="432"/>
      <c r="V1529" s="432"/>
      <c r="W1529" s="432"/>
      <c r="X1529" s="54"/>
      <c r="Y1529" s="54"/>
      <c r="Z1529" s="54"/>
      <c r="AA1529" s="54"/>
      <c r="AB1529" s="54"/>
      <c r="AC1529" s="54"/>
    </row>
    <row r="1530" ht="78.0" customHeight="1">
      <c r="A1530" s="644"/>
      <c r="B1530" s="414" t="s">
        <v>7191</v>
      </c>
      <c r="C1530" s="414" t="s">
        <v>7192</v>
      </c>
      <c r="D1530" s="414"/>
      <c r="E1530" s="42"/>
      <c r="F1530" s="414" t="s">
        <v>7193</v>
      </c>
      <c r="G1530" s="414" t="s">
        <v>7194</v>
      </c>
      <c r="H1530" s="42"/>
      <c r="I1530" s="42"/>
      <c r="J1530" s="42"/>
      <c r="K1530" s="44"/>
      <c r="L1530" s="44"/>
      <c r="M1530" s="44"/>
      <c r="N1530" s="44"/>
      <c r="O1530" s="44"/>
      <c r="P1530" s="44"/>
      <c r="Q1530" s="44"/>
      <c r="R1530" s="44"/>
      <c r="S1530" s="44"/>
      <c r="T1530" s="44"/>
      <c r="U1530" s="44"/>
      <c r="V1530" s="44"/>
      <c r="W1530" s="44"/>
      <c r="X1530" s="28"/>
      <c r="Y1530" s="28"/>
      <c r="Z1530" s="28"/>
      <c r="AA1530" s="28"/>
      <c r="AB1530" s="28"/>
      <c r="AC1530" s="28"/>
    </row>
    <row r="1531" ht="78.0" customHeight="1">
      <c r="A1531" s="646"/>
      <c r="B1531" s="434" t="s">
        <v>7195</v>
      </c>
      <c r="C1531" s="427" t="s">
        <v>7196</v>
      </c>
      <c r="D1531" s="427"/>
      <c r="E1531" s="428"/>
      <c r="F1531" s="428"/>
      <c r="G1531" s="428"/>
      <c r="H1531" s="428"/>
      <c r="I1531" s="428"/>
      <c r="J1531" s="428"/>
      <c r="K1531" s="432"/>
      <c r="L1531" s="432"/>
      <c r="M1531" s="432"/>
      <c r="N1531" s="432"/>
      <c r="O1531" s="432"/>
      <c r="P1531" s="432"/>
      <c r="Q1531" s="432"/>
      <c r="R1531" s="432"/>
      <c r="S1531" s="432"/>
      <c r="T1531" s="432"/>
      <c r="U1531" s="432"/>
      <c r="V1531" s="432"/>
      <c r="W1531" s="432"/>
      <c r="X1531" s="54"/>
      <c r="Y1531" s="54"/>
      <c r="Z1531" s="54"/>
      <c r="AA1531" s="54"/>
      <c r="AB1531" s="54"/>
      <c r="AC1531" s="54"/>
    </row>
    <row r="1532" ht="78.0" customHeight="1">
      <c r="A1532" s="646"/>
      <c r="B1532" s="427" t="s">
        <v>7198</v>
      </c>
      <c r="C1532" s="427" t="s">
        <v>7199</v>
      </c>
      <c r="D1532" s="427"/>
      <c r="E1532" s="428"/>
      <c r="F1532" s="428"/>
      <c r="G1532" s="428"/>
      <c r="H1532" s="428"/>
      <c r="I1532" s="428"/>
      <c r="J1532" s="428"/>
      <c r="K1532" s="432"/>
      <c r="L1532" s="432"/>
      <c r="M1532" s="432"/>
      <c r="N1532" s="432"/>
      <c r="O1532" s="432"/>
      <c r="P1532" s="432"/>
      <c r="Q1532" s="432"/>
      <c r="R1532" s="432"/>
      <c r="S1532" s="432"/>
      <c r="T1532" s="432"/>
      <c r="U1532" s="432"/>
      <c r="V1532" s="432"/>
      <c r="W1532" s="432"/>
      <c r="X1532" s="54"/>
      <c r="Y1532" s="54"/>
      <c r="Z1532" s="54"/>
      <c r="AA1532" s="54"/>
      <c r="AB1532" s="54"/>
      <c r="AC1532" s="54"/>
    </row>
    <row r="1533" ht="78.0" customHeight="1">
      <c r="A1533" s="644"/>
      <c r="B1533" s="42"/>
      <c r="C1533" s="414" t="s">
        <v>7200</v>
      </c>
      <c r="D1533" s="414"/>
      <c r="E1533" s="42"/>
      <c r="F1533" s="414" t="s">
        <v>7201</v>
      </c>
      <c r="G1533" s="414" t="s">
        <v>7202</v>
      </c>
      <c r="H1533" s="42"/>
      <c r="I1533" s="42"/>
      <c r="J1533" s="42"/>
      <c r="K1533" s="44"/>
      <c r="L1533" s="44"/>
      <c r="M1533" s="44"/>
      <c r="N1533" s="44"/>
      <c r="O1533" s="44"/>
      <c r="P1533" s="44"/>
      <c r="Q1533" s="44"/>
      <c r="R1533" s="44"/>
      <c r="S1533" s="44"/>
      <c r="T1533" s="44"/>
      <c r="U1533" s="44"/>
      <c r="V1533" s="44"/>
      <c r="W1533" s="44"/>
      <c r="X1533" s="28"/>
      <c r="Y1533" s="28"/>
      <c r="Z1533" s="28"/>
      <c r="AA1533" s="28"/>
      <c r="AB1533" s="28"/>
      <c r="AC1533" s="28"/>
    </row>
    <row r="1534" ht="78.0" customHeight="1">
      <c r="A1534" s="1093"/>
      <c r="B1534" s="26"/>
      <c r="C1534" s="26"/>
      <c r="D1534" s="21"/>
      <c r="E1534" s="26"/>
      <c r="F1534" s="26"/>
      <c r="G1534" s="26"/>
      <c r="H1534" s="26"/>
      <c r="I1534" s="26"/>
      <c r="J1534" s="26"/>
      <c r="K1534" s="28"/>
      <c r="L1534" s="28"/>
      <c r="M1534" s="28"/>
      <c r="N1534" s="28"/>
      <c r="O1534" s="28"/>
      <c r="P1534" s="28"/>
      <c r="Q1534" s="28"/>
      <c r="R1534" s="28"/>
      <c r="S1534" s="28"/>
      <c r="T1534" s="28"/>
      <c r="U1534" s="28"/>
      <c r="V1534" s="28"/>
      <c r="W1534" s="28"/>
      <c r="X1534" s="28"/>
      <c r="Y1534" s="28"/>
      <c r="Z1534" s="28"/>
      <c r="AA1534" s="28"/>
      <c r="AB1534" s="28"/>
      <c r="AC1534" s="28"/>
    </row>
    <row r="1535" ht="78.0" customHeight="1">
      <c r="A1535" s="1095"/>
      <c r="B1535" s="50" t="s">
        <v>7204</v>
      </c>
      <c r="C1535" s="50" t="s">
        <v>7205</v>
      </c>
      <c r="D1535" s="50"/>
      <c r="E1535" s="52"/>
      <c r="F1535" s="52"/>
      <c r="G1535" s="52"/>
      <c r="H1535" s="52"/>
      <c r="I1535" s="54"/>
      <c r="J1535" s="54"/>
      <c r="K1535" s="54"/>
      <c r="L1535" s="54"/>
      <c r="M1535" s="54"/>
      <c r="N1535" s="54"/>
      <c r="O1535" s="54"/>
      <c r="P1535" s="54"/>
      <c r="Q1535" s="54"/>
      <c r="R1535" s="54"/>
      <c r="S1535" s="54"/>
      <c r="T1535" s="54"/>
      <c r="U1535" s="54"/>
      <c r="V1535" s="54"/>
      <c r="W1535" s="54"/>
      <c r="X1535" s="54"/>
      <c r="Y1535" s="54"/>
      <c r="Z1535" s="54"/>
      <c r="AA1535" s="54"/>
      <c r="AB1535" s="54"/>
      <c r="AC1535" s="54"/>
    </row>
    <row r="1536" ht="78.0" customHeight="1">
      <c r="A1536" s="1095"/>
      <c r="B1536" s="52"/>
      <c r="C1536" s="52"/>
      <c r="D1536" s="50"/>
      <c r="E1536" s="52"/>
      <c r="F1536" s="52"/>
      <c r="G1536" s="52"/>
      <c r="H1536" s="52"/>
      <c r="I1536" s="52"/>
      <c r="J1536" s="52"/>
      <c r="K1536" s="54"/>
      <c r="L1536" s="54"/>
      <c r="M1536" s="54"/>
      <c r="N1536" s="54"/>
      <c r="O1536" s="54"/>
      <c r="P1536" s="54"/>
      <c r="Q1536" s="54"/>
      <c r="R1536" s="54"/>
      <c r="S1536" s="54"/>
      <c r="T1536" s="54"/>
      <c r="U1536" s="54"/>
      <c r="V1536" s="54"/>
      <c r="W1536" s="54"/>
      <c r="X1536" s="54"/>
      <c r="Y1536" s="54"/>
      <c r="Z1536" s="54"/>
      <c r="AA1536" s="54"/>
      <c r="AB1536" s="54"/>
      <c r="AC1536" s="54"/>
    </row>
    <row r="1537" ht="78.0" customHeight="1">
      <c r="A1537" s="1093"/>
      <c r="B1537" s="21" t="s">
        <v>7206</v>
      </c>
      <c r="C1537" s="21" t="s">
        <v>7207</v>
      </c>
      <c r="D1537" s="21"/>
      <c r="E1537" s="26"/>
      <c r="F1537" s="26"/>
      <c r="G1537" s="21" t="s">
        <v>7208</v>
      </c>
      <c r="H1537" s="26"/>
      <c r="I1537" s="26"/>
      <c r="J1537" s="26"/>
      <c r="K1537" s="28"/>
      <c r="L1537" s="28"/>
      <c r="M1537" s="28"/>
      <c r="N1537" s="28"/>
      <c r="O1537" s="28"/>
      <c r="P1537" s="28"/>
      <c r="Q1537" s="28"/>
      <c r="R1537" s="28"/>
      <c r="S1537" s="28"/>
      <c r="T1537" s="28"/>
      <c r="U1537" s="28"/>
      <c r="V1537" s="28"/>
      <c r="W1537" s="28"/>
      <c r="X1537" s="28"/>
      <c r="Y1537" s="28"/>
      <c r="Z1537" s="28"/>
      <c r="AA1537" s="28"/>
      <c r="AB1537" s="28"/>
      <c r="AC1537" s="28"/>
    </row>
    <row r="1538" ht="78.0" customHeight="1">
      <c r="A1538" s="1093"/>
      <c r="B1538" s="21" t="s">
        <v>7211</v>
      </c>
      <c r="C1538" s="21" t="s">
        <v>7212</v>
      </c>
      <c r="D1538" s="21"/>
      <c r="E1538" s="26"/>
      <c r="F1538" s="26"/>
      <c r="G1538" s="21" t="s">
        <v>7213</v>
      </c>
      <c r="H1538" s="26"/>
      <c r="I1538" s="26"/>
      <c r="J1538" s="26"/>
      <c r="K1538" s="26"/>
      <c r="L1538" s="28"/>
      <c r="M1538" s="28"/>
      <c r="N1538" s="28"/>
      <c r="O1538" s="28"/>
      <c r="P1538" s="28"/>
      <c r="Q1538" s="28"/>
      <c r="R1538" s="28"/>
      <c r="S1538" s="28"/>
      <c r="T1538" s="28"/>
      <c r="U1538" s="28"/>
      <c r="V1538" s="28"/>
      <c r="W1538" s="28"/>
      <c r="X1538" s="28"/>
      <c r="Y1538" s="28"/>
      <c r="Z1538" s="28"/>
      <c r="AA1538" s="28"/>
      <c r="AB1538" s="28"/>
      <c r="AC1538" s="28"/>
    </row>
    <row r="1539" ht="78.0" customHeight="1">
      <c r="A1539" s="1095"/>
      <c r="B1539" s="50" t="s">
        <v>7214</v>
      </c>
      <c r="C1539" s="50" t="s">
        <v>7215</v>
      </c>
      <c r="D1539" s="50"/>
      <c r="E1539" s="52"/>
      <c r="F1539" s="52"/>
      <c r="G1539" s="50" t="s">
        <v>7216</v>
      </c>
      <c r="H1539" s="52"/>
      <c r="I1539" s="52"/>
      <c r="J1539" s="52"/>
      <c r="K1539" s="52"/>
      <c r="L1539" s="54"/>
      <c r="M1539" s="54"/>
      <c r="N1539" s="54"/>
      <c r="O1539" s="54"/>
      <c r="P1539" s="54"/>
      <c r="Q1539" s="54"/>
      <c r="R1539" s="54"/>
      <c r="S1539" s="54"/>
      <c r="T1539" s="54"/>
      <c r="U1539" s="54"/>
      <c r="V1539" s="54"/>
      <c r="W1539" s="54"/>
      <c r="X1539" s="54"/>
      <c r="Y1539" s="54"/>
      <c r="Z1539" s="54"/>
      <c r="AA1539" s="54"/>
      <c r="AB1539" s="54"/>
      <c r="AC1539" s="54"/>
    </row>
    <row r="1540" ht="78.0" customHeight="1">
      <c r="A1540" s="1095"/>
      <c r="B1540" s="50" t="s">
        <v>7219</v>
      </c>
      <c r="C1540" s="50" t="s">
        <v>7220</v>
      </c>
      <c r="D1540" s="50"/>
      <c r="E1540" s="52"/>
      <c r="F1540" s="52"/>
      <c r="G1540" s="50" t="s">
        <v>7221</v>
      </c>
      <c r="H1540" s="50" t="s">
        <v>7222</v>
      </c>
      <c r="I1540" s="50" t="s">
        <v>2883</v>
      </c>
      <c r="J1540" s="50" t="s">
        <v>7223</v>
      </c>
      <c r="K1540" s="50" t="s">
        <v>7224</v>
      </c>
      <c r="L1540" s="54"/>
      <c r="M1540" s="54"/>
      <c r="N1540" s="54"/>
      <c r="O1540" s="54"/>
      <c r="P1540" s="54"/>
      <c r="Q1540" s="54"/>
      <c r="R1540" s="54"/>
      <c r="S1540" s="54"/>
      <c r="T1540" s="54"/>
      <c r="U1540" s="54"/>
      <c r="V1540" s="54"/>
      <c r="W1540" s="54"/>
      <c r="X1540" s="54"/>
      <c r="Y1540" s="54"/>
      <c r="Z1540" s="54"/>
      <c r="AA1540" s="54"/>
      <c r="AB1540" s="54"/>
      <c r="AC1540" s="54"/>
    </row>
    <row r="1541" ht="78.0" customHeight="1">
      <c r="A1541" s="1095"/>
      <c r="B1541" s="50" t="s">
        <v>7226</v>
      </c>
      <c r="C1541" s="52"/>
      <c r="D1541" s="50"/>
      <c r="E1541" s="52"/>
      <c r="F1541" s="52"/>
      <c r="G1541" s="52"/>
      <c r="H1541" s="52"/>
      <c r="I1541" s="52"/>
      <c r="J1541" s="52"/>
      <c r="K1541" s="52"/>
      <c r="L1541" s="54"/>
      <c r="M1541" s="54"/>
      <c r="N1541" s="54"/>
      <c r="O1541" s="54"/>
      <c r="P1541" s="54"/>
      <c r="Q1541" s="54"/>
      <c r="R1541" s="54"/>
      <c r="S1541" s="54"/>
      <c r="T1541" s="54"/>
      <c r="U1541" s="54"/>
      <c r="V1541" s="54"/>
      <c r="W1541" s="54"/>
      <c r="X1541" s="54"/>
      <c r="Y1541" s="54"/>
      <c r="Z1541" s="54"/>
      <c r="AA1541" s="54"/>
      <c r="AB1541" s="54"/>
      <c r="AC1541" s="54"/>
    </row>
    <row r="1542" ht="78.0" customHeight="1">
      <c r="A1542" s="1093"/>
      <c r="B1542" s="21" t="s">
        <v>7228</v>
      </c>
      <c r="C1542" s="21" t="s">
        <v>7230</v>
      </c>
      <c r="D1542" s="21"/>
      <c r="E1542" s="26"/>
      <c r="F1542" s="26"/>
      <c r="G1542" s="26"/>
      <c r="H1542" s="28"/>
      <c r="I1542" s="28"/>
      <c r="J1542" s="28"/>
      <c r="K1542" s="28"/>
      <c r="L1542" s="28"/>
      <c r="M1542" s="28"/>
      <c r="N1542" s="28"/>
      <c r="O1542" s="28"/>
      <c r="P1542" s="28"/>
      <c r="Q1542" s="28"/>
      <c r="R1542" s="28"/>
      <c r="S1542" s="28"/>
      <c r="T1542" s="28"/>
      <c r="U1542" s="28"/>
      <c r="V1542" s="28"/>
      <c r="W1542" s="28"/>
      <c r="X1542" s="28"/>
      <c r="Y1542" s="28"/>
      <c r="Z1542" s="28"/>
      <c r="AA1542" s="28"/>
      <c r="AB1542" s="28"/>
      <c r="AC1542" s="28"/>
    </row>
    <row r="1543" ht="78.0" customHeight="1">
      <c r="A1543" s="1095"/>
      <c r="B1543" s="52"/>
      <c r="C1543" s="52"/>
      <c r="D1543" s="855"/>
      <c r="E1543" s="52"/>
      <c r="F1543" s="52"/>
      <c r="G1543" s="52"/>
      <c r="H1543" s="52"/>
      <c r="I1543" s="52"/>
      <c r="J1543" s="52"/>
      <c r="K1543" s="54"/>
      <c r="L1543" s="52"/>
      <c r="M1543" s="52"/>
      <c r="N1543" s="52"/>
      <c r="O1543" s="52"/>
      <c r="P1543" s="54"/>
      <c r="Q1543" s="54"/>
      <c r="R1543" s="54"/>
      <c r="S1543" s="54"/>
      <c r="T1543" s="54"/>
      <c r="U1543" s="54"/>
      <c r="V1543" s="54"/>
      <c r="W1543" s="54"/>
      <c r="X1543" s="54"/>
      <c r="Y1543" s="54"/>
      <c r="Z1543" s="54"/>
      <c r="AA1543" s="54"/>
      <c r="AB1543" s="54"/>
      <c r="AC1543" s="54"/>
    </row>
    <row r="1544" ht="78.0" customHeight="1">
      <c r="A1544" s="1093"/>
      <c r="B1544" s="769">
        <v>45566.0</v>
      </c>
      <c r="C1544" s="21" t="s">
        <v>7232</v>
      </c>
      <c r="D1544" s="825"/>
      <c r="E1544" s="26"/>
      <c r="F1544" s="26"/>
      <c r="G1544" s="21" t="s">
        <v>7233</v>
      </c>
      <c r="H1544" s="21" t="s">
        <v>7234</v>
      </c>
      <c r="I1544" s="21" t="s">
        <v>7235</v>
      </c>
      <c r="J1544" s="28"/>
      <c r="K1544" s="28"/>
      <c r="L1544" s="28"/>
      <c r="M1544" s="28"/>
      <c r="N1544" s="28"/>
      <c r="O1544" s="28"/>
      <c r="P1544" s="28"/>
      <c r="Q1544" s="28"/>
      <c r="R1544" s="28"/>
      <c r="S1544" s="28"/>
      <c r="T1544" s="28"/>
      <c r="U1544" s="28"/>
      <c r="V1544" s="28"/>
      <c r="W1544" s="28"/>
      <c r="X1544" s="28"/>
      <c r="Y1544" s="28"/>
      <c r="Z1544" s="28"/>
      <c r="AA1544" s="28"/>
      <c r="AB1544" s="28"/>
      <c r="AC1544" s="28"/>
    </row>
    <row r="1545" ht="78.0" customHeight="1">
      <c r="A1545" s="1104"/>
      <c r="B1545" s="21" t="s">
        <v>7236</v>
      </c>
      <c r="C1545" s="1105" t="s">
        <v>7237</v>
      </c>
      <c r="D1545" s="825"/>
      <c r="E1545" s="26"/>
      <c r="F1545" s="26"/>
      <c r="G1545" s="825" t="s">
        <v>7239</v>
      </c>
      <c r="H1545" s="825" t="s">
        <v>7240</v>
      </c>
      <c r="I1545" s="825" t="s">
        <v>7241</v>
      </c>
      <c r="J1545" s="28"/>
      <c r="K1545" s="28"/>
      <c r="L1545" s="28"/>
      <c r="M1545" s="28"/>
      <c r="N1545" s="28"/>
      <c r="O1545" s="28"/>
      <c r="P1545" s="28"/>
      <c r="Q1545" s="28"/>
      <c r="R1545" s="28"/>
      <c r="S1545" s="28"/>
      <c r="T1545" s="28"/>
      <c r="U1545" s="28"/>
      <c r="V1545" s="28"/>
      <c r="W1545" s="28"/>
      <c r="X1545" s="28"/>
      <c r="Y1545" s="28"/>
      <c r="Z1545" s="28"/>
      <c r="AA1545" s="28"/>
      <c r="AB1545" s="28"/>
      <c r="AC1545" s="28"/>
    </row>
    <row r="1546" ht="78.0" customHeight="1">
      <c r="A1546" s="1106"/>
      <c r="B1546" s="50" t="s">
        <v>7244</v>
      </c>
      <c r="C1546" s="885" t="s">
        <v>7245</v>
      </c>
      <c r="D1546" s="855"/>
      <c r="E1546" s="52"/>
      <c r="F1546" s="52"/>
      <c r="G1546" s="50" t="s">
        <v>7247</v>
      </c>
      <c r="H1546" s="50" t="s">
        <v>7248</v>
      </c>
      <c r="I1546" s="52"/>
      <c r="J1546" s="54"/>
      <c r="K1546" s="54"/>
      <c r="L1546" s="54"/>
      <c r="M1546" s="54"/>
      <c r="N1546" s="54"/>
      <c r="O1546" s="54"/>
      <c r="P1546" s="54"/>
      <c r="Q1546" s="54"/>
      <c r="R1546" s="54"/>
      <c r="S1546" s="54"/>
      <c r="T1546" s="54"/>
      <c r="U1546" s="54"/>
      <c r="V1546" s="54"/>
      <c r="W1546" s="54"/>
      <c r="X1546" s="54"/>
      <c r="Y1546" s="54"/>
      <c r="Z1546" s="54"/>
      <c r="AA1546" s="54"/>
      <c r="AB1546" s="54"/>
      <c r="AC1546" s="54"/>
    </row>
    <row r="1547" ht="78.0" customHeight="1">
      <c r="A1547" s="1107"/>
      <c r="B1547" s="21" t="s">
        <v>7249</v>
      </c>
      <c r="C1547" s="21" t="s">
        <v>7250</v>
      </c>
      <c r="D1547" s="825"/>
      <c r="E1547" s="26"/>
      <c r="F1547" s="26"/>
      <c r="G1547" s="21" t="s">
        <v>7252</v>
      </c>
      <c r="H1547" s="21" t="s">
        <v>7254</v>
      </c>
      <c r="I1547" s="26"/>
      <c r="J1547" s="26"/>
      <c r="K1547" s="28"/>
      <c r="L1547" s="28"/>
      <c r="M1547" s="28"/>
      <c r="N1547" s="28"/>
      <c r="O1547" s="28"/>
      <c r="P1547" s="28"/>
      <c r="Q1547" s="28"/>
      <c r="R1547" s="28"/>
      <c r="S1547" s="28"/>
      <c r="T1547" s="28"/>
      <c r="U1547" s="28"/>
      <c r="V1547" s="28"/>
      <c r="W1547" s="28"/>
      <c r="X1547" s="28"/>
      <c r="Y1547" s="28"/>
      <c r="Z1547" s="28"/>
      <c r="AA1547" s="28"/>
      <c r="AB1547" s="28"/>
      <c r="AC1547" s="28"/>
    </row>
    <row r="1548" ht="78.0" customHeight="1">
      <c r="A1548" s="1093"/>
      <c r="B1548" s="26"/>
      <c r="C1548" s="26"/>
      <c r="D1548" s="825"/>
      <c r="E1548" s="26"/>
      <c r="F1548" s="26"/>
      <c r="G1548" s="26"/>
      <c r="H1548" s="28"/>
      <c r="I1548" s="28"/>
      <c r="J1548" s="28"/>
      <c r="K1548" s="28"/>
      <c r="L1548" s="28"/>
      <c r="M1548" s="28"/>
      <c r="N1548" s="28"/>
      <c r="O1548" s="28"/>
      <c r="P1548" s="28"/>
      <c r="Q1548" s="28"/>
      <c r="R1548" s="28"/>
      <c r="S1548" s="28"/>
      <c r="T1548" s="28"/>
      <c r="U1548" s="28"/>
      <c r="V1548" s="28"/>
      <c r="W1548" s="28"/>
      <c r="X1548" s="28"/>
      <c r="Y1548" s="28"/>
      <c r="Z1548" s="28"/>
      <c r="AA1548" s="28"/>
      <c r="AB1548" s="28"/>
      <c r="AC1548" s="28"/>
    </row>
    <row r="1549" ht="78.0" customHeight="1">
      <c r="A1549" s="1095"/>
      <c r="B1549" s="52"/>
      <c r="C1549" s="52"/>
      <c r="D1549" s="855"/>
      <c r="E1549" s="52"/>
      <c r="F1549" s="52"/>
      <c r="G1549" s="52"/>
      <c r="H1549" s="54"/>
      <c r="I1549" s="54"/>
      <c r="J1549" s="54"/>
      <c r="K1549" s="54"/>
      <c r="L1549" s="54"/>
      <c r="M1549" s="54"/>
      <c r="N1549" s="54"/>
      <c r="O1549" s="54"/>
      <c r="P1549" s="54"/>
      <c r="Q1549" s="54"/>
      <c r="R1549" s="54"/>
      <c r="S1549" s="54"/>
      <c r="T1549" s="54"/>
      <c r="U1549" s="54"/>
      <c r="V1549" s="54"/>
      <c r="W1549" s="54"/>
      <c r="X1549" s="54"/>
      <c r="Y1549" s="54"/>
      <c r="Z1549" s="54"/>
      <c r="AA1549" s="54"/>
      <c r="AB1549" s="54"/>
      <c r="AC1549" s="54"/>
    </row>
    <row r="1550" ht="78.0" customHeight="1">
      <c r="A1550" s="26"/>
      <c r="B1550" s="26"/>
      <c r="C1550" s="26"/>
      <c r="D1550" s="825"/>
      <c r="E1550" s="26"/>
      <c r="F1550" s="26"/>
      <c r="G1550" s="28"/>
      <c r="H1550" s="28"/>
      <c r="I1550" s="28"/>
      <c r="J1550" s="28"/>
      <c r="K1550" s="28"/>
      <c r="L1550" s="28"/>
      <c r="M1550" s="28"/>
      <c r="N1550" s="28"/>
      <c r="O1550" s="28"/>
      <c r="P1550" s="28"/>
      <c r="Q1550" s="28"/>
      <c r="R1550" s="28"/>
      <c r="S1550" s="28"/>
      <c r="T1550" s="28"/>
      <c r="U1550" s="28"/>
      <c r="V1550" s="28"/>
      <c r="W1550" s="28"/>
      <c r="X1550" s="28"/>
      <c r="Y1550" s="28"/>
      <c r="Z1550" s="28"/>
      <c r="AA1550" s="28"/>
      <c r="AB1550" s="28"/>
      <c r="AC1550" s="28"/>
    </row>
    <row r="1551" ht="78.0" customHeight="1">
      <c r="A1551" s="52"/>
      <c r="B1551" s="52"/>
      <c r="C1551" s="54"/>
      <c r="D1551" s="855"/>
      <c r="E1551" s="54"/>
      <c r="F1551" s="54"/>
      <c r="G1551" s="54"/>
      <c r="H1551" s="54"/>
      <c r="I1551" s="54"/>
      <c r="J1551" s="54"/>
      <c r="K1551" s="54"/>
      <c r="L1551" s="54"/>
      <c r="M1551" s="54"/>
      <c r="N1551" s="54"/>
      <c r="O1551" s="54"/>
      <c r="P1551" s="54"/>
      <c r="Q1551" s="54"/>
      <c r="R1551" s="54"/>
      <c r="S1551" s="54"/>
      <c r="T1551" s="54"/>
      <c r="U1551" s="54"/>
      <c r="V1551" s="54"/>
      <c r="W1551" s="54"/>
      <c r="X1551" s="54"/>
      <c r="Y1551" s="54"/>
      <c r="Z1551" s="54"/>
      <c r="AA1551" s="54"/>
      <c r="AB1551" s="54"/>
      <c r="AC1551" s="54"/>
    </row>
    <row r="1552" ht="78.0" customHeight="1">
      <c r="A1552" s="26"/>
      <c r="B1552" s="26"/>
      <c r="C1552" s="28"/>
      <c r="D1552" s="825"/>
      <c r="E1552" s="28"/>
      <c r="F1552" s="28"/>
      <c r="G1552" s="28"/>
      <c r="H1552" s="28"/>
      <c r="I1552" s="28"/>
      <c r="J1552" s="28"/>
      <c r="K1552" s="28"/>
      <c r="L1552" s="28"/>
      <c r="M1552" s="28"/>
      <c r="N1552" s="28"/>
      <c r="O1552" s="28"/>
      <c r="P1552" s="28"/>
      <c r="Q1552" s="28"/>
      <c r="R1552" s="28"/>
      <c r="S1552" s="28"/>
      <c r="T1552" s="28"/>
      <c r="U1552" s="28"/>
      <c r="V1552" s="28"/>
      <c r="W1552" s="28"/>
      <c r="X1552" s="28"/>
      <c r="Y1552" s="28"/>
      <c r="Z1552" s="28"/>
      <c r="AA1552" s="28"/>
      <c r="AB1552" s="28"/>
      <c r="AC1552" s="28"/>
    </row>
    <row r="1553" ht="78.0" customHeight="1">
      <c r="A1553" s="52"/>
      <c r="B1553" s="52"/>
      <c r="C1553" s="54"/>
      <c r="D1553" s="855"/>
      <c r="E1553" s="54"/>
      <c r="F1553" s="54"/>
      <c r="G1553" s="54"/>
      <c r="H1553" s="54"/>
      <c r="I1553" s="54"/>
      <c r="J1553" s="54"/>
      <c r="K1553" s="54"/>
      <c r="L1553" s="54"/>
      <c r="M1553" s="54"/>
      <c r="N1553" s="54"/>
      <c r="O1553" s="54"/>
      <c r="P1553" s="54"/>
      <c r="Q1553" s="54"/>
      <c r="R1553" s="54"/>
      <c r="S1553" s="54"/>
      <c r="T1553" s="54"/>
      <c r="U1553" s="54"/>
      <c r="V1553" s="54"/>
      <c r="W1553" s="54"/>
      <c r="X1553" s="54"/>
      <c r="Y1553" s="54"/>
      <c r="Z1553" s="54"/>
      <c r="AA1553" s="54"/>
      <c r="AB1553" s="54"/>
      <c r="AC1553" s="54"/>
    </row>
    <row r="1554" ht="78.0" customHeight="1">
      <c r="A1554" s="26"/>
      <c r="B1554" s="26"/>
      <c r="C1554" s="28"/>
      <c r="D1554" s="825"/>
      <c r="E1554" s="28"/>
      <c r="F1554" s="28"/>
      <c r="G1554" s="28"/>
      <c r="H1554" s="28"/>
      <c r="I1554" s="28"/>
      <c r="J1554" s="28"/>
      <c r="K1554" s="28"/>
      <c r="L1554" s="28"/>
      <c r="M1554" s="28"/>
      <c r="N1554" s="28"/>
      <c r="O1554" s="28"/>
      <c r="P1554" s="28"/>
      <c r="Q1554" s="28"/>
      <c r="R1554" s="28"/>
      <c r="S1554" s="28"/>
      <c r="T1554" s="28"/>
      <c r="U1554" s="28"/>
      <c r="V1554" s="28"/>
      <c r="W1554" s="28"/>
      <c r="X1554" s="28"/>
      <c r="Y1554" s="28"/>
      <c r="Z1554" s="28"/>
      <c r="AA1554" s="28"/>
      <c r="AB1554" s="28"/>
      <c r="AC1554" s="28"/>
    </row>
    <row r="1555" ht="78.0" customHeight="1">
      <c r="A1555" s="52"/>
      <c r="B1555" s="52"/>
      <c r="C1555" s="54"/>
      <c r="D1555" s="855"/>
      <c r="E1555" s="54"/>
      <c r="F1555" s="54"/>
      <c r="G1555" s="54"/>
      <c r="H1555" s="54"/>
      <c r="I1555" s="54"/>
      <c r="J1555" s="54"/>
      <c r="K1555" s="54"/>
      <c r="L1555" s="54"/>
      <c r="M1555" s="54"/>
      <c r="N1555" s="54"/>
      <c r="O1555" s="54"/>
      <c r="P1555" s="54"/>
      <c r="Q1555" s="54"/>
      <c r="R1555" s="54"/>
      <c r="S1555" s="54"/>
      <c r="T1555" s="54"/>
      <c r="U1555" s="54"/>
      <c r="V1555" s="54"/>
      <c r="W1555" s="54"/>
      <c r="X1555" s="54"/>
      <c r="Y1555" s="54"/>
      <c r="Z1555" s="54"/>
      <c r="AA1555" s="54"/>
      <c r="AB1555" s="54"/>
      <c r="AC1555" s="54"/>
    </row>
    <row r="1556" ht="78.0" customHeight="1">
      <c r="A1556" s="26"/>
      <c r="B1556" s="26"/>
      <c r="C1556" s="28"/>
      <c r="D1556" s="825"/>
      <c r="E1556" s="28"/>
      <c r="F1556" s="28"/>
      <c r="G1556" s="28"/>
      <c r="H1556" s="28"/>
      <c r="I1556" s="28"/>
      <c r="J1556" s="28"/>
      <c r="K1556" s="28"/>
      <c r="L1556" s="28"/>
      <c r="M1556" s="28"/>
      <c r="N1556" s="28"/>
      <c r="O1556" s="28"/>
      <c r="P1556" s="28"/>
      <c r="Q1556" s="28"/>
      <c r="R1556" s="28"/>
      <c r="S1556" s="28"/>
      <c r="T1556" s="28"/>
      <c r="U1556" s="28"/>
      <c r="V1556" s="28"/>
      <c r="W1556" s="28"/>
      <c r="X1556" s="28"/>
      <c r="Y1556" s="28"/>
      <c r="Z1556" s="28"/>
      <c r="AA1556" s="28"/>
      <c r="AB1556" s="28"/>
      <c r="AC1556" s="28"/>
    </row>
    <row r="1557" ht="78.0" customHeight="1">
      <c r="A1557" s="52"/>
      <c r="B1557" s="52"/>
      <c r="C1557" s="54"/>
      <c r="D1557" s="855"/>
      <c r="E1557" s="54"/>
      <c r="F1557" s="54"/>
      <c r="G1557" s="54"/>
      <c r="H1557" s="54"/>
      <c r="I1557" s="54"/>
      <c r="J1557" s="54"/>
      <c r="K1557" s="54"/>
      <c r="L1557" s="54"/>
      <c r="M1557" s="54"/>
      <c r="N1557" s="54"/>
      <c r="O1557" s="54"/>
      <c r="P1557" s="54"/>
      <c r="Q1557" s="54"/>
      <c r="R1557" s="54"/>
      <c r="S1557" s="54"/>
      <c r="T1557" s="54"/>
      <c r="U1557" s="54"/>
      <c r="V1557" s="54"/>
      <c r="W1557" s="54"/>
      <c r="X1557" s="54"/>
      <c r="Y1557" s="54"/>
      <c r="Z1557" s="54"/>
      <c r="AA1557" s="54"/>
      <c r="AB1557" s="54"/>
      <c r="AC1557" s="54"/>
    </row>
    <row r="1558" ht="78.0" customHeight="1">
      <c r="A1558" s="26"/>
      <c r="B1558" s="26"/>
      <c r="C1558" s="28"/>
      <c r="D1558" s="825"/>
      <c r="E1558" s="28"/>
      <c r="F1558" s="28"/>
      <c r="G1558" s="28"/>
      <c r="H1558" s="28"/>
      <c r="I1558" s="28"/>
      <c r="J1558" s="28"/>
      <c r="K1558" s="28"/>
      <c r="L1558" s="28"/>
      <c r="M1558" s="28"/>
      <c r="N1558" s="28"/>
      <c r="O1558" s="28"/>
      <c r="P1558" s="28"/>
      <c r="Q1558" s="28"/>
      <c r="R1558" s="28"/>
      <c r="S1558" s="28"/>
      <c r="T1558" s="28"/>
      <c r="U1558" s="28"/>
      <c r="V1558" s="28"/>
      <c r="W1558" s="28"/>
      <c r="X1558" s="28"/>
      <c r="Y1558" s="28"/>
      <c r="Z1558" s="28"/>
      <c r="AA1558" s="28"/>
      <c r="AB1558" s="28"/>
      <c r="AC1558" s="28"/>
    </row>
    <row r="1559" ht="78.0" customHeight="1">
      <c r="A1559" s="52"/>
      <c r="B1559" s="52"/>
      <c r="C1559" s="54"/>
      <c r="D1559" s="855"/>
      <c r="E1559" s="54"/>
      <c r="F1559" s="54"/>
      <c r="G1559" s="54"/>
      <c r="H1559" s="54"/>
      <c r="I1559" s="54"/>
      <c r="J1559" s="54"/>
      <c r="K1559" s="54"/>
      <c r="L1559" s="54"/>
      <c r="M1559" s="54"/>
      <c r="N1559" s="54"/>
      <c r="O1559" s="54"/>
      <c r="P1559" s="54"/>
      <c r="Q1559" s="54"/>
      <c r="R1559" s="54"/>
      <c r="S1559" s="54"/>
      <c r="T1559" s="54"/>
      <c r="U1559" s="54"/>
      <c r="V1559" s="54"/>
      <c r="W1559" s="54"/>
      <c r="X1559" s="54"/>
      <c r="Y1559" s="54"/>
      <c r="Z1559" s="54"/>
      <c r="AA1559" s="54"/>
      <c r="AB1559" s="54"/>
      <c r="AC1559" s="54"/>
    </row>
    <row r="1560" ht="78.0" customHeight="1">
      <c r="A1560" s="26"/>
      <c r="B1560" s="26"/>
      <c r="C1560" s="28"/>
      <c r="D1560" s="825"/>
      <c r="E1560" s="28"/>
      <c r="F1560" s="28"/>
      <c r="G1560" s="28"/>
      <c r="H1560" s="28"/>
      <c r="I1560" s="28"/>
      <c r="J1560" s="28"/>
      <c r="K1560" s="28"/>
      <c r="L1560" s="28"/>
      <c r="M1560" s="28"/>
      <c r="N1560" s="28"/>
      <c r="O1560" s="28"/>
      <c r="P1560" s="28"/>
      <c r="Q1560" s="28"/>
      <c r="R1560" s="28"/>
      <c r="S1560" s="28"/>
      <c r="T1560" s="28"/>
      <c r="U1560" s="28"/>
      <c r="V1560" s="28"/>
      <c r="W1560" s="28"/>
      <c r="X1560" s="28"/>
      <c r="Y1560" s="28"/>
      <c r="Z1560" s="28"/>
      <c r="AA1560" s="28"/>
      <c r="AB1560" s="28"/>
      <c r="AC1560" s="28"/>
    </row>
    <row r="1561" ht="78.0" customHeight="1">
      <c r="A1561" s="52"/>
      <c r="B1561" s="52"/>
      <c r="C1561" s="54"/>
      <c r="D1561" s="855"/>
      <c r="E1561" s="54"/>
      <c r="F1561" s="54"/>
      <c r="G1561" s="54"/>
      <c r="H1561" s="54"/>
      <c r="I1561" s="54"/>
      <c r="J1561" s="54"/>
      <c r="K1561" s="54"/>
      <c r="L1561" s="54"/>
      <c r="M1561" s="54"/>
      <c r="N1561" s="54"/>
      <c r="O1561" s="54"/>
      <c r="P1561" s="54"/>
      <c r="Q1561" s="54"/>
      <c r="R1561" s="54"/>
      <c r="S1561" s="54"/>
      <c r="T1561" s="54"/>
      <c r="U1561" s="54"/>
      <c r="V1561" s="54"/>
      <c r="W1561" s="54"/>
      <c r="X1561" s="54"/>
      <c r="Y1561" s="54"/>
      <c r="Z1561" s="54"/>
      <c r="AA1561" s="54"/>
      <c r="AB1561" s="54"/>
      <c r="AC1561" s="54"/>
    </row>
    <row r="1562" ht="78.0" customHeight="1">
      <c r="A1562" s="26"/>
      <c r="B1562" s="26"/>
      <c r="C1562" s="28"/>
      <c r="D1562" s="825"/>
      <c r="E1562" s="28"/>
      <c r="F1562" s="28"/>
      <c r="G1562" s="28"/>
      <c r="H1562" s="28"/>
      <c r="I1562" s="28"/>
      <c r="J1562" s="28"/>
      <c r="K1562" s="28"/>
      <c r="L1562" s="28"/>
      <c r="M1562" s="28"/>
      <c r="N1562" s="28"/>
      <c r="O1562" s="28"/>
      <c r="P1562" s="28"/>
      <c r="Q1562" s="28"/>
      <c r="R1562" s="28"/>
      <c r="S1562" s="28"/>
      <c r="T1562" s="28"/>
      <c r="U1562" s="28"/>
      <c r="V1562" s="28"/>
      <c r="W1562" s="28"/>
      <c r="X1562" s="28"/>
      <c r="Y1562" s="28"/>
      <c r="Z1562" s="28"/>
      <c r="AA1562" s="28"/>
      <c r="AB1562" s="28"/>
      <c r="AC1562" s="28"/>
    </row>
    <row r="1563" ht="78.0" customHeight="1">
      <c r="A1563" s="52"/>
      <c r="B1563" s="52"/>
      <c r="C1563" s="54"/>
      <c r="D1563" s="855"/>
      <c r="E1563" s="54"/>
      <c r="F1563" s="54"/>
      <c r="G1563" s="54"/>
      <c r="H1563" s="54"/>
      <c r="I1563" s="54"/>
      <c r="J1563" s="54"/>
      <c r="K1563" s="54"/>
      <c r="L1563" s="54"/>
      <c r="M1563" s="54"/>
      <c r="N1563" s="54"/>
      <c r="O1563" s="54"/>
      <c r="P1563" s="54"/>
      <c r="Q1563" s="54"/>
      <c r="R1563" s="54"/>
      <c r="S1563" s="54"/>
      <c r="T1563" s="54"/>
      <c r="U1563" s="54"/>
      <c r="V1563" s="54"/>
      <c r="W1563" s="54"/>
      <c r="X1563" s="54"/>
      <c r="Y1563" s="54"/>
      <c r="Z1563" s="54"/>
      <c r="AA1563" s="54"/>
      <c r="AB1563" s="54"/>
      <c r="AC1563" s="54"/>
    </row>
    <row r="1564" ht="78.0" customHeight="1">
      <c r="A1564" s="26"/>
      <c r="B1564" s="26"/>
      <c r="C1564" s="28"/>
      <c r="D1564" s="825"/>
      <c r="E1564" s="28"/>
      <c r="F1564" s="28"/>
      <c r="G1564" s="28"/>
      <c r="H1564" s="28"/>
      <c r="I1564" s="28"/>
      <c r="J1564" s="28"/>
      <c r="K1564" s="28"/>
      <c r="L1564" s="28"/>
      <c r="M1564" s="28"/>
      <c r="N1564" s="28"/>
      <c r="O1564" s="28"/>
      <c r="P1564" s="28"/>
      <c r="Q1564" s="28"/>
      <c r="R1564" s="28"/>
      <c r="S1564" s="28"/>
      <c r="T1564" s="28"/>
      <c r="U1564" s="28"/>
      <c r="V1564" s="28"/>
      <c r="W1564" s="28"/>
      <c r="X1564" s="28"/>
      <c r="Y1564" s="28"/>
      <c r="Z1564" s="28"/>
      <c r="AA1564" s="28"/>
      <c r="AB1564" s="28"/>
      <c r="AC1564" s="28"/>
    </row>
    <row r="1565" ht="78.0" customHeight="1">
      <c r="A1565" s="52"/>
      <c r="B1565" s="52"/>
      <c r="C1565" s="54"/>
      <c r="D1565" s="855"/>
      <c r="E1565" s="54"/>
      <c r="F1565" s="54"/>
      <c r="G1565" s="54"/>
      <c r="H1565" s="54"/>
      <c r="I1565" s="54"/>
      <c r="J1565" s="54"/>
      <c r="K1565" s="54"/>
      <c r="L1565" s="54"/>
      <c r="M1565" s="54"/>
      <c r="N1565" s="54"/>
      <c r="O1565" s="54"/>
      <c r="P1565" s="54"/>
      <c r="Q1565" s="54"/>
      <c r="R1565" s="54"/>
      <c r="S1565" s="54"/>
      <c r="T1565" s="54"/>
      <c r="U1565" s="54"/>
      <c r="V1565" s="54"/>
      <c r="W1565" s="54"/>
      <c r="X1565" s="54"/>
      <c r="Y1565" s="54"/>
      <c r="Z1565" s="54"/>
      <c r="AA1565" s="54"/>
      <c r="AB1565" s="54"/>
      <c r="AC1565" s="54"/>
    </row>
    <row r="1566" ht="78.0" customHeight="1">
      <c r="A1566" s="26"/>
      <c r="B1566" s="26"/>
      <c r="C1566" s="28"/>
      <c r="D1566" s="825"/>
      <c r="E1566" s="28"/>
      <c r="F1566" s="28"/>
      <c r="G1566" s="28"/>
      <c r="H1566" s="28"/>
      <c r="I1566" s="28"/>
      <c r="J1566" s="28"/>
      <c r="K1566" s="28"/>
      <c r="L1566" s="28"/>
      <c r="M1566" s="28"/>
      <c r="N1566" s="28"/>
      <c r="O1566" s="28"/>
      <c r="P1566" s="28"/>
      <c r="Q1566" s="28"/>
      <c r="R1566" s="28"/>
      <c r="S1566" s="28"/>
      <c r="T1566" s="28"/>
      <c r="U1566" s="28"/>
      <c r="V1566" s="28"/>
      <c r="W1566" s="28"/>
      <c r="X1566" s="28"/>
      <c r="Y1566" s="28"/>
      <c r="Z1566" s="28"/>
      <c r="AA1566" s="28"/>
      <c r="AB1566" s="28"/>
      <c r="AC1566" s="28"/>
    </row>
    <row r="1567" ht="78.0" customHeight="1">
      <c r="A1567" s="52"/>
      <c r="B1567" s="52"/>
      <c r="C1567" s="54"/>
      <c r="D1567" s="855"/>
      <c r="E1567" s="54"/>
      <c r="F1567" s="54"/>
      <c r="G1567" s="54"/>
      <c r="H1567" s="54"/>
      <c r="I1567" s="54"/>
      <c r="J1567" s="54"/>
      <c r="K1567" s="54"/>
      <c r="L1567" s="54"/>
      <c r="M1567" s="54"/>
      <c r="N1567" s="54"/>
      <c r="O1567" s="54"/>
      <c r="P1567" s="54"/>
      <c r="Q1567" s="54"/>
      <c r="R1567" s="54"/>
      <c r="S1567" s="54"/>
      <c r="T1567" s="54"/>
      <c r="U1567" s="54"/>
      <c r="V1567" s="54"/>
      <c r="W1567" s="54"/>
      <c r="X1567" s="54"/>
      <c r="Y1567" s="54"/>
      <c r="Z1567" s="54"/>
      <c r="AA1567" s="54"/>
      <c r="AB1567" s="54"/>
      <c r="AC1567" s="54"/>
    </row>
    <row r="1568" ht="78.0" customHeight="1">
      <c r="A1568" s="26"/>
      <c r="B1568" s="26"/>
      <c r="C1568" s="28"/>
      <c r="D1568" s="825"/>
      <c r="E1568" s="28"/>
      <c r="F1568" s="28"/>
      <c r="G1568" s="28"/>
      <c r="H1568" s="28"/>
      <c r="I1568" s="28"/>
      <c r="J1568" s="28"/>
      <c r="K1568" s="28"/>
      <c r="L1568" s="28"/>
      <c r="M1568" s="28"/>
      <c r="N1568" s="28"/>
      <c r="O1568" s="28"/>
      <c r="P1568" s="28"/>
      <c r="Q1568" s="28"/>
      <c r="R1568" s="28"/>
      <c r="S1568" s="28"/>
      <c r="T1568" s="28"/>
      <c r="U1568" s="28"/>
      <c r="V1568" s="28"/>
      <c r="W1568" s="28"/>
      <c r="X1568" s="28"/>
      <c r="Y1568" s="28"/>
      <c r="Z1568" s="28"/>
      <c r="AA1568" s="28"/>
      <c r="AB1568" s="28"/>
      <c r="AC1568" s="28"/>
    </row>
    <row r="1569" ht="78.0" customHeight="1">
      <c r="A1569" s="52"/>
      <c r="B1569" s="52"/>
      <c r="C1569" s="54"/>
      <c r="D1569" s="855"/>
      <c r="E1569" s="54"/>
      <c r="F1569" s="54"/>
      <c r="G1569" s="54"/>
      <c r="H1569" s="54"/>
      <c r="I1569" s="54"/>
      <c r="J1569" s="54"/>
      <c r="K1569" s="54"/>
      <c r="L1569" s="54"/>
      <c r="M1569" s="54"/>
      <c r="N1569" s="54"/>
      <c r="O1569" s="54"/>
      <c r="P1569" s="54"/>
      <c r="Q1569" s="54"/>
      <c r="R1569" s="54"/>
      <c r="S1569" s="54"/>
      <c r="T1569" s="54"/>
      <c r="U1569" s="54"/>
      <c r="V1569" s="54"/>
      <c r="W1569" s="54"/>
      <c r="X1569" s="54"/>
      <c r="Y1569" s="54"/>
      <c r="Z1569" s="54"/>
      <c r="AA1569" s="54"/>
      <c r="AB1569" s="54"/>
      <c r="AC1569" s="54"/>
    </row>
    <row r="1570" ht="78.0" customHeight="1">
      <c r="A1570" s="26"/>
      <c r="B1570" s="26"/>
      <c r="C1570" s="28"/>
      <c r="D1570" s="825"/>
      <c r="E1570" s="28"/>
      <c r="F1570" s="28"/>
      <c r="G1570" s="28"/>
      <c r="H1570" s="28"/>
      <c r="I1570" s="28"/>
      <c r="J1570" s="28"/>
      <c r="K1570" s="28"/>
      <c r="L1570" s="28"/>
      <c r="M1570" s="28"/>
      <c r="N1570" s="28"/>
      <c r="O1570" s="28"/>
      <c r="P1570" s="28"/>
      <c r="Q1570" s="28"/>
      <c r="R1570" s="28"/>
      <c r="S1570" s="28"/>
      <c r="T1570" s="28"/>
      <c r="U1570" s="28"/>
      <c r="V1570" s="28"/>
      <c r="W1570" s="28"/>
      <c r="X1570" s="28"/>
      <c r="Y1570" s="28"/>
      <c r="Z1570" s="28"/>
      <c r="AA1570" s="28"/>
      <c r="AB1570" s="28"/>
      <c r="AC1570" s="28"/>
    </row>
    <row r="1571" ht="78.0" customHeight="1">
      <c r="A1571" s="52"/>
      <c r="B1571" s="52"/>
      <c r="C1571" s="54"/>
      <c r="D1571" s="855"/>
      <c r="E1571" s="54"/>
      <c r="F1571" s="54"/>
      <c r="G1571" s="54"/>
      <c r="H1571" s="54"/>
      <c r="I1571" s="54"/>
      <c r="J1571" s="54"/>
      <c r="K1571" s="54"/>
      <c r="L1571" s="54"/>
      <c r="M1571" s="54"/>
      <c r="N1571" s="54"/>
      <c r="O1571" s="54"/>
      <c r="P1571" s="54"/>
      <c r="Q1571" s="54"/>
      <c r="R1571" s="54"/>
      <c r="S1571" s="54"/>
      <c r="T1571" s="54"/>
      <c r="U1571" s="54"/>
      <c r="V1571" s="54"/>
      <c r="W1571" s="54"/>
      <c r="X1571" s="54"/>
      <c r="Y1571" s="54"/>
      <c r="Z1571" s="54"/>
      <c r="AA1571" s="54"/>
      <c r="AB1571" s="54"/>
      <c r="AC1571" s="54"/>
    </row>
    <row r="1572" ht="78.0" customHeight="1">
      <c r="A1572" s="26"/>
      <c r="B1572" s="26"/>
      <c r="C1572" s="28"/>
      <c r="D1572" s="825"/>
      <c r="E1572" s="28"/>
      <c r="F1572" s="28"/>
      <c r="G1572" s="28"/>
      <c r="H1572" s="28"/>
      <c r="I1572" s="28"/>
      <c r="J1572" s="28"/>
      <c r="K1572" s="28"/>
      <c r="L1572" s="28"/>
      <c r="M1572" s="28"/>
      <c r="N1572" s="28"/>
      <c r="O1572" s="28"/>
      <c r="P1572" s="28"/>
      <c r="Q1572" s="28"/>
      <c r="R1572" s="28"/>
      <c r="S1572" s="28"/>
      <c r="T1572" s="28"/>
      <c r="U1572" s="28"/>
      <c r="V1572" s="28"/>
      <c r="W1572" s="28"/>
      <c r="X1572" s="28"/>
      <c r="Y1572" s="28"/>
      <c r="Z1572" s="28"/>
      <c r="AA1572" s="28"/>
      <c r="AB1572" s="28"/>
      <c r="AC1572" s="28"/>
    </row>
    <row r="1573" ht="78.0" customHeight="1">
      <c r="A1573" s="52"/>
      <c r="B1573" s="52"/>
      <c r="C1573" s="54"/>
      <c r="D1573" s="855"/>
      <c r="E1573" s="54"/>
      <c r="F1573" s="54"/>
      <c r="G1573" s="54"/>
      <c r="H1573" s="54"/>
      <c r="I1573" s="54"/>
      <c r="J1573" s="54"/>
      <c r="K1573" s="54"/>
      <c r="L1573" s="54"/>
      <c r="M1573" s="54"/>
      <c r="N1573" s="54"/>
      <c r="O1573" s="54"/>
      <c r="P1573" s="54"/>
      <c r="Q1573" s="54"/>
      <c r="R1573" s="54"/>
      <c r="S1573" s="54"/>
      <c r="T1573" s="54"/>
      <c r="U1573" s="54"/>
      <c r="V1573" s="54"/>
      <c r="W1573" s="54"/>
      <c r="X1573" s="54"/>
      <c r="Y1573" s="54"/>
      <c r="Z1573" s="54"/>
      <c r="AA1573" s="54"/>
      <c r="AB1573" s="54"/>
      <c r="AC1573" s="54"/>
    </row>
    <row r="1574" ht="78.0" customHeight="1">
      <c r="A1574" s="26"/>
      <c r="B1574" s="26"/>
      <c r="C1574" s="28"/>
      <c r="D1574" s="825"/>
      <c r="E1574" s="28"/>
      <c r="F1574" s="28"/>
      <c r="G1574" s="28"/>
      <c r="H1574" s="28"/>
      <c r="I1574" s="28"/>
      <c r="J1574" s="28"/>
      <c r="K1574" s="28"/>
      <c r="L1574" s="28"/>
      <c r="M1574" s="28"/>
      <c r="N1574" s="28"/>
      <c r="O1574" s="28"/>
      <c r="P1574" s="28"/>
      <c r="Q1574" s="28"/>
      <c r="R1574" s="28"/>
      <c r="S1574" s="28"/>
      <c r="T1574" s="28"/>
      <c r="U1574" s="28"/>
      <c r="V1574" s="28"/>
      <c r="W1574" s="28"/>
      <c r="X1574" s="28"/>
      <c r="Y1574" s="28"/>
      <c r="Z1574" s="28"/>
      <c r="AA1574" s="28"/>
      <c r="AB1574" s="28"/>
      <c r="AC1574" s="28"/>
    </row>
    <row r="1575" ht="78.0" customHeight="1">
      <c r="A1575" s="52"/>
      <c r="B1575" s="52"/>
      <c r="C1575" s="54"/>
      <c r="D1575" s="855"/>
      <c r="E1575" s="54"/>
      <c r="F1575" s="54"/>
      <c r="G1575" s="54"/>
      <c r="H1575" s="54"/>
      <c r="I1575" s="54"/>
      <c r="J1575" s="54"/>
      <c r="K1575" s="54"/>
      <c r="L1575" s="54"/>
      <c r="M1575" s="54"/>
      <c r="N1575" s="54"/>
      <c r="O1575" s="54"/>
      <c r="P1575" s="54"/>
      <c r="Q1575" s="54"/>
      <c r="R1575" s="54"/>
      <c r="S1575" s="54"/>
      <c r="T1575" s="54"/>
      <c r="U1575" s="54"/>
      <c r="V1575" s="54"/>
      <c r="W1575" s="54"/>
      <c r="X1575" s="54"/>
      <c r="Y1575" s="54"/>
      <c r="Z1575" s="54"/>
      <c r="AA1575" s="54"/>
      <c r="AB1575" s="54"/>
      <c r="AC1575" s="54"/>
    </row>
    <row r="1576" ht="78.0" customHeight="1">
      <c r="A1576" s="26"/>
      <c r="B1576" s="26"/>
      <c r="C1576" s="28"/>
      <c r="D1576" s="825"/>
      <c r="E1576" s="28"/>
      <c r="F1576" s="28"/>
      <c r="G1576" s="28"/>
      <c r="H1576" s="28"/>
      <c r="I1576" s="28"/>
      <c r="J1576" s="28"/>
      <c r="K1576" s="28"/>
      <c r="L1576" s="28"/>
      <c r="M1576" s="28"/>
      <c r="N1576" s="28"/>
      <c r="O1576" s="28"/>
      <c r="P1576" s="28"/>
      <c r="Q1576" s="28"/>
      <c r="R1576" s="28"/>
      <c r="S1576" s="28"/>
      <c r="T1576" s="28"/>
      <c r="U1576" s="28"/>
      <c r="V1576" s="28"/>
      <c r="W1576" s="28"/>
      <c r="X1576" s="28"/>
      <c r="Y1576" s="28"/>
      <c r="Z1576" s="28"/>
      <c r="AA1576" s="28"/>
      <c r="AB1576" s="28"/>
      <c r="AC1576" s="28"/>
    </row>
    <row r="1577" ht="78.0" customHeight="1">
      <c r="A1577" s="52"/>
      <c r="B1577" s="52"/>
      <c r="C1577" s="54"/>
      <c r="D1577" s="855"/>
      <c r="E1577" s="54"/>
      <c r="F1577" s="54"/>
      <c r="G1577" s="54"/>
      <c r="H1577" s="54"/>
      <c r="I1577" s="54"/>
      <c r="J1577" s="54"/>
      <c r="K1577" s="54"/>
      <c r="L1577" s="54"/>
      <c r="M1577" s="54"/>
      <c r="N1577" s="54"/>
      <c r="O1577" s="54"/>
      <c r="P1577" s="54"/>
      <c r="Q1577" s="54"/>
      <c r="R1577" s="54"/>
      <c r="S1577" s="54"/>
      <c r="T1577" s="54"/>
      <c r="U1577" s="54"/>
      <c r="V1577" s="54"/>
      <c r="W1577" s="54"/>
      <c r="X1577" s="54"/>
      <c r="Y1577" s="54"/>
      <c r="Z1577" s="54"/>
      <c r="AA1577" s="54"/>
      <c r="AB1577" s="54"/>
      <c r="AC1577" s="54"/>
    </row>
    <row r="1578" ht="78.0" customHeight="1">
      <c r="A1578" s="26"/>
      <c r="B1578" s="26"/>
      <c r="C1578" s="28"/>
      <c r="D1578" s="825"/>
      <c r="E1578" s="28"/>
      <c r="F1578" s="28"/>
      <c r="G1578" s="28"/>
      <c r="H1578" s="28"/>
      <c r="I1578" s="28"/>
      <c r="J1578" s="28"/>
      <c r="K1578" s="28"/>
      <c r="L1578" s="28"/>
      <c r="M1578" s="28"/>
      <c r="N1578" s="28"/>
      <c r="O1578" s="28"/>
      <c r="P1578" s="28"/>
      <c r="Q1578" s="28"/>
      <c r="R1578" s="28"/>
      <c r="S1578" s="28"/>
      <c r="T1578" s="28"/>
      <c r="U1578" s="28"/>
      <c r="V1578" s="28"/>
      <c r="W1578" s="28"/>
      <c r="X1578" s="28"/>
      <c r="Y1578" s="28"/>
      <c r="Z1578" s="28"/>
      <c r="AA1578" s="28"/>
      <c r="AB1578" s="28"/>
      <c r="AC1578" s="28"/>
    </row>
    <row r="1579" ht="78.0" customHeight="1">
      <c r="A1579" s="52"/>
      <c r="B1579" s="52"/>
      <c r="C1579" s="54"/>
      <c r="D1579" s="855"/>
      <c r="E1579" s="54"/>
      <c r="F1579" s="54"/>
      <c r="G1579" s="54"/>
      <c r="H1579" s="54"/>
      <c r="I1579" s="54"/>
      <c r="J1579" s="54"/>
      <c r="K1579" s="54"/>
      <c r="L1579" s="54"/>
      <c r="M1579" s="54"/>
      <c r="N1579" s="54"/>
      <c r="O1579" s="54"/>
      <c r="P1579" s="54"/>
      <c r="Q1579" s="54"/>
      <c r="R1579" s="54"/>
      <c r="S1579" s="54"/>
      <c r="T1579" s="54"/>
      <c r="U1579" s="54"/>
      <c r="V1579" s="54"/>
      <c r="W1579" s="54"/>
      <c r="X1579" s="54"/>
      <c r="Y1579" s="54"/>
      <c r="Z1579" s="54"/>
      <c r="AA1579" s="54"/>
      <c r="AB1579" s="54"/>
      <c r="AC1579" s="54"/>
    </row>
    <row r="1580" ht="78.0" customHeight="1">
      <c r="A1580" s="26"/>
      <c r="B1580" s="26"/>
      <c r="C1580" s="28"/>
      <c r="D1580" s="825"/>
      <c r="E1580" s="28"/>
      <c r="F1580" s="28"/>
      <c r="G1580" s="28"/>
      <c r="H1580" s="28"/>
      <c r="I1580" s="28"/>
      <c r="J1580" s="28"/>
      <c r="K1580" s="28"/>
      <c r="L1580" s="28"/>
      <c r="M1580" s="28"/>
      <c r="N1580" s="28"/>
      <c r="O1580" s="28"/>
      <c r="P1580" s="28"/>
      <c r="Q1580" s="28"/>
      <c r="R1580" s="28"/>
      <c r="S1580" s="28"/>
      <c r="T1580" s="28"/>
      <c r="U1580" s="28"/>
      <c r="V1580" s="28"/>
      <c r="W1580" s="28"/>
      <c r="X1580" s="28"/>
      <c r="Y1580" s="28"/>
      <c r="Z1580" s="28"/>
      <c r="AA1580" s="28"/>
      <c r="AB1580" s="28"/>
      <c r="AC1580" s="28"/>
    </row>
    <row r="1581" ht="78.0" customHeight="1">
      <c r="A1581" s="52"/>
      <c r="B1581" s="52"/>
      <c r="C1581" s="54"/>
      <c r="D1581" s="855"/>
      <c r="E1581" s="54"/>
      <c r="F1581" s="54"/>
      <c r="G1581" s="54"/>
      <c r="H1581" s="54"/>
      <c r="I1581" s="54"/>
      <c r="J1581" s="54"/>
      <c r="K1581" s="54"/>
      <c r="L1581" s="54"/>
      <c r="M1581" s="54"/>
      <c r="N1581" s="54"/>
      <c r="O1581" s="54"/>
      <c r="P1581" s="54"/>
      <c r="Q1581" s="54"/>
      <c r="R1581" s="54"/>
      <c r="S1581" s="54"/>
      <c r="T1581" s="54"/>
      <c r="U1581" s="54"/>
      <c r="V1581" s="54"/>
      <c r="W1581" s="54"/>
      <c r="X1581" s="54"/>
      <c r="Y1581" s="54"/>
      <c r="Z1581" s="54"/>
      <c r="AA1581" s="54"/>
      <c r="AB1581" s="54"/>
      <c r="AC1581" s="54"/>
    </row>
    <row r="1582" ht="78.0" customHeight="1">
      <c r="A1582" s="26"/>
      <c r="B1582" s="26"/>
      <c r="C1582" s="28"/>
      <c r="D1582" s="825"/>
      <c r="E1582" s="28"/>
      <c r="F1582" s="28"/>
      <c r="G1582" s="28"/>
      <c r="H1582" s="28"/>
      <c r="I1582" s="28"/>
      <c r="J1582" s="28"/>
      <c r="K1582" s="28"/>
      <c r="L1582" s="28"/>
      <c r="M1582" s="28"/>
      <c r="N1582" s="28"/>
      <c r="O1582" s="28"/>
      <c r="P1582" s="28"/>
      <c r="Q1582" s="28"/>
      <c r="R1582" s="28"/>
      <c r="S1582" s="28"/>
      <c r="T1582" s="28"/>
      <c r="U1582" s="28"/>
      <c r="V1582" s="28"/>
      <c r="W1582" s="28"/>
      <c r="X1582" s="28"/>
      <c r="Y1582" s="28"/>
      <c r="Z1582" s="28"/>
      <c r="AA1582" s="28"/>
      <c r="AB1582" s="28"/>
      <c r="AC1582" s="28"/>
    </row>
    <row r="1583" ht="78.0" customHeight="1">
      <c r="A1583" s="52"/>
      <c r="B1583" s="52"/>
      <c r="C1583" s="54"/>
      <c r="D1583" s="855"/>
      <c r="E1583" s="54"/>
      <c r="F1583" s="54"/>
      <c r="G1583" s="54"/>
      <c r="H1583" s="54"/>
      <c r="I1583" s="54"/>
      <c r="J1583" s="54"/>
      <c r="K1583" s="54"/>
      <c r="L1583" s="54"/>
      <c r="M1583" s="54"/>
      <c r="N1583" s="54"/>
      <c r="O1583" s="54"/>
      <c r="P1583" s="54"/>
      <c r="Q1583" s="54"/>
      <c r="R1583" s="54"/>
      <c r="S1583" s="54"/>
      <c r="T1583" s="54"/>
      <c r="U1583" s="54"/>
      <c r="V1583" s="54"/>
      <c r="W1583" s="54"/>
      <c r="X1583" s="54"/>
      <c r="Y1583" s="54"/>
      <c r="Z1583" s="54"/>
      <c r="AA1583" s="54"/>
      <c r="AB1583" s="54"/>
      <c r="AC1583" s="54"/>
    </row>
    <row r="1584" ht="78.0" customHeight="1">
      <c r="A1584" s="26"/>
      <c r="B1584" s="26"/>
      <c r="C1584" s="28"/>
      <c r="D1584" s="825"/>
      <c r="E1584" s="28"/>
      <c r="F1584" s="28"/>
      <c r="G1584" s="28"/>
      <c r="H1584" s="28"/>
      <c r="I1584" s="28"/>
      <c r="J1584" s="28"/>
      <c r="K1584" s="28"/>
      <c r="L1584" s="28"/>
      <c r="M1584" s="28"/>
      <c r="N1584" s="28"/>
      <c r="O1584" s="28"/>
      <c r="P1584" s="28"/>
      <c r="Q1584" s="28"/>
      <c r="R1584" s="28"/>
      <c r="S1584" s="28"/>
      <c r="T1584" s="28"/>
      <c r="U1584" s="28"/>
      <c r="V1584" s="28"/>
      <c r="W1584" s="28"/>
      <c r="X1584" s="28"/>
      <c r="Y1584" s="28"/>
      <c r="Z1584" s="28"/>
      <c r="AA1584" s="28"/>
      <c r="AB1584" s="28"/>
      <c r="AC1584" s="28"/>
    </row>
    <row r="1585" ht="78.0" customHeight="1">
      <c r="A1585" s="52"/>
      <c r="B1585" s="52"/>
      <c r="C1585" s="54"/>
      <c r="D1585" s="855"/>
      <c r="E1585" s="54"/>
      <c r="F1585" s="54"/>
      <c r="G1585" s="54"/>
      <c r="H1585" s="54"/>
      <c r="I1585" s="54"/>
      <c r="J1585" s="54"/>
      <c r="K1585" s="54"/>
      <c r="L1585" s="54"/>
      <c r="M1585" s="54"/>
      <c r="N1585" s="54"/>
      <c r="O1585" s="54"/>
      <c r="P1585" s="54"/>
      <c r="Q1585" s="54"/>
      <c r="R1585" s="54"/>
      <c r="S1585" s="54"/>
      <c r="T1585" s="54"/>
      <c r="U1585" s="54"/>
      <c r="V1585" s="54"/>
      <c r="W1585" s="54"/>
      <c r="X1585" s="54"/>
      <c r="Y1585" s="54"/>
      <c r="Z1585" s="54"/>
      <c r="AA1585" s="54"/>
      <c r="AB1585" s="54"/>
      <c r="AC1585" s="54"/>
    </row>
    <row r="1586" ht="78.0" customHeight="1">
      <c r="A1586" s="26"/>
      <c r="B1586" s="26"/>
      <c r="C1586" s="28"/>
      <c r="D1586" s="825"/>
      <c r="E1586" s="28"/>
      <c r="F1586" s="28"/>
      <c r="G1586" s="28"/>
      <c r="H1586" s="28"/>
      <c r="I1586" s="28"/>
      <c r="J1586" s="28"/>
      <c r="K1586" s="28"/>
      <c r="L1586" s="28"/>
      <c r="M1586" s="28"/>
      <c r="N1586" s="28"/>
      <c r="O1586" s="28"/>
      <c r="P1586" s="28"/>
      <c r="Q1586" s="28"/>
      <c r="R1586" s="28"/>
      <c r="S1586" s="28"/>
      <c r="T1586" s="28"/>
      <c r="U1586" s="28"/>
      <c r="V1586" s="28"/>
      <c r="W1586" s="28"/>
      <c r="X1586" s="28"/>
      <c r="Y1586" s="28"/>
      <c r="Z1586" s="28"/>
      <c r="AA1586" s="28"/>
      <c r="AB1586" s="28"/>
      <c r="AC1586" s="28"/>
    </row>
    <row r="1587" ht="78.0" customHeight="1">
      <c r="A1587" s="52"/>
      <c r="B1587" s="52"/>
      <c r="C1587" s="54"/>
      <c r="D1587" s="855"/>
      <c r="E1587" s="54"/>
      <c r="F1587" s="54"/>
      <c r="G1587" s="54"/>
      <c r="H1587" s="54"/>
      <c r="I1587" s="54"/>
      <c r="J1587" s="54"/>
      <c r="K1587" s="54"/>
      <c r="L1587" s="54"/>
      <c r="M1587" s="54"/>
      <c r="N1587" s="54"/>
      <c r="O1587" s="54"/>
      <c r="P1587" s="54"/>
      <c r="Q1587" s="54"/>
      <c r="R1587" s="54"/>
      <c r="S1587" s="54"/>
      <c r="T1587" s="54"/>
      <c r="U1587" s="54"/>
      <c r="V1587" s="54"/>
      <c r="W1587" s="54"/>
      <c r="X1587" s="54"/>
      <c r="Y1587" s="54"/>
      <c r="Z1587" s="54"/>
      <c r="AA1587" s="54"/>
      <c r="AB1587" s="54"/>
      <c r="AC1587" s="54"/>
    </row>
    <row r="1588" ht="78.0" customHeight="1">
      <c r="A1588" s="26"/>
      <c r="B1588" s="26"/>
      <c r="C1588" s="28"/>
      <c r="D1588" s="825"/>
      <c r="E1588" s="28"/>
      <c r="F1588" s="28"/>
      <c r="G1588" s="28"/>
      <c r="H1588" s="28"/>
      <c r="I1588" s="28"/>
      <c r="J1588" s="28"/>
      <c r="K1588" s="28"/>
      <c r="L1588" s="28"/>
      <c r="M1588" s="28"/>
      <c r="N1588" s="28"/>
      <c r="O1588" s="28"/>
      <c r="P1588" s="28"/>
      <c r="Q1588" s="28"/>
      <c r="R1588" s="28"/>
      <c r="S1588" s="28"/>
      <c r="T1588" s="28"/>
      <c r="U1588" s="28"/>
      <c r="V1588" s="28"/>
      <c r="W1588" s="28"/>
      <c r="X1588" s="28"/>
      <c r="Y1588" s="28"/>
      <c r="Z1588" s="28"/>
      <c r="AA1588" s="28"/>
      <c r="AB1588" s="28"/>
      <c r="AC1588" s="28"/>
    </row>
    <row r="1589" ht="78.0" customHeight="1">
      <c r="A1589" s="52"/>
      <c r="B1589" s="52"/>
      <c r="C1589" s="54"/>
      <c r="D1589" s="855"/>
      <c r="E1589" s="54"/>
      <c r="F1589" s="54"/>
      <c r="G1589" s="54"/>
      <c r="H1589" s="54"/>
      <c r="I1589" s="54"/>
      <c r="J1589" s="54"/>
      <c r="K1589" s="54"/>
      <c r="L1589" s="54"/>
      <c r="M1589" s="54"/>
      <c r="N1589" s="54"/>
      <c r="O1589" s="54"/>
      <c r="P1589" s="54"/>
      <c r="Q1589" s="54"/>
      <c r="R1589" s="54"/>
      <c r="S1589" s="54"/>
      <c r="T1589" s="54"/>
      <c r="U1589" s="54"/>
      <c r="V1589" s="54"/>
      <c r="W1589" s="54"/>
      <c r="X1589" s="54"/>
      <c r="Y1589" s="54"/>
      <c r="Z1589" s="54"/>
      <c r="AA1589" s="54"/>
      <c r="AB1589" s="54"/>
      <c r="AC1589" s="54"/>
    </row>
    <row r="1590" ht="78.0" customHeight="1">
      <c r="A1590" s="26"/>
      <c r="B1590" s="26"/>
      <c r="C1590" s="28"/>
      <c r="D1590" s="825"/>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row>
    <row r="1591" ht="78.0" customHeight="1">
      <c r="A1591" s="52"/>
      <c r="B1591" s="52"/>
      <c r="C1591" s="54"/>
      <c r="D1591" s="855"/>
      <c r="E1591" s="54"/>
      <c r="F1591" s="54"/>
      <c r="G1591" s="54"/>
      <c r="H1591" s="54"/>
      <c r="I1591" s="54"/>
      <c r="J1591" s="54"/>
      <c r="K1591" s="54"/>
      <c r="L1591" s="54"/>
      <c r="M1591" s="54"/>
      <c r="N1591" s="54"/>
      <c r="O1591" s="54"/>
      <c r="P1591" s="54"/>
      <c r="Q1591" s="54"/>
      <c r="R1591" s="54"/>
      <c r="S1591" s="54"/>
      <c r="T1591" s="54"/>
      <c r="U1591" s="54"/>
      <c r="V1591" s="54"/>
      <c r="W1591" s="54"/>
      <c r="X1591" s="54"/>
      <c r="Y1591" s="54"/>
      <c r="Z1591" s="54"/>
      <c r="AA1591" s="54"/>
      <c r="AB1591" s="54"/>
      <c r="AC1591" s="54"/>
    </row>
    <row r="1592" ht="78.0" customHeight="1">
      <c r="A1592" s="26"/>
      <c r="B1592" s="26"/>
      <c r="C1592" s="28"/>
      <c r="D1592" s="825"/>
      <c r="E1592" s="28"/>
      <c r="F1592" s="28"/>
      <c r="G1592" s="28"/>
      <c r="H1592" s="28"/>
      <c r="I1592" s="28"/>
      <c r="J1592" s="28"/>
      <c r="K1592" s="28"/>
      <c r="L1592" s="28"/>
      <c r="M1592" s="28"/>
      <c r="N1592" s="28"/>
      <c r="O1592" s="28"/>
      <c r="P1592" s="28"/>
      <c r="Q1592" s="28"/>
      <c r="R1592" s="28"/>
      <c r="S1592" s="28"/>
      <c r="T1592" s="28"/>
      <c r="U1592" s="28"/>
      <c r="V1592" s="28"/>
      <c r="W1592" s="28"/>
      <c r="X1592" s="28"/>
      <c r="Y1592" s="28"/>
      <c r="Z1592" s="28"/>
      <c r="AA1592" s="28"/>
      <c r="AB1592" s="28"/>
      <c r="AC1592" s="28"/>
    </row>
    <row r="1593" ht="78.0" customHeight="1">
      <c r="A1593" s="52"/>
      <c r="B1593" s="52"/>
      <c r="C1593" s="54"/>
      <c r="D1593" s="855"/>
      <c r="E1593" s="54"/>
      <c r="F1593" s="54"/>
      <c r="G1593" s="54"/>
      <c r="H1593" s="54"/>
      <c r="I1593" s="54"/>
      <c r="J1593" s="54"/>
      <c r="K1593" s="54"/>
      <c r="L1593" s="54"/>
      <c r="M1593" s="54"/>
      <c r="N1593" s="54"/>
      <c r="O1593" s="54"/>
      <c r="P1593" s="54"/>
      <c r="Q1593" s="54"/>
      <c r="R1593" s="54"/>
      <c r="S1593" s="54"/>
      <c r="T1593" s="54"/>
      <c r="U1593" s="54"/>
      <c r="V1593" s="54"/>
      <c r="W1593" s="54"/>
      <c r="X1593" s="54"/>
      <c r="Y1593" s="54"/>
      <c r="Z1593" s="54"/>
      <c r="AA1593" s="54"/>
      <c r="AB1593" s="54"/>
      <c r="AC1593" s="54"/>
    </row>
    <row r="1594" ht="78.0" customHeight="1">
      <c r="A1594" s="26"/>
      <c r="B1594" s="26"/>
      <c r="C1594" s="28"/>
      <c r="D1594" s="825"/>
      <c r="E1594" s="28"/>
      <c r="F1594" s="28"/>
      <c r="G1594" s="28"/>
      <c r="H1594" s="28"/>
      <c r="I1594" s="28"/>
      <c r="J1594" s="28"/>
      <c r="K1594" s="28"/>
      <c r="L1594" s="28"/>
      <c r="M1594" s="28"/>
      <c r="N1594" s="28"/>
      <c r="O1594" s="28"/>
      <c r="P1594" s="28"/>
      <c r="Q1594" s="28"/>
      <c r="R1594" s="28"/>
      <c r="S1594" s="28"/>
      <c r="T1594" s="28"/>
      <c r="U1594" s="28"/>
      <c r="V1594" s="28"/>
      <c r="W1594" s="28"/>
      <c r="X1594" s="28"/>
      <c r="Y1594" s="28"/>
      <c r="Z1594" s="28"/>
      <c r="AA1594" s="28"/>
      <c r="AB1594" s="28"/>
      <c r="AC1594" s="28"/>
    </row>
    <row r="1595" ht="78.0" customHeight="1">
      <c r="A1595" s="52"/>
      <c r="B1595" s="52"/>
      <c r="C1595" s="54"/>
      <c r="D1595" s="855"/>
      <c r="E1595" s="54"/>
      <c r="F1595" s="54"/>
      <c r="G1595" s="54"/>
      <c r="H1595" s="54"/>
      <c r="I1595" s="54"/>
      <c r="J1595" s="54"/>
      <c r="K1595" s="54"/>
      <c r="L1595" s="54"/>
      <c r="M1595" s="54"/>
      <c r="N1595" s="54"/>
      <c r="O1595" s="54"/>
      <c r="P1595" s="54"/>
      <c r="Q1595" s="54"/>
      <c r="R1595" s="54"/>
      <c r="S1595" s="54"/>
      <c r="T1595" s="54"/>
      <c r="U1595" s="54"/>
      <c r="V1595" s="54"/>
      <c r="W1595" s="54"/>
      <c r="X1595" s="54"/>
      <c r="Y1595" s="54"/>
      <c r="Z1595" s="54"/>
      <c r="AA1595" s="54"/>
      <c r="AB1595" s="54"/>
      <c r="AC1595" s="54"/>
    </row>
    <row r="1596" ht="78.0" customHeight="1">
      <c r="A1596" s="26"/>
      <c r="B1596" s="26"/>
      <c r="C1596" s="28"/>
      <c r="D1596" s="825"/>
      <c r="E1596" s="28"/>
      <c r="F1596" s="28"/>
      <c r="G1596" s="28"/>
      <c r="H1596" s="28"/>
      <c r="I1596" s="28"/>
      <c r="J1596" s="28"/>
      <c r="K1596" s="28"/>
      <c r="L1596" s="28"/>
      <c r="M1596" s="28"/>
      <c r="N1596" s="28"/>
      <c r="O1596" s="28"/>
      <c r="P1596" s="28"/>
      <c r="Q1596" s="28"/>
      <c r="R1596" s="28"/>
      <c r="S1596" s="28"/>
      <c r="T1596" s="28"/>
      <c r="U1596" s="28"/>
      <c r="V1596" s="28"/>
      <c r="W1596" s="28"/>
      <c r="X1596" s="28"/>
      <c r="Y1596" s="28"/>
      <c r="Z1596" s="28"/>
      <c r="AA1596" s="28"/>
      <c r="AB1596" s="28"/>
      <c r="AC1596" s="28"/>
    </row>
    <row r="1597" ht="78.0" customHeight="1">
      <c r="A1597" s="52"/>
      <c r="B1597" s="52"/>
      <c r="C1597" s="54"/>
      <c r="D1597" s="855"/>
      <c r="E1597" s="54"/>
      <c r="F1597" s="54"/>
      <c r="G1597" s="54"/>
      <c r="H1597" s="54"/>
      <c r="I1597" s="54"/>
      <c r="J1597" s="54"/>
      <c r="K1597" s="54"/>
      <c r="L1597" s="54"/>
      <c r="M1597" s="54"/>
      <c r="N1597" s="54"/>
      <c r="O1597" s="54"/>
      <c r="P1597" s="54"/>
      <c r="Q1597" s="54"/>
      <c r="R1597" s="54"/>
      <c r="S1597" s="54"/>
      <c r="T1597" s="54"/>
      <c r="U1597" s="54"/>
      <c r="V1597" s="54"/>
      <c r="W1597" s="54"/>
      <c r="X1597" s="54"/>
      <c r="Y1597" s="54"/>
      <c r="Z1597" s="54"/>
      <c r="AA1597" s="54"/>
      <c r="AB1597" s="54"/>
      <c r="AC1597" s="54"/>
    </row>
    <row r="1598" ht="78.0" customHeight="1">
      <c r="A1598" s="26"/>
      <c r="B1598" s="26"/>
      <c r="C1598" s="28"/>
      <c r="D1598" s="825"/>
      <c r="E1598" s="28"/>
      <c r="F1598" s="28"/>
      <c r="G1598" s="28"/>
      <c r="H1598" s="28"/>
      <c r="I1598" s="28"/>
      <c r="J1598" s="28"/>
      <c r="K1598" s="28"/>
      <c r="L1598" s="28"/>
      <c r="M1598" s="28"/>
      <c r="N1598" s="28"/>
      <c r="O1598" s="28"/>
      <c r="P1598" s="28"/>
      <c r="Q1598" s="28"/>
      <c r="R1598" s="28"/>
      <c r="S1598" s="28"/>
      <c r="T1598" s="28"/>
      <c r="U1598" s="28"/>
      <c r="V1598" s="28"/>
      <c r="W1598" s="28"/>
      <c r="X1598" s="28"/>
      <c r="Y1598" s="28"/>
      <c r="Z1598" s="28"/>
      <c r="AA1598" s="28"/>
      <c r="AB1598" s="28"/>
      <c r="AC1598" s="28"/>
    </row>
    <row r="1599" ht="78.0" customHeight="1">
      <c r="A1599" s="52"/>
      <c r="B1599" s="52"/>
      <c r="C1599" s="54"/>
      <c r="D1599" s="855"/>
      <c r="E1599" s="54"/>
      <c r="F1599" s="54"/>
      <c r="G1599" s="54"/>
      <c r="H1599" s="54"/>
      <c r="I1599" s="54"/>
      <c r="J1599" s="54"/>
      <c r="K1599" s="54"/>
      <c r="L1599" s="54"/>
      <c r="M1599" s="54"/>
      <c r="N1599" s="54"/>
      <c r="O1599" s="54"/>
      <c r="P1599" s="54"/>
      <c r="Q1599" s="54"/>
      <c r="R1599" s="54"/>
      <c r="S1599" s="54"/>
      <c r="T1599" s="54"/>
      <c r="U1599" s="54"/>
      <c r="V1599" s="54"/>
      <c r="W1599" s="54"/>
      <c r="X1599" s="54"/>
      <c r="Y1599" s="54"/>
      <c r="Z1599" s="54"/>
      <c r="AA1599" s="54"/>
      <c r="AB1599" s="54"/>
      <c r="AC1599" s="54"/>
    </row>
    <row r="1600" ht="78.0" customHeight="1">
      <c r="A1600" s="26"/>
      <c r="B1600" s="26"/>
      <c r="C1600" s="28"/>
      <c r="D1600" s="825"/>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row>
    <row r="1601" ht="78.0" customHeight="1">
      <c r="A1601" s="52"/>
      <c r="B1601" s="52"/>
      <c r="C1601" s="54"/>
      <c r="D1601" s="855"/>
      <c r="E1601" s="54"/>
      <c r="F1601" s="54"/>
      <c r="G1601" s="54"/>
      <c r="H1601" s="54"/>
      <c r="I1601" s="54"/>
      <c r="J1601" s="54"/>
      <c r="K1601" s="54"/>
      <c r="L1601" s="54"/>
      <c r="M1601" s="54"/>
      <c r="N1601" s="54"/>
      <c r="O1601" s="54"/>
      <c r="P1601" s="54"/>
      <c r="Q1601" s="54"/>
      <c r="R1601" s="54"/>
      <c r="S1601" s="54"/>
      <c r="T1601" s="54"/>
      <c r="U1601" s="54"/>
      <c r="V1601" s="54"/>
      <c r="W1601" s="54"/>
      <c r="X1601" s="54"/>
      <c r="Y1601" s="54"/>
      <c r="Z1601" s="54"/>
      <c r="AA1601" s="54"/>
      <c r="AB1601" s="54"/>
      <c r="AC1601" s="54"/>
    </row>
    <row r="1602" ht="78.0" customHeight="1">
      <c r="A1602" s="26"/>
      <c r="B1602" s="26"/>
      <c r="C1602" s="28"/>
      <c r="D1602" s="825"/>
      <c r="E1602" s="28"/>
      <c r="F1602" s="28"/>
      <c r="G1602" s="28"/>
      <c r="H1602" s="28"/>
      <c r="I1602" s="28"/>
      <c r="J1602" s="28"/>
      <c r="K1602" s="28"/>
      <c r="L1602" s="28"/>
      <c r="M1602" s="28"/>
      <c r="N1602" s="28"/>
      <c r="O1602" s="28"/>
      <c r="P1602" s="28"/>
      <c r="Q1602" s="28"/>
      <c r="R1602" s="28"/>
      <c r="S1602" s="28"/>
      <c r="T1602" s="28"/>
      <c r="U1602" s="28"/>
      <c r="V1602" s="28"/>
      <c r="W1602" s="28"/>
      <c r="X1602" s="28"/>
      <c r="Y1602" s="28"/>
      <c r="Z1602" s="28"/>
      <c r="AA1602" s="28"/>
      <c r="AB1602" s="28"/>
      <c r="AC1602" s="28"/>
    </row>
    <row r="1603" ht="78.0" customHeight="1">
      <c r="A1603" s="52"/>
      <c r="B1603" s="52"/>
      <c r="C1603" s="54"/>
      <c r="D1603" s="855"/>
      <c r="E1603" s="54"/>
      <c r="F1603" s="54"/>
      <c r="G1603" s="54"/>
      <c r="H1603" s="54"/>
      <c r="I1603" s="54"/>
      <c r="J1603" s="54"/>
      <c r="K1603" s="54"/>
      <c r="L1603" s="54"/>
      <c r="M1603" s="54"/>
      <c r="N1603" s="54"/>
      <c r="O1603" s="54"/>
      <c r="P1603" s="54"/>
      <c r="Q1603" s="54"/>
      <c r="R1603" s="54"/>
      <c r="S1603" s="54"/>
      <c r="T1603" s="54"/>
      <c r="U1603" s="54"/>
      <c r="V1603" s="54"/>
      <c r="W1603" s="54"/>
      <c r="X1603" s="54"/>
      <c r="Y1603" s="54"/>
      <c r="Z1603" s="54"/>
      <c r="AA1603" s="54"/>
      <c r="AB1603" s="54"/>
      <c r="AC1603" s="54"/>
    </row>
    <row r="1604" ht="78.0" customHeight="1">
      <c r="A1604" s="26"/>
      <c r="B1604" s="26"/>
      <c r="C1604" s="28"/>
      <c r="D1604" s="825"/>
      <c r="E1604" s="28"/>
      <c r="F1604" s="28"/>
      <c r="G1604" s="28"/>
      <c r="H1604" s="28"/>
      <c r="I1604" s="28"/>
      <c r="J1604" s="28"/>
      <c r="K1604" s="28"/>
      <c r="L1604" s="28"/>
      <c r="M1604" s="28"/>
      <c r="N1604" s="28"/>
      <c r="O1604" s="28"/>
      <c r="P1604" s="28"/>
      <c r="Q1604" s="28"/>
      <c r="R1604" s="28"/>
      <c r="S1604" s="28"/>
      <c r="T1604" s="28"/>
      <c r="U1604" s="28"/>
      <c r="V1604" s="28"/>
      <c r="W1604" s="28"/>
      <c r="X1604" s="28"/>
      <c r="Y1604" s="28"/>
      <c r="Z1604" s="28"/>
      <c r="AA1604" s="28"/>
      <c r="AB1604" s="28"/>
      <c r="AC1604" s="28"/>
    </row>
    <row r="1605" ht="78.0" customHeight="1">
      <c r="A1605" s="52"/>
      <c r="B1605" s="52"/>
      <c r="C1605" s="54"/>
      <c r="D1605" s="855"/>
      <c r="E1605" s="54"/>
      <c r="F1605" s="54"/>
      <c r="G1605" s="54"/>
      <c r="H1605" s="54"/>
      <c r="I1605" s="54"/>
      <c r="J1605" s="54"/>
      <c r="K1605" s="54"/>
      <c r="L1605" s="54"/>
      <c r="M1605" s="54"/>
      <c r="N1605" s="54"/>
      <c r="O1605" s="54"/>
      <c r="P1605" s="54"/>
      <c r="Q1605" s="54"/>
      <c r="R1605" s="54"/>
      <c r="S1605" s="54"/>
      <c r="T1605" s="54"/>
      <c r="U1605" s="54"/>
      <c r="V1605" s="54"/>
      <c r="W1605" s="54"/>
      <c r="X1605" s="54"/>
      <c r="Y1605" s="54"/>
      <c r="Z1605" s="54"/>
      <c r="AA1605" s="54"/>
      <c r="AB1605" s="54"/>
      <c r="AC1605" s="54"/>
    </row>
    <row r="1606" ht="78.0" customHeight="1">
      <c r="A1606" s="26"/>
      <c r="B1606" s="26"/>
      <c r="C1606" s="28"/>
      <c r="D1606" s="825"/>
      <c r="E1606" s="28"/>
      <c r="F1606" s="28"/>
      <c r="G1606" s="28"/>
      <c r="H1606" s="28"/>
      <c r="I1606" s="28"/>
      <c r="J1606" s="28"/>
      <c r="K1606" s="28"/>
      <c r="L1606" s="28"/>
      <c r="M1606" s="28"/>
      <c r="N1606" s="28"/>
      <c r="O1606" s="28"/>
      <c r="P1606" s="28"/>
      <c r="Q1606" s="28"/>
      <c r="R1606" s="28"/>
      <c r="S1606" s="28"/>
      <c r="T1606" s="28"/>
      <c r="U1606" s="28"/>
      <c r="V1606" s="28"/>
      <c r="W1606" s="28"/>
      <c r="X1606" s="28"/>
      <c r="Y1606" s="28"/>
      <c r="Z1606" s="28"/>
      <c r="AA1606" s="28"/>
      <c r="AB1606" s="28"/>
      <c r="AC1606" s="28"/>
    </row>
    <row r="1607" ht="78.0" customHeight="1">
      <c r="A1607" s="52"/>
      <c r="B1607" s="52"/>
      <c r="C1607" s="54"/>
      <c r="D1607" s="855"/>
      <c r="E1607" s="54"/>
      <c r="F1607" s="54"/>
      <c r="G1607" s="54"/>
      <c r="H1607" s="54"/>
      <c r="I1607" s="54"/>
      <c r="J1607" s="54"/>
      <c r="K1607" s="54"/>
      <c r="L1607" s="54"/>
      <c r="M1607" s="54"/>
      <c r="N1607" s="54"/>
      <c r="O1607" s="54"/>
      <c r="P1607" s="54"/>
      <c r="Q1607" s="54"/>
      <c r="R1607" s="54"/>
      <c r="S1607" s="54"/>
      <c r="T1607" s="54"/>
      <c r="U1607" s="54"/>
      <c r="V1607" s="54"/>
      <c r="W1607" s="54"/>
      <c r="X1607" s="54"/>
      <c r="Y1607" s="54"/>
      <c r="Z1607" s="54"/>
      <c r="AA1607" s="54"/>
      <c r="AB1607" s="54"/>
      <c r="AC1607" s="54"/>
    </row>
    <row r="1608" ht="78.0" customHeight="1">
      <c r="A1608" s="26"/>
      <c r="B1608" s="26"/>
      <c r="C1608" s="28"/>
      <c r="D1608" s="825"/>
      <c r="E1608" s="28"/>
      <c r="F1608" s="28"/>
      <c r="G1608" s="28"/>
      <c r="H1608" s="28"/>
      <c r="I1608" s="28"/>
      <c r="J1608" s="28"/>
      <c r="K1608" s="28"/>
      <c r="L1608" s="28"/>
      <c r="M1608" s="28"/>
      <c r="N1608" s="28"/>
      <c r="O1608" s="28"/>
      <c r="P1608" s="28"/>
      <c r="Q1608" s="28"/>
      <c r="R1608" s="28"/>
      <c r="S1608" s="28"/>
      <c r="T1608" s="28"/>
      <c r="U1608" s="28"/>
      <c r="V1608" s="28"/>
      <c r="W1608" s="28"/>
      <c r="X1608" s="28"/>
      <c r="Y1608" s="28"/>
      <c r="Z1608" s="28"/>
      <c r="AA1608" s="28"/>
      <c r="AB1608" s="28"/>
      <c r="AC1608" s="28"/>
    </row>
    <row r="1609" ht="78.0" customHeight="1">
      <c r="A1609" s="52"/>
      <c r="B1609" s="52"/>
      <c r="C1609" s="54"/>
      <c r="D1609" s="855"/>
      <c r="E1609" s="54"/>
      <c r="F1609" s="54"/>
      <c r="G1609" s="54"/>
      <c r="H1609" s="54"/>
      <c r="I1609" s="54"/>
      <c r="J1609" s="54"/>
      <c r="K1609" s="54"/>
      <c r="L1609" s="54"/>
      <c r="M1609" s="54"/>
      <c r="N1609" s="54"/>
      <c r="O1609" s="54"/>
      <c r="P1609" s="54"/>
      <c r="Q1609" s="54"/>
      <c r="R1609" s="54"/>
      <c r="S1609" s="54"/>
      <c r="T1609" s="54"/>
      <c r="U1609" s="54"/>
      <c r="V1609" s="54"/>
      <c r="W1609" s="54"/>
      <c r="X1609" s="54"/>
      <c r="Y1609" s="54"/>
      <c r="Z1609" s="54"/>
      <c r="AA1609" s="54"/>
      <c r="AB1609" s="54"/>
      <c r="AC1609" s="54"/>
    </row>
    <row r="1610" ht="78.0" customHeight="1">
      <c r="A1610" s="26"/>
      <c r="B1610" s="26"/>
      <c r="C1610" s="28"/>
      <c r="D1610" s="825"/>
      <c r="E1610" s="28"/>
      <c r="F1610" s="28"/>
      <c r="G1610" s="28"/>
      <c r="H1610" s="28"/>
      <c r="I1610" s="28"/>
      <c r="J1610" s="28"/>
      <c r="K1610" s="28"/>
      <c r="L1610" s="28"/>
      <c r="M1610" s="28"/>
      <c r="N1610" s="28"/>
      <c r="O1610" s="28"/>
      <c r="P1610" s="28"/>
      <c r="Q1610" s="28"/>
      <c r="R1610" s="28"/>
      <c r="S1610" s="28"/>
      <c r="T1610" s="28"/>
      <c r="U1610" s="28"/>
      <c r="V1610" s="28"/>
      <c r="W1610" s="28"/>
      <c r="X1610" s="28"/>
      <c r="Y1610" s="28"/>
      <c r="Z1610" s="28"/>
      <c r="AA1610" s="28"/>
      <c r="AB1610" s="28"/>
      <c r="AC1610" s="28"/>
    </row>
    <row r="1611" ht="78.0" customHeight="1">
      <c r="A1611" s="52"/>
      <c r="B1611" s="52"/>
      <c r="C1611" s="54"/>
      <c r="D1611" s="855"/>
      <c r="E1611" s="54"/>
      <c r="F1611" s="54"/>
      <c r="G1611" s="54"/>
      <c r="H1611" s="54"/>
      <c r="I1611" s="54"/>
      <c r="J1611" s="54"/>
      <c r="K1611" s="54"/>
      <c r="L1611" s="54"/>
      <c r="M1611" s="54"/>
      <c r="N1611" s="54"/>
      <c r="O1611" s="54"/>
      <c r="P1611" s="54"/>
      <c r="Q1611" s="54"/>
      <c r="R1611" s="54"/>
      <c r="S1611" s="54"/>
      <c r="T1611" s="54"/>
      <c r="U1611" s="54"/>
      <c r="V1611" s="54"/>
      <c r="W1611" s="54"/>
      <c r="X1611" s="54"/>
      <c r="Y1611" s="54"/>
      <c r="Z1611" s="54"/>
      <c r="AA1611" s="54"/>
      <c r="AB1611" s="54"/>
      <c r="AC1611" s="54"/>
    </row>
    <row r="1612" ht="78.0" customHeight="1">
      <c r="A1612" s="26"/>
      <c r="B1612" s="26"/>
      <c r="C1612" s="28"/>
      <c r="D1612" s="825"/>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row>
    <row r="1613" ht="78.0" customHeight="1">
      <c r="A1613" s="52"/>
      <c r="B1613" s="52"/>
      <c r="C1613" s="54"/>
      <c r="D1613" s="855"/>
      <c r="E1613" s="54"/>
      <c r="F1613" s="54"/>
      <c r="G1613" s="54"/>
      <c r="H1613" s="54"/>
      <c r="I1613" s="54"/>
      <c r="J1613" s="54"/>
      <c r="K1613" s="54"/>
      <c r="L1613" s="54"/>
      <c r="M1613" s="54"/>
      <c r="N1613" s="54"/>
      <c r="O1613" s="54"/>
      <c r="P1613" s="54"/>
      <c r="Q1613" s="54"/>
      <c r="R1613" s="54"/>
      <c r="S1613" s="54"/>
      <c r="T1613" s="54"/>
      <c r="U1613" s="54"/>
      <c r="V1613" s="54"/>
      <c r="W1613" s="54"/>
      <c r="X1613" s="54"/>
      <c r="Y1613" s="54"/>
      <c r="Z1613" s="54"/>
      <c r="AA1613" s="54"/>
      <c r="AB1613" s="54"/>
      <c r="AC1613" s="54"/>
    </row>
    <row r="1614" ht="78.0" customHeight="1">
      <c r="A1614" s="26"/>
      <c r="B1614" s="26"/>
      <c r="C1614" s="28"/>
      <c r="D1614" s="825"/>
      <c r="E1614" s="28"/>
      <c r="F1614" s="28"/>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row>
    <row r="1615" ht="78.0" customHeight="1">
      <c r="A1615" s="52"/>
      <c r="B1615" s="52"/>
      <c r="C1615" s="54"/>
      <c r="D1615" s="855"/>
      <c r="E1615" s="54"/>
      <c r="F1615" s="54"/>
      <c r="G1615" s="54"/>
      <c r="H1615" s="54"/>
      <c r="I1615" s="54"/>
      <c r="J1615" s="54"/>
      <c r="K1615" s="54"/>
      <c r="L1615" s="54"/>
      <c r="M1615" s="54"/>
      <c r="N1615" s="54"/>
      <c r="O1615" s="54"/>
      <c r="P1615" s="54"/>
      <c r="Q1615" s="54"/>
      <c r="R1615" s="54"/>
      <c r="S1615" s="54"/>
      <c r="T1615" s="54"/>
      <c r="U1615" s="54"/>
      <c r="V1615" s="54"/>
      <c r="W1615" s="54"/>
      <c r="X1615" s="54"/>
      <c r="Y1615" s="54"/>
      <c r="Z1615" s="54"/>
      <c r="AA1615" s="54"/>
      <c r="AB1615" s="54"/>
      <c r="AC1615" s="54"/>
    </row>
    <row r="1616" ht="78.0" customHeight="1">
      <c r="A1616" s="26"/>
      <c r="B1616" s="26"/>
      <c r="C1616" s="28"/>
      <c r="D1616" s="825"/>
      <c r="E1616" s="28"/>
      <c r="F1616" s="28"/>
      <c r="G1616" s="28"/>
      <c r="H1616" s="28"/>
      <c r="I1616" s="28"/>
      <c r="J1616" s="28"/>
      <c r="K1616" s="28"/>
      <c r="L1616" s="28"/>
      <c r="M1616" s="28"/>
      <c r="N1616" s="28"/>
      <c r="O1616" s="28"/>
      <c r="P1616" s="28"/>
      <c r="Q1616" s="28"/>
      <c r="R1616" s="28"/>
      <c r="S1616" s="28"/>
      <c r="T1616" s="28"/>
      <c r="U1616" s="28"/>
      <c r="V1616" s="28"/>
      <c r="W1616" s="28"/>
      <c r="X1616" s="28"/>
      <c r="Y1616" s="28"/>
      <c r="Z1616" s="28"/>
      <c r="AA1616" s="28"/>
      <c r="AB1616" s="28"/>
      <c r="AC1616" s="28"/>
    </row>
    <row r="1617" ht="78.0" customHeight="1">
      <c r="A1617" s="52"/>
      <c r="B1617" s="52"/>
      <c r="C1617" s="54"/>
      <c r="D1617" s="855"/>
      <c r="E1617" s="54"/>
      <c r="F1617" s="54"/>
      <c r="G1617" s="54"/>
      <c r="H1617" s="54"/>
      <c r="I1617" s="54"/>
      <c r="J1617" s="54"/>
      <c r="K1617" s="54"/>
      <c r="L1617" s="54"/>
      <c r="M1617" s="54"/>
      <c r="N1617" s="54"/>
      <c r="O1617" s="54"/>
      <c r="P1617" s="54"/>
      <c r="Q1617" s="54"/>
      <c r="R1617" s="54"/>
      <c r="S1617" s="54"/>
      <c r="T1617" s="54"/>
      <c r="U1617" s="54"/>
      <c r="V1617" s="54"/>
      <c r="W1617" s="54"/>
      <c r="X1617" s="54"/>
      <c r="Y1617" s="54"/>
      <c r="Z1617" s="54"/>
      <c r="AA1617" s="54"/>
      <c r="AB1617" s="54"/>
      <c r="AC1617" s="54"/>
    </row>
    <row r="1618" ht="78.0" customHeight="1">
      <c r="A1618" s="26"/>
      <c r="B1618" s="26"/>
      <c r="C1618" s="28"/>
      <c r="D1618" s="825"/>
      <c r="E1618" s="28"/>
      <c r="F1618" s="28"/>
      <c r="G1618" s="28"/>
      <c r="H1618" s="28"/>
      <c r="I1618" s="28"/>
      <c r="J1618" s="28"/>
      <c r="K1618" s="28"/>
      <c r="L1618" s="28"/>
      <c r="M1618" s="28"/>
      <c r="N1618" s="28"/>
      <c r="O1618" s="28"/>
      <c r="P1618" s="28"/>
      <c r="Q1618" s="28"/>
      <c r="R1618" s="28"/>
      <c r="S1618" s="28"/>
      <c r="T1618" s="28"/>
      <c r="U1618" s="28"/>
      <c r="V1618" s="28"/>
      <c r="W1618" s="28"/>
      <c r="X1618" s="28"/>
      <c r="Y1618" s="28"/>
      <c r="Z1618" s="28"/>
      <c r="AA1618" s="28"/>
      <c r="AB1618" s="28"/>
      <c r="AC1618" s="28"/>
    </row>
    <row r="1619" ht="78.0" customHeight="1">
      <c r="A1619" s="52"/>
      <c r="B1619" s="52"/>
      <c r="C1619" s="54"/>
      <c r="D1619" s="855"/>
      <c r="E1619" s="54"/>
      <c r="F1619" s="54"/>
      <c r="G1619" s="54"/>
      <c r="H1619" s="54"/>
      <c r="I1619" s="54"/>
      <c r="J1619" s="54"/>
      <c r="K1619" s="54"/>
      <c r="L1619" s="54"/>
      <c r="M1619" s="54"/>
      <c r="N1619" s="54"/>
      <c r="O1619" s="54"/>
      <c r="P1619" s="54"/>
      <c r="Q1619" s="54"/>
      <c r="R1619" s="54"/>
      <c r="S1619" s="54"/>
      <c r="T1619" s="54"/>
      <c r="U1619" s="54"/>
      <c r="V1619" s="54"/>
      <c r="W1619" s="54"/>
      <c r="X1619" s="54"/>
      <c r="Y1619" s="54"/>
      <c r="Z1619" s="54"/>
      <c r="AA1619" s="54"/>
      <c r="AB1619" s="54"/>
      <c r="AC1619" s="54"/>
    </row>
    <row r="1620" ht="78.0" customHeight="1">
      <c r="A1620" s="26"/>
      <c r="B1620" s="26"/>
      <c r="C1620" s="28"/>
      <c r="D1620" s="825"/>
      <c r="E1620" s="28"/>
      <c r="F1620" s="28"/>
      <c r="G1620" s="28"/>
      <c r="H1620" s="28"/>
      <c r="I1620" s="28"/>
      <c r="J1620" s="28"/>
      <c r="K1620" s="28"/>
      <c r="L1620" s="28"/>
      <c r="M1620" s="28"/>
      <c r="N1620" s="28"/>
      <c r="O1620" s="28"/>
      <c r="P1620" s="28"/>
      <c r="Q1620" s="28"/>
      <c r="R1620" s="28"/>
      <c r="S1620" s="28"/>
      <c r="T1620" s="28"/>
      <c r="U1620" s="28"/>
      <c r="V1620" s="28"/>
      <c r="W1620" s="28"/>
      <c r="X1620" s="28"/>
      <c r="Y1620" s="28"/>
      <c r="Z1620" s="28"/>
      <c r="AA1620" s="28"/>
      <c r="AB1620" s="28"/>
      <c r="AC1620" s="28"/>
    </row>
    <row r="1621" ht="78.0" customHeight="1">
      <c r="A1621" s="52"/>
      <c r="B1621" s="52"/>
      <c r="C1621" s="54"/>
      <c r="D1621" s="855"/>
      <c r="E1621" s="54"/>
      <c r="F1621" s="54"/>
      <c r="G1621" s="54"/>
      <c r="H1621" s="54"/>
      <c r="I1621" s="54"/>
      <c r="J1621" s="54"/>
      <c r="K1621" s="54"/>
      <c r="L1621" s="54"/>
      <c r="M1621" s="54"/>
      <c r="N1621" s="54"/>
      <c r="O1621" s="54"/>
      <c r="P1621" s="54"/>
      <c r="Q1621" s="54"/>
      <c r="R1621" s="54"/>
      <c r="S1621" s="54"/>
      <c r="T1621" s="54"/>
      <c r="U1621" s="54"/>
      <c r="V1621" s="54"/>
      <c r="W1621" s="54"/>
      <c r="X1621" s="54"/>
      <c r="Y1621" s="54"/>
      <c r="Z1621" s="54"/>
      <c r="AA1621" s="54"/>
      <c r="AB1621" s="54"/>
      <c r="AC1621" s="54"/>
    </row>
    <row r="1622" ht="78.0" customHeight="1">
      <c r="A1622" s="26"/>
      <c r="B1622" s="26"/>
      <c r="C1622" s="28"/>
      <c r="D1622" s="825"/>
      <c r="E1622" s="28"/>
      <c r="F1622" s="28"/>
      <c r="G1622" s="28"/>
      <c r="H1622" s="28"/>
      <c r="I1622" s="28"/>
      <c r="J1622" s="28"/>
      <c r="K1622" s="28"/>
      <c r="L1622" s="28"/>
      <c r="M1622" s="28"/>
      <c r="N1622" s="28"/>
      <c r="O1622" s="28"/>
      <c r="P1622" s="28"/>
      <c r="Q1622" s="28"/>
      <c r="R1622" s="28"/>
      <c r="S1622" s="28"/>
      <c r="T1622" s="28"/>
      <c r="U1622" s="28"/>
      <c r="V1622" s="28"/>
      <c r="W1622" s="28"/>
      <c r="X1622" s="28"/>
      <c r="Y1622" s="28"/>
      <c r="Z1622" s="28"/>
      <c r="AA1622" s="28"/>
      <c r="AB1622" s="28"/>
      <c r="AC1622" s="28"/>
    </row>
    <row r="1623" ht="78.0" customHeight="1">
      <c r="A1623" s="52"/>
      <c r="B1623" s="52"/>
      <c r="C1623" s="54"/>
      <c r="D1623" s="855"/>
      <c r="E1623" s="54"/>
      <c r="F1623" s="54"/>
      <c r="G1623" s="54"/>
      <c r="H1623" s="54"/>
      <c r="I1623" s="54"/>
      <c r="J1623" s="54"/>
      <c r="K1623" s="54"/>
      <c r="L1623" s="54"/>
      <c r="M1623" s="54"/>
      <c r="N1623" s="54"/>
      <c r="O1623" s="54"/>
      <c r="P1623" s="54"/>
      <c r="Q1623" s="54"/>
      <c r="R1623" s="54"/>
      <c r="S1623" s="54"/>
      <c r="T1623" s="54"/>
      <c r="U1623" s="54"/>
      <c r="V1623" s="54"/>
      <c r="W1623" s="54"/>
      <c r="X1623" s="54"/>
      <c r="Y1623" s="54"/>
      <c r="Z1623" s="54"/>
      <c r="AA1623" s="54"/>
      <c r="AB1623" s="54"/>
      <c r="AC1623" s="54"/>
    </row>
    <row r="1624" ht="78.0" customHeight="1">
      <c r="A1624" s="26"/>
      <c r="B1624" s="26"/>
      <c r="C1624" s="28"/>
      <c r="D1624" s="825"/>
      <c r="E1624" s="28"/>
      <c r="F1624" s="28"/>
      <c r="G1624" s="28"/>
      <c r="H1624" s="28"/>
      <c r="I1624" s="28"/>
      <c r="J1624" s="28"/>
      <c r="K1624" s="28"/>
      <c r="L1624" s="28"/>
      <c r="M1624" s="28"/>
      <c r="N1624" s="28"/>
      <c r="O1624" s="28"/>
      <c r="P1624" s="28"/>
      <c r="Q1624" s="28"/>
      <c r="R1624" s="28"/>
      <c r="S1624" s="28"/>
      <c r="T1624" s="28"/>
      <c r="U1624" s="28"/>
      <c r="V1624" s="28"/>
      <c r="W1624" s="28"/>
      <c r="X1624" s="28"/>
      <c r="Y1624" s="28"/>
      <c r="Z1624" s="28"/>
      <c r="AA1624" s="28"/>
      <c r="AB1624" s="28"/>
      <c r="AC1624" s="28"/>
    </row>
    <row r="1625" ht="78.0" customHeight="1">
      <c r="A1625" s="52"/>
      <c r="B1625" s="52"/>
      <c r="C1625" s="54"/>
      <c r="D1625" s="855"/>
      <c r="E1625" s="54"/>
      <c r="F1625" s="54"/>
      <c r="G1625" s="54"/>
      <c r="H1625" s="54"/>
      <c r="I1625" s="54"/>
      <c r="J1625" s="54"/>
      <c r="K1625" s="54"/>
      <c r="L1625" s="54"/>
      <c r="M1625" s="54"/>
      <c r="N1625" s="54"/>
      <c r="O1625" s="54"/>
      <c r="P1625" s="54"/>
      <c r="Q1625" s="54"/>
      <c r="R1625" s="54"/>
      <c r="S1625" s="54"/>
      <c r="T1625" s="54"/>
      <c r="U1625" s="54"/>
      <c r="V1625" s="54"/>
      <c r="W1625" s="54"/>
      <c r="X1625" s="54"/>
      <c r="Y1625" s="54"/>
      <c r="Z1625" s="54"/>
      <c r="AA1625" s="54"/>
      <c r="AB1625" s="54"/>
      <c r="AC1625" s="54"/>
    </row>
    <row r="1626" ht="78.0" customHeight="1">
      <c r="A1626" s="26"/>
      <c r="B1626" s="26"/>
      <c r="C1626" s="28"/>
      <c r="D1626" s="825"/>
      <c r="E1626" s="28"/>
      <c r="F1626" s="28"/>
      <c r="G1626" s="28"/>
      <c r="H1626" s="28"/>
      <c r="I1626" s="28"/>
      <c r="J1626" s="28"/>
      <c r="K1626" s="28"/>
      <c r="L1626" s="28"/>
      <c r="M1626" s="28"/>
      <c r="N1626" s="28"/>
      <c r="O1626" s="28"/>
      <c r="P1626" s="28"/>
      <c r="Q1626" s="28"/>
      <c r="R1626" s="28"/>
      <c r="S1626" s="28"/>
      <c r="T1626" s="28"/>
      <c r="U1626" s="28"/>
      <c r="V1626" s="28"/>
      <c r="W1626" s="28"/>
      <c r="X1626" s="28"/>
      <c r="Y1626" s="28"/>
      <c r="Z1626" s="28"/>
      <c r="AA1626" s="28"/>
      <c r="AB1626" s="28"/>
      <c r="AC1626" s="28"/>
    </row>
    <row r="1627" ht="78.0" customHeight="1">
      <c r="A1627" s="52"/>
      <c r="B1627" s="52"/>
      <c r="C1627" s="54"/>
      <c r="D1627" s="855"/>
      <c r="E1627" s="54"/>
      <c r="F1627" s="54"/>
      <c r="G1627" s="54"/>
      <c r="H1627" s="54"/>
      <c r="I1627" s="54"/>
      <c r="J1627" s="54"/>
      <c r="K1627" s="54"/>
      <c r="L1627" s="54"/>
      <c r="M1627" s="54"/>
      <c r="N1627" s="54"/>
      <c r="O1627" s="54"/>
      <c r="P1627" s="54"/>
      <c r="Q1627" s="54"/>
      <c r="R1627" s="54"/>
      <c r="S1627" s="54"/>
      <c r="T1627" s="54"/>
      <c r="U1627" s="54"/>
      <c r="V1627" s="54"/>
      <c r="W1627" s="54"/>
      <c r="X1627" s="54"/>
      <c r="Y1627" s="54"/>
      <c r="Z1627" s="54"/>
      <c r="AA1627" s="54"/>
      <c r="AB1627" s="54"/>
      <c r="AC1627" s="54"/>
    </row>
    <row r="1628" ht="78.0" customHeight="1">
      <c r="A1628" s="26"/>
      <c r="B1628" s="26"/>
      <c r="C1628" s="28"/>
      <c r="D1628" s="825"/>
      <c r="E1628" s="28"/>
      <c r="F1628" s="28"/>
      <c r="G1628" s="28"/>
      <c r="H1628" s="28"/>
      <c r="I1628" s="28"/>
      <c r="J1628" s="28"/>
      <c r="K1628" s="28"/>
      <c r="L1628" s="28"/>
      <c r="M1628" s="28"/>
      <c r="N1628" s="28"/>
      <c r="O1628" s="28"/>
      <c r="P1628" s="28"/>
      <c r="Q1628" s="28"/>
      <c r="R1628" s="28"/>
      <c r="S1628" s="28"/>
      <c r="T1628" s="28"/>
      <c r="U1628" s="28"/>
      <c r="V1628" s="28"/>
      <c r="W1628" s="28"/>
      <c r="X1628" s="28"/>
      <c r="Y1628" s="28"/>
      <c r="Z1628" s="28"/>
      <c r="AA1628" s="28"/>
      <c r="AB1628" s="28"/>
      <c r="AC1628" s="28"/>
    </row>
    <row r="1629" ht="78.0" customHeight="1">
      <c r="A1629" s="52"/>
      <c r="B1629" s="52"/>
      <c r="C1629" s="54"/>
      <c r="D1629" s="855"/>
      <c r="E1629" s="54"/>
      <c r="F1629" s="54"/>
      <c r="G1629" s="54"/>
      <c r="H1629" s="54"/>
      <c r="I1629" s="54"/>
      <c r="J1629" s="54"/>
      <c r="K1629" s="54"/>
      <c r="L1629" s="54"/>
      <c r="M1629" s="54"/>
      <c r="N1629" s="54"/>
      <c r="O1629" s="54"/>
      <c r="P1629" s="54"/>
      <c r="Q1629" s="54"/>
      <c r="R1629" s="54"/>
      <c r="S1629" s="54"/>
      <c r="T1629" s="54"/>
      <c r="U1629" s="54"/>
      <c r="V1629" s="54"/>
      <c r="W1629" s="54"/>
      <c r="X1629" s="54"/>
      <c r="Y1629" s="54"/>
      <c r="Z1629" s="54"/>
      <c r="AA1629" s="54"/>
      <c r="AB1629" s="54"/>
      <c r="AC1629" s="54"/>
    </row>
    <row r="1630" ht="78.0" customHeight="1">
      <c r="A1630" s="26"/>
      <c r="B1630" s="26"/>
      <c r="C1630" s="28"/>
      <c r="D1630" s="825"/>
      <c r="E1630" s="28"/>
      <c r="F1630" s="28"/>
      <c r="G1630" s="28"/>
      <c r="H1630" s="28"/>
      <c r="I1630" s="28"/>
      <c r="J1630" s="28"/>
      <c r="K1630" s="28"/>
      <c r="L1630" s="28"/>
      <c r="M1630" s="28"/>
      <c r="N1630" s="28"/>
      <c r="O1630" s="28"/>
      <c r="P1630" s="28"/>
      <c r="Q1630" s="28"/>
      <c r="R1630" s="28"/>
      <c r="S1630" s="28"/>
      <c r="T1630" s="28"/>
      <c r="U1630" s="28"/>
      <c r="V1630" s="28"/>
      <c r="W1630" s="28"/>
      <c r="X1630" s="28"/>
      <c r="Y1630" s="28"/>
      <c r="Z1630" s="28"/>
      <c r="AA1630" s="28"/>
      <c r="AB1630" s="28"/>
      <c r="AC1630" s="28"/>
    </row>
    <row r="1631" ht="78.0" customHeight="1">
      <c r="A1631" s="54"/>
      <c r="B1631" s="52"/>
      <c r="C1631" s="54"/>
      <c r="D1631" s="855"/>
      <c r="E1631" s="54"/>
      <c r="F1631" s="54"/>
      <c r="G1631" s="54"/>
      <c r="H1631" s="54"/>
      <c r="I1631" s="54"/>
      <c r="J1631" s="54"/>
      <c r="K1631" s="54"/>
      <c r="L1631" s="54"/>
      <c r="M1631" s="54"/>
      <c r="N1631" s="54"/>
      <c r="O1631" s="54"/>
      <c r="P1631" s="54"/>
      <c r="Q1631" s="54"/>
      <c r="R1631" s="54"/>
      <c r="S1631" s="54"/>
      <c r="T1631" s="54"/>
      <c r="U1631" s="54"/>
      <c r="V1631" s="54"/>
      <c r="W1631" s="54"/>
      <c r="X1631" s="54"/>
      <c r="Y1631" s="54"/>
      <c r="Z1631" s="54"/>
      <c r="AA1631" s="54"/>
      <c r="AB1631" s="54"/>
      <c r="AC1631" s="54"/>
    </row>
    <row r="1632" ht="78.0" customHeight="1">
      <c r="A1632" s="26"/>
      <c r="B1632" s="26"/>
      <c r="C1632" s="28"/>
      <c r="D1632" s="825"/>
      <c r="E1632" s="28"/>
      <c r="F1632" s="28"/>
      <c r="G1632" s="28"/>
      <c r="H1632" s="28"/>
      <c r="I1632" s="28"/>
      <c r="J1632" s="28"/>
      <c r="K1632" s="28"/>
      <c r="L1632" s="28"/>
      <c r="M1632" s="28"/>
      <c r="N1632" s="28"/>
      <c r="O1632" s="28"/>
      <c r="P1632" s="28"/>
      <c r="Q1632" s="28"/>
      <c r="R1632" s="28"/>
      <c r="S1632" s="28"/>
      <c r="T1632" s="28"/>
      <c r="U1632" s="28"/>
      <c r="V1632" s="28"/>
      <c r="W1632" s="28"/>
      <c r="X1632" s="28"/>
      <c r="Y1632" s="28"/>
      <c r="Z1632" s="28"/>
      <c r="AA1632" s="28"/>
      <c r="AB1632" s="28"/>
      <c r="AC1632" s="28"/>
    </row>
    <row r="1633" ht="78.0" customHeight="1">
      <c r="A1633" s="52"/>
      <c r="B1633" s="52"/>
      <c r="C1633" s="54"/>
      <c r="D1633" s="855"/>
      <c r="E1633" s="54"/>
      <c r="F1633" s="54"/>
      <c r="G1633" s="54"/>
      <c r="H1633" s="54"/>
      <c r="I1633" s="54"/>
      <c r="J1633" s="54"/>
      <c r="K1633" s="54"/>
      <c r="L1633" s="54"/>
      <c r="M1633" s="54"/>
      <c r="N1633" s="54"/>
      <c r="O1633" s="54"/>
      <c r="P1633" s="54"/>
      <c r="Q1633" s="54"/>
      <c r="R1633" s="54"/>
      <c r="S1633" s="54"/>
      <c r="T1633" s="54"/>
      <c r="U1633" s="54"/>
      <c r="V1633" s="54"/>
      <c r="W1633" s="54"/>
      <c r="X1633" s="54"/>
      <c r="Y1633" s="54"/>
      <c r="Z1633" s="54"/>
      <c r="AA1633" s="54"/>
      <c r="AB1633" s="54"/>
      <c r="AC1633" s="54"/>
    </row>
    <row r="1634" ht="78.0" customHeight="1">
      <c r="A1634" s="26"/>
      <c r="B1634" s="26"/>
      <c r="C1634" s="28"/>
      <c r="D1634" s="825"/>
      <c r="E1634" s="28"/>
      <c r="F1634" s="28"/>
      <c r="G1634" s="28"/>
      <c r="H1634" s="28"/>
      <c r="I1634" s="28"/>
      <c r="J1634" s="28"/>
      <c r="K1634" s="28"/>
      <c r="L1634" s="28"/>
      <c r="M1634" s="28"/>
      <c r="N1634" s="28"/>
      <c r="O1634" s="28"/>
      <c r="P1634" s="28"/>
      <c r="Q1634" s="28"/>
      <c r="R1634" s="28"/>
      <c r="S1634" s="28"/>
      <c r="T1634" s="28"/>
      <c r="U1634" s="28"/>
      <c r="V1634" s="28"/>
      <c r="W1634" s="28"/>
      <c r="X1634" s="28"/>
      <c r="Y1634" s="28"/>
      <c r="Z1634" s="28"/>
      <c r="AA1634" s="28"/>
      <c r="AB1634" s="28"/>
      <c r="AC1634" s="28"/>
    </row>
    <row r="1635" ht="78.0" customHeight="1">
      <c r="A1635" s="52"/>
      <c r="B1635" s="52"/>
      <c r="C1635" s="54"/>
      <c r="D1635" s="855"/>
      <c r="E1635" s="54"/>
      <c r="F1635" s="54"/>
      <c r="G1635" s="54"/>
      <c r="H1635" s="54"/>
      <c r="I1635" s="54"/>
      <c r="J1635" s="54"/>
      <c r="K1635" s="54"/>
      <c r="L1635" s="54"/>
      <c r="M1635" s="54"/>
      <c r="N1635" s="54"/>
      <c r="O1635" s="54"/>
      <c r="P1635" s="54"/>
      <c r="Q1635" s="54"/>
      <c r="R1635" s="54"/>
      <c r="S1635" s="54"/>
      <c r="T1635" s="54"/>
      <c r="U1635" s="54"/>
      <c r="V1635" s="54"/>
      <c r="W1635" s="54"/>
      <c r="X1635" s="54"/>
      <c r="Y1635" s="54"/>
      <c r="Z1635" s="54"/>
      <c r="AA1635" s="54"/>
      <c r="AB1635" s="54"/>
      <c r="AC1635" s="54"/>
    </row>
    <row r="1636" ht="78.0" customHeight="1">
      <c r="A1636" s="26"/>
      <c r="B1636" s="26"/>
      <c r="C1636" s="28"/>
      <c r="D1636" s="825"/>
      <c r="E1636" s="28"/>
      <c r="F1636" s="28"/>
      <c r="G1636" s="28"/>
      <c r="H1636" s="28"/>
      <c r="I1636" s="28"/>
      <c r="J1636" s="28"/>
      <c r="K1636" s="28"/>
      <c r="L1636" s="28"/>
      <c r="M1636" s="28"/>
      <c r="N1636" s="28"/>
      <c r="O1636" s="28"/>
      <c r="P1636" s="28"/>
      <c r="Q1636" s="28"/>
      <c r="R1636" s="28"/>
      <c r="S1636" s="28"/>
      <c r="T1636" s="28"/>
      <c r="U1636" s="28"/>
      <c r="V1636" s="28"/>
      <c r="W1636" s="28"/>
      <c r="X1636" s="28"/>
      <c r="Y1636" s="28"/>
      <c r="Z1636" s="28"/>
      <c r="AA1636" s="28"/>
      <c r="AB1636" s="28"/>
      <c r="AC1636" s="28"/>
    </row>
    <row r="1637" ht="78.0" customHeight="1">
      <c r="A1637" s="52"/>
      <c r="B1637" s="52"/>
      <c r="C1637" s="54"/>
      <c r="D1637" s="855"/>
      <c r="E1637" s="54"/>
      <c r="F1637" s="54"/>
      <c r="G1637" s="54"/>
      <c r="H1637" s="54"/>
      <c r="I1637" s="54"/>
      <c r="J1637" s="54"/>
      <c r="K1637" s="54"/>
      <c r="L1637" s="54"/>
      <c r="M1637" s="54"/>
      <c r="N1637" s="54"/>
      <c r="O1637" s="54"/>
      <c r="P1637" s="54"/>
      <c r="Q1637" s="54"/>
      <c r="R1637" s="54"/>
      <c r="S1637" s="54"/>
      <c r="T1637" s="54"/>
      <c r="U1637" s="54"/>
      <c r="V1637" s="54"/>
      <c r="W1637" s="54"/>
      <c r="X1637" s="54"/>
      <c r="Y1637" s="54"/>
      <c r="Z1637" s="54"/>
      <c r="AA1637" s="54"/>
      <c r="AB1637" s="54"/>
      <c r="AC1637" s="54"/>
    </row>
    <row r="1638" ht="78.0" customHeight="1">
      <c r="A1638" s="26"/>
      <c r="B1638" s="26"/>
      <c r="C1638" s="28"/>
      <c r="D1638" s="825"/>
      <c r="E1638" s="28"/>
      <c r="F1638" s="28"/>
      <c r="G1638" s="28"/>
      <c r="H1638" s="28"/>
      <c r="I1638" s="28"/>
      <c r="J1638" s="28"/>
      <c r="K1638" s="28"/>
      <c r="L1638" s="28"/>
      <c r="M1638" s="28"/>
      <c r="N1638" s="28"/>
      <c r="O1638" s="28"/>
      <c r="P1638" s="28"/>
      <c r="Q1638" s="28"/>
      <c r="R1638" s="28"/>
      <c r="S1638" s="28"/>
      <c r="T1638" s="28"/>
      <c r="U1638" s="28"/>
      <c r="V1638" s="28"/>
      <c r="W1638" s="28"/>
      <c r="X1638" s="28"/>
      <c r="Y1638" s="28"/>
      <c r="Z1638" s="28"/>
      <c r="AA1638" s="28"/>
      <c r="AB1638" s="28"/>
      <c r="AC1638" s="28"/>
    </row>
    <row r="1639" ht="78.0" customHeight="1">
      <c r="A1639" s="52"/>
      <c r="B1639" s="52"/>
      <c r="C1639" s="54"/>
      <c r="D1639" s="855"/>
      <c r="E1639" s="54"/>
      <c r="F1639" s="54"/>
      <c r="G1639" s="54"/>
      <c r="H1639" s="54"/>
      <c r="I1639" s="54"/>
      <c r="J1639" s="54"/>
      <c r="K1639" s="54"/>
      <c r="L1639" s="54"/>
      <c r="M1639" s="54"/>
      <c r="N1639" s="54"/>
      <c r="O1639" s="54"/>
      <c r="P1639" s="54"/>
      <c r="Q1639" s="54"/>
      <c r="R1639" s="54"/>
      <c r="S1639" s="54"/>
      <c r="T1639" s="54"/>
      <c r="U1639" s="54"/>
      <c r="V1639" s="54"/>
      <c r="W1639" s="54"/>
      <c r="X1639" s="54"/>
      <c r="Y1639" s="54"/>
      <c r="Z1639" s="54"/>
      <c r="AA1639" s="54"/>
      <c r="AB1639" s="54"/>
      <c r="AC1639" s="54"/>
    </row>
    <row r="1640" ht="78.0" customHeight="1">
      <c r="A1640" s="26"/>
      <c r="B1640" s="26"/>
      <c r="C1640" s="28"/>
      <c r="D1640" s="825"/>
      <c r="E1640" s="28"/>
      <c r="F1640" s="28"/>
      <c r="G1640" s="28"/>
      <c r="H1640" s="28"/>
      <c r="I1640" s="28"/>
      <c r="J1640" s="28"/>
      <c r="K1640" s="28"/>
      <c r="L1640" s="28"/>
      <c r="M1640" s="28"/>
      <c r="N1640" s="28"/>
      <c r="O1640" s="28"/>
      <c r="P1640" s="28"/>
      <c r="Q1640" s="28"/>
      <c r="R1640" s="28"/>
      <c r="S1640" s="28"/>
      <c r="T1640" s="28"/>
      <c r="U1640" s="28"/>
      <c r="V1640" s="28"/>
      <c r="W1640" s="28"/>
      <c r="X1640" s="28"/>
      <c r="Y1640" s="28"/>
      <c r="Z1640" s="28"/>
      <c r="AA1640" s="28"/>
      <c r="AB1640" s="28"/>
      <c r="AC1640" s="28"/>
    </row>
    <row r="1641" ht="78.0" customHeight="1">
      <c r="A1641" s="52"/>
      <c r="B1641" s="52"/>
      <c r="C1641" s="54"/>
      <c r="D1641" s="855"/>
      <c r="E1641" s="54"/>
      <c r="F1641" s="54"/>
      <c r="G1641" s="54"/>
      <c r="H1641" s="54"/>
      <c r="I1641" s="54"/>
      <c r="J1641" s="54"/>
      <c r="K1641" s="54"/>
      <c r="L1641" s="54"/>
      <c r="M1641" s="54"/>
      <c r="N1641" s="54"/>
      <c r="O1641" s="54"/>
      <c r="P1641" s="54"/>
      <c r="Q1641" s="54"/>
      <c r="R1641" s="54"/>
      <c r="S1641" s="54"/>
      <c r="T1641" s="54"/>
      <c r="U1641" s="54"/>
      <c r="V1641" s="54"/>
      <c r="W1641" s="54"/>
      <c r="X1641" s="54"/>
      <c r="Y1641" s="54"/>
      <c r="Z1641" s="54"/>
      <c r="AA1641" s="54"/>
      <c r="AB1641" s="54"/>
      <c r="AC1641" s="54"/>
    </row>
    <row r="1642" ht="78.0" customHeight="1">
      <c r="A1642" s="26"/>
      <c r="B1642" s="26"/>
      <c r="C1642" s="28"/>
      <c r="D1642" s="825"/>
      <c r="E1642" s="28"/>
      <c r="F1642" s="28"/>
      <c r="G1642" s="28"/>
      <c r="H1642" s="28"/>
      <c r="I1642" s="28"/>
      <c r="J1642" s="28"/>
      <c r="K1642" s="28"/>
      <c r="L1642" s="28"/>
      <c r="M1642" s="28"/>
      <c r="N1642" s="28"/>
      <c r="O1642" s="28"/>
      <c r="P1642" s="28"/>
      <c r="Q1642" s="28"/>
      <c r="R1642" s="28"/>
      <c r="S1642" s="28"/>
      <c r="T1642" s="28"/>
      <c r="U1642" s="28"/>
      <c r="V1642" s="28"/>
      <c r="W1642" s="28"/>
      <c r="X1642" s="28"/>
      <c r="Y1642" s="28"/>
      <c r="Z1642" s="28"/>
      <c r="AA1642" s="28"/>
      <c r="AB1642" s="28"/>
      <c r="AC1642" s="28"/>
    </row>
    <row r="1643" ht="78.0" customHeight="1">
      <c r="A1643" s="52"/>
      <c r="B1643" s="52"/>
      <c r="C1643" s="54"/>
      <c r="D1643" s="855"/>
      <c r="E1643" s="54"/>
      <c r="F1643" s="54"/>
      <c r="G1643" s="54"/>
      <c r="H1643" s="54"/>
      <c r="I1643" s="54"/>
      <c r="J1643" s="54"/>
      <c r="K1643" s="54"/>
      <c r="L1643" s="54"/>
      <c r="M1643" s="54"/>
      <c r="N1643" s="54"/>
      <c r="O1643" s="54"/>
      <c r="P1643" s="54"/>
      <c r="Q1643" s="54"/>
      <c r="R1643" s="54"/>
      <c r="S1643" s="54"/>
      <c r="T1643" s="54"/>
      <c r="U1643" s="54"/>
      <c r="V1643" s="54"/>
      <c r="W1643" s="54"/>
      <c r="X1643" s="54"/>
      <c r="Y1643" s="54"/>
      <c r="Z1643" s="54"/>
      <c r="AA1643" s="54"/>
      <c r="AB1643" s="54"/>
      <c r="AC1643" s="54"/>
    </row>
    <row r="1644" ht="78.0" customHeight="1">
      <c r="A1644" s="26"/>
      <c r="B1644" s="26"/>
      <c r="C1644" s="28"/>
      <c r="D1644" s="825"/>
      <c r="E1644" s="28"/>
      <c r="F1644" s="28"/>
      <c r="G1644" s="28"/>
      <c r="H1644" s="28"/>
      <c r="I1644" s="28"/>
      <c r="J1644" s="28"/>
      <c r="K1644" s="28"/>
      <c r="L1644" s="28"/>
      <c r="M1644" s="28"/>
      <c r="N1644" s="28"/>
      <c r="O1644" s="28"/>
      <c r="P1644" s="28"/>
      <c r="Q1644" s="28"/>
      <c r="R1644" s="28"/>
      <c r="S1644" s="28"/>
      <c r="T1644" s="28"/>
      <c r="U1644" s="28"/>
      <c r="V1644" s="28"/>
      <c r="W1644" s="28"/>
      <c r="X1644" s="28"/>
      <c r="Y1644" s="28"/>
      <c r="Z1644" s="28"/>
      <c r="AA1644" s="28"/>
      <c r="AB1644" s="28"/>
      <c r="AC1644" s="28"/>
    </row>
    <row r="1645" ht="78.0" customHeight="1">
      <c r="A1645" s="52"/>
      <c r="B1645" s="52"/>
      <c r="C1645" s="54"/>
      <c r="D1645" s="855"/>
      <c r="E1645" s="54"/>
      <c r="F1645" s="54"/>
      <c r="G1645" s="54"/>
      <c r="H1645" s="54"/>
      <c r="I1645" s="54"/>
      <c r="J1645" s="54"/>
      <c r="K1645" s="54"/>
      <c r="L1645" s="54"/>
      <c r="M1645" s="54"/>
      <c r="N1645" s="54"/>
      <c r="O1645" s="54"/>
      <c r="P1645" s="54"/>
      <c r="Q1645" s="54"/>
      <c r="R1645" s="54"/>
      <c r="S1645" s="54"/>
      <c r="T1645" s="54"/>
      <c r="U1645" s="54"/>
      <c r="V1645" s="54"/>
      <c r="W1645" s="54"/>
      <c r="X1645" s="54"/>
      <c r="Y1645" s="54"/>
      <c r="Z1645" s="54"/>
      <c r="AA1645" s="54"/>
      <c r="AB1645" s="54"/>
      <c r="AC1645" s="54"/>
    </row>
    <row r="1646" ht="78.0" customHeight="1">
      <c r="A1646" s="26"/>
      <c r="B1646" s="26"/>
      <c r="C1646" s="28"/>
      <c r="D1646" s="825"/>
      <c r="E1646" s="28"/>
      <c r="F1646" s="28"/>
      <c r="G1646" s="28"/>
      <c r="H1646" s="28"/>
      <c r="I1646" s="28"/>
      <c r="J1646" s="28"/>
      <c r="K1646" s="28"/>
      <c r="L1646" s="28"/>
      <c r="M1646" s="28"/>
      <c r="N1646" s="28"/>
      <c r="O1646" s="28"/>
      <c r="P1646" s="28"/>
      <c r="Q1646" s="28"/>
      <c r="R1646" s="28"/>
      <c r="S1646" s="28"/>
      <c r="T1646" s="28"/>
      <c r="U1646" s="28"/>
      <c r="V1646" s="28"/>
      <c r="W1646" s="28"/>
      <c r="X1646" s="28"/>
      <c r="Y1646" s="28"/>
      <c r="Z1646" s="28"/>
      <c r="AA1646" s="28"/>
      <c r="AB1646" s="28"/>
      <c r="AC1646" s="28"/>
    </row>
    <row r="1647" ht="78.0" customHeight="1">
      <c r="A1647" s="52"/>
      <c r="B1647" s="52"/>
      <c r="C1647" s="54"/>
      <c r="D1647" s="855"/>
      <c r="E1647" s="54"/>
      <c r="F1647" s="54"/>
      <c r="G1647" s="54"/>
      <c r="H1647" s="54"/>
      <c r="I1647" s="54"/>
      <c r="J1647" s="54"/>
      <c r="K1647" s="54"/>
      <c r="L1647" s="54"/>
      <c r="M1647" s="54"/>
      <c r="N1647" s="54"/>
      <c r="O1647" s="54"/>
      <c r="P1647" s="54"/>
      <c r="Q1647" s="54"/>
      <c r="R1647" s="54"/>
      <c r="S1647" s="54"/>
      <c r="T1647" s="54"/>
      <c r="U1647" s="54"/>
      <c r="V1647" s="54"/>
      <c r="W1647" s="54"/>
      <c r="X1647" s="54"/>
      <c r="Y1647" s="54"/>
      <c r="Z1647" s="54"/>
      <c r="AA1647" s="54"/>
      <c r="AB1647" s="54"/>
      <c r="AC1647" s="54"/>
    </row>
    <row r="1648" ht="78.0" customHeight="1">
      <c r="A1648" s="26"/>
      <c r="B1648" s="26"/>
      <c r="C1648" s="28"/>
      <c r="D1648" s="825"/>
      <c r="E1648" s="28"/>
      <c r="F1648" s="28"/>
      <c r="G1648" s="28"/>
      <c r="H1648" s="28"/>
      <c r="I1648" s="28"/>
      <c r="J1648" s="28"/>
      <c r="K1648" s="28"/>
      <c r="L1648" s="28"/>
      <c r="M1648" s="28"/>
      <c r="N1648" s="28"/>
      <c r="O1648" s="28"/>
      <c r="P1648" s="28"/>
      <c r="Q1648" s="28"/>
      <c r="R1648" s="28"/>
      <c r="S1648" s="28"/>
      <c r="T1648" s="28"/>
      <c r="U1648" s="28"/>
      <c r="V1648" s="28"/>
      <c r="W1648" s="28"/>
      <c r="X1648" s="28"/>
      <c r="Y1648" s="28"/>
      <c r="Z1648" s="28"/>
      <c r="AA1648" s="28"/>
      <c r="AB1648" s="28"/>
      <c r="AC1648" s="28"/>
    </row>
    <row r="1649" ht="78.0" customHeight="1">
      <c r="A1649" s="52"/>
      <c r="B1649" s="52"/>
      <c r="C1649" s="54"/>
      <c r="D1649" s="855"/>
      <c r="E1649" s="54"/>
      <c r="F1649" s="54"/>
      <c r="G1649" s="54"/>
      <c r="H1649" s="54"/>
      <c r="I1649" s="54"/>
      <c r="J1649" s="54"/>
      <c r="K1649" s="54"/>
      <c r="L1649" s="54"/>
      <c r="M1649" s="54"/>
      <c r="N1649" s="54"/>
      <c r="O1649" s="54"/>
      <c r="P1649" s="54"/>
      <c r="Q1649" s="54"/>
      <c r="R1649" s="54"/>
      <c r="S1649" s="54"/>
      <c r="T1649" s="54"/>
      <c r="U1649" s="54"/>
      <c r="V1649" s="54"/>
      <c r="W1649" s="54"/>
      <c r="X1649" s="54"/>
      <c r="Y1649" s="54"/>
      <c r="Z1649" s="54"/>
      <c r="AA1649" s="54"/>
      <c r="AB1649" s="54"/>
      <c r="AC1649" s="54"/>
    </row>
    <row r="1650" ht="78.0" customHeight="1">
      <c r="A1650" s="26"/>
      <c r="B1650" s="26"/>
      <c r="C1650" s="28"/>
      <c r="D1650" s="825"/>
      <c r="E1650" s="28"/>
      <c r="F1650" s="28"/>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row>
    <row r="1651" ht="78.0" customHeight="1">
      <c r="A1651" s="52"/>
      <c r="B1651" s="52"/>
      <c r="C1651" s="54"/>
      <c r="D1651" s="855"/>
      <c r="E1651" s="54"/>
      <c r="F1651" s="54"/>
      <c r="G1651" s="54"/>
      <c r="H1651" s="54"/>
      <c r="I1651" s="54"/>
      <c r="J1651" s="54"/>
      <c r="K1651" s="54"/>
      <c r="L1651" s="54"/>
      <c r="M1651" s="54"/>
      <c r="N1651" s="54"/>
      <c r="O1651" s="54"/>
      <c r="P1651" s="54"/>
      <c r="Q1651" s="54"/>
      <c r="R1651" s="54"/>
      <c r="S1651" s="54"/>
      <c r="T1651" s="54"/>
      <c r="U1651" s="54"/>
      <c r="V1651" s="54"/>
      <c r="W1651" s="54"/>
      <c r="X1651" s="54"/>
      <c r="Y1651" s="54"/>
      <c r="Z1651" s="54"/>
      <c r="AA1651" s="54"/>
      <c r="AB1651" s="54"/>
      <c r="AC1651" s="54"/>
    </row>
    <row r="1652" ht="78.0" customHeight="1">
      <c r="A1652" s="26"/>
      <c r="B1652" s="26"/>
      <c r="C1652" s="28"/>
      <c r="D1652" s="825"/>
      <c r="E1652" s="28"/>
      <c r="F1652" s="28"/>
      <c r="G1652" s="28"/>
      <c r="H1652" s="28"/>
      <c r="I1652" s="28"/>
      <c r="J1652" s="28"/>
      <c r="K1652" s="28"/>
      <c r="L1652" s="28"/>
      <c r="M1652" s="28"/>
      <c r="N1652" s="28"/>
      <c r="O1652" s="28"/>
      <c r="P1652" s="28"/>
      <c r="Q1652" s="28"/>
      <c r="R1652" s="28"/>
      <c r="S1652" s="28"/>
      <c r="T1652" s="28"/>
      <c r="U1652" s="28"/>
      <c r="V1652" s="28"/>
      <c r="W1652" s="28"/>
      <c r="X1652" s="28"/>
      <c r="Y1652" s="28"/>
      <c r="Z1652" s="28"/>
      <c r="AA1652" s="28"/>
      <c r="AB1652" s="28"/>
      <c r="AC1652" s="28"/>
    </row>
    <row r="1653" ht="78.0" customHeight="1">
      <c r="A1653" s="52"/>
      <c r="B1653" s="52"/>
      <c r="C1653" s="54"/>
      <c r="D1653" s="855"/>
      <c r="E1653" s="54"/>
      <c r="F1653" s="54"/>
      <c r="G1653" s="54"/>
      <c r="H1653" s="54"/>
      <c r="I1653" s="54"/>
      <c r="J1653" s="54"/>
      <c r="K1653" s="54"/>
      <c r="L1653" s="54"/>
      <c r="M1653" s="54"/>
      <c r="N1653" s="54"/>
      <c r="O1653" s="54"/>
      <c r="P1653" s="54"/>
      <c r="Q1653" s="54"/>
      <c r="R1653" s="54"/>
      <c r="S1653" s="54"/>
      <c r="T1653" s="54"/>
      <c r="U1653" s="54"/>
      <c r="V1653" s="54"/>
      <c r="W1653" s="54"/>
      <c r="X1653" s="54"/>
      <c r="Y1653" s="54"/>
      <c r="Z1653" s="54"/>
      <c r="AA1653" s="54"/>
      <c r="AB1653" s="54"/>
      <c r="AC1653" s="54"/>
    </row>
    <row r="1654" ht="78.0" customHeight="1">
      <c r="A1654" s="26"/>
      <c r="B1654" s="26"/>
      <c r="C1654" s="28"/>
      <c r="D1654" s="825"/>
      <c r="E1654" s="28"/>
      <c r="F1654" s="28"/>
      <c r="G1654" s="28"/>
      <c r="H1654" s="28"/>
      <c r="I1654" s="28"/>
      <c r="J1654" s="28"/>
      <c r="K1654" s="28"/>
      <c r="L1654" s="28"/>
      <c r="M1654" s="28"/>
      <c r="N1654" s="28"/>
      <c r="O1654" s="28"/>
      <c r="P1654" s="28"/>
      <c r="Q1654" s="28"/>
      <c r="R1654" s="28"/>
      <c r="S1654" s="28"/>
      <c r="T1654" s="28"/>
      <c r="U1654" s="28"/>
      <c r="V1654" s="28"/>
      <c r="W1654" s="28"/>
      <c r="X1654" s="28"/>
      <c r="Y1654" s="28"/>
      <c r="Z1654" s="28"/>
      <c r="AA1654" s="28"/>
      <c r="AB1654" s="28"/>
      <c r="AC1654" s="28"/>
    </row>
    <row r="1655" ht="78.0" customHeight="1">
      <c r="A1655" s="52"/>
      <c r="B1655" s="52"/>
      <c r="C1655" s="54"/>
      <c r="D1655" s="855"/>
      <c r="E1655" s="54"/>
      <c r="F1655" s="54"/>
      <c r="G1655" s="54"/>
      <c r="H1655" s="54"/>
      <c r="I1655" s="54"/>
      <c r="J1655" s="54"/>
      <c r="K1655" s="54"/>
      <c r="L1655" s="54"/>
      <c r="M1655" s="54"/>
      <c r="N1655" s="54"/>
      <c r="O1655" s="54"/>
      <c r="P1655" s="54"/>
      <c r="Q1655" s="54"/>
      <c r="R1655" s="54"/>
      <c r="S1655" s="54"/>
      <c r="T1655" s="54"/>
      <c r="U1655" s="54"/>
      <c r="V1655" s="54"/>
      <c r="W1655" s="54"/>
      <c r="X1655" s="54"/>
      <c r="Y1655" s="54"/>
      <c r="Z1655" s="54"/>
      <c r="AA1655" s="54"/>
      <c r="AB1655" s="54"/>
      <c r="AC1655" s="54"/>
    </row>
    <row r="1656" ht="78.0" customHeight="1">
      <c r="A1656" s="26"/>
      <c r="B1656" s="26"/>
      <c r="C1656" s="28"/>
      <c r="D1656" s="825"/>
      <c r="E1656" s="28"/>
      <c r="F1656" s="28"/>
      <c r="G1656" s="28"/>
      <c r="H1656" s="28"/>
      <c r="I1656" s="28"/>
      <c r="J1656" s="28"/>
      <c r="K1656" s="28"/>
      <c r="L1656" s="28"/>
      <c r="M1656" s="28"/>
      <c r="N1656" s="28"/>
      <c r="O1656" s="28"/>
      <c r="P1656" s="28"/>
      <c r="Q1656" s="28"/>
      <c r="R1656" s="28"/>
      <c r="S1656" s="28"/>
      <c r="T1656" s="28"/>
      <c r="U1656" s="28"/>
      <c r="V1656" s="28"/>
      <c r="W1656" s="28"/>
      <c r="X1656" s="28"/>
      <c r="Y1656" s="28"/>
      <c r="Z1656" s="28"/>
      <c r="AA1656" s="28"/>
      <c r="AB1656" s="28"/>
      <c r="AC1656" s="28"/>
    </row>
    <row r="1657" ht="78.0" customHeight="1">
      <c r="A1657" s="52"/>
      <c r="B1657" s="52"/>
      <c r="C1657" s="54"/>
      <c r="D1657" s="855"/>
      <c r="E1657" s="54"/>
      <c r="F1657" s="54"/>
      <c r="G1657" s="54"/>
      <c r="H1657" s="54"/>
      <c r="I1657" s="54"/>
      <c r="J1657" s="54"/>
      <c r="K1657" s="54"/>
      <c r="L1657" s="54"/>
      <c r="M1657" s="54"/>
      <c r="N1657" s="54"/>
      <c r="O1657" s="54"/>
      <c r="P1657" s="54"/>
      <c r="Q1657" s="54"/>
      <c r="R1657" s="54"/>
      <c r="S1657" s="54"/>
      <c r="T1657" s="54"/>
      <c r="U1657" s="54"/>
      <c r="V1657" s="54"/>
      <c r="W1657" s="54"/>
      <c r="X1657" s="54"/>
      <c r="Y1657" s="54"/>
      <c r="Z1657" s="54"/>
      <c r="AA1657" s="54"/>
      <c r="AB1657" s="54"/>
      <c r="AC1657" s="54"/>
    </row>
    <row r="1658" ht="78.0" customHeight="1">
      <c r="A1658" s="26"/>
      <c r="B1658" s="26"/>
      <c r="C1658" s="28"/>
      <c r="D1658" s="825"/>
      <c r="E1658" s="28"/>
      <c r="F1658" s="28"/>
      <c r="G1658" s="28"/>
      <c r="H1658" s="28"/>
      <c r="I1658" s="28"/>
      <c r="J1658" s="28"/>
      <c r="K1658" s="28"/>
      <c r="L1658" s="28"/>
      <c r="M1658" s="28"/>
      <c r="N1658" s="28"/>
      <c r="O1658" s="28"/>
      <c r="P1658" s="28"/>
      <c r="Q1658" s="28"/>
      <c r="R1658" s="28"/>
      <c r="S1658" s="28"/>
      <c r="T1658" s="28"/>
      <c r="U1658" s="28"/>
      <c r="V1658" s="28"/>
      <c r="W1658" s="28"/>
      <c r="X1658" s="28"/>
      <c r="Y1658" s="28"/>
      <c r="Z1658" s="28"/>
      <c r="AA1658" s="28"/>
      <c r="AB1658" s="28"/>
      <c r="AC1658" s="28"/>
    </row>
    <row r="1659" ht="78.0" customHeight="1">
      <c r="A1659" s="52"/>
      <c r="B1659" s="52"/>
      <c r="C1659" s="54"/>
      <c r="D1659" s="855"/>
      <c r="E1659" s="54"/>
      <c r="F1659" s="54"/>
      <c r="G1659" s="54"/>
      <c r="H1659" s="54"/>
      <c r="I1659" s="54"/>
      <c r="J1659" s="54"/>
      <c r="K1659" s="54"/>
      <c r="L1659" s="54"/>
      <c r="M1659" s="54"/>
      <c r="N1659" s="54"/>
      <c r="O1659" s="54"/>
      <c r="P1659" s="54"/>
      <c r="Q1659" s="54"/>
      <c r="R1659" s="54"/>
      <c r="S1659" s="54"/>
      <c r="T1659" s="54"/>
      <c r="U1659" s="54"/>
      <c r="V1659" s="54"/>
      <c r="W1659" s="54"/>
      <c r="X1659" s="54"/>
      <c r="Y1659" s="54"/>
      <c r="Z1659" s="54"/>
      <c r="AA1659" s="54"/>
      <c r="AB1659" s="54"/>
      <c r="AC1659" s="54"/>
    </row>
    <row r="1660" ht="78.0" customHeight="1">
      <c r="A1660" s="26"/>
      <c r="B1660" s="26"/>
      <c r="C1660" s="28"/>
      <c r="D1660" s="825"/>
      <c r="E1660" s="28"/>
      <c r="F1660" s="28"/>
      <c r="G1660" s="28"/>
      <c r="H1660" s="28"/>
      <c r="I1660" s="28"/>
      <c r="J1660" s="28"/>
      <c r="K1660" s="28"/>
      <c r="L1660" s="28"/>
      <c r="M1660" s="28"/>
      <c r="N1660" s="28"/>
      <c r="O1660" s="28"/>
      <c r="P1660" s="28"/>
      <c r="Q1660" s="28"/>
      <c r="R1660" s="28"/>
      <c r="S1660" s="28"/>
      <c r="T1660" s="28"/>
      <c r="U1660" s="28"/>
      <c r="V1660" s="28"/>
      <c r="W1660" s="28"/>
      <c r="X1660" s="28"/>
      <c r="Y1660" s="28"/>
      <c r="Z1660" s="28"/>
      <c r="AA1660" s="28"/>
      <c r="AB1660" s="28"/>
      <c r="AC1660" s="28"/>
    </row>
    <row r="1661" ht="78.0" customHeight="1">
      <c r="A1661" s="52"/>
      <c r="B1661" s="52"/>
      <c r="C1661" s="54"/>
      <c r="D1661" s="855"/>
      <c r="E1661" s="54"/>
      <c r="F1661" s="54"/>
      <c r="G1661" s="54"/>
      <c r="H1661" s="54"/>
      <c r="I1661" s="54"/>
      <c r="J1661" s="54"/>
      <c r="K1661" s="54"/>
      <c r="L1661" s="54"/>
      <c r="M1661" s="54"/>
      <c r="N1661" s="54"/>
      <c r="O1661" s="54"/>
      <c r="P1661" s="54"/>
      <c r="Q1661" s="54"/>
      <c r="R1661" s="54"/>
      <c r="S1661" s="54"/>
      <c r="T1661" s="54"/>
      <c r="U1661" s="54"/>
      <c r="V1661" s="54"/>
      <c r="W1661" s="54"/>
      <c r="X1661" s="54"/>
      <c r="Y1661" s="54"/>
      <c r="Z1661" s="54"/>
      <c r="AA1661" s="54"/>
      <c r="AB1661" s="54"/>
      <c r="AC1661" s="54"/>
    </row>
    <row r="1662" ht="78.0" customHeight="1">
      <c r="A1662" s="26"/>
      <c r="B1662" s="26"/>
      <c r="C1662" s="28"/>
      <c r="D1662" s="825"/>
      <c r="E1662" s="28"/>
      <c r="F1662" s="28"/>
      <c r="G1662" s="28"/>
      <c r="H1662" s="28"/>
      <c r="I1662" s="28"/>
      <c r="J1662" s="28"/>
      <c r="K1662" s="28"/>
      <c r="L1662" s="28"/>
      <c r="M1662" s="28"/>
      <c r="N1662" s="28"/>
      <c r="O1662" s="28"/>
      <c r="P1662" s="28"/>
      <c r="Q1662" s="28"/>
      <c r="R1662" s="28"/>
      <c r="S1662" s="28"/>
      <c r="T1662" s="28"/>
      <c r="U1662" s="28"/>
      <c r="V1662" s="28"/>
      <c r="W1662" s="28"/>
      <c r="X1662" s="28"/>
      <c r="Y1662" s="28"/>
      <c r="Z1662" s="28"/>
      <c r="AA1662" s="28"/>
      <c r="AB1662" s="28"/>
      <c r="AC1662" s="28"/>
    </row>
    <row r="1663" ht="78.0" customHeight="1">
      <c r="A1663" s="52"/>
      <c r="B1663" s="52"/>
      <c r="C1663" s="54"/>
      <c r="D1663" s="855"/>
      <c r="E1663" s="54"/>
      <c r="F1663" s="54"/>
      <c r="G1663" s="54"/>
      <c r="H1663" s="54"/>
      <c r="I1663" s="54"/>
      <c r="J1663" s="54"/>
      <c r="K1663" s="54"/>
      <c r="L1663" s="54"/>
      <c r="M1663" s="54"/>
      <c r="N1663" s="54"/>
      <c r="O1663" s="54"/>
      <c r="P1663" s="54"/>
      <c r="Q1663" s="54"/>
      <c r="R1663" s="54"/>
      <c r="S1663" s="54"/>
      <c r="T1663" s="54"/>
      <c r="U1663" s="54"/>
      <c r="V1663" s="54"/>
      <c r="W1663" s="54"/>
      <c r="X1663" s="54"/>
      <c r="Y1663" s="54"/>
      <c r="Z1663" s="54"/>
      <c r="AA1663" s="54"/>
      <c r="AB1663" s="54"/>
      <c r="AC1663" s="54"/>
    </row>
    <row r="1664" ht="78.0" customHeight="1">
      <c r="A1664" s="26"/>
      <c r="B1664" s="26"/>
      <c r="C1664" s="28"/>
      <c r="D1664" s="825"/>
      <c r="E1664" s="28"/>
      <c r="F1664" s="28"/>
      <c r="G1664" s="28"/>
      <c r="H1664" s="28"/>
      <c r="I1664" s="28"/>
      <c r="J1664" s="28"/>
      <c r="K1664" s="28"/>
      <c r="L1664" s="28"/>
      <c r="M1664" s="28"/>
      <c r="N1664" s="28"/>
      <c r="O1664" s="28"/>
      <c r="P1664" s="28"/>
      <c r="Q1664" s="28"/>
      <c r="R1664" s="28"/>
      <c r="S1664" s="28"/>
      <c r="T1664" s="28"/>
      <c r="U1664" s="28"/>
      <c r="V1664" s="28"/>
      <c r="W1664" s="28"/>
      <c r="X1664" s="28"/>
      <c r="Y1664" s="28"/>
      <c r="Z1664" s="28"/>
      <c r="AA1664" s="28"/>
      <c r="AB1664" s="28"/>
      <c r="AC1664" s="28"/>
    </row>
    <row r="1665" ht="78.0" customHeight="1">
      <c r="A1665" s="52"/>
      <c r="B1665" s="52"/>
      <c r="C1665" s="54"/>
      <c r="D1665" s="855"/>
      <c r="E1665" s="54"/>
      <c r="F1665" s="54"/>
      <c r="G1665" s="54"/>
      <c r="H1665" s="54"/>
      <c r="I1665" s="54"/>
      <c r="J1665" s="54"/>
      <c r="K1665" s="54"/>
      <c r="L1665" s="54"/>
      <c r="M1665" s="54"/>
      <c r="N1665" s="54"/>
      <c r="O1665" s="54"/>
      <c r="P1665" s="54"/>
      <c r="Q1665" s="54"/>
      <c r="R1665" s="54"/>
      <c r="S1665" s="54"/>
      <c r="T1665" s="54"/>
      <c r="U1665" s="54"/>
      <c r="V1665" s="54"/>
      <c r="W1665" s="54"/>
      <c r="X1665" s="54"/>
      <c r="Y1665" s="54"/>
      <c r="Z1665" s="54"/>
      <c r="AA1665" s="54"/>
      <c r="AB1665" s="54"/>
      <c r="AC1665" s="54"/>
    </row>
    <row r="1666" ht="78.0" customHeight="1">
      <c r="A1666" s="26"/>
      <c r="B1666" s="26"/>
      <c r="C1666" s="28"/>
      <c r="D1666" s="825"/>
      <c r="E1666" s="28"/>
      <c r="F1666" s="28"/>
      <c r="G1666" s="28"/>
      <c r="H1666" s="28"/>
      <c r="I1666" s="28"/>
      <c r="J1666" s="28"/>
      <c r="K1666" s="28"/>
      <c r="L1666" s="28"/>
      <c r="M1666" s="28"/>
      <c r="N1666" s="28"/>
      <c r="O1666" s="28"/>
      <c r="P1666" s="28"/>
      <c r="Q1666" s="28"/>
      <c r="R1666" s="28"/>
      <c r="S1666" s="28"/>
      <c r="T1666" s="28"/>
      <c r="U1666" s="28"/>
      <c r="V1666" s="28"/>
      <c r="W1666" s="28"/>
      <c r="X1666" s="28"/>
      <c r="Y1666" s="28"/>
      <c r="Z1666" s="28"/>
      <c r="AA1666" s="28"/>
      <c r="AB1666" s="28"/>
      <c r="AC1666" s="28"/>
    </row>
    <row r="1667" ht="78.0" customHeight="1">
      <c r="A1667" s="52"/>
      <c r="B1667" s="52"/>
      <c r="C1667" s="54"/>
      <c r="D1667" s="855"/>
      <c r="E1667" s="54"/>
      <c r="F1667" s="54"/>
      <c r="G1667" s="54"/>
      <c r="H1667" s="54"/>
      <c r="I1667" s="54"/>
      <c r="J1667" s="54"/>
      <c r="K1667" s="54"/>
      <c r="L1667" s="54"/>
      <c r="M1667" s="54"/>
      <c r="N1667" s="54"/>
      <c r="O1667" s="54"/>
      <c r="P1667" s="54"/>
      <c r="Q1667" s="54"/>
      <c r="R1667" s="54"/>
      <c r="S1667" s="54"/>
      <c r="T1667" s="54"/>
      <c r="U1667" s="54"/>
      <c r="V1667" s="54"/>
      <c r="W1667" s="54"/>
      <c r="X1667" s="54"/>
      <c r="Y1667" s="54"/>
      <c r="Z1667" s="54"/>
      <c r="AA1667" s="54"/>
      <c r="AB1667" s="54"/>
      <c r="AC1667" s="54"/>
    </row>
    <row r="1668" ht="78.0" customHeight="1">
      <c r="A1668" s="26"/>
      <c r="B1668" s="26"/>
      <c r="C1668" s="28"/>
      <c r="D1668" s="825"/>
      <c r="E1668" s="28"/>
      <c r="F1668" s="28"/>
      <c r="G1668" s="28"/>
      <c r="H1668" s="28"/>
      <c r="I1668" s="28"/>
      <c r="J1668" s="28"/>
      <c r="K1668" s="28"/>
      <c r="L1668" s="28"/>
      <c r="M1668" s="28"/>
      <c r="N1668" s="28"/>
      <c r="O1668" s="28"/>
      <c r="P1668" s="28"/>
      <c r="Q1668" s="28"/>
      <c r="R1668" s="28"/>
      <c r="S1668" s="28"/>
      <c r="T1668" s="28"/>
      <c r="U1668" s="28"/>
      <c r="V1668" s="28"/>
      <c r="W1668" s="28"/>
      <c r="X1668" s="28"/>
      <c r="Y1668" s="28"/>
      <c r="Z1668" s="28"/>
      <c r="AA1668" s="28"/>
      <c r="AB1668" s="28"/>
      <c r="AC1668" s="28"/>
    </row>
    <row r="1669" ht="78.0" customHeight="1">
      <c r="A1669" s="52"/>
      <c r="B1669" s="52"/>
      <c r="C1669" s="54"/>
      <c r="D1669" s="855"/>
      <c r="E1669" s="54"/>
      <c r="F1669" s="54"/>
      <c r="G1669" s="54"/>
      <c r="H1669" s="54"/>
      <c r="I1669" s="54"/>
      <c r="J1669" s="54"/>
      <c r="K1669" s="54"/>
      <c r="L1669" s="54"/>
      <c r="M1669" s="54"/>
      <c r="N1669" s="54"/>
      <c r="O1669" s="54"/>
      <c r="P1669" s="54"/>
      <c r="Q1669" s="54"/>
      <c r="R1669" s="54"/>
      <c r="S1669" s="54"/>
      <c r="T1669" s="54"/>
      <c r="U1669" s="54"/>
      <c r="V1669" s="54"/>
      <c r="W1669" s="54"/>
      <c r="X1669" s="54"/>
      <c r="Y1669" s="54"/>
      <c r="Z1669" s="54"/>
      <c r="AA1669" s="54"/>
      <c r="AB1669" s="54"/>
      <c r="AC1669" s="54"/>
    </row>
    <row r="1670" ht="78.0" customHeight="1">
      <c r="A1670" s="26"/>
      <c r="B1670" s="26"/>
      <c r="C1670" s="28"/>
      <c r="D1670" s="825"/>
      <c r="E1670" s="28"/>
      <c r="F1670" s="28"/>
      <c r="G1670" s="28"/>
      <c r="H1670" s="28"/>
      <c r="I1670" s="28"/>
      <c r="J1670" s="28"/>
      <c r="K1670" s="28"/>
      <c r="L1670" s="28"/>
      <c r="M1670" s="28"/>
      <c r="N1670" s="28"/>
      <c r="O1670" s="28"/>
      <c r="P1670" s="28"/>
      <c r="Q1670" s="28"/>
      <c r="R1670" s="28"/>
      <c r="S1670" s="28"/>
      <c r="T1670" s="28"/>
      <c r="U1670" s="28"/>
      <c r="V1670" s="28"/>
      <c r="W1670" s="28"/>
      <c r="X1670" s="28"/>
      <c r="Y1670" s="28"/>
      <c r="Z1670" s="28"/>
      <c r="AA1670" s="28"/>
      <c r="AB1670" s="28"/>
      <c r="AC1670" s="28"/>
    </row>
    <row r="1671" ht="78.0" customHeight="1">
      <c r="A1671" s="52"/>
      <c r="B1671" s="52"/>
      <c r="C1671" s="54"/>
      <c r="D1671" s="855"/>
      <c r="E1671" s="54"/>
      <c r="F1671" s="54"/>
      <c r="G1671" s="54"/>
      <c r="H1671" s="54"/>
      <c r="I1671" s="54"/>
      <c r="J1671" s="54"/>
      <c r="K1671" s="54"/>
      <c r="L1671" s="54"/>
      <c r="M1671" s="54"/>
      <c r="N1671" s="54"/>
      <c r="O1671" s="54"/>
      <c r="P1671" s="54"/>
      <c r="Q1671" s="54"/>
      <c r="R1671" s="54"/>
      <c r="S1671" s="54"/>
      <c r="T1671" s="54"/>
      <c r="U1671" s="54"/>
      <c r="V1671" s="54"/>
      <c r="W1671" s="54"/>
      <c r="X1671" s="54"/>
      <c r="Y1671" s="54"/>
      <c r="Z1671" s="54"/>
      <c r="AA1671" s="54"/>
      <c r="AB1671" s="54"/>
      <c r="AC1671" s="54"/>
    </row>
    <row r="1672" ht="78.0" customHeight="1">
      <c r="A1672" s="26"/>
      <c r="B1672" s="26"/>
      <c r="C1672" s="28"/>
      <c r="D1672" s="825"/>
      <c r="E1672" s="28"/>
      <c r="F1672" s="28"/>
      <c r="G1672" s="28"/>
      <c r="H1672" s="28"/>
      <c r="I1672" s="28"/>
      <c r="J1672" s="28"/>
      <c r="K1672" s="28"/>
      <c r="L1672" s="28"/>
      <c r="M1672" s="28"/>
      <c r="N1672" s="28"/>
      <c r="O1672" s="28"/>
      <c r="P1672" s="28"/>
      <c r="Q1672" s="28"/>
      <c r="R1672" s="28"/>
      <c r="S1672" s="28"/>
      <c r="T1672" s="28"/>
      <c r="U1672" s="28"/>
      <c r="V1672" s="28"/>
      <c r="W1672" s="28"/>
      <c r="X1672" s="28"/>
      <c r="Y1672" s="28"/>
      <c r="Z1672" s="28"/>
      <c r="AA1672" s="28"/>
      <c r="AB1672" s="28"/>
      <c r="AC1672" s="28"/>
    </row>
    <row r="1673" ht="78.0" customHeight="1">
      <c r="A1673" s="52"/>
      <c r="B1673" s="52"/>
      <c r="C1673" s="54"/>
      <c r="D1673" s="855"/>
      <c r="E1673" s="54"/>
      <c r="F1673" s="54"/>
      <c r="G1673" s="54"/>
      <c r="H1673" s="54"/>
      <c r="I1673" s="54"/>
      <c r="J1673" s="54"/>
      <c r="K1673" s="54"/>
      <c r="L1673" s="54"/>
      <c r="M1673" s="54"/>
      <c r="N1673" s="54"/>
      <c r="O1673" s="54"/>
      <c r="P1673" s="54"/>
      <c r="Q1673" s="54"/>
      <c r="R1673" s="54"/>
      <c r="S1673" s="54"/>
      <c r="T1673" s="54"/>
      <c r="U1673" s="54"/>
      <c r="V1673" s="54"/>
      <c r="W1673" s="54"/>
      <c r="X1673" s="54"/>
      <c r="Y1673" s="54"/>
      <c r="Z1673" s="54"/>
      <c r="AA1673" s="54"/>
      <c r="AB1673" s="54"/>
      <c r="AC1673" s="54"/>
    </row>
    <row r="1674" ht="78.0" customHeight="1">
      <c r="A1674" s="26"/>
      <c r="B1674" s="26"/>
      <c r="C1674" s="28"/>
      <c r="D1674" s="825"/>
      <c r="E1674" s="28"/>
      <c r="F1674" s="28"/>
      <c r="G1674" s="28"/>
      <c r="H1674" s="28"/>
      <c r="I1674" s="28"/>
      <c r="J1674" s="28"/>
      <c r="K1674" s="28"/>
      <c r="L1674" s="28"/>
      <c r="M1674" s="28"/>
      <c r="N1674" s="28"/>
      <c r="O1674" s="28"/>
      <c r="P1674" s="28"/>
      <c r="Q1674" s="28"/>
      <c r="R1674" s="28"/>
      <c r="S1674" s="28"/>
      <c r="T1674" s="28"/>
      <c r="U1674" s="28"/>
      <c r="V1674" s="28"/>
      <c r="W1674" s="28"/>
      <c r="X1674" s="28"/>
      <c r="Y1674" s="28"/>
      <c r="Z1674" s="28"/>
      <c r="AA1674" s="28"/>
      <c r="AB1674" s="28"/>
      <c r="AC1674" s="28"/>
    </row>
    <row r="1675" ht="78.0" customHeight="1">
      <c r="A1675" s="52"/>
      <c r="B1675" s="52"/>
      <c r="C1675" s="54"/>
      <c r="D1675" s="855"/>
      <c r="E1675" s="54"/>
      <c r="F1675" s="54"/>
      <c r="G1675" s="54"/>
      <c r="H1675" s="54"/>
      <c r="I1675" s="54"/>
      <c r="J1675" s="54"/>
      <c r="K1675" s="54"/>
      <c r="L1675" s="54"/>
      <c r="M1675" s="54"/>
      <c r="N1675" s="54"/>
      <c r="O1675" s="54"/>
      <c r="P1675" s="54"/>
      <c r="Q1675" s="54"/>
      <c r="R1675" s="54"/>
      <c r="S1675" s="54"/>
      <c r="T1675" s="54"/>
      <c r="U1675" s="54"/>
      <c r="V1675" s="54"/>
      <c r="W1675" s="54"/>
      <c r="X1675" s="54"/>
      <c r="Y1675" s="54"/>
      <c r="Z1675" s="54"/>
      <c r="AA1675" s="54"/>
      <c r="AB1675" s="54"/>
      <c r="AC1675" s="54"/>
    </row>
    <row r="1676" ht="78.0" customHeight="1">
      <c r="A1676" s="26"/>
      <c r="B1676" s="26"/>
      <c r="C1676" s="28"/>
      <c r="D1676" s="825"/>
      <c r="E1676" s="28"/>
      <c r="F1676" s="28"/>
      <c r="G1676" s="28"/>
      <c r="H1676" s="28"/>
      <c r="I1676" s="28"/>
      <c r="J1676" s="28"/>
      <c r="K1676" s="28"/>
      <c r="L1676" s="28"/>
      <c r="M1676" s="28"/>
      <c r="N1676" s="28"/>
      <c r="O1676" s="28"/>
      <c r="P1676" s="28"/>
      <c r="Q1676" s="28"/>
      <c r="R1676" s="28"/>
      <c r="S1676" s="28"/>
      <c r="T1676" s="28"/>
      <c r="U1676" s="28"/>
      <c r="V1676" s="28"/>
      <c r="W1676" s="28"/>
      <c r="X1676" s="28"/>
      <c r="Y1676" s="28"/>
      <c r="Z1676" s="28"/>
      <c r="AA1676" s="28"/>
      <c r="AB1676" s="28"/>
      <c r="AC1676" s="28"/>
    </row>
    <row r="1677" ht="78.0" customHeight="1">
      <c r="A1677" s="52"/>
      <c r="B1677" s="52"/>
      <c r="C1677" s="54"/>
      <c r="D1677" s="855"/>
      <c r="E1677" s="54"/>
      <c r="F1677" s="54"/>
      <c r="G1677" s="54"/>
      <c r="H1677" s="54"/>
      <c r="I1677" s="54"/>
      <c r="J1677" s="54"/>
      <c r="K1677" s="54"/>
      <c r="L1677" s="54"/>
      <c r="M1677" s="54"/>
      <c r="N1677" s="54"/>
      <c r="O1677" s="54"/>
      <c r="P1677" s="54"/>
      <c r="Q1677" s="54"/>
      <c r="R1677" s="54"/>
      <c r="S1677" s="54"/>
      <c r="T1677" s="54"/>
      <c r="U1677" s="54"/>
      <c r="V1677" s="54"/>
      <c r="W1677" s="54"/>
      <c r="X1677" s="54"/>
      <c r="Y1677" s="54"/>
      <c r="Z1677" s="54"/>
      <c r="AA1677" s="54"/>
      <c r="AB1677" s="54"/>
      <c r="AC1677" s="54"/>
    </row>
    <row r="1678" ht="78.0" customHeight="1">
      <c r="A1678" s="26"/>
      <c r="B1678" s="26"/>
      <c r="C1678" s="28"/>
      <c r="D1678" s="825"/>
      <c r="E1678" s="28"/>
      <c r="F1678" s="28"/>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row>
    <row r="1679" ht="78.0" customHeight="1">
      <c r="A1679" s="52"/>
      <c r="B1679" s="52"/>
      <c r="C1679" s="54"/>
      <c r="D1679" s="855"/>
      <c r="E1679" s="54"/>
      <c r="F1679" s="54"/>
      <c r="G1679" s="54"/>
      <c r="H1679" s="54"/>
      <c r="I1679" s="54"/>
      <c r="J1679" s="54"/>
      <c r="K1679" s="54"/>
      <c r="L1679" s="54"/>
      <c r="M1679" s="54"/>
      <c r="N1679" s="54"/>
      <c r="O1679" s="54"/>
      <c r="P1679" s="54"/>
      <c r="Q1679" s="54"/>
      <c r="R1679" s="54"/>
      <c r="S1679" s="54"/>
      <c r="T1679" s="54"/>
      <c r="U1679" s="54"/>
      <c r="V1679" s="54"/>
      <c r="W1679" s="54"/>
      <c r="X1679" s="54"/>
      <c r="Y1679" s="54"/>
      <c r="Z1679" s="54"/>
      <c r="AA1679" s="54"/>
      <c r="AB1679" s="54"/>
      <c r="AC1679" s="54"/>
    </row>
    <row r="1680" ht="78.0" customHeight="1">
      <c r="A1680" s="26"/>
      <c r="B1680" s="26"/>
      <c r="C1680" s="28"/>
      <c r="D1680" s="825"/>
      <c r="E1680" s="28"/>
      <c r="F1680" s="28"/>
      <c r="G1680" s="28"/>
      <c r="H1680" s="28"/>
      <c r="I1680" s="28"/>
      <c r="J1680" s="28"/>
      <c r="K1680" s="28"/>
      <c r="L1680" s="28"/>
      <c r="M1680" s="28"/>
      <c r="N1680" s="28"/>
      <c r="O1680" s="28"/>
      <c r="P1680" s="28"/>
      <c r="Q1680" s="28"/>
      <c r="R1680" s="28"/>
      <c r="S1680" s="28"/>
      <c r="T1680" s="28"/>
      <c r="U1680" s="28"/>
      <c r="V1680" s="28"/>
      <c r="W1680" s="28"/>
      <c r="X1680" s="28"/>
      <c r="Y1680" s="28"/>
      <c r="Z1680" s="28"/>
      <c r="AA1680" s="28"/>
      <c r="AB1680" s="28"/>
      <c r="AC1680" s="28"/>
    </row>
    <row r="1681" ht="78.0" customHeight="1">
      <c r="A1681" s="52"/>
      <c r="B1681" s="52"/>
      <c r="C1681" s="54"/>
      <c r="D1681" s="855"/>
      <c r="E1681" s="54"/>
      <c r="F1681" s="54"/>
      <c r="G1681" s="54"/>
      <c r="H1681" s="54"/>
      <c r="I1681" s="54"/>
      <c r="J1681" s="54"/>
      <c r="K1681" s="54"/>
      <c r="L1681" s="54"/>
      <c r="M1681" s="54"/>
      <c r="N1681" s="54"/>
      <c r="O1681" s="54"/>
      <c r="P1681" s="54"/>
      <c r="Q1681" s="54"/>
      <c r="R1681" s="54"/>
      <c r="S1681" s="54"/>
      <c r="T1681" s="54"/>
      <c r="U1681" s="54"/>
      <c r="V1681" s="54"/>
      <c r="W1681" s="54"/>
      <c r="X1681" s="54"/>
      <c r="Y1681" s="54"/>
      <c r="Z1681" s="54"/>
      <c r="AA1681" s="54"/>
      <c r="AB1681" s="54"/>
      <c r="AC1681" s="54"/>
    </row>
    <row r="1682" ht="78.0" customHeight="1">
      <c r="A1682" s="26"/>
      <c r="B1682" s="26"/>
      <c r="C1682" s="28"/>
      <c r="D1682" s="825"/>
      <c r="E1682" s="28"/>
      <c r="F1682" s="28"/>
      <c r="G1682" s="28"/>
      <c r="H1682" s="28"/>
      <c r="I1682" s="28"/>
      <c r="J1682" s="28"/>
      <c r="K1682" s="28"/>
      <c r="L1682" s="28"/>
      <c r="M1682" s="28"/>
      <c r="N1682" s="28"/>
      <c r="O1682" s="28"/>
      <c r="P1682" s="28"/>
      <c r="Q1682" s="28"/>
      <c r="R1682" s="28"/>
      <c r="S1682" s="28"/>
      <c r="T1682" s="28"/>
      <c r="U1682" s="28"/>
      <c r="V1682" s="28"/>
      <c r="W1682" s="28"/>
      <c r="X1682" s="28"/>
      <c r="Y1682" s="28"/>
      <c r="Z1682" s="28"/>
      <c r="AA1682" s="28"/>
      <c r="AB1682" s="28"/>
      <c r="AC1682" s="28"/>
    </row>
    <row r="1683" ht="78.0" customHeight="1">
      <c r="A1683" s="52"/>
      <c r="B1683" s="52"/>
      <c r="C1683" s="54"/>
      <c r="D1683" s="855"/>
      <c r="E1683" s="54"/>
      <c r="F1683" s="54"/>
      <c r="G1683" s="54"/>
      <c r="H1683" s="54"/>
      <c r="I1683" s="54"/>
      <c r="J1683" s="54"/>
      <c r="K1683" s="54"/>
      <c r="L1683" s="54"/>
      <c r="M1683" s="54"/>
      <c r="N1683" s="54"/>
      <c r="O1683" s="54"/>
      <c r="P1683" s="54"/>
      <c r="Q1683" s="54"/>
      <c r="R1683" s="54"/>
      <c r="S1683" s="54"/>
      <c r="T1683" s="54"/>
      <c r="U1683" s="54"/>
      <c r="V1683" s="54"/>
      <c r="W1683" s="54"/>
      <c r="X1683" s="54"/>
      <c r="Y1683" s="54"/>
      <c r="Z1683" s="54"/>
      <c r="AA1683" s="54"/>
      <c r="AB1683" s="54"/>
      <c r="AC1683" s="54"/>
    </row>
    <row r="1684" ht="78.0" customHeight="1">
      <c r="A1684" s="26"/>
      <c r="B1684" s="26"/>
      <c r="C1684" s="28"/>
      <c r="D1684" s="825"/>
      <c r="E1684" s="28"/>
      <c r="F1684" s="28"/>
      <c r="G1684" s="28"/>
      <c r="H1684" s="28"/>
      <c r="I1684" s="28"/>
      <c r="J1684" s="28"/>
      <c r="K1684" s="28"/>
      <c r="L1684" s="28"/>
      <c r="M1684" s="28"/>
      <c r="N1684" s="28"/>
      <c r="O1684" s="28"/>
      <c r="P1684" s="28"/>
      <c r="Q1684" s="28"/>
      <c r="R1684" s="28"/>
      <c r="S1684" s="28"/>
      <c r="T1684" s="28"/>
      <c r="U1684" s="28"/>
      <c r="V1684" s="28"/>
      <c r="W1684" s="28"/>
      <c r="X1684" s="28"/>
      <c r="Y1684" s="28"/>
      <c r="Z1684" s="28"/>
      <c r="AA1684" s="28"/>
      <c r="AB1684" s="28"/>
      <c r="AC1684" s="28"/>
    </row>
    <row r="1685" ht="78.0" customHeight="1">
      <c r="A1685" s="52"/>
      <c r="B1685" s="52"/>
      <c r="C1685" s="54"/>
      <c r="D1685" s="855"/>
      <c r="E1685" s="54"/>
      <c r="F1685" s="54"/>
      <c r="G1685" s="54"/>
      <c r="H1685" s="54"/>
      <c r="I1685" s="54"/>
      <c r="J1685" s="54"/>
      <c r="K1685" s="54"/>
      <c r="L1685" s="54"/>
      <c r="M1685" s="54"/>
      <c r="N1685" s="54"/>
      <c r="O1685" s="54"/>
      <c r="P1685" s="54"/>
      <c r="Q1685" s="54"/>
      <c r="R1685" s="54"/>
      <c r="S1685" s="54"/>
      <c r="T1685" s="54"/>
      <c r="U1685" s="54"/>
      <c r="V1685" s="54"/>
      <c r="W1685" s="54"/>
      <c r="X1685" s="54"/>
      <c r="Y1685" s="54"/>
      <c r="Z1685" s="54"/>
      <c r="AA1685" s="54"/>
      <c r="AB1685" s="54"/>
      <c r="AC1685" s="54"/>
    </row>
    <row r="1686" ht="78.0" customHeight="1">
      <c r="A1686" s="26"/>
      <c r="B1686" s="26"/>
      <c r="C1686" s="28"/>
      <c r="D1686" s="825"/>
      <c r="E1686" s="28"/>
      <c r="F1686" s="28"/>
      <c r="G1686" s="28"/>
      <c r="H1686" s="28"/>
      <c r="I1686" s="28"/>
      <c r="J1686" s="28"/>
      <c r="K1686" s="28"/>
      <c r="L1686" s="28"/>
      <c r="M1686" s="28"/>
      <c r="N1686" s="28"/>
      <c r="O1686" s="28"/>
      <c r="P1686" s="28"/>
      <c r="Q1686" s="28"/>
      <c r="R1686" s="28"/>
      <c r="S1686" s="28"/>
      <c r="T1686" s="28"/>
      <c r="U1686" s="28"/>
      <c r="V1686" s="28"/>
      <c r="W1686" s="28"/>
      <c r="X1686" s="28"/>
      <c r="Y1686" s="28"/>
      <c r="Z1686" s="28"/>
      <c r="AA1686" s="28"/>
      <c r="AB1686" s="28"/>
      <c r="AC1686" s="28"/>
    </row>
    <row r="1687" ht="78.0" customHeight="1">
      <c r="A1687" s="52"/>
      <c r="B1687" s="52"/>
      <c r="C1687" s="54"/>
      <c r="D1687" s="855"/>
      <c r="E1687" s="54"/>
      <c r="F1687" s="54"/>
      <c r="G1687" s="54"/>
      <c r="H1687" s="54"/>
      <c r="I1687" s="54"/>
      <c r="J1687" s="54"/>
      <c r="K1687" s="54"/>
      <c r="L1687" s="54"/>
      <c r="M1687" s="54"/>
      <c r="N1687" s="54"/>
      <c r="O1687" s="54"/>
      <c r="P1687" s="54"/>
      <c r="Q1687" s="54"/>
      <c r="R1687" s="54"/>
      <c r="S1687" s="54"/>
      <c r="T1687" s="54"/>
      <c r="U1687" s="54"/>
      <c r="V1687" s="54"/>
      <c r="W1687" s="54"/>
      <c r="X1687" s="54"/>
      <c r="Y1687" s="54"/>
      <c r="Z1687" s="54"/>
      <c r="AA1687" s="54"/>
      <c r="AB1687" s="54"/>
      <c r="AC1687" s="54"/>
    </row>
    <row r="1688" ht="78.0" customHeight="1">
      <c r="A1688" s="26"/>
      <c r="B1688" s="26"/>
      <c r="C1688" s="28"/>
      <c r="D1688" s="825"/>
      <c r="E1688" s="28"/>
      <c r="F1688" s="28"/>
      <c r="G1688" s="28"/>
      <c r="H1688" s="28"/>
      <c r="I1688" s="28"/>
      <c r="J1688" s="28"/>
      <c r="K1688" s="28"/>
      <c r="L1688" s="28"/>
      <c r="M1688" s="28"/>
      <c r="N1688" s="28"/>
      <c r="O1688" s="28"/>
      <c r="P1688" s="28"/>
      <c r="Q1688" s="28"/>
      <c r="R1688" s="28"/>
      <c r="S1688" s="28"/>
      <c r="T1688" s="28"/>
      <c r="U1688" s="28"/>
      <c r="V1688" s="28"/>
      <c r="W1688" s="28"/>
      <c r="X1688" s="28"/>
      <c r="Y1688" s="28"/>
      <c r="Z1688" s="28"/>
      <c r="AA1688" s="28"/>
      <c r="AB1688" s="28"/>
      <c r="AC1688" s="28"/>
    </row>
    <row r="1689" ht="78.0" customHeight="1">
      <c r="A1689" s="52"/>
      <c r="B1689" s="52"/>
      <c r="C1689" s="54"/>
      <c r="D1689" s="855"/>
      <c r="E1689" s="54"/>
      <c r="F1689" s="54"/>
      <c r="G1689" s="54"/>
      <c r="H1689" s="54"/>
      <c r="I1689" s="54"/>
      <c r="J1689" s="54"/>
      <c r="K1689" s="54"/>
      <c r="L1689" s="54"/>
      <c r="M1689" s="54"/>
      <c r="N1689" s="54"/>
      <c r="O1689" s="54"/>
      <c r="P1689" s="54"/>
      <c r="Q1689" s="54"/>
      <c r="R1689" s="54"/>
      <c r="S1689" s="54"/>
      <c r="T1689" s="54"/>
      <c r="U1689" s="54"/>
      <c r="V1689" s="54"/>
      <c r="W1689" s="54"/>
      <c r="X1689" s="54"/>
      <c r="Y1689" s="54"/>
      <c r="Z1689" s="54"/>
      <c r="AA1689" s="54"/>
      <c r="AB1689" s="54"/>
      <c r="AC1689" s="54"/>
    </row>
    <row r="1690" ht="78.0" customHeight="1">
      <c r="A1690" s="26"/>
      <c r="B1690" s="26"/>
      <c r="C1690" s="28"/>
      <c r="D1690" s="825"/>
      <c r="E1690" s="28"/>
      <c r="F1690" s="28"/>
      <c r="G1690" s="28"/>
      <c r="H1690" s="28"/>
      <c r="I1690" s="28"/>
      <c r="J1690" s="28"/>
      <c r="K1690" s="28"/>
      <c r="L1690" s="28"/>
      <c r="M1690" s="28"/>
      <c r="N1690" s="28"/>
      <c r="O1690" s="28"/>
      <c r="P1690" s="28"/>
      <c r="Q1690" s="28"/>
      <c r="R1690" s="28"/>
      <c r="S1690" s="28"/>
      <c r="T1690" s="28"/>
      <c r="U1690" s="28"/>
      <c r="V1690" s="28"/>
      <c r="W1690" s="28"/>
      <c r="X1690" s="28"/>
      <c r="Y1690" s="28"/>
      <c r="Z1690" s="28"/>
      <c r="AA1690" s="28"/>
      <c r="AB1690" s="28"/>
      <c r="AC1690" s="28"/>
    </row>
    <row r="1691" ht="78.0" customHeight="1">
      <c r="A1691" s="52"/>
      <c r="B1691" s="52"/>
      <c r="C1691" s="54"/>
      <c r="D1691" s="855"/>
      <c r="E1691" s="54"/>
      <c r="F1691" s="54"/>
      <c r="G1691" s="54"/>
      <c r="H1691" s="54"/>
      <c r="I1691" s="54"/>
      <c r="J1691" s="54"/>
      <c r="K1691" s="54"/>
      <c r="L1691" s="54"/>
      <c r="M1691" s="54"/>
      <c r="N1691" s="54"/>
      <c r="O1691" s="54"/>
      <c r="P1691" s="54"/>
      <c r="Q1691" s="54"/>
      <c r="R1691" s="54"/>
      <c r="S1691" s="54"/>
      <c r="T1691" s="54"/>
      <c r="U1691" s="54"/>
      <c r="V1691" s="54"/>
      <c r="W1691" s="54"/>
      <c r="X1691" s="54"/>
      <c r="Y1691" s="54"/>
      <c r="Z1691" s="54"/>
      <c r="AA1691" s="54"/>
      <c r="AB1691" s="54"/>
      <c r="AC1691" s="54"/>
    </row>
    <row r="1692" ht="78.0" customHeight="1">
      <c r="A1692" s="26"/>
      <c r="B1692" s="26"/>
      <c r="C1692" s="28"/>
      <c r="D1692" s="825"/>
      <c r="E1692" s="28"/>
      <c r="F1692" s="28"/>
      <c r="G1692" s="28"/>
      <c r="H1692" s="28"/>
      <c r="I1692" s="28"/>
      <c r="J1692" s="28"/>
      <c r="K1692" s="28"/>
      <c r="L1692" s="28"/>
      <c r="M1692" s="28"/>
      <c r="N1692" s="28"/>
      <c r="O1692" s="28"/>
      <c r="P1692" s="28"/>
      <c r="Q1692" s="28"/>
      <c r="R1692" s="28"/>
      <c r="S1692" s="28"/>
      <c r="T1692" s="28"/>
      <c r="U1692" s="28"/>
      <c r="V1692" s="28"/>
      <c r="W1692" s="28"/>
      <c r="X1692" s="28"/>
      <c r="Y1692" s="28"/>
      <c r="Z1692" s="28"/>
      <c r="AA1692" s="28"/>
      <c r="AB1692" s="28"/>
      <c r="AC1692" s="28"/>
    </row>
    <row r="1693" ht="78.0" customHeight="1">
      <c r="A1693" s="52"/>
      <c r="B1693" s="52"/>
      <c r="C1693" s="54"/>
      <c r="D1693" s="855"/>
      <c r="E1693" s="54"/>
      <c r="F1693" s="54"/>
      <c r="G1693" s="54"/>
      <c r="H1693" s="54"/>
      <c r="I1693" s="54"/>
      <c r="J1693" s="54"/>
      <c r="K1693" s="54"/>
      <c r="L1693" s="54"/>
      <c r="M1693" s="54"/>
      <c r="N1693" s="54"/>
      <c r="O1693" s="54"/>
      <c r="P1693" s="54"/>
      <c r="Q1693" s="54"/>
      <c r="R1693" s="54"/>
      <c r="S1693" s="54"/>
      <c r="T1693" s="54"/>
      <c r="U1693" s="54"/>
      <c r="V1693" s="54"/>
      <c r="W1693" s="54"/>
      <c r="X1693" s="54"/>
      <c r="Y1693" s="54"/>
      <c r="Z1693" s="54"/>
      <c r="AA1693" s="54"/>
      <c r="AB1693" s="54"/>
      <c r="AC1693" s="54"/>
    </row>
    <row r="1694" ht="78.0" customHeight="1">
      <c r="A1694" s="26"/>
      <c r="B1694" s="26"/>
      <c r="C1694" s="28"/>
      <c r="D1694" s="825"/>
      <c r="E1694" s="28"/>
      <c r="F1694" s="28"/>
      <c r="G1694" s="28"/>
      <c r="H1694" s="28"/>
      <c r="I1694" s="28"/>
      <c r="J1694" s="28"/>
      <c r="K1694" s="28"/>
      <c r="L1694" s="28"/>
      <c r="M1694" s="28"/>
      <c r="N1694" s="28"/>
      <c r="O1694" s="28"/>
      <c r="P1694" s="28"/>
      <c r="Q1694" s="28"/>
      <c r="R1694" s="28"/>
      <c r="S1694" s="28"/>
      <c r="T1694" s="28"/>
      <c r="U1694" s="28"/>
      <c r="V1694" s="28"/>
      <c r="W1694" s="28"/>
      <c r="X1694" s="28"/>
      <c r="Y1694" s="28"/>
      <c r="Z1694" s="28"/>
      <c r="AA1694" s="28"/>
      <c r="AB1694" s="28"/>
      <c r="AC1694" s="28"/>
    </row>
    <row r="1695" ht="78.0" customHeight="1">
      <c r="A1695" s="52"/>
      <c r="B1695" s="52"/>
      <c r="C1695" s="54"/>
      <c r="D1695" s="855"/>
      <c r="E1695" s="54"/>
      <c r="F1695" s="54"/>
      <c r="G1695" s="54"/>
      <c r="H1695" s="54"/>
      <c r="I1695" s="54"/>
      <c r="J1695" s="54"/>
      <c r="K1695" s="54"/>
      <c r="L1695" s="54"/>
      <c r="M1695" s="54"/>
      <c r="N1695" s="54"/>
      <c r="O1695" s="54"/>
      <c r="P1695" s="54"/>
      <c r="Q1695" s="54"/>
      <c r="R1695" s="54"/>
      <c r="S1695" s="54"/>
      <c r="T1695" s="54"/>
      <c r="U1695" s="54"/>
      <c r="V1695" s="54"/>
      <c r="W1695" s="54"/>
      <c r="X1695" s="54"/>
      <c r="Y1695" s="54"/>
      <c r="Z1695" s="54"/>
      <c r="AA1695" s="54"/>
      <c r="AB1695" s="54"/>
      <c r="AC1695" s="54"/>
    </row>
    <row r="1696" ht="78.0" customHeight="1">
      <c r="A1696" s="26"/>
      <c r="B1696" s="26"/>
      <c r="C1696" s="28"/>
      <c r="D1696" s="825"/>
      <c r="E1696" s="28"/>
      <c r="F1696" s="28"/>
      <c r="G1696" s="28"/>
      <c r="H1696" s="28"/>
      <c r="I1696" s="28"/>
      <c r="J1696" s="28"/>
      <c r="K1696" s="28"/>
      <c r="L1696" s="28"/>
      <c r="M1696" s="28"/>
      <c r="N1696" s="28"/>
      <c r="O1696" s="28"/>
      <c r="P1696" s="28"/>
      <c r="Q1696" s="28"/>
      <c r="R1696" s="28"/>
      <c r="S1696" s="28"/>
      <c r="T1696" s="28"/>
      <c r="U1696" s="28"/>
      <c r="V1696" s="28"/>
      <c r="W1696" s="28"/>
      <c r="X1696" s="28"/>
      <c r="Y1696" s="28"/>
      <c r="Z1696" s="28"/>
      <c r="AA1696" s="28"/>
      <c r="AB1696" s="28"/>
      <c r="AC1696" s="28"/>
    </row>
    <row r="1697" ht="78.0" customHeight="1">
      <c r="A1697" s="52"/>
      <c r="B1697" s="52"/>
      <c r="C1697" s="54"/>
      <c r="D1697" s="855"/>
      <c r="E1697" s="54"/>
      <c r="F1697" s="54"/>
      <c r="G1697" s="54"/>
      <c r="H1697" s="54"/>
      <c r="I1697" s="54"/>
      <c r="J1697" s="54"/>
      <c r="K1697" s="54"/>
      <c r="L1697" s="54"/>
      <c r="M1697" s="54"/>
      <c r="N1697" s="54"/>
      <c r="O1697" s="54"/>
      <c r="P1697" s="54"/>
      <c r="Q1697" s="54"/>
      <c r="R1697" s="54"/>
      <c r="S1697" s="54"/>
      <c r="T1697" s="54"/>
      <c r="U1697" s="54"/>
      <c r="V1697" s="54"/>
      <c r="W1697" s="54"/>
      <c r="X1697" s="54"/>
      <c r="Y1697" s="54"/>
      <c r="Z1697" s="54"/>
      <c r="AA1697" s="54"/>
      <c r="AB1697" s="54"/>
      <c r="AC1697" s="54"/>
    </row>
    <row r="1698" ht="78.0" customHeight="1">
      <c r="A1698" s="26"/>
      <c r="B1698" s="26"/>
      <c r="C1698" s="28"/>
      <c r="D1698" s="825"/>
      <c r="E1698" s="28"/>
      <c r="F1698" s="28"/>
      <c r="G1698" s="28"/>
      <c r="H1698" s="28"/>
      <c r="I1698" s="28"/>
      <c r="J1698" s="28"/>
      <c r="K1698" s="28"/>
      <c r="L1698" s="28"/>
      <c r="M1698" s="28"/>
      <c r="N1698" s="28"/>
      <c r="O1698" s="28"/>
      <c r="P1698" s="28"/>
      <c r="Q1698" s="28"/>
      <c r="R1698" s="28"/>
      <c r="S1698" s="28"/>
      <c r="T1698" s="28"/>
      <c r="U1698" s="28"/>
      <c r="V1698" s="28"/>
      <c r="W1698" s="28"/>
      <c r="X1698" s="28"/>
      <c r="Y1698" s="28"/>
      <c r="Z1698" s="28"/>
      <c r="AA1698" s="28"/>
      <c r="AB1698" s="28"/>
      <c r="AC1698" s="28"/>
    </row>
    <row r="1699" ht="78.0" customHeight="1">
      <c r="A1699" s="52"/>
      <c r="B1699" s="52"/>
      <c r="C1699" s="54"/>
      <c r="D1699" s="855"/>
      <c r="E1699" s="54"/>
      <c r="F1699" s="54"/>
      <c r="G1699" s="54"/>
      <c r="H1699" s="54"/>
      <c r="I1699" s="54"/>
      <c r="J1699" s="54"/>
      <c r="K1699" s="54"/>
      <c r="L1699" s="54"/>
      <c r="M1699" s="54"/>
      <c r="N1699" s="54"/>
      <c r="O1699" s="54"/>
      <c r="P1699" s="54"/>
      <c r="Q1699" s="54"/>
      <c r="R1699" s="54"/>
      <c r="S1699" s="54"/>
      <c r="T1699" s="54"/>
      <c r="U1699" s="54"/>
      <c r="V1699" s="54"/>
      <c r="W1699" s="54"/>
      <c r="X1699" s="54"/>
      <c r="Y1699" s="54"/>
      <c r="Z1699" s="54"/>
      <c r="AA1699" s="54"/>
      <c r="AB1699" s="54"/>
      <c r="AC1699" s="54"/>
    </row>
    <row r="1700" ht="78.0" customHeight="1">
      <c r="A1700" s="26"/>
      <c r="B1700" s="26"/>
      <c r="C1700" s="28"/>
      <c r="D1700" s="825"/>
      <c r="E1700" s="28"/>
      <c r="F1700" s="28"/>
      <c r="G1700" s="28"/>
      <c r="H1700" s="28"/>
      <c r="I1700" s="28"/>
      <c r="J1700" s="28"/>
      <c r="K1700" s="28"/>
      <c r="L1700" s="28"/>
      <c r="M1700" s="28"/>
      <c r="N1700" s="28"/>
      <c r="O1700" s="28"/>
      <c r="P1700" s="28"/>
      <c r="Q1700" s="28"/>
      <c r="R1700" s="28"/>
      <c r="S1700" s="28"/>
      <c r="T1700" s="28"/>
      <c r="U1700" s="28"/>
      <c r="V1700" s="28"/>
      <c r="W1700" s="28"/>
      <c r="X1700" s="28"/>
      <c r="Y1700" s="28"/>
      <c r="Z1700" s="28"/>
      <c r="AA1700" s="28"/>
      <c r="AB1700" s="28"/>
      <c r="AC1700" s="28"/>
    </row>
    <row r="1701" ht="78.0" customHeight="1">
      <c r="A1701" s="52"/>
      <c r="B1701" s="52"/>
      <c r="C1701" s="54"/>
      <c r="D1701" s="855"/>
      <c r="E1701" s="54"/>
      <c r="F1701" s="54"/>
      <c r="G1701" s="54"/>
      <c r="H1701" s="54"/>
      <c r="I1701" s="54"/>
      <c r="J1701" s="54"/>
      <c r="K1701" s="54"/>
      <c r="L1701" s="54"/>
      <c r="M1701" s="54"/>
      <c r="N1701" s="54"/>
      <c r="O1701" s="54"/>
      <c r="P1701" s="54"/>
      <c r="Q1701" s="54"/>
      <c r="R1701" s="54"/>
      <c r="S1701" s="54"/>
      <c r="T1701" s="54"/>
      <c r="U1701" s="54"/>
      <c r="V1701" s="54"/>
      <c r="W1701" s="54"/>
      <c r="X1701" s="54"/>
      <c r="Y1701" s="54"/>
      <c r="Z1701" s="54"/>
      <c r="AA1701" s="54"/>
      <c r="AB1701" s="54"/>
      <c r="AC1701" s="54"/>
    </row>
    <row r="1702" ht="78.0" customHeight="1">
      <c r="A1702" s="26"/>
      <c r="B1702" s="26"/>
      <c r="C1702" s="28"/>
      <c r="D1702" s="825"/>
      <c r="E1702" s="28"/>
      <c r="F1702" s="28"/>
      <c r="G1702" s="28"/>
      <c r="H1702" s="28"/>
      <c r="I1702" s="28"/>
      <c r="J1702" s="28"/>
      <c r="K1702" s="28"/>
      <c r="L1702" s="28"/>
      <c r="M1702" s="28"/>
      <c r="N1702" s="28"/>
      <c r="O1702" s="28"/>
      <c r="P1702" s="28"/>
      <c r="Q1702" s="28"/>
      <c r="R1702" s="28"/>
      <c r="S1702" s="28"/>
      <c r="T1702" s="28"/>
      <c r="U1702" s="28"/>
      <c r="V1702" s="28"/>
      <c r="W1702" s="28"/>
      <c r="X1702" s="28"/>
      <c r="Y1702" s="28"/>
      <c r="Z1702" s="28"/>
      <c r="AA1702" s="28"/>
      <c r="AB1702" s="28"/>
      <c r="AC1702" s="28"/>
    </row>
    <row r="1703" ht="78.0" customHeight="1">
      <c r="A1703" s="52"/>
      <c r="B1703" s="52"/>
      <c r="C1703" s="54"/>
      <c r="D1703" s="855"/>
      <c r="E1703" s="54"/>
      <c r="F1703" s="54"/>
      <c r="G1703" s="54"/>
      <c r="H1703" s="54"/>
      <c r="I1703" s="54"/>
      <c r="J1703" s="54"/>
      <c r="K1703" s="54"/>
      <c r="L1703" s="54"/>
      <c r="M1703" s="54"/>
      <c r="N1703" s="54"/>
      <c r="O1703" s="54"/>
      <c r="P1703" s="54"/>
      <c r="Q1703" s="54"/>
      <c r="R1703" s="54"/>
      <c r="S1703" s="54"/>
      <c r="T1703" s="54"/>
      <c r="U1703" s="54"/>
      <c r="V1703" s="54"/>
      <c r="W1703" s="54"/>
      <c r="X1703" s="54"/>
      <c r="Y1703" s="54"/>
      <c r="Z1703" s="54"/>
      <c r="AA1703" s="54"/>
      <c r="AB1703" s="54"/>
      <c r="AC1703" s="54"/>
    </row>
    <row r="1704" ht="78.0" customHeight="1">
      <c r="A1704" s="26"/>
      <c r="B1704" s="26"/>
      <c r="C1704" s="28"/>
      <c r="D1704" s="825"/>
      <c r="E1704" s="28"/>
      <c r="F1704" s="28"/>
      <c r="G1704" s="28"/>
      <c r="H1704" s="28"/>
      <c r="I1704" s="28"/>
      <c r="J1704" s="28"/>
      <c r="K1704" s="28"/>
      <c r="L1704" s="28"/>
      <c r="M1704" s="28"/>
      <c r="N1704" s="28"/>
      <c r="O1704" s="28"/>
      <c r="P1704" s="28"/>
      <c r="Q1704" s="28"/>
      <c r="R1704" s="28"/>
      <c r="S1704" s="28"/>
      <c r="T1704" s="28"/>
      <c r="U1704" s="28"/>
      <c r="V1704" s="28"/>
      <c r="W1704" s="28"/>
      <c r="X1704" s="28"/>
      <c r="Y1704" s="28"/>
      <c r="Z1704" s="28"/>
      <c r="AA1704" s="28"/>
      <c r="AB1704" s="28"/>
      <c r="AC1704" s="28"/>
    </row>
    <row r="1705" ht="78.0" customHeight="1">
      <c r="A1705" s="52"/>
      <c r="B1705" s="52"/>
      <c r="C1705" s="54"/>
      <c r="D1705" s="855"/>
      <c r="E1705" s="54"/>
      <c r="F1705" s="54"/>
      <c r="G1705" s="54"/>
      <c r="H1705" s="54"/>
      <c r="I1705" s="54"/>
      <c r="J1705" s="54"/>
      <c r="K1705" s="54"/>
      <c r="L1705" s="54"/>
      <c r="M1705" s="54"/>
      <c r="N1705" s="54"/>
      <c r="O1705" s="54"/>
      <c r="P1705" s="54"/>
      <c r="Q1705" s="54"/>
      <c r="R1705" s="54"/>
      <c r="S1705" s="54"/>
      <c r="T1705" s="54"/>
      <c r="U1705" s="54"/>
      <c r="V1705" s="54"/>
      <c r="W1705" s="54"/>
      <c r="X1705" s="54"/>
      <c r="Y1705" s="54"/>
      <c r="Z1705" s="54"/>
      <c r="AA1705" s="54"/>
      <c r="AB1705" s="54"/>
      <c r="AC1705" s="54"/>
    </row>
    <row r="1706" ht="78.0" customHeight="1">
      <c r="A1706" s="26"/>
      <c r="B1706" s="26"/>
      <c r="C1706" s="28"/>
      <c r="D1706" s="825"/>
      <c r="E1706" s="28"/>
      <c r="F1706" s="28"/>
      <c r="G1706" s="28"/>
      <c r="H1706" s="28"/>
      <c r="I1706" s="28"/>
      <c r="J1706" s="28"/>
      <c r="K1706" s="28"/>
      <c r="L1706" s="28"/>
      <c r="M1706" s="28"/>
      <c r="N1706" s="28"/>
      <c r="O1706" s="28"/>
      <c r="P1706" s="28"/>
      <c r="Q1706" s="28"/>
      <c r="R1706" s="28"/>
      <c r="S1706" s="28"/>
      <c r="T1706" s="28"/>
      <c r="U1706" s="28"/>
      <c r="V1706" s="28"/>
      <c r="W1706" s="28"/>
      <c r="X1706" s="28"/>
      <c r="Y1706" s="28"/>
      <c r="Z1706" s="28"/>
      <c r="AA1706" s="28"/>
      <c r="AB1706" s="28"/>
      <c r="AC1706" s="28"/>
    </row>
    <row r="1707" ht="78.0" customHeight="1">
      <c r="A1707" s="52"/>
      <c r="B1707" s="52"/>
      <c r="C1707" s="54"/>
      <c r="D1707" s="855"/>
      <c r="E1707" s="54"/>
      <c r="F1707" s="54"/>
      <c r="G1707" s="54"/>
      <c r="H1707" s="54"/>
      <c r="I1707" s="54"/>
      <c r="J1707" s="54"/>
      <c r="K1707" s="54"/>
      <c r="L1707" s="54"/>
      <c r="M1707" s="54"/>
      <c r="N1707" s="54"/>
      <c r="O1707" s="54"/>
      <c r="P1707" s="54"/>
      <c r="Q1707" s="54"/>
      <c r="R1707" s="54"/>
      <c r="S1707" s="54"/>
      <c r="T1707" s="54"/>
      <c r="U1707" s="54"/>
      <c r="V1707" s="54"/>
      <c r="W1707" s="54"/>
      <c r="X1707" s="54"/>
      <c r="Y1707" s="54"/>
      <c r="Z1707" s="54"/>
      <c r="AA1707" s="54"/>
      <c r="AB1707" s="54"/>
      <c r="AC1707" s="54"/>
    </row>
    <row r="1708" ht="78.0" customHeight="1">
      <c r="A1708" s="26"/>
      <c r="B1708" s="26"/>
      <c r="C1708" s="28"/>
      <c r="D1708" s="825"/>
      <c r="E1708" s="28"/>
      <c r="F1708" s="28"/>
      <c r="G1708" s="28"/>
      <c r="H1708" s="28"/>
      <c r="I1708" s="28"/>
      <c r="J1708" s="28"/>
      <c r="K1708" s="28"/>
      <c r="L1708" s="28"/>
      <c r="M1708" s="28"/>
      <c r="N1708" s="28"/>
      <c r="O1708" s="28"/>
      <c r="P1708" s="28"/>
      <c r="Q1708" s="28"/>
      <c r="R1708" s="28"/>
      <c r="S1708" s="28"/>
      <c r="T1708" s="28"/>
      <c r="U1708" s="28"/>
      <c r="V1708" s="28"/>
      <c r="W1708" s="28"/>
      <c r="X1708" s="28"/>
      <c r="Y1708" s="28"/>
      <c r="Z1708" s="28"/>
      <c r="AA1708" s="28"/>
      <c r="AB1708" s="28"/>
      <c r="AC1708" s="28"/>
    </row>
    <row r="1709" ht="78.0" customHeight="1">
      <c r="A1709" s="52"/>
      <c r="B1709" s="52"/>
      <c r="C1709" s="54"/>
      <c r="D1709" s="855"/>
      <c r="E1709" s="54"/>
      <c r="F1709" s="54"/>
      <c r="G1709" s="54"/>
      <c r="H1709" s="54"/>
      <c r="I1709" s="54"/>
      <c r="J1709" s="54"/>
      <c r="K1709" s="54"/>
      <c r="L1709" s="54"/>
      <c r="M1709" s="54"/>
      <c r="N1709" s="54"/>
      <c r="O1709" s="54"/>
      <c r="P1709" s="54"/>
      <c r="Q1709" s="54"/>
      <c r="R1709" s="54"/>
      <c r="S1709" s="54"/>
      <c r="T1709" s="54"/>
      <c r="U1709" s="54"/>
      <c r="V1709" s="54"/>
      <c r="W1709" s="54"/>
      <c r="X1709" s="54"/>
      <c r="Y1709" s="54"/>
      <c r="Z1709" s="54"/>
      <c r="AA1709" s="54"/>
      <c r="AB1709" s="54"/>
      <c r="AC1709" s="54"/>
    </row>
    <row r="1710" ht="78.0" customHeight="1">
      <c r="A1710" s="26"/>
      <c r="B1710" s="26"/>
      <c r="C1710" s="28"/>
      <c r="D1710" s="825"/>
      <c r="E1710" s="28"/>
      <c r="F1710" s="28"/>
      <c r="G1710" s="28"/>
      <c r="H1710" s="28"/>
      <c r="I1710" s="28"/>
      <c r="J1710" s="28"/>
      <c r="K1710" s="28"/>
      <c r="L1710" s="28"/>
      <c r="M1710" s="28"/>
      <c r="N1710" s="28"/>
      <c r="O1710" s="28"/>
      <c r="P1710" s="28"/>
      <c r="Q1710" s="28"/>
      <c r="R1710" s="28"/>
      <c r="S1710" s="28"/>
      <c r="T1710" s="28"/>
      <c r="U1710" s="28"/>
      <c r="V1710" s="28"/>
      <c r="W1710" s="28"/>
      <c r="X1710" s="28"/>
      <c r="Y1710" s="28"/>
      <c r="Z1710" s="28"/>
      <c r="AA1710" s="28"/>
      <c r="AB1710" s="28"/>
      <c r="AC1710" s="28"/>
    </row>
    <row r="1711" ht="78.0" customHeight="1">
      <c r="A1711" s="52"/>
      <c r="B1711" s="52"/>
      <c r="C1711" s="54"/>
      <c r="D1711" s="855"/>
      <c r="E1711" s="54"/>
      <c r="F1711" s="54"/>
      <c r="G1711" s="54"/>
      <c r="H1711" s="54"/>
      <c r="I1711" s="54"/>
      <c r="J1711" s="54"/>
      <c r="K1711" s="54"/>
      <c r="L1711" s="54"/>
      <c r="M1711" s="54"/>
      <c r="N1711" s="54"/>
      <c r="O1711" s="54"/>
      <c r="P1711" s="54"/>
      <c r="Q1711" s="54"/>
      <c r="R1711" s="54"/>
      <c r="S1711" s="54"/>
      <c r="T1711" s="54"/>
      <c r="U1711" s="54"/>
      <c r="V1711" s="54"/>
      <c r="W1711" s="54"/>
      <c r="X1711" s="54"/>
      <c r="Y1711" s="54"/>
      <c r="Z1711" s="54"/>
      <c r="AA1711" s="54"/>
      <c r="AB1711" s="54"/>
      <c r="AC1711" s="54"/>
    </row>
    <row r="1712" ht="78.0" customHeight="1">
      <c r="A1712" s="26"/>
      <c r="B1712" s="26"/>
      <c r="C1712" s="28"/>
      <c r="D1712" s="825"/>
      <c r="E1712" s="28"/>
      <c r="F1712" s="28"/>
      <c r="G1712" s="28"/>
      <c r="H1712" s="28"/>
      <c r="I1712" s="28"/>
      <c r="J1712" s="28"/>
      <c r="K1712" s="28"/>
      <c r="L1712" s="28"/>
      <c r="M1712" s="28"/>
      <c r="N1712" s="28"/>
      <c r="O1712" s="28"/>
      <c r="P1712" s="28"/>
      <c r="Q1712" s="28"/>
      <c r="R1712" s="28"/>
      <c r="S1712" s="28"/>
      <c r="T1712" s="28"/>
      <c r="U1712" s="28"/>
      <c r="V1712" s="28"/>
      <c r="W1712" s="28"/>
      <c r="X1712" s="28"/>
      <c r="Y1712" s="28"/>
      <c r="Z1712" s="28"/>
      <c r="AA1712" s="28"/>
      <c r="AB1712" s="28"/>
      <c r="AC1712" s="28"/>
    </row>
    <row r="1713" ht="78.0" customHeight="1">
      <c r="A1713" s="52"/>
      <c r="B1713" s="52"/>
      <c r="C1713" s="54"/>
      <c r="D1713" s="855"/>
      <c r="E1713" s="54"/>
      <c r="F1713" s="54"/>
      <c r="G1713" s="54"/>
      <c r="H1713" s="54"/>
      <c r="I1713" s="54"/>
      <c r="J1713" s="54"/>
      <c r="K1713" s="54"/>
      <c r="L1713" s="54"/>
      <c r="M1713" s="54"/>
      <c r="N1713" s="54"/>
      <c r="O1713" s="54"/>
      <c r="P1713" s="54"/>
      <c r="Q1713" s="54"/>
      <c r="R1713" s="54"/>
      <c r="S1713" s="54"/>
      <c r="T1713" s="54"/>
      <c r="U1713" s="54"/>
      <c r="V1713" s="54"/>
      <c r="W1713" s="54"/>
      <c r="X1713" s="54"/>
      <c r="Y1713" s="54"/>
      <c r="Z1713" s="54"/>
      <c r="AA1713" s="54"/>
      <c r="AB1713" s="54"/>
      <c r="AC1713" s="54"/>
    </row>
    <row r="1714" ht="78.0" customHeight="1">
      <c r="A1714" s="26"/>
      <c r="B1714" s="26"/>
      <c r="C1714" s="28"/>
      <c r="D1714" s="825"/>
      <c r="E1714" s="28"/>
      <c r="F1714" s="28"/>
      <c r="G1714" s="28"/>
      <c r="H1714" s="28"/>
      <c r="I1714" s="28"/>
      <c r="J1714" s="28"/>
      <c r="K1714" s="28"/>
      <c r="L1714" s="28"/>
      <c r="M1714" s="28"/>
      <c r="N1714" s="28"/>
      <c r="O1714" s="28"/>
      <c r="P1714" s="28"/>
      <c r="Q1714" s="28"/>
      <c r="R1714" s="28"/>
      <c r="S1714" s="28"/>
      <c r="T1714" s="28"/>
      <c r="U1714" s="28"/>
      <c r="V1714" s="28"/>
      <c r="W1714" s="28"/>
      <c r="X1714" s="28"/>
      <c r="Y1714" s="28"/>
      <c r="Z1714" s="28"/>
      <c r="AA1714" s="28"/>
      <c r="AB1714" s="28"/>
      <c r="AC1714" s="28"/>
    </row>
    <row r="1715" ht="78.0" customHeight="1">
      <c r="A1715" s="52"/>
      <c r="B1715" s="52"/>
      <c r="C1715" s="54"/>
      <c r="D1715" s="855"/>
      <c r="E1715" s="54"/>
      <c r="F1715" s="54"/>
      <c r="G1715" s="54"/>
      <c r="H1715" s="54"/>
      <c r="I1715" s="54"/>
      <c r="J1715" s="54"/>
      <c r="K1715" s="54"/>
      <c r="L1715" s="54"/>
      <c r="M1715" s="54"/>
      <c r="N1715" s="54"/>
      <c r="O1715" s="54"/>
      <c r="P1715" s="54"/>
      <c r="Q1715" s="54"/>
      <c r="R1715" s="54"/>
      <c r="S1715" s="54"/>
      <c r="T1715" s="54"/>
      <c r="U1715" s="54"/>
      <c r="V1715" s="54"/>
      <c r="W1715" s="54"/>
      <c r="X1715" s="54"/>
      <c r="Y1715" s="54"/>
      <c r="Z1715" s="54"/>
      <c r="AA1715" s="54"/>
      <c r="AB1715" s="54"/>
      <c r="AC1715" s="54"/>
    </row>
    <row r="1716" ht="78.0" customHeight="1">
      <c r="A1716" s="26"/>
      <c r="B1716" s="26"/>
      <c r="C1716" s="28"/>
      <c r="D1716" s="825"/>
      <c r="E1716" s="28"/>
      <c r="F1716" s="28"/>
      <c r="G1716" s="28"/>
      <c r="H1716" s="28"/>
      <c r="I1716" s="28"/>
      <c r="J1716" s="28"/>
      <c r="K1716" s="28"/>
      <c r="L1716" s="28"/>
      <c r="M1716" s="28"/>
      <c r="N1716" s="28"/>
      <c r="O1716" s="28"/>
      <c r="P1716" s="28"/>
      <c r="Q1716" s="28"/>
      <c r="R1716" s="28"/>
      <c r="S1716" s="28"/>
      <c r="T1716" s="28"/>
      <c r="U1716" s="28"/>
      <c r="V1716" s="28"/>
      <c r="W1716" s="28"/>
      <c r="X1716" s="28"/>
      <c r="Y1716" s="28"/>
      <c r="Z1716" s="28"/>
      <c r="AA1716" s="28"/>
      <c r="AB1716" s="28"/>
      <c r="AC1716" s="28"/>
    </row>
    <row r="1717" ht="78.0" customHeight="1">
      <c r="A1717" s="52"/>
      <c r="B1717" s="52"/>
      <c r="C1717" s="54"/>
      <c r="D1717" s="855"/>
      <c r="E1717" s="54"/>
      <c r="F1717" s="54"/>
      <c r="G1717" s="54"/>
      <c r="H1717" s="54"/>
      <c r="I1717" s="54"/>
      <c r="J1717" s="54"/>
      <c r="K1717" s="54"/>
      <c r="L1717" s="54"/>
      <c r="M1717" s="54"/>
      <c r="N1717" s="54"/>
      <c r="O1717" s="54"/>
      <c r="P1717" s="54"/>
      <c r="Q1717" s="54"/>
      <c r="R1717" s="54"/>
      <c r="S1717" s="54"/>
      <c r="T1717" s="54"/>
      <c r="U1717" s="54"/>
      <c r="V1717" s="54"/>
      <c r="W1717" s="54"/>
      <c r="X1717" s="54"/>
      <c r="Y1717" s="54"/>
      <c r="Z1717" s="54"/>
      <c r="AA1717" s="54"/>
      <c r="AB1717" s="54"/>
      <c r="AC1717" s="54"/>
    </row>
    <row r="1718" ht="78.0" customHeight="1">
      <c r="A1718" s="26"/>
      <c r="B1718" s="26"/>
      <c r="C1718" s="28"/>
      <c r="D1718" s="825"/>
      <c r="E1718" s="28"/>
      <c r="F1718" s="28"/>
      <c r="G1718" s="28"/>
      <c r="H1718" s="28"/>
      <c r="I1718" s="28"/>
      <c r="J1718" s="28"/>
      <c r="K1718" s="28"/>
      <c r="L1718" s="28"/>
      <c r="M1718" s="28"/>
      <c r="N1718" s="28"/>
      <c r="O1718" s="28"/>
      <c r="P1718" s="28"/>
      <c r="Q1718" s="28"/>
      <c r="R1718" s="28"/>
      <c r="S1718" s="28"/>
      <c r="T1718" s="28"/>
      <c r="U1718" s="28"/>
      <c r="V1718" s="28"/>
      <c r="W1718" s="28"/>
      <c r="X1718" s="28"/>
      <c r="Y1718" s="28"/>
      <c r="Z1718" s="28"/>
      <c r="AA1718" s="28"/>
      <c r="AB1718" s="28"/>
      <c r="AC1718" s="28"/>
    </row>
    <row r="1719" ht="78.0" customHeight="1">
      <c r="A1719" s="52"/>
      <c r="B1719" s="52"/>
      <c r="C1719" s="54"/>
      <c r="D1719" s="855"/>
      <c r="E1719" s="54"/>
      <c r="F1719" s="54"/>
      <c r="G1719" s="54"/>
      <c r="H1719" s="54"/>
      <c r="I1719" s="54"/>
      <c r="J1719" s="54"/>
      <c r="K1719" s="54"/>
      <c r="L1719" s="54"/>
      <c r="M1719" s="54"/>
      <c r="N1719" s="54"/>
      <c r="O1719" s="54"/>
      <c r="P1719" s="54"/>
      <c r="Q1719" s="54"/>
      <c r="R1719" s="54"/>
      <c r="S1719" s="54"/>
      <c r="T1719" s="54"/>
      <c r="U1719" s="54"/>
      <c r="V1719" s="54"/>
      <c r="W1719" s="54"/>
      <c r="X1719" s="54"/>
      <c r="Y1719" s="54"/>
      <c r="Z1719" s="54"/>
      <c r="AA1719" s="54"/>
      <c r="AB1719" s="54"/>
      <c r="AC1719" s="54"/>
    </row>
    <row r="1720" ht="78.0" customHeight="1">
      <c r="A1720" s="26"/>
      <c r="B1720" s="26"/>
      <c r="C1720" s="28"/>
      <c r="D1720" s="825"/>
      <c r="E1720" s="28"/>
      <c r="F1720" s="28"/>
      <c r="G1720" s="28"/>
      <c r="H1720" s="28"/>
      <c r="I1720" s="28"/>
      <c r="J1720" s="28"/>
      <c r="K1720" s="28"/>
      <c r="L1720" s="28"/>
      <c r="M1720" s="28"/>
      <c r="N1720" s="28"/>
      <c r="O1720" s="28"/>
      <c r="P1720" s="28"/>
      <c r="Q1720" s="28"/>
      <c r="R1720" s="28"/>
      <c r="S1720" s="28"/>
      <c r="T1720" s="28"/>
      <c r="U1720" s="28"/>
      <c r="V1720" s="28"/>
      <c r="W1720" s="28"/>
      <c r="X1720" s="28"/>
      <c r="Y1720" s="28"/>
      <c r="Z1720" s="28"/>
      <c r="AA1720" s="28"/>
      <c r="AB1720" s="28"/>
      <c r="AC1720" s="28"/>
    </row>
    <row r="1721" ht="78.0" customHeight="1">
      <c r="A1721" s="52"/>
      <c r="B1721" s="52"/>
      <c r="C1721" s="54"/>
      <c r="D1721" s="855"/>
      <c r="E1721" s="54"/>
      <c r="F1721" s="54"/>
      <c r="G1721" s="54"/>
      <c r="H1721" s="54"/>
      <c r="I1721" s="54"/>
      <c r="J1721" s="54"/>
      <c r="K1721" s="54"/>
      <c r="L1721" s="54"/>
      <c r="M1721" s="54"/>
      <c r="N1721" s="54"/>
      <c r="O1721" s="54"/>
      <c r="P1721" s="54"/>
      <c r="Q1721" s="54"/>
      <c r="R1721" s="54"/>
      <c r="S1721" s="54"/>
      <c r="T1721" s="54"/>
      <c r="U1721" s="54"/>
      <c r="V1721" s="54"/>
      <c r="W1721" s="54"/>
      <c r="X1721" s="54"/>
      <c r="Y1721" s="54"/>
      <c r="Z1721" s="54"/>
      <c r="AA1721" s="54"/>
      <c r="AB1721" s="54"/>
      <c r="AC1721" s="54"/>
    </row>
    <row r="1722" ht="78.0" customHeight="1">
      <c r="A1722" s="26"/>
      <c r="B1722" s="26"/>
      <c r="C1722" s="28"/>
      <c r="D1722" s="825"/>
      <c r="E1722" s="28"/>
      <c r="F1722" s="28"/>
      <c r="G1722" s="28"/>
      <c r="H1722" s="28"/>
      <c r="I1722" s="28"/>
      <c r="J1722" s="28"/>
      <c r="K1722" s="28"/>
      <c r="L1722" s="28"/>
      <c r="M1722" s="28"/>
      <c r="N1722" s="28"/>
      <c r="O1722" s="28"/>
      <c r="P1722" s="28"/>
      <c r="Q1722" s="28"/>
      <c r="R1722" s="28"/>
      <c r="S1722" s="28"/>
      <c r="T1722" s="28"/>
      <c r="U1722" s="28"/>
      <c r="V1722" s="28"/>
      <c r="W1722" s="28"/>
      <c r="X1722" s="28"/>
      <c r="Y1722" s="28"/>
      <c r="Z1722" s="28"/>
      <c r="AA1722" s="28"/>
      <c r="AB1722" s="28"/>
      <c r="AC1722" s="28"/>
    </row>
    <row r="1723" ht="78.0" customHeight="1">
      <c r="A1723" s="52"/>
      <c r="B1723" s="52"/>
      <c r="C1723" s="54"/>
      <c r="D1723" s="855"/>
      <c r="E1723" s="54"/>
      <c r="F1723" s="54"/>
      <c r="G1723" s="54"/>
      <c r="H1723" s="54"/>
      <c r="I1723" s="54"/>
      <c r="J1723" s="54"/>
      <c r="K1723" s="54"/>
      <c r="L1723" s="54"/>
      <c r="M1723" s="54"/>
      <c r="N1723" s="54"/>
      <c r="O1723" s="54"/>
      <c r="P1723" s="54"/>
      <c r="Q1723" s="54"/>
      <c r="R1723" s="54"/>
      <c r="S1723" s="54"/>
      <c r="T1723" s="54"/>
      <c r="U1723" s="54"/>
      <c r="V1723" s="54"/>
      <c r="W1723" s="54"/>
      <c r="X1723" s="54"/>
      <c r="Y1723" s="54"/>
      <c r="Z1723" s="54"/>
      <c r="AA1723" s="54"/>
      <c r="AB1723" s="54"/>
      <c r="AC1723" s="54"/>
    </row>
    <row r="1724" ht="78.0" customHeight="1">
      <c r="A1724" s="26"/>
      <c r="B1724" s="26"/>
      <c r="C1724" s="28"/>
      <c r="D1724" s="825"/>
      <c r="E1724" s="28"/>
      <c r="F1724" s="28"/>
      <c r="G1724" s="28"/>
      <c r="H1724" s="28"/>
      <c r="I1724" s="28"/>
      <c r="J1724" s="28"/>
      <c r="K1724" s="28"/>
      <c r="L1724" s="28"/>
      <c r="M1724" s="28"/>
      <c r="N1724" s="28"/>
      <c r="O1724" s="28"/>
      <c r="P1724" s="28"/>
      <c r="Q1724" s="28"/>
      <c r="R1724" s="28"/>
      <c r="S1724" s="28"/>
      <c r="T1724" s="28"/>
      <c r="U1724" s="28"/>
      <c r="V1724" s="28"/>
      <c r="W1724" s="28"/>
      <c r="X1724" s="28"/>
      <c r="Y1724" s="28"/>
      <c r="Z1724" s="28"/>
      <c r="AA1724" s="28"/>
      <c r="AB1724" s="28"/>
      <c r="AC1724" s="28"/>
    </row>
    <row r="1725" ht="78.0" customHeight="1">
      <c r="A1725" s="52"/>
      <c r="B1725" s="52"/>
      <c r="C1725" s="54"/>
      <c r="D1725" s="855"/>
      <c r="E1725" s="54"/>
      <c r="F1725" s="54"/>
      <c r="G1725" s="54"/>
      <c r="H1725" s="54"/>
      <c r="I1725" s="54"/>
      <c r="J1725" s="54"/>
      <c r="K1725" s="54"/>
      <c r="L1725" s="54"/>
      <c r="M1725" s="54"/>
      <c r="N1725" s="54"/>
      <c r="O1725" s="54"/>
      <c r="P1725" s="54"/>
      <c r="Q1725" s="54"/>
      <c r="R1725" s="54"/>
      <c r="S1725" s="54"/>
      <c r="T1725" s="54"/>
      <c r="U1725" s="54"/>
      <c r="V1725" s="54"/>
      <c r="W1725" s="54"/>
      <c r="X1725" s="54"/>
      <c r="Y1725" s="54"/>
      <c r="Z1725" s="54"/>
      <c r="AA1725" s="54"/>
      <c r="AB1725" s="54"/>
      <c r="AC1725" s="54"/>
    </row>
    <row r="1726" ht="78.0" customHeight="1">
      <c r="A1726" s="26"/>
      <c r="B1726" s="26"/>
      <c r="C1726" s="28"/>
      <c r="D1726" s="825"/>
      <c r="E1726" s="28"/>
      <c r="F1726" s="28"/>
      <c r="G1726" s="28"/>
      <c r="H1726" s="28"/>
      <c r="I1726" s="28"/>
      <c r="J1726" s="28"/>
      <c r="K1726" s="28"/>
      <c r="L1726" s="28"/>
      <c r="M1726" s="28"/>
      <c r="N1726" s="28"/>
      <c r="O1726" s="28"/>
      <c r="P1726" s="28"/>
      <c r="Q1726" s="28"/>
      <c r="R1726" s="28"/>
      <c r="S1726" s="28"/>
      <c r="T1726" s="28"/>
      <c r="U1726" s="28"/>
      <c r="V1726" s="28"/>
      <c r="W1726" s="28"/>
      <c r="X1726" s="28"/>
      <c r="Y1726" s="28"/>
      <c r="Z1726" s="28"/>
      <c r="AA1726" s="28"/>
      <c r="AB1726" s="28"/>
      <c r="AC1726" s="28"/>
    </row>
    <row r="1727" ht="78.0" customHeight="1">
      <c r="A1727" s="52"/>
      <c r="B1727" s="52"/>
      <c r="C1727" s="54"/>
      <c r="D1727" s="855"/>
      <c r="E1727" s="54"/>
      <c r="F1727" s="54"/>
      <c r="G1727" s="54"/>
      <c r="H1727" s="54"/>
      <c r="I1727" s="54"/>
      <c r="J1727" s="54"/>
      <c r="K1727" s="54"/>
      <c r="L1727" s="54"/>
      <c r="M1727" s="54"/>
      <c r="N1727" s="54"/>
      <c r="O1727" s="54"/>
      <c r="P1727" s="54"/>
      <c r="Q1727" s="54"/>
      <c r="R1727" s="54"/>
      <c r="S1727" s="54"/>
      <c r="T1727" s="54"/>
      <c r="U1727" s="54"/>
      <c r="V1727" s="54"/>
      <c r="W1727" s="54"/>
      <c r="X1727" s="54"/>
      <c r="Y1727" s="54"/>
      <c r="Z1727" s="54"/>
      <c r="AA1727" s="54"/>
      <c r="AB1727" s="54"/>
      <c r="AC1727" s="54"/>
    </row>
    <row r="1728" ht="78.0" customHeight="1">
      <c r="A1728" s="26"/>
      <c r="B1728" s="26"/>
      <c r="C1728" s="28"/>
      <c r="D1728" s="825"/>
      <c r="E1728" s="28"/>
      <c r="F1728" s="28"/>
      <c r="G1728" s="28"/>
      <c r="H1728" s="28"/>
      <c r="I1728" s="28"/>
      <c r="J1728" s="28"/>
      <c r="K1728" s="28"/>
      <c r="L1728" s="28"/>
      <c r="M1728" s="28"/>
      <c r="N1728" s="28"/>
      <c r="O1728" s="28"/>
      <c r="P1728" s="28"/>
      <c r="Q1728" s="28"/>
      <c r="R1728" s="28"/>
      <c r="S1728" s="28"/>
      <c r="T1728" s="28"/>
      <c r="U1728" s="28"/>
      <c r="V1728" s="28"/>
      <c r="W1728" s="28"/>
      <c r="X1728" s="28"/>
      <c r="Y1728" s="28"/>
      <c r="Z1728" s="28"/>
      <c r="AA1728" s="28"/>
      <c r="AB1728" s="28"/>
      <c r="AC1728" s="28"/>
    </row>
    <row r="1729" ht="78.0" customHeight="1">
      <c r="A1729" s="52"/>
      <c r="B1729" s="52"/>
      <c r="C1729" s="54"/>
      <c r="D1729" s="855"/>
      <c r="E1729" s="54"/>
      <c r="F1729" s="54"/>
      <c r="G1729" s="54"/>
      <c r="H1729" s="54"/>
      <c r="I1729" s="54"/>
      <c r="J1729" s="54"/>
      <c r="K1729" s="54"/>
      <c r="L1729" s="54"/>
      <c r="M1729" s="54"/>
      <c r="N1729" s="54"/>
      <c r="O1729" s="54"/>
      <c r="P1729" s="54"/>
      <c r="Q1729" s="54"/>
      <c r="R1729" s="54"/>
      <c r="S1729" s="54"/>
      <c r="T1729" s="54"/>
      <c r="U1729" s="54"/>
      <c r="V1729" s="54"/>
      <c r="W1729" s="54"/>
      <c r="X1729" s="54"/>
      <c r="Y1729" s="54"/>
      <c r="Z1729" s="54"/>
      <c r="AA1729" s="54"/>
      <c r="AB1729" s="54"/>
      <c r="AC1729" s="54"/>
    </row>
    <row r="1730" ht="78.0" customHeight="1">
      <c r="A1730" s="26"/>
      <c r="B1730" s="26"/>
      <c r="C1730" s="28"/>
      <c r="D1730" s="825"/>
      <c r="E1730" s="28"/>
      <c r="F1730" s="28"/>
      <c r="G1730" s="28"/>
      <c r="H1730" s="28"/>
      <c r="I1730" s="28"/>
      <c r="J1730" s="28"/>
      <c r="K1730" s="28"/>
      <c r="L1730" s="28"/>
      <c r="M1730" s="28"/>
      <c r="N1730" s="28"/>
      <c r="O1730" s="28"/>
      <c r="P1730" s="28"/>
      <c r="Q1730" s="28"/>
      <c r="R1730" s="28"/>
      <c r="S1730" s="28"/>
      <c r="T1730" s="28"/>
      <c r="U1730" s="28"/>
      <c r="V1730" s="28"/>
      <c r="W1730" s="28"/>
      <c r="X1730" s="28"/>
      <c r="Y1730" s="28"/>
      <c r="Z1730" s="28"/>
      <c r="AA1730" s="28"/>
      <c r="AB1730" s="28"/>
      <c r="AC1730" s="28"/>
    </row>
    <row r="1731" ht="78.0" customHeight="1">
      <c r="A1731" s="52"/>
      <c r="B1731" s="52"/>
      <c r="C1731" s="54"/>
      <c r="D1731" s="855"/>
      <c r="E1731" s="54"/>
      <c r="F1731" s="54"/>
      <c r="G1731" s="54"/>
      <c r="H1731" s="54"/>
      <c r="I1731" s="54"/>
      <c r="J1731" s="54"/>
      <c r="K1731" s="54"/>
      <c r="L1731" s="54"/>
      <c r="M1731" s="54"/>
      <c r="N1731" s="54"/>
      <c r="O1731" s="54"/>
      <c r="P1731" s="54"/>
      <c r="Q1731" s="54"/>
      <c r="R1731" s="54"/>
      <c r="S1731" s="54"/>
      <c r="T1731" s="54"/>
      <c r="U1731" s="54"/>
      <c r="V1731" s="54"/>
      <c r="W1731" s="54"/>
      <c r="X1731" s="54"/>
      <c r="Y1731" s="54"/>
      <c r="Z1731" s="54"/>
      <c r="AA1731" s="54"/>
      <c r="AB1731" s="54"/>
      <c r="AC1731" s="54"/>
    </row>
    <row r="1732" ht="78.0" customHeight="1">
      <c r="A1732" s="26"/>
      <c r="B1732" s="26"/>
      <c r="C1732" s="28"/>
      <c r="D1732" s="825"/>
      <c r="E1732" s="28"/>
      <c r="F1732" s="28"/>
      <c r="G1732" s="28"/>
      <c r="H1732" s="28"/>
      <c r="I1732" s="28"/>
      <c r="J1732" s="28"/>
      <c r="K1732" s="28"/>
      <c r="L1732" s="28"/>
      <c r="M1732" s="28"/>
      <c r="N1732" s="28"/>
      <c r="O1732" s="28"/>
      <c r="P1732" s="28"/>
      <c r="Q1732" s="28"/>
      <c r="R1732" s="28"/>
      <c r="S1732" s="28"/>
      <c r="T1732" s="28"/>
      <c r="U1732" s="28"/>
      <c r="V1732" s="28"/>
      <c r="W1732" s="28"/>
      <c r="X1732" s="28"/>
      <c r="Y1732" s="28"/>
      <c r="Z1732" s="28"/>
      <c r="AA1732" s="28"/>
      <c r="AB1732" s="28"/>
      <c r="AC1732" s="28"/>
    </row>
    <row r="1733" ht="78.0" customHeight="1">
      <c r="A1733" s="52"/>
      <c r="B1733" s="52"/>
      <c r="C1733" s="54"/>
      <c r="D1733" s="855"/>
      <c r="E1733" s="54"/>
      <c r="F1733" s="54"/>
      <c r="G1733" s="54"/>
      <c r="H1733" s="54"/>
      <c r="I1733" s="54"/>
      <c r="J1733" s="54"/>
      <c r="K1733" s="54"/>
      <c r="L1733" s="54"/>
      <c r="M1733" s="54"/>
      <c r="N1733" s="54"/>
      <c r="O1733" s="54"/>
      <c r="P1733" s="54"/>
      <c r="Q1733" s="54"/>
      <c r="R1733" s="54"/>
      <c r="S1733" s="54"/>
      <c r="T1733" s="54"/>
      <c r="U1733" s="54"/>
      <c r="V1733" s="54"/>
      <c r="W1733" s="54"/>
      <c r="X1733" s="54"/>
      <c r="Y1733" s="54"/>
      <c r="Z1733" s="54"/>
      <c r="AA1733" s="54"/>
      <c r="AB1733" s="54"/>
      <c r="AC1733" s="54"/>
    </row>
    <row r="1734" ht="78.0" customHeight="1">
      <c r="A1734" s="26"/>
      <c r="B1734" s="26"/>
      <c r="C1734" s="28"/>
      <c r="D1734" s="825"/>
      <c r="E1734" s="28"/>
      <c r="F1734" s="28"/>
      <c r="G1734" s="28"/>
      <c r="H1734" s="28"/>
      <c r="I1734" s="28"/>
      <c r="J1734" s="28"/>
      <c r="K1734" s="28"/>
      <c r="L1734" s="28"/>
      <c r="M1734" s="28"/>
      <c r="N1734" s="28"/>
      <c r="O1734" s="28"/>
      <c r="P1734" s="28"/>
      <c r="Q1734" s="28"/>
      <c r="R1734" s="28"/>
      <c r="S1734" s="28"/>
      <c r="T1734" s="28"/>
      <c r="U1734" s="28"/>
      <c r="V1734" s="28"/>
      <c r="W1734" s="28"/>
      <c r="X1734" s="28"/>
      <c r="Y1734" s="28"/>
      <c r="Z1734" s="28"/>
      <c r="AA1734" s="28"/>
      <c r="AB1734" s="28"/>
      <c r="AC1734" s="28"/>
    </row>
    <row r="1735" ht="78.0" customHeight="1">
      <c r="A1735" s="52"/>
      <c r="B1735" s="52"/>
      <c r="C1735" s="54"/>
      <c r="D1735" s="855"/>
      <c r="E1735" s="54"/>
      <c r="F1735" s="54"/>
      <c r="G1735" s="54"/>
      <c r="H1735" s="54"/>
      <c r="I1735" s="54"/>
      <c r="J1735" s="54"/>
      <c r="K1735" s="54"/>
      <c r="L1735" s="54"/>
      <c r="M1735" s="54"/>
      <c r="N1735" s="54"/>
      <c r="O1735" s="54"/>
      <c r="P1735" s="54"/>
      <c r="Q1735" s="54"/>
      <c r="R1735" s="54"/>
      <c r="S1735" s="54"/>
      <c r="T1735" s="54"/>
      <c r="U1735" s="54"/>
      <c r="V1735" s="54"/>
      <c r="W1735" s="54"/>
      <c r="X1735" s="54"/>
      <c r="Y1735" s="54"/>
      <c r="Z1735" s="54"/>
      <c r="AA1735" s="54"/>
      <c r="AB1735" s="54"/>
      <c r="AC1735" s="54"/>
    </row>
    <row r="1736" ht="78.0" customHeight="1">
      <c r="A1736" s="26"/>
      <c r="B1736" s="26"/>
      <c r="C1736" s="28"/>
      <c r="D1736" s="825"/>
      <c r="E1736" s="28"/>
      <c r="F1736" s="28"/>
      <c r="G1736" s="28"/>
      <c r="H1736" s="28"/>
      <c r="I1736" s="28"/>
      <c r="J1736" s="28"/>
      <c r="K1736" s="28"/>
      <c r="L1736" s="28"/>
      <c r="M1736" s="28"/>
      <c r="N1736" s="28"/>
      <c r="O1736" s="28"/>
      <c r="P1736" s="28"/>
      <c r="Q1736" s="28"/>
      <c r="R1736" s="28"/>
      <c r="S1736" s="28"/>
      <c r="T1736" s="28"/>
      <c r="U1736" s="28"/>
      <c r="V1736" s="28"/>
      <c r="W1736" s="28"/>
      <c r="X1736" s="28"/>
      <c r="Y1736" s="28"/>
      <c r="Z1736" s="28"/>
      <c r="AA1736" s="28"/>
      <c r="AB1736" s="28"/>
      <c r="AC1736" s="28"/>
    </row>
    <row r="1737" ht="78.0" customHeight="1">
      <c r="A1737" s="52"/>
      <c r="B1737" s="52"/>
      <c r="C1737" s="54"/>
      <c r="D1737" s="855"/>
      <c r="E1737" s="54"/>
      <c r="F1737" s="54"/>
      <c r="G1737" s="54"/>
      <c r="H1737" s="54"/>
      <c r="I1737" s="54"/>
      <c r="J1737" s="54"/>
      <c r="K1737" s="54"/>
      <c r="L1737" s="54"/>
      <c r="M1737" s="54"/>
      <c r="N1737" s="54"/>
      <c r="O1737" s="54"/>
      <c r="P1737" s="54"/>
      <c r="Q1737" s="54"/>
      <c r="R1737" s="54"/>
      <c r="S1737" s="54"/>
      <c r="T1737" s="54"/>
      <c r="U1737" s="54"/>
      <c r="V1737" s="54"/>
      <c r="W1737" s="54"/>
      <c r="X1737" s="54"/>
      <c r="Y1737" s="54"/>
      <c r="Z1737" s="54"/>
      <c r="AA1737" s="54"/>
      <c r="AB1737" s="54"/>
      <c r="AC1737" s="54"/>
    </row>
    <row r="1738" ht="78.0" customHeight="1">
      <c r="A1738" s="26"/>
      <c r="B1738" s="26"/>
      <c r="C1738" s="28"/>
      <c r="D1738" s="825"/>
      <c r="E1738" s="28"/>
      <c r="F1738" s="28"/>
      <c r="G1738" s="28"/>
      <c r="H1738" s="28"/>
      <c r="I1738" s="28"/>
      <c r="J1738" s="28"/>
      <c r="K1738" s="28"/>
      <c r="L1738" s="28"/>
      <c r="M1738" s="28"/>
      <c r="N1738" s="28"/>
      <c r="O1738" s="28"/>
      <c r="P1738" s="28"/>
      <c r="Q1738" s="28"/>
      <c r="R1738" s="28"/>
      <c r="S1738" s="28"/>
      <c r="T1738" s="28"/>
      <c r="U1738" s="28"/>
      <c r="V1738" s="28"/>
      <c r="W1738" s="28"/>
      <c r="X1738" s="28"/>
      <c r="Y1738" s="28"/>
      <c r="Z1738" s="28"/>
      <c r="AA1738" s="28"/>
      <c r="AB1738" s="28"/>
      <c r="AC1738" s="28"/>
    </row>
    <row r="1739" ht="78.0" customHeight="1">
      <c r="A1739" s="52"/>
      <c r="B1739" s="52"/>
      <c r="C1739" s="54"/>
      <c r="D1739" s="855"/>
      <c r="E1739" s="54"/>
      <c r="F1739" s="54"/>
      <c r="G1739" s="54"/>
      <c r="H1739" s="54"/>
      <c r="I1739" s="54"/>
      <c r="J1739" s="54"/>
      <c r="K1739" s="54"/>
      <c r="L1739" s="54"/>
      <c r="M1739" s="54"/>
      <c r="N1739" s="54"/>
      <c r="O1739" s="54"/>
      <c r="P1739" s="54"/>
      <c r="Q1739" s="54"/>
      <c r="R1739" s="54"/>
      <c r="S1739" s="54"/>
      <c r="T1739" s="54"/>
      <c r="U1739" s="54"/>
      <c r="V1739" s="54"/>
      <c r="W1739" s="54"/>
      <c r="X1739" s="54"/>
      <c r="Y1739" s="54"/>
      <c r="Z1739" s="54"/>
      <c r="AA1739" s="54"/>
      <c r="AB1739" s="54"/>
      <c r="AC1739" s="54"/>
    </row>
    <row r="1740" ht="78.0" customHeight="1">
      <c r="A1740" s="26"/>
      <c r="B1740" s="26"/>
      <c r="C1740" s="28"/>
      <c r="D1740" s="825"/>
      <c r="E1740" s="28"/>
      <c r="F1740" s="28"/>
      <c r="G1740" s="28"/>
      <c r="H1740" s="28"/>
      <c r="I1740" s="28"/>
      <c r="J1740" s="28"/>
      <c r="K1740" s="28"/>
      <c r="L1740" s="28"/>
      <c r="M1740" s="28"/>
      <c r="N1740" s="28"/>
      <c r="O1740" s="28"/>
      <c r="P1740" s="28"/>
      <c r="Q1740" s="28"/>
      <c r="R1740" s="28"/>
      <c r="S1740" s="28"/>
      <c r="T1740" s="28"/>
      <c r="U1740" s="28"/>
      <c r="V1740" s="28"/>
      <c r="W1740" s="28"/>
      <c r="X1740" s="28"/>
      <c r="Y1740" s="28"/>
      <c r="Z1740" s="28"/>
      <c r="AA1740" s="28"/>
      <c r="AB1740" s="28"/>
      <c r="AC1740" s="28"/>
    </row>
    <row r="1741" ht="78.0" customHeight="1">
      <c r="A1741" s="52"/>
      <c r="B1741" s="52"/>
      <c r="C1741" s="54"/>
      <c r="D1741" s="855"/>
      <c r="E1741" s="54"/>
      <c r="F1741" s="54"/>
      <c r="G1741" s="54"/>
      <c r="H1741" s="54"/>
      <c r="I1741" s="54"/>
      <c r="J1741" s="54"/>
      <c r="K1741" s="54"/>
      <c r="L1741" s="54"/>
      <c r="M1741" s="54"/>
      <c r="N1741" s="54"/>
      <c r="O1741" s="54"/>
      <c r="P1741" s="54"/>
      <c r="Q1741" s="54"/>
      <c r="R1741" s="54"/>
      <c r="S1741" s="54"/>
      <c r="T1741" s="54"/>
      <c r="U1741" s="54"/>
      <c r="V1741" s="54"/>
      <c r="W1741" s="54"/>
      <c r="X1741" s="54"/>
      <c r="Y1741" s="54"/>
      <c r="Z1741" s="54"/>
      <c r="AA1741" s="54"/>
      <c r="AB1741" s="54"/>
      <c r="AC1741" s="54"/>
    </row>
    <row r="1742" ht="78.0" customHeight="1">
      <c r="A1742" s="26"/>
      <c r="B1742" s="26"/>
      <c r="C1742" s="28"/>
      <c r="D1742" s="825"/>
      <c r="E1742" s="28"/>
      <c r="F1742" s="28"/>
      <c r="G1742" s="28"/>
      <c r="H1742" s="28"/>
      <c r="I1742" s="28"/>
      <c r="J1742" s="28"/>
      <c r="K1742" s="28"/>
      <c r="L1742" s="28"/>
      <c r="M1742" s="28"/>
      <c r="N1742" s="28"/>
      <c r="O1742" s="28"/>
      <c r="P1742" s="28"/>
      <c r="Q1742" s="28"/>
      <c r="R1742" s="28"/>
      <c r="S1742" s="28"/>
      <c r="T1742" s="28"/>
      <c r="U1742" s="28"/>
      <c r="V1742" s="28"/>
      <c r="W1742" s="28"/>
      <c r="X1742" s="28"/>
      <c r="Y1742" s="28"/>
      <c r="Z1742" s="28"/>
      <c r="AA1742" s="28"/>
      <c r="AB1742" s="28"/>
      <c r="AC1742" s="28"/>
    </row>
    <row r="1743" ht="78.0" customHeight="1">
      <c r="A1743" s="52"/>
      <c r="B1743" s="52"/>
      <c r="C1743" s="54"/>
      <c r="D1743" s="855"/>
      <c r="E1743" s="54"/>
      <c r="F1743" s="54"/>
      <c r="G1743" s="54"/>
      <c r="H1743" s="54"/>
      <c r="I1743" s="54"/>
      <c r="J1743" s="54"/>
      <c r="K1743" s="54"/>
      <c r="L1743" s="54"/>
      <c r="M1743" s="54"/>
      <c r="N1743" s="54"/>
      <c r="O1743" s="54"/>
      <c r="P1743" s="54"/>
      <c r="Q1743" s="54"/>
      <c r="R1743" s="54"/>
      <c r="S1743" s="54"/>
      <c r="T1743" s="54"/>
      <c r="U1743" s="54"/>
      <c r="V1743" s="54"/>
      <c r="W1743" s="54"/>
      <c r="X1743" s="54"/>
      <c r="Y1743" s="54"/>
      <c r="Z1743" s="54"/>
      <c r="AA1743" s="54"/>
      <c r="AB1743" s="54"/>
      <c r="AC1743" s="54"/>
    </row>
    <row r="1744" ht="78.0" customHeight="1">
      <c r="A1744" s="26"/>
      <c r="B1744" s="26"/>
      <c r="C1744" s="28"/>
      <c r="D1744" s="825"/>
      <c r="E1744" s="28"/>
      <c r="F1744" s="28"/>
      <c r="G1744" s="28"/>
      <c r="H1744" s="28"/>
      <c r="I1744" s="28"/>
      <c r="J1744" s="28"/>
      <c r="K1744" s="28"/>
      <c r="L1744" s="28"/>
      <c r="M1744" s="28"/>
      <c r="N1744" s="28"/>
      <c r="O1744" s="28"/>
      <c r="P1744" s="28"/>
      <c r="Q1744" s="28"/>
      <c r="R1744" s="28"/>
      <c r="S1744" s="28"/>
      <c r="T1744" s="28"/>
      <c r="U1744" s="28"/>
      <c r="V1744" s="28"/>
      <c r="W1744" s="28"/>
      <c r="X1744" s="28"/>
      <c r="Y1744" s="28"/>
      <c r="Z1744" s="28"/>
      <c r="AA1744" s="28"/>
      <c r="AB1744" s="28"/>
      <c r="AC1744" s="28"/>
    </row>
    <row r="1745" ht="78.0" customHeight="1">
      <c r="A1745" s="52"/>
      <c r="B1745" s="52"/>
      <c r="C1745" s="54"/>
      <c r="D1745" s="855"/>
      <c r="E1745" s="54"/>
      <c r="F1745" s="54"/>
      <c r="G1745" s="54"/>
      <c r="H1745" s="54"/>
      <c r="I1745" s="54"/>
      <c r="J1745" s="54"/>
      <c r="K1745" s="54"/>
      <c r="L1745" s="54"/>
      <c r="M1745" s="54"/>
      <c r="N1745" s="54"/>
      <c r="O1745" s="54"/>
      <c r="P1745" s="54"/>
      <c r="Q1745" s="54"/>
      <c r="R1745" s="54"/>
      <c r="S1745" s="54"/>
      <c r="T1745" s="54"/>
      <c r="U1745" s="54"/>
      <c r="V1745" s="54"/>
      <c r="W1745" s="54"/>
      <c r="X1745" s="54"/>
      <c r="Y1745" s="54"/>
      <c r="Z1745" s="54"/>
      <c r="AA1745" s="54"/>
      <c r="AB1745" s="54"/>
      <c r="AC1745" s="54"/>
    </row>
    <row r="1746" ht="78.0" customHeight="1">
      <c r="A1746" s="26"/>
      <c r="B1746" s="26"/>
      <c r="C1746" s="28"/>
      <c r="D1746" s="825"/>
      <c r="E1746" s="28"/>
      <c r="F1746" s="28"/>
      <c r="G1746" s="28"/>
      <c r="H1746" s="28"/>
      <c r="I1746" s="28"/>
      <c r="J1746" s="28"/>
      <c r="K1746" s="28"/>
      <c r="L1746" s="28"/>
      <c r="M1746" s="28"/>
      <c r="N1746" s="28"/>
      <c r="O1746" s="28"/>
      <c r="P1746" s="28"/>
      <c r="Q1746" s="28"/>
      <c r="R1746" s="28"/>
      <c r="S1746" s="28"/>
      <c r="T1746" s="28"/>
      <c r="U1746" s="28"/>
      <c r="V1746" s="28"/>
      <c r="W1746" s="28"/>
      <c r="X1746" s="28"/>
      <c r="Y1746" s="28"/>
      <c r="Z1746" s="28"/>
      <c r="AA1746" s="28"/>
      <c r="AB1746" s="28"/>
      <c r="AC1746" s="28"/>
    </row>
    <row r="1747" ht="78.0" customHeight="1">
      <c r="A1747" s="52"/>
      <c r="B1747" s="52"/>
      <c r="C1747" s="54"/>
      <c r="D1747" s="855"/>
      <c r="E1747" s="54"/>
      <c r="F1747" s="54"/>
      <c r="G1747" s="54"/>
      <c r="H1747" s="54"/>
      <c r="I1747" s="54"/>
      <c r="J1747" s="54"/>
      <c r="K1747" s="54"/>
      <c r="L1747" s="54"/>
      <c r="M1747" s="54"/>
      <c r="N1747" s="54"/>
      <c r="O1747" s="54"/>
      <c r="P1747" s="54"/>
      <c r="Q1747" s="54"/>
      <c r="R1747" s="54"/>
      <c r="S1747" s="54"/>
      <c r="T1747" s="54"/>
      <c r="U1747" s="54"/>
      <c r="V1747" s="54"/>
      <c r="W1747" s="54"/>
      <c r="X1747" s="54"/>
      <c r="Y1747" s="54"/>
      <c r="Z1747" s="54"/>
      <c r="AA1747" s="54"/>
      <c r="AB1747" s="54"/>
      <c r="AC1747" s="54"/>
    </row>
    <row r="1748" ht="78.0" customHeight="1">
      <c r="A1748" s="26"/>
      <c r="B1748" s="26"/>
      <c r="C1748" s="28"/>
      <c r="D1748" s="825"/>
      <c r="E1748" s="28"/>
      <c r="F1748" s="28"/>
      <c r="G1748" s="28"/>
      <c r="H1748" s="28"/>
      <c r="I1748" s="28"/>
      <c r="J1748" s="28"/>
      <c r="K1748" s="28"/>
      <c r="L1748" s="28"/>
      <c r="M1748" s="28"/>
      <c r="N1748" s="28"/>
      <c r="O1748" s="28"/>
      <c r="P1748" s="28"/>
      <c r="Q1748" s="28"/>
      <c r="R1748" s="28"/>
      <c r="S1748" s="28"/>
      <c r="T1748" s="28"/>
      <c r="U1748" s="28"/>
      <c r="V1748" s="28"/>
      <c r="W1748" s="28"/>
      <c r="X1748" s="28"/>
      <c r="Y1748" s="28"/>
      <c r="Z1748" s="28"/>
      <c r="AA1748" s="28"/>
      <c r="AB1748" s="28"/>
      <c r="AC1748" s="28"/>
    </row>
    <row r="1749" ht="78.0" customHeight="1">
      <c r="A1749" s="52"/>
      <c r="B1749" s="52"/>
      <c r="C1749" s="54"/>
      <c r="D1749" s="855"/>
      <c r="E1749" s="54"/>
      <c r="F1749" s="54"/>
      <c r="G1749" s="54"/>
      <c r="H1749" s="54"/>
      <c r="I1749" s="54"/>
      <c r="J1749" s="54"/>
      <c r="K1749" s="54"/>
      <c r="L1749" s="54"/>
      <c r="M1749" s="54"/>
      <c r="N1749" s="54"/>
      <c r="O1749" s="54"/>
      <c r="P1749" s="54"/>
      <c r="Q1749" s="54"/>
      <c r="R1749" s="54"/>
      <c r="S1749" s="54"/>
      <c r="T1749" s="54"/>
      <c r="U1749" s="54"/>
      <c r="V1749" s="54"/>
      <c r="W1749" s="54"/>
      <c r="X1749" s="54"/>
      <c r="Y1749" s="54"/>
      <c r="Z1749" s="54"/>
      <c r="AA1749" s="54"/>
      <c r="AB1749" s="54"/>
      <c r="AC1749" s="54"/>
    </row>
    <row r="1750" ht="78.0" customHeight="1">
      <c r="A1750" s="26"/>
      <c r="B1750" s="26"/>
      <c r="C1750" s="28"/>
      <c r="D1750" s="825"/>
      <c r="E1750" s="28"/>
      <c r="F1750" s="28"/>
      <c r="G1750" s="28"/>
      <c r="H1750" s="28"/>
      <c r="I1750" s="28"/>
      <c r="J1750" s="28"/>
      <c r="K1750" s="28"/>
      <c r="L1750" s="28"/>
      <c r="M1750" s="28"/>
      <c r="N1750" s="28"/>
      <c r="O1750" s="28"/>
      <c r="P1750" s="28"/>
      <c r="Q1750" s="28"/>
      <c r="R1750" s="28"/>
      <c r="S1750" s="28"/>
      <c r="T1750" s="28"/>
      <c r="U1750" s="28"/>
      <c r="V1750" s="28"/>
      <c r="W1750" s="28"/>
      <c r="X1750" s="28"/>
      <c r="Y1750" s="28"/>
      <c r="Z1750" s="28"/>
      <c r="AA1750" s="28"/>
      <c r="AB1750" s="28"/>
      <c r="AC1750" s="28"/>
    </row>
    <row r="1751" ht="78.0" customHeight="1">
      <c r="A1751" s="52"/>
      <c r="B1751" s="52"/>
      <c r="C1751" s="54"/>
      <c r="D1751" s="855"/>
      <c r="E1751" s="54"/>
      <c r="F1751" s="54"/>
      <c r="G1751" s="54"/>
      <c r="H1751" s="54"/>
      <c r="I1751" s="54"/>
      <c r="J1751" s="54"/>
      <c r="K1751" s="54"/>
      <c r="L1751" s="54"/>
      <c r="M1751" s="54"/>
      <c r="N1751" s="54"/>
      <c r="O1751" s="54"/>
      <c r="P1751" s="54"/>
      <c r="Q1751" s="54"/>
      <c r="R1751" s="54"/>
      <c r="S1751" s="54"/>
      <c r="T1751" s="54"/>
      <c r="U1751" s="54"/>
      <c r="V1751" s="54"/>
      <c r="W1751" s="54"/>
      <c r="X1751" s="54"/>
      <c r="Y1751" s="54"/>
      <c r="Z1751" s="54"/>
      <c r="AA1751" s="54"/>
      <c r="AB1751" s="54"/>
      <c r="AC1751" s="54"/>
    </row>
    <row r="1752" ht="78.0" customHeight="1">
      <c r="A1752" s="26"/>
      <c r="B1752" s="26"/>
      <c r="C1752" s="28"/>
      <c r="D1752" s="825"/>
      <c r="E1752" s="28"/>
      <c r="F1752" s="28"/>
      <c r="G1752" s="28"/>
      <c r="H1752" s="28"/>
      <c r="I1752" s="28"/>
      <c r="J1752" s="28"/>
      <c r="K1752" s="28"/>
      <c r="L1752" s="28"/>
      <c r="M1752" s="28"/>
      <c r="N1752" s="28"/>
      <c r="O1752" s="28"/>
      <c r="P1752" s="28"/>
      <c r="Q1752" s="28"/>
      <c r="R1752" s="28"/>
      <c r="S1752" s="28"/>
      <c r="T1752" s="28"/>
      <c r="U1752" s="28"/>
      <c r="V1752" s="28"/>
      <c r="W1752" s="28"/>
      <c r="X1752" s="28"/>
      <c r="Y1752" s="28"/>
      <c r="Z1752" s="28"/>
      <c r="AA1752" s="28"/>
      <c r="AB1752" s="28"/>
      <c r="AC1752" s="28"/>
    </row>
    <row r="1753" ht="78.0" customHeight="1">
      <c r="A1753" s="52"/>
      <c r="B1753" s="52"/>
      <c r="C1753" s="54"/>
      <c r="D1753" s="855"/>
      <c r="E1753" s="54"/>
      <c r="F1753" s="54"/>
      <c r="G1753" s="54"/>
      <c r="H1753" s="54"/>
      <c r="I1753" s="54"/>
      <c r="J1753" s="54"/>
      <c r="K1753" s="54"/>
      <c r="L1753" s="54"/>
      <c r="M1753" s="54"/>
      <c r="N1753" s="54"/>
      <c r="O1753" s="54"/>
      <c r="P1753" s="54"/>
      <c r="Q1753" s="54"/>
      <c r="R1753" s="54"/>
      <c r="S1753" s="54"/>
      <c r="T1753" s="54"/>
      <c r="U1753" s="54"/>
      <c r="V1753" s="54"/>
      <c r="W1753" s="54"/>
      <c r="X1753" s="54"/>
      <c r="Y1753" s="54"/>
      <c r="Z1753" s="54"/>
      <c r="AA1753" s="54"/>
      <c r="AB1753" s="54"/>
      <c r="AC1753" s="54"/>
    </row>
    <row r="1754" ht="78.0" customHeight="1">
      <c r="A1754" s="26"/>
      <c r="B1754" s="26"/>
      <c r="C1754" s="28"/>
      <c r="D1754" s="825"/>
      <c r="E1754" s="28"/>
      <c r="F1754" s="28"/>
      <c r="G1754" s="28"/>
      <c r="H1754" s="28"/>
      <c r="I1754" s="28"/>
      <c r="J1754" s="28"/>
      <c r="K1754" s="28"/>
      <c r="L1754" s="28"/>
      <c r="M1754" s="28"/>
      <c r="N1754" s="28"/>
      <c r="O1754" s="28"/>
      <c r="P1754" s="28"/>
      <c r="Q1754" s="28"/>
      <c r="R1754" s="28"/>
      <c r="S1754" s="28"/>
      <c r="T1754" s="28"/>
      <c r="U1754" s="28"/>
      <c r="V1754" s="28"/>
      <c r="W1754" s="28"/>
      <c r="X1754" s="28"/>
      <c r="Y1754" s="28"/>
      <c r="Z1754" s="28"/>
      <c r="AA1754" s="28"/>
      <c r="AB1754" s="28"/>
      <c r="AC1754" s="28"/>
    </row>
    <row r="1755" ht="78.0" customHeight="1">
      <c r="A1755" s="52"/>
      <c r="B1755" s="52"/>
      <c r="C1755" s="54"/>
      <c r="D1755" s="855"/>
      <c r="E1755" s="54"/>
      <c r="F1755" s="54"/>
      <c r="G1755" s="54"/>
      <c r="H1755" s="54"/>
      <c r="I1755" s="54"/>
      <c r="J1755" s="54"/>
      <c r="K1755" s="54"/>
      <c r="L1755" s="54"/>
      <c r="M1755" s="54"/>
      <c r="N1755" s="54"/>
      <c r="O1755" s="54"/>
      <c r="P1755" s="54"/>
      <c r="Q1755" s="54"/>
      <c r="R1755" s="54"/>
      <c r="S1755" s="54"/>
      <c r="T1755" s="54"/>
      <c r="U1755" s="54"/>
      <c r="V1755" s="54"/>
      <c r="W1755" s="54"/>
      <c r="X1755" s="54"/>
      <c r="Y1755" s="54"/>
      <c r="Z1755" s="54"/>
      <c r="AA1755" s="54"/>
      <c r="AB1755" s="54"/>
      <c r="AC1755" s="54"/>
    </row>
    <row r="1756" ht="78.0" customHeight="1">
      <c r="A1756" s="26"/>
      <c r="B1756" s="26"/>
      <c r="C1756" s="28"/>
      <c r="D1756" s="825"/>
      <c r="E1756" s="28"/>
      <c r="F1756" s="28"/>
      <c r="G1756" s="28"/>
      <c r="H1756" s="28"/>
      <c r="I1756" s="28"/>
      <c r="J1756" s="28"/>
      <c r="K1756" s="28"/>
      <c r="L1756" s="28"/>
      <c r="M1756" s="28"/>
      <c r="N1756" s="28"/>
      <c r="O1756" s="28"/>
      <c r="P1756" s="28"/>
      <c r="Q1756" s="28"/>
      <c r="R1756" s="28"/>
      <c r="S1756" s="28"/>
      <c r="T1756" s="28"/>
      <c r="U1756" s="28"/>
      <c r="V1756" s="28"/>
      <c r="W1756" s="28"/>
      <c r="X1756" s="28"/>
      <c r="Y1756" s="28"/>
      <c r="Z1756" s="28"/>
      <c r="AA1756" s="28"/>
      <c r="AB1756" s="28"/>
      <c r="AC1756" s="28"/>
    </row>
    <row r="1757" ht="78.0" customHeight="1">
      <c r="A1757" s="52"/>
      <c r="B1757" s="52"/>
      <c r="C1757" s="54"/>
      <c r="D1757" s="855"/>
      <c r="E1757" s="54"/>
      <c r="F1757" s="54"/>
      <c r="G1757" s="54"/>
      <c r="H1757" s="54"/>
      <c r="I1757" s="54"/>
      <c r="J1757" s="54"/>
      <c r="K1757" s="54"/>
      <c r="L1757" s="54"/>
      <c r="M1757" s="54"/>
      <c r="N1757" s="54"/>
      <c r="O1757" s="54"/>
      <c r="P1757" s="54"/>
      <c r="Q1757" s="54"/>
      <c r="R1757" s="54"/>
      <c r="S1757" s="54"/>
      <c r="T1757" s="54"/>
      <c r="U1757" s="54"/>
      <c r="V1757" s="54"/>
      <c r="W1757" s="54"/>
      <c r="X1757" s="54"/>
      <c r="Y1757" s="54"/>
      <c r="Z1757" s="54"/>
      <c r="AA1757" s="54"/>
      <c r="AB1757" s="54"/>
      <c r="AC1757" s="54"/>
    </row>
    <row r="1758" ht="78.0" customHeight="1">
      <c r="A1758" s="26"/>
      <c r="B1758" s="26"/>
      <c r="C1758" s="28"/>
      <c r="D1758" s="825"/>
      <c r="E1758" s="28"/>
      <c r="F1758" s="28"/>
      <c r="G1758" s="28"/>
      <c r="H1758" s="28"/>
      <c r="I1758" s="28"/>
      <c r="J1758" s="28"/>
      <c r="K1758" s="28"/>
      <c r="L1758" s="28"/>
      <c r="M1758" s="28"/>
      <c r="N1758" s="28"/>
      <c r="O1758" s="28"/>
      <c r="P1758" s="28"/>
      <c r="Q1758" s="28"/>
      <c r="R1758" s="28"/>
      <c r="S1758" s="28"/>
      <c r="T1758" s="28"/>
      <c r="U1758" s="28"/>
      <c r="V1758" s="28"/>
      <c r="W1758" s="28"/>
      <c r="X1758" s="28"/>
      <c r="Y1758" s="28"/>
      <c r="Z1758" s="28"/>
      <c r="AA1758" s="28"/>
      <c r="AB1758" s="28"/>
      <c r="AC1758" s="28"/>
    </row>
    <row r="1759" ht="78.0" customHeight="1">
      <c r="A1759" s="52"/>
      <c r="B1759" s="52"/>
      <c r="C1759" s="54"/>
      <c r="D1759" s="855"/>
      <c r="E1759" s="54"/>
      <c r="F1759" s="54"/>
      <c r="G1759" s="54"/>
      <c r="H1759" s="54"/>
      <c r="I1759" s="54"/>
      <c r="J1759" s="54"/>
      <c r="K1759" s="54"/>
      <c r="L1759" s="54"/>
      <c r="M1759" s="54"/>
      <c r="N1759" s="54"/>
      <c r="O1759" s="54"/>
      <c r="P1759" s="54"/>
      <c r="Q1759" s="54"/>
      <c r="R1759" s="54"/>
      <c r="S1759" s="54"/>
      <c r="T1759" s="54"/>
      <c r="U1759" s="54"/>
      <c r="V1759" s="54"/>
      <c r="W1759" s="54"/>
      <c r="X1759" s="54"/>
      <c r="Y1759" s="54"/>
      <c r="Z1759" s="54"/>
      <c r="AA1759" s="54"/>
      <c r="AB1759" s="54"/>
      <c r="AC1759" s="54"/>
    </row>
    <row r="1760" ht="78.0" customHeight="1">
      <c r="A1760" s="26"/>
      <c r="B1760" s="26"/>
      <c r="C1760" s="28"/>
      <c r="D1760" s="825"/>
      <c r="E1760" s="28"/>
      <c r="F1760" s="28"/>
      <c r="G1760" s="28"/>
      <c r="H1760" s="28"/>
      <c r="I1760" s="28"/>
      <c r="J1760" s="28"/>
      <c r="K1760" s="28"/>
      <c r="L1760" s="28"/>
      <c r="M1760" s="28"/>
      <c r="N1760" s="28"/>
      <c r="O1760" s="28"/>
      <c r="P1760" s="28"/>
      <c r="Q1760" s="28"/>
      <c r="R1760" s="28"/>
      <c r="S1760" s="28"/>
      <c r="T1760" s="28"/>
      <c r="U1760" s="28"/>
      <c r="V1760" s="28"/>
      <c r="W1760" s="28"/>
      <c r="X1760" s="28"/>
      <c r="Y1760" s="28"/>
      <c r="Z1760" s="28"/>
      <c r="AA1760" s="28"/>
      <c r="AB1760" s="28"/>
      <c r="AC1760" s="28"/>
    </row>
    <row r="1761" ht="78.0" customHeight="1">
      <c r="A1761" s="52"/>
      <c r="B1761" s="52"/>
      <c r="C1761" s="54"/>
      <c r="D1761" s="855"/>
      <c r="E1761" s="54"/>
      <c r="F1761" s="54"/>
      <c r="G1761" s="54"/>
      <c r="H1761" s="54"/>
      <c r="I1761" s="54"/>
      <c r="J1761" s="54"/>
      <c r="K1761" s="54"/>
      <c r="L1761" s="54"/>
      <c r="M1761" s="54"/>
      <c r="N1761" s="54"/>
      <c r="O1761" s="54"/>
      <c r="P1761" s="54"/>
      <c r="Q1761" s="54"/>
      <c r="R1761" s="54"/>
      <c r="S1761" s="54"/>
      <c r="T1761" s="54"/>
      <c r="U1761" s="54"/>
      <c r="V1761" s="54"/>
      <c r="W1761" s="54"/>
      <c r="X1761" s="54"/>
      <c r="Y1761" s="54"/>
      <c r="Z1761" s="54"/>
      <c r="AA1761" s="54"/>
      <c r="AB1761" s="54"/>
      <c r="AC1761" s="54"/>
    </row>
    <row r="1762" ht="78.0" customHeight="1">
      <c r="A1762" s="26"/>
      <c r="B1762" s="26"/>
      <c r="C1762" s="28"/>
      <c r="D1762" s="825"/>
      <c r="E1762" s="28"/>
      <c r="F1762" s="28"/>
      <c r="G1762" s="28"/>
      <c r="H1762" s="28"/>
      <c r="I1762" s="28"/>
      <c r="J1762" s="28"/>
      <c r="K1762" s="28"/>
      <c r="L1762" s="28"/>
      <c r="M1762" s="28"/>
      <c r="N1762" s="28"/>
      <c r="O1762" s="28"/>
      <c r="P1762" s="28"/>
      <c r="Q1762" s="28"/>
      <c r="R1762" s="28"/>
      <c r="S1762" s="28"/>
      <c r="T1762" s="28"/>
      <c r="U1762" s="28"/>
      <c r="V1762" s="28"/>
      <c r="W1762" s="28"/>
      <c r="X1762" s="28"/>
      <c r="Y1762" s="28"/>
      <c r="Z1762" s="28"/>
      <c r="AA1762" s="28"/>
      <c r="AB1762" s="28"/>
      <c r="AC1762" s="28"/>
    </row>
    <row r="1763" ht="78.0" customHeight="1">
      <c r="A1763" s="52"/>
      <c r="B1763" s="52"/>
      <c r="C1763" s="54"/>
      <c r="D1763" s="855"/>
      <c r="E1763" s="54"/>
      <c r="F1763" s="54"/>
      <c r="G1763" s="54"/>
      <c r="H1763" s="54"/>
      <c r="I1763" s="54"/>
      <c r="J1763" s="54"/>
      <c r="K1763" s="54"/>
      <c r="L1763" s="54"/>
      <c r="M1763" s="54"/>
      <c r="N1763" s="54"/>
      <c r="O1763" s="54"/>
      <c r="P1763" s="54"/>
      <c r="Q1763" s="54"/>
      <c r="R1763" s="54"/>
      <c r="S1763" s="54"/>
      <c r="T1763" s="54"/>
      <c r="U1763" s="54"/>
      <c r="V1763" s="54"/>
      <c r="W1763" s="54"/>
      <c r="X1763" s="54"/>
      <c r="Y1763" s="54"/>
      <c r="Z1763" s="54"/>
      <c r="AA1763" s="54"/>
      <c r="AB1763" s="54"/>
      <c r="AC1763" s="54"/>
    </row>
    <row r="1764" ht="78.0" customHeight="1">
      <c r="A1764" s="26"/>
      <c r="B1764" s="26"/>
      <c r="C1764" s="28"/>
      <c r="D1764" s="825"/>
      <c r="E1764" s="28"/>
      <c r="F1764" s="28"/>
      <c r="G1764" s="28"/>
      <c r="H1764" s="28"/>
      <c r="I1764" s="28"/>
      <c r="J1764" s="28"/>
      <c r="K1764" s="28"/>
      <c r="L1764" s="28"/>
      <c r="M1764" s="28"/>
      <c r="N1764" s="28"/>
      <c r="O1764" s="28"/>
      <c r="P1764" s="28"/>
      <c r="Q1764" s="28"/>
      <c r="R1764" s="28"/>
      <c r="S1764" s="28"/>
      <c r="T1764" s="28"/>
      <c r="U1764" s="28"/>
      <c r="V1764" s="28"/>
      <c r="W1764" s="28"/>
      <c r="X1764" s="28"/>
      <c r="Y1764" s="28"/>
      <c r="Z1764" s="28"/>
      <c r="AA1764" s="28"/>
      <c r="AB1764" s="28"/>
      <c r="AC1764" s="28"/>
    </row>
    <row r="1765" ht="78.0" customHeight="1">
      <c r="A1765" s="52"/>
      <c r="B1765" s="52"/>
      <c r="C1765" s="54"/>
      <c r="D1765" s="855"/>
      <c r="E1765" s="54"/>
      <c r="F1765" s="54"/>
      <c r="G1765" s="54"/>
      <c r="H1765" s="54"/>
      <c r="I1765" s="54"/>
      <c r="J1765" s="54"/>
      <c r="K1765" s="54"/>
      <c r="L1765" s="54"/>
      <c r="M1765" s="54"/>
      <c r="N1765" s="54"/>
      <c r="O1765" s="54"/>
      <c r="P1765" s="54"/>
      <c r="Q1765" s="54"/>
      <c r="R1765" s="54"/>
      <c r="S1765" s="54"/>
      <c r="T1765" s="54"/>
      <c r="U1765" s="54"/>
      <c r="V1765" s="54"/>
      <c r="W1765" s="54"/>
      <c r="X1765" s="54"/>
      <c r="Y1765" s="54"/>
      <c r="Z1765" s="54"/>
      <c r="AA1765" s="54"/>
      <c r="AB1765" s="54"/>
      <c r="AC1765" s="54"/>
    </row>
    <row r="1766" ht="78.0" customHeight="1">
      <c r="A1766" s="26"/>
      <c r="B1766" s="26"/>
      <c r="C1766" s="28"/>
      <c r="D1766" s="825"/>
      <c r="E1766" s="28"/>
      <c r="F1766" s="28"/>
      <c r="G1766" s="28"/>
      <c r="H1766" s="28"/>
      <c r="I1766" s="28"/>
      <c r="J1766" s="28"/>
      <c r="K1766" s="28"/>
      <c r="L1766" s="28"/>
      <c r="M1766" s="28"/>
      <c r="N1766" s="28"/>
      <c r="O1766" s="28"/>
      <c r="P1766" s="28"/>
      <c r="Q1766" s="28"/>
      <c r="R1766" s="28"/>
      <c r="S1766" s="28"/>
      <c r="T1766" s="28"/>
      <c r="U1766" s="28"/>
      <c r="V1766" s="28"/>
      <c r="W1766" s="28"/>
      <c r="X1766" s="28"/>
      <c r="Y1766" s="28"/>
      <c r="Z1766" s="28"/>
      <c r="AA1766" s="28"/>
      <c r="AB1766" s="28"/>
      <c r="AC1766" s="28"/>
    </row>
    <row r="1767" ht="78.0" customHeight="1">
      <c r="A1767" s="52"/>
      <c r="B1767" s="52"/>
      <c r="C1767" s="54"/>
      <c r="D1767" s="855"/>
      <c r="E1767" s="54"/>
      <c r="F1767" s="54"/>
      <c r="G1767" s="54"/>
      <c r="H1767" s="54"/>
      <c r="I1767" s="54"/>
      <c r="J1767" s="54"/>
      <c r="K1767" s="54"/>
      <c r="L1767" s="54"/>
      <c r="M1767" s="54"/>
      <c r="N1767" s="54"/>
      <c r="O1767" s="54"/>
      <c r="P1767" s="54"/>
      <c r="Q1767" s="54"/>
      <c r="R1767" s="54"/>
      <c r="S1767" s="54"/>
      <c r="T1767" s="54"/>
      <c r="U1767" s="54"/>
      <c r="V1767" s="54"/>
      <c r="W1767" s="54"/>
      <c r="X1767" s="54"/>
      <c r="Y1767" s="54"/>
      <c r="Z1767" s="54"/>
      <c r="AA1767" s="54"/>
      <c r="AB1767" s="54"/>
      <c r="AC1767" s="54"/>
    </row>
    <row r="1768" ht="78.0" customHeight="1">
      <c r="A1768" s="26"/>
      <c r="B1768" s="26"/>
      <c r="C1768" s="28"/>
      <c r="D1768" s="825"/>
      <c r="E1768" s="28"/>
      <c r="F1768" s="28"/>
      <c r="G1768" s="28"/>
      <c r="H1768" s="28"/>
      <c r="I1768" s="28"/>
      <c r="J1768" s="28"/>
      <c r="K1768" s="28"/>
      <c r="L1768" s="28"/>
      <c r="M1768" s="28"/>
      <c r="N1768" s="28"/>
      <c r="O1768" s="28"/>
      <c r="P1768" s="28"/>
      <c r="Q1768" s="28"/>
      <c r="R1768" s="28"/>
      <c r="S1768" s="28"/>
      <c r="T1768" s="28"/>
      <c r="U1768" s="28"/>
      <c r="V1768" s="28"/>
      <c r="W1768" s="28"/>
      <c r="X1768" s="28"/>
      <c r="Y1768" s="28"/>
      <c r="Z1768" s="28"/>
      <c r="AA1768" s="28"/>
      <c r="AB1768" s="28"/>
      <c r="AC1768" s="28"/>
    </row>
    <row r="1769" ht="78.0" customHeight="1">
      <c r="A1769" s="52"/>
      <c r="B1769" s="52"/>
      <c r="C1769" s="54"/>
      <c r="D1769" s="855"/>
      <c r="E1769" s="54"/>
      <c r="F1769" s="54"/>
      <c r="G1769" s="54"/>
      <c r="H1769" s="54"/>
      <c r="I1769" s="54"/>
      <c r="J1769" s="54"/>
      <c r="K1769" s="54"/>
      <c r="L1769" s="54"/>
      <c r="M1769" s="54"/>
      <c r="N1769" s="54"/>
      <c r="O1769" s="54"/>
      <c r="P1769" s="54"/>
      <c r="Q1769" s="54"/>
      <c r="R1769" s="54"/>
      <c r="S1769" s="54"/>
      <c r="T1769" s="54"/>
      <c r="U1769" s="54"/>
      <c r="V1769" s="54"/>
      <c r="W1769" s="54"/>
      <c r="X1769" s="54"/>
      <c r="Y1769" s="54"/>
      <c r="Z1769" s="54"/>
      <c r="AA1769" s="54"/>
      <c r="AB1769" s="54"/>
      <c r="AC1769" s="54"/>
    </row>
    <row r="1770" ht="78.0" customHeight="1">
      <c r="A1770" s="26"/>
      <c r="B1770" s="26"/>
      <c r="C1770" s="28"/>
      <c r="D1770" s="825"/>
      <c r="E1770" s="28"/>
      <c r="F1770" s="28"/>
      <c r="G1770" s="28"/>
      <c r="H1770" s="28"/>
      <c r="I1770" s="28"/>
      <c r="J1770" s="28"/>
      <c r="K1770" s="28"/>
      <c r="L1770" s="28"/>
      <c r="M1770" s="28"/>
      <c r="N1770" s="28"/>
      <c r="O1770" s="28"/>
      <c r="P1770" s="28"/>
      <c r="Q1770" s="28"/>
      <c r="R1770" s="28"/>
      <c r="S1770" s="28"/>
      <c r="T1770" s="28"/>
      <c r="U1770" s="28"/>
      <c r="V1770" s="28"/>
      <c r="W1770" s="28"/>
      <c r="X1770" s="28"/>
      <c r="Y1770" s="28"/>
      <c r="Z1770" s="28"/>
      <c r="AA1770" s="28"/>
      <c r="AB1770" s="28"/>
      <c r="AC1770" s="28"/>
    </row>
    <row r="1771" ht="78.0" customHeight="1">
      <c r="A1771" s="52"/>
      <c r="B1771" s="52"/>
      <c r="C1771" s="54"/>
      <c r="D1771" s="855"/>
      <c r="E1771" s="54"/>
      <c r="F1771" s="54"/>
      <c r="G1771" s="54"/>
      <c r="H1771" s="54"/>
      <c r="I1771" s="54"/>
      <c r="J1771" s="54"/>
      <c r="K1771" s="54"/>
      <c r="L1771" s="54"/>
      <c r="M1771" s="54"/>
      <c r="N1771" s="54"/>
      <c r="O1771" s="54"/>
      <c r="P1771" s="54"/>
      <c r="Q1771" s="54"/>
      <c r="R1771" s="54"/>
      <c r="S1771" s="54"/>
      <c r="T1771" s="54"/>
      <c r="U1771" s="54"/>
      <c r="V1771" s="54"/>
      <c r="W1771" s="54"/>
      <c r="X1771" s="54"/>
      <c r="Y1771" s="54"/>
      <c r="Z1771" s="54"/>
      <c r="AA1771" s="54"/>
      <c r="AB1771" s="54"/>
      <c r="AC1771" s="54"/>
    </row>
    <row r="1772" ht="78.0" customHeight="1">
      <c r="A1772" s="26"/>
      <c r="B1772" s="26"/>
      <c r="C1772" s="28"/>
      <c r="D1772" s="825"/>
      <c r="E1772" s="28"/>
      <c r="F1772" s="28"/>
      <c r="G1772" s="28"/>
      <c r="H1772" s="28"/>
      <c r="I1772" s="28"/>
      <c r="J1772" s="28"/>
      <c r="K1772" s="28"/>
      <c r="L1772" s="28"/>
      <c r="M1772" s="28"/>
      <c r="N1772" s="28"/>
      <c r="O1772" s="28"/>
      <c r="P1772" s="28"/>
      <c r="Q1772" s="28"/>
      <c r="R1772" s="28"/>
      <c r="S1772" s="28"/>
      <c r="T1772" s="28"/>
      <c r="U1772" s="28"/>
      <c r="V1772" s="28"/>
      <c r="W1772" s="28"/>
      <c r="X1772" s="28"/>
      <c r="Y1772" s="28"/>
      <c r="Z1772" s="28"/>
      <c r="AA1772" s="28"/>
      <c r="AB1772" s="28"/>
      <c r="AC1772" s="28"/>
    </row>
    <row r="1773" ht="78.0" customHeight="1">
      <c r="A1773" s="52"/>
      <c r="B1773" s="52"/>
      <c r="C1773" s="54"/>
      <c r="D1773" s="855"/>
      <c r="E1773" s="54"/>
      <c r="F1773" s="54"/>
      <c r="G1773" s="54"/>
      <c r="H1773" s="54"/>
      <c r="I1773" s="54"/>
      <c r="J1773" s="54"/>
      <c r="K1773" s="54"/>
      <c r="L1773" s="54"/>
      <c r="M1773" s="54"/>
      <c r="N1773" s="54"/>
      <c r="O1773" s="54"/>
      <c r="P1773" s="54"/>
      <c r="Q1773" s="54"/>
      <c r="R1773" s="54"/>
      <c r="S1773" s="54"/>
      <c r="T1773" s="54"/>
      <c r="U1773" s="54"/>
      <c r="V1773" s="54"/>
      <c r="W1773" s="54"/>
      <c r="X1773" s="54"/>
      <c r="Y1773" s="54"/>
      <c r="Z1773" s="54"/>
      <c r="AA1773" s="54"/>
      <c r="AB1773" s="54"/>
      <c r="AC1773" s="54"/>
    </row>
    <row r="1774" ht="78.0" customHeight="1">
      <c r="A1774" s="26"/>
      <c r="B1774" s="26"/>
      <c r="C1774" s="28"/>
      <c r="D1774" s="825"/>
      <c r="E1774" s="28"/>
      <c r="F1774" s="28"/>
      <c r="G1774" s="28"/>
      <c r="H1774" s="28"/>
      <c r="I1774" s="28"/>
      <c r="J1774" s="28"/>
      <c r="K1774" s="28"/>
      <c r="L1774" s="28"/>
      <c r="M1774" s="28"/>
      <c r="N1774" s="28"/>
      <c r="O1774" s="28"/>
      <c r="P1774" s="28"/>
      <c r="Q1774" s="28"/>
      <c r="R1774" s="28"/>
      <c r="S1774" s="28"/>
      <c r="T1774" s="28"/>
      <c r="U1774" s="28"/>
      <c r="V1774" s="28"/>
      <c r="W1774" s="28"/>
      <c r="X1774" s="28"/>
      <c r="Y1774" s="28"/>
      <c r="Z1774" s="28"/>
      <c r="AA1774" s="28"/>
      <c r="AB1774" s="28"/>
      <c r="AC1774" s="28"/>
    </row>
    <row r="1775" ht="78.0" customHeight="1">
      <c r="A1775" s="52"/>
      <c r="B1775" s="52"/>
      <c r="C1775" s="54"/>
      <c r="D1775" s="855"/>
      <c r="E1775" s="54"/>
      <c r="F1775" s="54"/>
      <c r="G1775" s="54"/>
      <c r="H1775" s="54"/>
      <c r="I1775" s="54"/>
      <c r="J1775" s="54"/>
      <c r="K1775" s="54"/>
      <c r="L1775" s="54"/>
      <c r="M1775" s="54"/>
      <c r="N1775" s="54"/>
      <c r="O1775" s="54"/>
      <c r="P1775" s="54"/>
      <c r="Q1775" s="54"/>
      <c r="R1775" s="54"/>
      <c r="S1775" s="54"/>
      <c r="T1775" s="54"/>
      <c r="U1775" s="54"/>
      <c r="V1775" s="54"/>
      <c r="W1775" s="54"/>
      <c r="X1775" s="54"/>
      <c r="Y1775" s="54"/>
      <c r="Z1775" s="54"/>
      <c r="AA1775" s="54"/>
      <c r="AB1775" s="54"/>
      <c r="AC1775" s="54"/>
    </row>
    <row r="1776" ht="78.0" customHeight="1">
      <c r="A1776" s="26"/>
      <c r="B1776" s="26"/>
      <c r="C1776" s="28"/>
      <c r="D1776" s="825"/>
      <c r="E1776" s="28"/>
      <c r="F1776" s="28"/>
      <c r="G1776" s="28"/>
      <c r="H1776" s="28"/>
      <c r="I1776" s="28"/>
      <c r="J1776" s="28"/>
      <c r="K1776" s="28"/>
      <c r="L1776" s="28"/>
      <c r="M1776" s="28"/>
      <c r="N1776" s="28"/>
      <c r="O1776" s="28"/>
      <c r="P1776" s="28"/>
      <c r="Q1776" s="28"/>
      <c r="R1776" s="28"/>
      <c r="S1776" s="28"/>
      <c r="T1776" s="28"/>
      <c r="U1776" s="28"/>
      <c r="V1776" s="28"/>
      <c r="W1776" s="28"/>
      <c r="X1776" s="28"/>
      <c r="Y1776" s="28"/>
      <c r="Z1776" s="28"/>
      <c r="AA1776" s="28"/>
      <c r="AB1776" s="28"/>
      <c r="AC1776" s="28"/>
    </row>
    <row r="1777" ht="78.0" customHeight="1">
      <c r="A1777" s="52"/>
      <c r="B1777" s="52"/>
      <c r="C1777" s="54"/>
      <c r="D1777" s="855"/>
      <c r="E1777" s="54"/>
      <c r="F1777" s="54"/>
      <c r="G1777" s="54"/>
      <c r="H1777" s="54"/>
      <c r="I1777" s="54"/>
      <c r="J1777" s="54"/>
      <c r="K1777" s="54"/>
      <c r="L1777" s="54"/>
      <c r="M1777" s="54"/>
      <c r="N1777" s="54"/>
      <c r="O1777" s="54"/>
      <c r="P1777" s="54"/>
      <c r="Q1777" s="54"/>
      <c r="R1777" s="54"/>
      <c r="S1777" s="54"/>
      <c r="T1777" s="54"/>
      <c r="U1777" s="54"/>
      <c r="V1777" s="54"/>
      <c r="W1777" s="54"/>
      <c r="X1777" s="54"/>
      <c r="Y1777" s="54"/>
      <c r="Z1777" s="54"/>
      <c r="AA1777" s="54"/>
      <c r="AB1777" s="54"/>
      <c r="AC1777" s="54"/>
    </row>
    <row r="1778" ht="78.0" customHeight="1">
      <c r="A1778" s="26"/>
      <c r="B1778" s="26"/>
      <c r="C1778" s="28"/>
      <c r="D1778" s="825"/>
      <c r="E1778" s="28"/>
      <c r="F1778" s="28"/>
      <c r="G1778" s="28"/>
      <c r="H1778" s="28"/>
      <c r="I1778" s="28"/>
      <c r="J1778" s="28"/>
      <c r="K1778" s="28"/>
      <c r="L1778" s="28"/>
      <c r="M1778" s="28"/>
      <c r="N1778" s="28"/>
      <c r="O1778" s="28"/>
      <c r="P1778" s="28"/>
      <c r="Q1778" s="28"/>
      <c r="R1778" s="28"/>
      <c r="S1778" s="28"/>
      <c r="T1778" s="28"/>
      <c r="U1778" s="28"/>
      <c r="V1778" s="28"/>
      <c r="W1778" s="28"/>
      <c r="X1778" s="28"/>
      <c r="Y1778" s="28"/>
      <c r="Z1778" s="28"/>
      <c r="AA1778" s="28"/>
      <c r="AB1778" s="28"/>
      <c r="AC1778" s="28"/>
    </row>
    <row r="1779" ht="78.0" customHeight="1">
      <c r="A1779" s="52"/>
      <c r="B1779" s="52"/>
      <c r="C1779" s="54"/>
      <c r="D1779" s="855"/>
      <c r="E1779" s="54"/>
      <c r="F1779" s="54"/>
      <c r="G1779" s="54"/>
      <c r="H1779" s="54"/>
      <c r="I1779" s="54"/>
      <c r="J1779" s="54"/>
      <c r="K1779" s="54"/>
      <c r="L1779" s="54"/>
      <c r="M1779" s="54"/>
      <c r="N1779" s="54"/>
      <c r="O1779" s="54"/>
      <c r="P1779" s="54"/>
      <c r="Q1779" s="54"/>
      <c r="R1779" s="54"/>
      <c r="S1779" s="54"/>
      <c r="T1779" s="54"/>
      <c r="U1779" s="54"/>
      <c r="V1779" s="54"/>
      <c r="W1779" s="54"/>
      <c r="X1779" s="54"/>
      <c r="Y1779" s="54"/>
      <c r="Z1779" s="54"/>
      <c r="AA1779" s="54"/>
      <c r="AB1779" s="54"/>
      <c r="AC1779" s="54"/>
    </row>
    <row r="1780" ht="78.0" customHeight="1">
      <c r="A1780" s="26"/>
      <c r="B1780" s="26"/>
      <c r="C1780" s="28"/>
      <c r="D1780" s="825"/>
      <c r="E1780" s="28"/>
      <c r="F1780" s="28"/>
      <c r="G1780" s="28"/>
      <c r="H1780" s="28"/>
      <c r="I1780" s="28"/>
      <c r="J1780" s="28"/>
      <c r="K1780" s="28"/>
      <c r="L1780" s="28"/>
      <c r="M1780" s="28"/>
      <c r="N1780" s="28"/>
      <c r="O1780" s="28"/>
      <c r="P1780" s="28"/>
      <c r="Q1780" s="28"/>
      <c r="R1780" s="28"/>
      <c r="S1780" s="28"/>
      <c r="T1780" s="28"/>
      <c r="U1780" s="28"/>
      <c r="V1780" s="28"/>
      <c r="W1780" s="28"/>
      <c r="X1780" s="28"/>
      <c r="Y1780" s="28"/>
      <c r="Z1780" s="28"/>
      <c r="AA1780" s="28"/>
      <c r="AB1780" s="28"/>
      <c r="AC1780" s="28"/>
    </row>
    <row r="1781" ht="78.0" customHeight="1">
      <c r="A1781" s="52"/>
      <c r="B1781" s="52"/>
      <c r="C1781" s="54"/>
      <c r="D1781" s="855"/>
      <c r="E1781" s="54"/>
      <c r="F1781" s="54"/>
      <c r="G1781" s="54"/>
      <c r="H1781" s="54"/>
      <c r="I1781" s="54"/>
      <c r="J1781" s="54"/>
      <c r="K1781" s="54"/>
      <c r="L1781" s="54"/>
      <c r="M1781" s="54"/>
      <c r="N1781" s="54"/>
      <c r="O1781" s="54"/>
      <c r="P1781" s="54"/>
      <c r="Q1781" s="54"/>
      <c r="R1781" s="54"/>
      <c r="S1781" s="54"/>
      <c r="T1781" s="54"/>
      <c r="U1781" s="54"/>
      <c r="V1781" s="54"/>
      <c r="W1781" s="54"/>
      <c r="X1781" s="54"/>
      <c r="Y1781" s="54"/>
      <c r="Z1781" s="54"/>
      <c r="AA1781" s="54"/>
      <c r="AB1781" s="54"/>
      <c r="AC1781" s="54"/>
    </row>
    <row r="1782" ht="78.0" customHeight="1">
      <c r="A1782" s="26"/>
      <c r="B1782" s="26"/>
      <c r="C1782" s="28"/>
      <c r="D1782" s="825"/>
      <c r="E1782" s="28"/>
      <c r="F1782" s="28"/>
      <c r="G1782" s="28"/>
      <c r="H1782" s="28"/>
      <c r="I1782" s="28"/>
      <c r="J1782" s="28"/>
      <c r="K1782" s="28"/>
      <c r="L1782" s="28"/>
      <c r="M1782" s="28"/>
      <c r="N1782" s="28"/>
      <c r="O1782" s="28"/>
      <c r="P1782" s="28"/>
      <c r="Q1782" s="28"/>
      <c r="R1782" s="28"/>
      <c r="S1782" s="28"/>
      <c r="T1782" s="28"/>
      <c r="U1782" s="28"/>
      <c r="V1782" s="28"/>
      <c r="W1782" s="28"/>
      <c r="X1782" s="28"/>
      <c r="Y1782" s="28"/>
      <c r="Z1782" s="28"/>
      <c r="AA1782" s="28"/>
      <c r="AB1782" s="28"/>
      <c r="AC1782" s="28"/>
    </row>
    <row r="1783" ht="78.0" customHeight="1">
      <c r="A1783" s="52"/>
      <c r="B1783" s="52"/>
      <c r="C1783" s="54"/>
      <c r="D1783" s="855"/>
      <c r="E1783" s="54"/>
      <c r="F1783" s="54"/>
      <c r="G1783" s="54"/>
      <c r="H1783" s="54"/>
      <c r="I1783" s="54"/>
      <c r="J1783" s="54"/>
      <c r="K1783" s="54"/>
      <c r="L1783" s="54"/>
      <c r="M1783" s="54"/>
      <c r="N1783" s="54"/>
      <c r="O1783" s="54"/>
      <c r="P1783" s="54"/>
      <c r="Q1783" s="54"/>
      <c r="R1783" s="54"/>
      <c r="S1783" s="54"/>
      <c r="T1783" s="54"/>
      <c r="U1783" s="54"/>
      <c r="V1783" s="54"/>
      <c r="W1783" s="54"/>
      <c r="X1783" s="54"/>
      <c r="Y1783" s="54"/>
      <c r="Z1783" s="54"/>
      <c r="AA1783" s="54"/>
      <c r="AB1783" s="54"/>
      <c r="AC1783" s="54"/>
    </row>
    <row r="1784" ht="78.0" customHeight="1">
      <c r="A1784" s="26"/>
      <c r="B1784" s="26"/>
      <c r="C1784" s="28"/>
      <c r="D1784" s="825"/>
      <c r="E1784" s="28"/>
      <c r="F1784" s="28"/>
      <c r="G1784" s="28"/>
      <c r="H1784" s="28"/>
      <c r="I1784" s="28"/>
      <c r="J1784" s="28"/>
      <c r="K1784" s="28"/>
      <c r="L1784" s="28"/>
      <c r="M1784" s="28"/>
      <c r="N1784" s="28"/>
      <c r="O1784" s="28"/>
      <c r="P1784" s="28"/>
      <c r="Q1784" s="28"/>
      <c r="R1784" s="28"/>
      <c r="S1784" s="28"/>
      <c r="T1784" s="28"/>
      <c r="U1784" s="28"/>
      <c r="V1784" s="28"/>
      <c r="W1784" s="28"/>
      <c r="X1784" s="28"/>
      <c r="Y1784" s="28"/>
      <c r="Z1784" s="28"/>
      <c r="AA1784" s="28"/>
      <c r="AB1784" s="28"/>
      <c r="AC1784" s="28"/>
    </row>
    <row r="1785" ht="78.0" customHeight="1">
      <c r="A1785" s="52"/>
      <c r="B1785" s="52"/>
      <c r="C1785" s="54"/>
      <c r="D1785" s="855"/>
      <c r="E1785" s="54"/>
      <c r="F1785" s="54"/>
      <c r="G1785" s="54"/>
      <c r="H1785" s="54"/>
      <c r="I1785" s="54"/>
      <c r="J1785" s="54"/>
      <c r="K1785" s="54"/>
      <c r="L1785" s="54"/>
      <c r="M1785" s="54"/>
      <c r="N1785" s="54"/>
      <c r="O1785" s="54"/>
      <c r="P1785" s="54"/>
      <c r="Q1785" s="54"/>
      <c r="R1785" s="54"/>
      <c r="S1785" s="54"/>
      <c r="T1785" s="54"/>
      <c r="U1785" s="54"/>
      <c r="V1785" s="54"/>
      <c r="W1785" s="54"/>
      <c r="X1785" s="54"/>
      <c r="Y1785" s="54"/>
      <c r="Z1785" s="54"/>
      <c r="AA1785" s="54"/>
      <c r="AB1785" s="54"/>
      <c r="AC1785" s="54"/>
    </row>
    <row r="1786" ht="78.0" customHeight="1">
      <c r="A1786" s="26"/>
      <c r="B1786" s="26"/>
      <c r="C1786" s="28"/>
      <c r="D1786" s="825"/>
      <c r="E1786" s="28"/>
      <c r="F1786" s="28"/>
      <c r="G1786" s="28"/>
      <c r="H1786" s="28"/>
      <c r="I1786" s="28"/>
      <c r="J1786" s="28"/>
      <c r="K1786" s="28"/>
      <c r="L1786" s="28"/>
      <c r="M1786" s="28"/>
      <c r="N1786" s="28"/>
      <c r="O1786" s="28"/>
      <c r="P1786" s="28"/>
      <c r="Q1786" s="28"/>
      <c r="R1786" s="28"/>
      <c r="S1786" s="28"/>
      <c r="T1786" s="28"/>
      <c r="U1786" s="28"/>
      <c r="V1786" s="28"/>
      <c r="W1786" s="28"/>
      <c r="X1786" s="28"/>
      <c r="Y1786" s="28"/>
      <c r="Z1786" s="28"/>
      <c r="AA1786" s="28"/>
      <c r="AB1786" s="28"/>
      <c r="AC1786" s="28"/>
    </row>
    <row r="1787" ht="78.0" customHeight="1">
      <c r="A1787" s="52"/>
      <c r="B1787" s="52"/>
      <c r="C1787" s="54"/>
      <c r="D1787" s="855"/>
      <c r="E1787" s="54"/>
      <c r="F1787" s="54"/>
      <c r="G1787" s="54"/>
      <c r="H1787" s="54"/>
      <c r="I1787" s="54"/>
      <c r="J1787" s="54"/>
      <c r="K1787" s="54"/>
      <c r="L1787" s="54"/>
      <c r="M1787" s="54"/>
      <c r="N1787" s="54"/>
      <c r="O1787" s="54"/>
      <c r="P1787" s="54"/>
      <c r="Q1787" s="54"/>
      <c r="R1787" s="54"/>
      <c r="S1787" s="54"/>
      <c r="T1787" s="54"/>
      <c r="U1787" s="54"/>
      <c r="V1787" s="54"/>
      <c r="W1787" s="54"/>
      <c r="X1787" s="54"/>
      <c r="Y1787" s="54"/>
      <c r="Z1787" s="54"/>
      <c r="AA1787" s="54"/>
      <c r="AB1787" s="54"/>
      <c r="AC1787" s="54"/>
    </row>
    <row r="1788" ht="78.0" customHeight="1">
      <c r="A1788" s="26"/>
      <c r="B1788" s="26"/>
      <c r="C1788" s="28"/>
      <c r="D1788" s="825"/>
      <c r="E1788" s="28"/>
      <c r="F1788" s="28"/>
      <c r="G1788" s="28"/>
      <c r="H1788" s="28"/>
      <c r="I1788" s="28"/>
      <c r="J1788" s="28"/>
      <c r="K1788" s="28"/>
      <c r="L1788" s="28"/>
      <c r="M1788" s="28"/>
      <c r="N1788" s="28"/>
      <c r="O1788" s="28"/>
      <c r="P1788" s="28"/>
      <c r="Q1788" s="28"/>
      <c r="R1788" s="28"/>
      <c r="S1788" s="28"/>
      <c r="T1788" s="28"/>
      <c r="U1788" s="28"/>
      <c r="V1788" s="28"/>
      <c r="W1788" s="28"/>
      <c r="X1788" s="28"/>
      <c r="Y1788" s="28"/>
      <c r="Z1788" s="28"/>
      <c r="AA1788" s="28"/>
      <c r="AB1788" s="28"/>
      <c r="AC1788" s="28"/>
    </row>
    <row r="1789" ht="78.0" customHeight="1">
      <c r="A1789" s="52"/>
      <c r="B1789" s="52"/>
      <c r="C1789" s="54"/>
      <c r="D1789" s="855"/>
      <c r="E1789" s="54"/>
      <c r="F1789" s="54"/>
      <c r="G1789" s="54"/>
      <c r="H1789" s="54"/>
      <c r="I1789" s="54"/>
      <c r="J1789" s="54"/>
      <c r="K1789" s="54"/>
      <c r="L1789" s="54"/>
      <c r="M1789" s="54"/>
      <c r="N1789" s="54"/>
      <c r="O1789" s="54"/>
      <c r="P1789" s="54"/>
      <c r="Q1789" s="54"/>
      <c r="R1789" s="54"/>
      <c r="S1789" s="54"/>
      <c r="T1789" s="54"/>
      <c r="U1789" s="54"/>
      <c r="V1789" s="54"/>
      <c r="W1789" s="54"/>
      <c r="X1789" s="54"/>
      <c r="Y1789" s="54"/>
      <c r="Z1789" s="54"/>
      <c r="AA1789" s="54"/>
      <c r="AB1789" s="54"/>
      <c r="AC1789" s="54"/>
    </row>
    <row r="1790" ht="78.0" customHeight="1">
      <c r="A1790" s="26"/>
      <c r="B1790" s="26"/>
      <c r="C1790" s="28"/>
      <c r="D1790" s="825"/>
      <c r="E1790" s="28"/>
      <c r="F1790" s="28"/>
      <c r="G1790" s="28"/>
      <c r="H1790" s="28"/>
      <c r="I1790" s="28"/>
      <c r="J1790" s="28"/>
      <c r="K1790" s="28"/>
      <c r="L1790" s="28"/>
      <c r="M1790" s="28"/>
      <c r="N1790" s="28"/>
      <c r="O1790" s="28"/>
      <c r="P1790" s="28"/>
      <c r="Q1790" s="28"/>
      <c r="R1790" s="28"/>
      <c r="S1790" s="28"/>
      <c r="T1790" s="28"/>
      <c r="U1790" s="28"/>
      <c r="V1790" s="28"/>
      <c r="W1790" s="28"/>
      <c r="X1790" s="28"/>
      <c r="Y1790" s="28"/>
      <c r="Z1790" s="28"/>
      <c r="AA1790" s="28"/>
      <c r="AB1790" s="28"/>
      <c r="AC1790" s="28"/>
    </row>
    <row r="1791" ht="78.0" customHeight="1">
      <c r="A1791" s="52"/>
      <c r="B1791" s="52"/>
      <c r="C1791" s="54"/>
      <c r="D1791" s="855"/>
      <c r="E1791" s="54"/>
      <c r="F1791" s="54"/>
      <c r="G1791" s="54"/>
      <c r="H1791" s="54"/>
      <c r="I1791" s="54"/>
      <c r="J1791" s="54"/>
      <c r="K1791" s="54"/>
      <c r="L1791" s="54"/>
      <c r="M1791" s="54"/>
      <c r="N1791" s="54"/>
      <c r="O1791" s="54"/>
      <c r="P1791" s="54"/>
      <c r="Q1791" s="54"/>
      <c r="R1791" s="54"/>
      <c r="S1791" s="54"/>
      <c r="T1791" s="54"/>
      <c r="U1791" s="54"/>
      <c r="V1791" s="54"/>
      <c r="W1791" s="54"/>
      <c r="X1791" s="54"/>
      <c r="Y1791" s="54"/>
      <c r="Z1791" s="54"/>
      <c r="AA1791" s="54"/>
      <c r="AB1791" s="54"/>
      <c r="AC1791" s="54"/>
    </row>
    <row r="1792" ht="78.0" customHeight="1">
      <c r="A1792" s="26"/>
      <c r="B1792" s="26"/>
      <c r="C1792" s="28"/>
      <c r="D1792" s="825"/>
      <c r="E1792" s="28"/>
      <c r="F1792" s="28"/>
      <c r="G1792" s="28"/>
      <c r="H1792" s="28"/>
      <c r="I1792" s="28"/>
      <c r="J1792" s="28"/>
      <c r="K1792" s="28"/>
      <c r="L1792" s="28"/>
      <c r="M1792" s="28"/>
      <c r="N1792" s="28"/>
      <c r="O1792" s="28"/>
      <c r="P1792" s="28"/>
      <c r="Q1792" s="28"/>
      <c r="R1792" s="28"/>
      <c r="S1792" s="28"/>
      <c r="T1792" s="28"/>
      <c r="U1792" s="28"/>
      <c r="V1792" s="28"/>
      <c r="W1792" s="28"/>
      <c r="X1792" s="28"/>
      <c r="Y1792" s="28"/>
      <c r="Z1792" s="28"/>
      <c r="AA1792" s="28"/>
      <c r="AB1792" s="28"/>
      <c r="AC1792" s="28"/>
    </row>
    <row r="1793" ht="78.0" customHeight="1">
      <c r="A1793" s="52"/>
      <c r="B1793" s="52"/>
      <c r="C1793" s="54"/>
      <c r="D1793" s="855"/>
      <c r="E1793" s="54"/>
      <c r="F1793" s="54"/>
      <c r="G1793" s="54"/>
      <c r="H1793" s="54"/>
      <c r="I1793" s="54"/>
      <c r="J1793" s="54"/>
      <c r="K1793" s="54"/>
      <c r="L1793" s="54"/>
      <c r="M1793" s="54"/>
      <c r="N1793" s="54"/>
      <c r="O1793" s="54"/>
      <c r="P1793" s="54"/>
      <c r="Q1793" s="54"/>
      <c r="R1793" s="54"/>
      <c r="S1793" s="54"/>
      <c r="T1793" s="54"/>
      <c r="U1793" s="54"/>
      <c r="V1793" s="54"/>
      <c r="W1793" s="54"/>
      <c r="X1793" s="54"/>
      <c r="Y1793" s="54"/>
      <c r="Z1793" s="54"/>
      <c r="AA1793" s="54"/>
      <c r="AB1793" s="54"/>
      <c r="AC1793" s="54"/>
    </row>
    <row r="1794" ht="78.0" customHeight="1">
      <c r="A1794" s="26"/>
      <c r="B1794" s="26"/>
      <c r="C1794" s="28"/>
      <c r="D1794" s="825"/>
      <c r="E1794" s="28"/>
      <c r="F1794" s="28"/>
      <c r="G1794" s="28"/>
      <c r="H1794" s="28"/>
      <c r="I1794" s="28"/>
      <c r="J1794" s="28"/>
      <c r="K1794" s="28"/>
      <c r="L1794" s="28"/>
      <c r="M1794" s="28"/>
      <c r="N1794" s="28"/>
      <c r="O1794" s="28"/>
      <c r="P1794" s="28"/>
      <c r="Q1794" s="28"/>
      <c r="R1794" s="28"/>
      <c r="S1794" s="28"/>
      <c r="T1794" s="28"/>
      <c r="U1794" s="28"/>
      <c r="V1794" s="28"/>
      <c r="W1794" s="28"/>
      <c r="X1794" s="28"/>
      <c r="Y1794" s="28"/>
      <c r="Z1794" s="28"/>
      <c r="AA1794" s="28"/>
      <c r="AB1794" s="28"/>
      <c r="AC1794" s="28"/>
    </row>
    <row r="1795" ht="78.0" customHeight="1">
      <c r="A1795" s="52"/>
      <c r="B1795" s="52"/>
      <c r="C1795" s="54"/>
      <c r="D1795" s="855"/>
      <c r="E1795" s="54"/>
      <c r="F1795" s="54"/>
      <c r="G1795" s="54"/>
      <c r="H1795" s="54"/>
      <c r="I1795" s="54"/>
      <c r="J1795" s="54"/>
      <c r="K1795" s="54"/>
      <c r="L1795" s="54"/>
      <c r="M1795" s="54"/>
      <c r="N1795" s="54"/>
      <c r="O1795" s="54"/>
      <c r="P1795" s="54"/>
      <c r="Q1795" s="54"/>
      <c r="R1795" s="54"/>
      <c r="S1795" s="54"/>
      <c r="T1795" s="54"/>
      <c r="U1795" s="54"/>
      <c r="V1795" s="54"/>
      <c r="W1795" s="54"/>
      <c r="X1795" s="54"/>
      <c r="Y1795" s="54"/>
      <c r="Z1795" s="54"/>
      <c r="AA1795" s="54"/>
      <c r="AB1795" s="54"/>
      <c r="AC1795" s="54"/>
    </row>
    <row r="1796" ht="78.0" customHeight="1">
      <c r="A1796" s="26"/>
      <c r="B1796" s="26"/>
      <c r="C1796" s="28"/>
      <c r="D1796" s="825"/>
      <c r="E1796" s="28"/>
      <c r="F1796" s="28"/>
      <c r="G1796" s="28"/>
      <c r="H1796" s="28"/>
      <c r="I1796" s="28"/>
      <c r="J1796" s="28"/>
      <c r="K1796" s="28"/>
      <c r="L1796" s="28"/>
      <c r="M1796" s="28"/>
      <c r="N1796" s="28"/>
      <c r="O1796" s="28"/>
      <c r="P1796" s="28"/>
      <c r="Q1796" s="28"/>
      <c r="R1796" s="28"/>
      <c r="S1796" s="28"/>
      <c r="T1796" s="28"/>
      <c r="U1796" s="28"/>
      <c r="V1796" s="28"/>
      <c r="W1796" s="28"/>
      <c r="X1796" s="28"/>
      <c r="Y1796" s="28"/>
      <c r="Z1796" s="28"/>
      <c r="AA1796" s="28"/>
      <c r="AB1796" s="28"/>
      <c r="AC1796" s="28"/>
    </row>
    <row r="1797" ht="78.0" customHeight="1">
      <c r="A1797" s="52"/>
      <c r="B1797" s="52"/>
      <c r="C1797" s="54"/>
      <c r="D1797" s="855"/>
      <c r="E1797" s="54"/>
      <c r="F1797" s="54"/>
      <c r="G1797" s="54"/>
      <c r="H1797" s="54"/>
      <c r="I1797" s="54"/>
      <c r="J1797" s="54"/>
      <c r="K1797" s="54"/>
      <c r="L1797" s="54"/>
      <c r="M1797" s="54"/>
      <c r="N1797" s="54"/>
      <c r="O1797" s="54"/>
      <c r="P1797" s="54"/>
      <c r="Q1797" s="54"/>
      <c r="R1797" s="54"/>
      <c r="S1797" s="54"/>
      <c r="T1797" s="54"/>
      <c r="U1797" s="54"/>
      <c r="V1797" s="54"/>
      <c r="W1797" s="54"/>
      <c r="X1797" s="54"/>
      <c r="Y1797" s="54"/>
      <c r="Z1797" s="54"/>
      <c r="AA1797" s="54"/>
      <c r="AB1797" s="54"/>
      <c r="AC1797" s="54"/>
    </row>
    <row r="1798" ht="78.0" customHeight="1">
      <c r="A1798" s="26"/>
      <c r="B1798" s="26"/>
      <c r="C1798" s="28"/>
      <c r="D1798" s="825"/>
      <c r="E1798" s="28"/>
      <c r="F1798" s="28"/>
      <c r="G1798" s="28"/>
      <c r="H1798" s="28"/>
      <c r="I1798" s="28"/>
      <c r="J1798" s="28"/>
      <c r="K1798" s="28"/>
      <c r="L1798" s="28"/>
      <c r="M1798" s="28"/>
      <c r="N1798" s="28"/>
      <c r="O1798" s="28"/>
      <c r="P1798" s="28"/>
      <c r="Q1798" s="28"/>
      <c r="R1798" s="28"/>
      <c r="S1798" s="28"/>
      <c r="T1798" s="28"/>
      <c r="U1798" s="28"/>
      <c r="V1798" s="28"/>
      <c r="W1798" s="28"/>
      <c r="X1798" s="28"/>
      <c r="Y1798" s="28"/>
      <c r="Z1798" s="28"/>
      <c r="AA1798" s="28"/>
      <c r="AB1798" s="28"/>
      <c r="AC1798" s="28"/>
    </row>
    <row r="1799" ht="78.0" customHeight="1">
      <c r="A1799" s="52"/>
      <c r="B1799" s="52"/>
      <c r="C1799" s="54"/>
      <c r="D1799" s="855"/>
      <c r="E1799" s="54"/>
      <c r="F1799" s="54"/>
      <c r="G1799" s="54"/>
      <c r="H1799" s="54"/>
      <c r="I1799" s="54"/>
      <c r="J1799" s="54"/>
      <c r="K1799" s="54"/>
      <c r="L1799" s="54"/>
      <c r="M1799" s="54"/>
      <c r="N1799" s="54"/>
      <c r="O1799" s="54"/>
      <c r="P1799" s="54"/>
      <c r="Q1799" s="54"/>
      <c r="R1799" s="54"/>
      <c r="S1799" s="54"/>
      <c r="T1799" s="54"/>
      <c r="U1799" s="54"/>
      <c r="V1799" s="54"/>
      <c r="W1799" s="54"/>
      <c r="X1799" s="54"/>
      <c r="Y1799" s="54"/>
      <c r="Z1799" s="54"/>
      <c r="AA1799" s="54"/>
      <c r="AB1799" s="54"/>
      <c r="AC1799" s="54"/>
    </row>
    <row r="1800" ht="78.0" customHeight="1">
      <c r="A1800" s="26"/>
      <c r="B1800" s="26"/>
      <c r="C1800" s="28"/>
      <c r="D1800" s="825"/>
      <c r="E1800" s="28"/>
      <c r="F1800" s="28"/>
      <c r="G1800" s="28"/>
      <c r="H1800" s="28"/>
      <c r="I1800" s="28"/>
      <c r="J1800" s="28"/>
      <c r="K1800" s="28"/>
      <c r="L1800" s="28"/>
      <c r="M1800" s="28"/>
      <c r="N1800" s="28"/>
      <c r="O1800" s="28"/>
      <c r="P1800" s="28"/>
      <c r="Q1800" s="28"/>
      <c r="R1800" s="28"/>
      <c r="S1800" s="28"/>
      <c r="T1800" s="28"/>
      <c r="U1800" s="28"/>
      <c r="V1800" s="28"/>
      <c r="W1800" s="28"/>
      <c r="X1800" s="28"/>
      <c r="Y1800" s="28"/>
      <c r="Z1800" s="28"/>
      <c r="AA1800" s="28"/>
      <c r="AB1800" s="28"/>
      <c r="AC1800" s="28"/>
    </row>
    <row r="1801" ht="78.0" customHeight="1">
      <c r="A1801" s="52"/>
      <c r="B1801" s="52"/>
      <c r="C1801" s="54"/>
      <c r="D1801" s="855"/>
      <c r="E1801" s="54"/>
      <c r="F1801" s="54"/>
      <c r="G1801" s="54"/>
      <c r="H1801" s="54"/>
      <c r="I1801" s="54"/>
      <c r="J1801" s="54"/>
      <c r="K1801" s="54"/>
      <c r="L1801" s="54"/>
      <c r="M1801" s="54"/>
      <c r="N1801" s="54"/>
      <c r="O1801" s="54"/>
      <c r="P1801" s="54"/>
      <c r="Q1801" s="54"/>
      <c r="R1801" s="54"/>
      <c r="S1801" s="54"/>
      <c r="T1801" s="54"/>
      <c r="U1801" s="54"/>
      <c r="V1801" s="54"/>
      <c r="W1801" s="54"/>
      <c r="X1801" s="54"/>
      <c r="Y1801" s="54"/>
      <c r="Z1801" s="54"/>
      <c r="AA1801" s="54"/>
      <c r="AB1801" s="54"/>
      <c r="AC1801" s="54"/>
    </row>
    <row r="1802" ht="78.0" customHeight="1">
      <c r="A1802" s="26"/>
      <c r="B1802" s="26"/>
      <c r="C1802" s="28"/>
      <c r="D1802" s="825"/>
      <c r="E1802" s="28"/>
      <c r="F1802" s="28"/>
      <c r="G1802" s="28"/>
      <c r="H1802" s="28"/>
      <c r="I1802" s="28"/>
      <c r="J1802" s="28"/>
      <c r="K1802" s="28"/>
      <c r="L1802" s="28"/>
      <c r="M1802" s="28"/>
      <c r="N1802" s="28"/>
      <c r="O1802" s="28"/>
      <c r="P1802" s="28"/>
      <c r="Q1802" s="28"/>
      <c r="R1802" s="28"/>
      <c r="S1802" s="28"/>
      <c r="T1802" s="28"/>
      <c r="U1802" s="28"/>
      <c r="V1802" s="28"/>
      <c r="W1802" s="28"/>
      <c r="X1802" s="28"/>
      <c r="Y1802" s="28"/>
      <c r="Z1802" s="28"/>
      <c r="AA1802" s="28"/>
      <c r="AB1802" s="28"/>
      <c r="AC1802" s="28"/>
    </row>
    <row r="1803" ht="78.0" customHeight="1">
      <c r="A1803" s="52"/>
      <c r="B1803" s="52"/>
      <c r="C1803" s="54"/>
      <c r="D1803" s="855"/>
      <c r="E1803" s="54"/>
      <c r="F1803" s="54"/>
      <c r="G1803" s="54"/>
      <c r="H1803" s="54"/>
      <c r="I1803" s="54"/>
      <c r="J1803" s="54"/>
      <c r="K1803" s="54"/>
      <c r="L1803" s="54"/>
      <c r="M1803" s="54"/>
      <c r="N1803" s="54"/>
      <c r="O1803" s="54"/>
      <c r="P1803" s="54"/>
      <c r="Q1803" s="54"/>
      <c r="R1803" s="54"/>
      <c r="S1803" s="54"/>
      <c r="T1803" s="54"/>
      <c r="U1803" s="54"/>
      <c r="V1803" s="54"/>
      <c r="W1803" s="54"/>
      <c r="X1803" s="54"/>
      <c r="Y1803" s="54"/>
      <c r="Z1803" s="54"/>
      <c r="AA1803" s="54"/>
      <c r="AB1803" s="54"/>
      <c r="AC1803" s="54"/>
    </row>
    <row r="1804" ht="78.0" customHeight="1">
      <c r="A1804" s="26"/>
      <c r="B1804" s="26"/>
      <c r="C1804" s="28"/>
      <c r="D1804" s="825"/>
      <c r="E1804" s="28"/>
      <c r="F1804" s="28"/>
      <c r="G1804" s="28"/>
      <c r="H1804" s="28"/>
      <c r="I1804" s="28"/>
      <c r="J1804" s="28"/>
      <c r="K1804" s="28"/>
      <c r="L1804" s="28"/>
      <c r="M1804" s="28"/>
      <c r="N1804" s="28"/>
      <c r="O1804" s="28"/>
      <c r="P1804" s="28"/>
      <c r="Q1804" s="28"/>
      <c r="R1804" s="28"/>
      <c r="S1804" s="28"/>
      <c r="T1804" s="28"/>
      <c r="U1804" s="28"/>
      <c r="V1804" s="28"/>
      <c r="W1804" s="28"/>
      <c r="X1804" s="28"/>
      <c r="Y1804" s="28"/>
      <c r="Z1804" s="28"/>
      <c r="AA1804" s="28"/>
      <c r="AB1804" s="28"/>
      <c r="AC1804" s="28"/>
    </row>
    <row r="1805" ht="78.0" customHeight="1">
      <c r="A1805" s="52"/>
      <c r="B1805" s="52"/>
      <c r="C1805" s="54"/>
      <c r="D1805" s="855"/>
      <c r="E1805" s="54"/>
      <c r="F1805" s="54"/>
      <c r="G1805" s="54"/>
      <c r="H1805" s="54"/>
      <c r="I1805" s="54"/>
      <c r="J1805" s="54"/>
      <c r="K1805" s="54"/>
      <c r="L1805" s="54"/>
      <c r="M1805" s="54"/>
      <c r="N1805" s="54"/>
      <c r="O1805" s="54"/>
      <c r="P1805" s="54"/>
      <c r="Q1805" s="54"/>
      <c r="R1805" s="54"/>
      <c r="S1805" s="54"/>
      <c r="T1805" s="54"/>
      <c r="U1805" s="54"/>
      <c r="V1805" s="54"/>
      <c r="W1805" s="54"/>
      <c r="X1805" s="54"/>
      <c r="Y1805" s="54"/>
      <c r="Z1805" s="54"/>
      <c r="AA1805" s="54"/>
      <c r="AB1805" s="54"/>
      <c r="AC1805" s="54"/>
    </row>
    <row r="1806" ht="78.0" customHeight="1">
      <c r="A1806" s="26"/>
      <c r="B1806" s="26"/>
      <c r="C1806" s="28"/>
      <c r="D1806" s="825"/>
      <c r="E1806" s="28"/>
      <c r="F1806" s="28"/>
      <c r="G1806" s="28"/>
      <c r="H1806" s="28"/>
      <c r="I1806" s="28"/>
      <c r="J1806" s="28"/>
      <c r="K1806" s="28"/>
      <c r="L1806" s="28"/>
      <c r="M1806" s="28"/>
      <c r="N1806" s="28"/>
      <c r="O1806" s="28"/>
      <c r="P1806" s="28"/>
      <c r="Q1806" s="28"/>
      <c r="R1806" s="28"/>
      <c r="S1806" s="28"/>
      <c r="T1806" s="28"/>
      <c r="U1806" s="28"/>
      <c r="V1806" s="28"/>
      <c r="W1806" s="28"/>
      <c r="X1806" s="28"/>
      <c r="Y1806" s="28"/>
      <c r="Z1806" s="28"/>
      <c r="AA1806" s="28"/>
      <c r="AB1806" s="28"/>
      <c r="AC1806" s="28"/>
    </row>
    <row r="1807" ht="78.0" customHeight="1">
      <c r="A1807" s="52"/>
      <c r="B1807" s="52"/>
      <c r="C1807" s="54"/>
      <c r="D1807" s="855"/>
      <c r="E1807" s="54"/>
      <c r="F1807" s="54"/>
      <c r="G1807" s="54"/>
      <c r="H1807" s="54"/>
      <c r="I1807" s="54"/>
      <c r="J1807" s="54"/>
      <c r="K1807" s="54"/>
      <c r="L1807" s="54"/>
      <c r="M1807" s="54"/>
      <c r="N1807" s="54"/>
      <c r="O1807" s="54"/>
      <c r="P1807" s="54"/>
      <c r="Q1807" s="54"/>
      <c r="R1807" s="54"/>
      <c r="S1807" s="54"/>
      <c r="T1807" s="54"/>
      <c r="U1807" s="54"/>
      <c r="V1807" s="54"/>
      <c r="W1807" s="54"/>
      <c r="X1807" s="54"/>
      <c r="Y1807" s="54"/>
      <c r="Z1807" s="54"/>
      <c r="AA1807" s="54"/>
      <c r="AB1807" s="54"/>
      <c r="AC1807" s="54"/>
    </row>
    <row r="1808" ht="78.0" customHeight="1">
      <c r="A1808" s="26"/>
      <c r="B1808" s="26"/>
      <c r="C1808" s="28"/>
      <c r="D1808" s="825"/>
      <c r="E1808" s="28"/>
      <c r="F1808" s="28"/>
      <c r="G1808" s="28"/>
      <c r="H1808" s="28"/>
      <c r="I1808" s="28"/>
      <c r="J1808" s="28"/>
      <c r="K1808" s="28"/>
      <c r="L1808" s="28"/>
      <c r="M1808" s="28"/>
      <c r="N1808" s="28"/>
      <c r="O1808" s="28"/>
      <c r="P1808" s="28"/>
      <c r="Q1808" s="28"/>
      <c r="R1808" s="28"/>
      <c r="S1808" s="28"/>
      <c r="T1808" s="28"/>
      <c r="U1808" s="28"/>
      <c r="V1808" s="28"/>
      <c r="W1808" s="28"/>
      <c r="X1808" s="28"/>
      <c r="Y1808" s="28"/>
      <c r="Z1808" s="28"/>
      <c r="AA1808" s="28"/>
      <c r="AB1808" s="28"/>
      <c r="AC1808" s="28"/>
    </row>
    <row r="1809" ht="78.0" customHeight="1">
      <c r="A1809" s="52"/>
      <c r="B1809" s="52"/>
      <c r="C1809" s="54"/>
      <c r="D1809" s="855"/>
      <c r="E1809" s="54"/>
      <c r="F1809" s="54"/>
      <c r="G1809" s="54"/>
      <c r="H1809" s="54"/>
      <c r="I1809" s="54"/>
      <c r="J1809" s="54"/>
      <c r="K1809" s="54"/>
      <c r="L1809" s="54"/>
      <c r="M1809" s="54"/>
      <c r="N1809" s="54"/>
      <c r="O1809" s="54"/>
      <c r="P1809" s="54"/>
      <c r="Q1809" s="54"/>
      <c r="R1809" s="54"/>
      <c r="S1809" s="54"/>
      <c r="T1809" s="54"/>
      <c r="U1809" s="54"/>
      <c r="V1809" s="54"/>
      <c r="W1809" s="54"/>
      <c r="X1809" s="54"/>
      <c r="Y1809" s="54"/>
      <c r="Z1809" s="54"/>
      <c r="AA1809" s="54"/>
      <c r="AB1809" s="54"/>
      <c r="AC1809" s="54"/>
    </row>
    <row r="1810" ht="78.0" customHeight="1">
      <c r="A1810" s="26"/>
      <c r="B1810" s="26"/>
      <c r="C1810" s="28"/>
      <c r="D1810" s="825"/>
      <c r="E1810" s="28"/>
      <c r="F1810" s="28"/>
      <c r="G1810" s="28"/>
      <c r="H1810" s="28"/>
      <c r="I1810" s="28"/>
      <c r="J1810" s="28"/>
      <c r="K1810" s="28"/>
      <c r="L1810" s="28"/>
      <c r="M1810" s="28"/>
      <c r="N1810" s="28"/>
      <c r="O1810" s="28"/>
      <c r="P1810" s="28"/>
      <c r="Q1810" s="28"/>
      <c r="R1810" s="28"/>
      <c r="S1810" s="28"/>
      <c r="T1810" s="28"/>
      <c r="U1810" s="28"/>
      <c r="V1810" s="28"/>
      <c r="W1810" s="28"/>
      <c r="X1810" s="28"/>
      <c r="Y1810" s="28"/>
      <c r="Z1810" s="28"/>
      <c r="AA1810" s="28"/>
      <c r="AB1810" s="28"/>
      <c r="AC1810" s="28"/>
    </row>
    <row r="1811" ht="78.0" customHeight="1">
      <c r="A1811" s="52"/>
      <c r="B1811" s="52"/>
      <c r="C1811" s="54"/>
      <c r="D1811" s="855"/>
      <c r="E1811" s="54"/>
      <c r="F1811" s="54"/>
      <c r="G1811" s="54"/>
      <c r="H1811" s="54"/>
      <c r="I1811" s="54"/>
      <c r="J1811" s="54"/>
      <c r="K1811" s="54"/>
      <c r="L1811" s="54"/>
      <c r="M1811" s="54"/>
      <c r="N1811" s="54"/>
      <c r="O1811" s="54"/>
      <c r="P1811" s="54"/>
      <c r="Q1811" s="54"/>
      <c r="R1811" s="54"/>
      <c r="S1811" s="54"/>
      <c r="T1811" s="54"/>
      <c r="U1811" s="54"/>
      <c r="V1811" s="54"/>
      <c r="W1811" s="54"/>
      <c r="X1811" s="54"/>
      <c r="Y1811" s="54"/>
      <c r="Z1811" s="54"/>
      <c r="AA1811" s="54"/>
      <c r="AB1811" s="54"/>
      <c r="AC1811" s="54"/>
    </row>
    <row r="1812" ht="78.0" customHeight="1">
      <c r="A1812" s="26"/>
      <c r="B1812" s="26"/>
      <c r="C1812" s="28"/>
      <c r="D1812" s="825"/>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row>
    <row r="1813" ht="78.0" customHeight="1">
      <c r="A1813" s="52"/>
      <c r="B1813" s="52"/>
      <c r="C1813" s="54"/>
      <c r="D1813" s="855"/>
      <c r="E1813" s="54"/>
      <c r="F1813" s="54"/>
      <c r="G1813" s="54"/>
      <c r="H1813" s="54"/>
      <c r="I1813" s="54"/>
      <c r="J1813" s="54"/>
      <c r="K1813" s="54"/>
      <c r="L1813" s="54"/>
      <c r="M1813" s="54"/>
      <c r="N1813" s="54"/>
      <c r="O1813" s="54"/>
      <c r="P1813" s="54"/>
      <c r="Q1813" s="54"/>
      <c r="R1813" s="54"/>
      <c r="S1813" s="54"/>
      <c r="T1813" s="54"/>
      <c r="U1813" s="54"/>
      <c r="V1813" s="54"/>
      <c r="W1813" s="54"/>
      <c r="X1813" s="54"/>
      <c r="Y1813" s="54"/>
      <c r="Z1813" s="54"/>
      <c r="AA1813" s="54"/>
      <c r="AB1813" s="54"/>
      <c r="AC1813" s="54"/>
    </row>
    <row r="1814" ht="78.0" customHeight="1">
      <c r="A1814" s="26"/>
      <c r="B1814" s="26"/>
      <c r="C1814" s="28"/>
      <c r="D1814" s="825"/>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row>
    <row r="1815" ht="78.0" customHeight="1">
      <c r="A1815" s="52"/>
      <c r="B1815" s="52"/>
      <c r="C1815" s="54"/>
      <c r="D1815" s="855"/>
      <c r="E1815" s="54"/>
      <c r="F1815" s="54"/>
      <c r="G1815" s="54"/>
      <c r="H1815" s="54"/>
      <c r="I1815" s="54"/>
      <c r="J1815" s="54"/>
      <c r="K1815" s="54"/>
      <c r="L1815" s="54"/>
      <c r="M1815" s="54"/>
      <c r="N1815" s="54"/>
      <c r="O1815" s="54"/>
      <c r="P1815" s="54"/>
      <c r="Q1815" s="54"/>
      <c r="R1815" s="54"/>
      <c r="S1815" s="54"/>
      <c r="T1815" s="54"/>
      <c r="U1815" s="54"/>
      <c r="V1815" s="54"/>
      <c r="W1815" s="54"/>
      <c r="X1815" s="54"/>
      <c r="Y1815" s="54"/>
      <c r="Z1815" s="54"/>
      <c r="AA1815" s="54"/>
      <c r="AB1815" s="54"/>
      <c r="AC1815" s="54"/>
    </row>
    <row r="1816" ht="78.0" customHeight="1">
      <c r="A1816" s="26"/>
      <c r="B1816" s="26"/>
      <c r="C1816" s="28"/>
      <c r="D1816" s="825"/>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row>
    <row r="1817" ht="78.0" customHeight="1">
      <c r="A1817" s="52"/>
      <c r="B1817" s="52"/>
      <c r="C1817" s="54"/>
      <c r="D1817" s="855"/>
      <c r="E1817" s="54"/>
      <c r="F1817" s="54"/>
      <c r="G1817" s="54"/>
      <c r="H1817" s="54"/>
      <c r="I1817" s="54"/>
      <c r="J1817" s="54"/>
      <c r="K1817" s="54"/>
      <c r="L1817" s="54"/>
      <c r="M1817" s="54"/>
      <c r="N1817" s="54"/>
      <c r="O1817" s="54"/>
      <c r="P1817" s="54"/>
      <c r="Q1817" s="54"/>
      <c r="R1817" s="54"/>
      <c r="S1817" s="54"/>
      <c r="T1817" s="54"/>
      <c r="U1817" s="54"/>
      <c r="V1817" s="54"/>
      <c r="W1817" s="54"/>
      <c r="X1817" s="54"/>
      <c r="Y1817" s="54"/>
      <c r="Z1817" s="54"/>
      <c r="AA1817" s="54"/>
      <c r="AB1817" s="54"/>
      <c r="AC1817" s="54"/>
    </row>
    <row r="1818" ht="78.0" customHeight="1">
      <c r="A1818" s="26"/>
      <c r="B1818" s="26"/>
      <c r="C1818" s="28"/>
      <c r="D1818" s="825"/>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row>
    <row r="1819" ht="78.0" customHeight="1">
      <c r="A1819" s="52"/>
      <c r="B1819" s="52"/>
      <c r="C1819" s="54"/>
      <c r="D1819" s="855"/>
      <c r="E1819" s="54"/>
      <c r="F1819" s="54"/>
      <c r="G1819" s="54"/>
      <c r="H1819" s="54"/>
      <c r="I1819" s="54"/>
      <c r="J1819" s="54"/>
      <c r="K1819" s="54"/>
      <c r="L1819" s="54"/>
      <c r="M1819" s="54"/>
      <c r="N1819" s="54"/>
      <c r="O1819" s="54"/>
      <c r="P1819" s="54"/>
      <c r="Q1819" s="54"/>
      <c r="R1819" s="54"/>
      <c r="S1819" s="54"/>
      <c r="T1819" s="54"/>
      <c r="U1819" s="54"/>
      <c r="V1819" s="54"/>
      <c r="W1819" s="54"/>
      <c r="X1819" s="54"/>
      <c r="Y1819" s="54"/>
      <c r="Z1819" s="54"/>
      <c r="AA1819" s="54"/>
      <c r="AB1819" s="54"/>
      <c r="AC1819" s="54"/>
    </row>
    <row r="1820" ht="78.0" customHeight="1">
      <c r="A1820" s="26"/>
      <c r="B1820" s="26"/>
      <c r="C1820" s="28"/>
      <c r="D1820" s="825"/>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row>
    <row r="1821" ht="78.0" customHeight="1">
      <c r="A1821" s="52"/>
      <c r="B1821" s="52"/>
      <c r="C1821" s="54"/>
      <c r="D1821" s="855"/>
      <c r="E1821" s="54"/>
      <c r="F1821" s="54"/>
      <c r="G1821" s="54"/>
      <c r="H1821" s="54"/>
      <c r="I1821" s="54"/>
      <c r="J1821" s="54"/>
      <c r="K1821" s="54"/>
      <c r="L1821" s="54"/>
      <c r="M1821" s="54"/>
      <c r="N1821" s="54"/>
      <c r="O1821" s="54"/>
      <c r="P1821" s="54"/>
      <c r="Q1821" s="54"/>
      <c r="R1821" s="54"/>
      <c r="S1821" s="54"/>
      <c r="T1821" s="54"/>
      <c r="U1821" s="54"/>
      <c r="V1821" s="54"/>
      <c r="W1821" s="54"/>
      <c r="X1821" s="54"/>
      <c r="Y1821" s="54"/>
      <c r="Z1821" s="54"/>
      <c r="AA1821" s="54"/>
      <c r="AB1821" s="54"/>
      <c r="AC1821" s="54"/>
    </row>
    <row r="1822" ht="78.0" customHeight="1">
      <c r="A1822" s="26"/>
      <c r="B1822" s="26"/>
      <c r="C1822" s="28"/>
      <c r="D1822" s="825"/>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row>
    <row r="1823" ht="78.0" customHeight="1">
      <c r="A1823" s="52"/>
      <c r="B1823" s="52"/>
      <c r="C1823" s="54"/>
      <c r="D1823" s="855"/>
      <c r="E1823" s="54"/>
      <c r="F1823" s="54"/>
      <c r="G1823" s="54"/>
      <c r="H1823" s="54"/>
      <c r="I1823" s="54"/>
      <c r="J1823" s="54"/>
      <c r="K1823" s="54"/>
      <c r="L1823" s="54"/>
      <c r="M1823" s="54"/>
      <c r="N1823" s="54"/>
      <c r="O1823" s="54"/>
      <c r="P1823" s="54"/>
      <c r="Q1823" s="54"/>
      <c r="R1823" s="54"/>
      <c r="S1823" s="54"/>
      <c r="T1823" s="54"/>
      <c r="U1823" s="54"/>
      <c r="V1823" s="54"/>
      <c r="W1823" s="54"/>
      <c r="X1823" s="54"/>
      <c r="Y1823" s="54"/>
      <c r="Z1823" s="54"/>
      <c r="AA1823" s="54"/>
      <c r="AB1823" s="54"/>
      <c r="AC1823" s="54"/>
    </row>
    <row r="1824" ht="78.0" customHeight="1">
      <c r="A1824" s="26"/>
      <c r="B1824" s="26"/>
      <c r="C1824" s="28"/>
      <c r="D1824" s="825"/>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row>
    <row r="1825" ht="78.0" customHeight="1">
      <c r="A1825" s="52"/>
      <c r="B1825" s="52"/>
      <c r="C1825" s="54"/>
      <c r="D1825" s="855"/>
      <c r="E1825" s="54"/>
      <c r="F1825" s="54"/>
      <c r="G1825" s="54"/>
      <c r="H1825" s="54"/>
      <c r="I1825" s="54"/>
      <c r="J1825" s="54"/>
      <c r="K1825" s="54"/>
      <c r="L1825" s="54"/>
      <c r="M1825" s="54"/>
      <c r="N1825" s="54"/>
      <c r="O1825" s="54"/>
      <c r="P1825" s="54"/>
      <c r="Q1825" s="54"/>
      <c r="R1825" s="54"/>
      <c r="S1825" s="54"/>
      <c r="T1825" s="54"/>
      <c r="U1825" s="54"/>
      <c r="V1825" s="54"/>
      <c r="W1825" s="54"/>
      <c r="X1825" s="54"/>
      <c r="Y1825" s="54"/>
      <c r="Z1825" s="54"/>
      <c r="AA1825" s="54"/>
      <c r="AB1825" s="54"/>
      <c r="AC1825" s="54"/>
    </row>
    <row r="1826" ht="78.0" customHeight="1">
      <c r="A1826" s="26"/>
      <c r="B1826" s="26"/>
      <c r="C1826" s="28"/>
      <c r="D1826" s="825"/>
      <c r="E1826" s="28"/>
      <c r="F1826" s="28"/>
      <c r="G1826" s="28"/>
      <c r="H1826" s="28"/>
      <c r="I1826" s="28"/>
      <c r="J1826" s="28"/>
      <c r="K1826" s="28"/>
      <c r="L1826" s="28"/>
      <c r="M1826" s="28"/>
      <c r="N1826" s="28"/>
      <c r="O1826" s="28"/>
      <c r="P1826" s="28"/>
      <c r="Q1826" s="28"/>
      <c r="R1826" s="28"/>
      <c r="S1826" s="28"/>
      <c r="T1826" s="28"/>
      <c r="U1826" s="28"/>
      <c r="V1826" s="28"/>
      <c r="W1826" s="28"/>
      <c r="X1826" s="28"/>
      <c r="Y1826" s="28"/>
      <c r="Z1826" s="28"/>
      <c r="AA1826" s="28"/>
      <c r="AB1826" s="28"/>
      <c r="AC1826" s="28"/>
    </row>
    <row r="1827" ht="78.0" customHeight="1">
      <c r="A1827" s="52"/>
      <c r="B1827" s="52"/>
      <c r="C1827" s="54"/>
      <c r="D1827" s="855"/>
      <c r="E1827" s="54"/>
      <c r="F1827" s="54"/>
      <c r="G1827" s="54"/>
      <c r="H1827" s="54"/>
      <c r="I1827" s="54"/>
      <c r="J1827" s="54"/>
      <c r="K1827" s="54"/>
      <c r="L1827" s="54"/>
      <c r="M1827" s="54"/>
      <c r="N1827" s="54"/>
      <c r="O1827" s="54"/>
      <c r="P1827" s="54"/>
      <c r="Q1827" s="54"/>
      <c r="R1827" s="54"/>
      <c r="S1827" s="54"/>
      <c r="T1827" s="54"/>
      <c r="U1827" s="54"/>
      <c r="V1827" s="54"/>
      <c r="W1827" s="54"/>
      <c r="X1827" s="54"/>
      <c r="Y1827" s="54"/>
      <c r="Z1827" s="54"/>
      <c r="AA1827" s="54"/>
      <c r="AB1827" s="54"/>
      <c r="AC1827" s="54"/>
    </row>
    <row r="1828" ht="78.0" customHeight="1">
      <c r="A1828" s="26"/>
      <c r="B1828" s="26"/>
      <c r="C1828" s="28"/>
      <c r="D1828" s="825"/>
      <c r="E1828" s="28"/>
      <c r="F1828" s="28"/>
      <c r="G1828" s="28"/>
      <c r="H1828" s="28"/>
      <c r="I1828" s="28"/>
      <c r="J1828" s="28"/>
      <c r="K1828" s="28"/>
      <c r="L1828" s="28"/>
      <c r="M1828" s="28"/>
      <c r="N1828" s="28"/>
      <c r="O1828" s="28"/>
      <c r="P1828" s="28"/>
      <c r="Q1828" s="28"/>
      <c r="R1828" s="28"/>
      <c r="S1828" s="28"/>
      <c r="T1828" s="28"/>
      <c r="U1828" s="28"/>
      <c r="V1828" s="28"/>
      <c r="W1828" s="28"/>
      <c r="X1828" s="28"/>
      <c r="Y1828" s="28"/>
      <c r="Z1828" s="28"/>
      <c r="AA1828" s="28"/>
      <c r="AB1828" s="28"/>
      <c r="AC1828" s="28"/>
    </row>
    <row r="1829" ht="78.0" customHeight="1">
      <c r="A1829" s="52"/>
      <c r="B1829" s="52"/>
      <c r="C1829" s="54"/>
      <c r="D1829" s="855"/>
      <c r="E1829" s="54"/>
      <c r="F1829" s="54"/>
      <c r="G1829" s="54"/>
      <c r="H1829" s="54"/>
      <c r="I1829" s="54"/>
      <c r="J1829" s="54"/>
      <c r="K1829" s="54"/>
      <c r="L1829" s="54"/>
      <c r="M1829" s="54"/>
      <c r="N1829" s="54"/>
      <c r="O1829" s="54"/>
      <c r="P1829" s="54"/>
      <c r="Q1829" s="54"/>
      <c r="R1829" s="54"/>
      <c r="S1829" s="54"/>
      <c r="T1829" s="54"/>
      <c r="U1829" s="54"/>
      <c r="V1829" s="54"/>
      <c r="W1829" s="54"/>
      <c r="X1829" s="54"/>
      <c r="Y1829" s="54"/>
      <c r="Z1829" s="54"/>
      <c r="AA1829" s="54"/>
      <c r="AB1829" s="54"/>
      <c r="AC1829" s="54"/>
    </row>
    <row r="1830" ht="78.0" customHeight="1">
      <c r="A1830" s="26"/>
      <c r="B1830" s="26"/>
      <c r="C1830" s="28"/>
      <c r="D1830" s="825"/>
      <c r="E1830" s="28"/>
      <c r="F1830" s="28"/>
      <c r="G1830" s="28"/>
      <c r="H1830" s="28"/>
      <c r="I1830" s="28"/>
      <c r="J1830" s="28"/>
      <c r="K1830" s="28"/>
      <c r="L1830" s="28"/>
      <c r="M1830" s="28"/>
      <c r="N1830" s="28"/>
      <c r="O1830" s="28"/>
      <c r="P1830" s="28"/>
      <c r="Q1830" s="28"/>
      <c r="R1830" s="28"/>
      <c r="S1830" s="28"/>
      <c r="T1830" s="28"/>
      <c r="U1830" s="28"/>
      <c r="V1830" s="28"/>
      <c r="W1830" s="28"/>
      <c r="X1830" s="28"/>
      <c r="Y1830" s="28"/>
      <c r="Z1830" s="28"/>
      <c r="AA1830" s="28"/>
      <c r="AB1830" s="28"/>
      <c r="AC1830" s="28"/>
    </row>
    <row r="1831" ht="78.0" customHeight="1">
      <c r="A1831" s="52"/>
      <c r="B1831" s="52"/>
      <c r="C1831" s="54"/>
      <c r="D1831" s="855"/>
      <c r="E1831" s="54"/>
      <c r="F1831" s="54"/>
      <c r="G1831" s="54"/>
      <c r="H1831" s="54"/>
      <c r="I1831" s="54"/>
      <c r="J1831" s="54"/>
      <c r="K1831" s="54"/>
      <c r="L1831" s="54"/>
      <c r="M1831" s="54"/>
      <c r="N1831" s="54"/>
      <c r="O1831" s="54"/>
      <c r="P1831" s="54"/>
      <c r="Q1831" s="54"/>
      <c r="R1831" s="54"/>
      <c r="S1831" s="54"/>
      <c r="T1831" s="54"/>
      <c r="U1831" s="54"/>
      <c r="V1831" s="54"/>
      <c r="W1831" s="54"/>
      <c r="X1831" s="54"/>
      <c r="Y1831" s="54"/>
      <c r="Z1831" s="54"/>
      <c r="AA1831" s="54"/>
      <c r="AB1831" s="54"/>
      <c r="AC1831" s="54"/>
    </row>
    <row r="1832" ht="78.0" customHeight="1">
      <c r="A1832" s="26"/>
      <c r="B1832" s="26"/>
      <c r="C1832" s="28"/>
      <c r="D1832" s="825"/>
      <c r="E1832" s="28"/>
      <c r="F1832" s="28"/>
      <c r="G1832" s="28"/>
      <c r="H1832" s="28"/>
      <c r="I1832" s="28"/>
      <c r="J1832" s="28"/>
      <c r="K1832" s="28"/>
      <c r="L1832" s="28"/>
      <c r="M1832" s="28"/>
      <c r="N1832" s="28"/>
      <c r="O1832" s="28"/>
      <c r="P1832" s="28"/>
      <c r="Q1832" s="28"/>
      <c r="R1832" s="28"/>
      <c r="S1832" s="28"/>
      <c r="T1832" s="28"/>
      <c r="U1832" s="28"/>
      <c r="V1832" s="28"/>
      <c r="W1832" s="28"/>
      <c r="X1832" s="28"/>
      <c r="Y1832" s="28"/>
      <c r="Z1832" s="28"/>
      <c r="AA1832" s="28"/>
      <c r="AB1832" s="28"/>
      <c r="AC1832" s="28"/>
    </row>
    <row r="1833" ht="78.0" customHeight="1">
      <c r="A1833" s="52"/>
      <c r="B1833" s="52"/>
      <c r="C1833" s="54"/>
      <c r="D1833" s="855"/>
      <c r="E1833" s="54"/>
      <c r="F1833" s="54"/>
      <c r="G1833" s="54"/>
      <c r="H1833" s="54"/>
      <c r="I1833" s="54"/>
      <c r="J1833" s="54"/>
      <c r="K1833" s="54"/>
      <c r="L1833" s="54"/>
      <c r="M1833" s="54"/>
      <c r="N1833" s="54"/>
      <c r="O1833" s="54"/>
      <c r="P1833" s="54"/>
      <c r="Q1833" s="54"/>
      <c r="R1833" s="54"/>
      <c r="S1833" s="54"/>
      <c r="T1833" s="54"/>
      <c r="U1833" s="54"/>
      <c r="V1833" s="54"/>
      <c r="W1833" s="54"/>
      <c r="X1833" s="54"/>
      <c r="Y1833" s="54"/>
      <c r="Z1833" s="54"/>
      <c r="AA1833" s="54"/>
      <c r="AB1833" s="54"/>
      <c r="AC1833" s="54"/>
    </row>
    <row r="1834" ht="78.0" customHeight="1">
      <c r="A1834" s="26"/>
      <c r="B1834" s="26"/>
      <c r="C1834" s="28"/>
      <c r="D1834" s="825"/>
      <c r="E1834" s="28"/>
      <c r="F1834" s="28"/>
      <c r="G1834" s="28"/>
      <c r="H1834" s="28"/>
      <c r="I1834" s="28"/>
      <c r="J1834" s="28"/>
      <c r="K1834" s="28"/>
      <c r="L1834" s="28"/>
      <c r="M1834" s="28"/>
      <c r="N1834" s="28"/>
      <c r="O1834" s="28"/>
      <c r="P1834" s="28"/>
      <c r="Q1834" s="28"/>
      <c r="R1834" s="28"/>
      <c r="S1834" s="28"/>
      <c r="T1834" s="28"/>
      <c r="U1834" s="28"/>
      <c r="V1834" s="28"/>
      <c r="W1834" s="28"/>
      <c r="X1834" s="28"/>
      <c r="Y1834" s="28"/>
      <c r="Z1834" s="28"/>
      <c r="AA1834" s="28"/>
      <c r="AB1834" s="28"/>
      <c r="AC1834" s="28"/>
    </row>
    <row r="1835" ht="78.0" customHeight="1">
      <c r="A1835" s="52"/>
      <c r="B1835" s="52"/>
      <c r="C1835" s="54"/>
      <c r="D1835" s="855"/>
      <c r="E1835" s="54"/>
      <c r="F1835" s="54"/>
      <c r="G1835" s="54"/>
      <c r="H1835" s="54"/>
      <c r="I1835" s="54"/>
      <c r="J1835" s="54"/>
      <c r="K1835" s="54"/>
      <c r="L1835" s="54"/>
      <c r="M1835" s="54"/>
      <c r="N1835" s="54"/>
      <c r="O1835" s="54"/>
      <c r="P1835" s="54"/>
      <c r="Q1835" s="54"/>
      <c r="R1835" s="54"/>
      <c r="S1835" s="54"/>
      <c r="T1835" s="54"/>
      <c r="U1835" s="54"/>
      <c r="V1835" s="54"/>
      <c r="W1835" s="54"/>
      <c r="X1835" s="54"/>
      <c r="Y1835" s="54"/>
      <c r="Z1835" s="54"/>
      <c r="AA1835" s="54"/>
      <c r="AB1835" s="54"/>
      <c r="AC1835" s="54"/>
    </row>
    <row r="1836" ht="78.0" customHeight="1">
      <c r="A1836" s="26"/>
      <c r="B1836" s="26"/>
      <c r="C1836" s="28"/>
      <c r="D1836" s="825"/>
      <c r="E1836" s="28"/>
      <c r="F1836" s="28"/>
      <c r="G1836" s="28"/>
      <c r="H1836" s="28"/>
      <c r="I1836" s="28"/>
      <c r="J1836" s="28"/>
      <c r="K1836" s="28"/>
      <c r="L1836" s="28"/>
      <c r="M1836" s="28"/>
      <c r="N1836" s="28"/>
      <c r="O1836" s="28"/>
      <c r="P1836" s="28"/>
      <c r="Q1836" s="28"/>
      <c r="R1836" s="28"/>
      <c r="S1836" s="28"/>
      <c r="T1836" s="28"/>
      <c r="U1836" s="28"/>
      <c r="V1836" s="28"/>
      <c r="W1836" s="28"/>
      <c r="X1836" s="28"/>
      <c r="Y1836" s="28"/>
      <c r="Z1836" s="28"/>
      <c r="AA1836" s="28"/>
      <c r="AB1836" s="28"/>
      <c r="AC1836" s="28"/>
    </row>
    <row r="1837" ht="78.0" customHeight="1">
      <c r="A1837" s="52"/>
      <c r="B1837" s="52"/>
      <c r="C1837" s="54"/>
      <c r="D1837" s="855"/>
      <c r="E1837" s="54"/>
      <c r="F1837" s="54"/>
      <c r="G1837" s="54"/>
      <c r="H1837" s="54"/>
      <c r="I1837" s="54"/>
      <c r="J1837" s="54"/>
      <c r="K1837" s="54"/>
      <c r="L1837" s="54"/>
      <c r="M1837" s="54"/>
      <c r="N1837" s="54"/>
      <c r="O1837" s="54"/>
      <c r="P1837" s="54"/>
      <c r="Q1837" s="54"/>
      <c r="R1837" s="54"/>
      <c r="S1837" s="54"/>
      <c r="T1837" s="54"/>
      <c r="U1837" s="54"/>
      <c r="V1837" s="54"/>
      <c r="W1837" s="54"/>
      <c r="X1837" s="54"/>
      <c r="Y1837" s="54"/>
      <c r="Z1837" s="54"/>
      <c r="AA1837" s="54"/>
      <c r="AB1837" s="54"/>
      <c r="AC1837" s="54"/>
    </row>
    <row r="1838" ht="78.0" customHeight="1">
      <c r="A1838" s="26"/>
      <c r="B1838" s="26"/>
      <c r="C1838" s="28"/>
      <c r="D1838" s="825"/>
      <c r="E1838" s="28"/>
      <c r="F1838" s="28"/>
      <c r="G1838" s="28"/>
      <c r="H1838" s="28"/>
      <c r="I1838" s="28"/>
      <c r="J1838" s="28"/>
      <c r="K1838" s="28"/>
      <c r="L1838" s="28"/>
      <c r="M1838" s="28"/>
      <c r="N1838" s="28"/>
      <c r="O1838" s="28"/>
      <c r="P1838" s="28"/>
      <c r="Q1838" s="28"/>
      <c r="R1838" s="28"/>
      <c r="S1838" s="28"/>
      <c r="T1838" s="28"/>
      <c r="U1838" s="28"/>
      <c r="V1838" s="28"/>
      <c r="W1838" s="28"/>
      <c r="X1838" s="28"/>
      <c r="Y1838" s="28"/>
      <c r="Z1838" s="28"/>
      <c r="AA1838" s="28"/>
      <c r="AB1838" s="28"/>
      <c r="AC1838" s="28"/>
    </row>
    <row r="1839" ht="78.0" customHeight="1">
      <c r="A1839" s="52"/>
      <c r="B1839" s="52"/>
      <c r="C1839" s="54"/>
      <c r="D1839" s="855"/>
      <c r="E1839" s="54"/>
      <c r="F1839" s="54"/>
      <c r="G1839" s="54"/>
      <c r="H1839" s="54"/>
      <c r="I1839" s="54"/>
      <c r="J1839" s="54"/>
      <c r="K1839" s="54"/>
      <c r="L1839" s="54"/>
      <c r="M1839" s="54"/>
      <c r="N1839" s="54"/>
      <c r="O1839" s="54"/>
      <c r="P1839" s="54"/>
      <c r="Q1839" s="54"/>
      <c r="R1839" s="54"/>
      <c r="S1839" s="54"/>
      <c r="T1839" s="54"/>
      <c r="U1839" s="54"/>
      <c r="V1839" s="54"/>
      <c r="W1839" s="54"/>
      <c r="X1839" s="54"/>
      <c r="Y1839" s="54"/>
      <c r="Z1839" s="54"/>
      <c r="AA1839" s="54"/>
      <c r="AB1839" s="54"/>
      <c r="AC1839" s="54"/>
    </row>
    <row r="1840" ht="78.0" customHeight="1">
      <c r="A1840" s="26"/>
      <c r="B1840" s="26"/>
      <c r="C1840" s="28"/>
      <c r="D1840" s="825"/>
      <c r="E1840" s="28"/>
      <c r="F1840" s="28"/>
      <c r="G1840" s="28"/>
      <c r="H1840" s="28"/>
      <c r="I1840" s="28"/>
      <c r="J1840" s="28"/>
      <c r="K1840" s="28"/>
      <c r="L1840" s="28"/>
      <c r="M1840" s="28"/>
      <c r="N1840" s="28"/>
      <c r="O1840" s="28"/>
      <c r="P1840" s="28"/>
      <c r="Q1840" s="28"/>
      <c r="R1840" s="28"/>
      <c r="S1840" s="28"/>
      <c r="T1840" s="28"/>
      <c r="U1840" s="28"/>
      <c r="V1840" s="28"/>
      <c r="W1840" s="28"/>
      <c r="X1840" s="28"/>
      <c r="Y1840" s="28"/>
      <c r="Z1840" s="28"/>
      <c r="AA1840" s="28"/>
      <c r="AB1840" s="28"/>
      <c r="AC1840" s="28"/>
    </row>
    <row r="1841" ht="78.0" customHeight="1">
      <c r="A1841" s="52"/>
      <c r="B1841" s="52"/>
      <c r="C1841" s="54"/>
      <c r="D1841" s="855"/>
      <c r="E1841" s="54"/>
      <c r="F1841" s="54"/>
      <c r="G1841" s="54"/>
      <c r="H1841" s="54"/>
      <c r="I1841" s="54"/>
      <c r="J1841" s="54"/>
      <c r="K1841" s="54"/>
      <c r="L1841" s="54"/>
      <c r="M1841" s="54"/>
      <c r="N1841" s="54"/>
      <c r="O1841" s="54"/>
      <c r="P1841" s="54"/>
      <c r="Q1841" s="54"/>
      <c r="R1841" s="54"/>
      <c r="S1841" s="54"/>
      <c r="T1841" s="54"/>
      <c r="U1841" s="54"/>
      <c r="V1841" s="54"/>
      <c r="W1841" s="54"/>
      <c r="X1841" s="54"/>
      <c r="Y1841" s="54"/>
      <c r="Z1841" s="54"/>
      <c r="AA1841" s="54"/>
      <c r="AB1841" s="54"/>
      <c r="AC1841" s="54"/>
    </row>
    <row r="1842" ht="78.0" customHeight="1">
      <c r="A1842" s="26"/>
      <c r="B1842" s="26"/>
      <c r="C1842" s="28"/>
      <c r="D1842" s="825"/>
      <c r="E1842" s="28"/>
      <c r="F1842" s="28"/>
      <c r="G1842" s="28"/>
      <c r="H1842" s="28"/>
      <c r="I1842" s="28"/>
      <c r="J1842" s="28"/>
      <c r="K1842" s="28"/>
      <c r="L1842" s="28"/>
      <c r="M1842" s="28"/>
      <c r="N1842" s="28"/>
      <c r="O1842" s="28"/>
      <c r="P1842" s="28"/>
      <c r="Q1842" s="28"/>
      <c r="R1842" s="28"/>
      <c r="S1842" s="28"/>
      <c r="T1842" s="28"/>
      <c r="U1842" s="28"/>
      <c r="V1842" s="28"/>
      <c r="W1842" s="28"/>
      <c r="X1842" s="28"/>
      <c r="Y1842" s="28"/>
      <c r="Z1842" s="28"/>
      <c r="AA1842" s="28"/>
      <c r="AB1842" s="28"/>
      <c r="AC1842" s="28"/>
    </row>
    <row r="1843" ht="78.0" customHeight="1">
      <c r="A1843" s="52"/>
      <c r="B1843" s="52"/>
      <c r="C1843" s="54"/>
      <c r="D1843" s="855"/>
      <c r="E1843" s="54"/>
      <c r="F1843" s="54"/>
      <c r="G1843" s="54"/>
      <c r="H1843" s="54"/>
      <c r="I1843" s="54"/>
      <c r="J1843" s="54"/>
      <c r="K1843" s="54"/>
      <c r="L1843" s="54"/>
      <c r="M1843" s="54"/>
      <c r="N1843" s="54"/>
      <c r="O1843" s="54"/>
      <c r="P1843" s="54"/>
      <c r="Q1843" s="54"/>
      <c r="R1843" s="54"/>
      <c r="S1843" s="54"/>
      <c r="T1843" s="54"/>
      <c r="U1843" s="54"/>
      <c r="V1843" s="54"/>
      <c r="W1843" s="54"/>
      <c r="X1843" s="54"/>
      <c r="Y1843" s="54"/>
      <c r="Z1843" s="54"/>
      <c r="AA1843" s="54"/>
      <c r="AB1843" s="54"/>
      <c r="AC1843" s="54"/>
    </row>
    <row r="1844" ht="78.0" customHeight="1">
      <c r="A1844" s="26"/>
      <c r="B1844" s="26"/>
      <c r="C1844" s="28"/>
      <c r="D1844" s="825"/>
      <c r="E1844" s="28"/>
      <c r="F1844" s="28"/>
      <c r="G1844" s="28"/>
      <c r="H1844" s="28"/>
      <c r="I1844" s="28"/>
      <c r="J1844" s="28"/>
      <c r="K1844" s="28"/>
      <c r="L1844" s="28"/>
      <c r="M1844" s="28"/>
      <c r="N1844" s="28"/>
      <c r="O1844" s="28"/>
      <c r="P1844" s="28"/>
      <c r="Q1844" s="28"/>
      <c r="R1844" s="28"/>
      <c r="S1844" s="28"/>
      <c r="T1844" s="28"/>
      <c r="U1844" s="28"/>
      <c r="V1844" s="28"/>
      <c r="W1844" s="28"/>
      <c r="X1844" s="28"/>
      <c r="Y1844" s="28"/>
      <c r="Z1844" s="28"/>
      <c r="AA1844" s="28"/>
      <c r="AB1844" s="28"/>
      <c r="AC1844" s="28"/>
    </row>
    <row r="1845" ht="78.0" customHeight="1">
      <c r="A1845" s="52"/>
      <c r="B1845" s="52"/>
      <c r="C1845" s="54"/>
      <c r="D1845" s="855"/>
      <c r="E1845" s="54"/>
      <c r="F1845" s="54"/>
      <c r="G1845" s="54"/>
      <c r="H1845" s="54"/>
      <c r="I1845" s="54"/>
      <c r="J1845" s="54"/>
      <c r="K1845" s="54"/>
      <c r="L1845" s="54"/>
      <c r="M1845" s="54"/>
      <c r="N1845" s="54"/>
      <c r="O1845" s="54"/>
      <c r="P1845" s="54"/>
      <c r="Q1845" s="54"/>
      <c r="R1845" s="54"/>
      <c r="S1845" s="54"/>
      <c r="T1845" s="54"/>
      <c r="U1845" s="54"/>
      <c r="V1845" s="54"/>
      <c r="W1845" s="54"/>
      <c r="X1845" s="54"/>
      <c r="Y1845" s="54"/>
      <c r="Z1845" s="54"/>
      <c r="AA1845" s="54"/>
      <c r="AB1845" s="54"/>
      <c r="AC1845" s="54"/>
    </row>
    <row r="1846" ht="78.0" customHeight="1">
      <c r="A1846" s="26"/>
      <c r="B1846" s="26"/>
      <c r="C1846" s="28"/>
      <c r="D1846" s="825"/>
      <c r="E1846" s="28"/>
      <c r="F1846" s="28"/>
      <c r="G1846" s="28"/>
      <c r="H1846" s="28"/>
      <c r="I1846" s="28"/>
      <c r="J1846" s="28"/>
      <c r="K1846" s="28"/>
      <c r="L1846" s="28"/>
      <c r="M1846" s="28"/>
      <c r="N1846" s="28"/>
      <c r="O1846" s="28"/>
      <c r="P1846" s="28"/>
      <c r="Q1846" s="28"/>
      <c r="R1846" s="28"/>
      <c r="S1846" s="28"/>
      <c r="T1846" s="28"/>
      <c r="U1846" s="28"/>
      <c r="V1846" s="28"/>
      <c r="W1846" s="28"/>
      <c r="X1846" s="28"/>
      <c r="Y1846" s="28"/>
      <c r="Z1846" s="28"/>
      <c r="AA1846" s="28"/>
      <c r="AB1846" s="28"/>
      <c r="AC1846" s="28"/>
    </row>
    <row r="1847" ht="78.0" customHeight="1">
      <c r="A1847" s="52"/>
      <c r="B1847" s="52"/>
      <c r="C1847" s="54"/>
      <c r="D1847" s="855"/>
      <c r="E1847" s="54"/>
      <c r="F1847" s="54"/>
      <c r="G1847" s="54"/>
      <c r="H1847" s="54"/>
      <c r="I1847" s="54"/>
      <c r="J1847" s="54"/>
      <c r="K1847" s="54"/>
      <c r="L1847" s="54"/>
      <c r="M1847" s="54"/>
      <c r="N1847" s="54"/>
      <c r="O1847" s="54"/>
      <c r="P1847" s="54"/>
      <c r="Q1847" s="54"/>
      <c r="R1847" s="54"/>
      <c r="S1847" s="54"/>
      <c r="T1847" s="54"/>
      <c r="U1847" s="54"/>
      <c r="V1847" s="54"/>
      <c r="W1847" s="54"/>
      <c r="X1847" s="54"/>
      <c r="Y1847" s="54"/>
      <c r="Z1847" s="54"/>
      <c r="AA1847" s="54"/>
      <c r="AB1847" s="54"/>
      <c r="AC1847" s="54"/>
    </row>
    <row r="1848" ht="78.0" customHeight="1">
      <c r="A1848" s="26"/>
      <c r="B1848" s="26"/>
      <c r="C1848" s="28"/>
      <c r="D1848" s="825"/>
      <c r="E1848" s="28"/>
      <c r="F1848" s="28"/>
      <c r="G1848" s="28"/>
      <c r="H1848" s="28"/>
      <c r="I1848" s="28"/>
      <c r="J1848" s="28"/>
      <c r="K1848" s="28"/>
      <c r="L1848" s="28"/>
      <c r="M1848" s="28"/>
      <c r="N1848" s="28"/>
      <c r="O1848" s="28"/>
      <c r="P1848" s="28"/>
      <c r="Q1848" s="28"/>
      <c r="R1848" s="28"/>
      <c r="S1848" s="28"/>
      <c r="T1848" s="28"/>
      <c r="U1848" s="28"/>
      <c r="V1848" s="28"/>
      <c r="W1848" s="28"/>
      <c r="X1848" s="28"/>
      <c r="Y1848" s="28"/>
      <c r="Z1848" s="28"/>
      <c r="AA1848" s="28"/>
      <c r="AB1848" s="28"/>
      <c r="AC1848" s="28"/>
    </row>
    <row r="1849" ht="78.0" customHeight="1">
      <c r="A1849" s="52"/>
      <c r="B1849" s="52"/>
      <c r="C1849" s="54"/>
      <c r="D1849" s="855"/>
      <c r="E1849" s="54"/>
      <c r="F1849" s="54"/>
      <c r="G1849" s="54"/>
      <c r="H1849" s="54"/>
      <c r="I1849" s="54"/>
      <c r="J1849" s="54"/>
      <c r="K1849" s="54"/>
      <c r="L1849" s="54"/>
      <c r="M1849" s="54"/>
      <c r="N1849" s="54"/>
      <c r="O1849" s="54"/>
      <c r="P1849" s="54"/>
      <c r="Q1849" s="54"/>
      <c r="R1849" s="54"/>
      <c r="S1849" s="54"/>
      <c r="T1849" s="54"/>
      <c r="U1849" s="54"/>
      <c r="V1849" s="54"/>
      <c r="W1849" s="54"/>
      <c r="X1849" s="54"/>
      <c r="Y1849" s="54"/>
      <c r="Z1849" s="54"/>
      <c r="AA1849" s="54"/>
      <c r="AB1849" s="54"/>
      <c r="AC1849" s="54"/>
    </row>
    <row r="1850" ht="78.0" customHeight="1">
      <c r="A1850" s="26"/>
      <c r="B1850" s="26"/>
      <c r="C1850" s="28"/>
      <c r="D1850" s="825"/>
      <c r="E1850" s="28"/>
      <c r="F1850" s="28"/>
      <c r="G1850" s="28"/>
      <c r="H1850" s="28"/>
      <c r="I1850" s="28"/>
      <c r="J1850" s="28"/>
      <c r="K1850" s="28"/>
      <c r="L1850" s="28"/>
      <c r="M1850" s="28"/>
      <c r="N1850" s="28"/>
      <c r="O1850" s="28"/>
      <c r="P1850" s="28"/>
      <c r="Q1850" s="28"/>
      <c r="R1850" s="28"/>
      <c r="S1850" s="28"/>
      <c r="T1850" s="28"/>
      <c r="U1850" s="28"/>
      <c r="V1850" s="28"/>
      <c r="W1850" s="28"/>
      <c r="X1850" s="28"/>
      <c r="Y1850" s="28"/>
      <c r="Z1850" s="28"/>
      <c r="AA1850" s="28"/>
      <c r="AB1850" s="28"/>
      <c r="AC1850" s="28"/>
    </row>
    <row r="1851" ht="78.0" customHeight="1">
      <c r="A1851" s="52"/>
      <c r="B1851" s="52"/>
      <c r="C1851" s="54"/>
      <c r="D1851" s="855"/>
      <c r="E1851" s="54"/>
      <c r="F1851" s="54"/>
      <c r="G1851" s="54"/>
      <c r="H1851" s="54"/>
      <c r="I1851" s="54"/>
      <c r="J1851" s="54"/>
      <c r="K1851" s="54"/>
      <c r="L1851" s="54"/>
      <c r="M1851" s="54"/>
      <c r="N1851" s="54"/>
      <c r="O1851" s="54"/>
      <c r="P1851" s="54"/>
      <c r="Q1851" s="54"/>
      <c r="R1851" s="54"/>
      <c r="S1851" s="54"/>
      <c r="T1851" s="54"/>
      <c r="U1851" s="54"/>
      <c r="V1851" s="54"/>
      <c r="W1851" s="54"/>
      <c r="X1851" s="54"/>
      <c r="Y1851" s="54"/>
      <c r="Z1851" s="54"/>
      <c r="AA1851" s="54"/>
      <c r="AB1851" s="54"/>
      <c r="AC1851" s="54"/>
    </row>
    <row r="1852" ht="78.0" customHeight="1">
      <c r="A1852" s="26"/>
      <c r="B1852" s="26"/>
      <c r="C1852" s="28"/>
      <c r="D1852" s="825"/>
      <c r="E1852" s="28"/>
      <c r="F1852" s="28"/>
      <c r="G1852" s="28"/>
      <c r="H1852" s="28"/>
      <c r="I1852" s="28"/>
      <c r="J1852" s="28"/>
      <c r="K1852" s="28"/>
      <c r="L1852" s="28"/>
      <c r="M1852" s="28"/>
      <c r="N1852" s="28"/>
      <c r="O1852" s="28"/>
      <c r="P1852" s="28"/>
      <c r="Q1852" s="28"/>
      <c r="R1852" s="28"/>
      <c r="S1852" s="28"/>
      <c r="T1852" s="28"/>
      <c r="U1852" s="28"/>
      <c r="V1852" s="28"/>
      <c r="W1852" s="28"/>
      <c r="X1852" s="28"/>
      <c r="Y1852" s="28"/>
      <c r="Z1852" s="28"/>
      <c r="AA1852" s="28"/>
      <c r="AB1852" s="28"/>
      <c r="AC1852" s="28"/>
    </row>
    <row r="1853" ht="78.0" customHeight="1">
      <c r="A1853" s="52"/>
      <c r="B1853" s="52"/>
      <c r="C1853" s="54"/>
      <c r="D1853" s="855"/>
      <c r="E1853" s="54"/>
      <c r="F1853" s="54"/>
      <c r="G1853" s="54"/>
      <c r="H1853" s="54"/>
      <c r="I1853" s="54"/>
      <c r="J1853" s="54"/>
      <c r="K1853" s="54"/>
      <c r="L1853" s="54"/>
      <c r="M1853" s="54"/>
      <c r="N1853" s="54"/>
      <c r="O1853" s="54"/>
      <c r="P1853" s="54"/>
      <c r="Q1853" s="54"/>
      <c r="R1853" s="54"/>
      <c r="S1853" s="54"/>
      <c r="T1853" s="54"/>
      <c r="U1853" s="54"/>
      <c r="V1853" s="54"/>
      <c r="W1853" s="54"/>
      <c r="X1853" s="54"/>
      <c r="Y1853" s="54"/>
      <c r="Z1853" s="54"/>
      <c r="AA1853" s="54"/>
      <c r="AB1853" s="54"/>
      <c r="AC1853" s="54"/>
    </row>
    <row r="1854" ht="78.0" customHeight="1">
      <c r="A1854" s="26"/>
      <c r="B1854" s="26"/>
      <c r="C1854" s="28"/>
      <c r="D1854" s="825"/>
      <c r="E1854" s="28"/>
      <c r="F1854" s="28"/>
      <c r="G1854" s="28"/>
      <c r="H1854" s="28"/>
      <c r="I1854" s="28"/>
      <c r="J1854" s="28"/>
      <c r="K1854" s="28"/>
      <c r="L1854" s="28"/>
      <c r="M1854" s="28"/>
      <c r="N1854" s="28"/>
      <c r="O1854" s="28"/>
      <c r="P1854" s="28"/>
      <c r="Q1854" s="28"/>
      <c r="R1854" s="28"/>
      <c r="S1854" s="28"/>
      <c r="T1854" s="28"/>
      <c r="U1854" s="28"/>
      <c r="V1854" s="28"/>
      <c r="W1854" s="28"/>
      <c r="X1854" s="28"/>
      <c r="Y1854" s="28"/>
      <c r="Z1854" s="28"/>
      <c r="AA1854" s="28"/>
      <c r="AB1854" s="28"/>
      <c r="AC1854" s="28"/>
    </row>
    <row r="1855" ht="78.0" customHeight="1">
      <c r="A1855" s="52"/>
      <c r="B1855" s="52"/>
      <c r="C1855" s="54"/>
      <c r="D1855" s="855"/>
      <c r="E1855" s="54"/>
      <c r="F1855" s="54"/>
      <c r="G1855" s="54"/>
      <c r="H1855" s="54"/>
      <c r="I1855" s="54"/>
      <c r="J1855" s="54"/>
      <c r="K1855" s="54"/>
      <c r="L1855" s="54"/>
      <c r="M1855" s="54"/>
      <c r="N1855" s="54"/>
      <c r="O1855" s="54"/>
      <c r="P1855" s="54"/>
      <c r="Q1855" s="54"/>
      <c r="R1855" s="54"/>
      <c r="S1855" s="54"/>
      <c r="T1855" s="54"/>
      <c r="U1855" s="54"/>
      <c r="V1855" s="54"/>
      <c r="W1855" s="54"/>
      <c r="X1855" s="54"/>
      <c r="Y1855" s="54"/>
      <c r="Z1855" s="54"/>
      <c r="AA1855" s="54"/>
      <c r="AB1855" s="54"/>
      <c r="AC1855" s="54"/>
    </row>
    <row r="1856" ht="78.0" customHeight="1">
      <c r="A1856" s="26"/>
      <c r="B1856" s="26"/>
      <c r="C1856" s="28"/>
      <c r="D1856" s="825"/>
      <c r="E1856" s="28"/>
      <c r="F1856" s="28"/>
      <c r="G1856" s="28"/>
      <c r="H1856" s="28"/>
      <c r="I1856" s="28"/>
      <c r="J1856" s="28"/>
      <c r="K1856" s="28"/>
      <c r="L1856" s="28"/>
      <c r="M1856" s="28"/>
      <c r="N1856" s="28"/>
      <c r="O1856" s="28"/>
      <c r="P1856" s="28"/>
      <c r="Q1856" s="28"/>
      <c r="R1856" s="28"/>
      <c r="S1856" s="28"/>
      <c r="T1856" s="28"/>
      <c r="U1856" s="28"/>
      <c r="V1856" s="28"/>
      <c r="W1856" s="28"/>
      <c r="X1856" s="28"/>
      <c r="Y1856" s="28"/>
      <c r="Z1856" s="28"/>
      <c r="AA1856" s="28"/>
      <c r="AB1856" s="28"/>
      <c r="AC1856" s="28"/>
    </row>
    <row r="1857" ht="78.0" customHeight="1">
      <c r="A1857" s="52"/>
      <c r="B1857" s="52"/>
      <c r="C1857" s="54"/>
      <c r="D1857" s="855"/>
      <c r="E1857" s="54"/>
      <c r="F1857" s="54"/>
      <c r="G1857" s="54"/>
      <c r="H1857" s="54"/>
      <c r="I1857" s="54"/>
      <c r="J1857" s="54"/>
      <c r="K1857" s="54"/>
      <c r="L1857" s="54"/>
      <c r="M1857" s="54"/>
      <c r="N1857" s="54"/>
      <c r="O1857" s="54"/>
      <c r="P1857" s="54"/>
      <c r="Q1857" s="54"/>
      <c r="R1857" s="54"/>
      <c r="S1857" s="54"/>
      <c r="T1857" s="54"/>
      <c r="U1857" s="54"/>
      <c r="V1857" s="54"/>
      <c r="W1857" s="54"/>
      <c r="X1857" s="54"/>
      <c r="Y1857" s="54"/>
      <c r="Z1857" s="54"/>
      <c r="AA1857" s="54"/>
      <c r="AB1857" s="54"/>
      <c r="AC1857" s="54"/>
    </row>
    <row r="1858" ht="78.0" customHeight="1">
      <c r="A1858" s="26"/>
      <c r="B1858" s="26"/>
      <c r="C1858" s="28"/>
      <c r="D1858" s="825"/>
      <c r="E1858" s="28"/>
      <c r="F1858" s="28"/>
      <c r="G1858" s="28"/>
      <c r="H1858" s="28"/>
      <c r="I1858" s="28"/>
      <c r="J1858" s="28"/>
      <c r="K1858" s="28"/>
      <c r="L1858" s="28"/>
      <c r="M1858" s="28"/>
      <c r="N1858" s="28"/>
      <c r="O1858" s="28"/>
      <c r="P1858" s="28"/>
      <c r="Q1858" s="28"/>
      <c r="R1858" s="28"/>
      <c r="S1858" s="28"/>
      <c r="T1858" s="28"/>
      <c r="U1858" s="28"/>
      <c r="V1858" s="28"/>
      <c r="W1858" s="28"/>
      <c r="X1858" s="28"/>
      <c r="Y1858" s="28"/>
      <c r="Z1858" s="28"/>
      <c r="AA1858" s="28"/>
      <c r="AB1858" s="28"/>
      <c r="AC1858" s="28"/>
    </row>
    <row r="1859" ht="78.0" customHeight="1">
      <c r="A1859" s="52"/>
      <c r="B1859" s="52"/>
      <c r="C1859" s="54"/>
      <c r="D1859" s="855"/>
      <c r="E1859" s="54"/>
      <c r="F1859" s="54"/>
      <c r="G1859" s="54"/>
      <c r="H1859" s="54"/>
      <c r="I1859" s="54"/>
      <c r="J1859" s="54"/>
      <c r="K1859" s="54"/>
      <c r="L1859" s="54"/>
      <c r="M1859" s="54"/>
      <c r="N1859" s="54"/>
      <c r="O1859" s="54"/>
      <c r="P1859" s="54"/>
      <c r="Q1859" s="54"/>
      <c r="R1859" s="54"/>
      <c r="S1859" s="54"/>
      <c r="T1859" s="54"/>
      <c r="U1859" s="54"/>
      <c r="V1859" s="54"/>
      <c r="W1859" s="54"/>
      <c r="X1859" s="54"/>
      <c r="Y1859" s="54"/>
      <c r="Z1859" s="54"/>
      <c r="AA1859" s="54"/>
      <c r="AB1859" s="54"/>
      <c r="AC1859" s="54"/>
    </row>
    <row r="1860" ht="78.0" customHeight="1">
      <c r="A1860" s="26"/>
      <c r="B1860" s="26"/>
      <c r="C1860" s="28"/>
      <c r="D1860" s="825"/>
      <c r="E1860" s="28"/>
      <c r="F1860" s="28"/>
      <c r="G1860" s="28"/>
      <c r="H1860" s="28"/>
      <c r="I1860" s="28"/>
      <c r="J1860" s="28"/>
      <c r="K1860" s="28"/>
      <c r="L1860" s="28"/>
      <c r="M1860" s="28"/>
      <c r="N1860" s="28"/>
      <c r="O1860" s="28"/>
      <c r="P1860" s="28"/>
      <c r="Q1860" s="28"/>
      <c r="R1860" s="28"/>
      <c r="S1860" s="28"/>
      <c r="T1860" s="28"/>
      <c r="U1860" s="28"/>
      <c r="V1860" s="28"/>
      <c r="W1860" s="28"/>
      <c r="X1860" s="28"/>
      <c r="Y1860" s="28"/>
      <c r="Z1860" s="28"/>
      <c r="AA1860" s="28"/>
      <c r="AB1860" s="28"/>
      <c r="AC1860" s="28"/>
    </row>
    <row r="1861" ht="78.0" customHeight="1">
      <c r="A1861" s="52"/>
      <c r="B1861" s="52"/>
      <c r="C1861" s="54"/>
      <c r="D1861" s="855"/>
      <c r="E1861" s="54"/>
      <c r="F1861" s="54"/>
      <c r="G1861" s="54"/>
      <c r="H1861" s="54"/>
      <c r="I1861" s="54"/>
      <c r="J1861" s="54"/>
      <c r="K1861" s="54"/>
      <c r="L1861" s="54"/>
      <c r="M1861" s="54"/>
      <c r="N1861" s="54"/>
      <c r="O1861" s="54"/>
      <c r="P1861" s="54"/>
      <c r="Q1861" s="54"/>
      <c r="R1861" s="54"/>
      <c r="S1861" s="54"/>
      <c r="T1861" s="54"/>
      <c r="U1861" s="54"/>
      <c r="V1861" s="54"/>
      <c r="W1861" s="54"/>
      <c r="X1861" s="54"/>
      <c r="Y1861" s="54"/>
      <c r="Z1861" s="54"/>
      <c r="AA1861" s="54"/>
      <c r="AB1861" s="54"/>
      <c r="AC1861" s="54"/>
    </row>
    <row r="1862" ht="78.0" customHeight="1">
      <c r="A1862" s="26"/>
      <c r="B1862" s="26"/>
      <c r="C1862" s="28"/>
      <c r="D1862" s="825"/>
      <c r="E1862" s="28"/>
      <c r="F1862" s="28"/>
      <c r="G1862" s="28"/>
      <c r="H1862" s="28"/>
      <c r="I1862" s="28"/>
      <c r="J1862" s="28"/>
      <c r="K1862" s="28"/>
      <c r="L1862" s="28"/>
      <c r="M1862" s="28"/>
      <c r="N1862" s="28"/>
      <c r="O1862" s="28"/>
      <c r="P1862" s="28"/>
      <c r="Q1862" s="28"/>
      <c r="R1862" s="28"/>
      <c r="S1862" s="28"/>
      <c r="T1862" s="28"/>
      <c r="U1862" s="28"/>
      <c r="V1862" s="28"/>
      <c r="W1862" s="28"/>
      <c r="X1862" s="28"/>
      <c r="Y1862" s="28"/>
      <c r="Z1862" s="28"/>
      <c r="AA1862" s="28"/>
      <c r="AB1862" s="28"/>
      <c r="AC1862" s="28"/>
    </row>
    <row r="1863" ht="78.0" customHeight="1">
      <c r="A1863" s="52"/>
      <c r="B1863" s="52"/>
      <c r="C1863" s="54"/>
      <c r="D1863" s="855"/>
      <c r="E1863" s="54"/>
      <c r="F1863" s="54"/>
      <c r="G1863" s="54"/>
      <c r="H1863" s="54"/>
      <c r="I1863" s="54"/>
      <c r="J1863" s="54"/>
      <c r="K1863" s="54"/>
      <c r="L1863" s="54"/>
      <c r="M1863" s="54"/>
      <c r="N1863" s="54"/>
      <c r="O1863" s="54"/>
      <c r="P1863" s="54"/>
      <c r="Q1863" s="54"/>
      <c r="R1863" s="54"/>
      <c r="S1863" s="54"/>
      <c r="T1863" s="54"/>
      <c r="U1863" s="54"/>
      <c r="V1863" s="54"/>
      <c r="W1863" s="54"/>
      <c r="X1863" s="54"/>
      <c r="Y1863" s="54"/>
      <c r="Z1863" s="54"/>
      <c r="AA1863" s="54"/>
      <c r="AB1863" s="54"/>
      <c r="AC1863" s="54"/>
    </row>
    <row r="1864" ht="78.0" customHeight="1">
      <c r="A1864" s="26"/>
      <c r="B1864" s="26"/>
      <c r="C1864" s="28"/>
      <c r="D1864" s="825"/>
      <c r="E1864" s="28"/>
      <c r="F1864" s="28"/>
      <c r="G1864" s="28"/>
      <c r="H1864" s="28"/>
      <c r="I1864" s="28"/>
      <c r="J1864" s="28"/>
      <c r="K1864" s="28"/>
      <c r="L1864" s="28"/>
      <c r="M1864" s="28"/>
      <c r="N1864" s="28"/>
      <c r="O1864" s="28"/>
      <c r="P1864" s="28"/>
      <c r="Q1864" s="28"/>
      <c r="R1864" s="28"/>
      <c r="S1864" s="28"/>
      <c r="T1864" s="28"/>
      <c r="U1864" s="28"/>
      <c r="V1864" s="28"/>
      <c r="W1864" s="28"/>
      <c r="X1864" s="28"/>
      <c r="Y1864" s="28"/>
      <c r="Z1864" s="28"/>
      <c r="AA1864" s="28"/>
      <c r="AB1864" s="28"/>
      <c r="AC1864" s="28"/>
    </row>
    <row r="1865" ht="78.0" customHeight="1">
      <c r="A1865" s="52"/>
      <c r="B1865" s="52"/>
      <c r="C1865" s="54"/>
      <c r="D1865" s="855"/>
      <c r="E1865" s="54"/>
      <c r="F1865" s="54"/>
      <c r="G1865" s="54"/>
      <c r="H1865" s="54"/>
      <c r="I1865" s="54"/>
      <c r="J1865" s="54"/>
      <c r="K1865" s="54"/>
      <c r="L1865" s="54"/>
      <c r="M1865" s="54"/>
      <c r="N1865" s="54"/>
      <c r="O1865" s="54"/>
      <c r="P1865" s="54"/>
      <c r="Q1865" s="54"/>
      <c r="R1865" s="54"/>
      <c r="S1865" s="54"/>
      <c r="T1865" s="54"/>
      <c r="U1865" s="54"/>
      <c r="V1865" s="54"/>
      <c r="W1865" s="54"/>
      <c r="X1865" s="54"/>
      <c r="Y1865" s="54"/>
      <c r="Z1865" s="54"/>
      <c r="AA1865" s="54"/>
      <c r="AB1865" s="54"/>
      <c r="AC1865" s="54"/>
    </row>
    <row r="1866" ht="78.0" customHeight="1">
      <c r="A1866" s="26"/>
      <c r="B1866" s="26"/>
      <c r="C1866" s="28"/>
      <c r="D1866" s="825"/>
      <c r="E1866" s="28"/>
      <c r="F1866" s="28"/>
      <c r="G1866" s="28"/>
      <c r="H1866" s="28"/>
      <c r="I1866" s="28"/>
      <c r="J1866" s="28"/>
      <c r="K1866" s="28"/>
      <c r="L1866" s="28"/>
      <c r="M1866" s="28"/>
      <c r="N1866" s="28"/>
      <c r="O1866" s="28"/>
      <c r="P1866" s="28"/>
      <c r="Q1866" s="28"/>
      <c r="R1866" s="28"/>
      <c r="S1866" s="28"/>
      <c r="T1866" s="28"/>
      <c r="U1866" s="28"/>
      <c r="V1866" s="28"/>
      <c r="W1866" s="28"/>
      <c r="X1866" s="28"/>
      <c r="Y1866" s="28"/>
      <c r="Z1866" s="28"/>
      <c r="AA1866" s="28"/>
      <c r="AB1866" s="28"/>
      <c r="AC1866" s="28"/>
    </row>
    <row r="1867" ht="78.0" customHeight="1">
      <c r="A1867" s="52"/>
      <c r="B1867" s="52"/>
      <c r="C1867" s="54"/>
      <c r="D1867" s="855"/>
      <c r="E1867" s="54"/>
      <c r="F1867" s="54"/>
      <c r="G1867" s="54"/>
      <c r="H1867" s="54"/>
      <c r="I1867" s="54"/>
      <c r="J1867" s="54"/>
      <c r="K1867" s="54"/>
      <c r="L1867" s="54"/>
      <c r="M1867" s="54"/>
      <c r="N1867" s="54"/>
      <c r="O1867" s="54"/>
      <c r="P1867" s="54"/>
      <c r="Q1867" s="54"/>
      <c r="R1867" s="54"/>
      <c r="S1867" s="54"/>
      <c r="T1867" s="54"/>
      <c r="U1867" s="54"/>
      <c r="V1867" s="54"/>
      <c r="W1867" s="54"/>
      <c r="X1867" s="54"/>
      <c r="Y1867" s="54"/>
      <c r="Z1867" s="54"/>
      <c r="AA1867" s="54"/>
      <c r="AB1867" s="54"/>
      <c r="AC1867" s="54"/>
    </row>
    <row r="1868" ht="78.0" customHeight="1">
      <c r="A1868" s="26"/>
      <c r="B1868" s="26"/>
      <c r="C1868" s="28"/>
      <c r="D1868" s="825"/>
      <c r="E1868" s="28"/>
      <c r="F1868" s="28"/>
      <c r="G1868" s="28"/>
      <c r="H1868" s="28"/>
      <c r="I1868" s="28"/>
      <c r="J1868" s="28"/>
      <c r="K1868" s="28"/>
      <c r="L1868" s="28"/>
      <c r="M1868" s="28"/>
      <c r="N1868" s="28"/>
      <c r="O1868" s="28"/>
      <c r="P1868" s="28"/>
      <c r="Q1868" s="28"/>
      <c r="R1868" s="28"/>
      <c r="S1868" s="28"/>
      <c r="T1868" s="28"/>
      <c r="U1868" s="28"/>
      <c r="V1868" s="28"/>
      <c r="W1868" s="28"/>
      <c r="X1868" s="28"/>
      <c r="Y1868" s="28"/>
      <c r="Z1868" s="28"/>
      <c r="AA1868" s="28"/>
      <c r="AB1868" s="28"/>
      <c r="AC1868" s="28"/>
    </row>
    <row r="1869" ht="78.0" customHeight="1">
      <c r="A1869" s="52"/>
      <c r="B1869" s="52"/>
      <c r="C1869" s="54"/>
      <c r="D1869" s="855"/>
      <c r="E1869" s="54"/>
      <c r="F1869" s="54"/>
      <c r="G1869" s="54"/>
      <c r="H1869" s="54"/>
      <c r="I1869" s="54"/>
      <c r="J1869" s="54"/>
      <c r="K1869" s="54"/>
      <c r="L1869" s="54"/>
      <c r="M1869" s="54"/>
      <c r="N1869" s="54"/>
      <c r="O1869" s="54"/>
      <c r="P1869" s="54"/>
      <c r="Q1869" s="54"/>
      <c r="R1869" s="54"/>
      <c r="S1869" s="54"/>
      <c r="T1869" s="54"/>
      <c r="U1869" s="54"/>
      <c r="V1869" s="54"/>
      <c r="W1869" s="54"/>
      <c r="X1869" s="54"/>
      <c r="Y1869" s="54"/>
      <c r="Z1869" s="54"/>
      <c r="AA1869" s="54"/>
      <c r="AB1869" s="54"/>
      <c r="AC1869" s="54"/>
    </row>
    <row r="1870" ht="78.0" customHeight="1">
      <c r="A1870" s="26"/>
      <c r="B1870" s="26"/>
      <c r="C1870" s="28"/>
      <c r="D1870" s="825"/>
      <c r="E1870" s="28"/>
      <c r="F1870" s="28"/>
      <c r="G1870" s="28"/>
      <c r="H1870" s="28"/>
      <c r="I1870" s="28"/>
      <c r="J1870" s="28"/>
      <c r="K1870" s="28"/>
      <c r="L1870" s="28"/>
      <c r="M1870" s="28"/>
      <c r="N1870" s="28"/>
      <c r="O1870" s="28"/>
      <c r="P1870" s="28"/>
      <c r="Q1870" s="28"/>
      <c r="R1870" s="28"/>
      <c r="S1870" s="28"/>
      <c r="T1870" s="28"/>
      <c r="U1870" s="28"/>
      <c r="V1870" s="28"/>
      <c r="W1870" s="28"/>
      <c r="X1870" s="28"/>
      <c r="Y1870" s="28"/>
      <c r="Z1870" s="28"/>
      <c r="AA1870" s="28"/>
      <c r="AB1870" s="28"/>
      <c r="AC1870" s="28"/>
    </row>
    <row r="1871" ht="78.0" customHeight="1">
      <c r="A1871" s="52"/>
      <c r="B1871" s="52"/>
      <c r="C1871" s="54"/>
      <c r="D1871" s="855"/>
      <c r="E1871" s="54"/>
      <c r="F1871" s="54"/>
      <c r="G1871" s="54"/>
      <c r="H1871" s="54"/>
      <c r="I1871" s="54"/>
      <c r="J1871" s="54"/>
      <c r="K1871" s="54"/>
      <c r="L1871" s="54"/>
      <c r="M1871" s="54"/>
      <c r="N1871" s="54"/>
      <c r="O1871" s="54"/>
      <c r="P1871" s="54"/>
      <c r="Q1871" s="54"/>
      <c r="R1871" s="54"/>
      <c r="S1871" s="54"/>
      <c r="T1871" s="54"/>
      <c r="U1871" s="54"/>
      <c r="V1871" s="54"/>
      <c r="W1871" s="54"/>
      <c r="X1871" s="54"/>
      <c r="Y1871" s="54"/>
      <c r="Z1871" s="54"/>
      <c r="AA1871" s="54"/>
      <c r="AB1871" s="54"/>
      <c r="AC1871" s="54"/>
    </row>
    <row r="1872" ht="78.0" customHeight="1">
      <c r="A1872" s="26"/>
      <c r="B1872" s="26"/>
      <c r="C1872" s="28"/>
      <c r="D1872" s="825"/>
      <c r="E1872" s="28"/>
      <c r="F1872" s="28"/>
      <c r="G1872" s="28"/>
      <c r="H1872" s="28"/>
      <c r="I1872" s="28"/>
      <c r="J1872" s="28"/>
      <c r="K1872" s="28"/>
      <c r="L1872" s="28"/>
      <c r="M1872" s="28"/>
      <c r="N1872" s="28"/>
      <c r="O1872" s="28"/>
      <c r="P1872" s="28"/>
      <c r="Q1872" s="28"/>
      <c r="R1872" s="28"/>
      <c r="S1872" s="28"/>
      <c r="T1872" s="28"/>
      <c r="U1872" s="28"/>
      <c r="V1872" s="28"/>
      <c r="W1872" s="28"/>
      <c r="X1872" s="28"/>
      <c r="Y1872" s="28"/>
      <c r="Z1872" s="28"/>
      <c r="AA1872" s="28"/>
      <c r="AB1872" s="28"/>
      <c r="AC1872" s="28"/>
    </row>
    <row r="1873" ht="78.0" customHeight="1">
      <c r="A1873" s="52"/>
      <c r="B1873" s="52"/>
      <c r="C1873" s="54"/>
      <c r="D1873" s="855"/>
      <c r="E1873" s="54"/>
      <c r="F1873" s="54"/>
      <c r="G1873" s="54"/>
      <c r="H1873" s="54"/>
      <c r="I1873" s="54"/>
      <c r="J1873" s="54"/>
      <c r="K1873" s="54"/>
      <c r="L1873" s="54"/>
      <c r="M1873" s="54"/>
      <c r="N1873" s="54"/>
      <c r="O1873" s="54"/>
      <c r="P1873" s="54"/>
      <c r="Q1873" s="54"/>
      <c r="R1873" s="54"/>
      <c r="S1873" s="54"/>
      <c r="T1873" s="54"/>
      <c r="U1873" s="54"/>
      <c r="V1873" s="54"/>
      <c r="W1873" s="54"/>
      <c r="X1873" s="54"/>
      <c r="Y1873" s="54"/>
      <c r="Z1873" s="54"/>
      <c r="AA1873" s="54"/>
      <c r="AB1873" s="54"/>
      <c r="AC1873" s="54"/>
    </row>
    <row r="1874" ht="78.0" customHeight="1">
      <c r="A1874" s="26"/>
      <c r="B1874" s="26"/>
      <c r="C1874" s="28"/>
      <c r="D1874" s="825"/>
      <c r="E1874" s="28"/>
      <c r="F1874" s="28"/>
      <c r="G1874" s="28"/>
      <c r="H1874" s="28"/>
      <c r="I1874" s="28"/>
      <c r="J1874" s="28"/>
      <c r="K1874" s="28"/>
      <c r="L1874" s="28"/>
      <c r="M1874" s="28"/>
      <c r="N1874" s="28"/>
      <c r="O1874" s="28"/>
      <c r="P1874" s="28"/>
      <c r="Q1874" s="28"/>
      <c r="R1874" s="28"/>
      <c r="S1874" s="28"/>
      <c r="T1874" s="28"/>
      <c r="U1874" s="28"/>
      <c r="V1874" s="28"/>
      <c r="W1874" s="28"/>
      <c r="X1874" s="28"/>
      <c r="Y1874" s="28"/>
      <c r="Z1874" s="28"/>
      <c r="AA1874" s="28"/>
      <c r="AB1874" s="28"/>
      <c r="AC1874" s="28"/>
    </row>
    <row r="1875" ht="78.0" customHeight="1">
      <c r="A1875" s="52"/>
      <c r="B1875" s="52"/>
      <c r="C1875" s="54"/>
      <c r="D1875" s="855"/>
      <c r="E1875" s="54"/>
      <c r="F1875" s="54"/>
      <c r="G1875" s="54"/>
      <c r="H1875" s="54"/>
      <c r="I1875" s="54"/>
      <c r="J1875" s="54"/>
      <c r="K1875" s="54"/>
      <c r="L1875" s="54"/>
      <c r="M1875" s="54"/>
      <c r="N1875" s="54"/>
      <c r="O1875" s="54"/>
      <c r="P1875" s="54"/>
      <c r="Q1875" s="54"/>
      <c r="R1875" s="54"/>
      <c r="S1875" s="54"/>
      <c r="T1875" s="54"/>
      <c r="U1875" s="54"/>
      <c r="V1875" s="54"/>
      <c r="W1875" s="54"/>
      <c r="X1875" s="54"/>
      <c r="Y1875" s="54"/>
      <c r="Z1875" s="54"/>
      <c r="AA1875" s="54"/>
      <c r="AB1875" s="54"/>
      <c r="AC1875" s="54"/>
    </row>
    <row r="1876" ht="78.0" customHeight="1">
      <c r="A1876" s="26"/>
      <c r="B1876" s="26"/>
      <c r="C1876" s="28"/>
      <c r="D1876" s="825"/>
      <c r="E1876" s="28"/>
      <c r="F1876" s="28"/>
      <c r="G1876" s="28"/>
      <c r="H1876" s="28"/>
      <c r="I1876" s="28"/>
      <c r="J1876" s="28"/>
      <c r="K1876" s="28"/>
      <c r="L1876" s="28"/>
      <c r="M1876" s="28"/>
      <c r="N1876" s="28"/>
      <c r="O1876" s="28"/>
      <c r="P1876" s="28"/>
      <c r="Q1876" s="28"/>
      <c r="R1876" s="28"/>
      <c r="S1876" s="28"/>
      <c r="T1876" s="28"/>
      <c r="U1876" s="28"/>
      <c r="V1876" s="28"/>
      <c r="W1876" s="28"/>
      <c r="X1876" s="28"/>
      <c r="Y1876" s="28"/>
      <c r="Z1876" s="28"/>
      <c r="AA1876" s="28"/>
      <c r="AB1876" s="28"/>
      <c r="AC1876" s="28"/>
    </row>
    <row r="1877" ht="78.0" customHeight="1">
      <c r="A1877" s="52"/>
      <c r="B1877" s="52"/>
      <c r="C1877" s="54"/>
      <c r="D1877" s="855"/>
      <c r="E1877" s="54"/>
      <c r="F1877" s="54"/>
      <c r="G1877" s="54"/>
      <c r="H1877" s="54"/>
      <c r="I1877" s="54"/>
      <c r="J1877" s="54"/>
      <c r="K1877" s="54"/>
      <c r="L1877" s="54"/>
      <c r="M1877" s="54"/>
      <c r="N1877" s="54"/>
      <c r="O1877" s="54"/>
      <c r="P1877" s="54"/>
      <c r="Q1877" s="54"/>
      <c r="R1877" s="54"/>
      <c r="S1877" s="54"/>
      <c r="T1877" s="54"/>
      <c r="U1877" s="54"/>
      <c r="V1877" s="54"/>
      <c r="W1877" s="54"/>
      <c r="X1877" s="54"/>
      <c r="Y1877" s="54"/>
      <c r="Z1877" s="54"/>
      <c r="AA1877" s="54"/>
      <c r="AB1877" s="54"/>
      <c r="AC1877" s="54"/>
    </row>
    <row r="1878" ht="78.0" customHeight="1">
      <c r="A1878" s="26"/>
      <c r="B1878" s="26"/>
      <c r="C1878" s="28"/>
      <c r="D1878" s="825"/>
      <c r="E1878" s="28"/>
      <c r="F1878" s="28"/>
      <c r="G1878" s="28"/>
      <c r="H1878" s="28"/>
      <c r="I1878" s="28"/>
      <c r="J1878" s="28"/>
      <c r="K1878" s="28"/>
      <c r="L1878" s="28"/>
      <c r="M1878" s="28"/>
      <c r="N1878" s="28"/>
      <c r="O1878" s="28"/>
      <c r="P1878" s="28"/>
      <c r="Q1878" s="28"/>
      <c r="R1878" s="28"/>
      <c r="S1878" s="28"/>
      <c r="T1878" s="28"/>
      <c r="U1878" s="28"/>
      <c r="V1878" s="28"/>
      <c r="W1878" s="28"/>
      <c r="X1878" s="28"/>
      <c r="Y1878" s="28"/>
      <c r="Z1878" s="28"/>
      <c r="AA1878" s="28"/>
      <c r="AB1878" s="28"/>
      <c r="AC1878" s="28"/>
    </row>
    <row r="1879" ht="78.0" customHeight="1">
      <c r="A1879" s="52"/>
      <c r="B1879" s="52"/>
      <c r="C1879" s="54"/>
      <c r="D1879" s="855"/>
      <c r="E1879" s="54"/>
      <c r="F1879" s="54"/>
      <c r="G1879" s="54"/>
      <c r="H1879" s="54"/>
      <c r="I1879" s="54"/>
      <c r="J1879" s="54"/>
      <c r="K1879" s="54"/>
      <c r="L1879" s="54"/>
      <c r="M1879" s="54"/>
      <c r="N1879" s="54"/>
      <c r="O1879" s="54"/>
      <c r="P1879" s="54"/>
      <c r="Q1879" s="54"/>
      <c r="R1879" s="54"/>
      <c r="S1879" s="54"/>
      <c r="T1879" s="54"/>
      <c r="U1879" s="54"/>
      <c r="V1879" s="54"/>
      <c r="W1879" s="54"/>
      <c r="X1879" s="54"/>
      <c r="Y1879" s="54"/>
      <c r="Z1879" s="54"/>
      <c r="AA1879" s="54"/>
      <c r="AB1879" s="54"/>
      <c r="AC1879" s="54"/>
    </row>
    <row r="1880" ht="78.0" customHeight="1">
      <c r="A1880" s="26"/>
      <c r="B1880" s="26"/>
      <c r="C1880" s="28"/>
      <c r="D1880" s="825"/>
      <c r="E1880" s="28"/>
      <c r="F1880" s="28"/>
      <c r="G1880" s="28"/>
      <c r="H1880" s="28"/>
      <c r="I1880" s="28"/>
      <c r="J1880" s="28"/>
      <c r="K1880" s="28"/>
      <c r="L1880" s="28"/>
      <c r="M1880" s="28"/>
      <c r="N1880" s="28"/>
      <c r="O1880" s="28"/>
      <c r="P1880" s="28"/>
      <c r="Q1880" s="28"/>
      <c r="R1880" s="28"/>
      <c r="S1880" s="28"/>
      <c r="T1880" s="28"/>
      <c r="U1880" s="28"/>
      <c r="V1880" s="28"/>
      <c r="W1880" s="28"/>
      <c r="X1880" s="28"/>
      <c r="Y1880" s="28"/>
      <c r="Z1880" s="28"/>
      <c r="AA1880" s="28"/>
      <c r="AB1880" s="28"/>
      <c r="AC1880" s="28"/>
    </row>
    <row r="1881" ht="78.0" customHeight="1">
      <c r="A1881" s="52"/>
      <c r="B1881" s="52"/>
      <c r="C1881" s="54"/>
      <c r="D1881" s="855"/>
      <c r="E1881" s="54"/>
      <c r="F1881" s="54"/>
      <c r="G1881" s="54"/>
      <c r="H1881" s="54"/>
      <c r="I1881" s="54"/>
      <c r="J1881" s="54"/>
      <c r="K1881" s="54"/>
      <c r="L1881" s="54"/>
      <c r="M1881" s="54"/>
      <c r="N1881" s="54"/>
      <c r="O1881" s="54"/>
      <c r="P1881" s="54"/>
      <c r="Q1881" s="54"/>
      <c r="R1881" s="54"/>
      <c r="S1881" s="54"/>
      <c r="T1881" s="54"/>
      <c r="U1881" s="54"/>
      <c r="V1881" s="54"/>
      <c r="W1881" s="54"/>
      <c r="X1881" s="54"/>
      <c r="Y1881" s="54"/>
      <c r="Z1881" s="54"/>
      <c r="AA1881" s="54"/>
      <c r="AB1881" s="54"/>
      <c r="AC1881" s="54"/>
    </row>
    <row r="1882" ht="78.0" customHeight="1">
      <c r="A1882" s="26"/>
      <c r="B1882" s="26"/>
      <c r="C1882" s="28"/>
      <c r="D1882" s="825"/>
      <c r="E1882" s="28"/>
      <c r="F1882" s="28"/>
      <c r="G1882" s="28"/>
      <c r="H1882" s="28"/>
      <c r="I1882" s="28"/>
      <c r="J1882" s="28"/>
      <c r="K1882" s="28"/>
      <c r="L1882" s="28"/>
      <c r="M1882" s="28"/>
      <c r="N1882" s="28"/>
      <c r="O1882" s="28"/>
      <c r="P1882" s="28"/>
      <c r="Q1882" s="28"/>
      <c r="R1882" s="28"/>
      <c r="S1882" s="28"/>
      <c r="T1882" s="28"/>
      <c r="U1882" s="28"/>
      <c r="V1882" s="28"/>
      <c r="W1882" s="28"/>
      <c r="X1882" s="28"/>
      <c r="Y1882" s="28"/>
      <c r="Z1882" s="28"/>
      <c r="AA1882" s="28"/>
      <c r="AB1882" s="28"/>
      <c r="AC1882" s="28"/>
    </row>
    <row r="1883" ht="78.0" customHeight="1">
      <c r="A1883" s="52"/>
      <c r="B1883" s="52"/>
      <c r="C1883" s="54"/>
      <c r="D1883" s="855"/>
      <c r="E1883" s="54"/>
      <c r="F1883" s="54"/>
      <c r="G1883" s="54"/>
      <c r="H1883" s="54"/>
      <c r="I1883" s="54"/>
      <c r="J1883" s="54"/>
      <c r="K1883" s="54"/>
      <c r="L1883" s="54"/>
      <c r="M1883" s="54"/>
      <c r="N1883" s="54"/>
      <c r="O1883" s="54"/>
      <c r="P1883" s="54"/>
      <c r="Q1883" s="54"/>
      <c r="R1883" s="54"/>
      <c r="S1883" s="54"/>
      <c r="T1883" s="54"/>
      <c r="U1883" s="54"/>
      <c r="V1883" s="54"/>
      <c r="W1883" s="54"/>
      <c r="X1883" s="54"/>
      <c r="Y1883" s="54"/>
      <c r="Z1883" s="54"/>
      <c r="AA1883" s="54"/>
      <c r="AB1883" s="54"/>
      <c r="AC1883" s="54"/>
    </row>
    <row r="1884" ht="78.0" customHeight="1">
      <c r="A1884" s="26"/>
      <c r="B1884" s="26"/>
      <c r="C1884" s="28"/>
      <c r="D1884" s="825"/>
      <c r="E1884" s="28"/>
      <c r="F1884" s="28"/>
      <c r="G1884" s="28"/>
      <c r="H1884" s="28"/>
      <c r="I1884" s="28"/>
      <c r="J1884" s="28"/>
      <c r="K1884" s="28"/>
      <c r="L1884" s="28"/>
      <c r="M1884" s="28"/>
      <c r="N1884" s="28"/>
      <c r="O1884" s="28"/>
      <c r="P1884" s="28"/>
      <c r="Q1884" s="28"/>
      <c r="R1884" s="28"/>
      <c r="S1884" s="28"/>
      <c r="T1884" s="28"/>
      <c r="U1884" s="28"/>
      <c r="V1884" s="28"/>
      <c r="W1884" s="28"/>
      <c r="X1884" s="28"/>
      <c r="Y1884" s="28"/>
      <c r="Z1884" s="28"/>
      <c r="AA1884" s="28"/>
      <c r="AB1884" s="28"/>
      <c r="AC1884" s="28"/>
    </row>
    <row r="1885" ht="78.0" customHeight="1">
      <c r="A1885" s="52"/>
      <c r="B1885" s="52"/>
      <c r="C1885" s="54"/>
      <c r="D1885" s="855"/>
      <c r="E1885" s="54"/>
      <c r="F1885" s="54"/>
      <c r="G1885" s="54"/>
      <c r="H1885" s="54"/>
      <c r="I1885" s="54"/>
      <c r="J1885" s="54"/>
      <c r="K1885" s="54"/>
      <c r="L1885" s="54"/>
      <c r="M1885" s="54"/>
      <c r="N1885" s="54"/>
      <c r="O1885" s="54"/>
      <c r="P1885" s="54"/>
      <c r="Q1885" s="54"/>
      <c r="R1885" s="54"/>
      <c r="S1885" s="54"/>
      <c r="T1885" s="54"/>
      <c r="U1885" s="54"/>
      <c r="V1885" s="54"/>
      <c r="W1885" s="54"/>
      <c r="X1885" s="54"/>
      <c r="Y1885" s="54"/>
      <c r="Z1885" s="54"/>
      <c r="AA1885" s="54"/>
      <c r="AB1885" s="54"/>
      <c r="AC1885" s="54"/>
    </row>
    <row r="1886" ht="78.0" customHeight="1">
      <c r="A1886" s="26"/>
      <c r="B1886" s="26"/>
      <c r="C1886" s="28"/>
      <c r="D1886" s="825"/>
      <c r="E1886" s="28"/>
      <c r="F1886" s="28"/>
      <c r="G1886" s="28"/>
      <c r="H1886" s="28"/>
      <c r="I1886" s="28"/>
      <c r="J1886" s="28"/>
      <c r="K1886" s="28"/>
      <c r="L1886" s="28"/>
      <c r="M1886" s="28"/>
      <c r="N1886" s="28"/>
      <c r="O1886" s="28"/>
      <c r="P1886" s="28"/>
      <c r="Q1886" s="28"/>
      <c r="R1886" s="28"/>
      <c r="S1886" s="28"/>
      <c r="T1886" s="28"/>
      <c r="U1886" s="28"/>
      <c r="V1886" s="28"/>
      <c r="W1886" s="28"/>
      <c r="X1886" s="28"/>
      <c r="Y1886" s="28"/>
      <c r="Z1886" s="28"/>
      <c r="AA1886" s="28"/>
      <c r="AB1886" s="28"/>
      <c r="AC1886" s="28"/>
    </row>
    <row r="1887" ht="78.0" customHeight="1">
      <c r="A1887" s="52"/>
      <c r="B1887" s="52"/>
      <c r="C1887" s="54"/>
      <c r="D1887" s="855"/>
      <c r="E1887" s="54"/>
      <c r="F1887" s="54"/>
      <c r="G1887" s="54"/>
      <c r="H1887" s="54"/>
      <c r="I1887" s="54"/>
      <c r="J1887" s="54"/>
      <c r="K1887" s="54"/>
      <c r="L1887" s="54"/>
      <c r="M1887" s="54"/>
      <c r="N1887" s="54"/>
      <c r="O1887" s="54"/>
      <c r="P1887" s="54"/>
      <c r="Q1887" s="54"/>
      <c r="R1887" s="54"/>
      <c r="S1887" s="54"/>
      <c r="T1887" s="54"/>
      <c r="U1887" s="54"/>
      <c r="V1887" s="54"/>
      <c r="W1887" s="54"/>
      <c r="X1887" s="54"/>
      <c r="Y1887" s="54"/>
      <c r="Z1887" s="54"/>
      <c r="AA1887" s="54"/>
      <c r="AB1887" s="54"/>
      <c r="AC1887" s="54"/>
    </row>
    <row r="1888" ht="78.0" customHeight="1">
      <c r="A1888" s="26"/>
      <c r="B1888" s="26"/>
      <c r="C1888" s="28"/>
      <c r="D1888" s="825"/>
      <c r="E1888" s="28"/>
      <c r="F1888" s="28"/>
      <c r="G1888" s="28"/>
      <c r="H1888" s="28"/>
      <c r="I1888" s="28"/>
      <c r="J1888" s="28"/>
      <c r="K1888" s="28"/>
      <c r="L1888" s="28"/>
      <c r="M1888" s="28"/>
      <c r="N1888" s="28"/>
      <c r="O1888" s="28"/>
      <c r="P1888" s="28"/>
      <c r="Q1888" s="28"/>
      <c r="R1888" s="28"/>
      <c r="S1888" s="28"/>
      <c r="T1888" s="28"/>
      <c r="U1888" s="28"/>
      <c r="V1888" s="28"/>
      <c r="W1888" s="28"/>
      <c r="X1888" s="28"/>
      <c r="Y1888" s="28"/>
      <c r="Z1888" s="28"/>
      <c r="AA1888" s="28"/>
      <c r="AB1888" s="28"/>
      <c r="AC1888" s="28"/>
    </row>
    <row r="1889" ht="78.0" customHeight="1">
      <c r="A1889" s="52"/>
      <c r="B1889" s="52"/>
      <c r="C1889" s="54"/>
      <c r="D1889" s="855"/>
      <c r="E1889" s="54"/>
      <c r="F1889" s="54"/>
      <c r="G1889" s="54"/>
      <c r="H1889" s="54"/>
      <c r="I1889" s="54"/>
      <c r="J1889" s="54"/>
      <c r="K1889" s="54"/>
      <c r="L1889" s="54"/>
      <c r="M1889" s="54"/>
      <c r="N1889" s="54"/>
      <c r="O1889" s="54"/>
      <c r="P1889" s="54"/>
      <c r="Q1889" s="54"/>
      <c r="R1889" s="54"/>
      <c r="S1889" s="54"/>
      <c r="T1889" s="54"/>
      <c r="U1889" s="54"/>
      <c r="V1889" s="54"/>
      <c r="W1889" s="54"/>
      <c r="X1889" s="54"/>
      <c r="Y1889" s="54"/>
      <c r="Z1889" s="54"/>
      <c r="AA1889" s="54"/>
      <c r="AB1889" s="54"/>
      <c r="AC1889" s="54"/>
    </row>
    <row r="1890" ht="78.0" customHeight="1">
      <c r="A1890" s="26"/>
      <c r="B1890" s="26"/>
      <c r="C1890" s="28"/>
      <c r="D1890" s="825"/>
      <c r="E1890" s="28"/>
      <c r="F1890" s="28"/>
      <c r="G1890" s="28"/>
      <c r="H1890" s="28"/>
      <c r="I1890" s="28"/>
      <c r="J1890" s="28"/>
      <c r="K1890" s="28"/>
      <c r="L1890" s="28"/>
      <c r="M1890" s="28"/>
      <c r="N1890" s="28"/>
      <c r="O1890" s="28"/>
      <c r="P1890" s="28"/>
      <c r="Q1890" s="28"/>
      <c r="R1890" s="28"/>
      <c r="S1890" s="28"/>
      <c r="T1890" s="28"/>
      <c r="U1890" s="28"/>
      <c r="V1890" s="28"/>
      <c r="W1890" s="28"/>
      <c r="X1890" s="28"/>
      <c r="Y1890" s="28"/>
      <c r="Z1890" s="28"/>
      <c r="AA1890" s="28"/>
      <c r="AB1890" s="28"/>
      <c r="AC1890" s="28"/>
    </row>
    <row r="1891" ht="78.0" customHeight="1">
      <c r="A1891" s="52"/>
      <c r="B1891" s="52"/>
      <c r="C1891" s="54"/>
      <c r="D1891" s="855"/>
      <c r="E1891" s="54"/>
      <c r="F1891" s="54"/>
      <c r="G1891" s="54"/>
      <c r="H1891" s="54"/>
      <c r="I1891" s="54"/>
      <c r="J1891" s="54"/>
      <c r="K1891" s="54"/>
      <c r="L1891" s="54"/>
      <c r="M1891" s="54"/>
      <c r="N1891" s="54"/>
      <c r="O1891" s="54"/>
      <c r="P1891" s="54"/>
      <c r="Q1891" s="54"/>
      <c r="R1891" s="54"/>
      <c r="S1891" s="54"/>
      <c r="T1891" s="54"/>
      <c r="U1891" s="54"/>
      <c r="V1891" s="54"/>
      <c r="W1891" s="54"/>
      <c r="X1891" s="54"/>
      <c r="Y1891" s="54"/>
      <c r="Z1891" s="54"/>
      <c r="AA1891" s="54"/>
      <c r="AB1891" s="54"/>
      <c r="AC1891" s="54"/>
    </row>
    <row r="1892" ht="78.0" customHeight="1">
      <c r="A1892" s="26"/>
      <c r="B1892" s="26"/>
      <c r="C1892" s="28"/>
      <c r="D1892" s="825"/>
      <c r="E1892" s="28"/>
      <c r="F1892" s="28"/>
      <c r="G1892" s="28"/>
      <c r="H1892" s="28"/>
      <c r="I1892" s="28"/>
      <c r="J1892" s="28"/>
      <c r="K1892" s="28"/>
      <c r="L1892" s="28"/>
      <c r="M1892" s="28"/>
      <c r="N1892" s="28"/>
      <c r="O1892" s="28"/>
      <c r="P1892" s="28"/>
      <c r="Q1892" s="28"/>
      <c r="R1892" s="28"/>
      <c r="S1892" s="28"/>
      <c r="T1892" s="28"/>
      <c r="U1892" s="28"/>
      <c r="V1892" s="28"/>
      <c r="W1892" s="28"/>
      <c r="X1892" s="28"/>
      <c r="Y1892" s="28"/>
      <c r="Z1892" s="28"/>
      <c r="AA1892" s="28"/>
      <c r="AB1892" s="28"/>
      <c r="AC1892" s="28"/>
    </row>
    <row r="1893" ht="78.0" customHeight="1">
      <c r="A1893" s="52"/>
      <c r="B1893" s="52"/>
      <c r="C1893" s="54"/>
      <c r="D1893" s="855"/>
      <c r="E1893" s="54"/>
      <c r="F1893" s="54"/>
      <c r="G1893" s="54"/>
      <c r="H1893" s="54"/>
      <c r="I1893" s="54"/>
      <c r="J1893" s="54"/>
      <c r="K1893" s="54"/>
      <c r="L1893" s="54"/>
      <c r="M1893" s="54"/>
      <c r="N1893" s="54"/>
      <c r="O1893" s="54"/>
      <c r="P1893" s="54"/>
      <c r="Q1893" s="54"/>
      <c r="R1893" s="54"/>
      <c r="S1893" s="54"/>
      <c r="T1893" s="54"/>
      <c r="U1893" s="54"/>
      <c r="V1893" s="54"/>
      <c r="W1893" s="54"/>
      <c r="X1893" s="54"/>
      <c r="Y1893" s="54"/>
      <c r="Z1893" s="54"/>
      <c r="AA1893" s="54"/>
      <c r="AB1893" s="54"/>
      <c r="AC1893" s="54"/>
    </row>
    <row r="1894" ht="78.0" customHeight="1">
      <c r="A1894" s="26"/>
      <c r="B1894" s="26"/>
      <c r="C1894" s="28"/>
      <c r="D1894" s="825"/>
      <c r="E1894" s="28"/>
      <c r="F1894" s="28"/>
      <c r="G1894" s="28"/>
      <c r="H1894" s="28"/>
      <c r="I1894" s="28"/>
      <c r="J1894" s="28"/>
      <c r="K1894" s="28"/>
      <c r="L1894" s="28"/>
      <c r="M1894" s="28"/>
      <c r="N1894" s="28"/>
      <c r="O1894" s="28"/>
      <c r="P1894" s="28"/>
      <c r="Q1894" s="28"/>
      <c r="R1894" s="28"/>
      <c r="S1894" s="28"/>
      <c r="T1894" s="28"/>
      <c r="U1894" s="28"/>
      <c r="V1894" s="28"/>
      <c r="W1894" s="28"/>
      <c r="X1894" s="28"/>
      <c r="Y1894" s="28"/>
      <c r="Z1894" s="28"/>
      <c r="AA1894" s="28"/>
      <c r="AB1894" s="28"/>
      <c r="AC1894" s="28"/>
    </row>
    <row r="1895" ht="78.0" customHeight="1">
      <c r="A1895" s="52"/>
      <c r="B1895" s="52"/>
      <c r="C1895" s="54"/>
      <c r="D1895" s="855"/>
      <c r="E1895" s="54"/>
      <c r="F1895" s="54"/>
      <c r="G1895" s="54"/>
      <c r="H1895" s="54"/>
      <c r="I1895" s="54"/>
      <c r="J1895" s="54"/>
      <c r="K1895" s="54"/>
      <c r="L1895" s="54"/>
      <c r="M1895" s="54"/>
      <c r="N1895" s="54"/>
      <c r="O1895" s="54"/>
      <c r="P1895" s="54"/>
      <c r="Q1895" s="54"/>
      <c r="R1895" s="54"/>
      <c r="S1895" s="54"/>
      <c r="T1895" s="54"/>
      <c r="U1895" s="54"/>
      <c r="V1895" s="54"/>
      <c r="W1895" s="54"/>
      <c r="X1895" s="54"/>
      <c r="Y1895" s="54"/>
      <c r="Z1895" s="54"/>
      <c r="AA1895" s="54"/>
      <c r="AB1895" s="54"/>
      <c r="AC1895" s="54"/>
    </row>
    <row r="1896" ht="78.0" customHeight="1">
      <c r="A1896" s="26"/>
      <c r="B1896" s="26"/>
      <c r="C1896" s="28"/>
      <c r="D1896" s="825"/>
      <c r="E1896" s="28"/>
      <c r="F1896" s="28"/>
      <c r="G1896" s="28"/>
      <c r="H1896" s="28"/>
      <c r="I1896" s="28"/>
      <c r="J1896" s="28"/>
      <c r="K1896" s="28"/>
      <c r="L1896" s="28"/>
      <c r="M1896" s="28"/>
      <c r="N1896" s="28"/>
      <c r="O1896" s="28"/>
      <c r="P1896" s="28"/>
      <c r="Q1896" s="28"/>
      <c r="R1896" s="28"/>
      <c r="S1896" s="28"/>
      <c r="T1896" s="28"/>
      <c r="U1896" s="28"/>
      <c r="V1896" s="28"/>
      <c r="W1896" s="28"/>
      <c r="X1896" s="28"/>
      <c r="Y1896" s="28"/>
      <c r="Z1896" s="28"/>
      <c r="AA1896" s="28"/>
      <c r="AB1896" s="28"/>
      <c r="AC1896" s="28"/>
    </row>
    <row r="1897" ht="78.0" customHeight="1">
      <c r="A1897" s="52"/>
      <c r="B1897" s="52"/>
      <c r="C1897" s="54"/>
      <c r="D1897" s="855"/>
      <c r="E1897" s="54"/>
      <c r="F1897" s="54"/>
      <c r="G1897" s="54"/>
      <c r="H1897" s="54"/>
      <c r="I1897" s="54"/>
      <c r="J1897" s="54"/>
      <c r="K1897" s="54"/>
      <c r="L1897" s="54"/>
      <c r="M1897" s="54"/>
      <c r="N1897" s="54"/>
      <c r="O1897" s="54"/>
      <c r="P1897" s="54"/>
      <c r="Q1897" s="54"/>
      <c r="R1897" s="54"/>
      <c r="S1897" s="54"/>
      <c r="T1897" s="54"/>
      <c r="U1897" s="54"/>
      <c r="V1897" s="54"/>
      <c r="W1897" s="54"/>
      <c r="X1897" s="54"/>
      <c r="Y1897" s="54"/>
      <c r="Z1897" s="54"/>
      <c r="AA1897" s="54"/>
      <c r="AB1897" s="54"/>
      <c r="AC1897" s="54"/>
    </row>
    <row r="1898" ht="78.0" customHeight="1">
      <c r="A1898" s="26"/>
      <c r="B1898" s="26"/>
      <c r="C1898" s="28"/>
      <c r="D1898" s="825"/>
      <c r="E1898" s="28"/>
      <c r="F1898" s="28"/>
      <c r="G1898" s="28"/>
      <c r="H1898" s="28"/>
      <c r="I1898" s="28"/>
      <c r="J1898" s="28"/>
      <c r="K1898" s="28"/>
      <c r="L1898" s="28"/>
      <c r="M1898" s="28"/>
      <c r="N1898" s="28"/>
      <c r="O1898" s="28"/>
      <c r="P1898" s="28"/>
      <c r="Q1898" s="28"/>
      <c r="R1898" s="28"/>
      <c r="S1898" s="28"/>
      <c r="T1898" s="28"/>
      <c r="U1898" s="28"/>
      <c r="V1898" s="28"/>
      <c r="W1898" s="28"/>
      <c r="X1898" s="28"/>
      <c r="Y1898" s="28"/>
      <c r="Z1898" s="28"/>
      <c r="AA1898" s="28"/>
      <c r="AB1898" s="28"/>
      <c r="AC1898" s="28"/>
    </row>
    <row r="1899" ht="78.0" customHeight="1">
      <c r="A1899" s="52"/>
      <c r="B1899" s="52"/>
      <c r="C1899" s="54"/>
      <c r="D1899" s="855"/>
      <c r="E1899" s="54"/>
      <c r="F1899" s="54"/>
      <c r="G1899" s="54"/>
      <c r="H1899" s="54"/>
      <c r="I1899" s="54"/>
      <c r="J1899" s="54"/>
      <c r="K1899" s="54"/>
      <c r="L1899" s="54"/>
      <c r="M1899" s="54"/>
      <c r="N1899" s="54"/>
      <c r="O1899" s="54"/>
      <c r="P1899" s="54"/>
      <c r="Q1899" s="54"/>
      <c r="R1899" s="54"/>
      <c r="S1899" s="54"/>
      <c r="T1899" s="54"/>
      <c r="U1899" s="54"/>
      <c r="V1899" s="54"/>
      <c r="W1899" s="54"/>
      <c r="X1899" s="54"/>
      <c r="Y1899" s="54"/>
      <c r="Z1899" s="54"/>
      <c r="AA1899" s="54"/>
      <c r="AB1899" s="54"/>
      <c r="AC1899" s="54"/>
    </row>
    <row r="1900" ht="78.0" customHeight="1">
      <c r="A1900" s="26"/>
      <c r="B1900" s="26"/>
      <c r="C1900" s="28"/>
      <c r="D1900" s="825"/>
      <c r="E1900" s="28"/>
      <c r="F1900" s="28"/>
      <c r="G1900" s="28"/>
      <c r="H1900" s="28"/>
      <c r="I1900" s="28"/>
      <c r="J1900" s="28"/>
      <c r="K1900" s="28"/>
      <c r="L1900" s="28"/>
      <c r="M1900" s="28"/>
      <c r="N1900" s="28"/>
      <c r="O1900" s="28"/>
      <c r="P1900" s="28"/>
      <c r="Q1900" s="28"/>
      <c r="R1900" s="28"/>
      <c r="S1900" s="28"/>
      <c r="T1900" s="28"/>
      <c r="U1900" s="28"/>
      <c r="V1900" s="28"/>
      <c r="W1900" s="28"/>
      <c r="X1900" s="28"/>
      <c r="Y1900" s="28"/>
      <c r="Z1900" s="28"/>
      <c r="AA1900" s="28"/>
      <c r="AB1900" s="28"/>
      <c r="AC1900" s="28"/>
    </row>
    <row r="1901" ht="78.0" customHeight="1">
      <c r="A1901" s="52"/>
      <c r="B1901" s="52"/>
      <c r="C1901" s="54"/>
      <c r="D1901" s="855"/>
      <c r="E1901" s="54"/>
      <c r="F1901" s="54"/>
      <c r="G1901" s="54"/>
      <c r="H1901" s="54"/>
      <c r="I1901" s="54"/>
      <c r="J1901" s="54"/>
      <c r="K1901" s="54"/>
      <c r="L1901" s="54"/>
      <c r="M1901" s="54"/>
      <c r="N1901" s="54"/>
      <c r="O1901" s="54"/>
      <c r="P1901" s="54"/>
      <c r="Q1901" s="54"/>
      <c r="R1901" s="54"/>
      <c r="S1901" s="54"/>
      <c r="T1901" s="54"/>
      <c r="U1901" s="54"/>
      <c r="V1901" s="54"/>
      <c r="W1901" s="54"/>
      <c r="X1901" s="54"/>
      <c r="Y1901" s="54"/>
      <c r="Z1901" s="54"/>
      <c r="AA1901" s="54"/>
      <c r="AB1901" s="54"/>
      <c r="AC1901" s="54"/>
    </row>
    <row r="1902" ht="78.0" customHeight="1">
      <c r="A1902" s="26"/>
      <c r="B1902" s="26"/>
      <c r="C1902" s="28"/>
      <c r="D1902" s="825"/>
      <c r="E1902" s="28"/>
      <c r="F1902" s="28"/>
      <c r="G1902" s="28"/>
      <c r="H1902" s="28"/>
      <c r="I1902" s="28"/>
      <c r="J1902" s="28"/>
      <c r="K1902" s="28"/>
      <c r="L1902" s="28"/>
      <c r="M1902" s="28"/>
      <c r="N1902" s="28"/>
      <c r="O1902" s="28"/>
      <c r="P1902" s="28"/>
      <c r="Q1902" s="28"/>
      <c r="R1902" s="28"/>
      <c r="S1902" s="28"/>
      <c r="T1902" s="28"/>
      <c r="U1902" s="28"/>
      <c r="V1902" s="28"/>
      <c r="W1902" s="28"/>
      <c r="X1902" s="28"/>
      <c r="Y1902" s="28"/>
      <c r="Z1902" s="28"/>
      <c r="AA1902" s="28"/>
      <c r="AB1902" s="28"/>
      <c r="AC1902" s="28"/>
    </row>
    <row r="1903" ht="78.0" customHeight="1">
      <c r="A1903" s="52"/>
      <c r="B1903" s="52"/>
      <c r="C1903" s="54"/>
      <c r="D1903" s="855"/>
      <c r="E1903" s="54"/>
      <c r="F1903" s="54"/>
      <c r="G1903" s="54"/>
      <c r="H1903" s="54"/>
      <c r="I1903" s="54"/>
      <c r="J1903" s="54"/>
      <c r="K1903" s="54"/>
      <c r="L1903" s="54"/>
      <c r="M1903" s="54"/>
      <c r="N1903" s="54"/>
      <c r="O1903" s="54"/>
      <c r="P1903" s="54"/>
      <c r="Q1903" s="54"/>
      <c r="R1903" s="54"/>
      <c r="S1903" s="54"/>
      <c r="T1903" s="54"/>
      <c r="U1903" s="54"/>
      <c r="V1903" s="54"/>
      <c r="W1903" s="54"/>
      <c r="X1903" s="54"/>
      <c r="Y1903" s="54"/>
      <c r="Z1903" s="54"/>
      <c r="AA1903" s="54"/>
      <c r="AB1903" s="54"/>
      <c r="AC1903" s="54"/>
    </row>
    <row r="1904" ht="78.0" customHeight="1">
      <c r="A1904" s="26"/>
      <c r="B1904" s="26"/>
      <c r="C1904" s="28"/>
      <c r="D1904" s="825"/>
      <c r="E1904" s="28"/>
      <c r="F1904" s="28"/>
      <c r="G1904" s="28"/>
      <c r="H1904" s="28"/>
      <c r="I1904" s="28"/>
      <c r="J1904" s="28"/>
      <c r="K1904" s="28"/>
      <c r="L1904" s="28"/>
      <c r="M1904" s="28"/>
      <c r="N1904" s="28"/>
      <c r="O1904" s="28"/>
      <c r="P1904" s="28"/>
      <c r="Q1904" s="28"/>
      <c r="R1904" s="28"/>
      <c r="S1904" s="28"/>
      <c r="T1904" s="28"/>
      <c r="U1904" s="28"/>
      <c r="V1904" s="28"/>
      <c r="W1904" s="28"/>
      <c r="X1904" s="28"/>
      <c r="Y1904" s="28"/>
      <c r="Z1904" s="28"/>
      <c r="AA1904" s="28"/>
      <c r="AB1904" s="28"/>
      <c r="AC1904" s="28"/>
    </row>
    <row r="1905" ht="78.0" customHeight="1">
      <c r="A1905" s="52"/>
      <c r="B1905" s="52"/>
      <c r="C1905" s="54"/>
      <c r="D1905" s="855"/>
      <c r="E1905" s="54"/>
      <c r="F1905" s="54"/>
      <c r="G1905" s="54"/>
      <c r="H1905" s="54"/>
      <c r="I1905" s="54"/>
      <c r="J1905" s="54"/>
      <c r="K1905" s="54"/>
      <c r="L1905" s="54"/>
      <c r="M1905" s="54"/>
      <c r="N1905" s="54"/>
      <c r="O1905" s="54"/>
      <c r="P1905" s="54"/>
      <c r="Q1905" s="54"/>
      <c r="R1905" s="54"/>
      <c r="S1905" s="54"/>
      <c r="T1905" s="54"/>
      <c r="U1905" s="54"/>
      <c r="V1905" s="54"/>
      <c r="W1905" s="54"/>
      <c r="X1905" s="54"/>
      <c r="Y1905" s="54"/>
      <c r="Z1905" s="54"/>
      <c r="AA1905" s="54"/>
      <c r="AB1905" s="54"/>
      <c r="AC1905" s="54"/>
    </row>
    <row r="1906" ht="78.0" customHeight="1">
      <c r="A1906" s="26"/>
      <c r="B1906" s="26"/>
      <c r="C1906" s="28"/>
      <c r="D1906" s="825"/>
      <c r="E1906" s="28"/>
      <c r="F1906" s="28"/>
      <c r="G1906" s="28"/>
      <c r="H1906" s="28"/>
      <c r="I1906" s="28"/>
      <c r="J1906" s="28"/>
      <c r="K1906" s="28"/>
      <c r="L1906" s="28"/>
      <c r="M1906" s="28"/>
      <c r="N1906" s="28"/>
      <c r="O1906" s="28"/>
      <c r="P1906" s="28"/>
      <c r="Q1906" s="28"/>
      <c r="R1906" s="28"/>
      <c r="S1906" s="28"/>
      <c r="T1906" s="28"/>
      <c r="U1906" s="28"/>
      <c r="V1906" s="28"/>
      <c r="W1906" s="28"/>
      <c r="X1906" s="28"/>
      <c r="Y1906" s="28"/>
      <c r="Z1906" s="28"/>
      <c r="AA1906" s="28"/>
      <c r="AB1906" s="28"/>
      <c r="AC1906" s="28"/>
    </row>
    <row r="1907" ht="78.0" customHeight="1">
      <c r="A1907" s="52"/>
      <c r="B1907" s="52"/>
      <c r="C1907" s="54"/>
      <c r="D1907" s="855"/>
      <c r="E1907" s="54"/>
      <c r="F1907" s="54"/>
      <c r="G1907" s="54"/>
      <c r="H1907" s="54"/>
      <c r="I1907" s="54"/>
      <c r="J1907" s="54"/>
      <c r="K1907" s="54"/>
      <c r="L1907" s="54"/>
      <c r="M1907" s="54"/>
      <c r="N1907" s="54"/>
      <c r="O1907" s="54"/>
      <c r="P1907" s="54"/>
      <c r="Q1907" s="54"/>
      <c r="R1907" s="54"/>
      <c r="S1907" s="54"/>
      <c r="T1907" s="54"/>
      <c r="U1907" s="54"/>
      <c r="V1907" s="54"/>
      <c r="W1907" s="54"/>
      <c r="X1907" s="54"/>
      <c r="Y1907" s="54"/>
      <c r="Z1907" s="54"/>
      <c r="AA1907" s="54"/>
      <c r="AB1907" s="54"/>
      <c r="AC1907" s="54"/>
    </row>
    <row r="1908" ht="78.0" customHeight="1">
      <c r="A1908" s="26"/>
      <c r="B1908" s="26"/>
      <c r="C1908" s="28"/>
      <c r="D1908" s="825"/>
      <c r="E1908" s="28"/>
      <c r="F1908" s="28"/>
      <c r="G1908" s="28"/>
      <c r="H1908" s="28"/>
      <c r="I1908" s="28"/>
      <c r="J1908" s="28"/>
      <c r="K1908" s="28"/>
      <c r="L1908" s="28"/>
      <c r="M1908" s="28"/>
      <c r="N1908" s="28"/>
      <c r="O1908" s="28"/>
      <c r="P1908" s="28"/>
      <c r="Q1908" s="28"/>
      <c r="R1908" s="28"/>
      <c r="S1908" s="28"/>
      <c r="T1908" s="28"/>
      <c r="U1908" s="28"/>
      <c r="V1908" s="28"/>
      <c r="W1908" s="28"/>
      <c r="X1908" s="28"/>
      <c r="Y1908" s="28"/>
      <c r="Z1908" s="28"/>
      <c r="AA1908" s="28"/>
      <c r="AB1908" s="28"/>
      <c r="AC1908" s="28"/>
    </row>
    <row r="1909" ht="78.0" customHeight="1">
      <c r="A1909" s="52"/>
      <c r="B1909" s="52"/>
      <c r="C1909" s="54"/>
      <c r="D1909" s="855"/>
      <c r="E1909" s="54"/>
      <c r="F1909" s="54"/>
      <c r="G1909" s="54"/>
      <c r="H1909" s="54"/>
      <c r="I1909" s="54"/>
      <c r="J1909" s="54"/>
      <c r="K1909" s="54"/>
      <c r="L1909" s="54"/>
      <c r="M1909" s="54"/>
      <c r="N1909" s="54"/>
      <c r="O1909" s="54"/>
      <c r="P1909" s="54"/>
      <c r="Q1909" s="54"/>
      <c r="R1909" s="54"/>
      <c r="S1909" s="54"/>
      <c r="T1909" s="54"/>
      <c r="U1909" s="54"/>
      <c r="V1909" s="54"/>
      <c r="W1909" s="54"/>
      <c r="X1909" s="54"/>
      <c r="Y1909" s="54"/>
      <c r="Z1909" s="54"/>
      <c r="AA1909" s="54"/>
      <c r="AB1909" s="54"/>
      <c r="AC1909" s="54"/>
    </row>
    <row r="1910" ht="78.0" customHeight="1">
      <c r="A1910" s="26"/>
      <c r="B1910" s="26"/>
      <c r="C1910" s="28"/>
      <c r="D1910" s="825"/>
      <c r="E1910" s="28"/>
      <c r="F1910" s="28"/>
      <c r="G1910" s="28"/>
      <c r="H1910" s="28"/>
      <c r="I1910" s="28"/>
      <c r="J1910" s="28"/>
      <c r="K1910" s="28"/>
      <c r="L1910" s="28"/>
      <c r="M1910" s="28"/>
      <c r="N1910" s="28"/>
      <c r="O1910" s="28"/>
      <c r="P1910" s="28"/>
      <c r="Q1910" s="28"/>
      <c r="R1910" s="28"/>
      <c r="S1910" s="28"/>
      <c r="T1910" s="28"/>
      <c r="U1910" s="28"/>
      <c r="V1910" s="28"/>
      <c r="W1910" s="28"/>
      <c r="X1910" s="28"/>
      <c r="Y1910" s="28"/>
      <c r="Z1910" s="28"/>
      <c r="AA1910" s="28"/>
      <c r="AB1910" s="28"/>
      <c r="AC1910" s="28"/>
    </row>
    <row r="1911" ht="78.0" customHeight="1">
      <c r="A1911" s="52"/>
      <c r="B1911" s="52"/>
      <c r="C1911" s="54"/>
      <c r="D1911" s="855"/>
      <c r="E1911" s="54"/>
      <c r="F1911" s="54"/>
      <c r="G1911" s="54"/>
      <c r="H1911" s="54"/>
      <c r="I1911" s="54"/>
      <c r="J1911" s="54"/>
      <c r="K1911" s="54"/>
      <c r="L1911" s="54"/>
      <c r="M1911" s="54"/>
      <c r="N1911" s="54"/>
      <c r="O1911" s="54"/>
      <c r="P1911" s="54"/>
      <c r="Q1911" s="54"/>
      <c r="R1911" s="54"/>
      <c r="S1911" s="54"/>
      <c r="T1911" s="54"/>
      <c r="U1911" s="54"/>
      <c r="V1911" s="54"/>
      <c r="W1911" s="54"/>
      <c r="X1911" s="54"/>
      <c r="Y1911" s="54"/>
      <c r="Z1911" s="54"/>
      <c r="AA1911" s="54"/>
      <c r="AB1911" s="54"/>
      <c r="AC1911" s="54"/>
    </row>
    <row r="1912" ht="78.0" customHeight="1">
      <c r="A1912" s="26"/>
      <c r="B1912" s="26"/>
      <c r="C1912" s="28"/>
      <c r="D1912" s="825"/>
      <c r="E1912" s="28"/>
      <c r="F1912" s="28"/>
      <c r="G1912" s="28"/>
      <c r="H1912" s="28"/>
      <c r="I1912" s="28"/>
      <c r="J1912" s="28"/>
      <c r="K1912" s="28"/>
      <c r="L1912" s="28"/>
      <c r="M1912" s="28"/>
      <c r="N1912" s="28"/>
      <c r="O1912" s="28"/>
      <c r="P1912" s="28"/>
      <c r="Q1912" s="28"/>
      <c r="R1912" s="28"/>
      <c r="S1912" s="28"/>
      <c r="T1912" s="28"/>
      <c r="U1912" s="28"/>
      <c r="V1912" s="28"/>
      <c r="W1912" s="28"/>
      <c r="X1912" s="28"/>
      <c r="Y1912" s="28"/>
      <c r="Z1912" s="28"/>
      <c r="AA1912" s="28"/>
      <c r="AB1912" s="28"/>
      <c r="AC1912" s="28"/>
    </row>
    <row r="1913" ht="78.0" customHeight="1">
      <c r="A1913" s="52"/>
      <c r="B1913" s="52"/>
      <c r="C1913" s="54"/>
      <c r="D1913" s="855"/>
      <c r="E1913" s="54"/>
      <c r="F1913" s="54"/>
      <c r="G1913" s="54"/>
      <c r="H1913" s="54"/>
      <c r="I1913" s="54"/>
      <c r="J1913" s="54"/>
      <c r="K1913" s="54"/>
      <c r="L1913" s="54"/>
      <c r="M1913" s="54"/>
      <c r="N1913" s="54"/>
      <c r="O1913" s="54"/>
      <c r="P1913" s="54"/>
      <c r="Q1913" s="54"/>
      <c r="R1913" s="54"/>
      <c r="S1913" s="54"/>
      <c r="T1913" s="54"/>
      <c r="U1913" s="54"/>
      <c r="V1913" s="54"/>
      <c r="W1913" s="54"/>
      <c r="X1913" s="54"/>
      <c r="Y1913" s="54"/>
      <c r="Z1913" s="54"/>
      <c r="AA1913" s="54"/>
      <c r="AB1913" s="54"/>
      <c r="AC1913" s="54"/>
    </row>
    <row r="1914" ht="78.0" customHeight="1">
      <c r="A1914" s="26"/>
      <c r="B1914" s="26"/>
      <c r="C1914" s="28"/>
      <c r="D1914" s="825"/>
      <c r="E1914" s="28"/>
      <c r="F1914" s="28"/>
      <c r="G1914" s="28"/>
      <c r="H1914" s="28"/>
      <c r="I1914" s="28"/>
      <c r="J1914" s="28"/>
      <c r="K1914" s="28"/>
      <c r="L1914" s="28"/>
      <c r="M1914" s="28"/>
      <c r="N1914" s="28"/>
      <c r="O1914" s="28"/>
      <c r="P1914" s="28"/>
      <c r="Q1914" s="28"/>
      <c r="R1914" s="28"/>
      <c r="S1914" s="28"/>
      <c r="T1914" s="28"/>
      <c r="U1914" s="28"/>
      <c r="V1914" s="28"/>
      <c r="W1914" s="28"/>
      <c r="X1914" s="28"/>
      <c r="Y1914" s="28"/>
      <c r="Z1914" s="28"/>
      <c r="AA1914" s="28"/>
      <c r="AB1914" s="28"/>
      <c r="AC1914" s="28"/>
    </row>
    <row r="1915" ht="78.0" customHeight="1">
      <c r="A1915" s="52"/>
      <c r="B1915" s="52"/>
      <c r="C1915" s="54"/>
      <c r="D1915" s="855"/>
      <c r="E1915" s="54"/>
      <c r="F1915" s="54"/>
      <c r="G1915" s="54"/>
      <c r="H1915" s="54"/>
      <c r="I1915" s="54"/>
      <c r="J1915" s="54"/>
      <c r="K1915" s="54"/>
      <c r="L1915" s="54"/>
      <c r="M1915" s="54"/>
      <c r="N1915" s="54"/>
      <c r="O1915" s="54"/>
      <c r="P1915" s="54"/>
      <c r="Q1915" s="54"/>
      <c r="R1915" s="54"/>
      <c r="S1915" s="54"/>
      <c r="T1915" s="54"/>
      <c r="U1915" s="54"/>
      <c r="V1915" s="54"/>
      <c r="W1915" s="54"/>
      <c r="X1915" s="54"/>
      <c r="Y1915" s="54"/>
      <c r="Z1915" s="54"/>
      <c r="AA1915" s="54"/>
      <c r="AB1915" s="54"/>
      <c r="AC1915" s="54"/>
    </row>
    <row r="1916" ht="78.0" customHeight="1">
      <c r="A1916" s="26"/>
      <c r="B1916" s="26"/>
      <c r="C1916" s="28"/>
      <c r="D1916" s="825"/>
      <c r="E1916" s="28"/>
      <c r="F1916" s="28"/>
      <c r="G1916" s="28"/>
      <c r="H1916" s="28"/>
      <c r="I1916" s="28"/>
      <c r="J1916" s="28"/>
      <c r="K1916" s="28"/>
      <c r="L1916" s="28"/>
      <c r="M1916" s="28"/>
      <c r="N1916" s="28"/>
      <c r="O1916" s="28"/>
      <c r="P1916" s="28"/>
      <c r="Q1916" s="28"/>
      <c r="R1916" s="28"/>
      <c r="S1916" s="28"/>
      <c r="T1916" s="28"/>
      <c r="U1916" s="28"/>
      <c r="V1916" s="28"/>
      <c r="W1916" s="28"/>
      <c r="X1916" s="28"/>
      <c r="Y1916" s="28"/>
      <c r="Z1916" s="28"/>
      <c r="AA1916" s="28"/>
      <c r="AB1916" s="28"/>
      <c r="AC1916" s="28"/>
    </row>
    <row r="1917" ht="78.0" customHeight="1">
      <c r="A1917" s="52"/>
      <c r="B1917" s="52"/>
      <c r="C1917" s="54"/>
      <c r="D1917" s="855"/>
      <c r="E1917" s="54"/>
      <c r="F1917" s="54"/>
      <c r="G1917" s="54"/>
      <c r="H1917" s="54"/>
      <c r="I1917" s="54"/>
      <c r="J1917" s="54"/>
      <c r="K1917" s="54"/>
      <c r="L1917" s="54"/>
      <c r="M1917" s="54"/>
      <c r="N1917" s="54"/>
      <c r="O1917" s="54"/>
      <c r="P1917" s="54"/>
      <c r="Q1917" s="54"/>
      <c r="R1917" s="54"/>
      <c r="S1917" s="54"/>
      <c r="T1917" s="54"/>
      <c r="U1917" s="54"/>
      <c r="V1917" s="54"/>
      <c r="W1917" s="54"/>
      <c r="X1917" s="54"/>
      <c r="Y1917" s="54"/>
      <c r="Z1917" s="54"/>
      <c r="AA1917" s="54"/>
      <c r="AB1917" s="54"/>
      <c r="AC1917" s="54"/>
    </row>
    <row r="1918" ht="78.0" customHeight="1">
      <c r="A1918" s="26"/>
      <c r="B1918" s="26"/>
      <c r="C1918" s="28"/>
      <c r="D1918" s="825"/>
      <c r="E1918" s="28"/>
      <c r="F1918" s="28"/>
      <c r="G1918" s="28"/>
      <c r="H1918" s="28"/>
      <c r="I1918" s="28"/>
      <c r="J1918" s="28"/>
      <c r="K1918" s="28"/>
      <c r="L1918" s="28"/>
      <c r="M1918" s="28"/>
      <c r="N1918" s="28"/>
      <c r="O1918" s="28"/>
      <c r="P1918" s="28"/>
      <c r="Q1918" s="28"/>
      <c r="R1918" s="28"/>
      <c r="S1918" s="28"/>
      <c r="T1918" s="28"/>
      <c r="U1918" s="28"/>
      <c r="V1918" s="28"/>
      <c r="W1918" s="28"/>
      <c r="X1918" s="28"/>
      <c r="Y1918" s="28"/>
      <c r="Z1918" s="28"/>
      <c r="AA1918" s="28"/>
      <c r="AB1918" s="28"/>
      <c r="AC1918" s="28"/>
    </row>
    <row r="1919" ht="78.0" customHeight="1">
      <c r="A1919" s="52"/>
      <c r="B1919" s="52"/>
      <c r="C1919" s="54"/>
      <c r="D1919" s="855"/>
      <c r="E1919" s="54"/>
      <c r="F1919" s="54"/>
      <c r="G1919" s="54"/>
      <c r="H1919" s="54"/>
      <c r="I1919" s="54"/>
      <c r="J1919" s="54"/>
      <c r="K1919" s="54"/>
      <c r="L1919" s="54"/>
      <c r="M1919" s="54"/>
      <c r="N1919" s="54"/>
      <c r="O1919" s="54"/>
      <c r="P1919" s="54"/>
      <c r="Q1919" s="54"/>
      <c r="R1919" s="54"/>
      <c r="S1919" s="54"/>
      <c r="T1919" s="54"/>
      <c r="U1919" s="54"/>
      <c r="V1919" s="54"/>
      <c r="W1919" s="54"/>
      <c r="X1919" s="54"/>
      <c r="Y1919" s="54"/>
      <c r="Z1919" s="54"/>
      <c r="AA1919" s="54"/>
      <c r="AB1919" s="54"/>
      <c r="AC1919" s="54"/>
    </row>
    <row r="1920" ht="78.0" customHeight="1">
      <c r="A1920" s="26"/>
      <c r="B1920" s="26"/>
      <c r="C1920" s="28"/>
      <c r="D1920" s="825"/>
      <c r="E1920" s="28"/>
      <c r="F1920" s="28"/>
      <c r="G1920" s="28"/>
      <c r="H1920" s="28"/>
      <c r="I1920" s="28"/>
      <c r="J1920" s="28"/>
      <c r="K1920" s="28"/>
      <c r="L1920" s="28"/>
      <c r="M1920" s="28"/>
      <c r="N1920" s="28"/>
      <c r="O1920" s="28"/>
      <c r="P1920" s="28"/>
      <c r="Q1920" s="28"/>
      <c r="R1920" s="28"/>
      <c r="S1920" s="28"/>
      <c r="T1920" s="28"/>
      <c r="U1920" s="28"/>
      <c r="V1920" s="28"/>
      <c r="W1920" s="28"/>
      <c r="X1920" s="28"/>
      <c r="Y1920" s="28"/>
      <c r="Z1920" s="28"/>
      <c r="AA1920" s="28"/>
      <c r="AB1920" s="28"/>
      <c r="AC1920" s="28"/>
    </row>
    <row r="1921" ht="78.0" customHeight="1">
      <c r="A1921" s="52"/>
      <c r="B1921" s="52"/>
      <c r="C1921" s="54"/>
      <c r="D1921" s="855"/>
      <c r="E1921" s="54"/>
      <c r="F1921" s="54"/>
      <c r="G1921" s="54"/>
      <c r="H1921" s="54"/>
      <c r="I1921" s="54"/>
      <c r="J1921" s="54"/>
      <c r="K1921" s="54"/>
      <c r="L1921" s="54"/>
      <c r="M1921" s="54"/>
      <c r="N1921" s="54"/>
      <c r="O1921" s="54"/>
      <c r="P1921" s="54"/>
      <c r="Q1921" s="54"/>
      <c r="R1921" s="54"/>
      <c r="S1921" s="54"/>
      <c r="T1921" s="54"/>
      <c r="U1921" s="54"/>
      <c r="V1921" s="54"/>
      <c r="W1921" s="54"/>
      <c r="X1921" s="54"/>
      <c r="Y1921" s="54"/>
      <c r="Z1921" s="54"/>
      <c r="AA1921" s="54"/>
      <c r="AB1921" s="54"/>
      <c r="AC1921" s="54"/>
    </row>
    <row r="1922" ht="78.0" customHeight="1">
      <c r="A1922" s="26"/>
      <c r="B1922" s="26"/>
      <c r="C1922" s="28"/>
      <c r="D1922" s="825"/>
      <c r="E1922" s="28"/>
      <c r="F1922" s="28"/>
      <c r="G1922" s="28"/>
      <c r="H1922" s="28"/>
      <c r="I1922" s="28"/>
      <c r="J1922" s="28"/>
      <c r="K1922" s="28"/>
      <c r="L1922" s="28"/>
      <c r="M1922" s="28"/>
      <c r="N1922" s="28"/>
      <c r="O1922" s="28"/>
      <c r="P1922" s="28"/>
      <c r="Q1922" s="28"/>
      <c r="R1922" s="28"/>
      <c r="S1922" s="28"/>
      <c r="T1922" s="28"/>
      <c r="U1922" s="28"/>
      <c r="V1922" s="28"/>
      <c r="W1922" s="28"/>
      <c r="X1922" s="28"/>
      <c r="Y1922" s="28"/>
      <c r="Z1922" s="28"/>
      <c r="AA1922" s="28"/>
      <c r="AB1922" s="28"/>
      <c r="AC1922" s="28"/>
    </row>
    <row r="1923" ht="78.0" customHeight="1">
      <c r="A1923" s="52"/>
      <c r="B1923" s="52"/>
      <c r="C1923" s="54"/>
      <c r="D1923" s="855"/>
      <c r="E1923" s="54"/>
      <c r="F1923" s="54"/>
      <c r="G1923" s="54"/>
      <c r="H1923" s="54"/>
      <c r="I1923" s="54"/>
      <c r="J1923" s="54"/>
      <c r="K1923" s="54"/>
      <c r="L1923" s="54"/>
      <c r="M1923" s="54"/>
      <c r="N1923" s="54"/>
      <c r="O1923" s="54"/>
      <c r="P1923" s="54"/>
      <c r="Q1923" s="54"/>
      <c r="R1923" s="54"/>
      <c r="S1923" s="54"/>
      <c r="T1923" s="54"/>
      <c r="U1923" s="54"/>
      <c r="V1923" s="54"/>
      <c r="W1923" s="54"/>
      <c r="X1923" s="54"/>
      <c r="Y1923" s="54"/>
      <c r="Z1923" s="54"/>
      <c r="AA1923" s="54"/>
      <c r="AB1923" s="54"/>
      <c r="AC1923" s="54"/>
    </row>
    <row r="1924" ht="78.0" customHeight="1">
      <c r="A1924" s="26"/>
      <c r="B1924" s="26"/>
      <c r="C1924" s="28"/>
      <c r="D1924" s="825"/>
      <c r="E1924" s="28"/>
      <c r="F1924" s="28"/>
      <c r="G1924" s="28"/>
      <c r="H1924" s="28"/>
      <c r="I1924" s="28"/>
      <c r="J1924" s="28"/>
      <c r="K1924" s="28"/>
      <c r="L1924" s="28"/>
      <c r="M1924" s="28"/>
      <c r="N1924" s="28"/>
      <c r="O1924" s="28"/>
      <c r="P1924" s="28"/>
      <c r="Q1924" s="28"/>
      <c r="R1924" s="28"/>
      <c r="S1924" s="28"/>
      <c r="T1924" s="28"/>
      <c r="U1924" s="28"/>
      <c r="V1924" s="28"/>
      <c r="W1924" s="28"/>
      <c r="X1924" s="28"/>
      <c r="Y1924" s="28"/>
      <c r="Z1924" s="28"/>
      <c r="AA1924" s="28"/>
      <c r="AB1924" s="28"/>
      <c r="AC1924" s="28"/>
    </row>
    <row r="1925" ht="78.0" customHeight="1">
      <c r="A1925" s="52"/>
      <c r="B1925" s="52"/>
      <c r="C1925" s="54"/>
      <c r="D1925" s="855"/>
      <c r="E1925" s="54"/>
      <c r="F1925" s="54"/>
      <c r="G1925" s="54"/>
      <c r="H1925" s="54"/>
      <c r="I1925" s="54"/>
      <c r="J1925" s="54"/>
      <c r="K1925" s="54"/>
      <c r="L1925" s="54"/>
      <c r="M1925" s="54"/>
      <c r="N1925" s="54"/>
      <c r="O1925" s="54"/>
      <c r="P1925" s="54"/>
      <c r="Q1925" s="54"/>
      <c r="R1925" s="54"/>
      <c r="S1925" s="54"/>
      <c r="T1925" s="54"/>
      <c r="U1925" s="54"/>
      <c r="V1925" s="54"/>
      <c r="W1925" s="54"/>
      <c r="X1925" s="54"/>
      <c r="Y1925" s="54"/>
      <c r="Z1925" s="54"/>
      <c r="AA1925" s="54"/>
      <c r="AB1925" s="54"/>
      <c r="AC1925" s="54"/>
    </row>
    <row r="1926" ht="78.0" customHeight="1">
      <c r="A1926" s="26"/>
      <c r="B1926" s="26"/>
      <c r="C1926" s="28"/>
      <c r="D1926" s="825"/>
      <c r="E1926" s="28"/>
      <c r="F1926" s="28"/>
      <c r="G1926" s="28"/>
      <c r="H1926" s="28"/>
      <c r="I1926" s="28"/>
      <c r="J1926" s="28"/>
      <c r="K1926" s="28"/>
      <c r="L1926" s="28"/>
      <c r="M1926" s="28"/>
      <c r="N1926" s="28"/>
      <c r="O1926" s="28"/>
      <c r="P1926" s="28"/>
      <c r="Q1926" s="28"/>
      <c r="R1926" s="28"/>
      <c r="S1926" s="28"/>
      <c r="T1926" s="28"/>
      <c r="U1926" s="28"/>
      <c r="V1926" s="28"/>
      <c r="W1926" s="28"/>
      <c r="X1926" s="28"/>
      <c r="Y1926" s="28"/>
      <c r="Z1926" s="28"/>
      <c r="AA1926" s="28"/>
      <c r="AB1926" s="28"/>
      <c r="AC1926" s="28"/>
    </row>
    <row r="1927" ht="78.0" customHeight="1">
      <c r="A1927" s="52"/>
      <c r="B1927" s="52"/>
      <c r="C1927" s="54"/>
      <c r="D1927" s="855"/>
      <c r="E1927" s="54"/>
      <c r="F1927" s="54"/>
      <c r="G1927" s="54"/>
      <c r="H1927" s="54"/>
      <c r="I1927" s="54"/>
      <c r="J1927" s="54"/>
      <c r="K1927" s="54"/>
      <c r="L1927" s="54"/>
      <c r="M1927" s="54"/>
      <c r="N1927" s="54"/>
      <c r="O1927" s="54"/>
      <c r="P1927" s="54"/>
      <c r="Q1927" s="54"/>
      <c r="R1927" s="54"/>
      <c r="S1927" s="54"/>
      <c r="T1927" s="54"/>
      <c r="U1927" s="54"/>
      <c r="V1927" s="54"/>
      <c r="W1927" s="54"/>
      <c r="X1927" s="54"/>
      <c r="Y1927" s="54"/>
      <c r="Z1927" s="54"/>
      <c r="AA1927" s="54"/>
      <c r="AB1927" s="54"/>
      <c r="AC1927" s="54"/>
    </row>
    <row r="1928" ht="78.0" customHeight="1">
      <c r="A1928" s="26"/>
      <c r="B1928" s="26"/>
      <c r="C1928" s="28"/>
      <c r="D1928" s="825"/>
      <c r="E1928" s="28"/>
      <c r="F1928" s="28"/>
      <c r="G1928" s="28"/>
      <c r="H1928" s="28"/>
      <c r="I1928" s="28"/>
      <c r="J1928" s="28"/>
      <c r="K1928" s="28"/>
      <c r="L1928" s="28"/>
      <c r="M1928" s="28"/>
      <c r="N1928" s="28"/>
      <c r="O1928" s="28"/>
      <c r="P1928" s="28"/>
      <c r="Q1928" s="28"/>
      <c r="R1928" s="28"/>
      <c r="S1928" s="28"/>
      <c r="T1928" s="28"/>
      <c r="U1928" s="28"/>
      <c r="V1928" s="28"/>
      <c r="W1928" s="28"/>
      <c r="X1928" s="28"/>
      <c r="Y1928" s="28"/>
      <c r="Z1928" s="28"/>
      <c r="AA1928" s="28"/>
      <c r="AB1928" s="28"/>
      <c r="AC1928" s="28"/>
    </row>
    <row r="1929" ht="78.0" customHeight="1">
      <c r="A1929" s="52"/>
      <c r="B1929" s="52"/>
      <c r="C1929" s="54"/>
      <c r="D1929" s="855"/>
      <c r="E1929" s="54"/>
      <c r="F1929" s="54"/>
      <c r="G1929" s="54"/>
      <c r="H1929" s="54"/>
      <c r="I1929" s="54"/>
      <c r="J1929" s="54"/>
      <c r="K1929" s="54"/>
      <c r="L1929" s="54"/>
      <c r="M1929" s="54"/>
      <c r="N1929" s="54"/>
      <c r="O1929" s="54"/>
      <c r="P1929" s="54"/>
      <c r="Q1929" s="54"/>
      <c r="R1929" s="54"/>
      <c r="S1929" s="54"/>
      <c r="T1929" s="54"/>
      <c r="U1929" s="54"/>
      <c r="V1929" s="54"/>
      <c r="W1929" s="54"/>
      <c r="X1929" s="54"/>
      <c r="Y1929" s="54"/>
      <c r="Z1929" s="54"/>
      <c r="AA1929" s="54"/>
      <c r="AB1929" s="54"/>
      <c r="AC1929" s="54"/>
    </row>
    <row r="1930" ht="78.0" customHeight="1">
      <c r="A1930" s="26"/>
      <c r="B1930" s="26"/>
      <c r="C1930" s="28"/>
      <c r="D1930" s="825"/>
      <c r="E1930" s="28"/>
      <c r="F1930" s="28"/>
      <c r="G1930" s="28"/>
      <c r="H1930" s="28"/>
      <c r="I1930" s="28"/>
      <c r="J1930" s="28"/>
      <c r="K1930" s="28"/>
      <c r="L1930" s="28"/>
      <c r="M1930" s="28"/>
      <c r="N1930" s="28"/>
      <c r="O1930" s="28"/>
      <c r="P1930" s="28"/>
      <c r="Q1930" s="28"/>
      <c r="R1930" s="28"/>
      <c r="S1930" s="28"/>
      <c r="T1930" s="28"/>
      <c r="U1930" s="28"/>
      <c r="V1930" s="28"/>
      <c r="W1930" s="28"/>
      <c r="X1930" s="28"/>
      <c r="Y1930" s="28"/>
      <c r="Z1930" s="28"/>
      <c r="AA1930" s="28"/>
      <c r="AB1930" s="28"/>
      <c r="AC1930" s="28"/>
    </row>
    <row r="1931" ht="78.0" customHeight="1">
      <c r="A1931" s="52"/>
      <c r="B1931" s="52"/>
      <c r="C1931" s="54"/>
      <c r="D1931" s="855"/>
      <c r="E1931" s="54"/>
      <c r="F1931" s="54"/>
      <c r="G1931" s="54"/>
      <c r="H1931" s="54"/>
      <c r="I1931" s="54"/>
      <c r="J1931" s="54"/>
      <c r="K1931" s="54"/>
      <c r="L1931" s="54"/>
      <c r="M1931" s="54"/>
      <c r="N1931" s="54"/>
      <c r="O1931" s="54"/>
      <c r="P1931" s="54"/>
      <c r="Q1931" s="54"/>
      <c r="R1931" s="54"/>
      <c r="S1931" s="54"/>
      <c r="T1931" s="54"/>
      <c r="U1931" s="54"/>
      <c r="V1931" s="54"/>
      <c r="W1931" s="54"/>
      <c r="X1931" s="54"/>
      <c r="Y1931" s="54"/>
      <c r="Z1931" s="54"/>
      <c r="AA1931" s="54"/>
      <c r="AB1931" s="54"/>
      <c r="AC1931" s="54"/>
    </row>
    <row r="1932" ht="78.0" customHeight="1">
      <c r="A1932" s="26"/>
      <c r="B1932" s="26"/>
      <c r="C1932" s="28"/>
      <c r="D1932" s="825"/>
      <c r="E1932" s="28"/>
      <c r="F1932" s="28"/>
      <c r="G1932" s="28"/>
      <c r="H1932" s="28"/>
      <c r="I1932" s="28"/>
      <c r="J1932" s="28"/>
      <c r="K1932" s="28"/>
      <c r="L1932" s="28"/>
      <c r="M1932" s="28"/>
      <c r="N1932" s="28"/>
      <c r="O1932" s="28"/>
      <c r="P1932" s="28"/>
      <c r="Q1932" s="28"/>
      <c r="R1932" s="28"/>
      <c r="S1932" s="28"/>
      <c r="T1932" s="28"/>
      <c r="U1932" s="28"/>
      <c r="V1932" s="28"/>
      <c r="W1932" s="28"/>
      <c r="X1932" s="28"/>
      <c r="Y1932" s="28"/>
      <c r="Z1932" s="28"/>
      <c r="AA1932" s="28"/>
      <c r="AB1932" s="28"/>
      <c r="AC1932" s="28"/>
    </row>
    <row r="1933" ht="78.0" customHeight="1">
      <c r="A1933" s="52"/>
      <c r="B1933" s="52"/>
      <c r="C1933" s="54"/>
      <c r="D1933" s="855"/>
      <c r="E1933" s="54"/>
      <c r="F1933" s="54"/>
      <c r="G1933" s="54"/>
      <c r="H1933" s="54"/>
      <c r="I1933" s="54"/>
      <c r="J1933" s="54"/>
      <c r="K1933" s="54"/>
      <c r="L1933" s="54"/>
      <c r="M1933" s="54"/>
      <c r="N1933" s="54"/>
      <c r="O1933" s="54"/>
      <c r="P1933" s="54"/>
      <c r="Q1933" s="54"/>
      <c r="R1933" s="54"/>
      <c r="S1933" s="54"/>
      <c r="T1933" s="54"/>
      <c r="U1933" s="54"/>
      <c r="V1933" s="54"/>
      <c r="W1933" s="54"/>
      <c r="X1933" s="54"/>
      <c r="Y1933" s="54"/>
      <c r="Z1933" s="54"/>
      <c r="AA1933" s="54"/>
      <c r="AB1933" s="54"/>
      <c r="AC1933" s="54"/>
    </row>
    <row r="1934" ht="78.0" customHeight="1">
      <c r="A1934" s="26"/>
      <c r="B1934" s="26"/>
      <c r="C1934" s="28"/>
      <c r="D1934" s="825"/>
      <c r="E1934" s="28"/>
      <c r="F1934" s="28"/>
      <c r="G1934" s="28"/>
      <c r="H1934" s="28"/>
      <c r="I1934" s="28"/>
      <c r="J1934" s="28"/>
      <c r="K1934" s="28"/>
      <c r="L1934" s="28"/>
      <c r="M1934" s="28"/>
      <c r="N1934" s="28"/>
      <c r="O1934" s="28"/>
      <c r="P1934" s="28"/>
      <c r="Q1934" s="28"/>
      <c r="R1934" s="28"/>
      <c r="S1934" s="28"/>
      <c r="T1934" s="28"/>
      <c r="U1934" s="28"/>
      <c r="V1934" s="28"/>
      <c r="W1934" s="28"/>
      <c r="X1934" s="28"/>
      <c r="Y1934" s="28"/>
      <c r="Z1934" s="28"/>
      <c r="AA1934" s="28"/>
      <c r="AB1934" s="28"/>
      <c r="AC1934" s="28"/>
    </row>
    <row r="1935" ht="78.0" customHeight="1">
      <c r="A1935" s="52"/>
      <c r="B1935" s="52"/>
      <c r="C1935" s="54"/>
      <c r="D1935" s="855"/>
      <c r="E1935" s="54"/>
      <c r="F1935" s="54"/>
      <c r="G1935" s="54"/>
      <c r="H1935" s="54"/>
      <c r="I1935" s="54"/>
      <c r="J1935" s="54"/>
      <c r="K1935" s="54"/>
      <c r="L1935" s="54"/>
      <c r="M1935" s="54"/>
      <c r="N1935" s="54"/>
      <c r="O1935" s="54"/>
      <c r="P1935" s="54"/>
      <c r="Q1935" s="54"/>
      <c r="R1935" s="54"/>
      <c r="S1935" s="54"/>
      <c r="T1935" s="54"/>
      <c r="U1935" s="54"/>
      <c r="V1935" s="54"/>
      <c r="W1935" s="54"/>
      <c r="X1935" s="54"/>
      <c r="Y1935" s="54"/>
      <c r="Z1935" s="54"/>
      <c r="AA1935" s="54"/>
      <c r="AB1935" s="54"/>
      <c r="AC1935" s="54"/>
    </row>
    <row r="1936" ht="78.0" customHeight="1">
      <c r="A1936" s="26"/>
      <c r="B1936" s="26"/>
      <c r="C1936" s="28"/>
      <c r="D1936" s="825"/>
      <c r="E1936" s="28"/>
      <c r="F1936" s="28"/>
      <c r="G1936" s="28"/>
      <c r="H1936" s="28"/>
      <c r="I1936" s="28"/>
      <c r="J1936" s="28"/>
      <c r="K1936" s="28"/>
      <c r="L1936" s="28"/>
      <c r="M1936" s="28"/>
      <c r="N1936" s="28"/>
      <c r="O1936" s="28"/>
      <c r="P1936" s="28"/>
      <c r="Q1936" s="28"/>
      <c r="R1936" s="28"/>
      <c r="S1936" s="28"/>
      <c r="T1936" s="28"/>
      <c r="U1936" s="28"/>
      <c r="V1936" s="28"/>
      <c r="W1936" s="28"/>
      <c r="X1936" s="28"/>
      <c r="Y1936" s="28"/>
      <c r="Z1936" s="28"/>
      <c r="AA1936" s="28"/>
      <c r="AB1936" s="28"/>
      <c r="AC1936" s="28"/>
    </row>
    <row r="1937" ht="78.0" customHeight="1">
      <c r="A1937" s="52"/>
      <c r="B1937" s="52"/>
      <c r="C1937" s="54"/>
      <c r="D1937" s="855"/>
      <c r="E1937" s="54"/>
      <c r="F1937" s="54"/>
      <c r="G1937" s="54"/>
      <c r="H1937" s="54"/>
      <c r="I1937" s="54"/>
      <c r="J1937" s="54"/>
      <c r="K1937" s="54"/>
      <c r="L1937" s="54"/>
      <c r="M1937" s="54"/>
      <c r="N1937" s="54"/>
      <c r="O1937" s="54"/>
      <c r="P1937" s="54"/>
      <c r="Q1937" s="54"/>
      <c r="R1937" s="54"/>
      <c r="S1937" s="54"/>
      <c r="T1937" s="54"/>
      <c r="U1937" s="54"/>
      <c r="V1937" s="54"/>
      <c r="W1937" s="54"/>
      <c r="X1937" s="54"/>
      <c r="Y1937" s="54"/>
      <c r="Z1937" s="54"/>
      <c r="AA1937" s="54"/>
      <c r="AB1937" s="54"/>
      <c r="AC1937" s="54"/>
    </row>
    <row r="1938" ht="78.0" customHeight="1">
      <c r="A1938" s="26"/>
      <c r="B1938" s="26"/>
      <c r="C1938" s="28"/>
      <c r="D1938" s="825"/>
      <c r="E1938" s="28"/>
      <c r="F1938" s="28"/>
      <c r="G1938" s="28"/>
      <c r="H1938" s="28"/>
      <c r="I1938" s="28"/>
      <c r="J1938" s="28"/>
      <c r="K1938" s="28"/>
      <c r="L1938" s="28"/>
      <c r="M1938" s="28"/>
      <c r="N1938" s="28"/>
      <c r="O1938" s="28"/>
      <c r="P1938" s="28"/>
      <c r="Q1938" s="28"/>
      <c r="R1938" s="28"/>
      <c r="S1938" s="28"/>
      <c r="T1938" s="28"/>
      <c r="U1938" s="28"/>
      <c r="V1938" s="28"/>
      <c r="W1938" s="28"/>
      <c r="X1938" s="28"/>
      <c r="Y1938" s="28"/>
      <c r="Z1938" s="28"/>
      <c r="AA1938" s="28"/>
      <c r="AB1938" s="28"/>
      <c r="AC1938" s="28"/>
    </row>
    <row r="1939" ht="78.0" customHeight="1">
      <c r="A1939" s="52"/>
      <c r="B1939" s="52"/>
      <c r="C1939" s="54"/>
      <c r="D1939" s="855"/>
      <c r="E1939" s="54"/>
      <c r="F1939" s="54"/>
      <c r="G1939" s="54"/>
      <c r="H1939" s="54"/>
      <c r="I1939" s="54"/>
      <c r="J1939" s="54"/>
      <c r="K1939" s="54"/>
      <c r="L1939" s="54"/>
      <c r="M1939" s="54"/>
      <c r="N1939" s="54"/>
      <c r="O1939" s="54"/>
      <c r="P1939" s="54"/>
      <c r="Q1939" s="54"/>
      <c r="R1939" s="54"/>
      <c r="S1939" s="54"/>
      <c r="T1939" s="54"/>
      <c r="U1939" s="54"/>
      <c r="V1939" s="54"/>
      <c r="W1939" s="54"/>
      <c r="X1939" s="54"/>
      <c r="Y1939" s="54"/>
      <c r="Z1939" s="54"/>
      <c r="AA1939" s="54"/>
      <c r="AB1939" s="54"/>
      <c r="AC1939" s="54"/>
    </row>
    <row r="1940" ht="78.0" customHeight="1">
      <c r="A1940" s="26"/>
      <c r="B1940" s="26"/>
      <c r="C1940" s="28"/>
      <c r="D1940" s="825"/>
      <c r="E1940" s="28"/>
      <c r="F1940" s="28"/>
      <c r="G1940" s="28"/>
      <c r="H1940" s="28"/>
      <c r="I1940" s="28"/>
      <c r="J1940" s="28"/>
      <c r="K1940" s="28"/>
      <c r="L1940" s="28"/>
      <c r="M1940" s="28"/>
      <c r="N1940" s="28"/>
      <c r="O1940" s="28"/>
      <c r="P1940" s="28"/>
      <c r="Q1940" s="28"/>
      <c r="R1940" s="28"/>
      <c r="S1940" s="28"/>
      <c r="T1940" s="28"/>
      <c r="U1940" s="28"/>
      <c r="V1940" s="28"/>
      <c r="W1940" s="28"/>
      <c r="X1940" s="28"/>
      <c r="Y1940" s="28"/>
      <c r="Z1940" s="28"/>
      <c r="AA1940" s="28"/>
      <c r="AB1940" s="28"/>
      <c r="AC1940" s="28"/>
    </row>
    <row r="1941" ht="78.0" customHeight="1">
      <c r="A1941" s="52"/>
      <c r="B1941" s="52"/>
      <c r="C1941" s="54"/>
      <c r="D1941" s="855"/>
      <c r="E1941" s="54"/>
      <c r="F1941" s="54"/>
      <c r="G1941" s="54"/>
      <c r="H1941" s="54"/>
      <c r="I1941" s="54"/>
      <c r="J1941" s="54"/>
      <c r="K1941" s="54"/>
      <c r="L1941" s="54"/>
      <c r="M1941" s="54"/>
      <c r="N1941" s="54"/>
      <c r="O1941" s="54"/>
      <c r="P1941" s="54"/>
      <c r="Q1941" s="54"/>
      <c r="R1941" s="54"/>
      <c r="S1941" s="54"/>
      <c r="T1941" s="54"/>
      <c r="U1941" s="54"/>
      <c r="V1941" s="54"/>
      <c r="W1941" s="54"/>
      <c r="X1941" s="54"/>
      <c r="Y1941" s="54"/>
      <c r="Z1941" s="54"/>
      <c r="AA1941" s="54"/>
      <c r="AB1941" s="54"/>
      <c r="AC1941" s="54"/>
    </row>
    <row r="1942" ht="78.0" customHeight="1">
      <c r="A1942" s="26"/>
      <c r="B1942" s="26"/>
      <c r="C1942" s="28"/>
      <c r="D1942" s="825"/>
      <c r="E1942" s="28"/>
      <c r="F1942" s="28"/>
      <c r="G1942" s="28"/>
      <c r="H1942" s="28"/>
      <c r="I1942" s="28"/>
      <c r="J1942" s="28"/>
      <c r="K1942" s="28"/>
      <c r="L1942" s="28"/>
      <c r="M1942" s="28"/>
      <c r="N1942" s="28"/>
      <c r="O1942" s="28"/>
      <c r="P1942" s="28"/>
      <c r="Q1942" s="28"/>
      <c r="R1942" s="28"/>
      <c r="S1942" s="28"/>
      <c r="T1942" s="28"/>
      <c r="U1942" s="28"/>
      <c r="V1942" s="28"/>
      <c r="W1942" s="28"/>
      <c r="X1942" s="28"/>
      <c r="Y1942" s="28"/>
      <c r="Z1942" s="28"/>
      <c r="AA1942" s="28"/>
      <c r="AB1942" s="28"/>
      <c r="AC1942" s="28"/>
    </row>
    <row r="1943" ht="78.0" customHeight="1">
      <c r="A1943" s="52"/>
      <c r="B1943" s="52"/>
      <c r="C1943" s="54"/>
      <c r="D1943" s="855"/>
      <c r="E1943" s="54"/>
      <c r="F1943" s="54"/>
      <c r="G1943" s="54"/>
      <c r="H1943" s="54"/>
      <c r="I1943" s="54"/>
      <c r="J1943" s="54"/>
      <c r="K1943" s="54"/>
      <c r="L1943" s="54"/>
      <c r="M1943" s="54"/>
      <c r="N1943" s="54"/>
      <c r="O1943" s="54"/>
      <c r="P1943" s="54"/>
      <c r="Q1943" s="54"/>
      <c r="R1943" s="54"/>
      <c r="S1943" s="54"/>
      <c r="T1943" s="54"/>
      <c r="U1943" s="54"/>
      <c r="V1943" s="54"/>
      <c r="W1943" s="54"/>
      <c r="X1943" s="54"/>
      <c r="Y1943" s="54"/>
      <c r="Z1943" s="54"/>
      <c r="AA1943" s="54"/>
      <c r="AB1943" s="54"/>
      <c r="AC1943" s="54"/>
    </row>
    <row r="1944" ht="78.0" customHeight="1">
      <c r="A1944" s="26"/>
      <c r="B1944" s="26"/>
      <c r="C1944" s="28"/>
      <c r="D1944" s="825"/>
      <c r="E1944" s="28"/>
      <c r="F1944" s="28"/>
      <c r="G1944" s="28"/>
      <c r="H1944" s="28"/>
      <c r="I1944" s="28"/>
      <c r="J1944" s="28"/>
      <c r="K1944" s="28"/>
      <c r="L1944" s="28"/>
      <c r="M1944" s="28"/>
      <c r="N1944" s="28"/>
      <c r="O1944" s="28"/>
      <c r="P1944" s="28"/>
      <c r="Q1944" s="28"/>
      <c r="R1944" s="28"/>
      <c r="S1944" s="28"/>
      <c r="T1944" s="28"/>
      <c r="U1944" s="28"/>
      <c r="V1944" s="28"/>
      <c r="W1944" s="28"/>
      <c r="X1944" s="28"/>
      <c r="Y1944" s="28"/>
      <c r="Z1944" s="28"/>
      <c r="AA1944" s="28"/>
      <c r="AB1944" s="28"/>
      <c r="AC1944" s="28"/>
    </row>
    <row r="1945" ht="78.0" customHeight="1">
      <c r="A1945" s="52"/>
      <c r="B1945" s="52"/>
      <c r="C1945" s="54"/>
      <c r="D1945" s="855"/>
      <c r="E1945" s="54"/>
      <c r="F1945" s="54"/>
      <c r="G1945" s="54"/>
      <c r="H1945" s="54"/>
      <c r="I1945" s="54"/>
      <c r="J1945" s="54"/>
      <c r="K1945" s="54"/>
      <c r="L1945" s="54"/>
      <c r="M1945" s="54"/>
      <c r="N1945" s="54"/>
      <c r="O1945" s="54"/>
      <c r="P1945" s="54"/>
      <c r="Q1945" s="54"/>
      <c r="R1945" s="54"/>
      <c r="S1945" s="54"/>
      <c r="T1945" s="54"/>
      <c r="U1945" s="54"/>
      <c r="V1945" s="54"/>
      <c r="W1945" s="54"/>
      <c r="X1945" s="54"/>
      <c r="Y1945" s="54"/>
      <c r="Z1945" s="54"/>
      <c r="AA1945" s="54"/>
      <c r="AB1945" s="54"/>
      <c r="AC1945" s="54"/>
    </row>
    <row r="1946" ht="78.0" customHeight="1">
      <c r="A1946" s="26"/>
      <c r="B1946" s="26"/>
      <c r="C1946" s="28"/>
      <c r="D1946" s="825"/>
      <c r="E1946" s="28"/>
      <c r="F1946" s="28"/>
      <c r="G1946" s="28"/>
      <c r="H1946" s="28"/>
      <c r="I1946" s="28"/>
      <c r="J1946" s="28"/>
      <c r="K1946" s="28"/>
      <c r="L1946" s="28"/>
      <c r="M1946" s="28"/>
      <c r="N1946" s="28"/>
      <c r="O1946" s="28"/>
      <c r="P1946" s="28"/>
      <c r="Q1946" s="28"/>
      <c r="R1946" s="28"/>
      <c r="S1946" s="28"/>
      <c r="T1946" s="28"/>
      <c r="U1946" s="28"/>
      <c r="V1946" s="28"/>
      <c r="W1946" s="28"/>
      <c r="X1946" s="28"/>
      <c r="Y1946" s="28"/>
      <c r="Z1946" s="28"/>
      <c r="AA1946" s="28"/>
      <c r="AB1946" s="28"/>
      <c r="AC1946" s="28"/>
    </row>
    <row r="1947" ht="78.0" customHeight="1">
      <c r="A1947" s="52"/>
      <c r="B1947" s="52"/>
      <c r="C1947" s="54"/>
      <c r="D1947" s="855"/>
      <c r="E1947" s="54"/>
      <c r="F1947" s="54"/>
      <c r="G1947" s="54"/>
      <c r="H1947" s="54"/>
      <c r="I1947" s="54"/>
      <c r="J1947" s="54"/>
      <c r="K1947" s="54"/>
      <c r="L1947" s="54"/>
      <c r="M1947" s="54"/>
      <c r="N1947" s="54"/>
      <c r="O1947" s="54"/>
      <c r="P1947" s="54"/>
      <c r="Q1947" s="54"/>
      <c r="R1947" s="54"/>
      <c r="S1947" s="54"/>
      <c r="T1947" s="54"/>
      <c r="U1947" s="54"/>
      <c r="V1947" s="54"/>
      <c r="W1947" s="54"/>
      <c r="X1947" s="54"/>
      <c r="Y1947" s="54"/>
      <c r="Z1947" s="54"/>
      <c r="AA1947" s="54"/>
      <c r="AB1947" s="54"/>
      <c r="AC1947" s="54"/>
    </row>
    <row r="1948" ht="78.0" customHeight="1">
      <c r="A1948" s="26"/>
      <c r="B1948" s="26"/>
      <c r="C1948" s="28"/>
      <c r="D1948" s="825"/>
      <c r="E1948" s="28"/>
      <c r="F1948" s="28"/>
      <c r="G1948" s="28"/>
      <c r="H1948" s="28"/>
      <c r="I1948" s="28"/>
      <c r="J1948" s="28"/>
      <c r="K1948" s="28"/>
      <c r="L1948" s="28"/>
      <c r="M1948" s="28"/>
      <c r="N1948" s="28"/>
      <c r="O1948" s="28"/>
      <c r="P1948" s="28"/>
      <c r="Q1948" s="28"/>
      <c r="R1948" s="28"/>
      <c r="S1948" s="28"/>
      <c r="T1948" s="28"/>
      <c r="U1948" s="28"/>
      <c r="V1948" s="28"/>
      <c r="W1948" s="28"/>
      <c r="X1948" s="28"/>
      <c r="Y1948" s="28"/>
      <c r="Z1948" s="28"/>
      <c r="AA1948" s="28"/>
      <c r="AB1948" s="28"/>
      <c r="AC1948" s="28"/>
    </row>
    <row r="1949" ht="78.0" customHeight="1">
      <c r="A1949" s="52"/>
      <c r="B1949" s="52"/>
      <c r="C1949" s="54"/>
      <c r="D1949" s="855"/>
      <c r="E1949" s="54"/>
      <c r="F1949" s="54"/>
      <c r="G1949" s="54"/>
      <c r="H1949" s="54"/>
      <c r="I1949" s="54"/>
      <c r="J1949" s="54"/>
      <c r="K1949" s="54"/>
      <c r="L1949" s="54"/>
      <c r="M1949" s="54"/>
      <c r="N1949" s="54"/>
      <c r="O1949" s="54"/>
      <c r="P1949" s="54"/>
      <c r="Q1949" s="54"/>
      <c r="R1949" s="54"/>
      <c r="S1949" s="54"/>
      <c r="T1949" s="54"/>
      <c r="U1949" s="54"/>
      <c r="V1949" s="54"/>
      <c r="W1949" s="54"/>
      <c r="X1949" s="54"/>
      <c r="Y1949" s="54"/>
      <c r="Z1949" s="54"/>
      <c r="AA1949" s="54"/>
      <c r="AB1949" s="54"/>
      <c r="AC1949" s="54"/>
    </row>
    <row r="1950" ht="78.0" customHeight="1">
      <c r="A1950" s="26"/>
      <c r="B1950" s="26"/>
      <c r="C1950" s="28"/>
      <c r="D1950" s="825"/>
      <c r="E1950" s="28"/>
      <c r="F1950" s="28"/>
      <c r="G1950" s="28"/>
      <c r="H1950" s="28"/>
      <c r="I1950" s="28"/>
      <c r="J1950" s="28"/>
      <c r="K1950" s="28"/>
      <c r="L1950" s="28"/>
      <c r="M1950" s="28"/>
      <c r="N1950" s="28"/>
      <c r="O1950" s="28"/>
      <c r="P1950" s="28"/>
      <c r="Q1950" s="28"/>
      <c r="R1950" s="28"/>
      <c r="S1950" s="28"/>
      <c r="T1950" s="28"/>
      <c r="U1950" s="28"/>
      <c r="V1950" s="28"/>
      <c r="W1950" s="28"/>
      <c r="X1950" s="28"/>
      <c r="Y1950" s="28"/>
      <c r="Z1950" s="28"/>
      <c r="AA1950" s="28"/>
      <c r="AB1950" s="28"/>
      <c r="AC1950" s="28"/>
    </row>
    <row r="1951" ht="78.0" customHeight="1">
      <c r="A1951" s="52"/>
      <c r="B1951" s="52"/>
      <c r="C1951" s="54"/>
      <c r="D1951" s="855"/>
      <c r="E1951" s="54"/>
      <c r="F1951" s="54"/>
      <c r="G1951" s="54"/>
      <c r="H1951" s="54"/>
      <c r="I1951" s="54"/>
      <c r="J1951" s="54"/>
      <c r="K1951" s="54"/>
      <c r="L1951" s="54"/>
      <c r="M1951" s="54"/>
      <c r="N1951" s="54"/>
      <c r="O1951" s="54"/>
      <c r="P1951" s="54"/>
      <c r="Q1951" s="54"/>
      <c r="R1951" s="54"/>
      <c r="S1951" s="54"/>
      <c r="T1951" s="54"/>
      <c r="U1951" s="54"/>
      <c r="V1951" s="54"/>
      <c r="W1951" s="54"/>
      <c r="X1951" s="54"/>
      <c r="Y1951" s="54"/>
      <c r="Z1951" s="54"/>
      <c r="AA1951" s="54"/>
      <c r="AB1951" s="54"/>
      <c r="AC1951" s="54"/>
    </row>
    <row r="1952" ht="78.0" customHeight="1">
      <c r="A1952" s="26"/>
      <c r="B1952" s="26"/>
      <c r="C1952" s="28"/>
      <c r="D1952" s="825"/>
      <c r="E1952" s="28"/>
      <c r="F1952" s="28"/>
      <c r="G1952" s="28"/>
      <c r="H1952" s="28"/>
      <c r="I1952" s="28"/>
      <c r="J1952" s="28"/>
      <c r="K1952" s="28"/>
      <c r="L1952" s="28"/>
      <c r="M1952" s="28"/>
      <c r="N1952" s="28"/>
      <c r="O1952" s="28"/>
      <c r="P1952" s="28"/>
      <c r="Q1952" s="28"/>
      <c r="R1952" s="28"/>
      <c r="S1952" s="28"/>
      <c r="T1952" s="28"/>
      <c r="U1952" s="28"/>
      <c r="V1952" s="28"/>
      <c r="W1952" s="28"/>
      <c r="X1952" s="28"/>
      <c r="Y1952" s="28"/>
      <c r="Z1952" s="28"/>
      <c r="AA1952" s="28"/>
      <c r="AB1952" s="28"/>
      <c r="AC1952" s="28"/>
    </row>
    <row r="1953" ht="78.0" customHeight="1">
      <c r="A1953" s="52"/>
      <c r="B1953" s="52"/>
      <c r="C1953" s="54"/>
      <c r="D1953" s="855"/>
      <c r="E1953" s="54"/>
      <c r="F1953" s="54"/>
      <c r="G1953" s="54"/>
      <c r="H1953" s="54"/>
      <c r="I1953" s="54"/>
      <c r="J1953" s="54"/>
      <c r="K1953" s="54"/>
      <c r="L1953" s="54"/>
      <c r="M1953" s="54"/>
      <c r="N1953" s="54"/>
      <c r="O1953" s="54"/>
      <c r="P1953" s="54"/>
      <c r="Q1953" s="54"/>
      <c r="R1953" s="54"/>
      <c r="S1953" s="54"/>
      <c r="T1953" s="54"/>
      <c r="U1953" s="54"/>
      <c r="V1953" s="54"/>
      <c r="W1953" s="54"/>
      <c r="X1953" s="54"/>
      <c r="Y1953" s="54"/>
      <c r="Z1953" s="54"/>
      <c r="AA1953" s="54"/>
      <c r="AB1953" s="54"/>
      <c r="AC1953" s="54"/>
    </row>
    <row r="1954" ht="78.0" customHeight="1">
      <c r="A1954" s="26"/>
      <c r="B1954" s="26"/>
      <c r="C1954" s="28"/>
      <c r="D1954" s="825"/>
      <c r="E1954" s="28"/>
      <c r="F1954" s="28"/>
      <c r="G1954" s="28"/>
      <c r="H1954" s="28"/>
      <c r="I1954" s="28"/>
      <c r="J1954" s="28"/>
      <c r="K1954" s="28"/>
      <c r="L1954" s="28"/>
      <c r="M1954" s="28"/>
      <c r="N1954" s="28"/>
      <c r="O1954" s="28"/>
      <c r="P1954" s="28"/>
      <c r="Q1954" s="28"/>
      <c r="R1954" s="28"/>
      <c r="S1954" s="28"/>
      <c r="T1954" s="28"/>
      <c r="U1954" s="28"/>
      <c r="V1954" s="28"/>
      <c r="W1954" s="28"/>
      <c r="X1954" s="28"/>
      <c r="Y1954" s="28"/>
      <c r="Z1954" s="28"/>
      <c r="AA1954" s="28"/>
      <c r="AB1954" s="28"/>
      <c r="AC1954" s="28"/>
    </row>
    <row r="1955" ht="78.0" customHeight="1">
      <c r="A1955" s="52"/>
      <c r="B1955" s="52"/>
      <c r="C1955" s="54"/>
      <c r="D1955" s="855"/>
      <c r="E1955" s="54"/>
      <c r="F1955" s="54"/>
      <c r="G1955" s="54"/>
      <c r="H1955" s="54"/>
      <c r="I1955" s="54"/>
      <c r="J1955" s="54"/>
      <c r="K1955" s="54"/>
      <c r="L1955" s="54"/>
      <c r="M1955" s="54"/>
      <c r="N1955" s="54"/>
      <c r="O1955" s="54"/>
      <c r="P1955" s="54"/>
      <c r="Q1955" s="54"/>
      <c r="R1955" s="54"/>
      <c r="S1955" s="54"/>
      <c r="T1955" s="54"/>
      <c r="U1955" s="54"/>
      <c r="V1955" s="54"/>
      <c r="W1955" s="54"/>
      <c r="X1955" s="54"/>
      <c r="Y1955" s="54"/>
      <c r="Z1955" s="54"/>
      <c r="AA1955" s="54"/>
      <c r="AB1955" s="54"/>
      <c r="AC1955" s="54"/>
    </row>
    <row r="1956" ht="78.0" customHeight="1">
      <c r="A1956" s="26"/>
      <c r="B1956" s="26"/>
      <c r="C1956" s="28"/>
      <c r="D1956" s="825"/>
      <c r="E1956" s="28"/>
      <c r="F1956" s="28"/>
      <c r="G1956" s="28"/>
      <c r="H1956" s="28"/>
      <c r="I1956" s="28"/>
      <c r="J1956" s="28"/>
      <c r="K1956" s="28"/>
      <c r="L1956" s="28"/>
      <c r="M1956" s="28"/>
      <c r="N1956" s="28"/>
      <c r="O1956" s="28"/>
      <c r="P1956" s="28"/>
      <c r="Q1956" s="28"/>
      <c r="R1956" s="28"/>
      <c r="S1956" s="28"/>
      <c r="T1956" s="28"/>
      <c r="U1956" s="28"/>
      <c r="V1956" s="28"/>
      <c r="W1956" s="28"/>
      <c r="X1956" s="28"/>
      <c r="Y1956" s="28"/>
      <c r="Z1956" s="28"/>
      <c r="AA1956" s="28"/>
      <c r="AB1956" s="28"/>
      <c r="AC1956" s="28"/>
    </row>
    <row r="1957" ht="78.0" customHeight="1">
      <c r="A1957" s="52"/>
      <c r="B1957" s="52"/>
      <c r="C1957" s="54"/>
      <c r="D1957" s="855"/>
      <c r="E1957" s="54"/>
      <c r="F1957" s="54"/>
      <c r="G1957" s="54"/>
      <c r="H1957" s="54"/>
      <c r="I1957" s="54"/>
      <c r="J1957" s="54"/>
      <c r="K1957" s="54"/>
      <c r="L1957" s="54"/>
      <c r="M1957" s="54"/>
      <c r="N1957" s="54"/>
      <c r="O1957" s="54"/>
      <c r="P1957" s="54"/>
      <c r="Q1957" s="54"/>
      <c r="R1957" s="54"/>
      <c r="S1957" s="54"/>
      <c r="T1957" s="54"/>
      <c r="U1957" s="54"/>
      <c r="V1957" s="54"/>
      <c r="W1957" s="54"/>
      <c r="X1957" s="54"/>
      <c r="Y1957" s="54"/>
      <c r="Z1957" s="54"/>
      <c r="AA1957" s="54"/>
      <c r="AB1957" s="54"/>
      <c r="AC1957" s="54"/>
    </row>
    <row r="1958" ht="78.0" customHeight="1">
      <c r="A1958" s="26"/>
      <c r="B1958" s="26"/>
      <c r="C1958" s="28"/>
      <c r="D1958" s="825"/>
      <c r="E1958" s="28"/>
      <c r="F1958" s="28"/>
      <c r="G1958" s="28"/>
      <c r="H1958" s="28"/>
      <c r="I1958" s="28"/>
      <c r="J1958" s="28"/>
      <c r="K1958" s="28"/>
      <c r="L1958" s="28"/>
      <c r="M1958" s="28"/>
      <c r="N1958" s="28"/>
      <c r="O1958" s="28"/>
      <c r="P1958" s="28"/>
      <c r="Q1958" s="28"/>
      <c r="R1958" s="28"/>
      <c r="S1958" s="28"/>
      <c r="T1958" s="28"/>
      <c r="U1958" s="28"/>
      <c r="V1958" s="28"/>
      <c r="W1958" s="28"/>
      <c r="X1958" s="28"/>
      <c r="Y1958" s="28"/>
      <c r="Z1958" s="28"/>
      <c r="AA1958" s="28"/>
      <c r="AB1958" s="28"/>
      <c r="AC1958" s="28"/>
    </row>
    <row r="1959" ht="78.0" customHeight="1">
      <c r="A1959" s="52"/>
      <c r="B1959" s="52"/>
      <c r="C1959" s="54"/>
      <c r="D1959" s="855"/>
      <c r="E1959" s="54"/>
      <c r="F1959" s="54"/>
      <c r="G1959" s="54"/>
      <c r="H1959" s="54"/>
      <c r="I1959" s="54"/>
      <c r="J1959" s="54"/>
      <c r="K1959" s="54"/>
      <c r="L1959" s="54"/>
      <c r="M1959" s="54"/>
      <c r="N1959" s="54"/>
      <c r="O1959" s="54"/>
      <c r="P1959" s="54"/>
      <c r="Q1959" s="54"/>
      <c r="R1959" s="54"/>
      <c r="S1959" s="54"/>
      <c r="T1959" s="54"/>
      <c r="U1959" s="54"/>
      <c r="V1959" s="54"/>
      <c r="W1959" s="54"/>
      <c r="X1959" s="54"/>
      <c r="Y1959" s="54"/>
      <c r="Z1959" s="54"/>
      <c r="AA1959" s="54"/>
      <c r="AB1959" s="54"/>
      <c r="AC1959" s="54"/>
    </row>
    <row r="1960" ht="78.0" customHeight="1">
      <c r="A1960" s="26"/>
      <c r="B1960" s="26"/>
      <c r="C1960" s="28"/>
      <c r="D1960" s="825"/>
      <c r="E1960" s="28"/>
      <c r="F1960" s="28"/>
      <c r="G1960" s="28"/>
      <c r="H1960" s="28"/>
      <c r="I1960" s="28"/>
      <c r="J1960" s="28"/>
      <c r="K1960" s="28"/>
      <c r="L1960" s="28"/>
      <c r="M1960" s="28"/>
      <c r="N1960" s="28"/>
      <c r="O1960" s="28"/>
      <c r="P1960" s="28"/>
      <c r="Q1960" s="28"/>
      <c r="R1960" s="28"/>
      <c r="S1960" s="28"/>
      <c r="T1960" s="28"/>
      <c r="U1960" s="28"/>
      <c r="V1960" s="28"/>
      <c r="W1960" s="28"/>
      <c r="X1960" s="28"/>
      <c r="Y1960" s="28"/>
      <c r="Z1960" s="28"/>
      <c r="AA1960" s="28"/>
      <c r="AB1960" s="28"/>
      <c r="AC1960" s="28"/>
    </row>
    <row r="1961" ht="78.0" customHeight="1">
      <c r="A1961" s="52"/>
      <c r="B1961" s="52"/>
      <c r="C1961" s="54"/>
      <c r="D1961" s="855"/>
      <c r="E1961" s="54"/>
      <c r="F1961" s="54"/>
      <c r="G1961" s="54"/>
      <c r="H1961" s="54"/>
      <c r="I1961" s="54"/>
      <c r="J1961" s="54"/>
      <c r="K1961" s="54"/>
      <c r="L1961" s="54"/>
      <c r="M1961" s="54"/>
      <c r="N1961" s="54"/>
      <c r="O1961" s="54"/>
      <c r="P1961" s="54"/>
      <c r="Q1961" s="54"/>
      <c r="R1961" s="54"/>
      <c r="S1961" s="54"/>
      <c r="T1961" s="54"/>
      <c r="U1961" s="54"/>
      <c r="V1961" s="54"/>
      <c r="W1961" s="54"/>
      <c r="X1961" s="54"/>
      <c r="Y1961" s="54"/>
      <c r="Z1961" s="54"/>
      <c r="AA1961" s="54"/>
      <c r="AB1961" s="54"/>
      <c r="AC1961" s="54"/>
    </row>
    <row r="1962" ht="78.0" customHeight="1">
      <c r="A1962" s="26"/>
      <c r="B1962" s="26"/>
      <c r="C1962" s="28"/>
      <c r="D1962" s="825"/>
      <c r="E1962" s="28"/>
      <c r="F1962" s="28"/>
      <c r="G1962" s="28"/>
      <c r="H1962" s="28"/>
      <c r="I1962" s="28"/>
      <c r="J1962" s="28"/>
      <c r="K1962" s="28"/>
      <c r="L1962" s="28"/>
      <c r="M1962" s="28"/>
      <c r="N1962" s="28"/>
      <c r="O1962" s="28"/>
      <c r="P1962" s="28"/>
      <c r="Q1962" s="28"/>
      <c r="R1962" s="28"/>
      <c r="S1962" s="28"/>
      <c r="T1962" s="28"/>
      <c r="U1962" s="28"/>
      <c r="V1962" s="28"/>
      <c r="W1962" s="28"/>
      <c r="X1962" s="28"/>
      <c r="Y1962" s="28"/>
      <c r="Z1962" s="28"/>
      <c r="AA1962" s="28"/>
      <c r="AB1962" s="28"/>
      <c r="AC1962" s="28"/>
    </row>
    <row r="1963" ht="78.0" customHeight="1">
      <c r="A1963" s="52"/>
      <c r="B1963" s="52"/>
      <c r="C1963" s="54"/>
      <c r="D1963" s="855"/>
      <c r="E1963" s="54"/>
      <c r="F1963" s="54"/>
      <c r="G1963" s="54"/>
      <c r="H1963" s="54"/>
      <c r="I1963" s="54"/>
      <c r="J1963" s="54"/>
      <c r="K1963" s="54"/>
      <c r="L1963" s="54"/>
      <c r="M1963" s="54"/>
      <c r="N1963" s="54"/>
      <c r="O1963" s="54"/>
      <c r="P1963" s="54"/>
      <c r="Q1963" s="54"/>
      <c r="R1963" s="54"/>
      <c r="S1963" s="54"/>
      <c r="T1963" s="54"/>
      <c r="U1963" s="54"/>
      <c r="V1963" s="54"/>
      <c r="W1963" s="54"/>
      <c r="X1963" s="54"/>
      <c r="Y1963" s="54"/>
      <c r="Z1963" s="54"/>
      <c r="AA1963" s="54"/>
      <c r="AB1963" s="54"/>
      <c r="AC1963" s="54"/>
    </row>
    <row r="1964" ht="78.0" customHeight="1">
      <c r="A1964" s="26"/>
      <c r="B1964" s="26"/>
      <c r="C1964" s="28"/>
      <c r="D1964" s="825"/>
      <c r="E1964" s="28"/>
      <c r="F1964" s="28"/>
      <c r="G1964" s="28"/>
      <c r="H1964" s="28"/>
      <c r="I1964" s="28"/>
      <c r="J1964" s="28"/>
      <c r="K1964" s="28"/>
      <c r="L1964" s="28"/>
      <c r="M1964" s="28"/>
      <c r="N1964" s="28"/>
      <c r="O1964" s="28"/>
      <c r="P1964" s="28"/>
      <c r="Q1964" s="28"/>
      <c r="R1964" s="28"/>
      <c r="S1964" s="28"/>
      <c r="T1964" s="28"/>
      <c r="U1964" s="28"/>
      <c r="V1964" s="28"/>
      <c r="W1964" s="28"/>
      <c r="X1964" s="28"/>
      <c r="Y1964" s="28"/>
      <c r="Z1964" s="28"/>
      <c r="AA1964" s="28"/>
      <c r="AB1964" s="28"/>
      <c r="AC1964" s="28"/>
    </row>
    <row r="1965" ht="78.0" customHeight="1">
      <c r="A1965" s="52"/>
      <c r="B1965" s="52"/>
      <c r="C1965" s="54"/>
      <c r="D1965" s="855"/>
      <c r="E1965" s="54"/>
      <c r="F1965" s="54"/>
      <c r="G1965" s="54"/>
      <c r="H1965" s="54"/>
      <c r="I1965" s="54"/>
      <c r="J1965" s="54"/>
      <c r="K1965" s="54"/>
      <c r="L1965" s="54"/>
      <c r="M1965" s="54"/>
      <c r="N1965" s="54"/>
      <c r="O1965" s="54"/>
      <c r="P1965" s="54"/>
      <c r="Q1965" s="54"/>
      <c r="R1965" s="54"/>
      <c r="S1965" s="54"/>
      <c r="T1965" s="54"/>
      <c r="U1965" s="54"/>
      <c r="V1965" s="54"/>
      <c r="W1965" s="54"/>
      <c r="X1965" s="54"/>
      <c r="Y1965" s="54"/>
      <c r="Z1965" s="54"/>
      <c r="AA1965" s="54"/>
      <c r="AB1965" s="54"/>
      <c r="AC1965" s="54"/>
    </row>
    <row r="1966" ht="78.0" customHeight="1">
      <c r="A1966" s="26"/>
      <c r="B1966" s="26"/>
      <c r="C1966" s="28"/>
      <c r="D1966" s="825"/>
      <c r="E1966" s="28"/>
      <c r="F1966" s="28"/>
      <c r="G1966" s="28"/>
      <c r="H1966" s="28"/>
      <c r="I1966" s="28"/>
      <c r="J1966" s="28"/>
      <c r="K1966" s="28"/>
      <c r="L1966" s="28"/>
      <c r="M1966" s="28"/>
      <c r="N1966" s="28"/>
      <c r="O1966" s="28"/>
      <c r="P1966" s="28"/>
      <c r="Q1966" s="28"/>
      <c r="R1966" s="28"/>
      <c r="S1966" s="28"/>
      <c r="T1966" s="28"/>
      <c r="U1966" s="28"/>
      <c r="V1966" s="28"/>
      <c r="W1966" s="28"/>
      <c r="X1966" s="28"/>
      <c r="Y1966" s="28"/>
      <c r="Z1966" s="28"/>
      <c r="AA1966" s="28"/>
      <c r="AB1966" s="28"/>
      <c r="AC1966" s="28"/>
    </row>
    <row r="1967" ht="78.0" customHeight="1">
      <c r="A1967" s="52"/>
      <c r="B1967" s="52"/>
      <c r="C1967" s="54"/>
      <c r="D1967" s="855"/>
      <c r="E1967" s="54"/>
      <c r="F1967" s="54"/>
      <c r="G1967" s="54"/>
      <c r="H1967" s="54"/>
      <c r="I1967" s="54"/>
      <c r="J1967" s="54"/>
      <c r="K1967" s="54"/>
      <c r="L1967" s="54"/>
      <c r="M1967" s="54"/>
      <c r="N1967" s="54"/>
      <c r="O1967" s="54"/>
      <c r="P1967" s="54"/>
      <c r="Q1967" s="54"/>
      <c r="R1967" s="54"/>
      <c r="S1967" s="54"/>
      <c r="T1967" s="54"/>
      <c r="U1967" s="54"/>
      <c r="V1967" s="54"/>
      <c r="W1967" s="54"/>
      <c r="X1967" s="54"/>
      <c r="Y1967" s="54"/>
      <c r="Z1967" s="54"/>
      <c r="AA1967" s="54"/>
      <c r="AB1967" s="54"/>
      <c r="AC1967" s="54"/>
    </row>
    <row r="1968" ht="78.0" customHeight="1">
      <c r="A1968" s="26"/>
      <c r="B1968" s="26"/>
      <c r="C1968" s="28"/>
      <c r="D1968" s="825"/>
      <c r="E1968" s="28"/>
      <c r="F1968" s="28"/>
      <c r="G1968" s="28"/>
      <c r="H1968" s="28"/>
      <c r="I1968" s="28"/>
      <c r="J1968" s="28"/>
      <c r="K1968" s="28"/>
      <c r="L1968" s="28"/>
      <c r="M1968" s="28"/>
      <c r="N1968" s="28"/>
      <c r="O1968" s="28"/>
      <c r="P1968" s="28"/>
      <c r="Q1968" s="28"/>
      <c r="R1968" s="28"/>
      <c r="S1968" s="28"/>
      <c r="T1968" s="28"/>
      <c r="U1968" s="28"/>
      <c r="V1968" s="28"/>
      <c r="W1968" s="28"/>
      <c r="X1968" s="28"/>
      <c r="Y1968" s="28"/>
      <c r="Z1968" s="28"/>
      <c r="AA1968" s="28"/>
      <c r="AB1968" s="28"/>
      <c r="AC1968" s="28"/>
    </row>
    <row r="1969" ht="78.0" customHeight="1">
      <c r="A1969" s="52"/>
      <c r="B1969" s="52"/>
      <c r="C1969" s="54"/>
      <c r="D1969" s="855"/>
      <c r="E1969" s="54"/>
      <c r="F1969" s="54"/>
      <c r="G1969" s="54"/>
      <c r="H1969" s="54"/>
      <c r="I1969" s="54"/>
      <c r="J1969" s="54"/>
      <c r="K1969" s="54"/>
      <c r="L1969" s="54"/>
      <c r="M1969" s="54"/>
      <c r="N1969" s="54"/>
      <c r="O1969" s="54"/>
      <c r="P1969" s="54"/>
      <c r="Q1969" s="54"/>
      <c r="R1969" s="54"/>
      <c r="S1969" s="54"/>
      <c r="T1969" s="54"/>
      <c r="U1969" s="54"/>
      <c r="V1969" s="54"/>
      <c r="W1969" s="54"/>
      <c r="X1969" s="54"/>
      <c r="Y1969" s="54"/>
      <c r="Z1969" s="54"/>
      <c r="AA1969" s="54"/>
      <c r="AB1969" s="54"/>
      <c r="AC1969" s="54"/>
    </row>
    <row r="1970" ht="78.0" customHeight="1">
      <c r="A1970" s="26"/>
      <c r="B1970" s="26"/>
      <c r="C1970" s="28"/>
      <c r="D1970" s="825"/>
      <c r="E1970" s="28"/>
      <c r="F1970" s="28"/>
      <c r="G1970" s="28"/>
      <c r="H1970" s="28"/>
      <c r="I1970" s="28"/>
      <c r="J1970" s="28"/>
      <c r="K1970" s="28"/>
      <c r="L1970" s="28"/>
      <c r="M1970" s="28"/>
      <c r="N1970" s="28"/>
      <c r="O1970" s="28"/>
      <c r="P1970" s="28"/>
      <c r="Q1970" s="28"/>
      <c r="R1970" s="28"/>
      <c r="S1970" s="28"/>
      <c r="T1970" s="28"/>
      <c r="U1970" s="28"/>
      <c r="V1970" s="28"/>
      <c r="W1970" s="28"/>
      <c r="X1970" s="28"/>
      <c r="Y1970" s="28"/>
      <c r="Z1970" s="28"/>
      <c r="AA1970" s="28"/>
      <c r="AB1970" s="28"/>
      <c r="AC1970" s="28"/>
    </row>
    <row r="1971" ht="78.0" customHeight="1">
      <c r="A1971" s="52"/>
      <c r="B1971" s="52"/>
      <c r="C1971" s="54"/>
      <c r="D1971" s="855"/>
      <c r="E1971" s="54"/>
      <c r="F1971" s="54"/>
      <c r="G1971" s="54"/>
      <c r="H1971" s="54"/>
      <c r="I1971" s="54"/>
      <c r="J1971" s="54"/>
      <c r="K1971" s="54"/>
      <c r="L1971" s="54"/>
      <c r="M1971" s="54"/>
      <c r="N1971" s="54"/>
      <c r="O1971" s="54"/>
      <c r="P1971" s="54"/>
      <c r="Q1971" s="54"/>
      <c r="R1971" s="54"/>
      <c r="S1971" s="54"/>
      <c r="T1971" s="54"/>
      <c r="U1971" s="54"/>
      <c r="V1971" s="54"/>
      <c r="W1971" s="54"/>
      <c r="X1971" s="54"/>
      <c r="Y1971" s="54"/>
      <c r="Z1971" s="54"/>
      <c r="AA1971" s="54"/>
      <c r="AB1971" s="54"/>
      <c r="AC1971" s="54"/>
    </row>
    <row r="1972" ht="78.0" customHeight="1">
      <c r="A1972" s="26"/>
      <c r="B1972" s="26"/>
      <c r="C1972" s="28"/>
      <c r="D1972" s="825"/>
      <c r="E1972" s="28"/>
      <c r="F1972" s="28"/>
      <c r="G1972" s="28"/>
      <c r="H1972" s="28"/>
      <c r="I1972" s="28"/>
      <c r="J1972" s="28"/>
      <c r="K1972" s="28"/>
      <c r="L1972" s="28"/>
      <c r="M1972" s="28"/>
      <c r="N1972" s="28"/>
      <c r="O1972" s="28"/>
      <c r="P1972" s="28"/>
      <c r="Q1972" s="28"/>
      <c r="R1972" s="28"/>
      <c r="S1972" s="28"/>
      <c r="T1972" s="28"/>
      <c r="U1972" s="28"/>
      <c r="V1972" s="28"/>
      <c r="W1972" s="28"/>
      <c r="X1972" s="28"/>
      <c r="Y1972" s="28"/>
      <c r="Z1972" s="28"/>
      <c r="AA1972" s="28"/>
      <c r="AB1972" s="28"/>
      <c r="AC1972" s="28"/>
    </row>
    <row r="1973" ht="78.0" customHeight="1">
      <c r="A1973" s="52"/>
      <c r="B1973" s="52"/>
      <c r="C1973" s="54"/>
      <c r="D1973" s="855"/>
      <c r="E1973" s="54"/>
      <c r="F1973" s="54"/>
      <c r="G1973" s="54"/>
      <c r="H1973" s="54"/>
      <c r="I1973" s="54"/>
      <c r="J1973" s="54"/>
      <c r="K1973" s="54"/>
      <c r="L1973" s="54"/>
      <c r="M1973" s="54"/>
      <c r="N1973" s="54"/>
      <c r="O1973" s="54"/>
      <c r="P1973" s="54"/>
      <c r="Q1973" s="54"/>
      <c r="R1973" s="54"/>
      <c r="S1973" s="54"/>
      <c r="T1973" s="54"/>
      <c r="U1973" s="54"/>
      <c r="V1973" s="54"/>
      <c r="W1973" s="54"/>
      <c r="X1973" s="54"/>
      <c r="Y1973" s="54"/>
      <c r="Z1973" s="54"/>
      <c r="AA1973" s="54"/>
      <c r="AB1973" s="54"/>
      <c r="AC1973" s="54"/>
    </row>
    <row r="1974" ht="78.0" customHeight="1">
      <c r="A1974" s="26"/>
      <c r="B1974" s="26"/>
      <c r="C1974" s="28"/>
      <c r="D1974" s="825"/>
      <c r="E1974" s="28"/>
      <c r="F1974" s="28"/>
      <c r="G1974" s="28"/>
      <c r="H1974" s="28"/>
      <c r="I1974" s="28"/>
      <c r="J1974" s="28"/>
      <c r="K1974" s="28"/>
      <c r="L1974" s="28"/>
      <c r="M1974" s="28"/>
      <c r="N1974" s="28"/>
      <c r="O1974" s="28"/>
      <c r="P1974" s="28"/>
      <c r="Q1974" s="28"/>
      <c r="R1974" s="28"/>
      <c r="S1974" s="28"/>
      <c r="T1974" s="28"/>
      <c r="U1974" s="28"/>
      <c r="V1974" s="28"/>
      <c r="W1974" s="28"/>
      <c r="X1974" s="28"/>
      <c r="Y1974" s="28"/>
      <c r="Z1974" s="28"/>
      <c r="AA1974" s="28"/>
      <c r="AB1974" s="28"/>
      <c r="AC1974" s="28"/>
    </row>
    <row r="1975" ht="78.0" customHeight="1">
      <c r="A1975" s="52"/>
      <c r="B1975" s="52"/>
      <c r="C1975" s="54"/>
      <c r="D1975" s="855"/>
      <c r="E1975" s="54"/>
      <c r="F1975" s="54"/>
      <c r="G1975" s="54"/>
      <c r="H1975" s="54"/>
      <c r="I1975" s="54"/>
      <c r="J1975" s="54"/>
      <c r="K1975" s="54"/>
      <c r="L1975" s="54"/>
      <c r="M1975" s="54"/>
      <c r="N1975" s="54"/>
      <c r="O1975" s="54"/>
      <c r="P1975" s="54"/>
      <c r="Q1975" s="54"/>
      <c r="R1975" s="54"/>
      <c r="S1975" s="54"/>
      <c r="T1975" s="54"/>
      <c r="U1975" s="54"/>
      <c r="V1975" s="54"/>
      <c r="W1975" s="54"/>
      <c r="X1975" s="54"/>
      <c r="Y1975" s="54"/>
      <c r="Z1975" s="54"/>
      <c r="AA1975" s="54"/>
      <c r="AB1975" s="54"/>
      <c r="AC1975" s="54"/>
    </row>
    <row r="1976" ht="78.0" customHeight="1">
      <c r="A1976" s="26"/>
      <c r="B1976" s="26"/>
      <c r="C1976" s="28"/>
      <c r="D1976" s="825"/>
      <c r="E1976" s="28"/>
      <c r="F1976" s="28"/>
      <c r="G1976" s="28"/>
      <c r="H1976" s="28"/>
      <c r="I1976" s="28"/>
      <c r="J1976" s="28"/>
      <c r="K1976" s="28"/>
      <c r="L1976" s="28"/>
      <c r="M1976" s="28"/>
      <c r="N1976" s="28"/>
      <c r="O1976" s="28"/>
      <c r="P1976" s="28"/>
      <c r="Q1976" s="28"/>
      <c r="R1976" s="28"/>
      <c r="S1976" s="28"/>
      <c r="T1976" s="28"/>
      <c r="U1976" s="28"/>
      <c r="V1976" s="28"/>
      <c r="W1976" s="28"/>
      <c r="X1976" s="28"/>
      <c r="Y1976" s="28"/>
      <c r="Z1976" s="28"/>
      <c r="AA1976" s="28"/>
      <c r="AB1976" s="28"/>
      <c r="AC1976" s="28"/>
    </row>
    <row r="1977" ht="78.0" customHeight="1">
      <c r="A1977" s="52"/>
      <c r="B1977" s="52"/>
      <c r="C1977" s="54"/>
      <c r="D1977" s="855"/>
      <c r="E1977" s="54"/>
      <c r="F1977" s="54"/>
      <c r="G1977" s="54"/>
      <c r="H1977" s="54"/>
      <c r="I1977" s="54"/>
      <c r="J1977" s="54"/>
      <c r="K1977" s="54"/>
      <c r="L1977" s="54"/>
      <c r="M1977" s="54"/>
      <c r="N1977" s="54"/>
      <c r="O1977" s="54"/>
      <c r="P1977" s="54"/>
      <c r="Q1977" s="54"/>
      <c r="R1977" s="54"/>
      <c r="S1977" s="54"/>
      <c r="T1977" s="54"/>
      <c r="U1977" s="54"/>
      <c r="V1977" s="54"/>
      <c r="W1977" s="54"/>
      <c r="X1977" s="54"/>
      <c r="Y1977" s="54"/>
      <c r="Z1977" s="54"/>
      <c r="AA1977" s="54"/>
      <c r="AB1977" s="54"/>
      <c r="AC1977" s="54"/>
    </row>
    <row r="1978" ht="78.0" customHeight="1">
      <c r="A1978" s="26"/>
      <c r="B1978" s="26"/>
      <c r="C1978" s="28"/>
      <c r="D1978" s="825"/>
      <c r="E1978" s="28"/>
      <c r="F1978" s="28"/>
      <c r="G1978" s="28"/>
      <c r="H1978" s="28"/>
      <c r="I1978" s="28"/>
      <c r="J1978" s="28"/>
      <c r="K1978" s="28"/>
      <c r="L1978" s="28"/>
      <c r="M1978" s="28"/>
      <c r="N1978" s="28"/>
      <c r="O1978" s="28"/>
      <c r="P1978" s="28"/>
      <c r="Q1978" s="28"/>
      <c r="R1978" s="28"/>
      <c r="S1978" s="28"/>
      <c r="T1978" s="28"/>
      <c r="U1978" s="28"/>
      <c r="V1978" s="28"/>
      <c r="W1978" s="28"/>
      <c r="X1978" s="28"/>
      <c r="Y1978" s="28"/>
      <c r="Z1978" s="28"/>
      <c r="AA1978" s="28"/>
      <c r="AB1978" s="28"/>
      <c r="AC1978" s="28"/>
    </row>
    <row r="1979" ht="78.0" customHeight="1">
      <c r="A1979" s="52"/>
      <c r="B1979" s="52"/>
      <c r="C1979" s="54"/>
      <c r="D1979" s="855"/>
      <c r="E1979" s="54"/>
      <c r="F1979" s="54"/>
      <c r="G1979" s="54"/>
      <c r="H1979" s="54"/>
      <c r="I1979" s="54"/>
      <c r="J1979" s="54"/>
      <c r="K1979" s="54"/>
      <c r="L1979" s="54"/>
      <c r="M1979" s="54"/>
      <c r="N1979" s="54"/>
      <c r="O1979" s="54"/>
      <c r="P1979" s="54"/>
      <c r="Q1979" s="54"/>
      <c r="R1979" s="54"/>
      <c r="S1979" s="54"/>
      <c r="T1979" s="54"/>
      <c r="U1979" s="54"/>
      <c r="V1979" s="54"/>
      <c r="W1979" s="54"/>
      <c r="X1979" s="54"/>
      <c r="Y1979" s="54"/>
      <c r="Z1979" s="54"/>
      <c r="AA1979" s="54"/>
      <c r="AB1979" s="54"/>
      <c r="AC1979" s="54"/>
    </row>
    <row r="1980" ht="78.0" customHeight="1">
      <c r="A1980" s="26"/>
      <c r="B1980" s="26"/>
      <c r="C1980" s="28"/>
      <c r="D1980" s="825"/>
      <c r="E1980" s="28"/>
      <c r="F1980" s="28"/>
      <c r="G1980" s="28"/>
      <c r="H1980" s="28"/>
      <c r="I1980" s="28"/>
      <c r="J1980" s="28"/>
      <c r="K1980" s="28"/>
      <c r="L1980" s="28"/>
      <c r="M1980" s="28"/>
      <c r="N1980" s="28"/>
      <c r="O1980" s="28"/>
      <c r="P1980" s="28"/>
      <c r="Q1980" s="28"/>
      <c r="R1980" s="28"/>
      <c r="S1980" s="28"/>
      <c r="T1980" s="28"/>
      <c r="U1980" s="28"/>
      <c r="V1980" s="28"/>
      <c r="W1980" s="28"/>
      <c r="X1980" s="28"/>
      <c r="Y1980" s="28"/>
      <c r="Z1980" s="28"/>
      <c r="AA1980" s="28"/>
      <c r="AB1980" s="28"/>
      <c r="AC1980" s="28"/>
    </row>
    <row r="1981" ht="78.0" customHeight="1">
      <c r="A1981" s="52"/>
      <c r="B1981" s="52"/>
      <c r="C1981" s="54"/>
      <c r="D1981" s="855"/>
      <c r="E1981" s="54"/>
      <c r="F1981" s="54"/>
      <c r="G1981" s="54"/>
      <c r="H1981" s="54"/>
      <c r="I1981" s="54"/>
      <c r="J1981" s="54"/>
      <c r="K1981" s="54"/>
      <c r="L1981" s="54"/>
      <c r="M1981" s="54"/>
      <c r="N1981" s="54"/>
      <c r="O1981" s="54"/>
      <c r="P1981" s="54"/>
      <c r="Q1981" s="54"/>
      <c r="R1981" s="54"/>
      <c r="S1981" s="54"/>
      <c r="T1981" s="54"/>
      <c r="U1981" s="54"/>
      <c r="V1981" s="54"/>
      <c r="W1981" s="54"/>
      <c r="X1981" s="54"/>
      <c r="Y1981" s="54"/>
      <c r="Z1981" s="54"/>
      <c r="AA1981" s="54"/>
      <c r="AB1981" s="54"/>
      <c r="AC1981" s="54"/>
    </row>
    <row r="1982" ht="78.0" customHeight="1">
      <c r="A1982" s="26"/>
      <c r="B1982" s="26"/>
      <c r="C1982" s="28"/>
      <c r="D1982" s="825"/>
      <c r="E1982" s="28"/>
      <c r="F1982" s="28"/>
      <c r="G1982" s="28"/>
      <c r="H1982" s="28"/>
      <c r="I1982" s="28"/>
      <c r="J1982" s="28"/>
      <c r="K1982" s="28"/>
      <c r="L1982" s="28"/>
      <c r="M1982" s="28"/>
      <c r="N1982" s="28"/>
      <c r="O1982" s="28"/>
      <c r="P1982" s="28"/>
      <c r="Q1982" s="28"/>
      <c r="R1982" s="28"/>
      <c r="S1982" s="28"/>
      <c r="T1982" s="28"/>
      <c r="U1982" s="28"/>
      <c r="V1982" s="28"/>
      <c r="W1982" s="28"/>
      <c r="X1982" s="28"/>
      <c r="Y1982" s="28"/>
      <c r="Z1982" s="28"/>
      <c r="AA1982" s="28"/>
      <c r="AB1982" s="28"/>
      <c r="AC1982" s="28"/>
    </row>
    <row r="1983" ht="78.0" customHeight="1">
      <c r="A1983" s="54"/>
      <c r="B1983" s="52"/>
      <c r="C1983" s="54"/>
      <c r="D1983" s="855"/>
      <c r="E1983" s="54"/>
      <c r="F1983" s="54"/>
      <c r="G1983" s="54"/>
      <c r="H1983" s="54"/>
      <c r="I1983" s="54"/>
      <c r="J1983" s="54"/>
      <c r="K1983" s="54"/>
      <c r="L1983" s="54"/>
      <c r="M1983" s="54"/>
      <c r="N1983" s="54"/>
      <c r="O1983" s="54"/>
      <c r="P1983" s="54"/>
      <c r="Q1983" s="54"/>
      <c r="R1983" s="54"/>
      <c r="S1983" s="54"/>
      <c r="T1983" s="54"/>
      <c r="U1983" s="54"/>
      <c r="V1983" s="54"/>
      <c r="W1983" s="54"/>
      <c r="X1983" s="54"/>
      <c r="Y1983" s="54"/>
      <c r="Z1983" s="54"/>
      <c r="AA1983" s="54"/>
      <c r="AB1983" s="54"/>
      <c r="AC1983" s="54"/>
    </row>
    <row r="1984" ht="78.0" customHeight="1">
      <c r="A1984" s="26"/>
      <c r="B1984" s="26"/>
      <c r="C1984" s="28"/>
      <c r="D1984" s="825"/>
      <c r="E1984" s="28"/>
      <c r="F1984" s="28"/>
      <c r="G1984" s="28"/>
      <c r="H1984" s="28"/>
      <c r="I1984" s="28"/>
      <c r="J1984" s="28"/>
      <c r="K1984" s="28"/>
      <c r="L1984" s="28"/>
      <c r="M1984" s="28"/>
      <c r="N1984" s="28"/>
      <c r="O1984" s="28"/>
      <c r="P1984" s="28"/>
      <c r="Q1984" s="28"/>
      <c r="R1984" s="28"/>
      <c r="S1984" s="28"/>
      <c r="T1984" s="28"/>
      <c r="U1984" s="28"/>
      <c r="V1984" s="28"/>
      <c r="W1984" s="28"/>
      <c r="X1984" s="28"/>
      <c r="Y1984" s="28"/>
      <c r="Z1984" s="28"/>
      <c r="AA1984" s="28"/>
      <c r="AB1984" s="28"/>
      <c r="AC1984" s="28"/>
    </row>
    <row r="1985" ht="78.0" customHeight="1">
      <c r="A1985" s="52"/>
      <c r="B1985" s="52"/>
      <c r="C1985" s="54"/>
      <c r="D1985" s="855"/>
      <c r="E1985" s="54"/>
      <c r="F1985" s="54"/>
      <c r="G1985" s="54"/>
      <c r="H1985" s="54"/>
      <c r="I1985" s="54"/>
      <c r="J1985" s="54"/>
      <c r="K1985" s="54"/>
      <c r="L1985" s="54"/>
      <c r="M1985" s="54"/>
      <c r="N1985" s="54"/>
      <c r="O1985" s="54"/>
      <c r="P1985" s="54"/>
      <c r="Q1985" s="54"/>
      <c r="R1985" s="54"/>
      <c r="S1985" s="54"/>
      <c r="T1985" s="54"/>
      <c r="U1985" s="54"/>
      <c r="V1985" s="54"/>
      <c r="W1985" s="54"/>
      <c r="X1985" s="54"/>
      <c r="Y1985" s="54"/>
      <c r="Z1985" s="54"/>
      <c r="AA1985" s="54"/>
      <c r="AB1985" s="54"/>
      <c r="AC1985" s="54"/>
    </row>
    <row r="1986" ht="78.0" customHeight="1">
      <c r="A1986" s="26"/>
      <c r="B1986" s="26"/>
      <c r="C1986" s="28"/>
      <c r="D1986" s="825"/>
      <c r="E1986" s="28"/>
      <c r="F1986" s="28"/>
      <c r="G1986" s="28"/>
      <c r="H1986" s="28"/>
      <c r="I1986" s="28"/>
      <c r="J1986" s="28"/>
      <c r="K1986" s="28"/>
      <c r="L1986" s="28"/>
      <c r="M1986" s="28"/>
      <c r="N1986" s="28"/>
      <c r="O1986" s="28"/>
      <c r="P1986" s="28"/>
      <c r="Q1986" s="28"/>
      <c r="R1986" s="28"/>
      <c r="S1986" s="28"/>
      <c r="T1986" s="28"/>
      <c r="U1986" s="28"/>
      <c r="V1986" s="28"/>
      <c r="W1986" s="28"/>
      <c r="X1986" s="28"/>
      <c r="Y1986" s="28"/>
      <c r="Z1986" s="28"/>
      <c r="AA1986" s="28"/>
      <c r="AB1986" s="28"/>
      <c r="AC1986" s="28"/>
    </row>
    <row r="1987" ht="78.0" customHeight="1">
      <c r="A1987" s="52"/>
      <c r="B1987" s="52"/>
      <c r="C1987" s="54"/>
      <c r="D1987" s="855"/>
      <c r="E1987" s="54"/>
      <c r="F1987" s="54"/>
      <c r="G1987" s="54"/>
      <c r="H1987" s="54"/>
      <c r="I1987" s="54"/>
      <c r="J1987" s="54"/>
      <c r="K1987" s="54"/>
      <c r="L1987" s="54"/>
      <c r="M1987" s="54"/>
      <c r="N1987" s="54"/>
      <c r="O1987" s="54"/>
      <c r="P1987" s="54"/>
      <c r="Q1987" s="54"/>
      <c r="R1987" s="54"/>
      <c r="S1987" s="54"/>
      <c r="T1987" s="54"/>
      <c r="U1987" s="54"/>
      <c r="V1987" s="54"/>
      <c r="W1987" s="54"/>
      <c r="X1987" s="54"/>
      <c r="Y1987" s="54"/>
      <c r="Z1987" s="54"/>
      <c r="AA1987" s="54"/>
      <c r="AB1987" s="54"/>
      <c r="AC1987" s="54"/>
    </row>
    <row r="1988" ht="78.0" customHeight="1">
      <c r="A1988" s="26"/>
      <c r="B1988" s="26"/>
      <c r="C1988" s="28"/>
      <c r="D1988" s="825"/>
      <c r="E1988" s="28"/>
      <c r="F1988" s="28"/>
      <c r="G1988" s="28"/>
      <c r="H1988" s="28"/>
      <c r="I1988" s="28"/>
      <c r="J1988" s="28"/>
      <c r="K1988" s="28"/>
      <c r="L1988" s="28"/>
      <c r="M1988" s="28"/>
      <c r="N1988" s="28"/>
      <c r="O1988" s="28"/>
      <c r="P1988" s="28"/>
      <c r="Q1988" s="28"/>
      <c r="R1988" s="28"/>
      <c r="S1988" s="28"/>
      <c r="T1988" s="28"/>
      <c r="U1988" s="28"/>
      <c r="V1988" s="28"/>
      <c r="W1988" s="28"/>
      <c r="X1988" s="28"/>
      <c r="Y1988" s="28"/>
      <c r="Z1988" s="28"/>
      <c r="AA1988" s="28"/>
      <c r="AB1988" s="28"/>
      <c r="AC1988" s="28"/>
    </row>
    <row r="1989" ht="78.0" customHeight="1">
      <c r="A1989" s="52"/>
      <c r="B1989" s="52"/>
      <c r="C1989" s="54"/>
      <c r="D1989" s="855"/>
      <c r="E1989" s="54"/>
      <c r="F1989" s="54"/>
      <c r="G1989" s="54"/>
      <c r="H1989" s="54"/>
      <c r="I1989" s="54"/>
      <c r="J1989" s="54"/>
      <c r="K1989" s="54"/>
      <c r="L1989" s="54"/>
      <c r="M1989" s="54"/>
      <c r="N1989" s="54"/>
      <c r="O1989" s="54"/>
      <c r="P1989" s="54"/>
      <c r="Q1989" s="54"/>
      <c r="R1989" s="54"/>
      <c r="S1989" s="54"/>
      <c r="T1989" s="54"/>
      <c r="U1989" s="54"/>
      <c r="V1989" s="54"/>
      <c r="W1989" s="54"/>
      <c r="X1989" s="54"/>
      <c r="Y1989" s="54"/>
      <c r="Z1989" s="54"/>
      <c r="AA1989" s="54"/>
      <c r="AB1989" s="54"/>
      <c r="AC1989" s="54"/>
    </row>
    <row r="1990" ht="78.0" customHeight="1">
      <c r="A1990" s="26"/>
      <c r="B1990" s="26"/>
      <c r="C1990" s="28"/>
      <c r="D1990" s="825"/>
      <c r="E1990" s="28"/>
      <c r="F1990" s="28"/>
      <c r="G1990" s="28"/>
      <c r="H1990" s="28"/>
      <c r="I1990" s="28"/>
      <c r="J1990" s="28"/>
      <c r="K1990" s="28"/>
      <c r="L1990" s="28"/>
      <c r="M1990" s="28"/>
      <c r="N1990" s="28"/>
      <c r="O1990" s="28"/>
      <c r="P1990" s="28"/>
      <c r="Q1990" s="28"/>
      <c r="R1990" s="28"/>
      <c r="S1990" s="28"/>
      <c r="T1990" s="28"/>
      <c r="U1990" s="28"/>
      <c r="V1990" s="28"/>
      <c r="W1990" s="28"/>
      <c r="X1990" s="28"/>
      <c r="Y1990" s="28"/>
      <c r="Z1990" s="28"/>
      <c r="AA1990" s="28"/>
      <c r="AB1990" s="28"/>
      <c r="AC1990" s="28"/>
    </row>
    <row r="1991" ht="78.0" customHeight="1">
      <c r="A1991" s="52"/>
      <c r="B1991" s="52"/>
      <c r="C1991" s="54"/>
      <c r="D1991" s="855"/>
      <c r="E1991" s="54"/>
      <c r="F1991" s="54"/>
      <c r="G1991" s="54"/>
      <c r="H1991" s="54"/>
      <c r="I1991" s="54"/>
      <c r="J1991" s="54"/>
      <c r="K1991" s="54"/>
      <c r="L1991" s="54"/>
      <c r="M1991" s="54"/>
      <c r="N1991" s="54"/>
      <c r="O1991" s="54"/>
      <c r="P1991" s="54"/>
      <c r="Q1991" s="54"/>
      <c r="R1991" s="54"/>
      <c r="S1991" s="54"/>
      <c r="T1991" s="54"/>
      <c r="U1991" s="54"/>
      <c r="V1991" s="54"/>
      <c r="W1991" s="54"/>
      <c r="X1991" s="54"/>
      <c r="Y1991" s="54"/>
      <c r="Z1991" s="54"/>
      <c r="AA1991" s="54"/>
      <c r="AB1991" s="54"/>
      <c r="AC1991" s="54"/>
    </row>
    <row r="1992" ht="78.0" customHeight="1">
      <c r="A1992" s="26"/>
      <c r="B1992" s="26"/>
      <c r="C1992" s="28"/>
      <c r="D1992" s="825"/>
      <c r="E1992" s="28"/>
      <c r="F1992" s="28"/>
      <c r="G1992" s="28"/>
      <c r="H1992" s="28"/>
      <c r="I1992" s="28"/>
      <c r="J1992" s="28"/>
      <c r="K1992" s="28"/>
      <c r="L1992" s="28"/>
      <c r="M1992" s="28"/>
      <c r="N1992" s="28"/>
      <c r="O1992" s="28"/>
      <c r="P1992" s="28"/>
      <c r="Q1992" s="28"/>
      <c r="R1992" s="28"/>
      <c r="S1992" s="28"/>
      <c r="T1992" s="28"/>
      <c r="U1992" s="28"/>
      <c r="V1992" s="28"/>
      <c r="W1992" s="28"/>
      <c r="X1992" s="28"/>
      <c r="Y1992" s="28"/>
      <c r="Z1992" s="28"/>
      <c r="AA1992" s="28"/>
      <c r="AB1992" s="28"/>
      <c r="AC1992" s="28"/>
    </row>
    <row r="1993" ht="78.0" customHeight="1">
      <c r="A1993" s="52"/>
      <c r="B1993" s="52"/>
      <c r="C1993" s="54"/>
      <c r="D1993" s="855"/>
      <c r="E1993" s="54"/>
      <c r="F1993" s="54"/>
      <c r="G1993" s="54"/>
      <c r="H1993" s="54"/>
      <c r="I1993" s="54"/>
      <c r="J1993" s="54"/>
      <c r="K1993" s="54"/>
      <c r="L1993" s="54"/>
      <c r="M1993" s="54"/>
      <c r="N1993" s="54"/>
      <c r="O1993" s="54"/>
      <c r="P1993" s="54"/>
      <c r="Q1993" s="54"/>
      <c r="R1993" s="54"/>
      <c r="S1993" s="54"/>
      <c r="T1993" s="54"/>
      <c r="U1993" s="54"/>
      <c r="V1993" s="54"/>
      <c r="W1993" s="54"/>
      <c r="X1993" s="54"/>
      <c r="Y1993" s="54"/>
      <c r="Z1993" s="54"/>
      <c r="AA1993" s="54"/>
      <c r="AB1993" s="54"/>
      <c r="AC1993" s="54"/>
    </row>
    <row r="1994" ht="78.0" customHeight="1">
      <c r="A1994" s="26"/>
      <c r="B1994" s="26"/>
      <c r="C1994" s="28"/>
      <c r="D1994" s="825"/>
      <c r="E1994" s="28"/>
      <c r="F1994" s="28"/>
      <c r="G1994" s="28"/>
      <c r="H1994" s="28"/>
      <c r="I1994" s="28"/>
      <c r="J1994" s="28"/>
      <c r="K1994" s="28"/>
      <c r="L1994" s="28"/>
      <c r="M1994" s="28"/>
      <c r="N1994" s="28"/>
      <c r="O1994" s="28"/>
      <c r="P1994" s="28"/>
      <c r="Q1994" s="28"/>
      <c r="R1994" s="28"/>
      <c r="S1994" s="28"/>
      <c r="T1994" s="28"/>
      <c r="U1994" s="28"/>
      <c r="V1994" s="28"/>
      <c r="W1994" s="28"/>
      <c r="X1994" s="28"/>
      <c r="Y1994" s="28"/>
      <c r="Z1994" s="28"/>
      <c r="AA1994" s="28"/>
      <c r="AB1994" s="28"/>
      <c r="AC1994" s="28"/>
    </row>
    <row r="1995" ht="78.0" customHeight="1">
      <c r="A1995" s="52"/>
      <c r="B1995" s="52"/>
      <c r="C1995" s="54"/>
      <c r="D1995" s="855"/>
      <c r="E1995" s="54"/>
      <c r="F1995" s="54"/>
      <c r="G1995" s="54"/>
      <c r="H1995" s="54"/>
      <c r="I1995" s="54"/>
      <c r="J1995" s="54"/>
      <c r="K1995" s="54"/>
      <c r="L1995" s="54"/>
      <c r="M1995" s="54"/>
      <c r="N1995" s="54"/>
      <c r="O1995" s="54"/>
      <c r="P1995" s="54"/>
      <c r="Q1995" s="54"/>
      <c r="R1995" s="54"/>
      <c r="S1995" s="54"/>
      <c r="T1995" s="54"/>
      <c r="U1995" s="54"/>
      <c r="V1995" s="54"/>
      <c r="W1995" s="54"/>
      <c r="X1995" s="54"/>
      <c r="Y1995" s="54"/>
      <c r="Z1995" s="54"/>
      <c r="AA1995" s="54"/>
      <c r="AB1995" s="54"/>
      <c r="AC1995" s="54"/>
    </row>
    <row r="1996" ht="78.0" customHeight="1">
      <c r="A1996" s="26"/>
      <c r="B1996" s="26"/>
      <c r="C1996" s="28"/>
      <c r="D1996" s="825"/>
      <c r="E1996" s="28"/>
      <c r="F1996" s="28"/>
      <c r="G1996" s="28"/>
      <c r="H1996" s="28"/>
      <c r="I1996" s="28"/>
      <c r="J1996" s="28"/>
      <c r="K1996" s="28"/>
      <c r="L1996" s="28"/>
      <c r="M1996" s="28"/>
      <c r="N1996" s="28"/>
      <c r="O1996" s="28"/>
      <c r="P1996" s="28"/>
      <c r="Q1996" s="28"/>
      <c r="R1996" s="28"/>
      <c r="S1996" s="28"/>
      <c r="T1996" s="28"/>
      <c r="U1996" s="28"/>
      <c r="V1996" s="28"/>
      <c r="W1996" s="28"/>
      <c r="X1996" s="28"/>
      <c r="Y1996" s="28"/>
      <c r="Z1996" s="28"/>
      <c r="AA1996" s="28"/>
      <c r="AB1996" s="28"/>
      <c r="AC1996" s="28"/>
    </row>
    <row r="1997" ht="78.0" customHeight="1">
      <c r="A1997" s="52"/>
      <c r="B1997" s="52"/>
      <c r="C1997" s="54"/>
      <c r="D1997" s="855"/>
      <c r="E1997" s="54"/>
      <c r="F1997" s="54"/>
      <c r="G1997" s="54"/>
      <c r="H1997" s="54"/>
      <c r="I1997" s="54"/>
      <c r="J1997" s="54"/>
      <c r="K1997" s="54"/>
      <c r="L1997" s="54"/>
      <c r="M1997" s="54"/>
      <c r="N1997" s="54"/>
      <c r="O1997" s="54"/>
      <c r="P1997" s="54"/>
      <c r="Q1997" s="54"/>
      <c r="R1997" s="54"/>
      <c r="S1997" s="54"/>
      <c r="T1997" s="54"/>
      <c r="U1997" s="54"/>
      <c r="V1997" s="54"/>
      <c r="W1997" s="54"/>
      <c r="X1997" s="54"/>
      <c r="Y1997" s="54"/>
      <c r="Z1997" s="54"/>
      <c r="AA1997" s="54"/>
      <c r="AB1997" s="54"/>
      <c r="AC1997" s="54"/>
    </row>
    <row r="1998" ht="78.0" customHeight="1">
      <c r="A1998" s="26"/>
      <c r="B1998" s="26"/>
      <c r="C1998" s="28"/>
      <c r="D1998" s="825"/>
      <c r="E1998" s="28"/>
      <c r="F1998" s="28"/>
      <c r="G1998" s="28"/>
      <c r="H1998" s="28"/>
      <c r="I1998" s="28"/>
      <c r="J1998" s="28"/>
      <c r="K1998" s="28"/>
      <c r="L1998" s="28"/>
      <c r="M1998" s="28"/>
      <c r="N1998" s="28"/>
      <c r="O1998" s="28"/>
      <c r="P1998" s="28"/>
      <c r="Q1998" s="28"/>
      <c r="R1998" s="28"/>
      <c r="S1998" s="28"/>
      <c r="T1998" s="28"/>
      <c r="U1998" s="28"/>
      <c r="V1998" s="28"/>
      <c r="W1998" s="28"/>
      <c r="X1998" s="28"/>
      <c r="Y1998" s="28"/>
      <c r="Z1998" s="28"/>
      <c r="AA1998" s="28"/>
      <c r="AB1998" s="28"/>
      <c r="AC1998" s="28"/>
    </row>
    <row r="1999" ht="78.0" customHeight="1">
      <c r="A1999" s="52"/>
      <c r="B1999" s="52"/>
      <c r="C1999" s="54"/>
      <c r="D1999" s="855"/>
      <c r="E1999" s="54"/>
      <c r="F1999" s="54"/>
      <c r="G1999" s="54"/>
      <c r="H1999" s="54"/>
      <c r="I1999" s="54"/>
      <c r="J1999" s="54"/>
      <c r="K1999" s="54"/>
      <c r="L1999" s="54"/>
      <c r="M1999" s="54"/>
      <c r="N1999" s="54"/>
      <c r="O1999" s="54"/>
      <c r="P1999" s="54"/>
      <c r="Q1999" s="54"/>
      <c r="R1999" s="54"/>
      <c r="S1999" s="54"/>
      <c r="T1999" s="54"/>
      <c r="U1999" s="54"/>
      <c r="V1999" s="54"/>
      <c r="W1999" s="54"/>
      <c r="X1999" s="54"/>
      <c r="Y1999" s="54"/>
      <c r="Z1999" s="54"/>
      <c r="AA1999" s="54"/>
      <c r="AB1999" s="54"/>
      <c r="AC1999" s="54"/>
    </row>
    <row r="2000" ht="78.0" customHeight="1">
      <c r="A2000" s="26"/>
      <c r="B2000" s="26"/>
      <c r="C2000" s="28"/>
      <c r="D2000" s="825"/>
      <c r="E2000" s="28"/>
      <c r="F2000" s="28"/>
      <c r="G2000" s="28"/>
      <c r="H2000" s="28"/>
      <c r="I2000" s="28"/>
      <c r="J2000" s="28"/>
      <c r="K2000" s="28"/>
      <c r="L2000" s="28"/>
      <c r="M2000" s="28"/>
      <c r="N2000" s="28"/>
      <c r="O2000" s="28"/>
      <c r="P2000" s="28"/>
      <c r="Q2000" s="28"/>
      <c r="R2000" s="28"/>
      <c r="S2000" s="28"/>
      <c r="T2000" s="28"/>
      <c r="U2000" s="28"/>
      <c r="V2000" s="28"/>
      <c r="W2000" s="28"/>
      <c r="X2000" s="28"/>
      <c r="Y2000" s="28"/>
      <c r="Z2000" s="28"/>
      <c r="AA2000" s="28"/>
      <c r="AB2000" s="28"/>
      <c r="AC2000" s="28"/>
    </row>
    <row r="2001" ht="78.0" customHeight="1">
      <c r="A2001" s="52"/>
      <c r="B2001" s="52"/>
      <c r="C2001" s="54"/>
      <c r="D2001" s="855"/>
      <c r="E2001" s="54"/>
      <c r="F2001" s="54"/>
      <c r="G2001" s="54"/>
      <c r="H2001" s="54"/>
      <c r="I2001" s="54"/>
      <c r="J2001" s="54"/>
      <c r="K2001" s="54"/>
      <c r="L2001" s="54"/>
      <c r="M2001" s="54"/>
      <c r="N2001" s="54"/>
      <c r="O2001" s="54"/>
      <c r="P2001" s="54"/>
      <c r="Q2001" s="54"/>
      <c r="R2001" s="54"/>
      <c r="S2001" s="54"/>
      <c r="T2001" s="54"/>
      <c r="U2001" s="54"/>
      <c r="V2001" s="54"/>
      <c r="W2001" s="54"/>
      <c r="X2001" s="54"/>
      <c r="Y2001" s="54"/>
      <c r="Z2001" s="54"/>
      <c r="AA2001" s="54"/>
      <c r="AB2001" s="54"/>
      <c r="AC2001" s="54"/>
    </row>
    <row r="2002" ht="78.0" customHeight="1">
      <c r="A2002" s="26"/>
      <c r="B2002" s="26"/>
      <c r="C2002" s="28"/>
      <c r="D2002" s="825"/>
      <c r="E2002" s="28"/>
      <c r="F2002" s="28"/>
      <c r="G2002" s="28"/>
      <c r="H2002" s="28"/>
      <c r="I2002" s="28"/>
      <c r="J2002" s="28"/>
      <c r="K2002" s="28"/>
      <c r="L2002" s="28"/>
      <c r="M2002" s="28"/>
      <c r="N2002" s="28"/>
      <c r="O2002" s="28"/>
      <c r="P2002" s="28"/>
      <c r="Q2002" s="28"/>
      <c r="R2002" s="28"/>
      <c r="S2002" s="28"/>
      <c r="T2002" s="28"/>
      <c r="U2002" s="28"/>
      <c r="V2002" s="28"/>
      <c r="W2002" s="28"/>
      <c r="X2002" s="28"/>
      <c r="Y2002" s="28"/>
      <c r="Z2002" s="28"/>
      <c r="AA2002" s="28"/>
      <c r="AB2002" s="28"/>
      <c r="AC2002" s="28"/>
    </row>
    <row r="2003" ht="78.0" customHeight="1">
      <c r="A2003" s="52"/>
      <c r="B2003" s="52"/>
      <c r="C2003" s="54"/>
      <c r="D2003" s="855"/>
      <c r="E2003" s="54"/>
      <c r="F2003" s="54"/>
      <c r="G2003" s="54"/>
      <c r="H2003" s="54"/>
      <c r="I2003" s="54"/>
      <c r="J2003" s="54"/>
      <c r="K2003" s="54"/>
      <c r="L2003" s="54"/>
      <c r="M2003" s="54"/>
      <c r="N2003" s="54"/>
      <c r="O2003" s="54"/>
      <c r="P2003" s="54"/>
      <c r="Q2003" s="54"/>
      <c r="R2003" s="54"/>
      <c r="S2003" s="54"/>
      <c r="T2003" s="54"/>
      <c r="U2003" s="54"/>
      <c r="V2003" s="54"/>
      <c r="W2003" s="54"/>
      <c r="X2003" s="54"/>
      <c r="Y2003" s="54"/>
      <c r="Z2003" s="54"/>
      <c r="AA2003" s="54"/>
      <c r="AB2003" s="54"/>
      <c r="AC2003" s="54"/>
    </row>
    <row r="2004" ht="78.0" customHeight="1">
      <c r="A2004" s="26"/>
      <c r="B2004" s="26"/>
      <c r="C2004" s="28"/>
      <c r="D2004" s="825"/>
      <c r="E2004" s="28"/>
      <c r="F2004" s="28"/>
      <c r="G2004" s="28"/>
      <c r="H2004" s="28"/>
      <c r="I2004" s="28"/>
      <c r="J2004" s="28"/>
      <c r="K2004" s="28"/>
      <c r="L2004" s="28"/>
      <c r="M2004" s="28"/>
      <c r="N2004" s="28"/>
      <c r="O2004" s="28"/>
      <c r="P2004" s="28"/>
      <c r="Q2004" s="28"/>
      <c r="R2004" s="28"/>
      <c r="S2004" s="28"/>
      <c r="T2004" s="28"/>
      <c r="U2004" s="28"/>
      <c r="V2004" s="28"/>
      <c r="W2004" s="28"/>
      <c r="X2004" s="28"/>
      <c r="Y2004" s="28"/>
      <c r="Z2004" s="28"/>
      <c r="AA2004" s="28"/>
      <c r="AB2004" s="28"/>
      <c r="AC2004" s="28"/>
    </row>
    <row r="2005" ht="78.0" customHeight="1">
      <c r="A2005" s="52"/>
      <c r="B2005" s="52"/>
      <c r="C2005" s="54"/>
      <c r="D2005" s="855"/>
      <c r="E2005" s="54"/>
      <c r="F2005" s="54"/>
      <c r="G2005" s="54"/>
      <c r="H2005" s="54"/>
      <c r="I2005" s="54"/>
      <c r="J2005" s="54"/>
      <c r="K2005" s="54"/>
      <c r="L2005" s="54"/>
      <c r="M2005" s="54"/>
      <c r="N2005" s="54"/>
      <c r="O2005" s="54"/>
      <c r="P2005" s="54"/>
      <c r="Q2005" s="54"/>
      <c r="R2005" s="54"/>
      <c r="S2005" s="54"/>
      <c r="T2005" s="54"/>
      <c r="U2005" s="54"/>
      <c r="V2005" s="54"/>
      <c r="W2005" s="54"/>
      <c r="X2005" s="54"/>
      <c r="Y2005" s="54"/>
      <c r="Z2005" s="54"/>
      <c r="AA2005" s="54"/>
      <c r="AB2005" s="54"/>
      <c r="AC2005" s="54"/>
    </row>
    <row r="2006" ht="78.0" customHeight="1">
      <c r="A2006" s="26"/>
      <c r="B2006" s="26"/>
      <c r="C2006" s="28"/>
      <c r="D2006" s="825"/>
      <c r="E2006" s="28"/>
      <c r="F2006" s="28"/>
      <c r="G2006" s="28"/>
      <c r="H2006" s="28"/>
      <c r="I2006" s="28"/>
      <c r="J2006" s="28"/>
      <c r="K2006" s="28"/>
      <c r="L2006" s="28"/>
      <c r="M2006" s="28"/>
      <c r="N2006" s="28"/>
      <c r="O2006" s="28"/>
      <c r="P2006" s="28"/>
      <c r="Q2006" s="28"/>
      <c r="R2006" s="28"/>
      <c r="S2006" s="28"/>
      <c r="T2006" s="28"/>
      <c r="U2006" s="28"/>
      <c r="V2006" s="28"/>
      <c r="W2006" s="28"/>
      <c r="X2006" s="28"/>
      <c r="Y2006" s="28"/>
      <c r="Z2006" s="28"/>
      <c r="AA2006" s="28"/>
      <c r="AB2006" s="28"/>
      <c r="AC2006" s="28"/>
    </row>
    <row r="2007" ht="78.0" customHeight="1">
      <c r="A2007" s="52"/>
      <c r="B2007" s="52"/>
      <c r="C2007" s="54"/>
      <c r="D2007" s="855"/>
      <c r="E2007" s="54"/>
      <c r="F2007" s="54"/>
      <c r="G2007" s="54"/>
      <c r="H2007" s="54"/>
      <c r="I2007" s="54"/>
      <c r="J2007" s="54"/>
      <c r="K2007" s="54"/>
      <c r="L2007" s="54"/>
      <c r="M2007" s="54"/>
      <c r="N2007" s="54"/>
      <c r="O2007" s="54"/>
      <c r="P2007" s="54"/>
      <c r="Q2007" s="54"/>
      <c r="R2007" s="54"/>
      <c r="S2007" s="54"/>
      <c r="T2007" s="54"/>
      <c r="U2007" s="54"/>
      <c r="V2007" s="54"/>
      <c r="W2007" s="54"/>
      <c r="X2007" s="54"/>
      <c r="Y2007" s="54"/>
      <c r="Z2007" s="54"/>
      <c r="AA2007" s="54"/>
      <c r="AB2007" s="54"/>
      <c r="AC2007" s="54"/>
    </row>
    <row r="2008" ht="78.0" customHeight="1">
      <c r="A2008" s="26"/>
      <c r="B2008" s="26"/>
      <c r="C2008" s="28"/>
      <c r="D2008" s="825"/>
      <c r="E2008" s="28"/>
      <c r="F2008" s="28"/>
      <c r="G2008" s="28"/>
      <c r="H2008" s="28"/>
      <c r="I2008" s="28"/>
      <c r="J2008" s="28"/>
      <c r="K2008" s="28"/>
      <c r="L2008" s="28"/>
      <c r="M2008" s="28"/>
      <c r="N2008" s="28"/>
      <c r="O2008" s="28"/>
      <c r="P2008" s="28"/>
      <c r="Q2008" s="28"/>
      <c r="R2008" s="28"/>
      <c r="S2008" s="28"/>
      <c r="T2008" s="28"/>
      <c r="U2008" s="28"/>
      <c r="V2008" s="28"/>
      <c r="W2008" s="28"/>
      <c r="X2008" s="28"/>
      <c r="Y2008" s="28"/>
      <c r="Z2008" s="28"/>
      <c r="AA2008" s="28"/>
      <c r="AB2008" s="28"/>
      <c r="AC2008" s="28"/>
    </row>
    <row r="2009" ht="78.0" customHeight="1">
      <c r="A2009" s="52"/>
      <c r="B2009" s="52"/>
      <c r="C2009" s="54"/>
      <c r="D2009" s="855"/>
      <c r="E2009" s="54"/>
      <c r="F2009" s="54"/>
      <c r="G2009" s="54"/>
      <c r="H2009" s="54"/>
      <c r="I2009" s="54"/>
      <c r="J2009" s="54"/>
      <c r="K2009" s="54"/>
      <c r="L2009" s="54"/>
      <c r="M2009" s="54"/>
      <c r="N2009" s="54"/>
      <c r="O2009" s="54"/>
      <c r="P2009" s="54"/>
      <c r="Q2009" s="54"/>
      <c r="R2009" s="54"/>
      <c r="S2009" s="54"/>
      <c r="T2009" s="54"/>
      <c r="U2009" s="54"/>
      <c r="V2009" s="54"/>
      <c r="W2009" s="54"/>
      <c r="X2009" s="54"/>
      <c r="Y2009" s="54"/>
      <c r="Z2009" s="54"/>
      <c r="AA2009" s="54"/>
      <c r="AB2009" s="54"/>
      <c r="AC2009" s="54"/>
    </row>
    <row r="2010" ht="78.0" customHeight="1">
      <c r="A2010" s="26"/>
      <c r="B2010" s="26"/>
      <c r="C2010" s="28"/>
      <c r="D2010" s="825"/>
      <c r="E2010" s="28"/>
      <c r="F2010" s="28"/>
      <c r="G2010" s="28"/>
      <c r="H2010" s="28"/>
      <c r="I2010" s="28"/>
      <c r="J2010" s="28"/>
      <c r="K2010" s="28"/>
      <c r="L2010" s="28"/>
      <c r="M2010" s="28"/>
      <c r="N2010" s="28"/>
      <c r="O2010" s="28"/>
      <c r="P2010" s="28"/>
      <c r="Q2010" s="28"/>
      <c r="R2010" s="28"/>
      <c r="S2010" s="28"/>
      <c r="T2010" s="28"/>
      <c r="U2010" s="28"/>
      <c r="V2010" s="28"/>
      <c r="W2010" s="28"/>
      <c r="X2010" s="28"/>
      <c r="Y2010" s="28"/>
      <c r="Z2010" s="28"/>
      <c r="AA2010" s="28"/>
      <c r="AB2010" s="28"/>
      <c r="AC2010" s="28"/>
    </row>
    <row r="2011" ht="78.0" customHeight="1">
      <c r="A2011" s="52"/>
      <c r="B2011" s="52"/>
      <c r="C2011" s="54"/>
      <c r="D2011" s="855"/>
      <c r="E2011" s="54"/>
      <c r="F2011" s="54"/>
      <c r="G2011" s="54"/>
      <c r="H2011" s="54"/>
      <c r="I2011" s="54"/>
      <c r="J2011" s="54"/>
      <c r="K2011" s="54"/>
      <c r="L2011" s="54"/>
      <c r="M2011" s="54"/>
      <c r="N2011" s="54"/>
      <c r="O2011" s="54"/>
      <c r="P2011" s="54"/>
      <c r="Q2011" s="54"/>
      <c r="R2011" s="54"/>
      <c r="S2011" s="54"/>
      <c r="T2011" s="54"/>
      <c r="U2011" s="54"/>
      <c r="V2011" s="54"/>
      <c r="W2011" s="54"/>
      <c r="X2011" s="54"/>
      <c r="Y2011" s="54"/>
      <c r="Z2011" s="54"/>
      <c r="AA2011" s="54"/>
      <c r="AB2011" s="54"/>
      <c r="AC2011" s="54"/>
    </row>
    <row r="2012" ht="78.0" customHeight="1">
      <c r="A2012" s="26"/>
      <c r="B2012" s="26"/>
      <c r="C2012" s="28"/>
      <c r="D2012" s="825"/>
      <c r="E2012" s="28"/>
      <c r="F2012" s="28"/>
      <c r="G2012" s="28"/>
      <c r="H2012" s="28"/>
      <c r="I2012" s="28"/>
      <c r="J2012" s="28"/>
      <c r="K2012" s="28"/>
      <c r="L2012" s="28"/>
      <c r="M2012" s="28"/>
      <c r="N2012" s="28"/>
      <c r="O2012" s="28"/>
      <c r="P2012" s="28"/>
      <c r="Q2012" s="28"/>
      <c r="R2012" s="28"/>
      <c r="S2012" s="28"/>
      <c r="T2012" s="28"/>
      <c r="U2012" s="28"/>
      <c r="V2012" s="28"/>
      <c r="W2012" s="28"/>
      <c r="X2012" s="28"/>
      <c r="Y2012" s="28"/>
      <c r="Z2012" s="28"/>
      <c r="AA2012" s="28"/>
      <c r="AB2012" s="28"/>
      <c r="AC2012" s="28"/>
    </row>
    <row r="2013" ht="78.0" customHeight="1">
      <c r="A2013" s="52"/>
      <c r="B2013" s="52"/>
      <c r="C2013" s="54"/>
      <c r="D2013" s="855"/>
      <c r="E2013" s="54"/>
      <c r="F2013" s="54"/>
      <c r="G2013" s="54"/>
      <c r="H2013" s="54"/>
      <c r="I2013" s="54"/>
      <c r="J2013" s="54"/>
      <c r="K2013" s="54"/>
      <c r="L2013" s="54"/>
      <c r="M2013" s="54"/>
      <c r="N2013" s="54"/>
      <c r="O2013" s="54"/>
      <c r="P2013" s="54"/>
      <c r="Q2013" s="54"/>
      <c r="R2013" s="54"/>
      <c r="S2013" s="54"/>
      <c r="T2013" s="54"/>
      <c r="U2013" s="54"/>
      <c r="V2013" s="54"/>
      <c r="W2013" s="54"/>
      <c r="X2013" s="54"/>
      <c r="Y2013" s="54"/>
      <c r="Z2013" s="54"/>
      <c r="AA2013" s="54"/>
      <c r="AB2013" s="54"/>
      <c r="AC2013" s="54"/>
    </row>
    <row r="2014" ht="78.0" customHeight="1">
      <c r="A2014" s="26"/>
      <c r="B2014" s="26"/>
      <c r="C2014" s="28"/>
      <c r="D2014" s="825"/>
      <c r="E2014" s="28"/>
      <c r="F2014" s="28"/>
      <c r="G2014" s="28"/>
      <c r="H2014" s="28"/>
      <c r="I2014" s="28"/>
      <c r="J2014" s="28"/>
      <c r="K2014" s="28"/>
      <c r="L2014" s="28"/>
      <c r="M2014" s="28"/>
      <c r="N2014" s="28"/>
      <c r="O2014" s="28"/>
      <c r="P2014" s="28"/>
      <c r="Q2014" s="28"/>
      <c r="R2014" s="28"/>
      <c r="S2014" s="28"/>
      <c r="T2014" s="28"/>
      <c r="U2014" s="28"/>
      <c r="V2014" s="28"/>
      <c r="W2014" s="28"/>
      <c r="X2014" s="28"/>
      <c r="Y2014" s="28"/>
      <c r="Z2014" s="28"/>
      <c r="AA2014" s="28"/>
      <c r="AB2014" s="28"/>
      <c r="AC2014" s="28"/>
    </row>
    <row r="2015" ht="78.0" customHeight="1">
      <c r="A2015" s="52"/>
      <c r="B2015" s="52"/>
      <c r="C2015" s="54"/>
      <c r="D2015" s="855"/>
      <c r="E2015" s="54"/>
      <c r="F2015" s="54"/>
      <c r="G2015" s="54"/>
      <c r="H2015" s="54"/>
      <c r="I2015" s="54"/>
      <c r="J2015" s="54"/>
      <c r="K2015" s="54"/>
      <c r="L2015" s="54"/>
      <c r="M2015" s="54"/>
      <c r="N2015" s="54"/>
      <c r="O2015" s="54"/>
      <c r="P2015" s="54"/>
      <c r="Q2015" s="54"/>
      <c r="R2015" s="54"/>
      <c r="S2015" s="54"/>
      <c r="T2015" s="54"/>
      <c r="U2015" s="54"/>
      <c r="V2015" s="54"/>
      <c r="W2015" s="54"/>
      <c r="X2015" s="54"/>
      <c r="Y2015" s="54"/>
      <c r="Z2015" s="54"/>
      <c r="AA2015" s="54"/>
      <c r="AB2015" s="54"/>
      <c r="AC2015" s="54"/>
    </row>
    <row r="2016" ht="78.0" customHeight="1">
      <c r="A2016" s="26"/>
      <c r="B2016" s="26"/>
      <c r="C2016" s="28"/>
      <c r="D2016" s="825"/>
      <c r="E2016" s="28"/>
      <c r="F2016" s="28"/>
      <c r="G2016" s="28"/>
      <c r="H2016" s="28"/>
      <c r="I2016" s="28"/>
      <c r="J2016" s="28"/>
      <c r="K2016" s="28"/>
      <c r="L2016" s="28"/>
      <c r="M2016" s="28"/>
      <c r="N2016" s="28"/>
      <c r="O2016" s="28"/>
      <c r="P2016" s="28"/>
      <c r="Q2016" s="28"/>
      <c r="R2016" s="28"/>
      <c r="S2016" s="28"/>
      <c r="T2016" s="28"/>
      <c r="U2016" s="28"/>
      <c r="V2016" s="28"/>
      <c r="W2016" s="28"/>
      <c r="X2016" s="28"/>
      <c r="Y2016" s="28"/>
      <c r="Z2016" s="28"/>
      <c r="AA2016" s="28"/>
      <c r="AB2016" s="28"/>
      <c r="AC2016" s="28"/>
    </row>
    <row r="2017" ht="78.0" customHeight="1">
      <c r="A2017" s="52"/>
      <c r="B2017" s="52"/>
      <c r="C2017" s="54"/>
      <c r="D2017" s="855"/>
      <c r="E2017" s="54"/>
      <c r="F2017" s="54"/>
      <c r="G2017" s="54"/>
      <c r="H2017" s="54"/>
      <c r="I2017" s="54"/>
      <c r="J2017" s="54"/>
      <c r="K2017" s="54"/>
      <c r="L2017" s="54"/>
      <c r="M2017" s="54"/>
      <c r="N2017" s="54"/>
      <c r="O2017" s="54"/>
      <c r="P2017" s="54"/>
      <c r="Q2017" s="54"/>
      <c r="R2017" s="54"/>
      <c r="S2017" s="54"/>
      <c r="T2017" s="54"/>
      <c r="U2017" s="54"/>
      <c r="V2017" s="54"/>
      <c r="W2017" s="54"/>
      <c r="X2017" s="54"/>
      <c r="Y2017" s="54"/>
      <c r="Z2017" s="54"/>
      <c r="AA2017" s="54"/>
      <c r="AB2017" s="54"/>
      <c r="AC2017" s="54"/>
    </row>
    <row r="2018" ht="78.0" customHeight="1">
      <c r="A2018" s="26"/>
      <c r="B2018" s="26"/>
      <c r="C2018" s="28"/>
      <c r="D2018" s="825"/>
      <c r="E2018" s="28"/>
      <c r="F2018" s="28"/>
      <c r="G2018" s="28"/>
      <c r="H2018" s="28"/>
      <c r="I2018" s="28"/>
      <c r="J2018" s="28"/>
      <c r="K2018" s="28"/>
      <c r="L2018" s="28"/>
      <c r="M2018" s="28"/>
      <c r="N2018" s="28"/>
      <c r="O2018" s="28"/>
      <c r="P2018" s="28"/>
      <c r="Q2018" s="28"/>
      <c r="R2018" s="28"/>
      <c r="S2018" s="28"/>
      <c r="T2018" s="28"/>
      <c r="U2018" s="28"/>
      <c r="V2018" s="28"/>
      <c r="W2018" s="28"/>
      <c r="X2018" s="28"/>
      <c r="Y2018" s="28"/>
      <c r="Z2018" s="28"/>
      <c r="AA2018" s="28"/>
      <c r="AB2018" s="28"/>
      <c r="AC2018" s="28"/>
    </row>
    <row r="2019" ht="78.0" customHeight="1">
      <c r="A2019" s="52"/>
      <c r="B2019" s="52"/>
      <c r="C2019" s="54"/>
      <c r="D2019" s="855"/>
      <c r="E2019" s="54"/>
      <c r="F2019" s="54"/>
      <c r="G2019" s="54"/>
      <c r="H2019" s="54"/>
      <c r="I2019" s="54"/>
      <c r="J2019" s="54"/>
      <c r="K2019" s="54"/>
      <c r="L2019" s="54"/>
      <c r="M2019" s="54"/>
      <c r="N2019" s="54"/>
      <c r="O2019" s="54"/>
      <c r="P2019" s="54"/>
      <c r="Q2019" s="54"/>
      <c r="R2019" s="54"/>
      <c r="S2019" s="54"/>
      <c r="T2019" s="54"/>
      <c r="U2019" s="54"/>
      <c r="V2019" s="54"/>
      <c r="W2019" s="54"/>
      <c r="X2019" s="54"/>
      <c r="Y2019" s="54"/>
      <c r="Z2019" s="54"/>
      <c r="AA2019" s="54"/>
      <c r="AB2019" s="54"/>
      <c r="AC2019" s="54"/>
    </row>
    <row r="2020" ht="78.0" customHeight="1">
      <c r="A2020" s="26"/>
      <c r="B2020" s="26"/>
      <c r="C2020" s="28"/>
      <c r="D2020" s="825"/>
      <c r="E2020" s="28"/>
      <c r="F2020" s="28"/>
      <c r="G2020" s="28"/>
      <c r="H2020" s="28"/>
      <c r="I2020" s="28"/>
      <c r="J2020" s="28"/>
      <c r="K2020" s="28"/>
      <c r="L2020" s="28"/>
      <c r="M2020" s="28"/>
      <c r="N2020" s="28"/>
      <c r="O2020" s="28"/>
      <c r="P2020" s="28"/>
      <c r="Q2020" s="28"/>
      <c r="R2020" s="28"/>
      <c r="S2020" s="28"/>
      <c r="T2020" s="28"/>
      <c r="U2020" s="28"/>
      <c r="V2020" s="28"/>
      <c r="W2020" s="28"/>
      <c r="X2020" s="28"/>
      <c r="Y2020" s="28"/>
      <c r="Z2020" s="28"/>
      <c r="AA2020" s="28"/>
      <c r="AB2020" s="28"/>
      <c r="AC2020" s="28"/>
    </row>
    <row r="2021" ht="78.0" customHeight="1">
      <c r="A2021" s="52"/>
      <c r="B2021" s="52"/>
      <c r="C2021" s="54"/>
      <c r="D2021" s="855"/>
      <c r="E2021" s="54"/>
      <c r="F2021" s="54"/>
      <c r="G2021" s="54"/>
      <c r="H2021" s="54"/>
      <c r="I2021" s="54"/>
      <c r="J2021" s="54"/>
      <c r="K2021" s="54"/>
      <c r="L2021" s="54"/>
      <c r="M2021" s="54"/>
      <c r="N2021" s="54"/>
      <c r="O2021" s="54"/>
      <c r="P2021" s="54"/>
      <c r="Q2021" s="54"/>
      <c r="R2021" s="54"/>
      <c r="S2021" s="54"/>
      <c r="T2021" s="54"/>
      <c r="U2021" s="54"/>
      <c r="V2021" s="54"/>
      <c r="W2021" s="54"/>
      <c r="X2021" s="54"/>
      <c r="Y2021" s="54"/>
      <c r="Z2021" s="54"/>
      <c r="AA2021" s="54"/>
      <c r="AB2021" s="54"/>
      <c r="AC2021" s="54"/>
    </row>
    <row r="2022" ht="78.0" customHeight="1">
      <c r="A2022" s="26"/>
      <c r="B2022" s="26"/>
      <c r="C2022" s="28"/>
      <c r="D2022" s="825"/>
      <c r="E2022" s="28"/>
      <c r="F2022" s="28"/>
      <c r="G2022" s="28"/>
      <c r="H2022" s="28"/>
      <c r="I2022" s="28"/>
      <c r="J2022" s="28"/>
      <c r="K2022" s="28"/>
      <c r="L2022" s="28"/>
      <c r="M2022" s="28"/>
      <c r="N2022" s="28"/>
      <c r="O2022" s="28"/>
      <c r="P2022" s="28"/>
      <c r="Q2022" s="28"/>
      <c r="R2022" s="28"/>
      <c r="S2022" s="28"/>
      <c r="T2022" s="28"/>
      <c r="U2022" s="28"/>
      <c r="V2022" s="28"/>
      <c r="W2022" s="28"/>
      <c r="X2022" s="28"/>
      <c r="Y2022" s="28"/>
      <c r="Z2022" s="28"/>
      <c r="AA2022" s="28"/>
      <c r="AB2022" s="28"/>
      <c r="AC2022" s="28"/>
    </row>
    <row r="2023" ht="78.0" customHeight="1">
      <c r="A2023" s="52"/>
      <c r="B2023" s="52"/>
      <c r="C2023" s="54"/>
      <c r="D2023" s="855"/>
      <c r="E2023" s="54"/>
      <c r="F2023" s="54"/>
      <c r="G2023" s="54"/>
      <c r="H2023" s="54"/>
      <c r="I2023" s="54"/>
      <c r="J2023" s="54"/>
      <c r="K2023" s="54"/>
      <c r="L2023" s="54"/>
      <c r="M2023" s="54"/>
      <c r="N2023" s="54"/>
      <c r="O2023" s="54"/>
      <c r="P2023" s="54"/>
      <c r="Q2023" s="54"/>
      <c r="R2023" s="54"/>
      <c r="S2023" s="54"/>
      <c r="T2023" s="54"/>
      <c r="U2023" s="54"/>
      <c r="V2023" s="54"/>
      <c r="W2023" s="54"/>
      <c r="X2023" s="54"/>
      <c r="Y2023" s="54"/>
      <c r="Z2023" s="54"/>
      <c r="AA2023" s="54"/>
      <c r="AB2023" s="54"/>
      <c r="AC2023" s="54"/>
    </row>
    <row r="2024" ht="78.0" customHeight="1">
      <c r="A2024" s="26"/>
      <c r="B2024" s="26"/>
      <c r="C2024" s="28"/>
      <c r="D2024" s="825"/>
      <c r="E2024" s="28"/>
      <c r="F2024" s="28"/>
      <c r="G2024" s="28"/>
      <c r="H2024" s="28"/>
      <c r="I2024" s="28"/>
      <c r="J2024" s="28"/>
      <c r="K2024" s="28"/>
      <c r="L2024" s="28"/>
      <c r="M2024" s="28"/>
      <c r="N2024" s="28"/>
      <c r="O2024" s="28"/>
      <c r="P2024" s="28"/>
      <c r="Q2024" s="28"/>
      <c r="R2024" s="28"/>
      <c r="S2024" s="28"/>
      <c r="T2024" s="28"/>
      <c r="U2024" s="28"/>
      <c r="V2024" s="28"/>
      <c r="W2024" s="28"/>
      <c r="X2024" s="28"/>
      <c r="Y2024" s="28"/>
      <c r="Z2024" s="28"/>
      <c r="AA2024" s="28"/>
      <c r="AB2024" s="28"/>
      <c r="AC2024" s="28"/>
    </row>
    <row r="2025" ht="78.0" customHeight="1">
      <c r="A2025" s="52"/>
      <c r="B2025" s="52"/>
      <c r="C2025" s="54"/>
      <c r="D2025" s="855"/>
      <c r="E2025" s="54"/>
      <c r="F2025" s="54"/>
      <c r="G2025" s="54"/>
      <c r="H2025" s="54"/>
      <c r="I2025" s="54"/>
      <c r="J2025" s="54"/>
      <c r="K2025" s="54"/>
      <c r="L2025" s="54"/>
      <c r="M2025" s="54"/>
      <c r="N2025" s="54"/>
      <c r="O2025" s="54"/>
      <c r="P2025" s="54"/>
      <c r="Q2025" s="54"/>
      <c r="R2025" s="54"/>
      <c r="S2025" s="54"/>
      <c r="T2025" s="54"/>
      <c r="U2025" s="54"/>
      <c r="V2025" s="54"/>
      <c r="W2025" s="54"/>
      <c r="X2025" s="54"/>
      <c r="Y2025" s="54"/>
      <c r="Z2025" s="54"/>
      <c r="AA2025" s="54"/>
      <c r="AB2025" s="54"/>
      <c r="AC2025" s="54"/>
    </row>
    <row r="2026" ht="78.0" customHeight="1">
      <c r="A2026" s="26"/>
      <c r="B2026" s="26"/>
      <c r="C2026" s="28"/>
      <c r="D2026" s="825"/>
      <c r="E2026" s="28"/>
      <c r="F2026" s="28"/>
      <c r="G2026" s="28"/>
      <c r="H2026" s="28"/>
      <c r="I2026" s="28"/>
      <c r="J2026" s="28"/>
      <c r="K2026" s="28"/>
      <c r="L2026" s="28"/>
      <c r="M2026" s="28"/>
      <c r="N2026" s="28"/>
      <c r="O2026" s="28"/>
      <c r="P2026" s="28"/>
      <c r="Q2026" s="28"/>
      <c r="R2026" s="28"/>
      <c r="S2026" s="28"/>
      <c r="T2026" s="28"/>
      <c r="U2026" s="28"/>
      <c r="V2026" s="28"/>
      <c r="W2026" s="28"/>
      <c r="X2026" s="28"/>
      <c r="Y2026" s="28"/>
      <c r="Z2026" s="28"/>
      <c r="AA2026" s="28"/>
      <c r="AB2026" s="28"/>
      <c r="AC2026" s="28"/>
    </row>
    <row r="2027" ht="78.0" customHeight="1">
      <c r="A2027" s="52"/>
      <c r="B2027" s="52"/>
      <c r="C2027" s="54"/>
      <c r="D2027" s="855"/>
      <c r="E2027" s="54"/>
      <c r="F2027" s="54"/>
      <c r="G2027" s="54"/>
      <c r="H2027" s="54"/>
      <c r="I2027" s="54"/>
      <c r="J2027" s="54"/>
      <c r="K2027" s="54"/>
      <c r="L2027" s="54"/>
      <c r="M2027" s="54"/>
      <c r="N2027" s="54"/>
      <c r="O2027" s="54"/>
      <c r="P2027" s="54"/>
      <c r="Q2027" s="54"/>
      <c r="R2027" s="54"/>
      <c r="S2027" s="54"/>
      <c r="T2027" s="54"/>
      <c r="U2027" s="54"/>
      <c r="V2027" s="54"/>
      <c r="W2027" s="54"/>
      <c r="X2027" s="54"/>
      <c r="Y2027" s="54"/>
      <c r="Z2027" s="54"/>
      <c r="AA2027" s="54"/>
      <c r="AB2027" s="54"/>
      <c r="AC2027" s="54"/>
    </row>
    <row r="2028" ht="78.0" customHeight="1">
      <c r="A2028" s="26"/>
      <c r="B2028" s="26"/>
      <c r="C2028" s="28"/>
      <c r="D2028" s="825"/>
      <c r="E2028" s="28"/>
      <c r="F2028" s="28"/>
      <c r="G2028" s="28"/>
      <c r="H2028" s="28"/>
      <c r="I2028" s="28"/>
      <c r="J2028" s="28"/>
      <c r="K2028" s="28"/>
      <c r="L2028" s="28"/>
      <c r="M2028" s="28"/>
      <c r="N2028" s="28"/>
      <c r="O2028" s="28"/>
      <c r="P2028" s="28"/>
      <c r="Q2028" s="28"/>
      <c r="R2028" s="28"/>
      <c r="S2028" s="28"/>
      <c r="T2028" s="28"/>
      <c r="U2028" s="28"/>
      <c r="V2028" s="28"/>
      <c r="W2028" s="28"/>
      <c r="X2028" s="28"/>
      <c r="Y2028" s="28"/>
      <c r="Z2028" s="28"/>
      <c r="AA2028" s="28"/>
      <c r="AB2028" s="28"/>
      <c r="AC2028" s="28"/>
    </row>
    <row r="2029" ht="78.0" customHeight="1">
      <c r="A2029" s="52"/>
      <c r="B2029" s="52"/>
      <c r="C2029" s="54"/>
      <c r="D2029" s="855"/>
      <c r="E2029" s="54"/>
      <c r="F2029" s="54"/>
      <c r="G2029" s="54"/>
      <c r="H2029" s="54"/>
      <c r="I2029" s="54"/>
      <c r="J2029" s="54"/>
      <c r="K2029" s="54"/>
      <c r="L2029" s="54"/>
      <c r="M2029" s="54"/>
      <c r="N2029" s="54"/>
      <c r="O2029" s="54"/>
      <c r="P2029" s="54"/>
      <c r="Q2029" s="54"/>
      <c r="R2029" s="54"/>
      <c r="S2029" s="54"/>
      <c r="T2029" s="54"/>
      <c r="U2029" s="54"/>
      <c r="V2029" s="54"/>
      <c r="W2029" s="54"/>
      <c r="X2029" s="54"/>
      <c r="Y2029" s="54"/>
      <c r="Z2029" s="54"/>
      <c r="AA2029" s="54"/>
      <c r="AB2029" s="54"/>
      <c r="AC2029" s="54"/>
    </row>
    <row r="2030" ht="78.0" customHeight="1">
      <c r="A2030" s="26"/>
      <c r="B2030" s="26"/>
      <c r="C2030" s="28"/>
      <c r="D2030" s="825"/>
      <c r="E2030" s="28"/>
      <c r="F2030" s="28"/>
      <c r="G2030" s="28"/>
      <c r="H2030" s="28"/>
      <c r="I2030" s="28"/>
      <c r="J2030" s="28"/>
      <c r="K2030" s="28"/>
      <c r="L2030" s="28"/>
      <c r="M2030" s="28"/>
      <c r="N2030" s="28"/>
      <c r="O2030" s="28"/>
      <c r="P2030" s="28"/>
      <c r="Q2030" s="28"/>
      <c r="R2030" s="28"/>
      <c r="S2030" s="28"/>
      <c r="T2030" s="28"/>
      <c r="U2030" s="28"/>
      <c r="V2030" s="28"/>
      <c r="W2030" s="28"/>
      <c r="X2030" s="28"/>
      <c r="Y2030" s="28"/>
      <c r="Z2030" s="28"/>
      <c r="AA2030" s="28"/>
      <c r="AB2030" s="28"/>
      <c r="AC2030" s="28"/>
    </row>
    <row r="2031" ht="78.0" customHeight="1">
      <c r="A2031" s="52"/>
      <c r="B2031" s="52"/>
      <c r="C2031" s="54"/>
      <c r="D2031" s="855"/>
      <c r="E2031" s="54"/>
      <c r="F2031" s="54"/>
      <c r="G2031" s="54"/>
      <c r="H2031" s="54"/>
      <c r="I2031" s="54"/>
      <c r="J2031" s="54"/>
      <c r="K2031" s="54"/>
      <c r="L2031" s="54"/>
      <c r="M2031" s="54"/>
      <c r="N2031" s="54"/>
      <c r="O2031" s="54"/>
      <c r="P2031" s="54"/>
      <c r="Q2031" s="54"/>
      <c r="R2031" s="54"/>
      <c r="S2031" s="54"/>
      <c r="T2031" s="54"/>
      <c r="U2031" s="54"/>
      <c r="V2031" s="54"/>
      <c r="W2031" s="54"/>
      <c r="X2031" s="54"/>
      <c r="Y2031" s="54"/>
      <c r="Z2031" s="54"/>
      <c r="AA2031" s="54"/>
      <c r="AB2031" s="54"/>
      <c r="AC2031" s="54"/>
    </row>
    <row r="2032" ht="78.0" customHeight="1">
      <c r="A2032" s="26"/>
      <c r="B2032" s="26"/>
      <c r="C2032" s="28"/>
      <c r="D2032" s="825"/>
      <c r="E2032" s="28"/>
      <c r="F2032" s="28"/>
      <c r="G2032" s="28"/>
      <c r="H2032" s="28"/>
      <c r="I2032" s="28"/>
      <c r="J2032" s="28"/>
      <c r="K2032" s="28"/>
      <c r="L2032" s="28"/>
      <c r="M2032" s="28"/>
      <c r="N2032" s="28"/>
      <c r="O2032" s="28"/>
      <c r="P2032" s="28"/>
      <c r="Q2032" s="28"/>
      <c r="R2032" s="28"/>
      <c r="S2032" s="28"/>
      <c r="T2032" s="28"/>
      <c r="U2032" s="28"/>
      <c r="V2032" s="28"/>
      <c r="W2032" s="28"/>
      <c r="X2032" s="28"/>
      <c r="Y2032" s="28"/>
      <c r="Z2032" s="28"/>
      <c r="AA2032" s="28"/>
      <c r="AB2032" s="28"/>
      <c r="AC2032" s="28"/>
    </row>
    <row r="2033" ht="78.0" customHeight="1">
      <c r="A2033" s="52"/>
      <c r="B2033" s="52"/>
      <c r="C2033" s="54"/>
      <c r="D2033" s="855"/>
      <c r="E2033" s="54"/>
      <c r="F2033" s="54"/>
      <c r="G2033" s="54"/>
      <c r="H2033" s="54"/>
      <c r="I2033" s="54"/>
      <c r="J2033" s="54"/>
      <c r="K2033" s="54"/>
      <c r="L2033" s="54"/>
      <c r="M2033" s="54"/>
      <c r="N2033" s="54"/>
      <c r="O2033" s="54"/>
      <c r="P2033" s="54"/>
      <c r="Q2033" s="54"/>
      <c r="R2033" s="54"/>
      <c r="S2033" s="54"/>
      <c r="T2033" s="54"/>
      <c r="U2033" s="54"/>
      <c r="V2033" s="54"/>
      <c r="W2033" s="54"/>
      <c r="X2033" s="54"/>
      <c r="Y2033" s="54"/>
      <c r="Z2033" s="54"/>
      <c r="AA2033" s="54"/>
      <c r="AB2033" s="54"/>
      <c r="AC2033" s="54"/>
    </row>
    <row r="2034" ht="78.0" customHeight="1">
      <c r="A2034" s="26"/>
      <c r="B2034" s="26"/>
      <c r="C2034" s="28"/>
      <c r="D2034" s="825"/>
      <c r="E2034" s="28"/>
      <c r="F2034" s="28"/>
      <c r="G2034" s="28"/>
      <c r="H2034" s="28"/>
      <c r="I2034" s="28"/>
      <c r="J2034" s="28"/>
      <c r="K2034" s="28"/>
      <c r="L2034" s="28"/>
      <c r="M2034" s="28"/>
      <c r="N2034" s="28"/>
      <c r="O2034" s="28"/>
      <c r="P2034" s="28"/>
      <c r="Q2034" s="28"/>
      <c r="R2034" s="28"/>
      <c r="S2034" s="28"/>
      <c r="T2034" s="28"/>
      <c r="U2034" s="28"/>
      <c r="V2034" s="28"/>
      <c r="W2034" s="28"/>
      <c r="X2034" s="28"/>
      <c r="Y2034" s="28"/>
      <c r="Z2034" s="28"/>
      <c r="AA2034" s="28"/>
      <c r="AB2034" s="28"/>
      <c r="AC2034" s="28"/>
    </row>
    <row r="2035" ht="78.0" customHeight="1">
      <c r="A2035" s="52"/>
      <c r="B2035" s="52"/>
      <c r="C2035" s="54"/>
      <c r="D2035" s="855"/>
      <c r="E2035" s="54"/>
      <c r="F2035" s="54"/>
      <c r="G2035" s="54"/>
      <c r="H2035" s="54"/>
      <c r="I2035" s="54"/>
      <c r="J2035" s="54"/>
      <c r="K2035" s="54"/>
      <c r="L2035" s="54"/>
      <c r="M2035" s="54"/>
      <c r="N2035" s="54"/>
      <c r="O2035" s="54"/>
      <c r="P2035" s="54"/>
      <c r="Q2035" s="54"/>
      <c r="R2035" s="54"/>
      <c r="S2035" s="54"/>
      <c r="T2035" s="54"/>
      <c r="U2035" s="54"/>
      <c r="V2035" s="54"/>
      <c r="W2035" s="54"/>
      <c r="X2035" s="54"/>
      <c r="Y2035" s="54"/>
      <c r="Z2035" s="54"/>
      <c r="AA2035" s="54"/>
      <c r="AB2035" s="54"/>
      <c r="AC2035" s="54"/>
    </row>
    <row r="2036" ht="78.0" customHeight="1">
      <c r="A2036" s="26"/>
      <c r="B2036" s="26"/>
      <c r="C2036" s="28"/>
      <c r="D2036" s="825"/>
      <c r="E2036" s="28"/>
      <c r="F2036" s="28"/>
      <c r="G2036" s="28"/>
      <c r="H2036" s="28"/>
      <c r="I2036" s="28"/>
      <c r="J2036" s="28"/>
      <c r="K2036" s="28"/>
      <c r="L2036" s="28"/>
      <c r="M2036" s="28"/>
      <c r="N2036" s="28"/>
      <c r="O2036" s="28"/>
      <c r="P2036" s="28"/>
      <c r="Q2036" s="28"/>
      <c r="R2036" s="28"/>
      <c r="S2036" s="28"/>
      <c r="T2036" s="28"/>
      <c r="U2036" s="28"/>
      <c r="V2036" s="28"/>
      <c r="W2036" s="28"/>
      <c r="X2036" s="28"/>
      <c r="Y2036" s="28"/>
      <c r="Z2036" s="28"/>
      <c r="AA2036" s="28"/>
      <c r="AB2036" s="28"/>
      <c r="AC2036" s="28"/>
    </row>
    <row r="2037" ht="78.0" customHeight="1">
      <c r="A2037" s="52"/>
      <c r="B2037" s="52"/>
      <c r="C2037" s="54"/>
      <c r="D2037" s="855"/>
      <c r="E2037" s="54"/>
      <c r="F2037" s="54"/>
      <c r="G2037" s="54"/>
      <c r="H2037" s="54"/>
      <c r="I2037" s="54"/>
      <c r="J2037" s="54"/>
      <c r="K2037" s="54"/>
      <c r="L2037" s="54"/>
      <c r="M2037" s="54"/>
      <c r="N2037" s="54"/>
      <c r="O2037" s="54"/>
      <c r="P2037" s="54"/>
      <c r="Q2037" s="54"/>
      <c r="R2037" s="54"/>
      <c r="S2037" s="54"/>
      <c r="T2037" s="54"/>
      <c r="U2037" s="54"/>
      <c r="V2037" s="54"/>
      <c r="W2037" s="54"/>
      <c r="X2037" s="54"/>
      <c r="Y2037" s="54"/>
      <c r="Z2037" s="54"/>
      <c r="AA2037" s="54"/>
      <c r="AB2037" s="54"/>
      <c r="AC2037" s="54"/>
    </row>
    <row r="2038" ht="78.0" customHeight="1">
      <c r="A2038" s="26"/>
      <c r="B2038" s="26"/>
      <c r="C2038" s="28"/>
      <c r="D2038" s="825"/>
      <c r="E2038" s="28"/>
      <c r="F2038" s="28"/>
      <c r="G2038" s="28"/>
      <c r="H2038" s="28"/>
      <c r="I2038" s="28"/>
      <c r="J2038" s="28"/>
      <c r="K2038" s="28"/>
      <c r="L2038" s="28"/>
      <c r="M2038" s="28"/>
      <c r="N2038" s="28"/>
      <c r="O2038" s="28"/>
      <c r="P2038" s="28"/>
      <c r="Q2038" s="28"/>
      <c r="R2038" s="28"/>
      <c r="S2038" s="28"/>
      <c r="T2038" s="28"/>
      <c r="U2038" s="28"/>
      <c r="V2038" s="28"/>
      <c r="W2038" s="28"/>
      <c r="X2038" s="28"/>
      <c r="Y2038" s="28"/>
      <c r="Z2038" s="28"/>
      <c r="AA2038" s="28"/>
      <c r="AB2038" s="28"/>
      <c r="AC2038" s="28"/>
    </row>
    <row r="2039" ht="78.0" customHeight="1">
      <c r="A2039" s="52"/>
      <c r="B2039" s="52"/>
      <c r="C2039" s="54"/>
      <c r="D2039" s="855"/>
      <c r="E2039" s="54"/>
      <c r="F2039" s="54"/>
      <c r="G2039" s="54"/>
      <c r="H2039" s="54"/>
      <c r="I2039" s="54"/>
      <c r="J2039" s="54"/>
      <c r="K2039" s="54"/>
      <c r="L2039" s="54"/>
      <c r="M2039" s="54"/>
      <c r="N2039" s="54"/>
      <c r="O2039" s="54"/>
      <c r="P2039" s="54"/>
      <c r="Q2039" s="54"/>
      <c r="R2039" s="54"/>
      <c r="S2039" s="54"/>
      <c r="T2039" s="54"/>
      <c r="U2039" s="54"/>
      <c r="V2039" s="54"/>
      <c r="W2039" s="54"/>
      <c r="X2039" s="54"/>
      <c r="Y2039" s="54"/>
      <c r="Z2039" s="54"/>
      <c r="AA2039" s="54"/>
      <c r="AB2039" s="54"/>
      <c r="AC2039" s="54"/>
    </row>
    <row r="2040" ht="78.0" customHeight="1">
      <c r="A2040" s="26"/>
      <c r="B2040" s="26"/>
      <c r="C2040" s="28"/>
      <c r="D2040" s="825"/>
      <c r="E2040" s="28"/>
      <c r="F2040" s="28"/>
      <c r="G2040" s="28"/>
      <c r="H2040" s="28"/>
      <c r="I2040" s="28"/>
      <c r="J2040" s="28"/>
      <c r="K2040" s="28"/>
      <c r="L2040" s="28"/>
      <c r="M2040" s="28"/>
      <c r="N2040" s="28"/>
      <c r="O2040" s="28"/>
      <c r="P2040" s="28"/>
      <c r="Q2040" s="28"/>
      <c r="R2040" s="28"/>
      <c r="S2040" s="28"/>
      <c r="T2040" s="28"/>
      <c r="U2040" s="28"/>
      <c r="V2040" s="28"/>
      <c r="W2040" s="28"/>
      <c r="X2040" s="28"/>
      <c r="Y2040" s="28"/>
      <c r="Z2040" s="28"/>
      <c r="AA2040" s="28"/>
      <c r="AB2040" s="28"/>
      <c r="AC2040" s="28"/>
    </row>
    <row r="2041" ht="78.0" customHeight="1">
      <c r="A2041" s="52"/>
      <c r="B2041" s="52"/>
      <c r="C2041" s="54"/>
      <c r="D2041" s="855"/>
      <c r="E2041" s="54"/>
      <c r="F2041" s="54"/>
      <c r="G2041" s="54"/>
      <c r="H2041" s="54"/>
      <c r="I2041" s="54"/>
      <c r="J2041" s="54"/>
      <c r="K2041" s="54"/>
      <c r="L2041" s="54"/>
      <c r="M2041" s="54"/>
      <c r="N2041" s="54"/>
      <c r="O2041" s="54"/>
      <c r="P2041" s="54"/>
      <c r="Q2041" s="54"/>
      <c r="R2041" s="54"/>
      <c r="S2041" s="54"/>
      <c r="T2041" s="54"/>
      <c r="U2041" s="54"/>
      <c r="V2041" s="54"/>
      <c r="W2041" s="54"/>
      <c r="X2041" s="54"/>
      <c r="Y2041" s="54"/>
      <c r="Z2041" s="54"/>
      <c r="AA2041" s="54"/>
      <c r="AB2041" s="54"/>
      <c r="AC2041" s="54"/>
    </row>
    <row r="2042" ht="78.0" customHeight="1">
      <c r="A2042" s="26"/>
      <c r="B2042" s="26"/>
      <c r="C2042" s="28"/>
      <c r="D2042" s="825"/>
      <c r="E2042" s="28"/>
      <c r="F2042" s="28"/>
      <c r="G2042" s="28"/>
      <c r="H2042" s="28"/>
      <c r="I2042" s="28"/>
      <c r="J2042" s="28"/>
      <c r="K2042" s="28"/>
      <c r="L2042" s="28"/>
      <c r="M2042" s="28"/>
      <c r="N2042" s="28"/>
      <c r="O2042" s="28"/>
      <c r="P2042" s="28"/>
      <c r="Q2042" s="28"/>
      <c r="R2042" s="28"/>
      <c r="S2042" s="28"/>
      <c r="T2042" s="28"/>
      <c r="U2042" s="28"/>
      <c r="V2042" s="28"/>
      <c r="W2042" s="28"/>
      <c r="X2042" s="28"/>
      <c r="Y2042" s="28"/>
      <c r="Z2042" s="28"/>
      <c r="AA2042" s="28"/>
      <c r="AB2042" s="28"/>
      <c r="AC2042" s="28"/>
    </row>
    <row r="2043" ht="78.0" customHeight="1">
      <c r="A2043" s="52"/>
      <c r="B2043" s="52"/>
      <c r="C2043" s="54"/>
      <c r="D2043" s="855"/>
      <c r="E2043" s="54"/>
      <c r="F2043" s="54"/>
      <c r="G2043" s="54"/>
      <c r="H2043" s="54"/>
      <c r="I2043" s="54"/>
      <c r="J2043" s="54"/>
      <c r="K2043" s="54"/>
      <c r="L2043" s="54"/>
      <c r="M2043" s="54"/>
      <c r="N2043" s="54"/>
      <c r="O2043" s="54"/>
      <c r="P2043" s="54"/>
      <c r="Q2043" s="54"/>
      <c r="R2043" s="54"/>
      <c r="S2043" s="54"/>
      <c r="T2043" s="54"/>
      <c r="U2043" s="54"/>
      <c r="V2043" s="54"/>
      <c r="W2043" s="54"/>
      <c r="X2043" s="54"/>
      <c r="Y2043" s="54"/>
      <c r="Z2043" s="54"/>
      <c r="AA2043" s="54"/>
      <c r="AB2043" s="54"/>
      <c r="AC2043" s="54"/>
    </row>
    <row r="2044" ht="78.0" customHeight="1">
      <c r="A2044" s="26"/>
      <c r="B2044" s="26"/>
      <c r="C2044" s="28"/>
      <c r="D2044" s="825"/>
      <c r="E2044" s="28"/>
      <c r="F2044" s="28"/>
      <c r="G2044" s="28"/>
      <c r="H2044" s="28"/>
      <c r="I2044" s="28"/>
      <c r="J2044" s="28"/>
      <c r="K2044" s="28"/>
      <c r="L2044" s="28"/>
      <c r="M2044" s="28"/>
      <c r="N2044" s="28"/>
      <c r="O2044" s="28"/>
      <c r="P2044" s="28"/>
      <c r="Q2044" s="28"/>
      <c r="R2044" s="28"/>
      <c r="S2044" s="28"/>
      <c r="T2044" s="28"/>
      <c r="U2044" s="28"/>
      <c r="V2044" s="28"/>
      <c r="W2044" s="28"/>
      <c r="X2044" s="28"/>
      <c r="Y2044" s="28"/>
      <c r="Z2044" s="28"/>
      <c r="AA2044" s="28"/>
      <c r="AB2044" s="28"/>
      <c r="AC2044" s="28"/>
    </row>
    <row r="2045" ht="78.0" customHeight="1">
      <c r="A2045" s="52"/>
      <c r="B2045" s="52"/>
      <c r="C2045" s="54"/>
      <c r="D2045" s="855"/>
      <c r="E2045" s="54"/>
      <c r="F2045" s="54"/>
      <c r="G2045" s="54"/>
      <c r="H2045" s="54"/>
      <c r="I2045" s="54"/>
      <c r="J2045" s="54"/>
      <c r="K2045" s="54"/>
      <c r="L2045" s="54"/>
      <c r="M2045" s="54"/>
      <c r="N2045" s="54"/>
      <c r="O2045" s="54"/>
      <c r="P2045" s="54"/>
      <c r="Q2045" s="54"/>
      <c r="R2045" s="54"/>
      <c r="S2045" s="54"/>
      <c r="T2045" s="54"/>
      <c r="U2045" s="54"/>
      <c r="V2045" s="54"/>
      <c r="W2045" s="54"/>
      <c r="X2045" s="54"/>
      <c r="Y2045" s="54"/>
      <c r="Z2045" s="54"/>
      <c r="AA2045" s="54"/>
      <c r="AB2045" s="54"/>
      <c r="AC2045" s="54"/>
    </row>
    <row r="2046" ht="78.0" customHeight="1">
      <c r="A2046" s="26"/>
      <c r="B2046" s="26"/>
      <c r="C2046" s="28"/>
      <c r="D2046" s="825"/>
      <c r="E2046" s="28"/>
      <c r="F2046" s="28"/>
      <c r="G2046" s="28"/>
      <c r="H2046" s="28"/>
      <c r="I2046" s="28"/>
      <c r="J2046" s="28"/>
      <c r="K2046" s="28"/>
      <c r="L2046" s="28"/>
      <c r="M2046" s="28"/>
      <c r="N2046" s="28"/>
      <c r="O2046" s="28"/>
      <c r="P2046" s="28"/>
      <c r="Q2046" s="28"/>
      <c r="R2046" s="28"/>
      <c r="S2046" s="28"/>
      <c r="T2046" s="28"/>
      <c r="U2046" s="28"/>
      <c r="V2046" s="28"/>
      <c r="W2046" s="28"/>
      <c r="X2046" s="28"/>
      <c r="Y2046" s="28"/>
      <c r="Z2046" s="28"/>
      <c r="AA2046" s="28"/>
      <c r="AB2046" s="28"/>
      <c r="AC2046" s="28"/>
    </row>
    <row r="2047" ht="78.0" customHeight="1">
      <c r="A2047" s="52"/>
      <c r="B2047" s="52"/>
      <c r="C2047" s="54"/>
      <c r="D2047" s="855"/>
      <c r="E2047" s="54"/>
      <c r="F2047" s="54"/>
      <c r="G2047" s="54"/>
      <c r="H2047" s="54"/>
      <c r="I2047" s="54"/>
      <c r="J2047" s="54"/>
      <c r="K2047" s="54"/>
      <c r="L2047" s="54"/>
      <c r="M2047" s="54"/>
      <c r="N2047" s="54"/>
      <c r="O2047" s="54"/>
      <c r="P2047" s="54"/>
      <c r="Q2047" s="54"/>
      <c r="R2047" s="54"/>
      <c r="S2047" s="54"/>
      <c r="T2047" s="54"/>
      <c r="U2047" s="54"/>
      <c r="V2047" s="54"/>
      <c r="W2047" s="54"/>
      <c r="X2047" s="54"/>
      <c r="Y2047" s="54"/>
      <c r="Z2047" s="54"/>
      <c r="AA2047" s="54"/>
      <c r="AB2047" s="54"/>
      <c r="AC2047" s="54"/>
    </row>
    <row r="2048" ht="78.0" customHeight="1">
      <c r="A2048" s="26"/>
      <c r="B2048" s="26"/>
      <c r="C2048" s="28"/>
      <c r="D2048" s="825"/>
      <c r="E2048" s="28"/>
      <c r="F2048" s="28"/>
      <c r="G2048" s="28"/>
      <c r="H2048" s="28"/>
      <c r="I2048" s="28"/>
      <c r="J2048" s="28"/>
      <c r="K2048" s="28"/>
      <c r="L2048" s="28"/>
      <c r="M2048" s="28"/>
      <c r="N2048" s="28"/>
      <c r="O2048" s="28"/>
      <c r="P2048" s="28"/>
      <c r="Q2048" s="28"/>
      <c r="R2048" s="28"/>
      <c r="S2048" s="28"/>
      <c r="T2048" s="28"/>
      <c r="U2048" s="28"/>
      <c r="V2048" s="28"/>
      <c r="W2048" s="28"/>
      <c r="X2048" s="28"/>
      <c r="Y2048" s="28"/>
      <c r="Z2048" s="28"/>
      <c r="AA2048" s="28"/>
      <c r="AB2048" s="28"/>
      <c r="AC2048" s="28"/>
    </row>
    <row r="2049" ht="78.0" customHeight="1">
      <c r="A2049" s="52"/>
      <c r="B2049" s="52"/>
      <c r="C2049" s="54"/>
      <c r="D2049" s="855"/>
      <c r="E2049" s="54"/>
      <c r="F2049" s="54"/>
      <c r="G2049" s="54"/>
      <c r="H2049" s="54"/>
      <c r="I2049" s="54"/>
      <c r="J2049" s="54"/>
      <c r="K2049" s="54"/>
      <c r="L2049" s="54"/>
      <c r="M2049" s="54"/>
      <c r="N2049" s="54"/>
      <c r="O2049" s="54"/>
      <c r="P2049" s="54"/>
      <c r="Q2049" s="54"/>
      <c r="R2049" s="54"/>
      <c r="S2049" s="54"/>
      <c r="T2049" s="54"/>
      <c r="U2049" s="54"/>
      <c r="V2049" s="54"/>
      <c r="W2049" s="54"/>
      <c r="X2049" s="54"/>
      <c r="Y2049" s="54"/>
      <c r="Z2049" s="54"/>
      <c r="AA2049" s="54"/>
      <c r="AB2049" s="54"/>
      <c r="AC2049" s="54"/>
    </row>
    <row r="2050" ht="78.0" customHeight="1">
      <c r="A2050" s="26"/>
      <c r="B2050" s="26"/>
      <c r="C2050" s="28"/>
      <c r="D2050" s="825"/>
      <c r="E2050" s="28"/>
      <c r="F2050" s="28"/>
      <c r="G2050" s="28"/>
      <c r="H2050" s="28"/>
      <c r="I2050" s="28"/>
      <c r="J2050" s="28"/>
      <c r="K2050" s="28"/>
      <c r="L2050" s="28"/>
      <c r="M2050" s="28"/>
      <c r="N2050" s="28"/>
      <c r="O2050" s="28"/>
      <c r="P2050" s="28"/>
      <c r="Q2050" s="28"/>
      <c r="R2050" s="28"/>
      <c r="S2050" s="28"/>
      <c r="T2050" s="28"/>
      <c r="U2050" s="28"/>
      <c r="V2050" s="28"/>
      <c r="W2050" s="28"/>
      <c r="X2050" s="28"/>
      <c r="Y2050" s="28"/>
      <c r="Z2050" s="28"/>
      <c r="AA2050" s="28"/>
      <c r="AB2050" s="28"/>
      <c r="AC2050" s="28"/>
    </row>
    <row r="2051" ht="78.0" customHeight="1">
      <c r="A2051" s="52"/>
      <c r="B2051" s="52"/>
      <c r="C2051" s="54"/>
      <c r="D2051" s="855"/>
      <c r="E2051" s="54"/>
      <c r="F2051" s="54"/>
      <c r="G2051" s="54"/>
      <c r="H2051" s="54"/>
      <c r="I2051" s="54"/>
      <c r="J2051" s="54"/>
      <c r="K2051" s="54"/>
      <c r="L2051" s="54"/>
      <c r="M2051" s="54"/>
      <c r="N2051" s="54"/>
      <c r="O2051" s="54"/>
      <c r="P2051" s="54"/>
      <c r="Q2051" s="54"/>
      <c r="R2051" s="54"/>
      <c r="S2051" s="54"/>
      <c r="T2051" s="54"/>
      <c r="U2051" s="54"/>
      <c r="V2051" s="54"/>
      <c r="W2051" s="54"/>
      <c r="X2051" s="54"/>
      <c r="Y2051" s="54"/>
      <c r="Z2051" s="54"/>
      <c r="AA2051" s="54"/>
      <c r="AB2051" s="54"/>
      <c r="AC2051" s="54"/>
    </row>
    <row r="2052" ht="78.0" customHeight="1">
      <c r="A2052" s="26"/>
      <c r="B2052" s="26"/>
      <c r="C2052" s="28"/>
      <c r="D2052" s="825"/>
      <c r="E2052" s="28"/>
      <c r="F2052" s="28"/>
      <c r="G2052" s="28"/>
      <c r="H2052" s="28"/>
      <c r="I2052" s="28"/>
      <c r="J2052" s="28"/>
      <c r="K2052" s="28"/>
      <c r="L2052" s="28"/>
      <c r="M2052" s="28"/>
      <c r="N2052" s="28"/>
      <c r="O2052" s="28"/>
      <c r="P2052" s="28"/>
      <c r="Q2052" s="28"/>
      <c r="R2052" s="28"/>
      <c r="S2052" s="28"/>
      <c r="T2052" s="28"/>
      <c r="U2052" s="28"/>
      <c r="V2052" s="28"/>
      <c r="W2052" s="28"/>
      <c r="X2052" s="28"/>
      <c r="Y2052" s="28"/>
      <c r="Z2052" s="28"/>
      <c r="AA2052" s="28"/>
      <c r="AB2052" s="28"/>
      <c r="AC2052" s="28"/>
    </row>
    <row r="2053" ht="78.0" customHeight="1">
      <c r="A2053" s="52"/>
      <c r="B2053" s="52"/>
      <c r="C2053" s="54"/>
      <c r="D2053" s="855"/>
      <c r="E2053" s="54"/>
      <c r="F2053" s="54"/>
      <c r="G2053" s="54"/>
      <c r="H2053" s="54"/>
      <c r="I2053" s="54"/>
      <c r="J2053" s="54"/>
      <c r="K2053" s="54"/>
      <c r="L2053" s="54"/>
      <c r="M2053" s="54"/>
      <c r="N2053" s="54"/>
      <c r="O2053" s="54"/>
      <c r="P2053" s="54"/>
      <c r="Q2053" s="54"/>
      <c r="R2053" s="54"/>
      <c r="S2053" s="54"/>
      <c r="T2053" s="54"/>
      <c r="U2053" s="54"/>
      <c r="V2053" s="54"/>
      <c r="W2053" s="54"/>
      <c r="X2053" s="54"/>
      <c r="Y2053" s="54"/>
      <c r="Z2053" s="54"/>
      <c r="AA2053" s="54"/>
      <c r="AB2053" s="54"/>
      <c r="AC2053" s="54"/>
    </row>
    <row r="2054" ht="78.0" customHeight="1">
      <c r="A2054" s="26"/>
      <c r="B2054" s="26"/>
      <c r="C2054" s="28"/>
      <c r="D2054" s="825"/>
      <c r="E2054" s="28"/>
      <c r="F2054" s="28"/>
      <c r="G2054" s="28"/>
      <c r="H2054" s="28"/>
      <c r="I2054" s="28"/>
      <c r="J2054" s="28"/>
      <c r="K2054" s="28"/>
      <c r="L2054" s="28"/>
      <c r="M2054" s="28"/>
      <c r="N2054" s="28"/>
      <c r="O2054" s="28"/>
      <c r="P2054" s="28"/>
      <c r="Q2054" s="28"/>
      <c r="R2054" s="28"/>
      <c r="S2054" s="28"/>
      <c r="T2054" s="28"/>
      <c r="U2054" s="28"/>
      <c r="V2054" s="28"/>
      <c r="W2054" s="28"/>
      <c r="X2054" s="28"/>
      <c r="Y2054" s="28"/>
      <c r="Z2054" s="28"/>
      <c r="AA2054" s="28"/>
      <c r="AB2054" s="28"/>
      <c r="AC2054" s="28"/>
    </row>
    <row r="2055" ht="78.0" customHeight="1">
      <c r="A2055" s="52"/>
      <c r="B2055" s="52"/>
      <c r="C2055" s="54"/>
      <c r="D2055" s="855"/>
      <c r="E2055" s="54"/>
      <c r="F2055" s="54"/>
      <c r="G2055" s="54"/>
      <c r="H2055" s="54"/>
      <c r="I2055" s="54"/>
      <c r="J2055" s="54"/>
      <c r="K2055" s="54"/>
      <c r="L2055" s="54"/>
      <c r="M2055" s="54"/>
      <c r="N2055" s="54"/>
      <c r="O2055" s="54"/>
      <c r="P2055" s="54"/>
      <c r="Q2055" s="54"/>
      <c r="R2055" s="54"/>
      <c r="S2055" s="54"/>
      <c r="T2055" s="54"/>
      <c r="U2055" s="54"/>
      <c r="V2055" s="54"/>
      <c r="W2055" s="54"/>
      <c r="X2055" s="54"/>
      <c r="Y2055" s="54"/>
      <c r="Z2055" s="54"/>
      <c r="AA2055" s="54"/>
      <c r="AB2055" s="54"/>
      <c r="AC2055" s="54"/>
    </row>
    <row r="2056" ht="78.0" customHeight="1">
      <c r="A2056" s="26"/>
      <c r="B2056" s="26"/>
      <c r="C2056" s="28"/>
      <c r="D2056" s="825"/>
      <c r="E2056" s="28"/>
      <c r="F2056" s="28"/>
      <c r="G2056" s="28"/>
      <c r="H2056" s="28"/>
      <c r="I2056" s="28"/>
      <c r="J2056" s="28"/>
      <c r="K2056" s="28"/>
      <c r="L2056" s="28"/>
      <c r="M2056" s="28"/>
      <c r="N2056" s="28"/>
      <c r="O2056" s="28"/>
      <c r="P2056" s="28"/>
      <c r="Q2056" s="28"/>
      <c r="R2056" s="28"/>
      <c r="S2056" s="28"/>
      <c r="T2056" s="28"/>
      <c r="U2056" s="28"/>
      <c r="V2056" s="28"/>
      <c r="W2056" s="28"/>
      <c r="X2056" s="28"/>
      <c r="Y2056" s="28"/>
      <c r="Z2056" s="28"/>
      <c r="AA2056" s="28"/>
      <c r="AB2056" s="28"/>
      <c r="AC2056" s="28"/>
    </row>
    <row r="2057" ht="78.0" customHeight="1">
      <c r="A2057" s="52"/>
      <c r="B2057" s="52"/>
      <c r="C2057" s="54"/>
      <c r="D2057" s="855"/>
      <c r="E2057" s="54"/>
      <c r="F2057" s="54"/>
      <c r="G2057" s="54"/>
      <c r="H2057" s="54"/>
      <c r="I2057" s="54"/>
      <c r="J2057" s="54"/>
      <c r="K2057" s="54"/>
      <c r="L2057" s="54"/>
      <c r="M2057" s="54"/>
      <c r="N2057" s="54"/>
      <c r="O2057" s="54"/>
      <c r="P2057" s="54"/>
      <c r="Q2057" s="54"/>
      <c r="R2057" s="54"/>
      <c r="S2057" s="54"/>
      <c r="T2057" s="54"/>
      <c r="U2057" s="54"/>
      <c r="V2057" s="54"/>
      <c r="W2057" s="54"/>
      <c r="X2057" s="54"/>
      <c r="Y2057" s="54"/>
      <c r="Z2057" s="54"/>
      <c r="AA2057" s="54"/>
      <c r="AB2057" s="54"/>
      <c r="AC2057" s="54"/>
    </row>
    <row r="2058" ht="78.0" customHeight="1">
      <c r="A2058" s="26"/>
      <c r="B2058" s="26"/>
      <c r="C2058" s="28"/>
      <c r="D2058" s="825"/>
      <c r="E2058" s="28"/>
      <c r="F2058" s="28"/>
      <c r="G2058" s="28"/>
      <c r="H2058" s="28"/>
      <c r="I2058" s="28"/>
      <c r="J2058" s="28"/>
      <c r="K2058" s="28"/>
      <c r="L2058" s="28"/>
      <c r="M2058" s="28"/>
      <c r="N2058" s="28"/>
      <c r="O2058" s="28"/>
      <c r="P2058" s="28"/>
      <c r="Q2058" s="28"/>
      <c r="R2058" s="28"/>
      <c r="S2058" s="28"/>
      <c r="T2058" s="28"/>
      <c r="U2058" s="28"/>
      <c r="V2058" s="28"/>
      <c r="W2058" s="28"/>
      <c r="X2058" s="28"/>
      <c r="Y2058" s="28"/>
      <c r="Z2058" s="28"/>
      <c r="AA2058" s="28"/>
      <c r="AB2058" s="28"/>
      <c r="AC2058" s="28"/>
    </row>
    <row r="2059" ht="78.0" customHeight="1">
      <c r="A2059" s="52"/>
      <c r="B2059" s="52"/>
      <c r="C2059" s="54"/>
      <c r="D2059" s="855"/>
      <c r="E2059" s="54"/>
      <c r="F2059" s="54"/>
      <c r="G2059" s="54"/>
      <c r="H2059" s="54"/>
      <c r="I2059" s="54"/>
      <c r="J2059" s="54"/>
      <c r="K2059" s="54"/>
      <c r="L2059" s="54"/>
      <c r="M2059" s="54"/>
      <c r="N2059" s="54"/>
      <c r="O2059" s="54"/>
      <c r="P2059" s="54"/>
      <c r="Q2059" s="54"/>
      <c r="R2059" s="54"/>
      <c r="S2059" s="54"/>
      <c r="T2059" s="54"/>
      <c r="U2059" s="54"/>
      <c r="V2059" s="54"/>
      <c r="W2059" s="54"/>
      <c r="X2059" s="54"/>
      <c r="Y2059" s="54"/>
      <c r="Z2059" s="54"/>
      <c r="AA2059" s="54"/>
      <c r="AB2059" s="54"/>
      <c r="AC2059" s="54"/>
    </row>
    <row r="2060" ht="78.0" customHeight="1">
      <c r="A2060" s="26"/>
      <c r="B2060" s="26"/>
      <c r="C2060" s="28"/>
      <c r="D2060" s="825"/>
      <c r="E2060" s="28"/>
      <c r="F2060" s="28"/>
      <c r="G2060" s="28"/>
      <c r="H2060" s="28"/>
      <c r="I2060" s="28"/>
      <c r="J2060" s="28"/>
      <c r="K2060" s="28"/>
      <c r="L2060" s="28"/>
      <c r="M2060" s="28"/>
      <c r="N2060" s="28"/>
      <c r="O2060" s="28"/>
      <c r="P2060" s="28"/>
      <c r="Q2060" s="28"/>
      <c r="R2060" s="28"/>
      <c r="S2060" s="28"/>
      <c r="T2060" s="28"/>
      <c r="U2060" s="28"/>
      <c r="V2060" s="28"/>
      <c r="W2060" s="28"/>
      <c r="X2060" s="28"/>
      <c r="Y2060" s="28"/>
      <c r="Z2060" s="28"/>
      <c r="AA2060" s="28"/>
      <c r="AB2060" s="28"/>
      <c r="AC2060" s="28"/>
    </row>
    <row r="2061" ht="78.0" customHeight="1">
      <c r="A2061" s="52"/>
      <c r="B2061" s="52"/>
      <c r="C2061" s="54"/>
      <c r="D2061" s="855"/>
      <c r="E2061" s="54"/>
      <c r="F2061" s="54"/>
      <c r="G2061" s="54"/>
      <c r="H2061" s="54"/>
      <c r="I2061" s="54"/>
      <c r="J2061" s="54"/>
      <c r="K2061" s="54"/>
      <c r="L2061" s="54"/>
      <c r="M2061" s="54"/>
      <c r="N2061" s="54"/>
      <c r="O2061" s="54"/>
      <c r="P2061" s="54"/>
      <c r="Q2061" s="54"/>
      <c r="R2061" s="54"/>
      <c r="S2061" s="54"/>
      <c r="T2061" s="54"/>
      <c r="U2061" s="54"/>
      <c r="V2061" s="54"/>
      <c r="W2061" s="54"/>
      <c r="X2061" s="54"/>
      <c r="Y2061" s="54"/>
      <c r="Z2061" s="54"/>
      <c r="AA2061" s="54"/>
      <c r="AB2061" s="54"/>
      <c r="AC2061" s="54"/>
    </row>
    <row r="2062" ht="78.0" customHeight="1">
      <c r="A2062" s="26"/>
      <c r="B2062" s="26"/>
      <c r="C2062" s="28"/>
      <c r="D2062" s="825"/>
      <c r="E2062" s="28"/>
      <c r="F2062" s="28"/>
      <c r="G2062" s="28"/>
      <c r="H2062" s="28"/>
      <c r="I2062" s="28"/>
      <c r="J2062" s="28"/>
      <c r="K2062" s="28"/>
      <c r="L2062" s="28"/>
      <c r="M2062" s="28"/>
      <c r="N2062" s="28"/>
      <c r="O2062" s="28"/>
      <c r="P2062" s="28"/>
      <c r="Q2062" s="28"/>
      <c r="R2062" s="28"/>
      <c r="S2062" s="28"/>
      <c r="T2062" s="28"/>
      <c r="U2062" s="28"/>
      <c r="V2062" s="28"/>
      <c r="W2062" s="28"/>
      <c r="X2062" s="28"/>
      <c r="Y2062" s="28"/>
      <c r="Z2062" s="28"/>
      <c r="AA2062" s="28"/>
      <c r="AB2062" s="28"/>
      <c r="AC2062" s="28"/>
    </row>
    <row r="2063" ht="78.0" customHeight="1">
      <c r="A2063" s="52"/>
      <c r="B2063" s="52"/>
      <c r="C2063" s="54"/>
      <c r="D2063" s="855"/>
      <c r="E2063" s="54"/>
      <c r="F2063" s="54"/>
      <c r="G2063" s="54"/>
      <c r="H2063" s="54"/>
      <c r="I2063" s="54"/>
      <c r="J2063" s="54"/>
      <c r="K2063" s="54"/>
      <c r="L2063" s="54"/>
      <c r="M2063" s="54"/>
      <c r="N2063" s="54"/>
      <c r="O2063" s="54"/>
      <c r="P2063" s="54"/>
      <c r="Q2063" s="54"/>
      <c r="R2063" s="54"/>
      <c r="S2063" s="54"/>
      <c r="T2063" s="54"/>
      <c r="U2063" s="54"/>
      <c r="V2063" s="54"/>
      <c r="W2063" s="54"/>
      <c r="X2063" s="54"/>
      <c r="Y2063" s="54"/>
      <c r="Z2063" s="54"/>
      <c r="AA2063" s="54"/>
      <c r="AB2063" s="54"/>
      <c r="AC2063" s="54"/>
    </row>
    <row r="2064" ht="78.0" customHeight="1">
      <c r="A2064" s="26"/>
      <c r="B2064" s="26"/>
      <c r="C2064" s="28"/>
      <c r="D2064" s="825"/>
      <c r="E2064" s="28"/>
      <c r="F2064" s="28"/>
      <c r="G2064" s="28"/>
      <c r="H2064" s="28"/>
      <c r="I2064" s="28"/>
      <c r="J2064" s="28"/>
      <c r="K2064" s="28"/>
      <c r="L2064" s="28"/>
      <c r="M2064" s="28"/>
      <c r="N2064" s="28"/>
      <c r="O2064" s="28"/>
      <c r="P2064" s="28"/>
      <c r="Q2064" s="28"/>
      <c r="R2064" s="28"/>
      <c r="S2064" s="28"/>
      <c r="T2064" s="28"/>
      <c r="U2064" s="28"/>
      <c r="V2064" s="28"/>
      <c r="W2064" s="28"/>
      <c r="X2064" s="28"/>
      <c r="Y2064" s="28"/>
      <c r="Z2064" s="28"/>
      <c r="AA2064" s="28"/>
      <c r="AB2064" s="28"/>
      <c r="AC2064" s="28"/>
    </row>
    <row r="2065" ht="78.0" customHeight="1">
      <c r="A2065" s="52"/>
      <c r="B2065" s="52"/>
      <c r="C2065" s="54"/>
      <c r="D2065" s="855"/>
      <c r="E2065" s="54"/>
      <c r="F2065" s="54"/>
      <c r="G2065" s="54"/>
      <c r="H2065" s="54"/>
      <c r="I2065" s="54"/>
      <c r="J2065" s="54"/>
      <c r="K2065" s="54"/>
      <c r="L2065" s="54"/>
      <c r="M2065" s="54"/>
      <c r="N2065" s="54"/>
      <c r="O2065" s="54"/>
      <c r="P2065" s="54"/>
      <c r="Q2065" s="54"/>
      <c r="R2065" s="54"/>
      <c r="S2065" s="54"/>
      <c r="T2065" s="54"/>
      <c r="U2065" s="54"/>
      <c r="V2065" s="54"/>
      <c r="W2065" s="54"/>
      <c r="X2065" s="54"/>
      <c r="Y2065" s="54"/>
      <c r="Z2065" s="54"/>
      <c r="AA2065" s="54"/>
      <c r="AB2065" s="54"/>
      <c r="AC2065" s="54"/>
    </row>
    <row r="2066" ht="78.0" customHeight="1">
      <c r="A2066" s="26"/>
      <c r="B2066" s="26"/>
      <c r="C2066" s="28"/>
      <c r="D2066" s="825"/>
      <c r="E2066" s="28"/>
      <c r="F2066" s="28"/>
      <c r="G2066" s="28"/>
      <c r="H2066" s="28"/>
      <c r="I2066" s="28"/>
      <c r="J2066" s="28"/>
      <c r="K2066" s="28"/>
      <c r="L2066" s="28"/>
      <c r="M2066" s="28"/>
      <c r="N2066" s="28"/>
      <c r="O2066" s="28"/>
      <c r="P2066" s="28"/>
      <c r="Q2066" s="28"/>
      <c r="R2066" s="28"/>
      <c r="S2066" s="28"/>
      <c r="T2066" s="28"/>
      <c r="U2066" s="28"/>
      <c r="V2066" s="28"/>
      <c r="W2066" s="28"/>
      <c r="X2066" s="28"/>
      <c r="Y2066" s="28"/>
      <c r="Z2066" s="28"/>
      <c r="AA2066" s="28"/>
      <c r="AB2066" s="28"/>
      <c r="AC2066" s="28"/>
    </row>
    <row r="2067" ht="78.0" customHeight="1">
      <c r="A2067" s="52"/>
      <c r="B2067" s="52"/>
      <c r="C2067" s="54"/>
      <c r="D2067" s="855"/>
      <c r="E2067" s="54"/>
      <c r="F2067" s="54"/>
      <c r="G2067" s="54"/>
      <c r="H2067" s="54"/>
      <c r="I2067" s="54"/>
      <c r="J2067" s="54"/>
      <c r="K2067" s="54"/>
      <c r="L2067" s="54"/>
      <c r="M2067" s="54"/>
      <c r="N2067" s="54"/>
      <c r="O2067" s="54"/>
      <c r="P2067" s="54"/>
      <c r="Q2067" s="54"/>
      <c r="R2067" s="54"/>
      <c r="S2067" s="54"/>
      <c r="T2067" s="54"/>
      <c r="U2067" s="54"/>
      <c r="V2067" s="54"/>
      <c r="W2067" s="54"/>
      <c r="X2067" s="54"/>
      <c r="Y2067" s="54"/>
      <c r="Z2067" s="54"/>
      <c r="AA2067" s="54"/>
      <c r="AB2067" s="54"/>
      <c r="AC2067" s="54"/>
    </row>
    <row r="2068" ht="78.0" customHeight="1">
      <c r="A2068" s="26"/>
      <c r="B2068" s="26"/>
      <c r="C2068" s="28"/>
      <c r="D2068" s="825"/>
      <c r="E2068" s="28"/>
      <c r="F2068" s="28"/>
      <c r="G2068" s="28"/>
      <c r="H2068" s="28"/>
      <c r="I2068" s="28"/>
      <c r="J2068" s="28"/>
      <c r="K2068" s="28"/>
      <c r="L2068" s="28"/>
      <c r="M2068" s="28"/>
      <c r="N2068" s="28"/>
      <c r="O2068" s="28"/>
      <c r="P2068" s="28"/>
      <c r="Q2068" s="28"/>
      <c r="R2068" s="28"/>
      <c r="S2068" s="28"/>
      <c r="T2068" s="28"/>
      <c r="U2068" s="28"/>
      <c r="V2068" s="28"/>
      <c r="W2068" s="28"/>
      <c r="X2068" s="28"/>
      <c r="Y2068" s="28"/>
      <c r="Z2068" s="28"/>
      <c r="AA2068" s="28"/>
      <c r="AB2068" s="28"/>
      <c r="AC2068" s="28"/>
    </row>
    <row r="2069" ht="78.0" customHeight="1">
      <c r="A2069" s="52"/>
      <c r="B2069" s="52"/>
      <c r="C2069" s="54"/>
      <c r="D2069" s="855"/>
      <c r="E2069" s="54"/>
      <c r="F2069" s="54"/>
      <c r="G2069" s="54"/>
      <c r="H2069" s="54"/>
      <c r="I2069" s="54"/>
      <c r="J2069" s="54"/>
      <c r="K2069" s="54"/>
      <c r="L2069" s="54"/>
      <c r="M2069" s="54"/>
      <c r="N2069" s="54"/>
      <c r="O2069" s="54"/>
      <c r="P2069" s="54"/>
      <c r="Q2069" s="54"/>
      <c r="R2069" s="54"/>
      <c r="S2069" s="54"/>
      <c r="T2069" s="54"/>
      <c r="U2069" s="54"/>
      <c r="V2069" s="54"/>
      <c r="W2069" s="54"/>
      <c r="X2069" s="54"/>
      <c r="Y2069" s="54"/>
      <c r="Z2069" s="54"/>
      <c r="AA2069" s="54"/>
      <c r="AB2069" s="54"/>
      <c r="AC2069" s="54"/>
    </row>
    <row r="2070" ht="78.0" customHeight="1">
      <c r="A2070" s="26"/>
      <c r="B2070" s="26"/>
      <c r="C2070" s="28"/>
      <c r="D2070" s="825"/>
      <c r="E2070" s="28"/>
      <c r="F2070" s="28"/>
      <c r="G2070" s="28"/>
      <c r="H2070" s="28"/>
      <c r="I2070" s="28"/>
      <c r="J2070" s="28"/>
      <c r="K2070" s="28"/>
      <c r="L2070" s="28"/>
      <c r="M2070" s="28"/>
      <c r="N2070" s="28"/>
      <c r="O2070" s="28"/>
      <c r="P2070" s="28"/>
      <c r="Q2070" s="28"/>
      <c r="R2070" s="28"/>
      <c r="S2070" s="28"/>
      <c r="T2070" s="28"/>
      <c r="U2070" s="28"/>
      <c r="V2070" s="28"/>
      <c r="W2070" s="28"/>
      <c r="X2070" s="28"/>
      <c r="Y2070" s="28"/>
      <c r="Z2070" s="28"/>
      <c r="AA2070" s="28"/>
      <c r="AB2070" s="28"/>
      <c r="AC2070" s="28"/>
    </row>
    <row r="2071" ht="78.0" customHeight="1">
      <c r="A2071" s="52"/>
      <c r="B2071" s="52"/>
      <c r="C2071" s="54"/>
      <c r="D2071" s="855"/>
      <c r="E2071" s="54"/>
      <c r="F2071" s="54"/>
      <c r="G2071" s="54"/>
      <c r="H2071" s="54"/>
      <c r="I2071" s="54"/>
      <c r="J2071" s="54"/>
      <c r="K2071" s="54"/>
      <c r="L2071" s="54"/>
      <c r="M2071" s="54"/>
      <c r="N2071" s="54"/>
      <c r="O2071" s="54"/>
      <c r="P2071" s="54"/>
      <c r="Q2071" s="54"/>
      <c r="R2071" s="54"/>
      <c r="S2071" s="54"/>
      <c r="T2071" s="54"/>
      <c r="U2071" s="54"/>
      <c r="V2071" s="54"/>
      <c r="W2071" s="54"/>
      <c r="X2071" s="54"/>
      <c r="Y2071" s="54"/>
      <c r="Z2071" s="54"/>
      <c r="AA2071" s="54"/>
      <c r="AB2071" s="54"/>
      <c r="AC2071" s="54"/>
    </row>
    <row r="2072" ht="78.0" customHeight="1">
      <c r="A2072" s="26"/>
      <c r="B2072" s="26"/>
      <c r="C2072" s="28"/>
      <c r="D2072" s="825"/>
      <c r="E2072" s="28"/>
      <c r="F2072" s="28"/>
      <c r="G2072" s="28"/>
      <c r="H2072" s="28"/>
      <c r="I2072" s="28"/>
      <c r="J2072" s="28"/>
      <c r="K2072" s="28"/>
      <c r="L2072" s="28"/>
      <c r="M2072" s="28"/>
      <c r="N2072" s="28"/>
      <c r="O2072" s="28"/>
      <c r="P2072" s="28"/>
      <c r="Q2072" s="28"/>
      <c r="R2072" s="28"/>
      <c r="S2072" s="28"/>
      <c r="T2072" s="28"/>
      <c r="U2072" s="28"/>
      <c r="V2072" s="28"/>
      <c r="W2072" s="28"/>
      <c r="X2072" s="28"/>
      <c r="Y2072" s="28"/>
      <c r="Z2072" s="28"/>
      <c r="AA2072" s="28"/>
      <c r="AB2072" s="28"/>
      <c r="AC2072" s="28"/>
    </row>
    <row r="2073" ht="78.0" customHeight="1">
      <c r="A2073" s="52"/>
      <c r="B2073" s="52"/>
      <c r="C2073" s="54"/>
      <c r="D2073" s="855"/>
      <c r="E2073" s="54"/>
      <c r="F2073" s="54"/>
      <c r="G2073" s="54"/>
      <c r="H2073" s="54"/>
      <c r="I2073" s="54"/>
      <c r="J2073" s="54"/>
      <c r="K2073" s="54"/>
      <c r="L2073" s="54"/>
      <c r="M2073" s="54"/>
      <c r="N2073" s="54"/>
      <c r="O2073" s="54"/>
      <c r="P2073" s="54"/>
      <c r="Q2073" s="54"/>
      <c r="R2073" s="54"/>
      <c r="S2073" s="54"/>
      <c r="T2073" s="54"/>
      <c r="U2073" s="54"/>
      <c r="V2073" s="54"/>
      <c r="W2073" s="54"/>
      <c r="X2073" s="54"/>
      <c r="Y2073" s="54"/>
      <c r="Z2073" s="54"/>
      <c r="AA2073" s="54"/>
      <c r="AB2073" s="54"/>
      <c r="AC2073" s="54"/>
    </row>
    <row r="2074" ht="78.0" customHeight="1">
      <c r="A2074" s="26"/>
      <c r="B2074" s="26"/>
      <c r="C2074" s="28"/>
      <c r="D2074" s="825"/>
      <c r="E2074" s="28"/>
      <c r="F2074" s="28"/>
      <c r="G2074" s="28"/>
      <c r="H2074" s="28"/>
      <c r="I2074" s="28"/>
      <c r="J2074" s="28"/>
      <c r="K2074" s="28"/>
      <c r="L2074" s="28"/>
      <c r="M2074" s="28"/>
      <c r="N2074" s="28"/>
      <c r="O2074" s="28"/>
      <c r="P2074" s="28"/>
      <c r="Q2074" s="28"/>
      <c r="R2074" s="28"/>
      <c r="S2074" s="28"/>
      <c r="T2074" s="28"/>
      <c r="U2074" s="28"/>
      <c r="V2074" s="28"/>
      <c r="W2074" s="28"/>
      <c r="X2074" s="28"/>
      <c r="Y2074" s="28"/>
      <c r="Z2074" s="28"/>
      <c r="AA2074" s="28"/>
      <c r="AB2074" s="28"/>
      <c r="AC2074" s="28"/>
    </row>
    <row r="2075" ht="78.0" customHeight="1">
      <c r="A2075" s="52"/>
      <c r="B2075" s="52"/>
      <c r="C2075" s="54"/>
      <c r="D2075" s="855"/>
      <c r="E2075" s="54"/>
      <c r="F2075" s="54"/>
      <c r="G2075" s="54"/>
      <c r="H2075" s="54"/>
      <c r="I2075" s="54"/>
      <c r="J2075" s="54"/>
      <c r="K2075" s="54"/>
      <c r="L2075" s="54"/>
      <c r="M2075" s="54"/>
      <c r="N2075" s="54"/>
      <c r="O2075" s="54"/>
      <c r="P2075" s="54"/>
      <c r="Q2075" s="54"/>
      <c r="R2075" s="54"/>
      <c r="S2075" s="54"/>
      <c r="T2075" s="54"/>
      <c r="U2075" s="54"/>
      <c r="V2075" s="54"/>
      <c r="W2075" s="54"/>
      <c r="X2075" s="54"/>
      <c r="Y2075" s="54"/>
      <c r="Z2075" s="54"/>
      <c r="AA2075" s="54"/>
      <c r="AB2075" s="54"/>
      <c r="AC2075" s="54"/>
    </row>
    <row r="2076" ht="78.0" customHeight="1">
      <c r="A2076" s="26"/>
      <c r="B2076" s="26"/>
      <c r="C2076" s="28"/>
      <c r="D2076" s="825"/>
      <c r="E2076" s="28"/>
      <c r="F2076" s="28"/>
      <c r="G2076" s="28"/>
      <c r="H2076" s="28"/>
      <c r="I2076" s="28"/>
      <c r="J2076" s="28"/>
      <c r="K2076" s="28"/>
      <c r="L2076" s="28"/>
      <c r="M2076" s="28"/>
      <c r="N2076" s="28"/>
      <c r="O2076" s="28"/>
      <c r="P2076" s="28"/>
      <c r="Q2076" s="28"/>
      <c r="R2076" s="28"/>
      <c r="S2076" s="28"/>
      <c r="T2076" s="28"/>
      <c r="U2076" s="28"/>
      <c r="V2076" s="28"/>
      <c r="W2076" s="28"/>
      <c r="X2076" s="28"/>
      <c r="Y2076" s="28"/>
      <c r="Z2076" s="28"/>
      <c r="AA2076" s="28"/>
      <c r="AB2076" s="28"/>
      <c r="AC2076" s="28"/>
    </row>
    <row r="2077" ht="78.0" customHeight="1">
      <c r="A2077" s="52"/>
      <c r="B2077" s="52"/>
      <c r="C2077" s="54"/>
      <c r="D2077" s="855"/>
      <c r="E2077" s="54"/>
      <c r="F2077" s="54"/>
      <c r="G2077" s="54"/>
      <c r="H2077" s="54"/>
      <c r="I2077" s="54"/>
      <c r="J2077" s="54"/>
      <c r="K2077" s="54"/>
      <c r="L2077" s="54"/>
      <c r="M2077" s="54"/>
      <c r="N2077" s="54"/>
      <c r="O2077" s="54"/>
      <c r="P2077" s="54"/>
      <c r="Q2077" s="54"/>
      <c r="R2077" s="54"/>
      <c r="S2077" s="54"/>
      <c r="T2077" s="54"/>
      <c r="U2077" s="54"/>
      <c r="V2077" s="54"/>
      <c r="W2077" s="54"/>
      <c r="X2077" s="54"/>
      <c r="Y2077" s="54"/>
      <c r="Z2077" s="54"/>
      <c r="AA2077" s="54"/>
      <c r="AB2077" s="54"/>
      <c r="AC2077" s="54"/>
    </row>
    <row r="2078" ht="78.0" customHeight="1">
      <c r="A2078" s="26"/>
      <c r="B2078" s="26"/>
      <c r="C2078" s="28"/>
      <c r="D2078" s="825"/>
      <c r="E2078" s="28"/>
      <c r="F2078" s="28"/>
      <c r="G2078" s="28"/>
      <c r="H2078" s="28"/>
      <c r="I2078" s="28"/>
      <c r="J2078" s="28"/>
      <c r="K2078" s="28"/>
      <c r="L2078" s="28"/>
      <c r="M2078" s="28"/>
      <c r="N2078" s="28"/>
      <c r="O2078" s="28"/>
      <c r="P2078" s="28"/>
      <c r="Q2078" s="28"/>
      <c r="R2078" s="28"/>
      <c r="S2078" s="28"/>
      <c r="T2078" s="28"/>
      <c r="U2078" s="28"/>
      <c r="V2078" s="28"/>
      <c r="W2078" s="28"/>
      <c r="X2078" s="28"/>
      <c r="Y2078" s="28"/>
      <c r="Z2078" s="28"/>
      <c r="AA2078" s="28"/>
      <c r="AB2078" s="28"/>
      <c r="AC2078" s="28"/>
    </row>
    <row r="2079" ht="78.0" customHeight="1">
      <c r="A2079" s="52"/>
      <c r="B2079" s="52"/>
      <c r="C2079" s="54"/>
      <c r="D2079" s="855"/>
      <c r="E2079" s="54"/>
      <c r="F2079" s="54"/>
      <c r="G2079" s="54"/>
      <c r="H2079" s="54"/>
      <c r="I2079" s="54"/>
      <c r="J2079" s="54"/>
      <c r="K2079" s="54"/>
      <c r="L2079" s="54"/>
      <c r="M2079" s="54"/>
      <c r="N2079" s="54"/>
      <c r="O2079" s="54"/>
      <c r="P2079" s="54"/>
      <c r="Q2079" s="54"/>
      <c r="R2079" s="54"/>
      <c r="S2079" s="54"/>
      <c r="T2079" s="54"/>
      <c r="U2079" s="54"/>
      <c r="V2079" s="54"/>
      <c r="W2079" s="54"/>
      <c r="X2079" s="54"/>
      <c r="Y2079" s="54"/>
      <c r="Z2079" s="54"/>
      <c r="AA2079" s="54"/>
      <c r="AB2079" s="54"/>
      <c r="AC2079" s="54"/>
    </row>
    <row r="2080" ht="78.0" customHeight="1">
      <c r="A2080" s="26"/>
      <c r="B2080" s="26"/>
      <c r="C2080" s="28"/>
      <c r="D2080" s="825"/>
      <c r="E2080" s="28"/>
      <c r="F2080" s="28"/>
      <c r="G2080" s="28"/>
      <c r="H2080" s="28"/>
      <c r="I2080" s="28"/>
      <c r="J2080" s="28"/>
      <c r="K2080" s="28"/>
      <c r="L2080" s="28"/>
      <c r="M2080" s="28"/>
      <c r="N2080" s="28"/>
      <c r="O2080" s="28"/>
      <c r="P2080" s="28"/>
      <c r="Q2080" s="28"/>
      <c r="R2080" s="28"/>
      <c r="S2080" s="28"/>
      <c r="T2080" s="28"/>
      <c r="U2080" s="28"/>
      <c r="V2080" s="28"/>
      <c r="W2080" s="28"/>
      <c r="X2080" s="28"/>
      <c r="Y2080" s="28"/>
      <c r="Z2080" s="28"/>
      <c r="AA2080" s="28"/>
      <c r="AB2080" s="28"/>
      <c r="AC2080" s="28"/>
    </row>
    <row r="2081" ht="78.0" customHeight="1">
      <c r="A2081" s="52"/>
      <c r="B2081" s="52"/>
      <c r="C2081" s="54"/>
      <c r="D2081" s="855"/>
      <c r="E2081" s="54"/>
      <c r="F2081" s="54"/>
      <c r="G2081" s="54"/>
      <c r="H2081" s="54"/>
      <c r="I2081" s="54"/>
      <c r="J2081" s="54"/>
      <c r="K2081" s="54"/>
      <c r="L2081" s="54"/>
      <c r="M2081" s="54"/>
      <c r="N2081" s="54"/>
      <c r="O2081" s="54"/>
      <c r="P2081" s="54"/>
      <c r="Q2081" s="54"/>
      <c r="R2081" s="54"/>
      <c r="S2081" s="54"/>
      <c r="T2081" s="54"/>
      <c r="U2081" s="54"/>
      <c r="V2081" s="54"/>
      <c r="W2081" s="54"/>
      <c r="X2081" s="54"/>
      <c r="Y2081" s="54"/>
      <c r="Z2081" s="54"/>
      <c r="AA2081" s="54"/>
      <c r="AB2081" s="54"/>
      <c r="AC2081" s="54"/>
    </row>
    <row r="2082" ht="78.0" customHeight="1">
      <c r="A2082" s="26"/>
      <c r="B2082" s="26"/>
      <c r="C2082" s="28"/>
      <c r="D2082" s="825"/>
      <c r="E2082" s="28"/>
      <c r="F2082" s="28"/>
      <c r="G2082" s="28"/>
      <c r="H2082" s="28"/>
      <c r="I2082" s="28"/>
      <c r="J2082" s="28"/>
      <c r="K2082" s="28"/>
      <c r="L2082" s="28"/>
      <c r="M2082" s="28"/>
      <c r="N2082" s="28"/>
      <c r="O2082" s="28"/>
      <c r="P2082" s="28"/>
      <c r="Q2082" s="28"/>
      <c r="R2082" s="28"/>
      <c r="S2082" s="28"/>
      <c r="T2082" s="28"/>
      <c r="U2082" s="28"/>
      <c r="V2082" s="28"/>
      <c r="W2082" s="28"/>
      <c r="X2082" s="28"/>
      <c r="Y2082" s="28"/>
      <c r="Z2082" s="28"/>
      <c r="AA2082" s="28"/>
      <c r="AB2082" s="28"/>
      <c r="AC2082" s="28"/>
    </row>
    <row r="2083" ht="78.0" customHeight="1">
      <c r="A2083" s="52"/>
      <c r="B2083" s="52"/>
      <c r="C2083" s="54"/>
      <c r="D2083" s="855"/>
      <c r="E2083" s="54"/>
      <c r="F2083" s="54"/>
      <c r="G2083" s="54"/>
      <c r="H2083" s="54"/>
      <c r="I2083" s="54"/>
      <c r="J2083" s="54"/>
      <c r="K2083" s="54"/>
      <c r="L2083" s="54"/>
      <c r="M2083" s="54"/>
      <c r="N2083" s="54"/>
      <c r="O2083" s="54"/>
      <c r="P2083" s="54"/>
      <c r="Q2083" s="54"/>
      <c r="R2083" s="54"/>
      <c r="S2083" s="54"/>
      <c r="T2083" s="54"/>
      <c r="U2083" s="54"/>
      <c r="V2083" s="54"/>
      <c r="W2083" s="54"/>
      <c r="X2083" s="54"/>
      <c r="Y2083" s="54"/>
      <c r="Z2083" s="54"/>
      <c r="AA2083" s="54"/>
      <c r="AB2083" s="54"/>
      <c r="AC2083" s="54"/>
    </row>
    <row r="2084" ht="78.0" customHeight="1">
      <c r="A2084" s="26"/>
      <c r="B2084" s="26"/>
      <c r="C2084" s="28"/>
      <c r="D2084" s="825"/>
      <c r="E2084" s="28"/>
      <c r="F2084" s="28"/>
      <c r="G2084" s="28"/>
      <c r="H2084" s="28"/>
      <c r="I2084" s="28"/>
      <c r="J2084" s="28"/>
      <c r="K2084" s="28"/>
      <c r="L2084" s="28"/>
      <c r="M2084" s="28"/>
      <c r="N2084" s="28"/>
      <c r="O2084" s="28"/>
      <c r="P2084" s="28"/>
      <c r="Q2084" s="28"/>
      <c r="R2084" s="28"/>
      <c r="S2084" s="28"/>
      <c r="T2084" s="28"/>
      <c r="U2084" s="28"/>
      <c r="V2084" s="28"/>
      <c r="W2084" s="28"/>
      <c r="X2084" s="28"/>
      <c r="Y2084" s="28"/>
      <c r="Z2084" s="28"/>
      <c r="AA2084" s="28"/>
      <c r="AB2084" s="28"/>
      <c r="AC2084" s="28"/>
    </row>
    <row r="2085" ht="78.0" customHeight="1">
      <c r="A2085" s="52"/>
      <c r="B2085" s="52"/>
      <c r="C2085" s="54"/>
      <c r="D2085" s="855"/>
      <c r="E2085" s="54"/>
      <c r="F2085" s="54"/>
      <c r="G2085" s="54"/>
      <c r="H2085" s="54"/>
      <c r="I2085" s="54"/>
      <c r="J2085" s="54"/>
      <c r="K2085" s="54"/>
      <c r="L2085" s="54"/>
      <c r="M2085" s="54"/>
      <c r="N2085" s="54"/>
      <c r="O2085" s="54"/>
      <c r="P2085" s="54"/>
      <c r="Q2085" s="54"/>
      <c r="R2085" s="54"/>
      <c r="S2085" s="54"/>
      <c r="T2085" s="54"/>
      <c r="U2085" s="54"/>
      <c r="V2085" s="54"/>
      <c r="W2085" s="54"/>
      <c r="X2085" s="54"/>
      <c r="Y2085" s="54"/>
      <c r="Z2085" s="54"/>
      <c r="AA2085" s="54"/>
      <c r="AB2085" s="54"/>
      <c r="AC2085" s="54"/>
    </row>
    <row r="2086" ht="78.0" customHeight="1">
      <c r="A2086" s="26"/>
      <c r="B2086" s="26"/>
      <c r="C2086" s="28"/>
      <c r="D2086" s="825"/>
      <c r="E2086" s="28"/>
      <c r="F2086" s="28"/>
      <c r="G2086" s="28"/>
      <c r="H2086" s="28"/>
      <c r="I2086" s="28"/>
      <c r="J2086" s="28"/>
      <c r="K2086" s="28"/>
      <c r="L2086" s="28"/>
      <c r="M2086" s="28"/>
      <c r="N2086" s="28"/>
      <c r="O2086" s="28"/>
      <c r="P2086" s="28"/>
      <c r="Q2086" s="28"/>
      <c r="R2086" s="28"/>
      <c r="S2086" s="28"/>
      <c r="T2086" s="28"/>
      <c r="U2086" s="28"/>
      <c r="V2086" s="28"/>
      <c r="W2086" s="28"/>
      <c r="X2086" s="28"/>
      <c r="Y2086" s="28"/>
      <c r="Z2086" s="28"/>
      <c r="AA2086" s="28"/>
      <c r="AB2086" s="28"/>
      <c r="AC2086" s="28"/>
    </row>
    <row r="2087" ht="78.0" customHeight="1">
      <c r="A2087" s="52"/>
      <c r="B2087" s="52"/>
      <c r="C2087" s="54"/>
      <c r="D2087" s="855"/>
      <c r="E2087" s="54"/>
      <c r="F2087" s="54"/>
      <c r="G2087" s="54"/>
      <c r="H2087" s="54"/>
      <c r="I2087" s="54"/>
      <c r="J2087" s="54"/>
      <c r="K2087" s="54"/>
      <c r="L2087" s="54"/>
      <c r="M2087" s="54"/>
      <c r="N2087" s="54"/>
      <c r="O2087" s="54"/>
      <c r="P2087" s="54"/>
      <c r="Q2087" s="54"/>
      <c r="R2087" s="54"/>
      <c r="S2087" s="54"/>
      <c r="T2087" s="54"/>
      <c r="U2087" s="54"/>
      <c r="V2087" s="54"/>
      <c r="W2087" s="54"/>
      <c r="X2087" s="54"/>
      <c r="Y2087" s="54"/>
      <c r="Z2087" s="54"/>
      <c r="AA2087" s="54"/>
      <c r="AB2087" s="54"/>
      <c r="AC2087" s="54"/>
    </row>
    <row r="2088" ht="78.0" customHeight="1">
      <c r="A2088" s="26"/>
      <c r="B2088" s="26"/>
      <c r="C2088" s="28"/>
      <c r="D2088" s="825"/>
      <c r="E2088" s="28"/>
      <c r="F2088" s="28"/>
      <c r="G2088" s="28"/>
      <c r="H2088" s="28"/>
      <c r="I2088" s="28"/>
      <c r="J2088" s="28"/>
      <c r="K2088" s="28"/>
      <c r="L2088" s="28"/>
      <c r="M2088" s="28"/>
      <c r="N2088" s="28"/>
      <c r="O2088" s="28"/>
      <c r="P2088" s="28"/>
      <c r="Q2088" s="28"/>
      <c r="R2088" s="28"/>
      <c r="S2088" s="28"/>
      <c r="T2088" s="28"/>
      <c r="U2088" s="28"/>
      <c r="V2088" s="28"/>
      <c r="W2088" s="28"/>
      <c r="X2088" s="28"/>
      <c r="Y2088" s="28"/>
      <c r="Z2088" s="28"/>
      <c r="AA2088" s="28"/>
      <c r="AB2088" s="28"/>
      <c r="AC2088" s="28"/>
    </row>
    <row r="2089" ht="78.0" customHeight="1">
      <c r="A2089" s="52"/>
      <c r="B2089" s="52"/>
      <c r="C2089" s="54"/>
      <c r="D2089" s="855"/>
      <c r="E2089" s="54"/>
      <c r="F2089" s="54"/>
      <c r="G2089" s="54"/>
      <c r="H2089" s="54"/>
      <c r="I2089" s="54"/>
      <c r="J2089" s="54"/>
      <c r="K2089" s="54"/>
      <c r="L2089" s="54"/>
      <c r="M2089" s="54"/>
      <c r="N2089" s="54"/>
      <c r="O2089" s="54"/>
      <c r="P2089" s="54"/>
      <c r="Q2089" s="54"/>
      <c r="R2089" s="54"/>
      <c r="S2089" s="54"/>
      <c r="T2089" s="54"/>
      <c r="U2089" s="54"/>
      <c r="V2089" s="54"/>
      <c r="W2089" s="54"/>
      <c r="X2089" s="54"/>
      <c r="Y2089" s="54"/>
      <c r="Z2089" s="54"/>
      <c r="AA2089" s="54"/>
      <c r="AB2089" s="54"/>
      <c r="AC2089" s="54"/>
    </row>
    <row r="2090" ht="78.0" customHeight="1">
      <c r="A2090" s="26"/>
      <c r="B2090" s="26"/>
      <c r="C2090" s="28"/>
      <c r="D2090" s="825"/>
      <c r="E2090" s="28"/>
      <c r="F2090" s="28"/>
      <c r="G2090" s="28"/>
      <c r="H2090" s="28"/>
      <c r="I2090" s="28"/>
      <c r="J2090" s="28"/>
      <c r="K2090" s="28"/>
      <c r="L2090" s="28"/>
      <c r="M2090" s="28"/>
      <c r="N2090" s="28"/>
      <c r="O2090" s="28"/>
      <c r="P2090" s="28"/>
      <c r="Q2090" s="28"/>
      <c r="R2090" s="28"/>
      <c r="S2090" s="28"/>
      <c r="T2090" s="28"/>
      <c r="U2090" s="28"/>
      <c r="V2090" s="28"/>
      <c r="W2090" s="28"/>
      <c r="X2090" s="28"/>
      <c r="Y2090" s="28"/>
      <c r="Z2090" s="28"/>
      <c r="AA2090" s="28"/>
      <c r="AB2090" s="28"/>
      <c r="AC2090" s="28"/>
    </row>
    <row r="2091" ht="78.0" customHeight="1">
      <c r="A2091" s="52"/>
      <c r="B2091" s="52"/>
      <c r="C2091" s="54"/>
      <c r="D2091" s="855"/>
      <c r="E2091" s="54"/>
      <c r="F2091" s="54"/>
      <c r="G2091" s="54"/>
      <c r="H2091" s="54"/>
      <c r="I2091" s="54"/>
      <c r="J2091" s="54"/>
      <c r="K2091" s="54"/>
      <c r="L2091" s="54"/>
      <c r="M2091" s="54"/>
      <c r="N2091" s="54"/>
      <c r="O2091" s="54"/>
      <c r="P2091" s="54"/>
      <c r="Q2091" s="54"/>
      <c r="R2091" s="54"/>
      <c r="S2091" s="54"/>
      <c r="T2091" s="54"/>
      <c r="U2091" s="54"/>
      <c r="V2091" s="54"/>
      <c r="W2091" s="54"/>
      <c r="X2091" s="54"/>
      <c r="Y2091" s="54"/>
      <c r="Z2091" s="54"/>
      <c r="AA2091" s="54"/>
      <c r="AB2091" s="54"/>
      <c r="AC2091" s="54"/>
    </row>
    <row r="2092" ht="78.0" customHeight="1">
      <c r="A2092" s="26"/>
      <c r="B2092" s="26"/>
      <c r="C2092" s="28"/>
      <c r="D2092" s="825"/>
      <c r="E2092" s="28"/>
      <c r="F2092" s="28"/>
      <c r="G2092" s="28"/>
      <c r="H2092" s="28"/>
      <c r="I2092" s="28"/>
      <c r="J2092" s="28"/>
      <c r="K2092" s="28"/>
      <c r="L2092" s="28"/>
      <c r="M2092" s="28"/>
      <c r="N2092" s="28"/>
      <c r="O2092" s="28"/>
      <c r="P2092" s="28"/>
      <c r="Q2092" s="28"/>
      <c r="R2092" s="28"/>
      <c r="S2092" s="28"/>
      <c r="T2092" s="28"/>
      <c r="U2092" s="28"/>
      <c r="V2092" s="28"/>
      <c r="W2092" s="28"/>
      <c r="X2092" s="28"/>
      <c r="Y2092" s="28"/>
      <c r="Z2092" s="28"/>
      <c r="AA2092" s="28"/>
      <c r="AB2092" s="28"/>
      <c r="AC2092" s="28"/>
    </row>
    <row r="2093" ht="78.0" customHeight="1">
      <c r="A2093" s="52"/>
      <c r="B2093" s="52"/>
      <c r="C2093" s="54"/>
      <c r="D2093" s="855"/>
      <c r="E2093" s="54"/>
      <c r="F2093" s="54"/>
      <c r="G2093" s="54"/>
      <c r="H2093" s="54"/>
      <c r="I2093" s="54"/>
      <c r="J2093" s="54"/>
      <c r="K2093" s="54"/>
      <c r="L2093" s="54"/>
      <c r="M2093" s="54"/>
      <c r="N2093" s="54"/>
      <c r="O2093" s="54"/>
      <c r="P2093" s="54"/>
      <c r="Q2093" s="54"/>
      <c r="R2093" s="54"/>
      <c r="S2093" s="54"/>
      <c r="T2093" s="54"/>
      <c r="U2093" s="54"/>
      <c r="V2093" s="54"/>
      <c r="W2093" s="54"/>
      <c r="X2093" s="54"/>
      <c r="Y2093" s="54"/>
      <c r="Z2093" s="54"/>
      <c r="AA2093" s="54"/>
      <c r="AB2093" s="54"/>
      <c r="AC2093" s="54"/>
    </row>
    <row r="2094" ht="78.0" customHeight="1">
      <c r="A2094" s="26"/>
      <c r="B2094" s="26"/>
      <c r="C2094" s="28"/>
      <c r="D2094" s="825"/>
      <c r="E2094" s="28"/>
      <c r="F2094" s="28"/>
      <c r="G2094" s="28"/>
      <c r="H2094" s="28"/>
      <c r="I2094" s="28"/>
      <c r="J2094" s="28"/>
      <c r="K2094" s="28"/>
      <c r="L2094" s="28"/>
      <c r="M2094" s="28"/>
      <c r="N2094" s="28"/>
      <c r="O2094" s="28"/>
      <c r="P2094" s="28"/>
      <c r="Q2094" s="28"/>
      <c r="R2094" s="28"/>
      <c r="S2094" s="28"/>
      <c r="T2094" s="28"/>
      <c r="U2094" s="28"/>
      <c r="V2094" s="28"/>
      <c r="W2094" s="28"/>
      <c r="X2094" s="28"/>
      <c r="Y2094" s="28"/>
      <c r="Z2094" s="28"/>
      <c r="AA2094" s="28"/>
      <c r="AB2094" s="28"/>
      <c r="AC2094" s="28"/>
    </row>
    <row r="2095" ht="78.0" customHeight="1">
      <c r="A2095" s="52"/>
      <c r="B2095" s="52"/>
      <c r="C2095" s="54"/>
      <c r="D2095" s="855"/>
      <c r="E2095" s="54"/>
      <c r="F2095" s="54"/>
      <c r="G2095" s="54"/>
      <c r="H2095" s="54"/>
      <c r="I2095" s="54"/>
      <c r="J2095" s="54"/>
      <c r="K2095" s="54"/>
      <c r="L2095" s="54"/>
      <c r="M2095" s="54"/>
      <c r="N2095" s="54"/>
      <c r="O2095" s="54"/>
      <c r="P2095" s="54"/>
      <c r="Q2095" s="54"/>
      <c r="R2095" s="54"/>
      <c r="S2095" s="54"/>
      <c r="T2095" s="54"/>
      <c r="U2095" s="54"/>
      <c r="V2095" s="54"/>
      <c r="W2095" s="54"/>
      <c r="X2095" s="54"/>
      <c r="Y2095" s="54"/>
      <c r="Z2095" s="54"/>
      <c r="AA2095" s="54"/>
      <c r="AB2095" s="54"/>
      <c r="AC2095" s="54"/>
    </row>
    <row r="2096" ht="78.0" customHeight="1">
      <c r="A2096" s="26"/>
      <c r="B2096" s="26"/>
      <c r="C2096" s="28"/>
      <c r="D2096" s="825"/>
      <c r="E2096" s="28"/>
      <c r="F2096" s="28"/>
      <c r="G2096" s="28"/>
      <c r="H2096" s="28"/>
      <c r="I2096" s="28"/>
      <c r="J2096" s="28"/>
      <c r="K2096" s="28"/>
      <c r="L2096" s="28"/>
      <c r="M2096" s="28"/>
      <c r="N2096" s="28"/>
      <c r="O2096" s="28"/>
      <c r="P2096" s="28"/>
      <c r="Q2096" s="28"/>
      <c r="R2096" s="28"/>
      <c r="S2096" s="28"/>
      <c r="T2096" s="28"/>
      <c r="U2096" s="28"/>
      <c r="V2096" s="28"/>
      <c r="W2096" s="28"/>
      <c r="X2096" s="28"/>
      <c r="Y2096" s="28"/>
      <c r="Z2096" s="28"/>
      <c r="AA2096" s="28"/>
      <c r="AB2096" s="28"/>
      <c r="AC2096" s="28"/>
    </row>
    <row r="2097" ht="78.0" customHeight="1">
      <c r="A2097" s="52"/>
      <c r="B2097" s="52"/>
      <c r="C2097" s="54"/>
      <c r="D2097" s="855"/>
      <c r="E2097" s="54"/>
      <c r="F2097" s="54"/>
      <c r="G2097" s="54"/>
      <c r="H2097" s="54"/>
      <c r="I2097" s="54"/>
      <c r="J2097" s="54"/>
      <c r="K2097" s="54"/>
      <c r="L2097" s="54"/>
      <c r="M2097" s="54"/>
      <c r="N2097" s="54"/>
      <c r="O2097" s="54"/>
      <c r="P2097" s="54"/>
      <c r="Q2097" s="54"/>
      <c r="R2097" s="54"/>
      <c r="S2097" s="54"/>
      <c r="T2097" s="54"/>
      <c r="U2097" s="54"/>
      <c r="V2097" s="54"/>
      <c r="W2097" s="54"/>
      <c r="X2097" s="54"/>
      <c r="Y2097" s="54"/>
      <c r="Z2097" s="54"/>
      <c r="AA2097" s="54"/>
      <c r="AB2097" s="54"/>
      <c r="AC2097" s="54"/>
    </row>
    <row r="2098" ht="78.0" customHeight="1">
      <c r="A2098" s="26"/>
      <c r="B2098" s="26"/>
      <c r="C2098" s="28"/>
      <c r="D2098" s="825"/>
      <c r="E2098" s="28"/>
      <c r="F2098" s="28"/>
      <c r="G2098" s="28"/>
      <c r="H2098" s="28"/>
      <c r="I2098" s="28"/>
      <c r="J2098" s="28"/>
      <c r="K2098" s="28"/>
      <c r="L2098" s="28"/>
      <c r="M2098" s="28"/>
      <c r="N2098" s="28"/>
      <c r="O2098" s="28"/>
      <c r="P2098" s="28"/>
      <c r="Q2098" s="28"/>
      <c r="R2098" s="28"/>
      <c r="S2098" s="28"/>
      <c r="T2098" s="28"/>
      <c r="U2098" s="28"/>
      <c r="V2098" s="28"/>
      <c r="W2098" s="28"/>
      <c r="X2098" s="28"/>
      <c r="Y2098" s="28"/>
      <c r="Z2098" s="28"/>
      <c r="AA2098" s="28"/>
      <c r="AB2098" s="28"/>
      <c r="AC2098" s="28"/>
    </row>
    <row r="2099" ht="78.0" customHeight="1">
      <c r="A2099" s="52"/>
      <c r="B2099" s="52"/>
      <c r="C2099" s="54"/>
      <c r="D2099" s="855"/>
      <c r="E2099" s="54"/>
      <c r="F2099" s="54"/>
      <c r="G2099" s="54"/>
      <c r="H2099" s="54"/>
      <c r="I2099" s="54"/>
      <c r="J2099" s="54"/>
      <c r="K2099" s="54"/>
      <c r="L2099" s="54"/>
      <c r="M2099" s="54"/>
      <c r="N2099" s="54"/>
      <c r="O2099" s="54"/>
      <c r="P2099" s="54"/>
      <c r="Q2099" s="54"/>
      <c r="R2099" s="54"/>
      <c r="S2099" s="54"/>
      <c r="T2099" s="54"/>
      <c r="U2099" s="54"/>
      <c r="V2099" s="54"/>
      <c r="W2099" s="54"/>
      <c r="X2099" s="54"/>
      <c r="Y2099" s="54"/>
      <c r="Z2099" s="54"/>
      <c r="AA2099" s="54"/>
      <c r="AB2099" s="54"/>
      <c r="AC2099" s="54"/>
    </row>
    <row r="2100" ht="78.0" customHeight="1">
      <c r="A2100" s="26"/>
      <c r="B2100" s="26"/>
      <c r="C2100" s="28"/>
      <c r="D2100" s="825"/>
      <c r="E2100" s="28"/>
      <c r="F2100" s="28"/>
      <c r="G2100" s="28"/>
      <c r="H2100" s="28"/>
      <c r="I2100" s="28"/>
      <c r="J2100" s="28"/>
      <c r="K2100" s="28"/>
      <c r="L2100" s="28"/>
      <c r="M2100" s="28"/>
      <c r="N2100" s="28"/>
      <c r="O2100" s="28"/>
      <c r="P2100" s="28"/>
      <c r="Q2100" s="28"/>
      <c r="R2100" s="28"/>
      <c r="S2100" s="28"/>
      <c r="T2100" s="28"/>
      <c r="U2100" s="28"/>
      <c r="V2100" s="28"/>
      <c r="W2100" s="28"/>
      <c r="X2100" s="28"/>
      <c r="Y2100" s="28"/>
      <c r="Z2100" s="28"/>
      <c r="AA2100" s="28"/>
      <c r="AB2100" s="28"/>
      <c r="AC2100" s="28"/>
    </row>
    <row r="2101" ht="78.0" customHeight="1">
      <c r="A2101" s="52"/>
      <c r="B2101" s="52"/>
      <c r="C2101" s="54"/>
      <c r="D2101" s="855"/>
      <c r="E2101" s="54"/>
      <c r="F2101" s="54"/>
      <c r="G2101" s="54"/>
      <c r="H2101" s="54"/>
      <c r="I2101" s="54"/>
      <c r="J2101" s="54"/>
      <c r="K2101" s="54"/>
      <c r="L2101" s="54"/>
      <c r="M2101" s="54"/>
      <c r="N2101" s="54"/>
      <c r="O2101" s="54"/>
      <c r="P2101" s="54"/>
      <c r="Q2101" s="54"/>
      <c r="R2101" s="54"/>
      <c r="S2101" s="54"/>
      <c r="T2101" s="54"/>
      <c r="U2101" s="54"/>
      <c r="V2101" s="54"/>
      <c r="W2101" s="54"/>
      <c r="X2101" s="54"/>
      <c r="Y2101" s="54"/>
      <c r="Z2101" s="54"/>
      <c r="AA2101" s="54"/>
      <c r="AB2101" s="54"/>
      <c r="AC2101" s="54"/>
    </row>
    <row r="2102" ht="78.0" customHeight="1">
      <c r="A2102" s="26"/>
      <c r="B2102" s="26"/>
      <c r="C2102" s="28"/>
      <c r="D2102" s="825"/>
      <c r="E2102" s="28"/>
      <c r="F2102" s="28"/>
      <c r="G2102" s="28"/>
      <c r="H2102" s="28"/>
      <c r="I2102" s="28"/>
      <c r="J2102" s="28"/>
      <c r="K2102" s="28"/>
      <c r="L2102" s="28"/>
      <c r="M2102" s="28"/>
      <c r="N2102" s="28"/>
      <c r="O2102" s="28"/>
      <c r="P2102" s="28"/>
      <c r="Q2102" s="28"/>
      <c r="R2102" s="28"/>
      <c r="S2102" s="28"/>
      <c r="T2102" s="28"/>
      <c r="U2102" s="28"/>
      <c r="V2102" s="28"/>
      <c r="W2102" s="28"/>
      <c r="X2102" s="28"/>
      <c r="Y2102" s="28"/>
      <c r="Z2102" s="28"/>
      <c r="AA2102" s="28"/>
      <c r="AB2102" s="28"/>
      <c r="AC2102" s="28"/>
    </row>
    <row r="2103" ht="78.0" customHeight="1">
      <c r="A2103" s="52"/>
      <c r="B2103" s="52"/>
      <c r="C2103" s="54"/>
      <c r="D2103" s="855"/>
      <c r="E2103" s="54"/>
      <c r="F2103" s="54"/>
      <c r="G2103" s="54"/>
      <c r="H2103" s="54"/>
      <c r="I2103" s="54"/>
      <c r="J2103" s="54"/>
      <c r="K2103" s="54"/>
      <c r="L2103" s="54"/>
      <c r="M2103" s="54"/>
      <c r="N2103" s="54"/>
      <c r="O2103" s="54"/>
      <c r="P2103" s="54"/>
      <c r="Q2103" s="54"/>
      <c r="R2103" s="54"/>
      <c r="S2103" s="54"/>
      <c r="T2103" s="54"/>
      <c r="U2103" s="54"/>
      <c r="V2103" s="54"/>
      <c r="W2103" s="54"/>
      <c r="X2103" s="54"/>
      <c r="Y2103" s="54"/>
      <c r="Z2103" s="54"/>
      <c r="AA2103" s="54"/>
      <c r="AB2103" s="54"/>
      <c r="AC2103" s="54"/>
    </row>
    <row r="2104" ht="78.0" customHeight="1">
      <c r="A2104" s="26"/>
      <c r="B2104" s="26"/>
      <c r="C2104" s="28"/>
      <c r="D2104" s="825"/>
      <c r="E2104" s="28"/>
      <c r="F2104" s="28"/>
      <c r="G2104" s="28"/>
      <c r="H2104" s="28"/>
      <c r="I2104" s="28"/>
      <c r="J2104" s="28"/>
      <c r="K2104" s="28"/>
      <c r="L2104" s="28"/>
      <c r="M2104" s="28"/>
      <c r="N2104" s="28"/>
      <c r="O2104" s="28"/>
      <c r="P2104" s="28"/>
      <c r="Q2104" s="28"/>
      <c r="R2104" s="28"/>
      <c r="S2104" s="28"/>
      <c r="T2104" s="28"/>
      <c r="U2104" s="28"/>
      <c r="V2104" s="28"/>
      <c r="W2104" s="28"/>
      <c r="X2104" s="28"/>
      <c r="Y2104" s="28"/>
      <c r="Z2104" s="28"/>
      <c r="AA2104" s="28"/>
      <c r="AB2104" s="28"/>
      <c r="AC2104" s="28"/>
    </row>
    <row r="2105" ht="78.0" customHeight="1">
      <c r="A2105" s="52"/>
      <c r="B2105" s="52"/>
      <c r="C2105" s="54"/>
      <c r="D2105" s="855"/>
      <c r="E2105" s="54"/>
      <c r="F2105" s="54"/>
      <c r="G2105" s="54"/>
      <c r="H2105" s="54"/>
      <c r="I2105" s="54"/>
      <c r="J2105" s="54"/>
      <c r="K2105" s="54"/>
      <c r="L2105" s="54"/>
      <c r="M2105" s="54"/>
      <c r="N2105" s="54"/>
      <c r="O2105" s="54"/>
      <c r="P2105" s="54"/>
      <c r="Q2105" s="54"/>
      <c r="R2105" s="54"/>
      <c r="S2105" s="54"/>
      <c r="T2105" s="54"/>
      <c r="U2105" s="54"/>
      <c r="V2105" s="54"/>
      <c r="W2105" s="54"/>
      <c r="X2105" s="54"/>
      <c r="Y2105" s="54"/>
      <c r="Z2105" s="54"/>
      <c r="AA2105" s="54"/>
      <c r="AB2105" s="54"/>
      <c r="AC2105" s="54"/>
    </row>
    <row r="2106" ht="78.0" customHeight="1">
      <c r="A2106" s="26"/>
      <c r="B2106" s="26"/>
      <c r="C2106" s="28"/>
      <c r="D2106" s="825"/>
      <c r="E2106" s="28"/>
      <c r="F2106" s="28"/>
      <c r="G2106" s="28"/>
      <c r="H2106" s="28"/>
      <c r="I2106" s="28"/>
      <c r="J2106" s="28"/>
      <c r="K2106" s="28"/>
      <c r="L2106" s="28"/>
      <c r="M2106" s="28"/>
      <c r="N2106" s="28"/>
      <c r="O2106" s="28"/>
      <c r="P2106" s="28"/>
      <c r="Q2106" s="28"/>
      <c r="R2106" s="28"/>
      <c r="S2106" s="28"/>
      <c r="T2106" s="28"/>
      <c r="U2106" s="28"/>
      <c r="V2106" s="28"/>
      <c r="W2106" s="28"/>
      <c r="X2106" s="28"/>
      <c r="Y2106" s="28"/>
      <c r="Z2106" s="28"/>
      <c r="AA2106" s="28"/>
      <c r="AB2106" s="28"/>
      <c r="AC2106" s="28"/>
    </row>
    <row r="2107" ht="78.0" customHeight="1">
      <c r="A2107" s="52"/>
      <c r="B2107" s="52"/>
      <c r="C2107" s="54"/>
      <c r="D2107" s="855"/>
      <c r="E2107" s="54"/>
      <c r="F2107" s="54"/>
      <c r="G2107" s="54"/>
      <c r="H2107" s="54"/>
      <c r="I2107" s="54"/>
      <c r="J2107" s="54"/>
      <c r="K2107" s="54"/>
      <c r="L2107" s="54"/>
      <c r="M2107" s="54"/>
      <c r="N2107" s="54"/>
      <c r="O2107" s="54"/>
      <c r="P2107" s="54"/>
      <c r="Q2107" s="54"/>
      <c r="R2107" s="54"/>
      <c r="S2107" s="54"/>
      <c r="T2107" s="54"/>
      <c r="U2107" s="54"/>
      <c r="V2107" s="54"/>
      <c r="W2107" s="54"/>
      <c r="X2107" s="54"/>
      <c r="Y2107" s="54"/>
      <c r="Z2107" s="54"/>
      <c r="AA2107" s="54"/>
      <c r="AB2107" s="54"/>
      <c r="AC2107" s="54"/>
    </row>
    <row r="2108" ht="78.0" customHeight="1">
      <c r="A2108" s="26"/>
      <c r="B2108" s="26"/>
      <c r="C2108" s="28"/>
      <c r="D2108" s="825"/>
      <c r="E2108" s="28"/>
      <c r="F2108" s="28"/>
      <c r="G2108" s="28"/>
      <c r="H2108" s="28"/>
      <c r="I2108" s="28"/>
      <c r="J2108" s="28"/>
      <c r="K2108" s="28"/>
      <c r="L2108" s="28"/>
      <c r="M2108" s="28"/>
      <c r="N2108" s="28"/>
      <c r="O2108" s="28"/>
      <c r="P2108" s="28"/>
      <c r="Q2108" s="28"/>
      <c r="R2108" s="28"/>
      <c r="S2108" s="28"/>
      <c r="T2108" s="28"/>
      <c r="U2108" s="28"/>
      <c r="V2108" s="28"/>
      <c r="W2108" s="28"/>
      <c r="X2108" s="28"/>
      <c r="Y2108" s="28"/>
      <c r="Z2108" s="28"/>
      <c r="AA2108" s="28"/>
      <c r="AB2108" s="28"/>
      <c r="AC2108" s="28"/>
    </row>
    <row r="2109" ht="78.0" customHeight="1">
      <c r="A2109" s="52"/>
      <c r="B2109" s="52"/>
      <c r="C2109" s="54"/>
      <c r="D2109" s="855"/>
      <c r="E2109" s="54"/>
      <c r="F2109" s="54"/>
      <c r="G2109" s="54"/>
      <c r="H2109" s="54"/>
      <c r="I2109" s="54"/>
      <c r="J2109" s="54"/>
      <c r="K2109" s="54"/>
      <c r="L2109" s="54"/>
      <c r="M2109" s="54"/>
      <c r="N2109" s="54"/>
      <c r="O2109" s="54"/>
      <c r="P2109" s="54"/>
      <c r="Q2109" s="54"/>
      <c r="R2109" s="54"/>
      <c r="S2109" s="54"/>
      <c r="T2109" s="54"/>
      <c r="U2109" s="54"/>
      <c r="V2109" s="54"/>
      <c r="W2109" s="54"/>
      <c r="X2109" s="54"/>
      <c r="Y2109" s="54"/>
      <c r="Z2109" s="54"/>
      <c r="AA2109" s="54"/>
      <c r="AB2109" s="54"/>
      <c r="AC2109" s="54"/>
    </row>
    <row r="2110" ht="78.0" customHeight="1">
      <c r="A2110" s="26"/>
      <c r="B2110" s="26"/>
      <c r="C2110" s="28"/>
      <c r="D2110" s="825"/>
      <c r="E2110" s="28"/>
      <c r="F2110" s="28"/>
      <c r="G2110" s="28"/>
      <c r="H2110" s="28"/>
      <c r="I2110" s="28"/>
      <c r="J2110" s="28"/>
      <c r="K2110" s="28"/>
      <c r="L2110" s="28"/>
      <c r="M2110" s="28"/>
      <c r="N2110" s="28"/>
      <c r="O2110" s="28"/>
      <c r="P2110" s="28"/>
      <c r="Q2110" s="28"/>
      <c r="R2110" s="28"/>
      <c r="S2110" s="28"/>
      <c r="T2110" s="28"/>
      <c r="U2110" s="28"/>
      <c r="V2110" s="28"/>
      <c r="W2110" s="28"/>
      <c r="X2110" s="28"/>
      <c r="Y2110" s="28"/>
      <c r="Z2110" s="28"/>
      <c r="AA2110" s="28"/>
      <c r="AB2110" s="28"/>
      <c r="AC2110" s="28"/>
    </row>
    <row r="2111" ht="78.0" customHeight="1">
      <c r="A2111" s="52"/>
      <c r="B2111" s="52"/>
      <c r="C2111" s="54"/>
      <c r="D2111" s="855"/>
      <c r="E2111" s="54"/>
      <c r="F2111" s="54"/>
      <c r="G2111" s="54"/>
      <c r="H2111" s="54"/>
      <c r="I2111" s="54"/>
      <c r="J2111" s="54"/>
      <c r="K2111" s="54"/>
      <c r="L2111" s="54"/>
      <c r="M2111" s="54"/>
      <c r="N2111" s="54"/>
      <c r="O2111" s="54"/>
      <c r="P2111" s="54"/>
      <c r="Q2111" s="54"/>
      <c r="R2111" s="54"/>
      <c r="S2111" s="54"/>
      <c r="T2111" s="54"/>
      <c r="U2111" s="54"/>
      <c r="V2111" s="54"/>
      <c r="W2111" s="54"/>
      <c r="X2111" s="54"/>
      <c r="Y2111" s="54"/>
      <c r="Z2111" s="54"/>
      <c r="AA2111" s="54"/>
      <c r="AB2111" s="54"/>
      <c r="AC2111" s="54"/>
    </row>
    <row r="2112" ht="78.0" customHeight="1">
      <c r="A2112" s="26"/>
      <c r="B2112" s="26"/>
      <c r="C2112" s="28"/>
      <c r="D2112" s="825"/>
      <c r="E2112" s="28"/>
      <c r="F2112" s="28"/>
      <c r="G2112" s="28"/>
      <c r="H2112" s="28"/>
      <c r="I2112" s="28"/>
      <c r="J2112" s="28"/>
      <c r="K2112" s="28"/>
      <c r="L2112" s="28"/>
      <c r="M2112" s="28"/>
      <c r="N2112" s="28"/>
      <c r="O2112" s="28"/>
      <c r="P2112" s="28"/>
      <c r="Q2112" s="28"/>
      <c r="R2112" s="28"/>
      <c r="S2112" s="28"/>
      <c r="T2112" s="28"/>
      <c r="U2112" s="28"/>
      <c r="V2112" s="28"/>
      <c r="W2112" s="28"/>
      <c r="X2112" s="28"/>
      <c r="Y2112" s="28"/>
      <c r="Z2112" s="28"/>
      <c r="AA2112" s="28"/>
      <c r="AB2112" s="28"/>
      <c r="AC2112" s="28"/>
    </row>
    <row r="2113" ht="78.0" customHeight="1">
      <c r="A2113" s="52"/>
      <c r="B2113" s="52"/>
      <c r="C2113" s="54"/>
      <c r="D2113" s="855"/>
      <c r="E2113" s="54"/>
      <c r="F2113" s="54"/>
      <c r="G2113" s="54"/>
      <c r="H2113" s="54"/>
      <c r="I2113" s="54"/>
      <c r="J2113" s="54"/>
      <c r="K2113" s="54"/>
      <c r="L2113" s="54"/>
      <c r="M2113" s="54"/>
      <c r="N2113" s="54"/>
      <c r="O2113" s="54"/>
      <c r="P2113" s="54"/>
      <c r="Q2113" s="54"/>
      <c r="R2113" s="54"/>
      <c r="S2113" s="54"/>
      <c r="T2113" s="54"/>
      <c r="U2113" s="54"/>
      <c r="V2113" s="54"/>
      <c r="W2113" s="54"/>
      <c r="X2113" s="54"/>
      <c r="Y2113" s="54"/>
      <c r="Z2113" s="54"/>
      <c r="AA2113" s="54"/>
      <c r="AB2113" s="54"/>
      <c r="AC2113" s="54"/>
    </row>
    <row r="2114" ht="78.0" customHeight="1">
      <c r="A2114" s="26"/>
      <c r="B2114" s="26"/>
      <c r="C2114" s="28"/>
      <c r="D2114" s="825"/>
      <c r="E2114" s="28"/>
      <c r="F2114" s="28"/>
      <c r="G2114" s="28"/>
      <c r="H2114" s="28"/>
      <c r="I2114" s="28"/>
      <c r="J2114" s="28"/>
      <c r="K2114" s="28"/>
      <c r="L2114" s="28"/>
      <c r="M2114" s="28"/>
      <c r="N2114" s="28"/>
      <c r="O2114" s="28"/>
      <c r="P2114" s="28"/>
      <c r="Q2114" s="28"/>
      <c r="R2114" s="28"/>
      <c r="S2114" s="28"/>
      <c r="T2114" s="28"/>
      <c r="U2114" s="28"/>
      <c r="V2114" s="28"/>
      <c r="W2114" s="28"/>
      <c r="X2114" s="28"/>
      <c r="Y2114" s="28"/>
      <c r="Z2114" s="28"/>
      <c r="AA2114" s="28"/>
      <c r="AB2114" s="28"/>
      <c r="AC2114" s="28"/>
    </row>
    <row r="2115" ht="78.0" customHeight="1">
      <c r="A2115" s="52"/>
      <c r="B2115" s="52"/>
      <c r="C2115" s="54"/>
      <c r="D2115" s="855"/>
      <c r="E2115" s="54"/>
      <c r="F2115" s="54"/>
      <c r="G2115" s="54"/>
      <c r="H2115" s="54"/>
      <c r="I2115" s="54"/>
      <c r="J2115" s="54"/>
      <c r="K2115" s="54"/>
      <c r="L2115" s="54"/>
      <c r="M2115" s="54"/>
      <c r="N2115" s="54"/>
      <c r="O2115" s="54"/>
      <c r="P2115" s="54"/>
      <c r="Q2115" s="54"/>
      <c r="R2115" s="54"/>
      <c r="S2115" s="54"/>
      <c r="T2115" s="54"/>
      <c r="U2115" s="54"/>
      <c r="V2115" s="54"/>
      <c r="W2115" s="54"/>
      <c r="X2115" s="54"/>
      <c r="Y2115" s="54"/>
      <c r="Z2115" s="54"/>
      <c r="AA2115" s="54"/>
      <c r="AB2115" s="54"/>
      <c r="AC2115" s="54"/>
    </row>
    <row r="2116" ht="78.0" customHeight="1">
      <c r="A2116" s="26"/>
      <c r="B2116" s="26"/>
      <c r="C2116" s="28"/>
      <c r="D2116" s="825"/>
      <c r="E2116" s="28"/>
      <c r="F2116" s="28"/>
      <c r="G2116" s="28"/>
      <c r="H2116" s="28"/>
      <c r="I2116" s="28"/>
      <c r="J2116" s="28"/>
      <c r="K2116" s="28"/>
      <c r="L2116" s="28"/>
      <c r="M2116" s="28"/>
      <c r="N2116" s="28"/>
      <c r="O2116" s="28"/>
      <c r="P2116" s="28"/>
      <c r="Q2116" s="28"/>
      <c r="R2116" s="28"/>
      <c r="S2116" s="28"/>
      <c r="T2116" s="28"/>
      <c r="U2116" s="28"/>
      <c r="V2116" s="28"/>
      <c r="W2116" s="28"/>
      <c r="X2116" s="28"/>
      <c r="Y2116" s="28"/>
      <c r="Z2116" s="28"/>
      <c r="AA2116" s="28"/>
      <c r="AB2116" s="28"/>
      <c r="AC2116" s="28"/>
    </row>
    <row r="2117" ht="78.0" customHeight="1">
      <c r="A2117" s="52"/>
      <c r="B2117" s="52"/>
      <c r="C2117" s="54"/>
      <c r="D2117" s="855"/>
      <c r="E2117" s="54"/>
      <c r="F2117" s="54"/>
      <c r="G2117" s="54"/>
      <c r="H2117" s="54"/>
      <c r="I2117" s="54"/>
      <c r="J2117" s="54"/>
      <c r="K2117" s="54"/>
      <c r="L2117" s="54"/>
      <c r="M2117" s="54"/>
      <c r="N2117" s="54"/>
      <c r="O2117" s="54"/>
      <c r="P2117" s="54"/>
      <c r="Q2117" s="54"/>
      <c r="R2117" s="54"/>
      <c r="S2117" s="54"/>
      <c r="T2117" s="54"/>
      <c r="U2117" s="54"/>
      <c r="V2117" s="54"/>
      <c r="W2117" s="54"/>
      <c r="X2117" s="54"/>
      <c r="Y2117" s="54"/>
      <c r="Z2117" s="54"/>
      <c r="AA2117" s="54"/>
      <c r="AB2117" s="54"/>
      <c r="AC2117" s="54"/>
    </row>
    <row r="2118" ht="78.0" customHeight="1">
      <c r="A2118" s="26"/>
      <c r="B2118" s="26"/>
      <c r="C2118" s="28"/>
      <c r="D2118" s="825"/>
      <c r="E2118" s="28"/>
      <c r="F2118" s="28"/>
      <c r="G2118" s="28"/>
      <c r="H2118" s="28"/>
      <c r="I2118" s="28"/>
      <c r="J2118" s="28"/>
      <c r="K2118" s="28"/>
      <c r="L2118" s="28"/>
      <c r="M2118" s="28"/>
      <c r="N2118" s="28"/>
      <c r="O2118" s="28"/>
      <c r="P2118" s="28"/>
      <c r="Q2118" s="28"/>
      <c r="R2118" s="28"/>
      <c r="S2118" s="28"/>
      <c r="T2118" s="28"/>
      <c r="U2118" s="28"/>
      <c r="V2118" s="28"/>
      <c r="W2118" s="28"/>
      <c r="X2118" s="28"/>
      <c r="Y2118" s="28"/>
      <c r="Z2118" s="28"/>
      <c r="AA2118" s="28"/>
      <c r="AB2118" s="28"/>
      <c r="AC2118" s="28"/>
    </row>
    <row r="2119" ht="78.0" customHeight="1">
      <c r="A2119" s="52"/>
      <c r="B2119" s="52"/>
      <c r="C2119" s="54"/>
      <c r="D2119" s="855"/>
      <c r="E2119" s="54"/>
      <c r="F2119" s="54"/>
      <c r="G2119" s="54"/>
      <c r="H2119" s="54"/>
      <c r="I2119" s="54"/>
      <c r="J2119" s="54"/>
      <c r="K2119" s="54"/>
      <c r="L2119" s="54"/>
      <c r="M2119" s="54"/>
      <c r="N2119" s="54"/>
      <c r="O2119" s="54"/>
      <c r="P2119" s="54"/>
      <c r="Q2119" s="54"/>
      <c r="R2119" s="54"/>
      <c r="S2119" s="54"/>
      <c r="T2119" s="54"/>
      <c r="U2119" s="54"/>
      <c r="V2119" s="54"/>
      <c r="W2119" s="54"/>
      <c r="X2119" s="54"/>
      <c r="Y2119" s="54"/>
      <c r="Z2119" s="54"/>
      <c r="AA2119" s="54"/>
      <c r="AB2119" s="54"/>
      <c r="AC2119" s="54"/>
    </row>
    <row r="2120" ht="78.0" customHeight="1">
      <c r="A2120" s="26"/>
      <c r="B2120" s="26"/>
      <c r="C2120" s="28"/>
      <c r="D2120" s="825"/>
      <c r="E2120" s="28"/>
      <c r="F2120" s="28"/>
      <c r="G2120" s="28"/>
      <c r="H2120" s="28"/>
      <c r="I2120" s="28"/>
      <c r="J2120" s="28"/>
      <c r="K2120" s="28"/>
      <c r="L2120" s="28"/>
      <c r="M2120" s="28"/>
      <c r="N2120" s="28"/>
      <c r="O2120" s="28"/>
      <c r="P2120" s="28"/>
      <c r="Q2120" s="28"/>
      <c r="R2120" s="28"/>
      <c r="S2120" s="28"/>
      <c r="T2120" s="28"/>
      <c r="U2120" s="28"/>
      <c r="V2120" s="28"/>
      <c r="W2120" s="28"/>
      <c r="X2120" s="28"/>
      <c r="Y2120" s="28"/>
      <c r="Z2120" s="28"/>
      <c r="AA2120" s="28"/>
      <c r="AB2120" s="28"/>
      <c r="AC2120" s="28"/>
    </row>
    <row r="2121" ht="78.0" customHeight="1">
      <c r="A2121" s="52"/>
      <c r="B2121" s="52"/>
      <c r="C2121" s="54"/>
      <c r="D2121" s="855"/>
      <c r="E2121" s="54"/>
      <c r="F2121" s="54"/>
      <c r="G2121" s="54"/>
      <c r="H2121" s="54"/>
      <c r="I2121" s="54"/>
      <c r="J2121" s="54"/>
      <c r="K2121" s="54"/>
      <c r="L2121" s="54"/>
      <c r="M2121" s="54"/>
      <c r="N2121" s="54"/>
      <c r="O2121" s="54"/>
      <c r="P2121" s="54"/>
      <c r="Q2121" s="54"/>
      <c r="R2121" s="54"/>
      <c r="S2121" s="54"/>
      <c r="T2121" s="54"/>
      <c r="U2121" s="54"/>
      <c r="V2121" s="54"/>
      <c r="W2121" s="54"/>
      <c r="X2121" s="54"/>
      <c r="Y2121" s="54"/>
      <c r="Z2121" s="54"/>
      <c r="AA2121" s="54"/>
      <c r="AB2121" s="54"/>
      <c r="AC2121" s="54"/>
    </row>
    <row r="2122" ht="78.0" customHeight="1">
      <c r="A2122" s="26"/>
      <c r="B2122" s="26"/>
      <c r="C2122" s="28"/>
      <c r="D2122" s="825"/>
      <c r="E2122" s="28"/>
      <c r="F2122" s="28"/>
      <c r="G2122" s="28"/>
      <c r="H2122" s="28"/>
      <c r="I2122" s="28"/>
      <c r="J2122" s="28"/>
      <c r="K2122" s="28"/>
      <c r="L2122" s="28"/>
      <c r="M2122" s="28"/>
      <c r="N2122" s="28"/>
      <c r="O2122" s="28"/>
      <c r="P2122" s="28"/>
      <c r="Q2122" s="28"/>
      <c r="R2122" s="28"/>
      <c r="S2122" s="28"/>
      <c r="T2122" s="28"/>
      <c r="U2122" s="28"/>
      <c r="V2122" s="28"/>
      <c r="W2122" s="28"/>
      <c r="X2122" s="28"/>
      <c r="Y2122" s="28"/>
      <c r="Z2122" s="28"/>
      <c r="AA2122" s="28"/>
      <c r="AB2122" s="28"/>
      <c r="AC2122" s="28"/>
    </row>
    <row r="2123" ht="78.0" customHeight="1">
      <c r="A2123" s="52"/>
      <c r="B2123" s="52"/>
      <c r="C2123" s="54"/>
      <c r="D2123" s="855"/>
      <c r="E2123" s="54"/>
      <c r="F2123" s="54"/>
      <c r="G2123" s="54"/>
      <c r="H2123" s="54"/>
      <c r="I2123" s="54"/>
      <c r="J2123" s="54"/>
      <c r="K2123" s="54"/>
      <c r="L2123" s="54"/>
      <c r="M2123" s="54"/>
      <c r="N2123" s="54"/>
      <c r="O2123" s="54"/>
      <c r="P2123" s="54"/>
      <c r="Q2123" s="54"/>
      <c r="R2123" s="54"/>
      <c r="S2123" s="54"/>
      <c r="T2123" s="54"/>
      <c r="U2123" s="54"/>
      <c r="V2123" s="54"/>
      <c r="W2123" s="54"/>
      <c r="X2123" s="54"/>
      <c r="Y2123" s="54"/>
      <c r="Z2123" s="54"/>
      <c r="AA2123" s="54"/>
      <c r="AB2123" s="54"/>
      <c r="AC2123" s="54"/>
    </row>
    <row r="2124" ht="78.0" customHeight="1">
      <c r="A2124" s="26"/>
      <c r="B2124" s="26"/>
      <c r="C2124" s="28"/>
      <c r="D2124" s="825"/>
      <c r="E2124" s="28"/>
      <c r="F2124" s="28"/>
      <c r="G2124" s="28"/>
      <c r="H2124" s="28"/>
      <c r="I2124" s="28"/>
      <c r="J2124" s="28"/>
      <c r="K2124" s="28"/>
      <c r="L2124" s="28"/>
      <c r="M2124" s="28"/>
      <c r="N2124" s="28"/>
      <c r="O2124" s="28"/>
      <c r="P2124" s="28"/>
      <c r="Q2124" s="28"/>
      <c r="R2124" s="28"/>
      <c r="S2124" s="28"/>
      <c r="T2124" s="28"/>
      <c r="U2124" s="28"/>
      <c r="V2124" s="28"/>
      <c r="W2124" s="28"/>
      <c r="X2124" s="28"/>
      <c r="Y2124" s="28"/>
      <c r="Z2124" s="28"/>
      <c r="AA2124" s="28"/>
      <c r="AB2124" s="28"/>
      <c r="AC2124" s="28"/>
    </row>
    <row r="2125" ht="78.0" customHeight="1">
      <c r="A2125" s="52"/>
      <c r="B2125" s="52"/>
      <c r="C2125" s="54"/>
      <c r="D2125" s="855"/>
      <c r="E2125" s="54"/>
      <c r="F2125" s="54"/>
      <c r="G2125" s="54"/>
      <c r="H2125" s="54"/>
      <c r="I2125" s="54"/>
      <c r="J2125" s="54"/>
      <c r="K2125" s="54"/>
      <c r="L2125" s="54"/>
      <c r="M2125" s="54"/>
      <c r="N2125" s="54"/>
      <c r="O2125" s="54"/>
      <c r="P2125" s="54"/>
      <c r="Q2125" s="54"/>
      <c r="R2125" s="54"/>
      <c r="S2125" s="54"/>
      <c r="T2125" s="54"/>
      <c r="U2125" s="54"/>
      <c r="V2125" s="54"/>
      <c r="W2125" s="54"/>
      <c r="X2125" s="54"/>
      <c r="Y2125" s="54"/>
      <c r="Z2125" s="54"/>
      <c r="AA2125" s="54"/>
      <c r="AB2125" s="54"/>
      <c r="AC2125" s="54"/>
    </row>
    <row r="2126" ht="78.0" customHeight="1">
      <c r="A2126" s="26"/>
      <c r="B2126" s="26"/>
      <c r="C2126" s="28"/>
      <c r="D2126" s="825"/>
      <c r="E2126" s="28"/>
      <c r="F2126" s="28"/>
      <c r="G2126" s="28"/>
      <c r="H2126" s="28"/>
      <c r="I2126" s="28"/>
      <c r="J2126" s="28"/>
      <c r="K2126" s="28"/>
      <c r="L2126" s="28"/>
      <c r="M2126" s="28"/>
      <c r="N2126" s="28"/>
      <c r="O2126" s="28"/>
      <c r="P2126" s="28"/>
      <c r="Q2126" s="28"/>
      <c r="R2126" s="28"/>
      <c r="S2126" s="28"/>
      <c r="T2126" s="28"/>
      <c r="U2126" s="28"/>
      <c r="V2126" s="28"/>
      <c r="W2126" s="28"/>
      <c r="X2126" s="28"/>
      <c r="Y2126" s="28"/>
      <c r="Z2126" s="28"/>
      <c r="AA2126" s="28"/>
      <c r="AB2126" s="28"/>
      <c r="AC2126" s="28"/>
    </row>
    <row r="2127" ht="78.0" customHeight="1">
      <c r="A2127" s="52"/>
      <c r="B2127" s="52"/>
      <c r="C2127" s="54"/>
      <c r="D2127" s="855"/>
      <c r="E2127" s="54"/>
      <c r="F2127" s="54"/>
      <c r="G2127" s="54"/>
      <c r="H2127" s="54"/>
      <c r="I2127" s="54"/>
      <c r="J2127" s="54"/>
      <c r="K2127" s="54"/>
      <c r="L2127" s="54"/>
      <c r="M2127" s="54"/>
      <c r="N2127" s="54"/>
      <c r="O2127" s="54"/>
      <c r="P2127" s="54"/>
      <c r="Q2127" s="54"/>
      <c r="R2127" s="54"/>
      <c r="S2127" s="54"/>
      <c r="T2127" s="54"/>
      <c r="U2127" s="54"/>
      <c r="V2127" s="54"/>
      <c r="W2127" s="54"/>
      <c r="X2127" s="54"/>
      <c r="Y2127" s="54"/>
      <c r="Z2127" s="54"/>
      <c r="AA2127" s="54"/>
      <c r="AB2127" s="54"/>
      <c r="AC2127" s="54"/>
    </row>
    <row r="2128" ht="78.0" customHeight="1">
      <c r="A2128" s="26"/>
      <c r="B2128" s="26"/>
      <c r="C2128" s="28"/>
      <c r="D2128" s="825"/>
      <c r="E2128" s="28"/>
      <c r="F2128" s="28"/>
      <c r="G2128" s="28"/>
      <c r="H2128" s="28"/>
      <c r="I2128" s="28"/>
      <c r="J2128" s="28"/>
      <c r="K2128" s="28"/>
      <c r="L2128" s="28"/>
      <c r="M2128" s="28"/>
      <c r="N2128" s="28"/>
      <c r="O2128" s="28"/>
      <c r="P2128" s="28"/>
      <c r="Q2128" s="28"/>
      <c r="R2128" s="28"/>
      <c r="S2128" s="28"/>
      <c r="T2128" s="28"/>
      <c r="U2128" s="28"/>
      <c r="V2128" s="28"/>
      <c r="W2128" s="28"/>
      <c r="X2128" s="28"/>
      <c r="Y2128" s="28"/>
      <c r="Z2128" s="28"/>
      <c r="AA2128" s="28"/>
      <c r="AB2128" s="28"/>
      <c r="AC2128" s="28"/>
    </row>
    <row r="2129" ht="78.0" customHeight="1">
      <c r="A2129" s="52"/>
      <c r="B2129" s="52"/>
      <c r="C2129" s="54"/>
      <c r="D2129" s="855"/>
      <c r="E2129" s="54"/>
      <c r="F2129" s="54"/>
      <c r="G2129" s="54"/>
      <c r="H2129" s="54"/>
      <c r="I2129" s="54"/>
      <c r="J2129" s="54"/>
      <c r="K2129" s="54"/>
      <c r="L2129" s="54"/>
      <c r="M2129" s="54"/>
      <c r="N2129" s="54"/>
      <c r="O2129" s="54"/>
      <c r="P2129" s="54"/>
      <c r="Q2129" s="54"/>
      <c r="R2129" s="54"/>
      <c r="S2129" s="54"/>
      <c r="T2129" s="54"/>
      <c r="U2129" s="54"/>
      <c r="V2129" s="54"/>
      <c r="W2129" s="54"/>
      <c r="X2129" s="54"/>
      <c r="Y2129" s="54"/>
      <c r="Z2129" s="54"/>
      <c r="AA2129" s="54"/>
      <c r="AB2129" s="54"/>
      <c r="AC2129" s="54"/>
    </row>
    <row r="2130" ht="78.0" customHeight="1">
      <c r="A2130" s="26"/>
      <c r="B2130" s="26"/>
      <c r="C2130" s="28"/>
      <c r="D2130" s="825"/>
      <c r="E2130" s="28"/>
      <c r="F2130" s="28"/>
      <c r="G2130" s="28"/>
      <c r="H2130" s="28"/>
      <c r="I2130" s="28"/>
      <c r="J2130" s="28"/>
      <c r="K2130" s="28"/>
      <c r="L2130" s="28"/>
      <c r="M2130" s="28"/>
      <c r="N2130" s="28"/>
      <c r="O2130" s="28"/>
      <c r="P2130" s="28"/>
      <c r="Q2130" s="28"/>
      <c r="R2130" s="28"/>
      <c r="S2130" s="28"/>
      <c r="T2130" s="28"/>
      <c r="U2130" s="28"/>
      <c r="V2130" s="28"/>
      <c r="W2130" s="28"/>
      <c r="X2130" s="28"/>
      <c r="Y2130" s="28"/>
      <c r="Z2130" s="28"/>
      <c r="AA2130" s="28"/>
      <c r="AB2130" s="28"/>
      <c r="AC2130" s="28"/>
    </row>
    <row r="2131" ht="78.0" customHeight="1">
      <c r="A2131" s="52"/>
      <c r="B2131" s="52"/>
      <c r="C2131" s="54"/>
      <c r="D2131" s="855"/>
      <c r="E2131" s="54"/>
      <c r="F2131" s="54"/>
      <c r="G2131" s="54"/>
      <c r="H2131" s="54"/>
      <c r="I2131" s="54"/>
      <c r="J2131" s="54"/>
      <c r="K2131" s="54"/>
      <c r="L2131" s="54"/>
      <c r="M2131" s="54"/>
      <c r="N2131" s="54"/>
      <c r="O2131" s="54"/>
      <c r="P2131" s="54"/>
      <c r="Q2131" s="54"/>
      <c r="R2131" s="54"/>
      <c r="S2131" s="54"/>
      <c r="T2131" s="54"/>
      <c r="U2131" s="54"/>
      <c r="V2131" s="54"/>
      <c r="W2131" s="54"/>
      <c r="X2131" s="54"/>
      <c r="Y2131" s="54"/>
      <c r="Z2131" s="54"/>
      <c r="AA2131" s="54"/>
      <c r="AB2131" s="54"/>
      <c r="AC2131" s="54"/>
    </row>
    <row r="2132" ht="78.0" customHeight="1">
      <c r="A2132" s="26"/>
      <c r="B2132" s="26"/>
      <c r="C2132" s="28"/>
      <c r="D2132" s="825"/>
      <c r="E2132" s="28"/>
      <c r="F2132" s="28"/>
      <c r="G2132" s="28"/>
      <c r="H2132" s="28"/>
      <c r="I2132" s="28"/>
      <c r="J2132" s="28"/>
      <c r="K2132" s="28"/>
      <c r="L2132" s="28"/>
      <c r="M2132" s="28"/>
      <c r="N2132" s="28"/>
      <c r="O2132" s="28"/>
      <c r="P2132" s="28"/>
      <c r="Q2132" s="28"/>
      <c r="R2132" s="28"/>
      <c r="S2132" s="28"/>
      <c r="T2132" s="28"/>
      <c r="U2132" s="28"/>
      <c r="V2132" s="28"/>
      <c r="W2132" s="28"/>
      <c r="X2132" s="28"/>
      <c r="Y2132" s="28"/>
      <c r="Z2132" s="28"/>
      <c r="AA2132" s="28"/>
      <c r="AB2132" s="28"/>
      <c r="AC2132" s="28"/>
    </row>
    <row r="2133" ht="78.0" customHeight="1">
      <c r="A2133" s="52"/>
      <c r="B2133" s="52"/>
      <c r="C2133" s="54"/>
      <c r="D2133" s="855"/>
      <c r="E2133" s="54"/>
      <c r="F2133" s="54"/>
      <c r="G2133" s="54"/>
      <c r="H2133" s="54"/>
      <c r="I2133" s="54"/>
      <c r="J2133" s="54"/>
      <c r="K2133" s="54"/>
      <c r="L2133" s="54"/>
      <c r="M2133" s="54"/>
      <c r="N2133" s="54"/>
      <c r="O2133" s="54"/>
      <c r="P2133" s="54"/>
      <c r="Q2133" s="54"/>
      <c r="R2133" s="54"/>
      <c r="S2133" s="54"/>
      <c r="T2133" s="54"/>
      <c r="U2133" s="54"/>
      <c r="V2133" s="54"/>
      <c r="W2133" s="54"/>
      <c r="X2133" s="54"/>
      <c r="Y2133" s="54"/>
      <c r="Z2133" s="54"/>
      <c r="AA2133" s="54"/>
      <c r="AB2133" s="54"/>
      <c r="AC2133" s="54"/>
    </row>
    <row r="2134" ht="78.0" customHeight="1">
      <c r="A2134" s="26"/>
      <c r="B2134" s="26"/>
      <c r="C2134" s="28"/>
      <c r="D2134" s="825"/>
      <c r="E2134" s="28"/>
      <c r="F2134" s="28"/>
      <c r="G2134" s="28"/>
      <c r="H2134" s="28"/>
      <c r="I2134" s="28"/>
      <c r="J2134" s="28"/>
      <c r="K2134" s="28"/>
      <c r="L2134" s="28"/>
      <c r="M2134" s="28"/>
      <c r="N2134" s="28"/>
      <c r="O2134" s="28"/>
      <c r="P2134" s="28"/>
      <c r="Q2134" s="28"/>
      <c r="R2134" s="28"/>
      <c r="S2134" s="28"/>
      <c r="T2134" s="28"/>
      <c r="U2134" s="28"/>
      <c r="V2134" s="28"/>
      <c r="W2134" s="28"/>
      <c r="X2134" s="28"/>
      <c r="Y2134" s="28"/>
      <c r="Z2134" s="28"/>
      <c r="AA2134" s="28"/>
      <c r="AB2134" s="28"/>
      <c r="AC2134" s="28"/>
    </row>
    <row r="2135" ht="78.0" customHeight="1">
      <c r="A2135" s="52"/>
      <c r="B2135" s="52"/>
      <c r="C2135" s="54"/>
      <c r="D2135" s="855"/>
      <c r="E2135" s="54"/>
      <c r="F2135" s="54"/>
      <c r="G2135" s="54"/>
      <c r="H2135" s="54"/>
      <c r="I2135" s="54"/>
      <c r="J2135" s="54"/>
      <c r="K2135" s="54"/>
      <c r="L2135" s="54"/>
      <c r="M2135" s="54"/>
      <c r="N2135" s="54"/>
      <c r="O2135" s="54"/>
      <c r="P2135" s="54"/>
      <c r="Q2135" s="54"/>
      <c r="R2135" s="54"/>
      <c r="S2135" s="54"/>
      <c r="T2135" s="54"/>
      <c r="U2135" s="54"/>
      <c r="V2135" s="54"/>
      <c r="W2135" s="54"/>
      <c r="X2135" s="54"/>
      <c r="Y2135" s="54"/>
      <c r="Z2135" s="54"/>
      <c r="AA2135" s="54"/>
      <c r="AB2135" s="54"/>
      <c r="AC2135" s="54"/>
    </row>
    <row r="2136" ht="78.0" customHeight="1">
      <c r="A2136" s="26"/>
      <c r="B2136" s="26"/>
      <c r="C2136" s="28"/>
      <c r="D2136" s="825"/>
      <c r="E2136" s="28"/>
      <c r="F2136" s="28"/>
      <c r="G2136" s="28"/>
      <c r="H2136" s="28"/>
      <c r="I2136" s="28"/>
      <c r="J2136" s="28"/>
      <c r="K2136" s="28"/>
      <c r="L2136" s="28"/>
      <c r="M2136" s="28"/>
      <c r="N2136" s="28"/>
      <c r="O2136" s="28"/>
      <c r="P2136" s="28"/>
      <c r="Q2136" s="28"/>
      <c r="R2136" s="28"/>
      <c r="S2136" s="28"/>
      <c r="T2136" s="28"/>
      <c r="U2136" s="28"/>
      <c r="V2136" s="28"/>
      <c r="W2136" s="28"/>
      <c r="X2136" s="28"/>
      <c r="Y2136" s="28"/>
      <c r="Z2136" s="28"/>
      <c r="AA2136" s="28"/>
      <c r="AB2136" s="28"/>
      <c r="AC2136" s="28"/>
    </row>
    <row r="2137" ht="78.0" customHeight="1">
      <c r="A2137" s="52"/>
      <c r="B2137" s="52"/>
      <c r="C2137" s="54"/>
      <c r="D2137" s="855"/>
      <c r="E2137" s="54"/>
      <c r="F2137" s="54"/>
      <c r="G2137" s="54"/>
      <c r="H2137" s="54"/>
      <c r="I2137" s="54"/>
      <c r="J2137" s="54"/>
      <c r="K2137" s="54"/>
      <c r="L2137" s="54"/>
      <c r="M2137" s="54"/>
      <c r="N2137" s="54"/>
      <c r="O2137" s="54"/>
      <c r="P2137" s="54"/>
      <c r="Q2137" s="54"/>
      <c r="R2137" s="54"/>
      <c r="S2137" s="54"/>
      <c r="T2137" s="54"/>
      <c r="U2137" s="54"/>
      <c r="V2137" s="54"/>
      <c r="W2137" s="54"/>
      <c r="X2137" s="54"/>
      <c r="Y2137" s="54"/>
      <c r="Z2137" s="54"/>
      <c r="AA2137" s="54"/>
      <c r="AB2137" s="54"/>
      <c r="AC2137" s="54"/>
    </row>
    <row r="2138" ht="78.0" customHeight="1">
      <c r="A2138" s="26"/>
      <c r="B2138" s="26"/>
      <c r="C2138" s="28"/>
      <c r="D2138" s="825"/>
      <c r="E2138" s="28"/>
      <c r="F2138" s="28"/>
      <c r="G2138" s="28"/>
      <c r="H2138" s="28"/>
      <c r="I2138" s="28"/>
      <c r="J2138" s="28"/>
      <c r="K2138" s="28"/>
      <c r="L2138" s="28"/>
      <c r="M2138" s="28"/>
      <c r="N2138" s="28"/>
      <c r="O2138" s="28"/>
      <c r="P2138" s="28"/>
      <c r="Q2138" s="28"/>
      <c r="R2138" s="28"/>
      <c r="S2138" s="28"/>
      <c r="T2138" s="28"/>
      <c r="U2138" s="28"/>
      <c r="V2138" s="28"/>
      <c r="W2138" s="28"/>
      <c r="X2138" s="28"/>
      <c r="Y2138" s="28"/>
      <c r="Z2138" s="28"/>
      <c r="AA2138" s="28"/>
      <c r="AB2138" s="28"/>
      <c r="AC2138" s="28"/>
    </row>
    <row r="2139" ht="78.0" customHeight="1">
      <c r="A2139" s="52"/>
      <c r="B2139" s="52"/>
      <c r="C2139" s="54"/>
      <c r="D2139" s="855"/>
      <c r="E2139" s="54"/>
      <c r="F2139" s="54"/>
      <c r="G2139" s="54"/>
      <c r="H2139" s="54"/>
      <c r="I2139" s="54"/>
      <c r="J2139" s="54"/>
      <c r="K2139" s="54"/>
      <c r="L2139" s="54"/>
      <c r="M2139" s="54"/>
      <c r="N2139" s="54"/>
      <c r="O2139" s="54"/>
      <c r="P2139" s="54"/>
      <c r="Q2139" s="54"/>
      <c r="R2139" s="54"/>
      <c r="S2139" s="54"/>
      <c r="T2139" s="54"/>
      <c r="U2139" s="54"/>
      <c r="V2139" s="54"/>
      <c r="W2139" s="54"/>
      <c r="X2139" s="54"/>
      <c r="Y2139" s="54"/>
      <c r="Z2139" s="54"/>
      <c r="AA2139" s="54"/>
      <c r="AB2139" s="54"/>
      <c r="AC2139" s="54"/>
    </row>
    <row r="2140" ht="78.0" customHeight="1">
      <c r="A2140" s="26"/>
      <c r="B2140" s="26"/>
      <c r="C2140" s="28"/>
      <c r="D2140" s="825"/>
      <c r="E2140" s="28"/>
      <c r="F2140" s="28"/>
      <c r="G2140" s="28"/>
      <c r="H2140" s="28"/>
      <c r="I2140" s="28"/>
      <c r="J2140" s="28"/>
      <c r="K2140" s="28"/>
      <c r="L2140" s="28"/>
      <c r="M2140" s="28"/>
      <c r="N2140" s="28"/>
      <c r="O2140" s="28"/>
      <c r="P2140" s="28"/>
      <c r="Q2140" s="28"/>
      <c r="R2140" s="28"/>
      <c r="S2140" s="28"/>
      <c r="T2140" s="28"/>
      <c r="U2140" s="28"/>
      <c r="V2140" s="28"/>
      <c r="W2140" s="28"/>
      <c r="X2140" s="28"/>
      <c r="Y2140" s="28"/>
      <c r="Z2140" s="28"/>
      <c r="AA2140" s="28"/>
      <c r="AB2140" s="28"/>
      <c r="AC2140" s="28"/>
    </row>
    <row r="2141" ht="78.0" customHeight="1">
      <c r="A2141" s="52"/>
      <c r="B2141" s="52"/>
      <c r="C2141" s="54"/>
      <c r="D2141" s="855"/>
      <c r="E2141" s="54"/>
      <c r="F2141" s="54"/>
      <c r="G2141" s="54"/>
      <c r="H2141" s="54"/>
      <c r="I2141" s="54"/>
      <c r="J2141" s="54"/>
      <c r="K2141" s="54"/>
      <c r="L2141" s="54"/>
      <c r="M2141" s="54"/>
      <c r="N2141" s="54"/>
      <c r="O2141" s="54"/>
      <c r="P2141" s="54"/>
      <c r="Q2141" s="54"/>
      <c r="R2141" s="54"/>
      <c r="S2141" s="54"/>
      <c r="T2141" s="54"/>
      <c r="U2141" s="54"/>
      <c r="V2141" s="54"/>
      <c r="W2141" s="54"/>
      <c r="X2141" s="54"/>
      <c r="Y2141" s="54"/>
      <c r="Z2141" s="54"/>
      <c r="AA2141" s="54"/>
      <c r="AB2141" s="54"/>
      <c r="AC2141" s="54"/>
    </row>
    <row r="2142" ht="78.0" customHeight="1">
      <c r="A2142" s="26"/>
      <c r="B2142" s="26"/>
      <c r="C2142" s="28"/>
      <c r="D2142" s="825"/>
      <c r="E2142" s="28"/>
      <c r="F2142" s="28"/>
      <c r="G2142" s="28"/>
      <c r="H2142" s="28"/>
      <c r="I2142" s="28"/>
      <c r="J2142" s="28"/>
      <c r="K2142" s="28"/>
      <c r="L2142" s="28"/>
      <c r="M2142" s="28"/>
      <c r="N2142" s="28"/>
      <c r="O2142" s="28"/>
      <c r="P2142" s="28"/>
      <c r="Q2142" s="28"/>
      <c r="R2142" s="28"/>
      <c r="S2142" s="28"/>
      <c r="T2142" s="28"/>
      <c r="U2142" s="28"/>
      <c r="V2142" s="28"/>
      <c r="W2142" s="28"/>
      <c r="X2142" s="28"/>
      <c r="Y2142" s="28"/>
      <c r="Z2142" s="28"/>
      <c r="AA2142" s="28"/>
      <c r="AB2142" s="28"/>
      <c r="AC2142" s="28"/>
    </row>
    <row r="2143" ht="78.0" customHeight="1">
      <c r="A2143" s="52"/>
      <c r="B2143" s="52"/>
      <c r="C2143" s="54"/>
      <c r="D2143" s="855"/>
      <c r="E2143" s="54"/>
      <c r="F2143" s="54"/>
      <c r="G2143" s="54"/>
      <c r="H2143" s="54"/>
      <c r="I2143" s="54"/>
      <c r="J2143" s="54"/>
      <c r="K2143" s="54"/>
      <c r="L2143" s="54"/>
      <c r="M2143" s="54"/>
      <c r="N2143" s="54"/>
      <c r="O2143" s="54"/>
      <c r="P2143" s="54"/>
      <c r="Q2143" s="54"/>
      <c r="R2143" s="54"/>
      <c r="S2143" s="54"/>
      <c r="T2143" s="54"/>
      <c r="U2143" s="54"/>
      <c r="V2143" s="54"/>
      <c r="W2143" s="54"/>
      <c r="X2143" s="54"/>
      <c r="Y2143" s="54"/>
      <c r="Z2143" s="54"/>
      <c r="AA2143" s="54"/>
      <c r="AB2143" s="54"/>
      <c r="AC2143" s="54"/>
    </row>
    <row r="2144" ht="78.0" customHeight="1">
      <c r="A2144" s="26"/>
      <c r="B2144" s="26"/>
      <c r="C2144" s="28"/>
      <c r="D2144" s="825"/>
      <c r="E2144" s="28"/>
      <c r="F2144" s="28"/>
      <c r="G2144" s="28"/>
      <c r="H2144" s="28"/>
      <c r="I2144" s="28"/>
      <c r="J2144" s="28"/>
      <c r="K2144" s="28"/>
      <c r="L2144" s="28"/>
      <c r="M2144" s="28"/>
      <c r="N2144" s="28"/>
      <c r="O2144" s="28"/>
      <c r="P2144" s="28"/>
      <c r="Q2144" s="28"/>
      <c r="R2144" s="28"/>
      <c r="S2144" s="28"/>
      <c r="T2144" s="28"/>
      <c r="U2144" s="28"/>
      <c r="V2144" s="28"/>
      <c r="W2144" s="28"/>
      <c r="X2144" s="28"/>
      <c r="Y2144" s="28"/>
      <c r="Z2144" s="28"/>
      <c r="AA2144" s="28"/>
      <c r="AB2144" s="28"/>
      <c r="AC2144" s="28"/>
    </row>
    <row r="2145" ht="78.0" customHeight="1">
      <c r="A2145" s="52"/>
      <c r="B2145" s="52"/>
      <c r="C2145" s="54"/>
      <c r="D2145" s="855"/>
      <c r="E2145" s="54"/>
      <c r="F2145" s="54"/>
      <c r="G2145" s="54"/>
      <c r="H2145" s="54"/>
      <c r="I2145" s="54"/>
      <c r="J2145" s="54"/>
      <c r="K2145" s="54"/>
      <c r="L2145" s="54"/>
      <c r="M2145" s="54"/>
      <c r="N2145" s="54"/>
      <c r="O2145" s="54"/>
      <c r="P2145" s="54"/>
      <c r="Q2145" s="54"/>
      <c r="R2145" s="54"/>
      <c r="S2145" s="54"/>
      <c r="T2145" s="54"/>
      <c r="U2145" s="54"/>
      <c r="V2145" s="54"/>
      <c r="W2145" s="54"/>
      <c r="X2145" s="54"/>
      <c r="Y2145" s="54"/>
      <c r="Z2145" s="54"/>
      <c r="AA2145" s="54"/>
      <c r="AB2145" s="54"/>
      <c r="AC2145" s="54"/>
    </row>
    <row r="2146" ht="78.0" customHeight="1">
      <c r="A2146" s="26"/>
      <c r="B2146" s="26"/>
      <c r="C2146" s="28"/>
      <c r="D2146" s="825"/>
      <c r="E2146" s="28"/>
      <c r="F2146" s="28"/>
      <c r="G2146" s="28"/>
      <c r="H2146" s="28"/>
      <c r="I2146" s="28"/>
      <c r="J2146" s="28"/>
      <c r="K2146" s="28"/>
      <c r="L2146" s="28"/>
      <c r="M2146" s="28"/>
      <c r="N2146" s="28"/>
      <c r="O2146" s="28"/>
      <c r="P2146" s="28"/>
      <c r="Q2146" s="28"/>
      <c r="R2146" s="28"/>
      <c r="S2146" s="28"/>
      <c r="T2146" s="28"/>
      <c r="U2146" s="28"/>
      <c r="V2146" s="28"/>
      <c r="W2146" s="28"/>
      <c r="X2146" s="28"/>
      <c r="Y2146" s="28"/>
      <c r="Z2146" s="28"/>
      <c r="AA2146" s="28"/>
      <c r="AB2146" s="28"/>
      <c r="AC2146" s="28"/>
    </row>
    <row r="2147" ht="78.0" customHeight="1">
      <c r="A2147" s="52"/>
      <c r="B2147" s="52"/>
      <c r="C2147" s="54"/>
      <c r="D2147" s="855"/>
      <c r="E2147" s="54"/>
      <c r="F2147" s="54"/>
      <c r="G2147" s="54"/>
      <c r="H2147" s="54"/>
      <c r="I2147" s="54"/>
      <c r="J2147" s="54"/>
      <c r="K2147" s="54"/>
      <c r="L2147" s="54"/>
      <c r="M2147" s="54"/>
      <c r="N2147" s="54"/>
      <c r="O2147" s="54"/>
      <c r="P2147" s="54"/>
      <c r="Q2147" s="54"/>
      <c r="R2147" s="54"/>
      <c r="S2147" s="54"/>
      <c r="T2147" s="54"/>
      <c r="U2147" s="54"/>
      <c r="V2147" s="54"/>
      <c r="W2147" s="54"/>
      <c r="X2147" s="54"/>
      <c r="Y2147" s="54"/>
      <c r="Z2147" s="54"/>
      <c r="AA2147" s="54"/>
      <c r="AB2147" s="54"/>
      <c r="AC2147" s="54"/>
    </row>
    <row r="2148" ht="78.0" customHeight="1">
      <c r="A2148" s="26"/>
      <c r="B2148" s="26"/>
      <c r="C2148" s="28"/>
      <c r="D2148" s="825"/>
      <c r="E2148" s="28"/>
      <c r="F2148" s="28"/>
      <c r="G2148" s="28"/>
      <c r="H2148" s="28"/>
      <c r="I2148" s="28"/>
      <c r="J2148" s="28"/>
      <c r="K2148" s="28"/>
      <c r="L2148" s="28"/>
      <c r="M2148" s="28"/>
      <c r="N2148" s="28"/>
      <c r="O2148" s="28"/>
      <c r="P2148" s="28"/>
      <c r="Q2148" s="28"/>
      <c r="R2148" s="28"/>
      <c r="S2148" s="28"/>
      <c r="T2148" s="28"/>
      <c r="U2148" s="28"/>
      <c r="V2148" s="28"/>
      <c r="W2148" s="28"/>
      <c r="X2148" s="28"/>
      <c r="Y2148" s="28"/>
      <c r="Z2148" s="28"/>
      <c r="AA2148" s="28"/>
      <c r="AB2148" s="28"/>
      <c r="AC2148" s="28"/>
    </row>
    <row r="2149" ht="78.0" customHeight="1">
      <c r="A2149" s="52"/>
      <c r="B2149" s="52"/>
      <c r="C2149" s="54"/>
      <c r="D2149" s="855"/>
      <c r="E2149" s="54"/>
      <c r="F2149" s="54"/>
      <c r="G2149" s="54"/>
      <c r="H2149" s="54"/>
      <c r="I2149" s="54"/>
      <c r="J2149" s="54"/>
      <c r="K2149" s="54"/>
      <c r="L2149" s="54"/>
      <c r="M2149" s="54"/>
      <c r="N2149" s="54"/>
      <c r="O2149" s="54"/>
      <c r="P2149" s="54"/>
      <c r="Q2149" s="54"/>
      <c r="R2149" s="54"/>
      <c r="S2149" s="54"/>
      <c r="T2149" s="54"/>
      <c r="U2149" s="54"/>
      <c r="V2149" s="54"/>
      <c r="W2149" s="54"/>
      <c r="X2149" s="54"/>
      <c r="Y2149" s="54"/>
      <c r="Z2149" s="54"/>
      <c r="AA2149" s="54"/>
      <c r="AB2149" s="54"/>
      <c r="AC2149" s="54"/>
    </row>
    <row r="2150" ht="78.0" customHeight="1">
      <c r="A2150" s="26"/>
      <c r="B2150" s="26"/>
      <c r="C2150" s="28"/>
      <c r="D2150" s="825"/>
      <c r="E2150" s="28"/>
      <c r="F2150" s="28"/>
      <c r="G2150" s="28"/>
      <c r="H2150" s="28"/>
      <c r="I2150" s="28"/>
      <c r="J2150" s="28"/>
      <c r="K2150" s="28"/>
      <c r="L2150" s="28"/>
      <c r="M2150" s="28"/>
      <c r="N2150" s="28"/>
      <c r="O2150" s="28"/>
      <c r="P2150" s="28"/>
      <c r="Q2150" s="28"/>
      <c r="R2150" s="28"/>
      <c r="S2150" s="28"/>
      <c r="T2150" s="28"/>
      <c r="U2150" s="28"/>
      <c r="V2150" s="28"/>
      <c r="W2150" s="28"/>
      <c r="X2150" s="28"/>
      <c r="Y2150" s="28"/>
      <c r="Z2150" s="28"/>
      <c r="AA2150" s="28"/>
      <c r="AB2150" s="28"/>
      <c r="AC2150" s="28"/>
    </row>
    <row r="2151" ht="78.0" customHeight="1">
      <c r="A2151" s="52"/>
      <c r="B2151" s="52"/>
      <c r="C2151" s="54"/>
      <c r="D2151" s="855"/>
      <c r="E2151" s="54"/>
      <c r="F2151" s="54"/>
      <c r="G2151" s="54"/>
      <c r="H2151" s="54"/>
      <c r="I2151" s="54"/>
      <c r="J2151" s="54"/>
      <c r="K2151" s="54"/>
      <c r="L2151" s="54"/>
      <c r="M2151" s="54"/>
      <c r="N2151" s="54"/>
      <c r="O2151" s="54"/>
      <c r="P2151" s="54"/>
      <c r="Q2151" s="54"/>
      <c r="R2151" s="54"/>
      <c r="S2151" s="54"/>
      <c r="T2151" s="54"/>
      <c r="U2151" s="54"/>
      <c r="V2151" s="54"/>
      <c r="W2151" s="54"/>
      <c r="X2151" s="54"/>
      <c r="Y2151" s="54"/>
      <c r="Z2151" s="54"/>
      <c r="AA2151" s="54"/>
      <c r="AB2151" s="54"/>
      <c r="AC2151" s="54"/>
    </row>
    <row r="2152" ht="78.0" customHeight="1">
      <c r="A2152" s="26"/>
      <c r="B2152" s="26"/>
      <c r="C2152" s="28"/>
      <c r="D2152" s="825"/>
      <c r="E2152" s="28"/>
      <c r="F2152" s="28"/>
      <c r="G2152" s="28"/>
      <c r="H2152" s="28"/>
      <c r="I2152" s="28"/>
      <c r="J2152" s="28"/>
      <c r="K2152" s="28"/>
      <c r="L2152" s="28"/>
      <c r="M2152" s="28"/>
      <c r="N2152" s="28"/>
      <c r="O2152" s="28"/>
      <c r="P2152" s="28"/>
      <c r="Q2152" s="28"/>
      <c r="R2152" s="28"/>
      <c r="S2152" s="28"/>
      <c r="T2152" s="28"/>
      <c r="U2152" s="28"/>
      <c r="V2152" s="28"/>
      <c r="W2152" s="28"/>
      <c r="X2152" s="28"/>
      <c r="Y2152" s="28"/>
      <c r="Z2152" s="28"/>
      <c r="AA2152" s="28"/>
      <c r="AB2152" s="28"/>
      <c r="AC2152" s="28"/>
    </row>
    <row r="2153" ht="78.0" customHeight="1">
      <c r="A2153" s="52"/>
      <c r="B2153" s="52"/>
      <c r="C2153" s="54"/>
      <c r="D2153" s="855"/>
      <c r="E2153" s="54"/>
      <c r="F2153" s="54"/>
      <c r="G2153" s="54"/>
      <c r="H2153" s="54"/>
      <c r="I2153" s="54"/>
      <c r="J2153" s="54"/>
      <c r="K2153" s="54"/>
      <c r="L2153" s="54"/>
      <c r="M2153" s="54"/>
      <c r="N2153" s="54"/>
      <c r="O2153" s="54"/>
      <c r="P2153" s="54"/>
      <c r="Q2153" s="54"/>
      <c r="R2153" s="54"/>
      <c r="S2153" s="54"/>
      <c r="T2153" s="54"/>
      <c r="U2153" s="54"/>
      <c r="V2153" s="54"/>
      <c r="W2153" s="54"/>
      <c r="X2153" s="54"/>
      <c r="Y2153" s="54"/>
      <c r="Z2153" s="54"/>
      <c r="AA2153" s="54"/>
      <c r="AB2153" s="54"/>
      <c r="AC2153" s="54"/>
    </row>
    <row r="2154" ht="78.0" customHeight="1">
      <c r="A2154" s="26"/>
      <c r="B2154" s="26"/>
      <c r="C2154" s="28"/>
      <c r="D2154" s="825"/>
      <c r="E2154" s="28"/>
      <c r="F2154" s="28"/>
      <c r="G2154" s="28"/>
      <c r="H2154" s="28"/>
      <c r="I2154" s="28"/>
      <c r="J2154" s="28"/>
      <c r="K2154" s="28"/>
      <c r="L2154" s="28"/>
      <c r="M2154" s="28"/>
      <c r="N2154" s="28"/>
      <c r="O2154" s="28"/>
      <c r="P2154" s="28"/>
      <c r="Q2154" s="28"/>
      <c r="R2154" s="28"/>
      <c r="S2154" s="28"/>
      <c r="T2154" s="28"/>
      <c r="U2154" s="28"/>
      <c r="V2154" s="28"/>
      <c r="W2154" s="28"/>
      <c r="X2154" s="28"/>
      <c r="Y2154" s="28"/>
      <c r="Z2154" s="28"/>
      <c r="AA2154" s="28"/>
      <c r="AB2154" s="28"/>
      <c r="AC2154" s="28"/>
    </row>
    <row r="2155" ht="78.0" customHeight="1">
      <c r="A2155" s="52"/>
      <c r="B2155" s="52"/>
      <c r="C2155" s="54"/>
      <c r="D2155" s="855"/>
      <c r="E2155" s="54"/>
      <c r="F2155" s="54"/>
      <c r="G2155" s="54"/>
      <c r="H2155" s="54"/>
      <c r="I2155" s="54"/>
      <c r="J2155" s="54"/>
      <c r="K2155" s="54"/>
      <c r="L2155" s="54"/>
      <c r="M2155" s="54"/>
      <c r="N2155" s="54"/>
      <c r="O2155" s="54"/>
      <c r="P2155" s="54"/>
      <c r="Q2155" s="54"/>
      <c r="R2155" s="54"/>
      <c r="S2155" s="54"/>
      <c r="T2155" s="54"/>
      <c r="U2155" s="54"/>
      <c r="V2155" s="54"/>
      <c r="W2155" s="54"/>
      <c r="X2155" s="54"/>
      <c r="Y2155" s="54"/>
      <c r="Z2155" s="54"/>
      <c r="AA2155" s="54"/>
      <c r="AB2155" s="54"/>
      <c r="AC2155" s="54"/>
    </row>
    <row r="2156" ht="78.0" customHeight="1">
      <c r="A2156" s="26"/>
      <c r="B2156" s="26"/>
      <c r="C2156" s="28"/>
      <c r="D2156" s="825"/>
      <c r="E2156" s="28"/>
      <c r="F2156" s="28"/>
      <c r="G2156" s="28"/>
      <c r="H2156" s="28"/>
      <c r="I2156" s="28"/>
      <c r="J2156" s="28"/>
      <c r="K2156" s="28"/>
      <c r="L2156" s="28"/>
      <c r="M2156" s="28"/>
      <c r="N2156" s="28"/>
      <c r="O2156" s="28"/>
      <c r="P2156" s="28"/>
      <c r="Q2156" s="28"/>
      <c r="R2156" s="28"/>
      <c r="S2156" s="28"/>
      <c r="T2156" s="28"/>
      <c r="U2156" s="28"/>
      <c r="V2156" s="28"/>
      <c r="W2156" s="28"/>
      <c r="X2156" s="28"/>
      <c r="Y2156" s="28"/>
      <c r="Z2156" s="28"/>
      <c r="AA2156" s="28"/>
      <c r="AB2156" s="28"/>
      <c r="AC2156" s="28"/>
    </row>
    <row r="2157" ht="78.0" customHeight="1">
      <c r="A2157" s="52"/>
      <c r="B2157" s="52"/>
      <c r="C2157" s="54"/>
      <c r="D2157" s="855"/>
      <c r="E2157" s="54"/>
      <c r="F2157" s="54"/>
      <c r="G2157" s="54"/>
      <c r="H2157" s="54"/>
      <c r="I2157" s="54"/>
      <c r="J2157" s="54"/>
      <c r="K2157" s="54"/>
      <c r="L2157" s="54"/>
      <c r="M2157" s="54"/>
      <c r="N2157" s="54"/>
      <c r="O2157" s="54"/>
      <c r="P2157" s="54"/>
      <c r="Q2157" s="54"/>
      <c r="R2157" s="54"/>
      <c r="S2157" s="54"/>
      <c r="T2157" s="54"/>
      <c r="U2157" s="54"/>
      <c r="V2157" s="54"/>
      <c r="W2157" s="54"/>
      <c r="X2157" s="54"/>
      <c r="Y2157" s="54"/>
      <c r="Z2157" s="54"/>
      <c r="AA2157" s="54"/>
      <c r="AB2157" s="54"/>
      <c r="AC2157" s="54"/>
    </row>
    <row r="2158" ht="78.0" customHeight="1">
      <c r="A2158" s="26"/>
      <c r="B2158" s="26"/>
      <c r="C2158" s="28"/>
      <c r="D2158" s="825"/>
      <c r="E2158" s="28"/>
      <c r="F2158" s="28"/>
      <c r="G2158" s="28"/>
      <c r="H2158" s="28"/>
      <c r="I2158" s="28"/>
      <c r="J2158" s="28"/>
      <c r="K2158" s="28"/>
      <c r="L2158" s="28"/>
      <c r="M2158" s="28"/>
      <c r="N2158" s="28"/>
      <c r="O2158" s="28"/>
      <c r="P2158" s="28"/>
      <c r="Q2158" s="28"/>
      <c r="R2158" s="28"/>
      <c r="S2158" s="28"/>
      <c r="T2158" s="28"/>
      <c r="U2158" s="28"/>
      <c r="V2158" s="28"/>
      <c r="W2158" s="28"/>
      <c r="X2158" s="28"/>
      <c r="Y2158" s="28"/>
      <c r="Z2158" s="28"/>
      <c r="AA2158" s="28"/>
      <c r="AB2158" s="28"/>
      <c r="AC2158" s="28"/>
    </row>
    <row r="2159" ht="78.0" customHeight="1">
      <c r="A2159" s="52"/>
      <c r="B2159" s="52"/>
      <c r="C2159" s="54"/>
      <c r="D2159" s="855"/>
      <c r="E2159" s="54"/>
      <c r="F2159" s="54"/>
      <c r="G2159" s="54"/>
      <c r="H2159" s="54"/>
      <c r="I2159" s="54"/>
      <c r="J2159" s="54"/>
      <c r="K2159" s="54"/>
      <c r="L2159" s="54"/>
      <c r="M2159" s="54"/>
      <c r="N2159" s="54"/>
      <c r="O2159" s="54"/>
      <c r="P2159" s="54"/>
      <c r="Q2159" s="54"/>
      <c r="R2159" s="54"/>
      <c r="S2159" s="54"/>
      <c r="T2159" s="54"/>
      <c r="U2159" s="54"/>
      <c r="V2159" s="54"/>
      <c r="W2159" s="54"/>
      <c r="X2159" s="54"/>
      <c r="Y2159" s="54"/>
      <c r="Z2159" s="54"/>
      <c r="AA2159" s="54"/>
      <c r="AB2159" s="54"/>
      <c r="AC2159" s="54"/>
    </row>
    <row r="2160" ht="78.0" customHeight="1">
      <c r="A2160" s="26"/>
      <c r="B2160" s="26"/>
      <c r="C2160" s="28"/>
      <c r="D2160" s="825"/>
      <c r="E2160" s="28"/>
      <c r="F2160" s="28"/>
      <c r="G2160" s="28"/>
      <c r="H2160" s="28"/>
      <c r="I2160" s="28"/>
      <c r="J2160" s="28"/>
      <c r="K2160" s="28"/>
      <c r="L2160" s="28"/>
      <c r="M2160" s="28"/>
      <c r="N2160" s="28"/>
      <c r="O2160" s="28"/>
      <c r="P2160" s="28"/>
      <c r="Q2160" s="28"/>
      <c r="R2160" s="28"/>
      <c r="S2160" s="28"/>
      <c r="T2160" s="28"/>
      <c r="U2160" s="28"/>
      <c r="V2160" s="28"/>
      <c r="W2160" s="28"/>
      <c r="X2160" s="28"/>
      <c r="Y2160" s="28"/>
      <c r="Z2160" s="28"/>
      <c r="AA2160" s="28"/>
      <c r="AB2160" s="28"/>
      <c r="AC2160" s="28"/>
    </row>
    <row r="2161" ht="78.0" customHeight="1">
      <c r="A2161" s="52"/>
      <c r="B2161" s="52"/>
      <c r="C2161" s="54"/>
      <c r="D2161" s="855"/>
      <c r="E2161" s="54"/>
      <c r="F2161" s="54"/>
      <c r="G2161" s="54"/>
      <c r="H2161" s="54"/>
      <c r="I2161" s="54"/>
      <c r="J2161" s="54"/>
      <c r="K2161" s="54"/>
      <c r="L2161" s="54"/>
      <c r="M2161" s="54"/>
      <c r="N2161" s="54"/>
      <c r="O2161" s="54"/>
      <c r="P2161" s="54"/>
      <c r="Q2161" s="54"/>
      <c r="R2161" s="54"/>
      <c r="S2161" s="54"/>
      <c r="T2161" s="54"/>
      <c r="U2161" s="54"/>
      <c r="V2161" s="54"/>
      <c r="W2161" s="54"/>
      <c r="X2161" s="54"/>
      <c r="Y2161" s="54"/>
      <c r="Z2161" s="54"/>
      <c r="AA2161" s="54"/>
      <c r="AB2161" s="54"/>
      <c r="AC2161" s="54"/>
    </row>
    <row r="2162" ht="78.0" customHeight="1">
      <c r="A2162" s="26"/>
      <c r="B2162" s="26"/>
      <c r="C2162" s="28"/>
      <c r="D2162" s="825"/>
      <c r="E2162" s="28"/>
      <c r="F2162" s="28"/>
      <c r="G2162" s="28"/>
      <c r="H2162" s="28"/>
      <c r="I2162" s="28"/>
      <c r="J2162" s="28"/>
      <c r="K2162" s="28"/>
      <c r="L2162" s="28"/>
      <c r="M2162" s="28"/>
      <c r="N2162" s="28"/>
      <c r="O2162" s="28"/>
      <c r="P2162" s="28"/>
      <c r="Q2162" s="28"/>
      <c r="R2162" s="28"/>
      <c r="S2162" s="28"/>
      <c r="T2162" s="28"/>
      <c r="U2162" s="28"/>
      <c r="V2162" s="28"/>
      <c r="W2162" s="28"/>
      <c r="X2162" s="28"/>
      <c r="Y2162" s="28"/>
      <c r="Z2162" s="28"/>
      <c r="AA2162" s="28"/>
      <c r="AB2162" s="28"/>
      <c r="AC2162" s="28"/>
    </row>
    <row r="2163" ht="78.0" customHeight="1">
      <c r="A2163" s="52"/>
      <c r="B2163" s="52"/>
      <c r="C2163" s="54"/>
      <c r="D2163" s="855"/>
      <c r="E2163" s="54"/>
      <c r="F2163" s="54"/>
      <c r="G2163" s="54"/>
      <c r="H2163" s="54"/>
      <c r="I2163" s="54"/>
      <c r="J2163" s="54"/>
      <c r="K2163" s="54"/>
      <c r="L2163" s="54"/>
      <c r="M2163" s="54"/>
      <c r="N2163" s="54"/>
      <c r="O2163" s="54"/>
      <c r="P2163" s="54"/>
      <c r="Q2163" s="54"/>
      <c r="R2163" s="54"/>
      <c r="S2163" s="54"/>
      <c r="T2163" s="54"/>
      <c r="U2163" s="54"/>
      <c r="V2163" s="54"/>
      <c r="W2163" s="54"/>
      <c r="X2163" s="54"/>
      <c r="Y2163" s="54"/>
      <c r="Z2163" s="54"/>
      <c r="AA2163" s="54"/>
      <c r="AB2163" s="54"/>
      <c r="AC2163" s="54"/>
    </row>
    <row r="2164" ht="78.0" customHeight="1">
      <c r="A2164" s="26"/>
      <c r="B2164" s="26"/>
      <c r="C2164" s="28"/>
      <c r="D2164" s="825"/>
      <c r="E2164" s="28"/>
      <c r="F2164" s="28"/>
      <c r="G2164" s="28"/>
      <c r="H2164" s="28"/>
      <c r="I2164" s="28"/>
      <c r="J2164" s="28"/>
      <c r="K2164" s="28"/>
      <c r="L2164" s="28"/>
      <c r="M2164" s="28"/>
      <c r="N2164" s="28"/>
      <c r="O2164" s="28"/>
      <c r="P2164" s="28"/>
      <c r="Q2164" s="28"/>
      <c r="R2164" s="28"/>
      <c r="S2164" s="28"/>
      <c r="T2164" s="28"/>
      <c r="U2164" s="28"/>
      <c r="V2164" s="28"/>
      <c r="W2164" s="28"/>
      <c r="X2164" s="28"/>
      <c r="Y2164" s="28"/>
      <c r="Z2164" s="28"/>
      <c r="AA2164" s="28"/>
      <c r="AB2164" s="28"/>
      <c r="AC2164" s="28"/>
    </row>
    <row r="2165" ht="78.0" customHeight="1">
      <c r="A2165" s="52"/>
      <c r="B2165" s="52"/>
      <c r="C2165" s="54"/>
      <c r="D2165" s="855"/>
      <c r="E2165" s="54"/>
      <c r="F2165" s="54"/>
      <c r="G2165" s="54"/>
      <c r="H2165" s="54"/>
      <c r="I2165" s="54"/>
      <c r="J2165" s="54"/>
      <c r="K2165" s="54"/>
      <c r="L2165" s="54"/>
      <c r="M2165" s="54"/>
      <c r="N2165" s="54"/>
      <c r="O2165" s="54"/>
      <c r="P2165" s="54"/>
      <c r="Q2165" s="54"/>
      <c r="R2165" s="54"/>
      <c r="S2165" s="54"/>
      <c r="T2165" s="54"/>
      <c r="U2165" s="54"/>
      <c r="V2165" s="54"/>
      <c r="W2165" s="54"/>
      <c r="X2165" s="54"/>
      <c r="Y2165" s="54"/>
      <c r="Z2165" s="54"/>
      <c r="AA2165" s="54"/>
      <c r="AB2165" s="54"/>
      <c r="AC2165" s="54"/>
    </row>
    <row r="2166" ht="78.0" customHeight="1">
      <c r="A2166" s="26"/>
      <c r="B2166" s="26"/>
      <c r="C2166" s="28"/>
      <c r="D2166" s="825"/>
      <c r="E2166" s="28"/>
      <c r="F2166" s="28"/>
      <c r="G2166" s="28"/>
      <c r="H2166" s="28"/>
      <c r="I2166" s="28"/>
      <c r="J2166" s="28"/>
      <c r="K2166" s="28"/>
      <c r="L2166" s="28"/>
      <c r="M2166" s="28"/>
      <c r="N2166" s="28"/>
      <c r="O2166" s="28"/>
      <c r="P2166" s="28"/>
      <c r="Q2166" s="28"/>
      <c r="R2166" s="28"/>
      <c r="S2166" s="28"/>
      <c r="T2166" s="28"/>
      <c r="U2166" s="28"/>
      <c r="V2166" s="28"/>
      <c r="W2166" s="28"/>
      <c r="X2166" s="28"/>
      <c r="Y2166" s="28"/>
      <c r="Z2166" s="28"/>
      <c r="AA2166" s="28"/>
      <c r="AB2166" s="28"/>
      <c r="AC2166" s="28"/>
    </row>
    <row r="2167" ht="78.0" customHeight="1">
      <c r="A2167" s="52"/>
      <c r="B2167" s="52"/>
      <c r="C2167" s="54"/>
      <c r="D2167" s="855"/>
      <c r="E2167" s="54"/>
      <c r="F2167" s="54"/>
      <c r="G2167" s="54"/>
      <c r="H2167" s="54"/>
      <c r="I2167" s="54"/>
      <c r="J2167" s="54"/>
      <c r="K2167" s="54"/>
      <c r="L2167" s="54"/>
      <c r="M2167" s="54"/>
      <c r="N2167" s="54"/>
      <c r="O2167" s="54"/>
      <c r="P2167" s="54"/>
      <c r="Q2167" s="54"/>
      <c r="R2167" s="54"/>
      <c r="S2167" s="54"/>
      <c r="T2167" s="54"/>
      <c r="U2167" s="54"/>
      <c r="V2167" s="54"/>
      <c r="W2167" s="54"/>
      <c r="X2167" s="54"/>
      <c r="Y2167" s="54"/>
      <c r="Z2167" s="54"/>
      <c r="AA2167" s="54"/>
      <c r="AB2167" s="54"/>
      <c r="AC2167" s="54"/>
    </row>
    <row r="2168" ht="78.0" customHeight="1">
      <c r="A2168" s="26"/>
      <c r="B2168" s="26"/>
      <c r="C2168" s="28"/>
      <c r="D2168" s="825"/>
      <c r="E2168" s="28"/>
      <c r="F2168" s="28"/>
      <c r="G2168" s="28"/>
      <c r="H2168" s="28"/>
      <c r="I2168" s="28"/>
      <c r="J2168" s="28"/>
      <c r="K2168" s="28"/>
      <c r="L2168" s="28"/>
      <c r="M2168" s="28"/>
      <c r="N2168" s="28"/>
      <c r="O2168" s="28"/>
      <c r="P2168" s="28"/>
      <c r="Q2168" s="28"/>
      <c r="R2168" s="28"/>
      <c r="S2168" s="28"/>
      <c r="T2168" s="28"/>
      <c r="U2168" s="28"/>
      <c r="V2168" s="28"/>
      <c r="W2168" s="28"/>
      <c r="X2168" s="28"/>
      <c r="Y2168" s="28"/>
      <c r="Z2168" s="28"/>
      <c r="AA2168" s="28"/>
      <c r="AB2168" s="28"/>
      <c r="AC2168" s="28"/>
    </row>
    <row r="2169" ht="78.0" customHeight="1">
      <c r="A2169" s="52"/>
      <c r="B2169" s="52"/>
      <c r="C2169" s="54"/>
      <c r="D2169" s="855"/>
      <c r="E2169" s="54"/>
      <c r="F2169" s="54"/>
      <c r="G2169" s="54"/>
      <c r="H2169" s="54"/>
      <c r="I2169" s="54"/>
      <c r="J2169" s="54"/>
      <c r="K2169" s="54"/>
      <c r="L2169" s="54"/>
      <c r="M2169" s="54"/>
      <c r="N2169" s="54"/>
      <c r="O2169" s="54"/>
      <c r="P2169" s="54"/>
      <c r="Q2169" s="54"/>
      <c r="R2169" s="54"/>
      <c r="S2169" s="54"/>
      <c r="T2169" s="54"/>
      <c r="U2169" s="54"/>
      <c r="V2169" s="54"/>
      <c r="W2169" s="54"/>
      <c r="X2169" s="54"/>
      <c r="Y2169" s="54"/>
      <c r="Z2169" s="54"/>
      <c r="AA2169" s="54"/>
      <c r="AB2169" s="54"/>
      <c r="AC2169" s="54"/>
    </row>
    <row r="2170" ht="78.0" customHeight="1">
      <c r="A2170" s="26"/>
      <c r="B2170" s="26"/>
      <c r="C2170" s="28"/>
      <c r="D2170" s="825"/>
      <c r="E2170" s="28"/>
      <c r="F2170" s="28"/>
      <c r="G2170" s="28"/>
      <c r="H2170" s="28"/>
      <c r="I2170" s="28"/>
      <c r="J2170" s="28"/>
      <c r="K2170" s="28"/>
      <c r="L2170" s="28"/>
      <c r="M2170" s="28"/>
      <c r="N2170" s="28"/>
      <c r="O2170" s="28"/>
      <c r="P2170" s="28"/>
      <c r="Q2170" s="28"/>
      <c r="R2170" s="28"/>
      <c r="S2170" s="28"/>
      <c r="T2170" s="28"/>
      <c r="U2170" s="28"/>
      <c r="V2170" s="28"/>
      <c r="W2170" s="28"/>
      <c r="X2170" s="28"/>
      <c r="Y2170" s="28"/>
      <c r="Z2170" s="28"/>
      <c r="AA2170" s="28"/>
      <c r="AB2170" s="28"/>
      <c r="AC2170" s="28"/>
    </row>
    <row r="2171" ht="78.0" customHeight="1">
      <c r="A2171" s="52"/>
      <c r="B2171" s="52"/>
      <c r="C2171" s="54"/>
      <c r="D2171" s="855"/>
      <c r="E2171" s="54"/>
      <c r="F2171" s="54"/>
      <c r="G2171" s="54"/>
      <c r="H2171" s="54"/>
      <c r="I2171" s="54"/>
      <c r="J2171" s="54"/>
      <c r="K2171" s="54"/>
      <c r="L2171" s="54"/>
      <c r="M2171" s="54"/>
      <c r="N2171" s="54"/>
      <c r="O2171" s="54"/>
      <c r="P2171" s="54"/>
      <c r="Q2171" s="54"/>
      <c r="R2171" s="54"/>
      <c r="S2171" s="54"/>
      <c r="T2171" s="54"/>
      <c r="U2171" s="54"/>
      <c r="V2171" s="54"/>
      <c r="W2171" s="54"/>
      <c r="X2171" s="54"/>
      <c r="Y2171" s="54"/>
      <c r="Z2171" s="54"/>
      <c r="AA2171" s="54"/>
      <c r="AB2171" s="54"/>
      <c r="AC2171" s="54"/>
    </row>
    <row r="2172" ht="78.0" customHeight="1">
      <c r="A2172" s="26"/>
      <c r="B2172" s="26"/>
      <c r="C2172" s="28"/>
      <c r="D2172" s="825"/>
      <c r="E2172" s="28"/>
      <c r="F2172" s="28"/>
      <c r="G2172" s="28"/>
      <c r="H2172" s="28"/>
      <c r="I2172" s="28"/>
      <c r="J2172" s="28"/>
      <c r="K2172" s="28"/>
      <c r="L2172" s="28"/>
      <c r="M2172" s="28"/>
      <c r="N2172" s="28"/>
      <c r="O2172" s="28"/>
      <c r="P2172" s="28"/>
      <c r="Q2172" s="28"/>
      <c r="R2172" s="28"/>
      <c r="S2172" s="28"/>
      <c r="T2172" s="28"/>
      <c r="U2172" s="28"/>
      <c r="V2172" s="28"/>
      <c r="W2172" s="28"/>
      <c r="X2172" s="28"/>
      <c r="Y2172" s="28"/>
      <c r="Z2172" s="28"/>
      <c r="AA2172" s="28"/>
      <c r="AB2172" s="28"/>
      <c r="AC2172" s="28"/>
    </row>
    <row r="2173" ht="78.0" customHeight="1">
      <c r="A2173" s="52"/>
      <c r="B2173" s="52"/>
      <c r="C2173" s="54"/>
      <c r="D2173" s="855"/>
      <c r="E2173" s="54"/>
      <c r="F2173" s="54"/>
      <c r="G2173" s="54"/>
      <c r="H2173" s="54"/>
      <c r="I2173" s="54"/>
      <c r="J2173" s="54"/>
      <c r="K2173" s="54"/>
      <c r="L2173" s="54"/>
      <c r="M2173" s="54"/>
      <c r="N2173" s="54"/>
      <c r="O2173" s="54"/>
      <c r="P2173" s="54"/>
      <c r="Q2173" s="54"/>
      <c r="R2173" s="54"/>
      <c r="S2173" s="54"/>
      <c r="T2173" s="54"/>
      <c r="U2173" s="54"/>
      <c r="V2173" s="54"/>
      <c r="W2173" s="54"/>
      <c r="X2173" s="54"/>
      <c r="Y2173" s="54"/>
      <c r="Z2173" s="54"/>
      <c r="AA2173" s="54"/>
      <c r="AB2173" s="54"/>
      <c r="AC2173" s="54"/>
    </row>
    <row r="2174" ht="78.0" customHeight="1">
      <c r="A2174" s="26"/>
      <c r="B2174" s="26"/>
      <c r="C2174" s="28"/>
      <c r="D2174" s="825"/>
      <c r="E2174" s="28"/>
      <c r="F2174" s="28"/>
      <c r="G2174" s="28"/>
      <c r="H2174" s="28"/>
      <c r="I2174" s="28"/>
      <c r="J2174" s="28"/>
      <c r="K2174" s="28"/>
      <c r="L2174" s="28"/>
      <c r="M2174" s="28"/>
      <c r="N2174" s="28"/>
      <c r="O2174" s="28"/>
      <c r="P2174" s="28"/>
      <c r="Q2174" s="28"/>
      <c r="R2174" s="28"/>
      <c r="S2174" s="28"/>
      <c r="T2174" s="28"/>
      <c r="U2174" s="28"/>
      <c r="V2174" s="28"/>
      <c r="W2174" s="28"/>
      <c r="X2174" s="28"/>
      <c r="Y2174" s="28"/>
      <c r="Z2174" s="28"/>
      <c r="AA2174" s="28"/>
      <c r="AB2174" s="28"/>
      <c r="AC2174" s="28"/>
    </row>
    <row r="2175" ht="78.0" customHeight="1">
      <c r="A2175" s="52"/>
      <c r="B2175" s="52"/>
      <c r="C2175" s="54"/>
      <c r="D2175" s="855"/>
      <c r="E2175" s="54"/>
      <c r="F2175" s="54"/>
      <c r="G2175" s="54"/>
      <c r="H2175" s="54"/>
      <c r="I2175" s="54"/>
      <c r="J2175" s="54"/>
      <c r="K2175" s="54"/>
      <c r="L2175" s="54"/>
      <c r="M2175" s="54"/>
      <c r="N2175" s="54"/>
      <c r="O2175" s="54"/>
      <c r="P2175" s="54"/>
      <c r="Q2175" s="54"/>
      <c r="R2175" s="54"/>
      <c r="S2175" s="54"/>
      <c r="T2175" s="54"/>
      <c r="U2175" s="54"/>
      <c r="V2175" s="54"/>
      <c r="W2175" s="54"/>
      <c r="X2175" s="54"/>
      <c r="Y2175" s="54"/>
      <c r="Z2175" s="54"/>
      <c r="AA2175" s="54"/>
      <c r="AB2175" s="54"/>
      <c r="AC2175" s="54"/>
    </row>
    <row r="2176" ht="78.0" customHeight="1">
      <c r="A2176" s="26"/>
      <c r="B2176" s="26"/>
      <c r="C2176" s="28"/>
      <c r="D2176" s="825"/>
      <c r="E2176" s="28"/>
      <c r="F2176" s="28"/>
      <c r="G2176" s="28"/>
      <c r="H2176" s="28"/>
      <c r="I2176" s="28"/>
      <c r="J2176" s="28"/>
      <c r="K2176" s="28"/>
      <c r="L2176" s="28"/>
      <c r="M2176" s="28"/>
      <c r="N2176" s="28"/>
      <c r="O2176" s="28"/>
      <c r="P2176" s="28"/>
      <c r="Q2176" s="28"/>
      <c r="R2176" s="28"/>
      <c r="S2176" s="28"/>
      <c r="T2176" s="28"/>
      <c r="U2176" s="28"/>
      <c r="V2176" s="28"/>
      <c r="W2176" s="28"/>
      <c r="X2176" s="28"/>
      <c r="Y2176" s="28"/>
      <c r="Z2176" s="28"/>
      <c r="AA2176" s="28"/>
      <c r="AB2176" s="28"/>
      <c r="AC2176" s="28"/>
    </row>
    <row r="2177" ht="78.0" customHeight="1">
      <c r="A2177" s="52"/>
      <c r="B2177" s="52"/>
      <c r="C2177" s="54"/>
      <c r="D2177" s="855"/>
      <c r="E2177" s="54"/>
      <c r="F2177" s="54"/>
      <c r="G2177" s="54"/>
      <c r="H2177" s="54"/>
      <c r="I2177" s="54"/>
      <c r="J2177" s="54"/>
      <c r="K2177" s="54"/>
      <c r="L2177" s="54"/>
      <c r="M2177" s="54"/>
      <c r="N2177" s="54"/>
      <c r="O2177" s="54"/>
      <c r="P2177" s="54"/>
      <c r="Q2177" s="54"/>
      <c r="R2177" s="54"/>
      <c r="S2177" s="54"/>
      <c r="T2177" s="54"/>
      <c r="U2177" s="54"/>
      <c r="V2177" s="54"/>
      <c r="W2177" s="54"/>
      <c r="X2177" s="54"/>
      <c r="Y2177" s="54"/>
      <c r="Z2177" s="54"/>
      <c r="AA2177" s="54"/>
      <c r="AB2177" s="54"/>
      <c r="AC2177" s="54"/>
    </row>
    <row r="2178" ht="78.0" customHeight="1">
      <c r="A2178" s="26"/>
      <c r="B2178" s="26"/>
      <c r="C2178" s="28"/>
      <c r="D2178" s="825"/>
      <c r="E2178" s="28"/>
      <c r="F2178" s="28"/>
      <c r="G2178" s="28"/>
      <c r="H2178" s="28"/>
      <c r="I2178" s="28"/>
      <c r="J2178" s="28"/>
      <c r="K2178" s="28"/>
      <c r="L2178" s="28"/>
      <c r="M2178" s="28"/>
      <c r="N2178" s="28"/>
      <c r="O2178" s="28"/>
      <c r="P2178" s="28"/>
      <c r="Q2178" s="28"/>
      <c r="R2178" s="28"/>
      <c r="S2178" s="28"/>
      <c r="T2178" s="28"/>
      <c r="U2178" s="28"/>
      <c r="V2178" s="28"/>
      <c r="W2178" s="28"/>
      <c r="X2178" s="28"/>
      <c r="Y2178" s="28"/>
      <c r="Z2178" s="28"/>
      <c r="AA2178" s="28"/>
      <c r="AB2178" s="28"/>
      <c r="AC2178" s="28"/>
    </row>
    <row r="2179" ht="78.0" customHeight="1">
      <c r="A2179" s="52"/>
      <c r="B2179" s="52"/>
      <c r="C2179" s="54"/>
      <c r="D2179" s="855"/>
      <c r="E2179" s="54"/>
      <c r="F2179" s="54"/>
      <c r="G2179" s="54"/>
      <c r="H2179" s="54"/>
      <c r="I2179" s="54"/>
      <c r="J2179" s="54"/>
      <c r="K2179" s="54"/>
      <c r="L2179" s="54"/>
      <c r="M2179" s="54"/>
      <c r="N2179" s="54"/>
      <c r="O2179" s="54"/>
      <c r="P2179" s="54"/>
      <c r="Q2179" s="54"/>
      <c r="R2179" s="54"/>
      <c r="S2179" s="54"/>
      <c r="T2179" s="54"/>
      <c r="U2179" s="54"/>
      <c r="V2179" s="54"/>
      <c r="W2179" s="54"/>
      <c r="X2179" s="54"/>
      <c r="Y2179" s="54"/>
      <c r="Z2179" s="54"/>
      <c r="AA2179" s="54"/>
      <c r="AB2179" s="54"/>
      <c r="AC2179" s="54"/>
    </row>
    <row r="2180" ht="78.0" customHeight="1">
      <c r="A2180" s="26"/>
      <c r="B2180" s="26"/>
      <c r="C2180" s="28"/>
      <c r="D2180" s="825"/>
      <c r="E2180" s="28"/>
      <c r="F2180" s="28"/>
      <c r="G2180" s="28"/>
      <c r="H2180" s="28"/>
      <c r="I2180" s="28"/>
      <c r="J2180" s="28"/>
      <c r="K2180" s="28"/>
      <c r="L2180" s="28"/>
      <c r="M2180" s="28"/>
      <c r="N2180" s="28"/>
      <c r="O2180" s="28"/>
      <c r="P2180" s="28"/>
      <c r="Q2180" s="28"/>
      <c r="R2180" s="28"/>
      <c r="S2180" s="28"/>
      <c r="T2180" s="28"/>
      <c r="U2180" s="28"/>
      <c r="V2180" s="28"/>
      <c r="W2180" s="28"/>
      <c r="X2180" s="28"/>
      <c r="Y2180" s="28"/>
      <c r="Z2180" s="28"/>
      <c r="AA2180" s="28"/>
      <c r="AB2180" s="28"/>
      <c r="AC2180" s="28"/>
    </row>
    <row r="2181" ht="78.0" customHeight="1">
      <c r="A2181" s="52"/>
      <c r="B2181" s="52"/>
      <c r="C2181" s="54"/>
      <c r="D2181" s="855"/>
      <c r="E2181" s="54"/>
      <c r="F2181" s="54"/>
      <c r="G2181" s="54"/>
      <c r="H2181" s="54"/>
      <c r="I2181" s="54"/>
      <c r="J2181" s="54"/>
      <c r="K2181" s="54"/>
      <c r="L2181" s="54"/>
      <c r="M2181" s="54"/>
      <c r="N2181" s="54"/>
      <c r="O2181" s="54"/>
      <c r="P2181" s="54"/>
      <c r="Q2181" s="54"/>
      <c r="R2181" s="54"/>
      <c r="S2181" s="54"/>
      <c r="T2181" s="54"/>
      <c r="U2181" s="54"/>
      <c r="V2181" s="54"/>
      <c r="W2181" s="54"/>
      <c r="X2181" s="54"/>
      <c r="Y2181" s="54"/>
      <c r="Z2181" s="54"/>
      <c r="AA2181" s="54"/>
      <c r="AB2181" s="54"/>
      <c r="AC2181" s="54"/>
    </row>
    <row r="2182" ht="78.0" customHeight="1">
      <c r="A2182" s="26"/>
      <c r="B2182" s="26"/>
      <c r="C2182" s="28"/>
      <c r="D2182" s="825"/>
      <c r="E2182" s="28"/>
      <c r="F2182" s="28"/>
      <c r="G2182" s="28"/>
      <c r="H2182" s="28"/>
      <c r="I2182" s="28"/>
      <c r="J2182" s="28"/>
      <c r="K2182" s="28"/>
      <c r="L2182" s="28"/>
      <c r="M2182" s="28"/>
      <c r="N2182" s="28"/>
      <c r="O2182" s="28"/>
      <c r="P2182" s="28"/>
      <c r="Q2182" s="28"/>
      <c r="R2182" s="28"/>
      <c r="S2182" s="28"/>
      <c r="T2182" s="28"/>
      <c r="U2182" s="28"/>
      <c r="V2182" s="28"/>
      <c r="W2182" s="28"/>
      <c r="X2182" s="28"/>
      <c r="Y2182" s="28"/>
      <c r="Z2182" s="28"/>
      <c r="AA2182" s="28"/>
      <c r="AB2182" s="28"/>
      <c r="AC2182" s="28"/>
    </row>
    <row r="2183" ht="78.0" customHeight="1">
      <c r="A2183" s="52"/>
      <c r="B2183" s="52"/>
      <c r="C2183" s="54"/>
      <c r="D2183" s="855"/>
      <c r="E2183" s="54"/>
      <c r="F2183" s="54"/>
      <c r="G2183" s="54"/>
      <c r="H2183" s="54"/>
      <c r="I2183" s="54"/>
      <c r="J2183" s="54"/>
      <c r="K2183" s="54"/>
      <c r="L2183" s="54"/>
      <c r="M2183" s="54"/>
      <c r="N2183" s="54"/>
      <c r="O2183" s="54"/>
      <c r="P2183" s="54"/>
      <c r="Q2183" s="54"/>
      <c r="R2183" s="54"/>
      <c r="S2183" s="54"/>
      <c r="T2183" s="54"/>
      <c r="U2183" s="54"/>
      <c r="V2183" s="54"/>
      <c r="W2183" s="54"/>
      <c r="X2183" s="54"/>
      <c r="Y2183" s="54"/>
      <c r="Z2183" s="54"/>
      <c r="AA2183" s="54"/>
      <c r="AB2183" s="54"/>
      <c r="AC2183" s="54"/>
    </row>
    <row r="2184" ht="78.0" customHeight="1">
      <c r="A2184" s="26"/>
      <c r="B2184" s="26"/>
      <c r="C2184" s="28"/>
      <c r="D2184" s="825"/>
      <c r="E2184" s="28"/>
      <c r="F2184" s="28"/>
      <c r="G2184" s="28"/>
      <c r="H2184" s="28"/>
      <c r="I2184" s="28"/>
      <c r="J2184" s="28"/>
      <c r="K2184" s="28"/>
      <c r="L2184" s="28"/>
      <c r="M2184" s="28"/>
      <c r="N2184" s="28"/>
      <c r="O2184" s="28"/>
      <c r="P2184" s="28"/>
      <c r="Q2184" s="28"/>
      <c r="R2184" s="28"/>
      <c r="S2184" s="28"/>
      <c r="T2184" s="28"/>
      <c r="U2184" s="28"/>
      <c r="V2184" s="28"/>
      <c r="W2184" s="28"/>
      <c r="X2184" s="28"/>
      <c r="Y2184" s="28"/>
      <c r="Z2184" s="28"/>
      <c r="AA2184" s="28"/>
      <c r="AB2184" s="28"/>
      <c r="AC2184" s="28"/>
    </row>
    <row r="2185" ht="78.0" customHeight="1">
      <c r="A2185" s="52"/>
      <c r="B2185" s="52"/>
      <c r="C2185" s="54"/>
      <c r="D2185" s="855"/>
      <c r="E2185" s="54"/>
      <c r="F2185" s="54"/>
      <c r="G2185" s="54"/>
      <c r="H2185" s="54"/>
      <c r="I2185" s="54"/>
      <c r="J2185" s="54"/>
      <c r="K2185" s="54"/>
      <c r="L2185" s="54"/>
      <c r="M2185" s="54"/>
      <c r="N2185" s="54"/>
      <c r="O2185" s="54"/>
      <c r="P2185" s="54"/>
      <c r="Q2185" s="54"/>
      <c r="R2185" s="54"/>
      <c r="S2185" s="54"/>
      <c r="T2185" s="54"/>
      <c r="U2185" s="54"/>
      <c r="V2185" s="54"/>
      <c r="W2185" s="54"/>
      <c r="X2185" s="54"/>
      <c r="Y2185" s="54"/>
      <c r="Z2185" s="54"/>
      <c r="AA2185" s="54"/>
      <c r="AB2185" s="54"/>
      <c r="AC2185" s="54"/>
    </row>
    <row r="2186" ht="78.0" customHeight="1">
      <c r="A2186" s="26"/>
      <c r="B2186" s="26"/>
      <c r="C2186" s="28"/>
      <c r="D2186" s="825"/>
      <c r="E2186" s="28"/>
      <c r="F2186" s="28"/>
      <c r="G2186" s="28"/>
      <c r="H2186" s="28"/>
      <c r="I2186" s="28"/>
      <c r="J2186" s="28"/>
      <c r="K2186" s="28"/>
      <c r="L2186" s="28"/>
      <c r="M2186" s="28"/>
      <c r="N2186" s="28"/>
      <c r="O2186" s="28"/>
      <c r="P2186" s="28"/>
      <c r="Q2186" s="28"/>
      <c r="R2186" s="28"/>
      <c r="S2186" s="28"/>
      <c r="T2186" s="28"/>
      <c r="U2186" s="28"/>
      <c r="V2186" s="28"/>
      <c r="W2186" s="28"/>
      <c r="X2186" s="28"/>
      <c r="Y2186" s="28"/>
      <c r="Z2186" s="28"/>
      <c r="AA2186" s="28"/>
      <c r="AB2186" s="28"/>
      <c r="AC2186" s="28"/>
    </row>
    <row r="2187" ht="78.0" customHeight="1">
      <c r="A2187" s="52"/>
      <c r="B2187" s="52"/>
      <c r="C2187" s="54"/>
      <c r="D2187" s="855"/>
      <c r="E2187" s="54"/>
      <c r="F2187" s="54"/>
      <c r="G2187" s="54"/>
      <c r="H2187" s="54"/>
      <c r="I2187" s="54"/>
      <c r="J2187" s="54"/>
      <c r="K2187" s="54"/>
      <c r="L2187" s="54"/>
      <c r="M2187" s="54"/>
      <c r="N2187" s="54"/>
      <c r="O2187" s="54"/>
      <c r="P2187" s="54"/>
      <c r="Q2187" s="54"/>
      <c r="R2187" s="54"/>
      <c r="S2187" s="54"/>
      <c r="T2187" s="54"/>
      <c r="U2187" s="54"/>
      <c r="V2187" s="54"/>
      <c r="W2187" s="54"/>
      <c r="X2187" s="54"/>
      <c r="Y2187" s="54"/>
      <c r="Z2187" s="54"/>
      <c r="AA2187" s="54"/>
      <c r="AB2187" s="54"/>
      <c r="AC2187" s="54"/>
    </row>
    <row r="2188" ht="78.0" customHeight="1">
      <c r="A2188" s="26"/>
      <c r="B2188" s="26"/>
      <c r="C2188" s="28"/>
      <c r="D2188" s="825"/>
      <c r="E2188" s="28"/>
      <c r="F2188" s="28"/>
      <c r="G2188" s="28"/>
      <c r="H2188" s="28"/>
      <c r="I2188" s="28"/>
      <c r="J2188" s="28"/>
      <c r="K2188" s="28"/>
      <c r="L2188" s="28"/>
      <c r="M2188" s="28"/>
      <c r="N2188" s="28"/>
      <c r="O2188" s="28"/>
      <c r="P2188" s="28"/>
      <c r="Q2188" s="28"/>
      <c r="R2188" s="28"/>
      <c r="S2188" s="28"/>
      <c r="T2188" s="28"/>
      <c r="U2188" s="28"/>
      <c r="V2188" s="28"/>
      <c r="W2188" s="28"/>
      <c r="X2188" s="28"/>
      <c r="Y2188" s="28"/>
      <c r="Z2188" s="28"/>
      <c r="AA2188" s="28"/>
      <c r="AB2188" s="28"/>
      <c r="AC2188" s="28"/>
    </row>
    <row r="2189" ht="78.0" customHeight="1">
      <c r="A2189" s="52"/>
      <c r="B2189" s="52"/>
      <c r="C2189" s="54"/>
      <c r="D2189" s="855"/>
      <c r="E2189" s="54"/>
      <c r="F2189" s="54"/>
      <c r="G2189" s="54"/>
      <c r="H2189" s="54"/>
      <c r="I2189" s="54"/>
      <c r="J2189" s="54"/>
      <c r="K2189" s="54"/>
      <c r="L2189" s="54"/>
      <c r="M2189" s="54"/>
      <c r="N2189" s="54"/>
      <c r="O2189" s="54"/>
      <c r="P2189" s="54"/>
      <c r="Q2189" s="54"/>
      <c r="R2189" s="54"/>
      <c r="S2189" s="54"/>
      <c r="T2189" s="54"/>
      <c r="U2189" s="54"/>
      <c r="V2189" s="54"/>
      <c r="W2189" s="54"/>
      <c r="X2189" s="54"/>
      <c r="Y2189" s="54"/>
      <c r="Z2189" s="54"/>
      <c r="AA2189" s="54"/>
      <c r="AB2189" s="54"/>
      <c r="AC2189" s="54"/>
    </row>
    <row r="2190" ht="78.0" customHeight="1">
      <c r="A2190" s="26"/>
      <c r="B2190" s="26"/>
      <c r="C2190" s="28"/>
      <c r="D2190" s="825"/>
      <c r="E2190" s="28"/>
      <c r="F2190" s="28"/>
      <c r="G2190" s="28"/>
      <c r="H2190" s="28"/>
      <c r="I2190" s="28"/>
      <c r="J2190" s="28"/>
      <c r="K2190" s="28"/>
      <c r="L2190" s="28"/>
      <c r="M2190" s="28"/>
      <c r="N2190" s="28"/>
      <c r="O2190" s="28"/>
      <c r="P2190" s="28"/>
      <c r="Q2190" s="28"/>
      <c r="R2190" s="28"/>
      <c r="S2190" s="28"/>
      <c r="T2190" s="28"/>
      <c r="U2190" s="28"/>
      <c r="V2190" s="28"/>
      <c r="W2190" s="28"/>
      <c r="X2190" s="28"/>
      <c r="Y2190" s="28"/>
      <c r="Z2190" s="28"/>
      <c r="AA2190" s="28"/>
      <c r="AB2190" s="28"/>
      <c r="AC2190" s="28"/>
    </row>
    <row r="2191" ht="78.0" customHeight="1">
      <c r="A2191" s="52"/>
      <c r="B2191" s="52"/>
      <c r="C2191" s="54"/>
      <c r="D2191" s="855"/>
      <c r="E2191" s="54"/>
      <c r="F2191" s="54"/>
      <c r="G2191" s="54"/>
      <c r="H2191" s="54"/>
      <c r="I2191" s="54"/>
      <c r="J2191" s="54"/>
      <c r="K2191" s="54"/>
      <c r="L2191" s="54"/>
      <c r="M2191" s="54"/>
      <c r="N2191" s="54"/>
      <c r="O2191" s="54"/>
      <c r="P2191" s="54"/>
      <c r="Q2191" s="54"/>
      <c r="R2191" s="54"/>
      <c r="S2191" s="54"/>
      <c r="T2191" s="54"/>
      <c r="U2191" s="54"/>
      <c r="V2191" s="54"/>
      <c r="W2191" s="54"/>
      <c r="X2191" s="54"/>
      <c r="Y2191" s="54"/>
      <c r="Z2191" s="54"/>
      <c r="AA2191" s="54"/>
      <c r="AB2191" s="54"/>
      <c r="AC2191" s="54"/>
    </row>
    <row r="2192" ht="78.0" customHeight="1">
      <c r="A2192" s="26"/>
      <c r="B2192" s="26"/>
      <c r="C2192" s="28"/>
      <c r="D2192" s="825"/>
      <c r="E2192" s="28"/>
      <c r="F2192" s="28"/>
      <c r="G2192" s="28"/>
      <c r="H2192" s="28"/>
      <c r="I2192" s="28"/>
      <c r="J2192" s="28"/>
      <c r="K2192" s="28"/>
      <c r="L2192" s="28"/>
      <c r="M2192" s="28"/>
      <c r="N2192" s="28"/>
      <c r="O2192" s="28"/>
      <c r="P2192" s="28"/>
      <c r="Q2192" s="28"/>
      <c r="R2192" s="28"/>
      <c r="S2192" s="28"/>
      <c r="T2192" s="28"/>
      <c r="U2192" s="28"/>
      <c r="V2192" s="28"/>
      <c r="W2192" s="28"/>
      <c r="X2192" s="28"/>
      <c r="Y2192" s="28"/>
      <c r="Z2192" s="28"/>
      <c r="AA2192" s="28"/>
      <c r="AB2192" s="28"/>
      <c r="AC2192" s="28"/>
    </row>
    <row r="2193" ht="78.0" customHeight="1">
      <c r="A2193" s="52"/>
      <c r="B2193" s="52"/>
      <c r="C2193" s="54"/>
      <c r="D2193" s="855"/>
      <c r="E2193" s="54"/>
      <c r="F2193" s="54"/>
      <c r="G2193" s="54"/>
      <c r="H2193" s="54"/>
      <c r="I2193" s="54"/>
      <c r="J2193" s="54"/>
      <c r="K2193" s="54"/>
      <c r="L2193" s="54"/>
      <c r="M2193" s="54"/>
      <c r="N2193" s="54"/>
      <c r="O2193" s="54"/>
      <c r="P2193" s="54"/>
      <c r="Q2193" s="54"/>
      <c r="R2193" s="54"/>
      <c r="S2193" s="54"/>
      <c r="T2193" s="54"/>
      <c r="U2193" s="54"/>
      <c r="V2193" s="54"/>
      <c r="W2193" s="54"/>
      <c r="X2193" s="54"/>
      <c r="Y2193" s="54"/>
      <c r="Z2193" s="54"/>
      <c r="AA2193" s="54"/>
      <c r="AB2193" s="54"/>
      <c r="AC2193" s="54"/>
    </row>
    <row r="2194" ht="78.0" customHeight="1">
      <c r="A2194" s="26"/>
      <c r="B2194" s="26"/>
      <c r="C2194" s="28"/>
      <c r="D2194" s="825"/>
      <c r="E2194" s="28"/>
      <c r="F2194" s="28"/>
      <c r="G2194" s="28"/>
      <c r="H2194" s="28"/>
      <c r="I2194" s="28"/>
      <c r="J2194" s="28"/>
      <c r="K2194" s="28"/>
      <c r="L2194" s="28"/>
      <c r="M2194" s="28"/>
      <c r="N2194" s="28"/>
      <c r="O2194" s="28"/>
      <c r="P2194" s="28"/>
      <c r="Q2194" s="28"/>
      <c r="R2194" s="28"/>
      <c r="S2194" s="28"/>
      <c r="T2194" s="28"/>
      <c r="U2194" s="28"/>
      <c r="V2194" s="28"/>
      <c r="W2194" s="28"/>
      <c r="X2194" s="28"/>
      <c r="Y2194" s="28"/>
      <c r="Z2194" s="28"/>
      <c r="AA2194" s="28"/>
      <c r="AB2194" s="28"/>
      <c r="AC2194" s="28"/>
    </row>
    <row r="2195" ht="78.0" customHeight="1">
      <c r="A2195" s="52"/>
      <c r="B2195" s="52"/>
      <c r="C2195" s="54"/>
      <c r="D2195" s="855"/>
      <c r="E2195" s="54"/>
      <c r="F2195" s="54"/>
      <c r="G2195" s="54"/>
      <c r="H2195" s="54"/>
      <c r="I2195" s="54"/>
      <c r="J2195" s="54"/>
      <c r="K2195" s="54"/>
      <c r="L2195" s="54"/>
      <c r="M2195" s="54"/>
      <c r="N2195" s="54"/>
      <c r="O2195" s="54"/>
      <c r="P2195" s="54"/>
      <c r="Q2195" s="54"/>
      <c r="R2195" s="54"/>
      <c r="S2195" s="54"/>
      <c r="T2195" s="54"/>
      <c r="U2195" s="54"/>
      <c r="V2195" s="54"/>
      <c r="W2195" s="54"/>
      <c r="X2195" s="54"/>
      <c r="Y2195" s="54"/>
      <c r="Z2195" s="54"/>
      <c r="AA2195" s="54"/>
      <c r="AB2195" s="54"/>
      <c r="AC2195" s="54"/>
    </row>
    <row r="2196" ht="78.0" customHeight="1">
      <c r="A2196" s="26"/>
      <c r="B2196" s="26"/>
      <c r="C2196" s="28"/>
      <c r="D2196" s="825"/>
      <c r="E2196" s="28"/>
      <c r="F2196" s="28"/>
      <c r="G2196" s="28"/>
      <c r="H2196" s="28"/>
      <c r="I2196" s="28"/>
      <c r="J2196" s="28"/>
      <c r="K2196" s="28"/>
      <c r="L2196" s="28"/>
      <c r="M2196" s="28"/>
      <c r="N2196" s="28"/>
      <c r="O2196" s="28"/>
      <c r="P2196" s="28"/>
      <c r="Q2196" s="28"/>
      <c r="R2196" s="28"/>
      <c r="S2196" s="28"/>
      <c r="T2196" s="28"/>
      <c r="U2196" s="28"/>
      <c r="V2196" s="28"/>
      <c r="W2196" s="28"/>
      <c r="X2196" s="28"/>
      <c r="Y2196" s="28"/>
      <c r="Z2196" s="28"/>
      <c r="AA2196" s="28"/>
      <c r="AB2196" s="28"/>
      <c r="AC2196" s="28"/>
    </row>
    <row r="2197" ht="78.0" customHeight="1">
      <c r="A2197" s="52"/>
      <c r="B2197" s="52"/>
      <c r="C2197" s="54"/>
      <c r="D2197" s="855"/>
      <c r="E2197" s="54"/>
      <c r="F2197" s="54"/>
      <c r="G2197" s="54"/>
      <c r="H2197" s="54"/>
      <c r="I2197" s="54"/>
      <c r="J2197" s="54"/>
      <c r="K2197" s="54"/>
      <c r="L2197" s="54"/>
      <c r="M2197" s="54"/>
      <c r="N2197" s="54"/>
      <c r="O2197" s="54"/>
      <c r="P2197" s="54"/>
      <c r="Q2197" s="54"/>
      <c r="R2197" s="54"/>
      <c r="S2197" s="54"/>
      <c r="T2197" s="54"/>
      <c r="U2197" s="54"/>
      <c r="V2197" s="54"/>
      <c r="W2197" s="54"/>
      <c r="X2197" s="54"/>
      <c r="Y2197" s="54"/>
      <c r="Z2197" s="54"/>
      <c r="AA2197" s="54"/>
      <c r="AB2197" s="54"/>
      <c r="AC2197" s="54"/>
    </row>
    <row r="2198" ht="78.0" customHeight="1">
      <c r="A2198" s="26"/>
      <c r="B2198" s="26"/>
      <c r="C2198" s="28"/>
      <c r="D2198" s="825"/>
      <c r="E2198" s="28"/>
      <c r="F2198" s="28"/>
      <c r="G2198" s="28"/>
      <c r="H2198" s="28"/>
      <c r="I2198" s="28"/>
      <c r="J2198" s="28"/>
      <c r="K2198" s="28"/>
      <c r="L2198" s="28"/>
      <c r="M2198" s="28"/>
      <c r="N2198" s="28"/>
      <c r="O2198" s="28"/>
      <c r="P2198" s="28"/>
      <c r="Q2198" s="28"/>
      <c r="R2198" s="28"/>
      <c r="S2198" s="28"/>
      <c r="T2198" s="28"/>
      <c r="U2198" s="28"/>
      <c r="V2198" s="28"/>
      <c r="W2198" s="28"/>
      <c r="X2198" s="28"/>
      <c r="Y2198" s="28"/>
      <c r="Z2198" s="28"/>
      <c r="AA2198" s="28"/>
      <c r="AB2198" s="28"/>
      <c r="AC2198" s="28"/>
    </row>
    <row r="2199" ht="78.0" customHeight="1">
      <c r="A2199" s="52"/>
      <c r="B2199" s="52"/>
      <c r="C2199" s="54"/>
      <c r="D2199" s="855"/>
      <c r="E2199" s="54"/>
      <c r="F2199" s="54"/>
      <c r="G2199" s="54"/>
      <c r="H2199" s="54"/>
      <c r="I2199" s="54"/>
      <c r="J2199" s="54"/>
      <c r="K2199" s="54"/>
      <c r="L2199" s="54"/>
      <c r="M2199" s="54"/>
      <c r="N2199" s="54"/>
      <c r="O2199" s="54"/>
      <c r="P2199" s="54"/>
      <c r="Q2199" s="54"/>
      <c r="R2199" s="54"/>
      <c r="S2199" s="54"/>
      <c r="T2199" s="54"/>
      <c r="U2199" s="54"/>
      <c r="V2199" s="54"/>
      <c r="W2199" s="54"/>
      <c r="X2199" s="54"/>
      <c r="Y2199" s="54"/>
      <c r="Z2199" s="54"/>
      <c r="AA2199" s="54"/>
      <c r="AB2199" s="54"/>
      <c r="AC2199" s="54"/>
    </row>
    <row r="2200" ht="78.0" customHeight="1">
      <c r="A2200" s="26"/>
      <c r="B2200" s="26"/>
      <c r="C2200" s="28"/>
      <c r="D2200" s="825"/>
      <c r="E2200" s="28"/>
      <c r="F2200" s="28"/>
      <c r="G2200" s="28"/>
      <c r="H2200" s="28"/>
      <c r="I2200" s="28"/>
      <c r="J2200" s="28"/>
      <c r="K2200" s="28"/>
      <c r="L2200" s="28"/>
      <c r="M2200" s="28"/>
      <c r="N2200" s="28"/>
      <c r="O2200" s="28"/>
      <c r="P2200" s="28"/>
      <c r="Q2200" s="28"/>
      <c r="R2200" s="28"/>
      <c r="S2200" s="28"/>
      <c r="T2200" s="28"/>
      <c r="U2200" s="28"/>
      <c r="V2200" s="28"/>
      <c r="W2200" s="28"/>
      <c r="X2200" s="28"/>
      <c r="Y2200" s="28"/>
      <c r="Z2200" s="28"/>
      <c r="AA2200" s="28"/>
      <c r="AB2200" s="28"/>
      <c r="AC2200" s="28"/>
    </row>
    <row r="2201" ht="78.0" customHeight="1">
      <c r="A2201" s="52"/>
      <c r="B2201" s="52"/>
      <c r="C2201" s="54"/>
      <c r="D2201" s="855"/>
      <c r="E2201" s="54"/>
      <c r="F2201" s="54"/>
      <c r="G2201" s="54"/>
      <c r="H2201" s="54"/>
      <c r="I2201" s="54"/>
      <c r="J2201" s="54"/>
      <c r="K2201" s="54"/>
      <c r="L2201" s="54"/>
      <c r="M2201" s="54"/>
      <c r="N2201" s="54"/>
      <c r="O2201" s="54"/>
      <c r="P2201" s="54"/>
      <c r="Q2201" s="54"/>
      <c r="R2201" s="54"/>
      <c r="S2201" s="54"/>
      <c r="T2201" s="54"/>
      <c r="U2201" s="54"/>
      <c r="V2201" s="54"/>
      <c r="W2201" s="54"/>
      <c r="X2201" s="54"/>
      <c r="Y2201" s="54"/>
      <c r="Z2201" s="54"/>
      <c r="AA2201" s="54"/>
      <c r="AB2201" s="54"/>
      <c r="AC2201" s="54"/>
    </row>
    <row r="2202" ht="78.0" customHeight="1">
      <c r="A2202" s="26"/>
      <c r="B2202" s="26"/>
      <c r="C2202" s="28"/>
      <c r="D2202" s="825"/>
      <c r="E2202" s="28"/>
      <c r="F2202" s="28"/>
      <c r="G2202" s="28"/>
      <c r="H2202" s="28"/>
      <c r="I2202" s="28"/>
      <c r="J2202" s="28"/>
      <c r="K2202" s="28"/>
      <c r="L2202" s="28"/>
      <c r="M2202" s="28"/>
      <c r="N2202" s="28"/>
      <c r="O2202" s="28"/>
      <c r="P2202" s="28"/>
      <c r="Q2202" s="28"/>
      <c r="R2202" s="28"/>
      <c r="S2202" s="28"/>
      <c r="T2202" s="28"/>
      <c r="U2202" s="28"/>
      <c r="V2202" s="28"/>
      <c r="W2202" s="28"/>
      <c r="X2202" s="28"/>
      <c r="Y2202" s="28"/>
      <c r="Z2202" s="28"/>
      <c r="AA2202" s="28"/>
      <c r="AB2202" s="28"/>
      <c r="AC2202" s="28"/>
    </row>
    <row r="2203" ht="78.0" customHeight="1">
      <c r="A2203" s="52"/>
      <c r="B2203" s="52"/>
      <c r="C2203" s="54"/>
      <c r="D2203" s="855"/>
      <c r="E2203" s="54"/>
      <c r="F2203" s="54"/>
      <c r="G2203" s="54"/>
      <c r="H2203" s="54"/>
      <c r="I2203" s="54"/>
      <c r="J2203" s="54"/>
      <c r="K2203" s="54"/>
      <c r="L2203" s="54"/>
      <c r="M2203" s="54"/>
      <c r="N2203" s="54"/>
      <c r="O2203" s="54"/>
      <c r="P2203" s="54"/>
      <c r="Q2203" s="54"/>
      <c r="R2203" s="54"/>
      <c r="S2203" s="54"/>
      <c r="T2203" s="54"/>
      <c r="U2203" s="54"/>
      <c r="V2203" s="54"/>
      <c r="W2203" s="54"/>
      <c r="X2203" s="54"/>
      <c r="Y2203" s="54"/>
      <c r="Z2203" s="54"/>
      <c r="AA2203" s="54"/>
      <c r="AB2203" s="54"/>
      <c r="AC2203" s="54"/>
    </row>
    <row r="2204" ht="78.0" customHeight="1">
      <c r="A2204" s="26"/>
      <c r="B2204" s="26"/>
      <c r="C2204" s="28"/>
      <c r="D2204" s="825"/>
      <c r="E2204" s="28"/>
      <c r="F2204" s="28"/>
      <c r="G2204" s="28"/>
      <c r="H2204" s="28"/>
      <c r="I2204" s="28"/>
      <c r="J2204" s="28"/>
      <c r="K2204" s="28"/>
      <c r="L2204" s="28"/>
      <c r="M2204" s="28"/>
      <c r="N2204" s="28"/>
      <c r="O2204" s="28"/>
      <c r="P2204" s="28"/>
      <c r="Q2204" s="28"/>
      <c r="R2204" s="28"/>
      <c r="S2204" s="28"/>
      <c r="T2204" s="28"/>
      <c r="U2204" s="28"/>
      <c r="V2204" s="28"/>
      <c r="W2204" s="28"/>
      <c r="X2204" s="28"/>
      <c r="Y2204" s="28"/>
      <c r="Z2204" s="28"/>
      <c r="AA2204" s="28"/>
      <c r="AB2204" s="28"/>
      <c r="AC2204" s="28"/>
    </row>
    <row r="2205" ht="78.0" customHeight="1">
      <c r="A2205" s="52"/>
      <c r="B2205" s="52"/>
      <c r="C2205" s="54"/>
      <c r="D2205" s="855"/>
      <c r="E2205" s="54"/>
      <c r="F2205" s="54"/>
      <c r="G2205" s="54"/>
      <c r="H2205" s="54"/>
      <c r="I2205" s="54"/>
      <c r="J2205" s="54"/>
      <c r="K2205" s="54"/>
      <c r="L2205" s="54"/>
      <c r="M2205" s="54"/>
      <c r="N2205" s="54"/>
      <c r="O2205" s="54"/>
      <c r="P2205" s="54"/>
      <c r="Q2205" s="54"/>
      <c r="R2205" s="54"/>
      <c r="S2205" s="54"/>
      <c r="T2205" s="54"/>
      <c r="U2205" s="54"/>
      <c r="V2205" s="54"/>
      <c r="W2205" s="54"/>
      <c r="X2205" s="54"/>
      <c r="Y2205" s="54"/>
      <c r="Z2205" s="54"/>
      <c r="AA2205" s="54"/>
      <c r="AB2205" s="54"/>
      <c r="AC2205" s="54"/>
    </row>
    <row r="2206" ht="78.0" customHeight="1">
      <c r="A2206" s="26"/>
      <c r="B2206" s="26"/>
      <c r="C2206" s="28"/>
      <c r="D2206" s="825"/>
      <c r="E2206" s="28"/>
      <c r="F2206" s="28"/>
      <c r="G2206" s="28"/>
      <c r="H2206" s="28"/>
      <c r="I2206" s="28"/>
      <c r="J2206" s="28"/>
      <c r="K2206" s="28"/>
      <c r="L2206" s="28"/>
      <c r="M2206" s="28"/>
      <c r="N2206" s="28"/>
      <c r="O2206" s="28"/>
      <c r="P2206" s="28"/>
      <c r="Q2206" s="28"/>
      <c r="R2206" s="28"/>
      <c r="S2206" s="28"/>
      <c r="T2206" s="28"/>
      <c r="U2206" s="28"/>
      <c r="V2206" s="28"/>
      <c r="W2206" s="28"/>
      <c r="X2206" s="28"/>
      <c r="Y2206" s="28"/>
      <c r="Z2206" s="28"/>
      <c r="AA2206" s="28"/>
      <c r="AB2206" s="28"/>
      <c r="AC2206" s="28"/>
    </row>
    <row r="2207" ht="78.0" customHeight="1">
      <c r="A2207" s="52"/>
      <c r="B2207" s="52"/>
      <c r="C2207" s="54"/>
      <c r="D2207" s="855"/>
      <c r="E2207" s="54"/>
      <c r="F2207" s="54"/>
      <c r="G2207" s="54"/>
      <c r="H2207" s="54"/>
      <c r="I2207" s="54"/>
      <c r="J2207" s="54"/>
      <c r="K2207" s="54"/>
      <c r="L2207" s="54"/>
      <c r="M2207" s="54"/>
      <c r="N2207" s="54"/>
      <c r="O2207" s="54"/>
      <c r="P2207" s="54"/>
      <c r="Q2207" s="54"/>
      <c r="R2207" s="54"/>
      <c r="S2207" s="54"/>
      <c r="T2207" s="54"/>
      <c r="U2207" s="54"/>
      <c r="V2207" s="54"/>
      <c r="W2207" s="54"/>
      <c r="X2207" s="54"/>
      <c r="Y2207" s="54"/>
      <c r="Z2207" s="54"/>
      <c r="AA2207" s="54"/>
      <c r="AB2207" s="54"/>
      <c r="AC2207" s="54"/>
    </row>
    <row r="2208" ht="78.0" customHeight="1">
      <c r="A2208" s="26"/>
      <c r="B2208" s="26"/>
      <c r="C2208" s="28"/>
      <c r="D2208" s="825"/>
      <c r="E2208" s="28"/>
      <c r="F2208" s="28"/>
      <c r="G2208" s="28"/>
      <c r="H2208" s="28"/>
      <c r="I2208" s="28"/>
      <c r="J2208" s="28"/>
      <c r="K2208" s="28"/>
      <c r="L2208" s="28"/>
      <c r="M2208" s="28"/>
      <c r="N2208" s="28"/>
      <c r="O2208" s="28"/>
      <c r="P2208" s="28"/>
      <c r="Q2208" s="28"/>
      <c r="R2208" s="28"/>
      <c r="S2208" s="28"/>
      <c r="T2208" s="28"/>
      <c r="U2208" s="28"/>
      <c r="V2208" s="28"/>
      <c r="W2208" s="28"/>
      <c r="X2208" s="28"/>
      <c r="Y2208" s="28"/>
      <c r="Z2208" s="28"/>
      <c r="AA2208" s="28"/>
      <c r="AB2208" s="28"/>
      <c r="AC2208" s="28"/>
    </row>
    <row r="2209" ht="78.0" customHeight="1">
      <c r="A2209" s="52"/>
      <c r="B2209" s="52"/>
      <c r="C2209" s="54"/>
      <c r="D2209" s="855"/>
      <c r="E2209" s="54"/>
      <c r="F2209" s="54"/>
      <c r="G2209" s="54"/>
      <c r="H2209" s="54"/>
      <c r="I2209" s="54"/>
      <c r="J2209" s="54"/>
      <c r="K2209" s="54"/>
      <c r="L2209" s="54"/>
      <c r="M2209" s="54"/>
      <c r="N2209" s="54"/>
      <c r="O2209" s="54"/>
      <c r="P2209" s="54"/>
      <c r="Q2209" s="54"/>
      <c r="R2209" s="54"/>
      <c r="S2209" s="54"/>
      <c r="T2209" s="54"/>
      <c r="U2209" s="54"/>
      <c r="V2209" s="54"/>
      <c r="W2209" s="54"/>
      <c r="X2209" s="54"/>
      <c r="Y2209" s="54"/>
      <c r="Z2209" s="54"/>
      <c r="AA2209" s="54"/>
      <c r="AB2209" s="54"/>
      <c r="AC2209" s="54"/>
    </row>
    <row r="2210" ht="78.0" customHeight="1">
      <c r="A2210" s="26"/>
      <c r="B2210" s="26"/>
      <c r="C2210" s="28"/>
      <c r="D2210" s="825"/>
      <c r="E2210" s="28"/>
      <c r="F2210" s="28"/>
      <c r="G2210" s="28"/>
      <c r="H2210" s="28"/>
      <c r="I2210" s="28"/>
      <c r="J2210" s="28"/>
      <c r="K2210" s="28"/>
      <c r="L2210" s="28"/>
      <c r="M2210" s="28"/>
      <c r="N2210" s="28"/>
      <c r="O2210" s="28"/>
      <c r="P2210" s="28"/>
      <c r="Q2210" s="28"/>
      <c r="R2210" s="28"/>
      <c r="S2210" s="28"/>
      <c r="T2210" s="28"/>
      <c r="U2210" s="28"/>
      <c r="V2210" s="28"/>
      <c r="W2210" s="28"/>
      <c r="X2210" s="28"/>
      <c r="Y2210" s="28"/>
      <c r="Z2210" s="28"/>
      <c r="AA2210" s="28"/>
      <c r="AB2210" s="28"/>
      <c r="AC2210" s="28"/>
    </row>
    <row r="2211" ht="78.0" customHeight="1">
      <c r="A2211" s="52"/>
      <c r="B2211" s="52"/>
      <c r="C2211" s="54"/>
      <c r="D2211" s="855"/>
      <c r="E2211" s="54"/>
      <c r="F2211" s="54"/>
      <c r="G2211" s="54"/>
      <c r="H2211" s="54"/>
      <c r="I2211" s="54"/>
      <c r="J2211" s="54"/>
      <c r="K2211" s="54"/>
      <c r="L2211" s="54"/>
      <c r="M2211" s="54"/>
      <c r="N2211" s="54"/>
      <c r="O2211" s="54"/>
      <c r="P2211" s="54"/>
      <c r="Q2211" s="54"/>
      <c r="R2211" s="54"/>
      <c r="S2211" s="54"/>
      <c r="T2211" s="54"/>
      <c r="U2211" s="54"/>
      <c r="V2211" s="54"/>
      <c r="W2211" s="54"/>
      <c r="X2211" s="54"/>
      <c r="Y2211" s="54"/>
      <c r="Z2211" s="54"/>
      <c r="AA2211" s="54"/>
      <c r="AB2211" s="54"/>
      <c r="AC2211" s="54"/>
    </row>
    <row r="2212" ht="78.0" customHeight="1">
      <c r="A2212" s="26"/>
      <c r="B2212" s="26"/>
      <c r="C2212" s="28"/>
      <c r="D2212" s="825"/>
      <c r="E2212" s="28"/>
      <c r="F2212" s="28"/>
      <c r="G2212" s="28"/>
      <c r="H2212" s="28"/>
      <c r="I2212" s="28"/>
      <c r="J2212" s="28"/>
      <c r="K2212" s="28"/>
      <c r="L2212" s="28"/>
      <c r="M2212" s="28"/>
      <c r="N2212" s="28"/>
      <c r="O2212" s="28"/>
      <c r="P2212" s="28"/>
      <c r="Q2212" s="28"/>
      <c r="R2212" s="28"/>
      <c r="S2212" s="28"/>
      <c r="T2212" s="28"/>
      <c r="U2212" s="28"/>
      <c r="V2212" s="28"/>
      <c r="W2212" s="28"/>
      <c r="X2212" s="28"/>
      <c r="Y2212" s="28"/>
      <c r="Z2212" s="28"/>
      <c r="AA2212" s="28"/>
      <c r="AB2212" s="28"/>
      <c r="AC2212" s="28"/>
    </row>
    <row r="2213" ht="78.0" customHeight="1">
      <c r="A2213" s="52"/>
      <c r="B2213" s="52"/>
      <c r="C2213" s="54"/>
      <c r="D2213" s="855"/>
      <c r="E2213" s="54"/>
      <c r="F2213" s="54"/>
      <c r="G2213" s="54"/>
      <c r="H2213" s="54"/>
      <c r="I2213" s="54"/>
      <c r="J2213" s="54"/>
      <c r="K2213" s="54"/>
      <c r="L2213" s="54"/>
      <c r="M2213" s="54"/>
      <c r="N2213" s="54"/>
      <c r="O2213" s="54"/>
      <c r="P2213" s="54"/>
      <c r="Q2213" s="54"/>
      <c r="R2213" s="54"/>
      <c r="S2213" s="54"/>
      <c r="T2213" s="54"/>
      <c r="U2213" s="54"/>
      <c r="V2213" s="54"/>
      <c r="W2213" s="54"/>
      <c r="X2213" s="54"/>
      <c r="Y2213" s="54"/>
      <c r="Z2213" s="54"/>
      <c r="AA2213" s="54"/>
      <c r="AB2213" s="54"/>
      <c r="AC2213" s="54"/>
    </row>
    <row r="2214" ht="78.0" customHeight="1">
      <c r="A2214" s="26"/>
      <c r="B2214" s="26"/>
      <c r="C2214" s="28"/>
      <c r="D2214" s="825"/>
      <c r="E2214" s="28"/>
      <c r="F2214" s="28"/>
      <c r="G2214" s="28"/>
      <c r="H2214" s="28"/>
      <c r="I2214" s="28"/>
      <c r="J2214" s="28"/>
      <c r="K2214" s="28"/>
      <c r="L2214" s="28"/>
      <c r="M2214" s="28"/>
      <c r="N2214" s="28"/>
      <c r="O2214" s="28"/>
      <c r="P2214" s="28"/>
      <c r="Q2214" s="28"/>
      <c r="R2214" s="28"/>
      <c r="S2214" s="28"/>
      <c r="T2214" s="28"/>
      <c r="U2214" s="28"/>
      <c r="V2214" s="28"/>
      <c r="W2214" s="28"/>
      <c r="X2214" s="28"/>
      <c r="Y2214" s="28"/>
      <c r="Z2214" s="28"/>
      <c r="AA2214" s="28"/>
      <c r="AB2214" s="28"/>
      <c r="AC2214" s="28"/>
    </row>
    <row r="2215" ht="78.0" customHeight="1">
      <c r="A2215" s="52"/>
      <c r="B2215" s="52"/>
      <c r="C2215" s="54"/>
      <c r="D2215" s="855"/>
      <c r="E2215" s="54"/>
      <c r="F2215" s="54"/>
      <c r="G2215" s="54"/>
      <c r="H2215" s="54"/>
      <c r="I2215" s="54"/>
      <c r="J2215" s="54"/>
      <c r="K2215" s="54"/>
      <c r="L2215" s="54"/>
      <c r="M2215" s="54"/>
      <c r="N2215" s="54"/>
      <c r="O2215" s="54"/>
      <c r="P2215" s="54"/>
      <c r="Q2215" s="54"/>
      <c r="R2215" s="54"/>
      <c r="S2215" s="54"/>
      <c r="T2215" s="54"/>
      <c r="U2215" s="54"/>
      <c r="V2215" s="54"/>
      <c r="W2215" s="54"/>
      <c r="X2215" s="54"/>
      <c r="Y2215" s="54"/>
      <c r="Z2215" s="54"/>
      <c r="AA2215" s="54"/>
      <c r="AB2215" s="54"/>
      <c r="AC2215" s="54"/>
    </row>
    <row r="2216" ht="78.0" customHeight="1">
      <c r="A2216" s="26"/>
      <c r="B2216" s="26"/>
      <c r="C2216" s="28"/>
      <c r="D2216" s="825"/>
      <c r="E2216" s="28"/>
      <c r="F2216" s="28"/>
      <c r="G2216" s="28"/>
      <c r="H2216" s="28"/>
      <c r="I2216" s="28"/>
      <c r="J2216" s="28"/>
      <c r="K2216" s="28"/>
      <c r="L2216" s="28"/>
      <c r="M2216" s="28"/>
      <c r="N2216" s="28"/>
      <c r="O2216" s="28"/>
      <c r="P2216" s="28"/>
      <c r="Q2216" s="28"/>
      <c r="R2216" s="28"/>
      <c r="S2216" s="28"/>
      <c r="T2216" s="28"/>
      <c r="U2216" s="28"/>
      <c r="V2216" s="28"/>
      <c r="W2216" s="28"/>
      <c r="X2216" s="28"/>
      <c r="Y2216" s="28"/>
      <c r="Z2216" s="28"/>
      <c r="AA2216" s="28"/>
      <c r="AB2216" s="28"/>
      <c r="AC2216" s="28"/>
    </row>
    <row r="2217" ht="78.0" customHeight="1">
      <c r="A2217" s="52"/>
      <c r="B2217" s="52"/>
      <c r="C2217" s="54"/>
      <c r="D2217" s="855"/>
      <c r="E2217" s="54"/>
      <c r="F2217" s="54"/>
      <c r="G2217" s="54"/>
      <c r="H2217" s="54"/>
      <c r="I2217" s="54"/>
      <c r="J2217" s="54"/>
      <c r="K2217" s="54"/>
      <c r="L2217" s="54"/>
      <c r="M2217" s="54"/>
      <c r="N2217" s="54"/>
      <c r="O2217" s="54"/>
      <c r="P2217" s="54"/>
      <c r="Q2217" s="54"/>
      <c r="R2217" s="54"/>
      <c r="S2217" s="54"/>
      <c r="T2217" s="54"/>
      <c r="U2217" s="54"/>
      <c r="V2217" s="54"/>
      <c r="W2217" s="54"/>
      <c r="X2217" s="54"/>
      <c r="Y2217" s="54"/>
      <c r="Z2217" s="54"/>
      <c r="AA2217" s="54"/>
      <c r="AB2217" s="54"/>
      <c r="AC2217" s="54"/>
    </row>
    <row r="2218" ht="78.0" customHeight="1">
      <c r="A2218" s="26"/>
      <c r="B2218" s="26"/>
      <c r="C2218" s="28"/>
      <c r="D2218" s="825"/>
      <c r="E2218" s="28"/>
      <c r="F2218" s="28"/>
      <c r="G2218" s="28"/>
      <c r="H2218" s="28"/>
      <c r="I2218" s="28"/>
      <c r="J2218" s="28"/>
      <c r="K2218" s="28"/>
      <c r="L2218" s="28"/>
      <c r="M2218" s="28"/>
      <c r="N2218" s="28"/>
      <c r="O2218" s="28"/>
      <c r="P2218" s="28"/>
      <c r="Q2218" s="28"/>
      <c r="R2218" s="28"/>
      <c r="S2218" s="28"/>
      <c r="T2218" s="28"/>
      <c r="U2218" s="28"/>
      <c r="V2218" s="28"/>
      <c r="W2218" s="28"/>
      <c r="X2218" s="28"/>
      <c r="Y2218" s="28"/>
      <c r="Z2218" s="28"/>
      <c r="AA2218" s="28"/>
      <c r="AB2218" s="28"/>
      <c r="AC2218" s="28"/>
    </row>
    <row r="2219" ht="78.0" customHeight="1">
      <c r="A2219" s="52"/>
      <c r="B2219" s="52"/>
      <c r="C2219" s="54"/>
      <c r="D2219" s="855"/>
      <c r="E2219" s="54"/>
      <c r="F2219" s="54"/>
      <c r="G2219" s="54"/>
      <c r="H2219" s="54"/>
      <c r="I2219" s="54"/>
      <c r="J2219" s="54"/>
      <c r="K2219" s="54"/>
      <c r="L2219" s="54"/>
      <c r="M2219" s="54"/>
      <c r="N2219" s="54"/>
      <c r="O2219" s="54"/>
      <c r="P2219" s="54"/>
      <c r="Q2219" s="54"/>
      <c r="R2219" s="54"/>
      <c r="S2219" s="54"/>
      <c r="T2219" s="54"/>
      <c r="U2219" s="54"/>
      <c r="V2219" s="54"/>
      <c r="W2219" s="54"/>
      <c r="X2219" s="54"/>
      <c r="Y2219" s="54"/>
      <c r="Z2219" s="54"/>
      <c r="AA2219" s="54"/>
      <c r="AB2219" s="54"/>
      <c r="AC2219" s="54"/>
    </row>
    <row r="2220" ht="78.0" customHeight="1">
      <c r="A2220" s="26"/>
      <c r="B2220" s="26"/>
      <c r="C2220" s="28"/>
      <c r="D2220" s="825"/>
      <c r="E2220" s="28"/>
      <c r="F2220" s="28"/>
      <c r="G2220" s="28"/>
      <c r="H2220" s="28"/>
      <c r="I2220" s="28"/>
      <c r="J2220" s="28"/>
      <c r="K2220" s="28"/>
      <c r="L2220" s="28"/>
      <c r="M2220" s="28"/>
      <c r="N2220" s="28"/>
      <c r="O2220" s="28"/>
      <c r="P2220" s="28"/>
      <c r="Q2220" s="28"/>
      <c r="R2220" s="28"/>
      <c r="S2220" s="28"/>
      <c r="T2220" s="28"/>
      <c r="U2220" s="28"/>
      <c r="V2220" s="28"/>
      <c r="W2220" s="28"/>
      <c r="X2220" s="28"/>
      <c r="Y2220" s="28"/>
      <c r="Z2220" s="28"/>
      <c r="AA2220" s="28"/>
      <c r="AB2220" s="28"/>
      <c r="AC2220" s="28"/>
    </row>
    <row r="2221" ht="78.0" customHeight="1">
      <c r="A2221" s="52"/>
      <c r="B2221" s="52"/>
      <c r="C2221" s="54"/>
      <c r="D2221" s="855"/>
      <c r="E2221" s="54"/>
      <c r="F2221" s="54"/>
      <c r="G2221" s="54"/>
      <c r="H2221" s="54"/>
      <c r="I2221" s="54"/>
      <c r="J2221" s="54"/>
      <c r="K2221" s="54"/>
      <c r="L2221" s="54"/>
      <c r="M2221" s="54"/>
      <c r="N2221" s="54"/>
      <c r="O2221" s="54"/>
      <c r="P2221" s="54"/>
      <c r="Q2221" s="54"/>
      <c r="R2221" s="54"/>
      <c r="S2221" s="54"/>
      <c r="T2221" s="54"/>
      <c r="U2221" s="54"/>
      <c r="V2221" s="54"/>
      <c r="W2221" s="54"/>
      <c r="X2221" s="54"/>
      <c r="Y2221" s="54"/>
      <c r="Z2221" s="54"/>
      <c r="AA2221" s="54"/>
      <c r="AB2221" s="54"/>
      <c r="AC2221" s="54"/>
    </row>
    <row r="2222" ht="78.0" customHeight="1">
      <c r="A2222" s="26"/>
      <c r="B2222" s="26"/>
      <c r="C2222" s="28"/>
      <c r="D2222" s="825"/>
      <c r="E2222" s="28"/>
      <c r="F2222" s="28"/>
      <c r="G2222" s="28"/>
      <c r="H2222" s="28"/>
      <c r="I2222" s="28"/>
      <c r="J2222" s="28"/>
      <c r="K2222" s="28"/>
      <c r="L2222" s="28"/>
      <c r="M2222" s="28"/>
      <c r="N2222" s="28"/>
      <c r="O2222" s="28"/>
      <c r="P2222" s="28"/>
      <c r="Q2222" s="28"/>
      <c r="R2222" s="28"/>
      <c r="S2222" s="28"/>
      <c r="T2222" s="28"/>
      <c r="U2222" s="28"/>
      <c r="V2222" s="28"/>
      <c r="W2222" s="28"/>
      <c r="X2222" s="28"/>
      <c r="Y2222" s="28"/>
      <c r="Z2222" s="28"/>
      <c r="AA2222" s="28"/>
      <c r="AB2222" s="28"/>
      <c r="AC2222" s="28"/>
    </row>
    <row r="2223" ht="78.0" customHeight="1">
      <c r="A2223" s="52"/>
      <c r="B2223" s="52"/>
      <c r="C2223" s="54"/>
      <c r="D2223" s="855"/>
      <c r="E2223" s="54"/>
      <c r="F2223" s="54"/>
      <c r="G2223" s="54"/>
      <c r="H2223" s="54"/>
      <c r="I2223" s="54"/>
      <c r="J2223" s="54"/>
      <c r="K2223" s="54"/>
      <c r="L2223" s="54"/>
      <c r="M2223" s="54"/>
      <c r="N2223" s="54"/>
      <c r="O2223" s="54"/>
      <c r="P2223" s="54"/>
      <c r="Q2223" s="54"/>
      <c r="R2223" s="54"/>
      <c r="S2223" s="54"/>
      <c r="T2223" s="54"/>
      <c r="U2223" s="54"/>
      <c r="V2223" s="54"/>
      <c r="W2223" s="54"/>
      <c r="X2223" s="54"/>
      <c r="Y2223" s="54"/>
      <c r="Z2223" s="54"/>
      <c r="AA2223" s="54"/>
      <c r="AB2223" s="54"/>
      <c r="AC2223" s="54"/>
    </row>
    <row r="2224" ht="78.0" customHeight="1">
      <c r="A2224" s="26"/>
      <c r="B2224" s="26"/>
      <c r="C2224" s="28"/>
      <c r="D2224" s="825"/>
      <c r="E2224" s="28"/>
      <c r="F2224" s="28"/>
      <c r="G2224" s="28"/>
      <c r="H2224" s="28"/>
      <c r="I2224" s="28"/>
      <c r="J2224" s="28"/>
      <c r="K2224" s="28"/>
      <c r="L2224" s="28"/>
      <c r="M2224" s="28"/>
      <c r="N2224" s="28"/>
      <c r="O2224" s="28"/>
      <c r="P2224" s="28"/>
      <c r="Q2224" s="28"/>
      <c r="R2224" s="28"/>
      <c r="S2224" s="28"/>
      <c r="T2224" s="28"/>
      <c r="U2224" s="28"/>
      <c r="V2224" s="28"/>
      <c r="W2224" s="28"/>
      <c r="X2224" s="28"/>
      <c r="Y2224" s="28"/>
      <c r="Z2224" s="28"/>
      <c r="AA2224" s="28"/>
      <c r="AB2224" s="28"/>
      <c r="AC2224" s="28"/>
    </row>
    <row r="2225" ht="78.0" customHeight="1">
      <c r="A2225" s="52"/>
      <c r="B2225" s="52"/>
      <c r="C2225" s="54"/>
      <c r="D2225" s="855"/>
      <c r="E2225" s="54"/>
      <c r="F2225" s="54"/>
      <c r="G2225" s="54"/>
      <c r="H2225" s="54"/>
      <c r="I2225" s="54"/>
      <c r="J2225" s="54"/>
      <c r="K2225" s="54"/>
      <c r="L2225" s="54"/>
      <c r="M2225" s="54"/>
      <c r="N2225" s="54"/>
      <c r="O2225" s="54"/>
      <c r="P2225" s="54"/>
      <c r="Q2225" s="54"/>
      <c r="R2225" s="54"/>
      <c r="S2225" s="54"/>
      <c r="T2225" s="54"/>
      <c r="U2225" s="54"/>
      <c r="V2225" s="54"/>
      <c r="W2225" s="54"/>
      <c r="X2225" s="54"/>
      <c r="Y2225" s="54"/>
      <c r="Z2225" s="54"/>
      <c r="AA2225" s="54"/>
      <c r="AB2225" s="54"/>
      <c r="AC2225" s="54"/>
    </row>
    <row r="2226" ht="78.0" customHeight="1">
      <c r="A2226" s="26"/>
      <c r="B2226" s="26"/>
      <c r="C2226" s="28"/>
      <c r="D2226" s="825"/>
      <c r="E2226" s="28"/>
      <c r="F2226" s="28"/>
      <c r="G2226" s="28"/>
      <c r="H2226" s="28"/>
      <c r="I2226" s="28"/>
      <c r="J2226" s="28"/>
      <c r="K2226" s="28"/>
      <c r="L2226" s="28"/>
      <c r="M2226" s="28"/>
      <c r="N2226" s="28"/>
      <c r="O2226" s="28"/>
      <c r="P2226" s="28"/>
      <c r="Q2226" s="28"/>
      <c r="R2226" s="28"/>
      <c r="S2226" s="28"/>
      <c r="T2226" s="28"/>
      <c r="U2226" s="28"/>
      <c r="V2226" s="28"/>
      <c r="W2226" s="28"/>
      <c r="X2226" s="28"/>
      <c r="Y2226" s="28"/>
      <c r="Z2226" s="28"/>
      <c r="AA2226" s="28"/>
      <c r="AB2226" s="28"/>
      <c r="AC2226" s="28"/>
    </row>
    <row r="2227" ht="78.0" customHeight="1">
      <c r="A2227" s="52"/>
      <c r="B2227" s="52"/>
      <c r="C2227" s="54"/>
      <c r="D2227" s="855"/>
      <c r="E2227" s="54"/>
      <c r="F2227" s="54"/>
      <c r="G2227" s="54"/>
      <c r="H2227" s="54"/>
      <c r="I2227" s="54"/>
      <c r="J2227" s="54"/>
      <c r="K2227" s="54"/>
      <c r="L2227" s="54"/>
      <c r="M2227" s="54"/>
      <c r="N2227" s="54"/>
      <c r="O2227" s="54"/>
      <c r="P2227" s="54"/>
      <c r="Q2227" s="54"/>
      <c r="R2227" s="54"/>
      <c r="S2227" s="54"/>
      <c r="T2227" s="54"/>
      <c r="U2227" s="54"/>
      <c r="V2227" s="54"/>
      <c r="W2227" s="54"/>
      <c r="X2227" s="54"/>
      <c r="Y2227" s="54"/>
      <c r="Z2227" s="54"/>
      <c r="AA2227" s="54"/>
      <c r="AB2227" s="54"/>
      <c r="AC2227" s="54"/>
    </row>
    <row r="2228" ht="78.0" customHeight="1">
      <c r="A2228" s="26"/>
      <c r="B2228" s="26"/>
      <c r="C2228" s="28"/>
      <c r="D2228" s="825"/>
      <c r="E2228" s="28"/>
      <c r="F2228" s="28"/>
      <c r="G2228" s="28"/>
      <c r="H2228" s="28"/>
      <c r="I2228" s="28"/>
      <c r="J2228" s="28"/>
      <c r="K2228" s="28"/>
      <c r="L2228" s="28"/>
      <c r="M2228" s="28"/>
      <c r="N2228" s="28"/>
      <c r="O2228" s="28"/>
      <c r="P2228" s="28"/>
      <c r="Q2228" s="28"/>
      <c r="R2228" s="28"/>
      <c r="S2228" s="28"/>
      <c r="T2228" s="28"/>
      <c r="U2228" s="28"/>
      <c r="V2228" s="28"/>
      <c r="W2228" s="28"/>
      <c r="X2228" s="28"/>
      <c r="Y2228" s="28"/>
      <c r="Z2228" s="28"/>
      <c r="AA2228" s="28"/>
      <c r="AB2228" s="28"/>
      <c r="AC2228" s="28"/>
    </row>
    <row r="2229" ht="78.0" customHeight="1">
      <c r="A2229" s="52"/>
      <c r="B2229" s="52"/>
      <c r="C2229" s="54"/>
      <c r="D2229" s="855"/>
      <c r="E2229" s="54"/>
      <c r="F2229" s="54"/>
      <c r="G2229" s="54"/>
      <c r="H2229" s="54"/>
      <c r="I2229" s="54"/>
      <c r="J2229" s="54"/>
      <c r="K2229" s="54"/>
      <c r="L2229" s="54"/>
      <c r="M2229" s="54"/>
      <c r="N2229" s="54"/>
      <c r="O2229" s="54"/>
      <c r="P2229" s="54"/>
      <c r="Q2229" s="54"/>
      <c r="R2229" s="54"/>
      <c r="S2229" s="54"/>
      <c r="T2229" s="54"/>
      <c r="U2229" s="54"/>
      <c r="V2229" s="54"/>
      <c r="W2229" s="54"/>
      <c r="X2229" s="54"/>
      <c r="Y2229" s="54"/>
      <c r="Z2229" s="54"/>
      <c r="AA2229" s="54"/>
      <c r="AB2229" s="54"/>
      <c r="AC2229" s="54"/>
    </row>
    <row r="2230" ht="78.0" customHeight="1">
      <c r="A2230" s="26"/>
      <c r="B2230" s="26"/>
      <c r="C2230" s="28"/>
      <c r="D2230" s="825"/>
      <c r="E2230" s="28"/>
      <c r="F2230" s="28"/>
      <c r="G2230" s="28"/>
      <c r="H2230" s="28"/>
      <c r="I2230" s="28"/>
      <c r="J2230" s="28"/>
      <c r="K2230" s="28"/>
      <c r="L2230" s="28"/>
      <c r="M2230" s="28"/>
      <c r="N2230" s="28"/>
      <c r="O2230" s="28"/>
      <c r="P2230" s="28"/>
      <c r="Q2230" s="28"/>
      <c r="R2230" s="28"/>
      <c r="S2230" s="28"/>
      <c r="T2230" s="28"/>
      <c r="U2230" s="28"/>
      <c r="V2230" s="28"/>
      <c r="W2230" s="28"/>
      <c r="X2230" s="28"/>
      <c r="Y2230" s="28"/>
      <c r="Z2230" s="28"/>
      <c r="AA2230" s="28"/>
      <c r="AB2230" s="28"/>
      <c r="AC2230" s="28"/>
    </row>
    <row r="2231" ht="78.0" customHeight="1">
      <c r="A2231" s="52"/>
      <c r="B2231" s="52"/>
      <c r="C2231" s="54"/>
      <c r="D2231" s="855"/>
      <c r="E2231" s="54"/>
      <c r="F2231" s="54"/>
      <c r="G2231" s="54"/>
      <c r="H2231" s="54"/>
      <c r="I2231" s="54"/>
      <c r="J2231" s="54"/>
      <c r="K2231" s="54"/>
      <c r="L2231" s="54"/>
      <c r="M2231" s="54"/>
      <c r="N2231" s="54"/>
      <c r="O2231" s="54"/>
      <c r="P2231" s="54"/>
      <c r="Q2231" s="54"/>
      <c r="R2231" s="54"/>
      <c r="S2231" s="54"/>
      <c r="T2231" s="54"/>
      <c r="U2231" s="54"/>
      <c r="V2231" s="54"/>
      <c r="W2231" s="54"/>
      <c r="X2231" s="54"/>
      <c r="Y2231" s="54"/>
      <c r="Z2231" s="54"/>
      <c r="AA2231" s="54"/>
      <c r="AB2231" s="54"/>
      <c r="AC2231" s="54"/>
    </row>
    <row r="2232" ht="78.0" customHeight="1">
      <c r="A2232" s="26"/>
      <c r="B2232" s="26"/>
      <c r="C2232" s="28"/>
      <c r="D2232" s="825"/>
      <c r="E2232" s="28"/>
      <c r="F2232" s="28"/>
      <c r="G2232" s="28"/>
      <c r="H2232" s="28"/>
      <c r="I2232" s="28"/>
      <c r="J2232" s="28"/>
      <c r="K2232" s="28"/>
      <c r="L2232" s="28"/>
      <c r="M2232" s="28"/>
      <c r="N2232" s="28"/>
      <c r="O2232" s="28"/>
      <c r="P2232" s="28"/>
      <c r="Q2232" s="28"/>
      <c r="R2232" s="28"/>
      <c r="S2232" s="28"/>
      <c r="T2232" s="28"/>
      <c r="U2232" s="28"/>
      <c r="V2232" s="28"/>
      <c r="W2232" s="28"/>
      <c r="X2232" s="28"/>
      <c r="Y2232" s="28"/>
      <c r="Z2232" s="28"/>
      <c r="AA2232" s="28"/>
      <c r="AB2232" s="28"/>
      <c r="AC2232" s="28"/>
    </row>
    <row r="2233" ht="78.0" customHeight="1">
      <c r="A2233" s="52"/>
      <c r="B2233" s="52"/>
      <c r="C2233" s="54"/>
      <c r="D2233" s="855"/>
      <c r="E2233" s="54"/>
      <c r="F2233" s="54"/>
      <c r="G2233" s="54"/>
      <c r="H2233" s="54"/>
      <c r="I2233" s="54"/>
      <c r="J2233" s="54"/>
      <c r="K2233" s="54"/>
      <c r="L2233" s="54"/>
      <c r="M2233" s="54"/>
      <c r="N2233" s="54"/>
      <c r="O2233" s="54"/>
      <c r="P2233" s="54"/>
      <c r="Q2233" s="54"/>
      <c r="R2233" s="54"/>
      <c r="S2233" s="54"/>
      <c r="T2233" s="54"/>
      <c r="U2233" s="54"/>
      <c r="V2233" s="54"/>
      <c r="W2233" s="54"/>
      <c r="X2233" s="54"/>
      <c r="Y2233" s="54"/>
      <c r="Z2233" s="54"/>
      <c r="AA2233" s="54"/>
      <c r="AB2233" s="54"/>
      <c r="AC2233" s="54"/>
    </row>
    <row r="2234" ht="78.0" customHeight="1">
      <c r="A2234" s="26"/>
      <c r="B2234" s="26"/>
      <c r="C2234" s="28"/>
      <c r="D2234" s="825"/>
      <c r="E2234" s="28"/>
      <c r="F2234" s="28"/>
      <c r="G2234" s="28"/>
      <c r="H2234" s="28"/>
      <c r="I2234" s="28"/>
      <c r="J2234" s="28"/>
      <c r="K2234" s="28"/>
      <c r="L2234" s="28"/>
      <c r="M2234" s="28"/>
      <c r="N2234" s="28"/>
      <c r="O2234" s="28"/>
      <c r="P2234" s="28"/>
      <c r="Q2234" s="28"/>
      <c r="R2234" s="28"/>
      <c r="S2234" s="28"/>
      <c r="T2234" s="28"/>
      <c r="U2234" s="28"/>
      <c r="V2234" s="28"/>
      <c r="W2234" s="28"/>
      <c r="X2234" s="28"/>
      <c r="Y2234" s="28"/>
      <c r="Z2234" s="28"/>
      <c r="AA2234" s="28"/>
      <c r="AB2234" s="28"/>
      <c r="AC2234" s="28"/>
    </row>
    <row r="2235" ht="78.0" customHeight="1">
      <c r="A2235" s="52"/>
      <c r="B2235" s="52"/>
      <c r="C2235" s="54"/>
      <c r="D2235" s="855"/>
      <c r="E2235" s="54"/>
      <c r="F2235" s="54"/>
      <c r="G2235" s="54"/>
      <c r="H2235" s="54"/>
      <c r="I2235" s="54"/>
      <c r="J2235" s="54"/>
      <c r="K2235" s="54"/>
      <c r="L2235" s="54"/>
      <c r="M2235" s="54"/>
      <c r="N2235" s="54"/>
      <c r="O2235" s="54"/>
      <c r="P2235" s="54"/>
      <c r="Q2235" s="54"/>
      <c r="R2235" s="54"/>
      <c r="S2235" s="54"/>
      <c r="T2235" s="54"/>
      <c r="U2235" s="54"/>
      <c r="V2235" s="54"/>
      <c r="W2235" s="54"/>
      <c r="X2235" s="54"/>
      <c r="Y2235" s="54"/>
      <c r="Z2235" s="54"/>
      <c r="AA2235" s="54"/>
      <c r="AB2235" s="54"/>
      <c r="AC2235" s="54"/>
    </row>
    <row r="2236" ht="78.0" customHeight="1">
      <c r="A2236" s="26"/>
      <c r="B2236" s="26"/>
      <c r="C2236" s="28"/>
      <c r="D2236" s="825"/>
      <c r="E2236" s="28"/>
      <c r="F2236" s="28"/>
      <c r="G2236" s="28"/>
      <c r="H2236" s="28"/>
      <c r="I2236" s="28"/>
      <c r="J2236" s="28"/>
      <c r="K2236" s="28"/>
      <c r="L2236" s="28"/>
      <c r="M2236" s="28"/>
      <c r="N2236" s="28"/>
      <c r="O2236" s="28"/>
      <c r="P2236" s="28"/>
      <c r="Q2236" s="28"/>
      <c r="R2236" s="28"/>
      <c r="S2236" s="28"/>
      <c r="T2236" s="28"/>
      <c r="U2236" s="28"/>
      <c r="V2236" s="28"/>
      <c r="W2236" s="28"/>
      <c r="X2236" s="28"/>
      <c r="Y2236" s="28"/>
      <c r="Z2236" s="28"/>
      <c r="AA2236" s="28"/>
      <c r="AB2236" s="28"/>
      <c r="AC2236" s="28"/>
    </row>
    <row r="2237" ht="78.0" customHeight="1">
      <c r="A2237" s="52"/>
      <c r="B2237" s="52"/>
      <c r="C2237" s="54"/>
      <c r="D2237" s="855"/>
      <c r="E2237" s="54"/>
      <c r="F2237" s="54"/>
      <c r="G2237" s="54"/>
      <c r="H2237" s="54"/>
      <c r="I2237" s="54"/>
      <c r="J2237" s="54"/>
      <c r="K2237" s="54"/>
      <c r="L2237" s="54"/>
      <c r="M2237" s="54"/>
      <c r="N2237" s="54"/>
      <c r="O2237" s="54"/>
      <c r="P2237" s="54"/>
      <c r="Q2237" s="54"/>
      <c r="R2237" s="54"/>
      <c r="S2237" s="54"/>
      <c r="T2237" s="54"/>
      <c r="U2237" s="54"/>
      <c r="V2237" s="54"/>
      <c r="W2237" s="54"/>
      <c r="X2237" s="54"/>
      <c r="Y2237" s="54"/>
      <c r="Z2237" s="54"/>
      <c r="AA2237" s="54"/>
      <c r="AB2237" s="54"/>
      <c r="AC2237" s="54"/>
    </row>
    <row r="2238" ht="78.0" customHeight="1">
      <c r="A2238" s="26"/>
      <c r="B2238" s="26"/>
      <c r="C2238" s="28"/>
      <c r="D2238" s="825"/>
      <c r="E2238" s="28"/>
      <c r="F2238" s="28"/>
      <c r="G2238" s="28"/>
      <c r="H2238" s="28"/>
      <c r="I2238" s="28"/>
      <c r="J2238" s="28"/>
      <c r="K2238" s="28"/>
      <c r="L2238" s="28"/>
      <c r="M2238" s="28"/>
      <c r="N2238" s="28"/>
      <c r="O2238" s="28"/>
      <c r="P2238" s="28"/>
      <c r="Q2238" s="28"/>
      <c r="R2238" s="28"/>
      <c r="S2238" s="28"/>
      <c r="T2238" s="28"/>
      <c r="U2238" s="28"/>
      <c r="V2238" s="28"/>
      <c r="W2238" s="28"/>
      <c r="X2238" s="28"/>
      <c r="Y2238" s="28"/>
      <c r="Z2238" s="28"/>
      <c r="AA2238" s="28"/>
      <c r="AB2238" s="28"/>
      <c r="AC2238" s="28"/>
    </row>
    <row r="2239" ht="78.0" customHeight="1">
      <c r="A2239" s="52"/>
      <c r="B2239" s="52"/>
      <c r="C2239" s="54"/>
      <c r="D2239" s="855"/>
      <c r="E2239" s="54"/>
      <c r="F2239" s="54"/>
      <c r="G2239" s="54"/>
      <c r="H2239" s="54"/>
      <c r="I2239" s="54"/>
      <c r="J2239" s="54"/>
      <c r="K2239" s="54"/>
      <c r="L2239" s="54"/>
      <c r="M2239" s="54"/>
      <c r="N2239" s="54"/>
      <c r="O2239" s="54"/>
      <c r="P2239" s="54"/>
      <c r="Q2239" s="54"/>
      <c r="R2239" s="54"/>
      <c r="S2239" s="54"/>
      <c r="T2239" s="54"/>
      <c r="U2239" s="54"/>
      <c r="V2239" s="54"/>
      <c r="W2239" s="54"/>
      <c r="X2239" s="54"/>
      <c r="Y2239" s="54"/>
      <c r="Z2239" s="54"/>
      <c r="AA2239" s="54"/>
      <c r="AB2239" s="54"/>
      <c r="AC2239" s="54"/>
    </row>
    <row r="2240" ht="78.0" customHeight="1">
      <c r="A2240" s="26"/>
      <c r="B2240" s="26"/>
      <c r="C2240" s="28"/>
      <c r="D2240" s="825"/>
      <c r="E2240" s="28"/>
      <c r="F2240" s="28"/>
      <c r="G2240" s="28"/>
      <c r="H2240" s="28"/>
      <c r="I2240" s="28"/>
      <c r="J2240" s="28"/>
      <c r="K2240" s="28"/>
      <c r="L2240" s="28"/>
      <c r="M2240" s="28"/>
      <c r="N2240" s="28"/>
      <c r="O2240" s="28"/>
      <c r="P2240" s="28"/>
      <c r="Q2240" s="28"/>
      <c r="R2240" s="28"/>
      <c r="S2240" s="28"/>
      <c r="T2240" s="28"/>
      <c r="U2240" s="28"/>
      <c r="V2240" s="28"/>
      <c r="W2240" s="28"/>
      <c r="X2240" s="28"/>
      <c r="Y2240" s="28"/>
      <c r="Z2240" s="28"/>
      <c r="AA2240" s="28"/>
      <c r="AB2240" s="28"/>
      <c r="AC2240" s="28"/>
    </row>
    <row r="2241" ht="78.0" customHeight="1">
      <c r="A2241" s="52"/>
      <c r="B2241" s="52"/>
      <c r="C2241" s="54"/>
      <c r="D2241" s="855"/>
      <c r="E2241" s="54"/>
      <c r="F2241" s="54"/>
      <c r="G2241" s="54"/>
      <c r="H2241" s="54"/>
      <c r="I2241" s="54"/>
      <c r="J2241" s="54"/>
      <c r="K2241" s="54"/>
      <c r="L2241" s="54"/>
      <c r="M2241" s="54"/>
      <c r="N2241" s="54"/>
      <c r="O2241" s="54"/>
      <c r="P2241" s="54"/>
      <c r="Q2241" s="54"/>
      <c r="R2241" s="54"/>
      <c r="S2241" s="54"/>
      <c r="T2241" s="54"/>
      <c r="U2241" s="54"/>
      <c r="V2241" s="54"/>
      <c r="W2241" s="54"/>
      <c r="X2241" s="54"/>
      <c r="Y2241" s="54"/>
      <c r="Z2241" s="54"/>
      <c r="AA2241" s="54"/>
      <c r="AB2241" s="54"/>
      <c r="AC2241" s="54"/>
    </row>
    <row r="2242" ht="78.0" customHeight="1">
      <c r="A2242" s="26"/>
      <c r="B2242" s="26"/>
      <c r="C2242" s="28"/>
      <c r="D2242" s="825"/>
      <c r="E2242" s="28"/>
      <c r="F2242" s="28"/>
      <c r="G2242" s="28"/>
      <c r="H2242" s="28"/>
      <c r="I2242" s="28"/>
      <c r="J2242" s="28"/>
      <c r="K2242" s="28"/>
      <c r="L2242" s="28"/>
      <c r="M2242" s="28"/>
      <c r="N2242" s="28"/>
      <c r="O2242" s="28"/>
      <c r="P2242" s="28"/>
      <c r="Q2242" s="28"/>
      <c r="R2242" s="28"/>
      <c r="S2242" s="28"/>
      <c r="T2242" s="28"/>
      <c r="U2242" s="28"/>
      <c r="V2242" s="28"/>
      <c r="W2242" s="28"/>
      <c r="X2242" s="28"/>
      <c r="Y2242" s="28"/>
      <c r="Z2242" s="28"/>
      <c r="AA2242" s="28"/>
      <c r="AB2242" s="28"/>
      <c r="AC2242" s="28"/>
    </row>
    <row r="2243" ht="78.0" customHeight="1">
      <c r="A2243" s="52"/>
      <c r="B2243" s="52"/>
      <c r="C2243" s="54"/>
      <c r="D2243" s="855"/>
      <c r="E2243" s="54"/>
      <c r="F2243" s="54"/>
      <c r="G2243" s="54"/>
      <c r="H2243" s="54"/>
      <c r="I2243" s="54"/>
      <c r="J2243" s="54"/>
      <c r="K2243" s="54"/>
      <c r="L2243" s="54"/>
      <c r="M2243" s="54"/>
      <c r="N2243" s="54"/>
      <c r="O2243" s="54"/>
      <c r="P2243" s="54"/>
      <c r="Q2243" s="54"/>
      <c r="R2243" s="54"/>
      <c r="S2243" s="54"/>
      <c r="T2243" s="54"/>
      <c r="U2243" s="54"/>
      <c r="V2243" s="54"/>
      <c r="W2243" s="54"/>
      <c r="X2243" s="54"/>
      <c r="Y2243" s="54"/>
      <c r="Z2243" s="54"/>
      <c r="AA2243" s="54"/>
      <c r="AB2243" s="54"/>
      <c r="AC2243" s="54"/>
    </row>
    <row r="2244" ht="78.0" customHeight="1">
      <c r="A2244" s="26"/>
      <c r="B2244" s="26"/>
      <c r="C2244" s="28"/>
      <c r="D2244" s="825"/>
      <c r="E2244" s="28"/>
      <c r="F2244" s="28"/>
      <c r="G2244" s="28"/>
      <c r="H2244" s="28"/>
      <c r="I2244" s="28"/>
      <c r="J2244" s="28"/>
      <c r="K2244" s="28"/>
      <c r="L2244" s="28"/>
      <c r="M2244" s="28"/>
      <c r="N2244" s="28"/>
      <c r="O2244" s="28"/>
      <c r="P2244" s="28"/>
      <c r="Q2244" s="28"/>
      <c r="R2244" s="28"/>
      <c r="S2244" s="28"/>
      <c r="T2244" s="28"/>
      <c r="U2244" s="28"/>
      <c r="V2244" s="28"/>
      <c r="W2244" s="28"/>
      <c r="X2244" s="28"/>
      <c r="Y2244" s="28"/>
      <c r="Z2244" s="28"/>
      <c r="AA2244" s="28"/>
      <c r="AB2244" s="28"/>
      <c r="AC2244" s="28"/>
    </row>
    <row r="2245" ht="78.0" customHeight="1">
      <c r="A2245" s="52"/>
      <c r="B2245" s="52"/>
      <c r="C2245" s="54"/>
      <c r="D2245" s="855"/>
      <c r="E2245" s="54"/>
      <c r="F2245" s="54"/>
      <c r="G2245" s="54"/>
      <c r="H2245" s="54"/>
      <c r="I2245" s="54"/>
      <c r="J2245" s="54"/>
      <c r="K2245" s="54"/>
      <c r="L2245" s="54"/>
      <c r="M2245" s="54"/>
      <c r="N2245" s="54"/>
      <c r="O2245" s="54"/>
      <c r="P2245" s="54"/>
      <c r="Q2245" s="54"/>
      <c r="R2245" s="54"/>
      <c r="S2245" s="54"/>
      <c r="T2245" s="54"/>
      <c r="U2245" s="54"/>
      <c r="V2245" s="54"/>
      <c r="W2245" s="54"/>
      <c r="X2245" s="54"/>
      <c r="Y2245" s="54"/>
      <c r="Z2245" s="54"/>
      <c r="AA2245" s="54"/>
      <c r="AB2245" s="54"/>
      <c r="AC2245" s="54"/>
    </row>
    <row r="2246" ht="78.0" customHeight="1">
      <c r="A2246" s="26"/>
      <c r="B2246" s="26"/>
      <c r="C2246" s="28"/>
      <c r="D2246" s="825"/>
      <c r="E2246" s="28"/>
      <c r="F2246" s="28"/>
      <c r="G2246" s="28"/>
      <c r="H2246" s="28"/>
      <c r="I2246" s="28"/>
      <c r="J2246" s="28"/>
      <c r="K2246" s="28"/>
      <c r="L2246" s="28"/>
      <c r="M2246" s="28"/>
      <c r="N2246" s="28"/>
      <c r="O2246" s="28"/>
      <c r="P2246" s="28"/>
      <c r="Q2246" s="28"/>
      <c r="R2246" s="28"/>
      <c r="S2246" s="28"/>
      <c r="T2246" s="28"/>
      <c r="U2246" s="28"/>
      <c r="V2246" s="28"/>
      <c r="W2246" s="28"/>
      <c r="X2246" s="28"/>
      <c r="Y2246" s="28"/>
      <c r="Z2246" s="28"/>
      <c r="AA2246" s="28"/>
      <c r="AB2246" s="28"/>
      <c r="AC2246" s="28"/>
    </row>
    <row r="2247" ht="78.0" customHeight="1">
      <c r="A2247" s="52"/>
      <c r="B2247" s="52"/>
      <c r="C2247" s="54"/>
      <c r="D2247" s="855"/>
      <c r="E2247" s="54"/>
      <c r="F2247" s="54"/>
      <c r="G2247" s="54"/>
      <c r="H2247" s="54"/>
      <c r="I2247" s="54"/>
      <c r="J2247" s="54"/>
      <c r="K2247" s="54"/>
      <c r="L2247" s="54"/>
      <c r="M2247" s="54"/>
      <c r="N2247" s="54"/>
      <c r="O2247" s="54"/>
      <c r="P2247" s="54"/>
      <c r="Q2247" s="54"/>
      <c r="R2247" s="54"/>
      <c r="S2247" s="54"/>
      <c r="T2247" s="54"/>
      <c r="U2247" s="54"/>
      <c r="V2247" s="54"/>
      <c r="W2247" s="54"/>
      <c r="X2247" s="54"/>
      <c r="Y2247" s="54"/>
      <c r="Z2247" s="54"/>
      <c r="AA2247" s="54"/>
      <c r="AB2247" s="54"/>
      <c r="AC2247" s="54"/>
    </row>
    <row r="2248" ht="78.0" customHeight="1">
      <c r="A2248" s="26"/>
      <c r="B2248" s="26"/>
      <c r="C2248" s="28"/>
      <c r="D2248" s="825"/>
      <c r="E2248" s="28"/>
      <c r="F2248" s="28"/>
      <c r="G2248" s="28"/>
      <c r="H2248" s="28"/>
      <c r="I2248" s="28"/>
      <c r="J2248" s="28"/>
      <c r="K2248" s="28"/>
      <c r="L2248" s="28"/>
      <c r="M2248" s="28"/>
      <c r="N2248" s="28"/>
      <c r="O2248" s="28"/>
      <c r="P2248" s="28"/>
      <c r="Q2248" s="28"/>
      <c r="R2248" s="28"/>
      <c r="S2248" s="28"/>
      <c r="T2248" s="28"/>
      <c r="U2248" s="28"/>
      <c r="V2248" s="28"/>
      <c r="W2248" s="28"/>
      <c r="X2248" s="28"/>
      <c r="Y2248" s="28"/>
      <c r="Z2248" s="28"/>
      <c r="AA2248" s="28"/>
      <c r="AB2248" s="28"/>
      <c r="AC2248" s="28"/>
    </row>
    <row r="2249" ht="78.0" customHeight="1">
      <c r="A2249" s="52"/>
      <c r="B2249" s="52"/>
      <c r="C2249" s="54"/>
      <c r="D2249" s="855"/>
      <c r="E2249" s="54"/>
      <c r="F2249" s="54"/>
      <c r="G2249" s="54"/>
      <c r="H2249" s="54"/>
      <c r="I2249" s="54"/>
      <c r="J2249" s="54"/>
      <c r="K2249" s="54"/>
      <c r="L2249" s="54"/>
      <c r="M2249" s="54"/>
      <c r="N2249" s="54"/>
      <c r="O2249" s="54"/>
      <c r="P2249" s="54"/>
      <c r="Q2249" s="54"/>
      <c r="R2249" s="54"/>
      <c r="S2249" s="54"/>
      <c r="T2249" s="54"/>
      <c r="U2249" s="54"/>
      <c r="V2249" s="54"/>
      <c r="W2249" s="54"/>
      <c r="X2249" s="54"/>
      <c r="Y2249" s="54"/>
      <c r="Z2249" s="54"/>
      <c r="AA2249" s="54"/>
      <c r="AB2249" s="54"/>
      <c r="AC2249" s="54"/>
    </row>
    <row r="2250" ht="78.0" customHeight="1">
      <c r="A2250" s="26"/>
      <c r="B2250" s="26"/>
      <c r="C2250" s="28"/>
      <c r="D2250" s="825"/>
      <c r="E2250" s="28"/>
      <c r="F2250" s="28"/>
      <c r="G2250" s="28"/>
      <c r="H2250" s="28"/>
      <c r="I2250" s="28"/>
      <c r="J2250" s="28"/>
      <c r="K2250" s="28"/>
      <c r="L2250" s="28"/>
      <c r="M2250" s="28"/>
      <c r="N2250" s="28"/>
      <c r="O2250" s="28"/>
      <c r="P2250" s="28"/>
      <c r="Q2250" s="28"/>
      <c r="R2250" s="28"/>
      <c r="S2250" s="28"/>
      <c r="T2250" s="28"/>
      <c r="U2250" s="28"/>
      <c r="V2250" s="28"/>
      <c r="W2250" s="28"/>
      <c r="X2250" s="28"/>
      <c r="Y2250" s="28"/>
      <c r="Z2250" s="28"/>
      <c r="AA2250" s="28"/>
      <c r="AB2250" s="28"/>
      <c r="AC2250" s="28"/>
    </row>
    <row r="2251" ht="78.0" customHeight="1">
      <c r="A2251" s="52"/>
      <c r="B2251" s="52"/>
      <c r="C2251" s="54"/>
      <c r="D2251" s="855"/>
      <c r="E2251" s="54"/>
      <c r="F2251" s="54"/>
      <c r="G2251" s="54"/>
      <c r="H2251" s="54"/>
      <c r="I2251" s="54"/>
      <c r="J2251" s="54"/>
      <c r="K2251" s="54"/>
      <c r="L2251" s="54"/>
      <c r="M2251" s="54"/>
      <c r="N2251" s="54"/>
      <c r="O2251" s="54"/>
      <c r="P2251" s="54"/>
      <c r="Q2251" s="54"/>
      <c r="R2251" s="54"/>
      <c r="S2251" s="54"/>
      <c r="T2251" s="54"/>
      <c r="U2251" s="54"/>
      <c r="V2251" s="54"/>
      <c r="W2251" s="54"/>
      <c r="X2251" s="54"/>
      <c r="Y2251" s="54"/>
      <c r="Z2251" s="54"/>
      <c r="AA2251" s="54"/>
      <c r="AB2251" s="54"/>
      <c r="AC2251" s="54"/>
    </row>
    <row r="2252" ht="78.0" customHeight="1">
      <c r="A2252" s="26"/>
      <c r="B2252" s="26"/>
      <c r="C2252" s="28"/>
      <c r="D2252" s="825"/>
      <c r="E2252" s="28"/>
      <c r="F2252" s="28"/>
      <c r="G2252" s="28"/>
      <c r="H2252" s="28"/>
      <c r="I2252" s="28"/>
      <c r="J2252" s="28"/>
      <c r="K2252" s="28"/>
      <c r="L2252" s="28"/>
      <c r="M2252" s="28"/>
      <c r="N2252" s="28"/>
      <c r="O2252" s="28"/>
      <c r="P2252" s="28"/>
      <c r="Q2252" s="28"/>
      <c r="R2252" s="28"/>
      <c r="S2252" s="28"/>
      <c r="T2252" s="28"/>
      <c r="U2252" s="28"/>
      <c r="V2252" s="28"/>
      <c r="W2252" s="28"/>
      <c r="X2252" s="28"/>
      <c r="Y2252" s="28"/>
      <c r="Z2252" s="28"/>
      <c r="AA2252" s="28"/>
      <c r="AB2252" s="28"/>
      <c r="AC2252" s="28"/>
    </row>
    <row r="2253" ht="78.0" customHeight="1">
      <c r="A2253" s="52"/>
      <c r="B2253" s="52"/>
      <c r="C2253" s="54"/>
      <c r="D2253" s="855"/>
      <c r="E2253" s="54"/>
      <c r="F2253" s="54"/>
      <c r="G2253" s="54"/>
      <c r="H2253" s="54"/>
      <c r="I2253" s="54"/>
      <c r="J2253" s="54"/>
      <c r="K2253" s="54"/>
      <c r="L2253" s="54"/>
      <c r="M2253" s="54"/>
      <c r="N2253" s="54"/>
      <c r="O2253" s="54"/>
      <c r="P2253" s="54"/>
      <c r="Q2253" s="54"/>
      <c r="R2253" s="54"/>
      <c r="S2253" s="54"/>
      <c r="T2253" s="54"/>
      <c r="U2253" s="54"/>
      <c r="V2253" s="54"/>
      <c r="W2253" s="54"/>
      <c r="X2253" s="54"/>
      <c r="Y2253" s="54"/>
      <c r="Z2253" s="54"/>
      <c r="AA2253" s="54"/>
      <c r="AB2253" s="54"/>
      <c r="AC2253" s="54"/>
    </row>
    <row r="2254" ht="78.0" customHeight="1">
      <c r="A2254" s="26"/>
      <c r="B2254" s="26"/>
      <c r="C2254" s="28"/>
      <c r="D2254" s="825"/>
      <c r="E2254" s="28"/>
      <c r="F2254" s="28"/>
      <c r="G2254" s="28"/>
      <c r="H2254" s="28"/>
      <c r="I2254" s="28"/>
      <c r="J2254" s="28"/>
      <c r="K2254" s="28"/>
      <c r="L2254" s="28"/>
      <c r="M2254" s="28"/>
      <c r="N2254" s="28"/>
      <c r="O2254" s="28"/>
      <c r="P2254" s="28"/>
      <c r="Q2254" s="28"/>
      <c r="R2254" s="28"/>
      <c r="S2254" s="28"/>
      <c r="T2254" s="28"/>
      <c r="U2254" s="28"/>
      <c r="V2254" s="28"/>
      <c r="W2254" s="28"/>
      <c r="X2254" s="28"/>
      <c r="Y2254" s="28"/>
      <c r="Z2254" s="28"/>
      <c r="AA2254" s="28"/>
      <c r="AB2254" s="28"/>
      <c r="AC2254" s="28"/>
    </row>
    <row r="2255" ht="78.0" customHeight="1">
      <c r="A2255" s="52"/>
      <c r="B2255" s="52"/>
      <c r="C2255" s="54"/>
      <c r="D2255" s="855"/>
      <c r="E2255" s="54"/>
      <c r="F2255" s="54"/>
      <c r="G2255" s="54"/>
      <c r="H2255" s="54"/>
      <c r="I2255" s="54"/>
      <c r="J2255" s="54"/>
      <c r="K2255" s="54"/>
      <c r="L2255" s="54"/>
      <c r="M2255" s="54"/>
      <c r="N2255" s="54"/>
      <c r="O2255" s="54"/>
      <c r="P2255" s="54"/>
      <c r="Q2255" s="54"/>
      <c r="R2255" s="54"/>
      <c r="S2255" s="54"/>
      <c r="T2255" s="54"/>
      <c r="U2255" s="54"/>
      <c r="V2255" s="54"/>
      <c r="W2255" s="54"/>
      <c r="X2255" s="54"/>
      <c r="Y2255" s="54"/>
      <c r="Z2255" s="54"/>
      <c r="AA2255" s="54"/>
      <c r="AB2255" s="54"/>
      <c r="AC2255" s="54"/>
    </row>
    <row r="2256" ht="78.0" customHeight="1">
      <c r="A2256" s="26"/>
      <c r="B2256" s="26"/>
      <c r="C2256" s="28"/>
      <c r="D2256" s="825"/>
      <c r="E2256" s="28"/>
      <c r="F2256" s="28"/>
      <c r="G2256" s="28"/>
      <c r="H2256" s="28"/>
      <c r="I2256" s="28"/>
      <c r="J2256" s="28"/>
      <c r="K2256" s="28"/>
      <c r="L2256" s="28"/>
      <c r="M2256" s="28"/>
      <c r="N2256" s="28"/>
      <c r="O2256" s="28"/>
      <c r="P2256" s="28"/>
      <c r="Q2256" s="28"/>
      <c r="R2256" s="28"/>
      <c r="S2256" s="28"/>
      <c r="T2256" s="28"/>
      <c r="U2256" s="28"/>
      <c r="V2256" s="28"/>
      <c r="W2256" s="28"/>
      <c r="X2256" s="28"/>
      <c r="Y2256" s="28"/>
      <c r="Z2256" s="28"/>
      <c r="AA2256" s="28"/>
      <c r="AB2256" s="28"/>
      <c r="AC2256" s="28"/>
    </row>
    <row r="2257" ht="78.0" customHeight="1">
      <c r="A2257" s="52"/>
      <c r="B2257" s="52"/>
      <c r="C2257" s="54"/>
      <c r="D2257" s="855"/>
      <c r="E2257" s="54"/>
      <c r="F2257" s="54"/>
      <c r="G2257" s="54"/>
      <c r="H2257" s="54"/>
      <c r="I2257" s="54"/>
      <c r="J2257" s="54"/>
      <c r="K2257" s="54"/>
      <c r="L2257" s="54"/>
      <c r="M2257" s="54"/>
      <c r="N2257" s="54"/>
      <c r="O2257" s="54"/>
      <c r="P2257" s="54"/>
      <c r="Q2257" s="54"/>
      <c r="R2257" s="54"/>
      <c r="S2257" s="54"/>
      <c r="T2257" s="54"/>
      <c r="U2257" s="54"/>
      <c r="V2257" s="54"/>
      <c r="W2257" s="54"/>
      <c r="X2257" s="54"/>
      <c r="Y2257" s="54"/>
      <c r="Z2257" s="54"/>
      <c r="AA2257" s="54"/>
      <c r="AB2257" s="54"/>
      <c r="AC2257" s="54"/>
    </row>
    <row r="2258" ht="78.0" customHeight="1">
      <c r="A2258" s="26"/>
      <c r="B2258" s="26"/>
      <c r="C2258" s="28"/>
      <c r="D2258" s="825"/>
      <c r="E2258" s="28"/>
      <c r="F2258" s="28"/>
      <c r="G2258" s="28"/>
      <c r="H2258" s="28"/>
      <c r="I2258" s="28"/>
      <c r="J2258" s="28"/>
      <c r="K2258" s="28"/>
      <c r="L2258" s="28"/>
      <c r="M2258" s="28"/>
      <c r="N2258" s="28"/>
      <c r="O2258" s="28"/>
      <c r="P2258" s="28"/>
      <c r="Q2258" s="28"/>
      <c r="R2258" s="28"/>
      <c r="S2258" s="28"/>
      <c r="T2258" s="28"/>
      <c r="U2258" s="28"/>
      <c r="V2258" s="28"/>
      <c r="W2258" s="28"/>
      <c r="X2258" s="28"/>
      <c r="Y2258" s="28"/>
      <c r="Z2258" s="28"/>
      <c r="AA2258" s="28"/>
      <c r="AB2258" s="28"/>
      <c r="AC2258" s="28"/>
    </row>
    <row r="2259" ht="78.0" customHeight="1">
      <c r="A2259" s="52"/>
      <c r="B2259" s="52"/>
      <c r="C2259" s="54"/>
      <c r="D2259" s="855"/>
      <c r="E2259" s="54"/>
      <c r="F2259" s="54"/>
      <c r="G2259" s="54"/>
      <c r="H2259" s="54"/>
      <c r="I2259" s="54"/>
      <c r="J2259" s="54"/>
      <c r="K2259" s="54"/>
      <c r="L2259" s="54"/>
      <c r="M2259" s="54"/>
      <c r="N2259" s="54"/>
      <c r="O2259" s="54"/>
      <c r="P2259" s="54"/>
      <c r="Q2259" s="54"/>
      <c r="R2259" s="54"/>
      <c r="S2259" s="54"/>
      <c r="T2259" s="54"/>
      <c r="U2259" s="54"/>
      <c r="V2259" s="54"/>
      <c r="W2259" s="54"/>
      <c r="X2259" s="54"/>
      <c r="Y2259" s="54"/>
      <c r="Z2259" s="54"/>
      <c r="AA2259" s="54"/>
      <c r="AB2259" s="54"/>
      <c r="AC2259" s="54"/>
    </row>
    <row r="2260" ht="78.0" customHeight="1">
      <c r="A2260" s="26"/>
      <c r="B2260" s="26"/>
      <c r="C2260" s="28"/>
      <c r="D2260" s="825"/>
      <c r="E2260" s="28"/>
      <c r="F2260" s="28"/>
      <c r="G2260" s="28"/>
      <c r="H2260" s="28"/>
      <c r="I2260" s="28"/>
      <c r="J2260" s="28"/>
      <c r="K2260" s="28"/>
      <c r="L2260" s="28"/>
      <c r="M2260" s="28"/>
      <c r="N2260" s="28"/>
      <c r="O2260" s="28"/>
      <c r="P2260" s="28"/>
      <c r="Q2260" s="28"/>
      <c r="R2260" s="28"/>
      <c r="S2260" s="28"/>
      <c r="T2260" s="28"/>
      <c r="U2260" s="28"/>
      <c r="V2260" s="28"/>
      <c r="W2260" s="28"/>
      <c r="X2260" s="28"/>
      <c r="Y2260" s="28"/>
      <c r="Z2260" s="28"/>
      <c r="AA2260" s="28"/>
      <c r="AB2260" s="28"/>
      <c r="AC2260" s="28"/>
    </row>
    <row r="2261" ht="78.0" customHeight="1">
      <c r="A2261" s="52"/>
      <c r="B2261" s="52"/>
      <c r="C2261" s="54"/>
      <c r="D2261" s="855"/>
      <c r="E2261" s="54"/>
      <c r="F2261" s="54"/>
      <c r="G2261" s="54"/>
      <c r="H2261" s="54"/>
      <c r="I2261" s="54"/>
      <c r="J2261" s="54"/>
      <c r="K2261" s="54"/>
      <c r="L2261" s="54"/>
      <c r="M2261" s="54"/>
      <c r="N2261" s="54"/>
      <c r="O2261" s="54"/>
      <c r="P2261" s="54"/>
      <c r="Q2261" s="54"/>
      <c r="R2261" s="54"/>
      <c r="S2261" s="54"/>
      <c r="T2261" s="54"/>
      <c r="U2261" s="54"/>
      <c r="V2261" s="54"/>
      <c r="W2261" s="54"/>
      <c r="X2261" s="54"/>
      <c r="Y2261" s="54"/>
      <c r="Z2261" s="54"/>
      <c r="AA2261" s="54"/>
      <c r="AB2261" s="54"/>
      <c r="AC2261" s="54"/>
    </row>
    <row r="2262" ht="78.0" customHeight="1">
      <c r="A2262" s="26"/>
      <c r="B2262" s="26"/>
      <c r="C2262" s="28"/>
      <c r="D2262" s="825"/>
      <c r="E2262" s="28"/>
      <c r="F2262" s="28"/>
      <c r="G2262" s="28"/>
      <c r="H2262" s="28"/>
      <c r="I2262" s="28"/>
      <c r="J2262" s="28"/>
      <c r="K2262" s="28"/>
      <c r="L2262" s="28"/>
      <c r="M2262" s="28"/>
      <c r="N2262" s="28"/>
      <c r="O2262" s="28"/>
      <c r="P2262" s="28"/>
      <c r="Q2262" s="28"/>
      <c r="R2262" s="28"/>
      <c r="S2262" s="28"/>
      <c r="T2262" s="28"/>
      <c r="U2262" s="28"/>
      <c r="V2262" s="28"/>
      <c r="W2262" s="28"/>
      <c r="X2262" s="28"/>
      <c r="Y2262" s="28"/>
      <c r="Z2262" s="28"/>
      <c r="AA2262" s="28"/>
      <c r="AB2262" s="28"/>
      <c r="AC2262" s="28"/>
    </row>
    <row r="2263" ht="78.0" customHeight="1">
      <c r="A2263" s="52"/>
      <c r="B2263" s="52"/>
      <c r="C2263" s="54"/>
      <c r="D2263" s="855"/>
      <c r="E2263" s="54"/>
      <c r="F2263" s="54"/>
      <c r="G2263" s="54"/>
      <c r="H2263" s="54"/>
      <c r="I2263" s="54"/>
      <c r="J2263" s="54"/>
      <c r="K2263" s="54"/>
      <c r="L2263" s="54"/>
      <c r="M2263" s="54"/>
      <c r="N2263" s="54"/>
      <c r="O2263" s="54"/>
      <c r="P2263" s="54"/>
      <c r="Q2263" s="54"/>
      <c r="R2263" s="54"/>
      <c r="S2263" s="54"/>
      <c r="T2263" s="54"/>
      <c r="U2263" s="54"/>
      <c r="V2263" s="54"/>
      <c r="W2263" s="54"/>
      <c r="X2263" s="54"/>
      <c r="Y2263" s="54"/>
      <c r="Z2263" s="54"/>
      <c r="AA2263" s="54"/>
      <c r="AB2263" s="54"/>
      <c r="AC2263" s="54"/>
    </row>
    <row r="2264" ht="78.0" customHeight="1">
      <c r="A2264" s="26"/>
      <c r="B2264" s="26"/>
      <c r="C2264" s="28"/>
      <c r="D2264" s="825"/>
      <c r="E2264" s="28"/>
      <c r="F2264" s="28"/>
      <c r="G2264" s="28"/>
      <c r="H2264" s="28"/>
      <c r="I2264" s="28"/>
      <c r="J2264" s="28"/>
      <c r="K2264" s="28"/>
      <c r="L2264" s="28"/>
      <c r="M2264" s="28"/>
      <c r="N2264" s="28"/>
      <c r="O2264" s="28"/>
      <c r="P2264" s="28"/>
      <c r="Q2264" s="28"/>
      <c r="R2264" s="28"/>
      <c r="S2264" s="28"/>
      <c r="T2264" s="28"/>
      <c r="U2264" s="28"/>
      <c r="V2264" s="28"/>
      <c r="W2264" s="28"/>
      <c r="X2264" s="28"/>
      <c r="Y2264" s="28"/>
      <c r="Z2264" s="28"/>
      <c r="AA2264" s="28"/>
      <c r="AB2264" s="28"/>
      <c r="AC2264" s="28"/>
    </row>
    <row r="2265" ht="78.0" customHeight="1">
      <c r="A2265" s="52"/>
      <c r="B2265" s="52"/>
      <c r="C2265" s="54"/>
      <c r="D2265" s="855"/>
      <c r="E2265" s="54"/>
      <c r="F2265" s="54"/>
      <c r="G2265" s="54"/>
      <c r="H2265" s="54"/>
      <c r="I2265" s="54"/>
      <c r="J2265" s="54"/>
      <c r="K2265" s="54"/>
      <c r="L2265" s="54"/>
      <c r="M2265" s="54"/>
      <c r="N2265" s="54"/>
      <c r="O2265" s="54"/>
      <c r="P2265" s="54"/>
      <c r="Q2265" s="54"/>
      <c r="R2265" s="54"/>
      <c r="S2265" s="54"/>
      <c r="T2265" s="54"/>
      <c r="U2265" s="54"/>
      <c r="V2265" s="54"/>
      <c r="W2265" s="54"/>
      <c r="X2265" s="54"/>
      <c r="Y2265" s="54"/>
      <c r="Z2265" s="54"/>
      <c r="AA2265" s="54"/>
      <c r="AB2265" s="54"/>
      <c r="AC2265" s="54"/>
    </row>
    <row r="2266" ht="78.0" customHeight="1">
      <c r="A2266" s="26"/>
      <c r="B2266" s="26"/>
      <c r="C2266" s="28"/>
      <c r="D2266" s="825"/>
      <c r="E2266" s="28"/>
      <c r="F2266" s="28"/>
      <c r="G2266" s="28"/>
      <c r="H2266" s="28"/>
      <c r="I2266" s="28"/>
      <c r="J2266" s="28"/>
      <c r="K2266" s="28"/>
      <c r="L2266" s="28"/>
      <c r="M2266" s="28"/>
      <c r="N2266" s="28"/>
      <c r="O2266" s="28"/>
      <c r="P2266" s="28"/>
      <c r="Q2266" s="28"/>
      <c r="R2266" s="28"/>
      <c r="S2266" s="28"/>
      <c r="T2266" s="28"/>
      <c r="U2266" s="28"/>
      <c r="V2266" s="28"/>
      <c r="W2266" s="28"/>
      <c r="X2266" s="28"/>
      <c r="Y2266" s="28"/>
      <c r="Z2266" s="28"/>
      <c r="AA2266" s="28"/>
      <c r="AB2266" s="28"/>
      <c r="AC2266" s="28"/>
    </row>
    <row r="2267" ht="78.0" customHeight="1">
      <c r="A2267" s="52"/>
      <c r="B2267" s="52"/>
      <c r="C2267" s="54"/>
      <c r="D2267" s="855"/>
      <c r="E2267" s="54"/>
      <c r="F2267" s="54"/>
      <c r="G2267" s="54"/>
      <c r="H2267" s="54"/>
      <c r="I2267" s="54"/>
      <c r="J2267" s="54"/>
      <c r="K2267" s="54"/>
      <c r="L2267" s="54"/>
      <c r="M2267" s="54"/>
      <c r="N2267" s="54"/>
      <c r="O2267" s="54"/>
      <c r="P2267" s="54"/>
      <c r="Q2267" s="54"/>
      <c r="R2267" s="54"/>
      <c r="S2267" s="54"/>
      <c r="T2267" s="54"/>
      <c r="U2267" s="54"/>
      <c r="V2267" s="54"/>
      <c r="W2267" s="54"/>
      <c r="X2267" s="54"/>
      <c r="Y2267" s="54"/>
      <c r="Z2267" s="54"/>
      <c r="AA2267" s="54"/>
      <c r="AB2267" s="54"/>
      <c r="AC2267" s="54"/>
    </row>
    <row r="2268" ht="78.0" customHeight="1">
      <c r="A2268" s="26"/>
      <c r="B2268" s="26"/>
      <c r="C2268" s="28"/>
      <c r="D2268" s="825"/>
      <c r="E2268" s="28"/>
      <c r="F2268" s="28"/>
      <c r="G2268" s="28"/>
      <c r="H2268" s="28"/>
      <c r="I2268" s="28"/>
      <c r="J2268" s="28"/>
      <c r="K2268" s="28"/>
      <c r="L2268" s="28"/>
      <c r="M2268" s="28"/>
      <c r="N2268" s="28"/>
      <c r="O2268" s="28"/>
      <c r="P2268" s="28"/>
      <c r="Q2268" s="28"/>
      <c r="R2268" s="28"/>
      <c r="S2268" s="28"/>
      <c r="T2268" s="28"/>
      <c r="U2268" s="28"/>
      <c r="V2268" s="28"/>
      <c r="W2268" s="28"/>
      <c r="X2268" s="28"/>
      <c r="Y2268" s="28"/>
      <c r="Z2268" s="28"/>
      <c r="AA2268" s="28"/>
      <c r="AB2268" s="28"/>
      <c r="AC2268" s="28"/>
    </row>
    <row r="2269" ht="78.0" customHeight="1">
      <c r="A2269" s="52"/>
      <c r="B2269" s="52"/>
      <c r="C2269" s="54"/>
      <c r="D2269" s="855"/>
      <c r="E2269" s="54"/>
      <c r="F2269" s="54"/>
      <c r="G2269" s="54"/>
      <c r="H2269" s="54"/>
      <c r="I2269" s="54"/>
      <c r="J2269" s="54"/>
      <c r="K2269" s="54"/>
      <c r="L2269" s="54"/>
      <c r="M2269" s="54"/>
      <c r="N2269" s="54"/>
      <c r="O2269" s="54"/>
      <c r="P2269" s="54"/>
      <c r="Q2269" s="54"/>
      <c r="R2269" s="54"/>
      <c r="S2269" s="54"/>
      <c r="T2269" s="54"/>
      <c r="U2269" s="54"/>
      <c r="V2269" s="54"/>
      <c r="W2269" s="54"/>
      <c r="X2269" s="54"/>
      <c r="Y2269" s="54"/>
      <c r="Z2269" s="54"/>
      <c r="AA2269" s="54"/>
      <c r="AB2269" s="54"/>
      <c r="AC2269" s="54"/>
    </row>
    <row r="2270" ht="78.0" customHeight="1">
      <c r="A2270" s="26"/>
      <c r="B2270" s="26"/>
      <c r="C2270" s="28"/>
      <c r="D2270" s="825"/>
      <c r="E2270" s="28"/>
      <c r="F2270" s="28"/>
      <c r="G2270" s="28"/>
      <c r="H2270" s="28"/>
      <c r="I2270" s="28"/>
      <c r="J2270" s="28"/>
      <c r="K2270" s="28"/>
      <c r="L2270" s="28"/>
      <c r="M2270" s="28"/>
      <c r="N2270" s="28"/>
      <c r="O2270" s="28"/>
      <c r="P2270" s="28"/>
      <c r="Q2270" s="28"/>
      <c r="R2270" s="28"/>
      <c r="S2270" s="28"/>
      <c r="T2270" s="28"/>
      <c r="U2270" s="28"/>
      <c r="V2270" s="28"/>
      <c r="W2270" s="28"/>
      <c r="X2270" s="28"/>
      <c r="Y2270" s="28"/>
      <c r="Z2270" s="28"/>
      <c r="AA2270" s="28"/>
      <c r="AB2270" s="28"/>
      <c r="AC2270" s="28"/>
    </row>
    <row r="2271" ht="78.0" customHeight="1">
      <c r="A2271" s="52"/>
      <c r="B2271" s="52"/>
      <c r="C2271" s="54"/>
      <c r="D2271" s="855"/>
      <c r="E2271" s="54"/>
      <c r="F2271" s="54"/>
      <c r="G2271" s="54"/>
      <c r="H2271" s="54"/>
      <c r="I2271" s="54"/>
      <c r="J2271" s="54"/>
      <c r="K2271" s="54"/>
      <c r="L2271" s="54"/>
      <c r="M2271" s="54"/>
      <c r="N2271" s="54"/>
      <c r="O2271" s="54"/>
      <c r="P2271" s="54"/>
      <c r="Q2271" s="54"/>
      <c r="R2271" s="54"/>
      <c r="S2271" s="54"/>
      <c r="T2271" s="54"/>
      <c r="U2271" s="54"/>
      <c r="V2271" s="54"/>
      <c r="W2271" s="54"/>
      <c r="X2271" s="54"/>
      <c r="Y2271" s="54"/>
      <c r="Z2271" s="54"/>
      <c r="AA2271" s="54"/>
      <c r="AB2271" s="54"/>
      <c r="AC2271" s="54"/>
    </row>
    <row r="2272" ht="78.0" customHeight="1">
      <c r="A2272" s="26"/>
      <c r="B2272" s="26"/>
      <c r="C2272" s="28"/>
      <c r="D2272" s="825"/>
      <c r="E2272" s="28"/>
      <c r="F2272" s="28"/>
      <c r="G2272" s="28"/>
      <c r="H2272" s="28"/>
      <c r="I2272" s="28"/>
      <c r="J2272" s="28"/>
      <c r="K2272" s="28"/>
      <c r="L2272" s="28"/>
      <c r="M2272" s="28"/>
      <c r="N2272" s="28"/>
      <c r="O2272" s="28"/>
      <c r="P2272" s="28"/>
      <c r="Q2272" s="28"/>
      <c r="R2272" s="28"/>
      <c r="S2272" s="28"/>
      <c r="T2272" s="28"/>
      <c r="U2272" s="28"/>
      <c r="V2272" s="28"/>
      <c r="W2272" s="28"/>
      <c r="X2272" s="28"/>
      <c r="Y2272" s="28"/>
      <c r="Z2272" s="28"/>
      <c r="AA2272" s="28"/>
      <c r="AB2272" s="28"/>
      <c r="AC2272" s="28"/>
    </row>
    <row r="2273" ht="78.0" customHeight="1">
      <c r="A2273" s="52"/>
      <c r="B2273" s="52"/>
      <c r="C2273" s="54"/>
      <c r="D2273" s="855"/>
      <c r="E2273" s="54"/>
      <c r="F2273" s="54"/>
      <c r="G2273" s="54"/>
      <c r="H2273" s="54"/>
      <c r="I2273" s="54"/>
      <c r="J2273" s="54"/>
      <c r="K2273" s="54"/>
      <c r="L2273" s="54"/>
      <c r="M2273" s="54"/>
      <c r="N2273" s="54"/>
      <c r="O2273" s="54"/>
      <c r="P2273" s="54"/>
      <c r="Q2273" s="54"/>
      <c r="R2273" s="54"/>
      <c r="S2273" s="54"/>
      <c r="T2273" s="54"/>
      <c r="U2273" s="54"/>
      <c r="V2273" s="54"/>
      <c r="W2273" s="54"/>
      <c r="X2273" s="54"/>
      <c r="Y2273" s="54"/>
      <c r="Z2273" s="54"/>
      <c r="AA2273" s="54"/>
      <c r="AB2273" s="54"/>
      <c r="AC2273" s="54"/>
    </row>
    <row r="2274" ht="78.0" customHeight="1">
      <c r="A2274" s="26"/>
      <c r="B2274" s="26"/>
      <c r="C2274" s="28"/>
      <c r="D2274" s="825"/>
      <c r="E2274" s="28"/>
      <c r="F2274" s="28"/>
      <c r="G2274" s="28"/>
      <c r="H2274" s="28"/>
      <c r="I2274" s="28"/>
      <c r="J2274" s="28"/>
      <c r="K2274" s="28"/>
      <c r="L2274" s="28"/>
      <c r="M2274" s="28"/>
      <c r="N2274" s="28"/>
      <c r="O2274" s="28"/>
      <c r="P2274" s="28"/>
      <c r="Q2274" s="28"/>
      <c r="R2274" s="28"/>
      <c r="S2274" s="28"/>
      <c r="T2274" s="28"/>
      <c r="U2274" s="28"/>
      <c r="V2274" s="28"/>
      <c r="W2274" s="28"/>
      <c r="X2274" s="28"/>
      <c r="Y2274" s="28"/>
      <c r="Z2274" s="28"/>
      <c r="AA2274" s="28"/>
      <c r="AB2274" s="28"/>
      <c r="AC2274" s="28"/>
    </row>
    <row r="2275" ht="78.0" customHeight="1">
      <c r="A2275" s="52"/>
      <c r="B2275" s="52"/>
      <c r="C2275" s="54"/>
      <c r="D2275" s="855"/>
      <c r="E2275" s="54"/>
      <c r="F2275" s="54"/>
      <c r="G2275" s="54"/>
      <c r="H2275" s="54"/>
      <c r="I2275" s="54"/>
      <c r="J2275" s="54"/>
      <c r="K2275" s="54"/>
      <c r="L2275" s="54"/>
      <c r="M2275" s="54"/>
      <c r="N2275" s="54"/>
      <c r="O2275" s="54"/>
      <c r="P2275" s="54"/>
      <c r="Q2275" s="54"/>
      <c r="R2275" s="54"/>
      <c r="S2275" s="54"/>
      <c r="T2275" s="54"/>
      <c r="U2275" s="54"/>
      <c r="V2275" s="54"/>
      <c r="W2275" s="54"/>
      <c r="X2275" s="54"/>
      <c r="Y2275" s="54"/>
      <c r="Z2275" s="54"/>
      <c r="AA2275" s="54"/>
      <c r="AB2275" s="54"/>
      <c r="AC2275" s="54"/>
    </row>
    <row r="2276" ht="78.0" customHeight="1">
      <c r="A2276" s="26"/>
      <c r="B2276" s="26"/>
      <c r="C2276" s="28"/>
      <c r="D2276" s="825"/>
      <c r="E2276" s="28"/>
      <c r="F2276" s="28"/>
      <c r="G2276" s="28"/>
      <c r="H2276" s="28"/>
      <c r="I2276" s="28"/>
      <c r="J2276" s="28"/>
      <c r="K2276" s="28"/>
      <c r="L2276" s="28"/>
      <c r="M2276" s="28"/>
      <c r="N2276" s="28"/>
      <c r="O2276" s="28"/>
      <c r="P2276" s="28"/>
      <c r="Q2276" s="28"/>
      <c r="R2276" s="28"/>
      <c r="S2276" s="28"/>
      <c r="T2276" s="28"/>
      <c r="U2276" s="28"/>
      <c r="V2276" s="28"/>
      <c r="W2276" s="28"/>
      <c r="X2276" s="28"/>
      <c r="Y2276" s="28"/>
      <c r="Z2276" s="28"/>
      <c r="AA2276" s="28"/>
      <c r="AB2276" s="28"/>
      <c r="AC2276" s="28"/>
    </row>
    <row r="2277" ht="78.0" customHeight="1">
      <c r="A2277" s="52"/>
      <c r="B2277" s="52"/>
      <c r="C2277" s="54"/>
      <c r="D2277" s="855"/>
      <c r="E2277" s="54"/>
      <c r="F2277" s="54"/>
      <c r="G2277" s="54"/>
      <c r="H2277" s="54"/>
      <c r="I2277" s="54"/>
      <c r="J2277" s="54"/>
      <c r="K2277" s="54"/>
      <c r="L2277" s="54"/>
      <c r="M2277" s="54"/>
      <c r="N2277" s="54"/>
      <c r="O2277" s="54"/>
      <c r="P2277" s="54"/>
      <c r="Q2277" s="54"/>
      <c r="R2277" s="54"/>
      <c r="S2277" s="54"/>
      <c r="T2277" s="54"/>
      <c r="U2277" s="54"/>
      <c r="V2277" s="54"/>
      <c r="W2277" s="54"/>
      <c r="X2277" s="54"/>
      <c r="Y2277" s="54"/>
      <c r="Z2277" s="54"/>
      <c r="AA2277" s="54"/>
      <c r="AB2277" s="54"/>
      <c r="AC2277" s="54"/>
    </row>
    <row r="2278" ht="78.0" customHeight="1">
      <c r="A2278" s="26"/>
      <c r="B2278" s="26"/>
      <c r="C2278" s="28"/>
      <c r="D2278" s="825"/>
      <c r="E2278" s="28"/>
      <c r="F2278" s="28"/>
      <c r="G2278" s="28"/>
      <c r="H2278" s="28"/>
      <c r="I2278" s="28"/>
      <c r="J2278" s="28"/>
      <c r="K2278" s="28"/>
      <c r="L2278" s="28"/>
      <c r="M2278" s="28"/>
      <c r="N2278" s="28"/>
      <c r="O2278" s="28"/>
      <c r="P2278" s="28"/>
      <c r="Q2278" s="28"/>
      <c r="R2278" s="28"/>
      <c r="S2278" s="28"/>
      <c r="T2278" s="28"/>
      <c r="U2278" s="28"/>
      <c r="V2278" s="28"/>
      <c r="W2278" s="28"/>
      <c r="X2278" s="28"/>
      <c r="Y2278" s="28"/>
      <c r="Z2278" s="28"/>
      <c r="AA2278" s="28"/>
      <c r="AB2278" s="28"/>
      <c r="AC2278" s="28"/>
    </row>
    <row r="2279" ht="78.0" customHeight="1">
      <c r="A2279" s="52"/>
      <c r="B2279" s="52"/>
      <c r="C2279" s="54"/>
      <c r="D2279" s="855"/>
      <c r="E2279" s="54"/>
      <c r="F2279" s="54"/>
      <c r="G2279" s="54"/>
      <c r="H2279" s="54"/>
      <c r="I2279" s="54"/>
      <c r="J2279" s="54"/>
      <c r="K2279" s="54"/>
      <c r="L2279" s="54"/>
      <c r="M2279" s="54"/>
      <c r="N2279" s="54"/>
      <c r="O2279" s="54"/>
      <c r="P2279" s="54"/>
      <c r="Q2279" s="54"/>
      <c r="R2279" s="54"/>
      <c r="S2279" s="54"/>
      <c r="T2279" s="54"/>
      <c r="U2279" s="54"/>
      <c r="V2279" s="54"/>
      <c r="W2279" s="54"/>
      <c r="X2279" s="54"/>
      <c r="Y2279" s="54"/>
      <c r="Z2279" s="54"/>
      <c r="AA2279" s="54"/>
      <c r="AB2279" s="54"/>
      <c r="AC2279" s="54"/>
    </row>
    <row r="2280" ht="78.0" customHeight="1">
      <c r="A2280" s="26"/>
      <c r="B2280" s="26"/>
      <c r="C2280" s="28"/>
      <c r="D2280" s="825"/>
      <c r="E2280" s="28"/>
      <c r="F2280" s="28"/>
      <c r="G2280" s="28"/>
      <c r="H2280" s="28"/>
      <c r="I2280" s="28"/>
      <c r="J2280" s="28"/>
      <c r="K2280" s="28"/>
      <c r="L2280" s="28"/>
      <c r="M2280" s="28"/>
      <c r="N2280" s="28"/>
      <c r="O2280" s="28"/>
      <c r="P2280" s="28"/>
      <c r="Q2280" s="28"/>
      <c r="R2280" s="28"/>
      <c r="S2280" s="28"/>
      <c r="T2280" s="28"/>
      <c r="U2280" s="28"/>
      <c r="V2280" s="28"/>
      <c r="W2280" s="28"/>
      <c r="X2280" s="28"/>
      <c r="Y2280" s="28"/>
      <c r="Z2280" s="28"/>
      <c r="AA2280" s="28"/>
      <c r="AB2280" s="28"/>
      <c r="AC2280" s="28"/>
    </row>
    <row r="2281" ht="78.0" customHeight="1">
      <c r="A2281" s="52"/>
      <c r="B2281" s="52"/>
      <c r="C2281" s="54"/>
      <c r="D2281" s="855"/>
      <c r="E2281" s="54"/>
      <c r="F2281" s="54"/>
      <c r="G2281" s="54"/>
      <c r="H2281" s="54"/>
      <c r="I2281" s="54"/>
      <c r="J2281" s="54"/>
      <c r="K2281" s="54"/>
      <c r="L2281" s="54"/>
      <c r="M2281" s="54"/>
      <c r="N2281" s="54"/>
      <c r="O2281" s="54"/>
      <c r="P2281" s="54"/>
      <c r="Q2281" s="54"/>
      <c r="R2281" s="54"/>
      <c r="S2281" s="54"/>
      <c r="T2281" s="54"/>
      <c r="U2281" s="54"/>
      <c r="V2281" s="54"/>
      <c r="W2281" s="54"/>
      <c r="X2281" s="54"/>
      <c r="Y2281" s="54"/>
      <c r="Z2281" s="54"/>
      <c r="AA2281" s="54"/>
      <c r="AB2281" s="54"/>
      <c r="AC2281" s="54"/>
    </row>
    <row r="2282" ht="78.0" customHeight="1">
      <c r="A2282" s="26"/>
      <c r="B2282" s="26"/>
      <c r="C2282" s="28"/>
      <c r="D2282" s="825"/>
      <c r="E2282" s="28"/>
      <c r="F2282" s="28"/>
      <c r="G2282" s="28"/>
      <c r="H2282" s="28"/>
      <c r="I2282" s="28"/>
      <c r="J2282" s="28"/>
      <c r="K2282" s="28"/>
      <c r="L2282" s="28"/>
      <c r="M2282" s="28"/>
      <c r="N2282" s="28"/>
      <c r="O2282" s="28"/>
      <c r="P2282" s="28"/>
      <c r="Q2282" s="28"/>
      <c r="R2282" s="28"/>
      <c r="S2282" s="28"/>
      <c r="T2282" s="28"/>
      <c r="U2282" s="28"/>
      <c r="V2282" s="28"/>
      <c r="W2282" s="28"/>
      <c r="X2282" s="28"/>
      <c r="Y2282" s="28"/>
      <c r="Z2282" s="28"/>
      <c r="AA2282" s="28"/>
      <c r="AB2282" s="28"/>
      <c r="AC2282" s="28"/>
    </row>
    <row r="2283" ht="78.0" customHeight="1">
      <c r="A2283" s="52"/>
      <c r="B2283" s="52"/>
      <c r="C2283" s="54"/>
      <c r="D2283" s="855"/>
      <c r="E2283" s="54"/>
      <c r="F2283" s="54"/>
      <c r="G2283" s="54"/>
      <c r="H2283" s="54"/>
      <c r="I2283" s="54"/>
      <c r="J2283" s="54"/>
      <c r="K2283" s="54"/>
      <c r="L2283" s="54"/>
      <c r="M2283" s="54"/>
      <c r="N2283" s="54"/>
      <c r="O2283" s="54"/>
      <c r="P2283" s="54"/>
      <c r="Q2283" s="54"/>
      <c r="R2283" s="54"/>
      <c r="S2283" s="54"/>
      <c r="T2283" s="54"/>
      <c r="U2283" s="54"/>
      <c r="V2283" s="54"/>
      <c r="W2283" s="54"/>
      <c r="X2283" s="54"/>
      <c r="Y2283" s="54"/>
      <c r="Z2283" s="54"/>
      <c r="AA2283" s="54"/>
      <c r="AB2283" s="54"/>
      <c r="AC2283" s="54"/>
    </row>
    <row r="2284" ht="78.0" customHeight="1">
      <c r="A2284" s="26"/>
      <c r="B2284" s="26"/>
      <c r="C2284" s="28"/>
      <c r="D2284" s="825"/>
      <c r="E2284" s="28"/>
      <c r="F2284" s="28"/>
      <c r="G2284" s="28"/>
      <c r="H2284" s="28"/>
      <c r="I2284" s="28"/>
      <c r="J2284" s="28"/>
      <c r="K2284" s="28"/>
      <c r="L2284" s="28"/>
      <c r="M2284" s="28"/>
      <c r="N2284" s="28"/>
      <c r="O2284" s="28"/>
      <c r="P2284" s="28"/>
      <c r="Q2284" s="28"/>
      <c r="R2284" s="28"/>
      <c r="S2284" s="28"/>
      <c r="T2284" s="28"/>
      <c r="U2284" s="28"/>
      <c r="V2284" s="28"/>
      <c r="W2284" s="28"/>
      <c r="X2284" s="28"/>
      <c r="Y2284" s="28"/>
      <c r="Z2284" s="28"/>
      <c r="AA2284" s="28"/>
      <c r="AB2284" s="28"/>
      <c r="AC2284" s="28"/>
    </row>
    <row r="2285" ht="78.0" customHeight="1">
      <c r="A2285" s="52"/>
      <c r="B2285" s="52"/>
      <c r="C2285" s="54"/>
      <c r="D2285" s="855"/>
      <c r="E2285" s="54"/>
      <c r="F2285" s="54"/>
      <c r="G2285" s="54"/>
      <c r="H2285" s="54"/>
      <c r="I2285" s="54"/>
      <c r="J2285" s="54"/>
      <c r="K2285" s="54"/>
      <c r="L2285" s="54"/>
      <c r="M2285" s="54"/>
      <c r="N2285" s="54"/>
      <c r="O2285" s="54"/>
      <c r="P2285" s="54"/>
      <c r="Q2285" s="54"/>
      <c r="R2285" s="54"/>
      <c r="S2285" s="54"/>
      <c r="T2285" s="54"/>
      <c r="U2285" s="54"/>
      <c r="V2285" s="54"/>
      <c r="W2285" s="54"/>
      <c r="X2285" s="54"/>
      <c r="Y2285" s="54"/>
      <c r="Z2285" s="54"/>
      <c r="AA2285" s="54"/>
      <c r="AB2285" s="54"/>
      <c r="AC2285" s="54"/>
    </row>
    <row r="2286" ht="78.0" customHeight="1">
      <c r="A2286" s="26"/>
      <c r="B2286" s="26"/>
      <c r="C2286" s="28"/>
      <c r="D2286" s="825"/>
      <c r="E2286" s="28"/>
      <c r="F2286" s="28"/>
      <c r="G2286" s="28"/>
      <c r="H2286" s="28"/>
      <c r="I2286" s="28"/>
      <c r="J2286" s="28"/>
      <c r="K2286" s="28"/>
      <c r="L2286" s="28"/>
      <c r="M2286" s="28"/>
      <c r="N2286" s="28"/>
      <c r="O2286" s="28"/>
      <c r="P2286" s="28"/>
      <c r="Q2286" s="28"/>
      <c r="R2286" s="28"/>
      <c r="S2286" s="28"/>
      <c r="T2286" s="28"/>
      <c r="U2286" s="28"/>
      <c r="V2286" s="28"/>
      <c r="W2286" s="28"/>
      <c r="X2286" s="28"/>
      <c r="Y2286" s="28"/>
      <c r="Z2286" s="28"/>
      <c r="AA2286" s="28"/>
      <c r="AB2286" s="28"/>
      <c r="AC2286" s="28"/>
    </row>
    <row r="2287" ht="78.0" customHeight="1">
      <c r="A2287" s="52"/>
      <c r="B2287" s="52"/>
      <c r="C2287" s="54"/>
      <c r="D2287" s="855"/>
      <c r="E2287" s="54"/>
      <c r="F2287" s="54"/>
      <c r="G2287" s="54"/>
      <c r="H2287" s="54"/>
      <c r="I2287" s="54"/>
      <c r="J2287" s="54"/>
      <c r="K2287" s="54"/>
      <c r="L2287" s="54"/>
      <c r="M2287" s="54"/>
      <c r="N2287" s="54"/>
      <c r="O2287" s="54"/>
      <c r="P2287" s="54"/>
      <c r="Q2287" s="54"/>
      <c r="R2287" s="54"/>
      <c r="S2287" s="54"/>
      <c r="T2287" s="54"/>
      <c r="U2287" s="54"/>
      <c r="V2287" s="54"/>
      <c r="W2287" s="54"/>
      <c r="X2287" s="54"/>
      <c r="Y2287" s="54"/>
      <c r="Z2287" s="54"/>
      <c r="AA2287" s="54"/>
      <c r="AB2287" s="54"/>
      <c r="AC2287" s="54"/>
    </row>
    <row r="2288" ht="78.0" customHeight="1">
      <c r="A2288" s="26"/>
      <c r="B2288" s="26"/>
      <c r="C2288" s="28"/>
      <c r="D2288" s="825"/>
      <c r="E2288" s="28"/>
      <c r="F2288" s="28"/>
      <c r="G2288" s="28"/>
      <c r="H2288" s="28"/>
      <c r="I2288" s="28"/>
      <c r="J2288" s="28"/>
      <c r="K2288" s="28"/>
      <c r="L2288" s="28"/>
      <c r="M2288" s="28"/>
      <c r="N2288" s="28"/>
      <c r="O2288" s="28"/>
      <c r="P2288" s="28"/>
      <c r="Q2288" s="28"/>
      <c r="R2288" s="28"/>
      <c r="S2288" s="28"/>
      <c r="T2288" s="28"/>
      <c r="U2288" s="28"/>
      <c r="V2288" s="28"/>
      <c r="W2288" s="28"/>
      <c r="X2288" s="28"/>
      <c r="Y2288" s="28"/>
      <c r="Z2288" s="28"/>
      <c r="AA2288" s="28"/>
      <c r="AB2288" s="28"/>
      <c r="AC2288" s="28"/>
    </row>
    <row r="2289" ht="78.0" customHeight="1">
      <c r="A2289" s="52"/>
      <c r="B2289" s="52"/>
      <c r="C2289" s="54"/>
      <c r="D2289" s="855"/>
      <c r="E2289" s="54"/>
      <c r="F2289" s="54"/>
      <c r="G2289" s="54"/>
      <c r="H2289" s="54"/>
      <c r="I2289" s="54"/>
      <c r="J2289" s="54"/>
      <c r="K2289" s="54"/>
      <c r="L2289" s="54"/>
      <c r="M2289" s="54"/>
      <c r="N2289" s="54"/>
      <c r="O2289" s="54"/>
      <c r="P2289" s="54"/>
      <c r="Q2289" s="54"/>
      <c r="R2289" s="54"/>
      <c r="S2289" s="54"/>
      <c r="T2289" s="54"/>
      <c r="U2289" s="54"/>
      <c r="V2289" s="54"/>
      <c r="W2289" s="54"/>
      <c r="X2289" s="54"/>
      <c r="Y2289" s="54"/>
      <c r="Z2289" s="54"/>
      <c r="AA2289" s="54"/>
      <c r="AB2289" s="54"/>
      <c r="AC2289" s="54"/>
    </row>
    <row r="2290" ht="78.0" customHeight="1">
      <c r="A2290" s="26"/>
      <c r="B2290" s="26"/>
      <c r="C2290" s="28"/>
      <c r="D2290" s="825"/>
      <c r="E2290" s="28"/>
      <c r="F2290" s="28"/>
      <c r="G2290" s="28"/>
      <c r="H2290" s="28"/>
      <c r="I2290" s="28"/>
      <c r="J2290" s="28"/>
      <c r="K2290" s="28"/>
      <c r="L2290" s="28"/>
      <c r="M2290" s="28"/>
      <c r="N2290" s="28"/>
      <c r="O2290" s="28"/>
      <c r="P2290" s="28"/>
      <c r="Q2290" s="28"/>
      <c r="R2290" s="28"/>
      <c r="S2290" s="28"/>
      <c r="T2290" s="28"/>
      <c r="U2290" s="28"/>
      <c r="V2290" s="28"/>
      <c r="W2290" s="28"/>
      <c r="X2290" s="28"/>
      <c r="Y2290" s="28"/>
      <c r="Z2290" s="28"/>
      <c r="AA2290" s="28"/>
      <c r="AB2290" s="28"/>
      <c r="AC2290" s="28"/>
    </row>
    <row r="2291" ht="78.0" customHeight="1">
      <c r="A2291" s="52"/>
      <c r="B2291" s="52"/>
      <c r="C2291" s="54"/>
      <c r="D2291" s="855"/>
      <c r="E2291" s="54"/>
      <c r="F2291" s="54"/>
      <c r="G2291" s="54"/>
      <c r="H2291" s="54"/>
      <c r="I2291" s="54"/>
      <c r="J2291" s="54"/>
      <c r="K2291" s="54"/>
      <c r="L2291" s="54"/>
      <c r="M2291" s="54"/>
      <c r="N2291" s="54"/>
      <c r="O2291" s="54"/>
      <c r="P2291" s="54"/>
      <c r="Q2291" s="54"/>
      <c r="R2291" s="54"/>
      <c r="S2291" s="54"/>
      <c r="T2291" s="54"/>
      <c r="U2291" s="54"/>
      <c r="V2291" s="54"/>
      <c r="W2291" s="54"/>
      <c r="X2291" s="54"/>
      <c r="Y2291" s="54"/>
      <c r="Z2291" s="54"/>
      <c r="AA2291" s="54"/>
      <c r="AB2291" s="54"/>
      <c r="AC2291" s="54"/>
    </row>
    <row r="2292" ht="78.0" customHeight="1">
      <c r="A2292" s="26"/>
      <c r="B2292" s="26"/>
      <c r="C2292" s="28"/>
      <c r="D2292" s="825"/>
      <c r="E2292" s="28"/>
      <c r="F2292" s="28"/>
      <c r="G2292" s="28"/>
      <c r="H2292" s="28"/>
      <c r="I2292" s="28"/>
      <c r="J2292" s="28"/>
      <c r="K2292" s="28"/>
      <c r="L2292" s="28"/>
      <c r="M2292" s="28"/>
      <c r="N2292" s="28"/>
      <c r="O2292" s="28"/>
      <c r="P2292" s="28"/>
      <c r="Q2292" s="28"/>
      <c r="R2292" s="28"/>
      <c r="S2292" s="28"/>
      <c r="T2292" s="28"/>
      <c r="U2292" s="28"/>
      <c r="V2292" s="28"/>
      <c r="W2292" s="28"/>
      <c r="X2292" s="28"/>
      <c r="Y2292" s="28"/>
      <c r="Z2292" s="28"/>
      <c r="AA2292" s="28"/>
      <c r="AB2292" s="28"/>
      <c r="AC2292" s="28"/>
    </row>
    <row r="2293" ht="78.0" customHeight="1">
      <c r="A2293" s="52"/>
      <c r="B2293" s="52"/>
      <c r="C2293" s="54"/>
      <c r="D2293" s="855"/>
      <c r="E2293" s="54"/>
      <c r="F2293" s="54"/>
      <c r="G2293" s="54"/>
      <c r="H2293" s="54"/>
      <c r="I2293" s="54"/>
      <c r="J2293" s="54"/>
      <c r="K2293" s="54"/>
      <c r="L2293" s="54"/>
      <c r="M2293" s="54"/>
      <c r="N2293" s="54"/>
      <c r="O2293" s="54"/>
      <c r="P2293" s="54"/>
      <c r="Q2293" s="54"/>
      <c r="R2293" s="54"/>
      <c r="S2293" s="54"/>
      <c r="T2293" s="54"/>
      <c r="U2293" s="54"/>
      <c r="V2293" s="54"/>
      <c r="W2293" s="54"/>
      <c r="X2293" s="54"/>
      <c r="Y2293" s="54"/>
      <c r="Z2293" s="54"/>
      <c r="AA2293" s="54"/>
      <c r="AB2293" s="54"/>
      <c r="AC2293" s="54"/>
    </row>
    <row r="2294" ht="78.0" customHeight="1">
      <c r="A2294" s="26"/>
      <c r="B2294" s="26"/>
      <c r="C2294" s="28"/>
      <c r="D2294" s="825"/>
      <c r="E2294" s="28"/>
      <c r="F2294" s="28"/>
      <c r="G2294" s="28"/>
      <c r="H2294" s="28"/>
      <c r="I2294" s="28"/>
      <c r="J2294" s="28"/>
      <c r="K2294" s="28"/>
      <c r="L2294" s="28"/>
      <c r="M2294" s="28"/>
      <c r="N2294" s="28"/>
      <c r="O2294" s="28"/>
      <c r="P2294" s="28"/>
      <c r="Q2294" s="28"/>
      <c r="R2294" s="28"/>
      <c r="S2294" s="28"/>
      <c r="T2294" s="28"/>
      <c r="U2294" s="28"/>
      <c r="V2294" s="28"/>
      <c r="W2294" s="28"/>
      <c r="X2294" s="28"/>
      <c r="Y2294" s="28"/>
      <c r="Z2294" s="28"/>
      <c r="AA2294" s="28"/>
      <c r="AB2294" s="28"/>
      <c r="AC2294" s="28"/>
    </row>
    <row r="2295" ht="78.0" customHeight="1">
      <c r="A2295" s="52"/>
      <c r="B2295" s="52"/>
      <c r="C2295" s="54"/>
      <c r="D2295" s="855"/>
      <c r="E2295" s="54"/>
      <c r="F2295" s="54"/>
      <c r="G2295" s="54"/>
      <c r="H2295" s="54"/>
      <c r="I2295" s="54"/>
      <c r="J2295" s="54"/>
      <c r="K2295" s="54"/>
      <c r="L2295" s="54"/>
      <c r="M2295" s="54"/>
      <c r="N2295" s="54"/>
      <c r="O2295" s="54"/>
      <c r="P2295" s="54"/>
      <c r="Q2295" s="54"/>
      <c r="R2295" s="54"/>
      <c r="S2295" s="54"/>
      <c r="T2295" s="54"/>
      <c r="U2295" s="54"/>
      <c r="V2295" s="54"/>
      <c r="W2295" s="54"/>
      <c r="X2295" s="54"/>
      <c r="Y2295" s="54"/>
      <c r="Z2295" s="54"/>
      <c r="AA2295" s="54"/>
      <c r="AB2295" s="54"/>
      <c r="AC2295" s="54"/>
    </row>
    <row r="2296" ht="78.0" customHeight="1">
      <c r="A2296" s="26"/>
      <c r="B2296" s="26"/>
      <c r="C2296" s="28"/>
      <c r="D2296" s="825"/>
      <c r="E2296" s="28"/>
      <c r="F2296" s="28"/>
      <c r="G2296" s="28"/>
      <c r="H2296" s="28"/>
      <c r="I2296" s="28"/>
      <c r="J2296" s="28"/>
      <c r="K2296" s="28"/>
      <c r="L2296" s="28"/>
      <c r="M2296" s="28"/>
      <c r="N2296" s="28"/>
      <c r="O2296" s="28"/>
      <c r="P2296" s="28"/>
      <c r="Q2296" s="28"/>
      <c r="R2296" s="28"/>
      <c r="S2296" s="28"/>
      <c r="T2296" s="28"/>
      <c r="U2296" s="28"/>
      <c r="V2296" s="28"/>
      <c r="W2296" s="28"/>
      <c r="X2296" s="28"/>
      <c r="Y2296" s="28"/>
      <c r="Z2296" s="28"/>
      <c r="AA2296" s="28"/>
      <c r="AB2296" s="28"/>
      <c r="AC2296" s="28"/>
    </row>
    <row r="2297" ht="78.0" customHeight="1">
      <c r="A2297" s="52"/>
      <c r="B2297" s="52"/>
      <c r="C2297" s="54"/>
      <c r="D2297" s="855"/>
      <c r="E2297" s="54"/>
      <c r="F2297" s="54"/>
      <c r="G2297" s="54"/>
      <c r="H2297" s="54"/>
      <c r="I2297" s="54"/>
      <c r="J2297" s="54"/>
      <c r="K2297" s="54"/>
      <c r="L2297" s="54"/>
      <c r="M2297" s="54"/>
      <c r="N2297" s="54"/>
      <c r="O2297" s="54"/>
      <c r="P2297" s="54"/>
      <c r="Q2297" s="54"/>
      <c r="R2297" s="54"/>
      <c r="S2297" s="54"/>
      <c r="T2297" s="54"/>
      <c r="U2297" s="54"/>
      <c r="V2297" s="54"/>
      <c r="W2297" s="54"/>
      <c r="X2297" s="54"/>
      <c r="Y2297" s="54"/>
      <c r="Z2297" s="54"/>
      <c r="AA2297" s="54"/>
      <c r="AB2297" s="54"/>
      <c r="AC2297" s="54"/>
    </row>
    <row r="2298" ht="78.0" customHeight="1">
      <c r="A2298" s="26"/>
      <c r="B2298" s="26"/>
      <c r="C2298" s="28"/>
      <c r="D2298" s="825"/>
      <c r="E2298" s="28"/>
      <c r="F2298" s="28"/>
      <c r="G2298" s="28"/>
      <c r="H2298" s="28"/>
      <c r="I2298" s="28"/>
      <c r="J2298" s="28"/>
      <c r="K2298" s="28"/>
      <c r="L2298" s="28"/>
      <c r="M2298" s="28"/>
      <c r="N2298" s="28"/>
      <c r="O2298" s="28"/>
      <c r="P2298" s="28"/>
      <c r="Q2298" s="28"/>
      <c r="R2298" s="28"/>
      <c r="S2298" s="28"/>
      <c r="T2298" s="28"/>
      <c r="U2298" s="28"/>
      <c r="V2298" s="28"/>
      <c r="W2298" s="28"/>
      <c r="X2298" s="28"/>
      <c r="Y2298" s="28"/>
      <c r="Z2298" s="28"/>
      <c r="AA2298" s="28"/>
      <c r="AB2298" s="28"/>
      <c r="AC2298" s="28"/>
    </row>
    <row r="2299" ht="78.0" customHeight="1">
      <c r="A2299" s="52"/>
      <c r="B2299" s="52"/>
      <c r="C2299" s="54"/>
      <c r="D2299" s="855"/>
      <c r="E2299" s="54"/>
      <c r="F2299" s="54"/>
      <c r="G2299" s="54"/>
      <c r="H2299" s="54"/>
      <c r="I2299" s="54"/>
      <c r="J2299" s="54"/>
      <c r="K2299" s="54"/>
      <c r="L2299" s="54"/>
      <c r="M2299" s="54"/>
      <c r="N2299" s="54"/>
      <c r="O2299" s="54"/>
      <c r="P2299" s="54"/>
      <c r="Q2299" s="54"/>
      <c r="R2299" s="54"/>
      <c r="S2299" s="54"/>
      <c r="T2299" s="54"/>
      <c r="U2299" s="54"/>
      <c r="V2299" s="54"/>
      <c r="W2299" s="54"/>
      <c r="X2299" s="54"/>
      <c r="Y2299" s="54"/>
      <c r="Z2299" s="54"/>
      <c r="AA2299" s="54"/>
      <c r="AB2299" s="54"/>
      <c r="AC2299" s="54"/>
    </row>
    <row r="2300" ht="78.0" customHeight="1">
      <c r="A2300" s="26"/>
      <c r="B2300" s="26"/>
      <c r="C2300" s="28"/>
      <c r="D2300" s="825"/>
      <c r="E2300" s="28"/>
      <c r="F2300" s="28"/>
      <c r="G2300" s="28"/>
      <c r="H2300" s="28"/>
      <c r="I2300" s="28"/>
      <c r="J2300" s="28"/>
      <c r="K2300" s="28"/>
      <c r="L2300" s="28"/>
      <c r="M2300" s="28"/>
      <c r="N2300" s="28"/>
      <c r="O2300" s="28"/>
      <c r="P2300" s="28"/>
      <c r="Q2300" s="28"/>
      <c r="R2300" s="28"/>
      <c r="S2300" s="28"/>
      <c r="T2300" s="28"/>
      <c r="U2300" s="28"/>
      <c r="V2300" s="28"/>
      <c r="W2300" s="28"/>
      <c r="X2300" s="28"/>
      <c r="Y2300" s="28"/>
      <c r="Z2300" s="28"/>
      <c r="AA2300" s="28"/>
      <c r="AB2300" s="28"/>
      <c r="AC2300" s="28"/>
    </row>
    <row r="2301" ht="78.0" customHeight="1">
      <c r="A2301" s="52"/>
      <c r="B2301" s="52"/>
      <c r="C2301" s="54"/>
      <c r="D2301" s="855"/>
      <c r="E2301" s="54"/>
      <c r="F2301" s="54"/>
      <c r="G2301" s="54"/>
      <c r="H2301" s="54"/>
      <c r="I2301" s="54"/>
      <c r="J2301" s="54"/>
      <c r="K2301" s="54"/>
      <c r="L2301" s="54"/>
      <c r="M2301" s="54"/>
      <c r="N2301" s="54"/>
      <c r="O2301" s="54"/>
      <c r="P2301" s="54"/>
      <c r="Q2301" s="54"/>
      <c r="R2301" s="54"/>
      <c r="S2301" s="54"/>
      <c r="T2301" s="54"/>
      <c r="U2301" s="54"/>
      <c r="V2301" s="54"/>
      <c r="W2301" s="54"/>
      <c r="X2301" s="54"/>
      <c r="Y2301" s="54"/>
      <c r="Z2301" s="54"/>
      <c r="AA2301" s="54"/>
      <c r="AB2301" s="54"/>
      <c r="AC2301" s="54"/>
    </row>
    <row r="2302" ht="78.0" customHeight="1">
      <c r="A2302" s="26"/>
      <c r="B2302" s="26"/>
      <c r="C2302" s="28"/>
      <c r="D2302" s="825"/>
      <c r="E2302" s="28"/>
      <c r="F2302" s="28"/>
      <c r="G2302" s="28"/>
      <c r="H2302" s="28"/>
      <c r="I2302" s="28"/>
      <c r="J2302" s="28"/>
      <c r="K2302" s="28"/>
      <c r="L2302" s="28"/>
      <c r="M2302" s="28"/>
      <c r="N2302" s="28"/>
      <c r="O2302" s="28"/>
      <c r="P2302" s="28"/>
      <c r="Q2302" s="28"/>
      <c r="R2302" s="28"/>
      <c r="S2302" s="28"/>
      <c r="T2302" s="28"/>
      <c r="U2302" s="28"/>
      <c r="V2302" s="28"/>
      <c r="W2302" s="28"/>
      <c r="X2302" s="28"/>
      <c r="Y2302" s="28"/>
      <c r="Z2302" s="28"/>
      <c r="AA2302" s="28"/>
      <c r="AB2302" s="28"/>
      <c r="AC2302" s="28"/>
    </row>
    <row r="2303" ht="78.0" customHeight="1">
      <c r="A2303" s="52"/>
      <c r="B2303" s="52"/>
      <c r="C2303" s="54"/>
      <c r="D2303" s="855"/>
      <c r="E2303" s="54"/>
      <c r="F2303" s="54"/>
      <c r="G2303" s="54"/>
      <c r="H2303" s="54"/>
      <c r="I2303" s="54"/>
      <c r="J2303" s="54"/>
      <c r="K2303" s="54"/>
      <c r="L2303" s="54"/>
      <c r="M2303" s="54"/>
      <c r="N2303" s="54"/>
      <c r="O2303" s="54"/>
      <c r="P2303" s="54"/>
      <c r="Q2303" s="54"/>
      <c r="R2303" s="54"/>
      <c r="S2303" s="54"/>
      <c r="T2303" s="54"/>
      <c r="U2303" s="54"/>
      <c r="V2303" s="54"/>
      <c r="W2303" s="54"/>
      <c r="X2303" s="54"/>
      <c r="Y2303" s="54"/>
      <c r="Z2303" s="54"/>
      <c r="AA2303" s="54"/>
      <c r="AB2303" s="54"/>
      <c r="AC2303" s="54"/>
    </row>
    <row r="2304" ht="78.0" customHeight="1">
      <c r="A2304" s="26"/>
      <c r="B2304" s="26"/>
      <c r="C2304" s="28"/>
      <c r="D2304" s="825"/>
      <c r="E2304" s="28"/>
      <c r="F2304" s="28"/>
      <c r="G2304" s="28"/>
      <c r="H2304" s="28"/>
      <c r="I2304" s="28"/>
      <c r="J2304" s="28"/>
      <c r="K2304" s="28"/>
      <c r="L2304" s="28"/>
      <c r="M2304" s="28"/>
      <c r="N2304" s="28"/>
      <c r="O2304" s="28"/>
      <c r="P2304" s="28"/>
      <c r="Q2304" s="28"/>
      <c r="R2304" s="28"/>
      <c r="S2304" s="28"/>
      <c r="T2304" s="28"/>
      <c r="U2304" s="28"/>
      <c r="V2304" s="28"/>
      <c r="W2304" s="28"/>
      <c r="X2304" s="28"/>
      <c r="Y2304" s="28"/>
      <c r="Z2304" s="28"/>
      <c r="AA2304" s="28"/>
      <c r="AB2304" s="28"/>
      <c r="AC2304" s="28"/>
    </row>
    <row r="2305" ht="78.0" customHeight="1">
      <c r="A2305" s="52"/>
      <c r="B2305" s="52"/>
      <c r="C2305" s="54"/>
      <c r="D2305" s="855"/>
      <c r="E2305" s="54"/>
      <c r="F2305" s="54"/>
      <c r="G2305" s="54"/>
      <c r="H2305" s="54"/>
      <c r="I2305" s="54"/>
      <c r="J2305" s="54"/>
      <c r="K2305" s="54"/>
      <c r="L2305" s="54"/>
      <c r="M2305" s="54"/>
      <c r="N2305" s="54"/>
      <c r="O2305" s="54"/>
      <c r="P2305" s="54"/>
      <c r="Q2305" s="54"/>
      <c r="R2305" s="54"/>
      <c r="S2305" s="54"/>
      <c r="T2305" s="54"/>
      <c r="U2305" s="54"/>
      <c r="V2305" s="54"/>
      <c r="W2305" s="54"/>
      <c r="X2305" s="54"/>
      <c r="Y2305" s="54"/>
      <c r="Z2305" s="54"/>
      <c r="AA2305" s="54"/>
      <c r="AB2305" s="54"/>
      <c r="AC2305" s="54"/>
    </row>
    <row r="2306" ht="78.0" customHeight="1">
      <c r="A2306" s="26"/>
      <c r="B2306" s="26"/>
      <c r="C2306" s="28"/>
      <c r="D2306" s="825"/>
      <c r="E2306" s="28"/>
      <c r="F2306" s="28"/>
      <c r="G2306" s="28"/>
      <c r="H2306" s="28"/>
      <c r="I2306" s="28"/>
      <c r="J2306" s="28"/>
      <c r="K2306" s="28"/>
      <c r="L2306" s="28"/>
      <c r="M2306" s="28"/>
      <c r="N2306" s="28"/>
      <c r="O2306" s="28"/>
      <c r="P2306" s="28"/>
      <c r="Q2306" s="28"/>
      <c r="R2306" s="28"/>
      <c r="S2306" s="28"/>
      <c r="T2306" s="28"/>
      <c r="U2306" s="28"/>
      <c r="V2306" s="28"/>
      <c r="W2306" s="28"/>
      <c r="X2306" s="28"/>
      <c r="Y2306" s="28"/>
      <c r="Z2306" s="28"/>
      <c r="AA2306" s="28"/>
      <c r="AB2306" s="28"/>
      <c r="AC2306" s="28"/>
    </row>
    <row r="2307" ht="78.0" customHeight="1">
      <c r="A2307" s="52"/>
      <c r="B2307" s="52"/>
      <c r="C2307" s="54"/>
      <c r="D2307" s="855"/>
      <c r="E2307" s="54"/>
      <c r="F2307" s="54"/>
      <c r="G2307" s="54"/>
      <c r="H2307" s="54"/>
      <c r="I2307" s="54"/>
      <c r="J2307" s="54"/>
      <c r="K2307" s="54"/>
      <c r="L2307" s="54"/>
      <c r="M2307" s="54"/>
      <c r="N2307" s="54"/>
      <c r="O2307" s="54"/>
      <c r="P2307" s="54"/>
      <c r="Q2307" s="54"/>
      <c r="R2307" s="54"/>
      <c r="S2307" s="54"/>
      <c r="T2307" s="54"/>
      <c r="U2307" s="54"/>
      <c r="V2307" s="54"/>
      <c r="W2307" s="54"/>
      <c r="X2307" s="54"/>
      <c r="Y2307" s="54"/>
      <c r="Z2307" s="54"/>
      <c r="AA2307" s="54"/>
      <c r="AB2307" s="54"/>
      <c r="AC2307" s="54"/>
    </row>
    <row r="2308" ht="78.0" customHeight="1">
      <c r="A2308" s="26"/>
      <c r="B2308" s="26"/>
      <c r="C2308" s="28"/>
      <c r="D2308" s="825"/>
      <c r="E2308" s="28"/>
      <c r="F2308" s="28"/>
      <c r="G2308" s="28"/>
      <c r="H2308" s="28"/>
      <c r="I2308" s="28"/>
      <c r="J2308" s="28"/>
      <c r="K2308" s="28"/>
      <c r="L2308" s="28"/>
      <c r="M2308" s="28"/>
      <c r="N2308" s="28"/>
      <c r="O2308" s="28"/>
      <c r="P2308" s="28"/>
      <c r="Q2308" s="28"/>
      <c r="R2308" s="28"/>
      <c r="S2308" s="28"/>
      <c r="T2308" s="28"/>
      <c r="U2308" s="28"/>
      <c r="V2308" s="28"/>
      <c r="W2308" s="28"/>
      <c r="X2308" s="28"/>
      <c r="Y2308" s="28"/>
      <c r="Z2308" s="28"/>
      <c r="AA2308" s="28"/>
      <c r="AB2308" s="28"/>
      <c r="AC2308" s="28"/>
    </row>
    <row r="2309" ht="78.0" customHeight="1">
      <c r="A2309" s="52"/>
      <c r="B2309" s="52"/>
      <c r="C2309" s="54"/>
      <c r="D2309" s="855"/>
      <c r="E2309" s="54"/>
      <c r="F2309" s="54"/>
      <c r="G2309" s="54"/>
      <c r="H2309" s="54"/>
      <c r="I2309" s="54"/>
      <c r="J2309" s="54"/>
      <c r="K2309" s="54"/>
      <c r="L2309" s="54"/>
      <c r="M2309" s="54"/>
      <c r="N2309" s="54"/>
      <c r="O2309" s="54"/>
      <c r="P2309" s="54"/>
      <c r="Q2309" s="54"/>
      <c r="R2309" s="54"/>
      <c r="S2309" s="54"/>
      <c r="T2309" s="54"/>
      <c r="U2309" s="54"/>
      <c r="V2309" s="54"/>
      <c r="W2309" s="54"/>
      <c r="X2309" s="54"/>
      <c r="Y2309" s="54"/>
      <c r="Z2309" s="54"/>
      <c r="AA2309" s="54"/>
      <c r="AB2309" s="54"/>
      <c r="AC2309" s="54"/>
    </row>
    <row r="2310" ht="78.0" customHeight="1">
      <c r="A2310" s="26"/>
      <c r="B2310" s="26"/>
      <c r="C2310" s="28"/>
      <c r="D2310" s="825"/>
      <c r="E2310" s="28"/>
      <c r="F2310" s="28"/>
      <c r="G2310" s="28"/>
      <c r="H2310" s="28"/>
      <c r="I2310" s="28"/>
      <c r="J2310" s="28"/>
      <c r="K2310" s="28"/>
      <c r="L2310" s="28"/>
      <c r="M2310" s="28"/>
      <c r="N2310" s="28"/>
      <c r="O2310" s="28"/>
      <c r="P2310" s="28"/>
      <c r="Q2310" s="28"/>
      <c r="R2310" s="28"/>
      <c r="S2310" s="28"/>
      <c r="T2310" s="28"/>
      <c r="U2310" s="28"/>
      <c r="V2310" s="28"/>
      <c r="W2310" s="28"/>
      <c r="X2310" s="28"/>
      <c r="Y2310" s="28"/>
      <c r="Z2310" s="28"/>
      <c r="AA2310" s="28"/>
      <c r="AB2310" s="28"/>
      <c r="AC2310" s="28"/>
    </row>
    <row r="2311" ht="78.0" customHeight="1">
      <c r="A2311" s="52"/>
      <c r="B2311" s="52"/>
      <c r="C2311" s="54"/>
      <c r="D2311" s="855"/>
      <c r="E2311" s="54"/>
      <c r="F2311" s="54"/>
      <c r="G2311" s="54"/>
      <c r="H2311" s="54"/>
      <c r="I2311" s="54"/>
      <c r="J2311" s="54"/>
      <c r="K2311" s="54"/>
      <c r="L2311" s="54"/>
      <c r="M2311" s="54"/>
      <c r="N2311" s="54"/>
      <c r="O2311" s="54"/>
      <c r="P2311" s="54"/>
      <c r="Q2311" s="54"/>
      <c r="R2311" s="54"/>
      <c r="S2311" s="54"/>
      <c r="T2311" s="54"/>
      <c r="U2311" s="54"/>
      <c r="V2311" s="54"/>
      <c r="W2311" s="54"/>
      <c r="X2311" s="54"/>
      <c r="Y2311" s="54"/>
      <c r="Z2311" s="54"/>
      <c r="AA2311" s="54"/>
      <c r="AB2311" s="54"/>
      <c r="AC2311" s="54"/>
    </row>
    <row r="2312" ht="78.0" customHeight="1">
      <c r="A2312" s="26"/>
      <c r="B2312" s="26"/>
      <c r="C2312" s="28"/>
      <c r="D2312" s="825"/>
      <c r="E2312" s="28"/>
      <c r="F2312" s="28"/>
      <c r="G2312" s="28"/>
      <c r="H2312" s="28"/>
      <c r="I2312" s="28"/>
      <c r="J2312" s="28"/>
      <c r="K2312" s="28"/>
      <c r="L2312" s="28"/>
      <c r="M2312" s="28"/>
      <c r="N2312" s="28"/>
      <c r="O2312" s="28"/>
      <c r="P2312" s="28"/>
      <c r="Q2312" s="28"/>
      <c r="R2312" s="28"/>
      <c r="S2312" s="28"/>
      <c r="T2312" s="28"/>
      <c r="U2312" s="28"/>
      <c r="V2312" s="28"/>
      <c r="W2312" s="28"/>
      <c r="X2312" s="28"/>
      <c r="Y2312" s="28"/>
      <c r="Z2312" s="28"/>
      <c r="AA2312" s="28"/>
      <c r="AB2312" s="28"/>
      <c r="AC2312" s="28"/>
    </row>
    <row r="2313" ht="78.0" customHeight="1">
      <c r="A2313" s="52"/>
      <c r="B2313" s="52"/>
      <c r="C2313" s="54"/>
      <c r="D2313" s="855"/>
      <c r="E2313" s="54"/>
      <c r="F2313" s="54"/>
      <c r="G2313" s="54"/>
      <c r="H2313" s="54"/>
      <c r="I2313" s="54"/>
      <c r="J2313" s="54"/>
      <c r="K2313" s="54"/>
      <c r="L2313" s="54"/>
      <c r="M2313" s="54"/>
      <c r="N2313" s="54"/>
      <c r="O2313" s="54"/>
      <c r="P2313" s="54"/>
      <c r="Q2313" s="54"/>
      <c r="R2313" s="54"/>
      <c r="S2313" s="54"/>
      <c r="T2313" s="54"/>
      <c r="U2313" s="54"/>
      <c r="V2313" s="54"/>
      <c r="W2313" s="54"/>
      <c r="X2313" s="54"/>
      <c r="Y2313" s="54"/>
      <c r="Z2313" s="54"/>
      <c r="AA2313" s="54"/>
      <c r="AB2313" s="54"/>
      <c r="AC2313" s="54"/>
    </row>
    <row r="2314" ht="78.0" customHeight="1">
      <c r="A2314" s="26"/>
      <c r="B2314" s="26"/>
      <c r="C2314" s="28"/>
      <c r="D2314" s="825"/>
      <c r="E2314" s="28"/>
      <c r="F2314" s="28"/>
      <c r="G2314" s="28"/>
      <c r="H2314" s="28"/>
      <c r="I2314" s="28"/>
      <c r="J2314" s="28"/>
      <c r="K2314" s="28"/>
      <c r="L2314" s="28"/>
      <c r="M2314" s="28"/>
      <c r="N2314" s="28"/>
      <c r="O2314" s="28"/>
      <c r="P2314" s="28"/>
      <c r="Q2314" s="28"/>
      <c r="R2314" s="28"/>
      <c r="S2314" s="28"/>
      <c r="T2314" s="28"/>
      <c r="U2314" s="28"/>
      <c r="V2314" s="28"/>
      <c r="W2314" s="28"/>
      <c r="X2314" s="28"/>
      <c r="Y2314" s="28"/>
      <c r="Z2314" s="28"/>
      <c r="AA2314" s="28"/>
      <c r="AB2314" s="28"/>
      <c r="AC2314" s="28"/>
    </row>
    <row r="2315" ht="78.0" customHeight="1">
      <c r="A2315" s="52"/>
      <c r="B2315" s="52"/>
      <c r="C2315" s="54"/>
      <c r="D2315" s="855"/>
      <c r="E2315" s="54"/>
      <c r="F2315" s="54"/>
      <c r="G2315" s="54"/>
      <c r="H2315" s="54"/>
      <c r="I2315" s="54"/>
      <c r="J2315" s="54"/>
      <c r="K2315" s="54"/>
      <c r="L2315" s="54"/>
      <c r="M2315" s="54"/>
      <c r="N2315" s="54"/>
      <c r="O2315" s="54"/>
      <c r="P2315" s="54"/>
      <c r="Q2315" s="54"/>
      <c r="R2315" s="54"/>
      <c r="S2315" s="54"/>
      <c r="T2315" s="54"/>
      <c r="U2315" s="54"/>
      <c r="V2315" s="54"/>
      <c r="W2315" s="54"/>
      <c r="X2315" s="54"/>
      <c r="Y2315" s="54"/>
      <c r="Z2315" s="54"/>
      <c r="AA2315" s="54"/>
      <c r="AB2315" s="54"/>
      <c r="AC2315" s="54"/>
    </row>
    <row r="2316" ht="78.0" customHeight="1">
      <c r="A2316" s="26"/>
      <c r="B2316" s="26"/>
      <c r="C2316" s="28"/>
      <c r="D2316" s="825"/>
      <c r="E2316" s="28"/>
      <c r="F2316" s="28"/>
      <c r="G2316" s="28"/>
      <c r="H2316" s="28"/>
      <c r="I2316" s="28"/>
      <c r="J2316" s="28"/>
      <c r="K2316" s="28"/>
      <c r="L2316" s="28"/>
      <c r="M2316" s="28"/>
      <c r="N2316" s="28"/>
      <c r="O2316" s="28"/>
      <c r="P2316" s="28"/>
      <c r="Q2316" s="28"/>
      <c r="R2316" s="28"/>
      <c r="S2316" s="28"/>
      <c r="T2316" s="28"/>
      <c r="U2316" s="28"/>
      <c r="V2316" s="28"/>
      <c r="W2316" s="28"/>
      <c r="X2316" s="28"/>
      <c r="Y2316" s="28"/>
      <c r="Z2316" s="28"/>
      <c r="AA2316" s="28"/>
      <c r="AB2316" s="28"/>
      <c r="AC2316" s="28"/>
    </row>
    <row r="2317" ht="78.0" customHeight="1">
      <c r="A2317" s="52"/>
      <c r="B2317" s="52"/>
      <c r="C2317" s="54"/>
      <c r="D2317" s="855"/>
      <c r="E2317" s="54"/>
      <c r="F2317" s="54"/>
      <c r="G2317" s="54"/>
      <c r="H2317" s="54"/>
      <c r="I2317" s="54"/>
      <c r="J2317" s="54"/>
      <c r="K2317" s="54"/>
      <c r="L2317" s="54"/>
      <c r="M2317" s="54"/>
      <c r="N2317" s="54"/>
      <c r="O2317" s="54"/>
      <c r="P2317" s="54"/>
      <c r="Q2317" s="54"/>
      <c r="R2317" s="54"/>
      <c r="S2317" s="54"/>
      <c r="T2317" s="54"/>
      <c r="U2317" s="54"/>
      <c r="V2317" s="54"/>
      <c r="W2317" s="54"/>
      <c r="X2317" s="54"/>
      <c r="Y2317" s="54"/>
      <c r="Z2317" s="54"/>
      <c r="AA2317" s="54"/>
      <c r="AB2317" s="54"/>
      <c r="AC2317" s="54"/>
    </row>
    <row r="2318" ht="78.0" customHeight="1">
      <c r="A2318" s="26"/>
      <c r="B2318" s="26"/>
      <c r="C2318" s="28"/>
      <c r="D2318" s="825"/>
      <c r="E2318" s="28"/>
      <c r="F2318" s="28"/>
      <c r="G2318" s="28"/>
      <c r="H2318" s="28"/>
      <c r="I2318" s="28"/>
      <c r="J2318" s="28"/>
      <c r="K2318" s="28"/>
      <c r="L2318" s="28"/>
      <c r="M2318" s="28"/>
      <c r="N2318" s="28"/>
      <c r="O2318" s="28"/>
      <c r="P2318" s="28"/>
      <c r="Q2318" s="28"/>
      <c r="R2318" s="28"/>
      <c r="S2318" s="28"/>
      <c r="T2318" s="28"/>
      <c r="U2318" s="28"/>
      <c r="V2318" s="28"/>
      <c r="W2318" s="28"/>
      <c r="X2318" s="28"/>
      <c r="Y2318" s="28"/>
      <c r="Z2318" s="28"/>
      <c r="AA2318" s="28"/>
      <c r="AB2318" s="28"/>
      <c r="AC2318" s="28"/>
    </row>
    <row r="2319" ht="78.0" customHeight="1">
      <c r="A2319" s="52"/>
      <c r="B2319" s="52"/>
      <c r="C2319" s="54"/>
      <c r="D2319" s="855"/>
      <c r="E2319" s="54"/>
      <c r="F2319" s="54"/>
      <c r="G2319" s="54"/>
      <c r="H2319" s="54"/>
      <c r="I2319" s="54"/>
      <c r="J2319" s="54"/>
      <c r="K2319" s="54"/>
      <c r="L2319" s="54"/>
      <c r="M2319" s="54"/>
      <c r="N2319" s="54"/>
      <c r="O2319" s="54"/>
      <c r="P2319" s="54"/>
      <c r="Q2319" s="54"/>
      <c r="R2319" s="54"/>
      <c r="S2319" s="54"/>
      <c r="T2319" s="54"/>
      <c r="U2319" s="54"/>
      <c r="V2319" s="54"/>
      <c r="W2319" s="54"/>
      <c r="X2319" s="54"/>
      <c r="Y2319" s="54"/>
      <c r="Z2319" s="54"/>
      <c r="AA2319" s="54"/>
      <c r="AB2319" s="54"/>
      <c r="AC2319" s="54"/>
    </row>
    <row r="2320" ht="78.0" customHeight="1">
      <c r="A2320" s="26"/>
      <c r="B2320" s="26"/>
      <c r="C2320" s="28"/>
      <c r="D2320" s="825"/>
      <c r="E2320" s="28"/>
      <c r="F2320" s="28"/>
      <c r="G2320" s="28"/>
      <c r="H2320" s="28"/>
      <c r="I2320" s="28"/>
      <c r="J2320" s="28"/>
      <c r="K2320" s="28"/>
      <c r="L2320" s="28"/>
      <c r="M2320" s="28"/>
      <c r="N2320" s="28"/>
      <c r="O2320" s="28"/>
      <c r="P2320" s="28"/>
      <c r="Q2320" s="28"/>
      <c r="R2320" s="28"/>
      <c r="S2320" s="28"/>
      <c r="T2320" s="28"/>
      <c r="U2320" s="28"/>
      <c r="V2320" s="28"/>
      <c r="W2320" s="28"/>
      <c r="X2320" s="28"/>
      <c r="Y2320" s="28"/>
      <c r="Z2320" s="28"/>
      <c r="AA2320" s="28"/>
      <c r="AB2320" s="28"/>
      <c r="AC2320" s="28"/>
    </row>
    <row r="2321" ht="78.0" customHeight="1">
      <c r="A2321" s="52"/>
      <c r="B2321" s="52"/>
      <c r="C2321" s="54"/>
      <c r="D2321" s="855"/>
      <c r="E2321" s="54"/>
      <c r="F2321" s="54"/>
      <c r="G2321" s="54"/>
      <c r="H2321" s="54"/>
      <c r="I2321" s="54"/>
      <c r="J2321" s="54"/>
      <c r="K2321" s="54"/>
      <c r="L2321" s="54"/>
      <c r="M2321" s="54"/>
      <c r="N2321" s="54"/>
      <c r="O2321" s="54"/>
      <c r="P2321" s="54"/>
      <c r="Q2321" s="54"/>
      <c r="R2321" s="54"/>
      <c r="S2321" s="54"/>
      <c r="T2321" s="54"/>
      <c r="U2321" s="54"/>
      <c r="V2321" s="54"/>
      <c r="W2321" s="54"/>
      <c r="X2321" s="54"/>
      <c r="Y2321" s="54"/>
      <c r="Z2321" s="54"/>
      <c r="AA2321" s="54"/>
      <c r="AB2321" s="54"/>
      <c r="AC2321" s="54"/>
    </row>
    <row r="2322" ht="78.0" customHeight="1">
      <c r="A2322" s="26"/>
      <c r="B2322" s="26"/>
      <c r="C2322" s="28"/>
      <c r="D2322" s="825"/>
      <c r="E2322" s="28"/>
      <c r="F2322" s="28"/>
      <c r="G2322" s="28"/>
      <c r="H2322" s="28"/>
      <c r="I2322" s="28"/>
      <c r="J2322" s="28"/>
      <c r="K2322" s="28"/>
      <c r="L2322" s="28"/>
      <c r="M2322" s="28"/>
      <c r="N2322" s="28"/>
      <c r="O2322" s="28"/>
      <c r="P2322" s="28"/>
      <c r="Q2322" s="28"/>
      <c r="R2322" s="28"/>
      <c r="S2322" s="28"/>
      <c r="T2322" s="28"/>
      <c r="U2322" s="28"/>
      <c r="V2322" s="28"/>
      <c r="W2322" s="28"/>
      <c r="X2322" s="28"/>
      <c r="Y2322" s="28"/>
      <c r="Z2322" s="28"/>
      <c r="AA2322" s="28"/>
      <c r="AB2322" s="28"/>
      <c r="AC2322" s="28"/>
    </row>
    <row r="2323" ht="78.0" customHeight="1">
      <c r="A2323" s="52"/>
      <c r="B2323" s="52"/>
      <c r="C2323" s="54"/>
      <c r="D2323" s="855"/>
      <c r="E2323" s="54"/>
      <c r="F2323" s="54"/>
      <c r="G2323" s="54"/>
      <c r="H2323" s="54"/>
      <c r="I2323" s="54"/>
      <c r="J2323" s="54"/>
      <c r="K2323" s="54"/>
      <c r="L2323" s="54"/>
      <c r="M2323" s="54"/>
      <c r="N2323" s="54"/>
      <c r="O2323" s="54"/>
      <c r="P2323" s="54"/>
      <c r="Q2323" s="54"/>
      <c r="R2323" s="54"/>
      <c r="S2323" s="54"/>
      <c r="T2323" s="54"/>
      <c r="U2323" s="54"/>
      <c r="V2323" s="54"/>
      <c r="W2323" s="54"/>
      <c r="X2323" s="54"/>
      <c r="Y2323" s="54"/>
      <c r="Z2323" s="54"/>
      <c r="AA2323" s="54"/>
      <c r="AB2323" s="54"/>
      <c r="AC2323" s="54"/>
    </row>
    <row r="2324" ht="78.0" customHeight="1">
      <c r="A2324" s="26"/>
      <c r="B2324" s="26"/>
      <c r="C2324" s="28"/>
      <c r="D2324" s="825"/>
      <c r="E2324" s="28"/>
      <c r="F2324" s="28"/>
      <c r="G2324" s="28"/>
      <c r="H2324" s="28"/>
      <c r="I2324" s="28"/>
      <c r="J2324" s="28"/>
      <c r="K2324" s="28"/>
      <c r="L2324" s="28"/>
      <c r="M2324" s="28"/>
      <c r="N2324" s="28"/>
      <c r="O2324" s="28"/>
      <c r="P2324" s="28"/>
      <c r="Q2324" s="28"/>
      <c r="R2324" s="28"/>
      <c r="S2324" s="28"/>
      <c r="T2324" s="28"/>
      <c r="U2324" s="28"/>
      <c r="V2324" s="28"/>
      <c r="W2324" s="28"/>
      <c r="X2324" s="28"/>
      <c r="Y2324" s="28"/>
      <c r="Z2324" s="28"/>
      <c r="AA2324" s="28"/>
      <c r="AB2324" s="28"/>
      <c r="AC2324" s="28"/>
    </row>
    <row r="2325" ht="78.0" customHeight="1">
      <c r="A2325" s="52"/>
      <c r="B2325" s="52"/>
      <c r="C2325" s="54"/>
      <c r="D2325" s="855"/>
      <c r="E2325" s="54"/>
      <c r="F2325" s="54"/>
      <c r="G2325" s="54"/>
      <c r="H2325" s="54"/>
      <c r="I2325" s="54"/>
      <c r="J2325" s="54"/>
      <c r="K2325" s="54"/>
      <c r="L2325" s="54"/>
      <c r="M2325" s="54"/>
      <c r="N2325" s="54"/>
      <c r="O2325" s="54"/>
      <c r="P2325" s="54"/>
      <c r="Q2325" s="54"/>
      <c r="R2325" s="54"/>
      <c r="S2325" s="54"/>
      <c r="T2325" s="54"/>
      <c r="U2325" s="54"/>
      <c r="V2325" s="54"/>
      <c r="W2325" s="54"/>
      <c r="X2325" s="54"/>
      <c r="Y2325" s="54"/>
      <c r="Z2325" s="54"/>
      <c r="AA2325" s="54"/>
      <c r="AB2325" s="54"/>
      <c r="AC2325" s="54"/>
    </row>
    <row r="2326" ht="78.0" customHeight="1">
      <c r="A2326" s="26"/>
      <c r="B2326" s="26"/>
      <c r="C2326" s="28"/>
      <c r="D2326" s="825"/>
      <c r="E2326" s="28"/>
      <c r="F2326" s="28"/>
      <c r="G2326" s="28"/>
      <c r="H2326" s="28"/>
      <c r="I2326" s="28"/>
      <c r="J2326" s="28"/>
      <c r="K2326" s="28"/>
      <c r="L2326" s="28"/>
      <c r="M2326" s="28"/>
      <c r="N2326" s="28"/>
      <c r="O2326" s="28"/>
      <c r="P2326" s="28"/>
      <c r="Q2326" s="28"/>
      <c r="R2326" s="28"/>
      <c r="S2326" s="28"/>
      <c r="T2326" s="28"/>
      <c r="U2326" s="28"/>
      <c r="V2326" s="28"/>
      <c r="W2326" s="28"/>
      <c r="X2326" s="28"/>
      <c r="Y2326" s="28"/>
      <c r="Z2326" s="28"/>
      <c r="AA2326" s="28"/>
      <c r="AB2326" s="28"/>
      <c r="AC2326" s="28"/>
    </row>
    <row r="2327" ht="78.0" customHeight="1">
      <c r="A2327" s="52"/>
      <c r="B2327" s="52"/>
      <c r="C2327" s="54"/>
      <c r="D2327" s="855"/>
      <c r="E2327" s="54"/>
      <c r="F2327" s="54"/>
      <c r="G2327" s="54"/>
      <c r="H2327" s="54"/>
      <c r="I2327" s="54"/>
      <c r="J2327" s="54"/>
      <c r="K2327" s="54"/>
      <c r="L2327" s="54"/>
      <c r="M2327" s="54"/>
      <c r="N2327" s="54"/>
      <c r="O2327" s="54"/>
      <c r="P2327" s="54"/>
      <c r="Q2327" s="54"/>
      <c r="R2327" s="54"/>
      <c r="S2327" s="54"/>
      <c r="T2327" s="54"/>
      <c r="U2327" s="54"/>
      <c r="V2327" s="54"/>
      <c r="W2327" s="54"/>
      <c r="X2327" s="54"/>
      <c r="Y2327" s="54"/>
      <c r="Z2327" s="54"/>
      <c r="AA2327" s="54"/>
      <c r="AB2327" s="54"/>
      <c r="AC2327" s="54"/>
    </row>
    <row r="2328" ht="78.0" customHeight="1">
      <c r="A2328" s="26"/>
      <c r="B2328" s="26"/>
      <c r="C2328" s="28"/>
      <c r="D2328" s="825"/>
      <c r="E2328" s="28"/>
      <c r="F2328" s="28"/>
      <c r="G2328" s="28"/>
      <c r="H2328" s="28"/>
      <c r="I2328" s="28"/>
      <c r="J2328" s="28"/>
      <c r="K2328" s="28"/>
      <c r="L2328" s="28"/>
      <c r="M2328" s="28"/>
      <c r="N2328" s="28"/>
      <c r="O2328" s="28"/>
      <c r="P2328" s="28"/>
      <c r="Q2328" s="28"/>
      <c r="R2328" s="28"/>
      <c r="S2328" s="28"/>
      <c r="T2328" s="28"/>
      <c r="U2328" s="28"/>
      <c r="V2328" s="28"/>
      <c r="W2328" s="28"/>
      <c r="X2328" s="28"/>
      <c r="Y2328" s="28"/>
      <c r="Z2328" s="28"/>
      <c r="AA2328" s="28"/>
      <c r="AB2328" s="28"/>
      <c r="AC2328" s="28"/>
    </row>
    <row r="2329" ht="78.0" customHeight="1">
      <c r="A2329" s="52"/>
      <c r="B2329" s="52"/>
      <c r="C2329" s="54"/>
      <c r="D2329" s="855"/>
      <c r="E2329" s="54"/>
      <c r="F2329" s="54"/>
      <c r="G2329" s="54"/>
      <c r="H2329" s="54"/>
      <c r="I2329" s="54"/>
      <c r="J2329" s="54"/>
      <c r="K2329" s="54"/>
      <c r="L2329" s="54"/>
      <c r="M2329" s="54"/>
      <c r="N2329" s="54"/>
      <c r="O2329" s="54"/>
      <c r="P2329" s="54"/>
      <c r="Q2329" s="54"/>
      <c r="R2329" s="54"/>
      <c r="S2329" s="54"/>
      <c r="T2329" s="54"/>
      <c r="U2329" s="54"/>
      <c r="V2329" s="54"/>
      <c r="W2329" s="54"/>
      <c r="X2329" s="54"/>
      <c r="Y2329" s="54"/>
      <c r="Z2329" s="54"/>
      <c r="AA2329" s="54"/>
      <c r="AB2329" s="54"/>
      <c r="AC2329" s="54"/>
    </row>
    <row r="2330" ht="78.0" customHeight="1">
      <c r="A2330" s="26"/>
      <c r="B2330" s="26"/>
      <c r="C2330" s="28"/>
      <c r="D2330" s="825"/>
      <c r="E2330" s="28"/>
      <c r="F2330" s="28"/>
      <c r="G2330" s="28"/>
      <c r="H2330" s="28"/>
      <c r="I2330" s="28"/>
      <c r="J2330" s="28"/>
      <c r="K2330" s="28"/>
      <c r="L2330" s="28"/>
      <c r="M2330" s="28"/>
      <c r="N2330" s="28"/>
      <c r="O2330" s="28"/>
      <c r="P2330" s="28"/>
      <c r="Q2330" s="28"/>
      <c r="R2330" s="28"/>
      <c r="S2330" s="28"/>
      <c r="T2330" s="28"/>
      <c r="U2330" s="28"/>
      <c r="V2330" s="28"/>
      <c r="W2330" s="28"/>
      <c r="X2330" s="28"/>
      <c r="Y2330" s="28"/>
      <c r="Z2330" s="28"/>
      <c r="AA2330" s="28"/>
      <c r="AB2330" s="28"/>
      <c r="AC2330" s="28"/>
    </row>
    <row r="2331" ht="78.0" customHeight="1">
      <c r="A2331" s="52"/>
      <c r="B2331" s="52"/>
      <c r="C2331" s="54"/>
      <c r="D2331" s="855"/>
      <c r="E2331" s="54"/>
      <c r="F2331" s="54"/>
      <c r="G2331" s="54"/>
      <c r="H2331" s="54"/>
      <c r="I2331" s="54"/>
      <c r="J2331" s="54"/>
      <c r="K2331" s="54"/>
      <c r="L2331" s="54"/>
      <c r="M2331" s="54"/>
      <c r="N2331" s="54"/>
      <c r="O2331" s="54"/>
      <c r="P2331" s="54"/>
      <c r="Q2331" s="54"/>
      <c r="R2331" s="54"/>
      <c r="S2331" s="54"/>
      <c r="T2331" s="54"/>
      <c r="U2331" s="54"/>
      <c r="V2331" s="54"/>
      <c r="W2331" s="54"/>
      <c r="X2331" s="54"/>
      <c r="Y2331" s="54"/>
      <c r="Z2331" s="54"/>
      <c r="AA2331" s="54"/>
      <c r="AB2331" s="54"/>
      <c r="AC2331" s="54"/>
    </row>
    <row r="2332" ht="78.0" customHeight="1">
      <c r="A2332" s="26"/>
      <c r="B2332" s="26"/>
      <c r="C2332" s="28"/>
      <c r="D2332" s="825"/>
      <c r="E2332" s="28"/>
      <c r="F2332" s="28"/>
      <c r="G2332" s="28"/>
      <c r="H2332" s="28"/>
      <c r="I2332" s="28"/>
      <c r="J2332" s="28"/>
      <c r="K2332" s="28"/>
      <c r="L2332" s="28"/>
      <c r="M2332" s="28"/>
      <c r="N2332" s="28"/>
      <c r="O2332" s="28"/>
      <c r="P2332" s="28"/>
      <c r="Q2332" s="28"/>
      <c r="R2332" s="28"/>
      <c r="S2332" s="28"/>
      <c r="T2332" s="28"/>
      <c r="U2332" s="28"/>
      <c r="V2332" s="28"/>
      <c r="W2332" s="28"/>
      <c r="X2332" s="28"/>
      <c r="Y2332" s="28"/>
      <c r="Z2332" s="28"/>
      <c r="AA2332" s="28"/>
      <c r="AB2332" s="28"/>
      <c r="AC2332" s="28"/>
    </row>
    <row r="2333" ht="78.0" customHeight="1">
      <c r="A2333" s="52"/>
      <c r="B2333" s="52"/>
      <c r="C2333" s="54"/>
      <c r="D2333" s="855"/>
      <c r="E2333" s="54"/>
      <c r="F2333" s="54"/>
      <c r="G2333" s="54"/>
      <c r="H2333" s="54"/>
      <c r="I2333" s="54"/>
      <c r="J2333" s="54"/>
      <c r="K2333" s="54"/>
      <c r="L2333" s="54"/>
      <c r="M2333" s="54"/>
      <c r="N2333" s="54"/>
      <c r="O2333" s="54"/>
      <c r="P2333" s="54"/>
      <c r="Q2333" s="54"/>
      <c r="R2333" s="54"/>
      <c r="S2333" s="54"/>
      <c r="T2333" s="54"/>
      <c r="U2333" s="54"/>
      <c r="V2333" s="54"/>
      <c r="W2333" s="54"/>
      <c r="X2333" s="54"/>
      <c r="Y2333" s="54"/>
      <c r="Z2333" s="54"/>
      <c r="AA2333" s="54"/>
      <c r="AB2333" s="54"/>
      <c r="AC2333" s="54"/>
    </row>
    <row r="2334" ht="78.0" customHeight="1">
      <c r="A2334" s="26"/>
      <c r="B2334" s="26"/>
      <c r="C2334" s="28"/>
      <c r="D2334" s="825"/>
      <c r="E2334" s="28"/>
      <c r="F2334" s="28"/>
      <c r="G2334" s="28"/>
      <c r="H2334" s="28"/>
      <c r="I2334" s="28"/>
      <c r="J2334" s="28"/>
      <c r="K2334" s="28"/>
      <c r="L2334" s="28"/>
      <c r="M2334" s="28"/>
      <c r="N2334" s="28"/>
      <c r="O2334" s="28"/>
      <c r="P2334" s="28"/>
      <c r="Q2334" s="28"/>
      <c r="R2334" s="28"/>
      <c r="S2334" s="28"/>
      <c r="T2334" s="28"/>
      <c r="U2334" s="28"/>
      <c r="V2334" s="28"/>
      <c r="W2334" s="28"/>
      <c r="X2334" s="28"/>
      <c r="Y2334" s="28"/>
      <c r="Z2334" s="28"/>
      <c r="AA2334" s="28"/>
      <c r="AB2334" s="28"/>
      <c r="AC2334" s="28"/>
    </row>
    <row r="2335" ht="78.0" customHeight="1">
      <c r="A2335" s="52"/>
      <c r="B2335" s="52"/>
      <c r="C2335" s="54"/>
      <c r="D2335" s="855"/>
      <c r="E2335" s="54"/>
      <c r="F2335" s="54"/>
      <c r="G2335" s="54"/>
      <c r="H2335" s="54"/>
      <c r="I2335" s="54"/>
      <c r="J2335" s="54"/>
      <c r="K2335" s="54"/>
      <c r="L2335" s="54"/>
      <c r="M2335" s="54"/>
      <c r="N2335" s="54"/>
      <c r="O2335" s="54"/>
      <c r="P2335" s="54"/>
      <c r="Q2335" s="54"/>
      <c r="R2335" s="54"/>
      <c r="S2335" s="54"/>
      <c r="T2335" s="54"/>
      <c r="U2335" s="54"/>
      <c r="V2335" s="54"/>
      <c r="W2335" s="54"/>
      <c r="X2335" s="54"/>
      <c r="Y2335" s="54"/>
      <c r="Z2335" s="54"/>
      <c r="AA2335" s="54"/>
      <c r="AB2335" s="54"/>
      <c r="AC2335" s="54"/>
    </row>
    <row r="2336" ht="78.0" customHeight="1">
      <c r="A2336" s="26"/>
      <c r="B2336" s="26"/>
      <c r="C2336" s="28"/>
      <c r="D2336" s="825"/>
      <c r="E2336" s="28"/>
      <c r="F2336" s="28"/>
      <c r="G2336" s="28"/>
      <c r="H2336" s="28"/>
      <c r="I2336" s="28"/>
      <c r="J2336" s="28"/>
      <c r="K2336" s="28"/>
      <c r="L2336" s="28"/>
      <c r="M2336" s="28"/>
      <c r="N2336" s="28"/>
      <c r="O2336" s="28"/>
      <c r="P2336" s="28"/>
      <c r="Q2336" s="28"/>
      <c r="R2336" s="28"/>
      <c r="S2336" s="28"/>
      <c r="T2336" s="28"/>
      <c r="U2336" s="28"/>
      <c r="V2336" s="28"/>
      <c r="W2336" s="28"/>
      <c r="X2336" s="28"/>
      <c r="Y2336" s="28"/>
      <c r="Z2336" s="28"/>
      <c r="AA2336" s="28"/>
      <c r="AB2336" s="28"/>
      <c r="AC2336" s="28"/>
    </row>
    <row r="2337" ht="78.0" customHeight="1">
      <c r="A2337" s="52"/>
      <c r="B2337" s="52"/>
      <c r="C2337" s="54"/>
      <c r="D2337" s="855"/>
      <c r="E2337" s="54"/>
      <c r="F2337" s="54"/>
      <c r="G2337" s="54"/>
      <c r="H2337" s="54"/>
      <c r="I2337" s="54"/>
      <c r="J2337" s="54"/>
      <c r="K2337" s="54"/>
      <c r="L2337" s="54"/>
      <c r="M2337" s="54"/>
      <c r="N2337" s="54"/>
      <c r="O2337" s="54"/>
      <c r="P2337" s="54"/>
      <c r="Q2337" s="54"/>
      <c r="R2337" s="54"/>
      <c r="S2337" s="54"/>
      <c r="T2337" s="54"/>
      <c r="U2337" s="54"/>
      <c r="V2337" s="54"/>
      <c r="W2337" s="54"/>
      <c r="X2337" s="54"/>
      <c r="Y2337" s="54"/>
      <c r="Z2337" s="54"/>
      <c r="AA2337" s="54"/>
      <c r="AB2337" s="54"/>
      <c r="AC2337" s="54"/>
    </row>
    <row r="2338" ht="78.0" customHeight="1">
      <c r="A2338" s="26"/>
      <c r="B2338" s="26"/>
      <c r="C2338" s="28"/>
      <c r="D2338" s="825"/>
      <c r="E2338" s="28"/>
      <c r="F2338" s="28"/>
      <c r="G2338" s="28"/>
      <c r="H2338" s="28"/>
      <c r="I2338" s="28"/>
      <c r="J2338" s="28"/>
      <c r="K2338" s="28"/>
      <c r="L2338" s="28"/>
      <c r="M2338" s="28"/>
      <c r="N2338" s="28"/>
      <c r="O2338" s="28"/>
      <c r="P2338" s="28"/>
      <c r="Q2338" s="28"/>
      <c r="R2338" s="28"/>
      <c r="S2338" s="28"/>
      <c r="T2338" s="28"/>
      <c r="U2338" s="28"/>
      <c r="V2338" s="28"/>
      <c r="W2338" s="28"/>
      <c r="X2338" s="28"/>
      <c r="Y2338" s="28"/>
      <c r="Z2338" s="28"/>
      <c r="AA2338" s="28"/>
      <c r="AB2338" s="28"/>
      <c r="AC2338" s="28"/>
    </row>
    <row r="2339" ht="78.0" customHeight="1">
      <c r="A2339" s="52"/>
      <c r="B2339" s="52"/>
      <c r="C2339" s="54"/>
      <c r="D2339" s="855"/>
      <c r="E2339" s="54"/>
      <c r="F2339" s="54"/>
      <c r="G2339" s="54"/>
      <c r="H2339" s="54"/>
      <c r="I2339" s="54"/>
      <c r="J2339" s="54"/>
      <c r="K2339" s="54"/>
      <c r="L2339" s="54"/>
      <c r="M2339" s="54"/>
      <c r="N2339" s="54"/>
      <c r="O2339" s="54"/>
      <c r="P2339" s="54"/>
      <c r="Q2339" s="54"/>
      <c r="R2339" s="54"/>
      <c r="S2339" s="54"/>
      <c r="T2339" s="54"/>
      <c r="U2339" s="54"/>
      <c r="V2339" s="54"/>
      <c r="W2339" s="54"/>
      <c r="X2339" s="54"/>
      <c r="Y2339" s="54"/>
      <c r="Z2339" s="54"/>
      <c r="AA2339" s="54"/>
      <c r="AB2339" s="54"/>
      <c r="AC2339" s="54"/>
    </row>
    <row r="2340" ht="78.0" customHeight="1">
      <c r="A2340" s="26"/>
      <c r="B2340" s="26"/>
      <c r="C2340" s="28"/>
      <c r="D2340" s="825"/>
      <c r="E2340" s="28"/>
      <c r="F2340" s="28"/>
      <c r="G2340" s="28"/>
      <c r="H2340" s="28"/>
      <c r="I2340" s="28"/>
      <c r="J2340" s="28"/>
      <c r="K2340" s="28"/>
      <c r="L2340" s="28"/>
      <c r="M2340" s="28"/>
      <c r="N2340" s="28"/>
      <c r="O2340" s="28"/>
      <c r="P2340" s="28"/>
      <c r="Q2340" s="28"/>
      <c r="R2340" s="28"/>
      <c r="S2340" s="28"/>
      <c r="T2340" s="28"/>
      <c r="U2340" s="28"/>
      <c r="V2340" s="28"/>
      <c r="W2340" s="28"/>
      <c r="X2340" s="28"/>
      <c r="Y2340" s="28"/>
      <c r="Z2340" s="28"/>
      <c r="AA2340" s="28"/>
      <c r="AB2340" s="28"/>
      <c r="AC2340" s="28"/>
    </row>
    <row r="2341" ht="78.0" customHeight="1">
      <c r="A2341" s="52"/>
      <c r="B2341" s="52"/>
      <c r="C2341" s="54"/>
      <c r="D2341" s="855"/>
      <c r="E2341" s="54"/>
      <c r="F2341" s="54"/>
      <c r="G2341" s="54"/>
      <c r="H2341" s="54"/>
      <c r="I2341" s="54"/>
      <c r="J2341" s="54"/>
      <c r="K2341" s="54"/>
      <c r="L2341" s="54"/>
      <c r="M2341" s="54"/>
      <c r="N2341" s="54"/>
      <c r="O2341" s="54"/>
      <c r="P2341" s="54"/>
      <c r="Q2341" s="54"/>
      <c r="R2341" s="54"/>
      <c r="S2341" s="54"/>
      <c r="T2341" s="54"/>
      <c r="U2341" s="54"/>
      <c r="V2341" s="54"/>
      <c r="W2341" s="54"/>
      <c r="X2341" s="54"/>
      <c r="Y2341" s="54"/>
      <c r="Z2341" s="54"/>
      <c r="AA2341" s="54"/>
      <c r="AB2341" s="54"/>
      <c r="AC2341" s="54"/>
    </row>
    <row r="2342" ht="78.0" customHeight="1">
      <c r="A2342" s="26"/>
      <c r="B2342" s="26"/>
      <c r="C2342" s="28"/>
      <c r="D2342" s="825"/>
      <c r="E2342" s="28"/>
      <c r="F2342" s="28"/>
      <c r="G2342" s="28"/>
      <c r="H2342" s="28"/>
      <c r="I2342" s="28"/>
      <c r="J2342" s="28"/>
      <c r="K2342" s="28"/>
      <c r="L2342" s="28"/>
      <c r="M2342" s="28"/>
      <c r="N2342" s="28"/>
      <c r="O2342" s="28"/>
      <c r="P2342" s="28"/>
      <c r="Q2342" s="28"/>
      <c r="R2342" s="28"/>
      <c r="S2342" s="28"/>
      <c r="T2342" s="28"/>
      <c r="U2342" s="28"/>
      <c r="V2342" s="28"/>
      <c r="W2342" s="28"/>
      <c r="X2342" s="28"/>
      <c r="Y2342" s="28"/>
      <c r="Z2342" s="28"/>
      <c r="AA2342" s="28"/>
      <c r="AB2342" s="28"/>
      <c r="AC2342" s="28"/>
    </row>
    <row r="2343" ht="78.0" customHeight="1">
      <c r="A2343" s="52"/>
      <c r="B2343" s="52"/>
      <c r="C2343" s="54"/>
      <c r="D2343" s="855"/>
      <c r="E2343" s="54"/>
      <c r="F2343" s="54"/>
      <c r="G2343" s="54"/>
      <c r="H2343" s="54"/>
      <c r="I2343" s="54"/>
      <c r="J2343" s="54"/>
      <c r="K2343" s="54"/>
      <c r="L2343" s="54"/>
      <c r="M2343" s="54"/>
      <c r="N2343" s="54"/>
      <c r="O2343" s="54"/>
      <c r="P2343" s="54"/>
      <c r="Q2343" s="54"/>
      <c r="R2343" s="54"/>
      <c r="S2343" s="54"/>
      <c r="T2343" s="54"/>
      <c r="U2343" s="54"/>
      <c r="V2343" s="54"/>
      <c r="W2343" s="54"/>
      <c r="X2343" s="54"/>
      <c r="Y2343" s="54"/>
      <c r="Z2343" s="54"/>
      <c r="AA2343" s="54"/>
      <c r="AB2343" s="54"/>
      <c r="AC2343" s="54"/>
    </row>
    <row r="2344" ht="78.0" customHeight="1">
      <c r="A2344" s="26"/>
      <c r="B2344" s="26"/>
      <c r="C2344" s="28"/>
      <c r="D2344" s="825"/>
      <c r="E2344" s="28"/>
      <c r="F2344" s="28"/>
      <c r="G2344" s="28"/>
      <c r="H2344" s="28"/>
      <c r="I2344" s="28"/>
      <c r="J2344" s="28"/>
      <c r="K2344" s="28"/>
      <c r="L2344" s="28"/>
      <c r="M2344" s="28"/>
      <c r="N2344" s="28"/>
      <c r="O2344" s="28"/>
      <c r="P2344" s="28"/>
      <c r="Q2344" s="28"/>
      <c r="R2344" s="28"/>
      <c r="S2344" s="28"/>
      <c r="T2344" s="28"/>
      <c r="U2344" s="28"/>
      <c r="V2344" s="28"/>
      <c r="W2344" s="28"/>
      <c r="X2344" s="28"/>
      <c r="Y2344" s="28"/>
      <c r="Z2344" s="28"/>
      <c r="AA2344" s="28"/>
      <c r="AB2344" s="28"/>
      <c r="AC2344" s="28"/>
    </row>
    <row r="2345" ht="78.0" customHeight="1">
      <c r="A2345" s="52"/>
      <c r="B2345" s="52"/>
      <c r="C2345" s="54"/>
      <c r="D2345" s="855"/>
      <c r="E2345" s="54"/>
      <c r="F2345" s="54"/>
      <c r="G2345" s="54"/>
      <c r="H2345" s="54"/>
      <c r="I2345" s="54"/>
      <c r="J2345" s="54"/>
      <c r="K2345" s="54"/>
      <c r="L2345" s="54"/>
      <c r="M2345" s="54"/>
      <c r="N2345" s="54"/>
      <c r="O2345" s="54"/>
      <c r="P2345" s="54"/>
      <c r="Q2345" s="54"/>
      <c r="R2345" s="54"/>
      <c r="S2345" s="54"/>
      <c r="T2345" s="54"/>
      <c r="U2345" s="54"/>
      <c r="V2345" s="54"/>
      <c r="W2345" s="54"/>
      <c r="X2345" s="54"/>
      <c r="Y2345" s="54"/>
      <c r="Z2345" s="54"/>
      <c r="AA2345" s="54"/>
      <c r="AB2345" s="54"/>
      <c r="AC2345" s="54"/>
    </row>
    <row r="2346" ht="78.0" customHeight="1">
      <c r="A2346" s="26"/>
      <c r="B2346" s="26"/>
      <c r="C2346" s="28"/>
      <c r="D2346" s="825"/>
      <c r="E2346" s="28"/>
      <c r="F2346" s="28"/>
      <c r="G2346" s="28"/>
      <c r="H2346" s="28"/>
      <c r="I2346" s="28"/>
      <c r="J2346" s="28"/>
      <c r="K2346" s="28"/>
      <c r="L2346" s="28"/>
      <c r="M2346" s="28"/>
      <c r="N2346" s="28"/>
      <c r="O2346" s="28"/>
      <c r="P2346" s="28"/>
      <c r="Q2346" s="28"/>
      <c r="R2346" s="28"/>
      <c r="S2346" s="28"/>
      <c r="T2346" s="28"/>
      <c r="U2346" s="28"/>
      <c r="V2346" s="28"/>
      <c r="W2346" s="28"/>
      <c r="X2346" s="28"/>
      <c r="Y2346" s="28"/>
      <c r="Z2346" s="28"/>
      <c r="AA2346" s="28"/>
      <c r="AB2346" s="28"/>
      <c r="AC2346" s="28"/>
    </row>
    <row r="2347" ht="78.0" customHeight="1">
      <c r="A2347" s="52"/>
      <c r="B2347" s="52"/>
      <c r="C2347" s="54"/>
      <c r="D2347" s="855"/>
      <c r="E2347" s="54"/>
      <c r="F2347" s="54"/>
      <c r="G2347" s="54"/>
      <c r="H2347" s="54"/>
      <c r="I2347" s="54"/>
      <c r="J2347" s="54"/>
      <c r="K2347" s="54"/>
      <c r="L2347" s="54"/>
      <c r="M2347" s="54"/>
      <c r="N2347" s="54"/>
      <c r="O2347" s="54"/>
      <c r="P2347" s="54"/>
      <c r="Q2347" s="54"/>
      <c r="R2347" s="54"/>
      <c r="S2347" s="54"/>
      <c r="T2347" s="54"/>
      <c r="U2347" s="54"/>
      <c r="V2347" s="54"/>
      <c r="W2347" s="54"/>
      <c r="X2347" s="54"/>
      <c r="Y2347" s="54"/>
      <c r="Z2347" s="54"/>
      <c r="AA2347" s="54"/>
      <c r="AB2347" s="54"/>
      <c r="AC2347" s="54"/>
    </row>
    <row r="2348" ht="78.0" customHeight="1">
      <c r="A2348" s="26"/>
      <c r="B2348" s="26"/>
      <c r="C2348" s="28"/>
      <c r="D2348" s="825"/>
      <c r="E2348" s="28"/>
      <c r="F2348" s="28"/>
      <c r="G2348" s="28"/>
      <c r="H2348" s="28"/>
      <c r="I2348" s="28"/>
      <c r="J2348" s="28"/>
      <c r="K2348" s="28"/>
      <c r="L2348" s="28"/>
      <c r="M2348" s="28"/>
      <c r="N2348" s="28"/>
      <c r="O2348" s="28"/>
      <c r="P2348" s="28"/>
      <c r="Q2348" s="28"/>
      <c r="R2348" s="28"/>
      <c r="S2348" s="28"/>
      <c r="T2348" s="28"/>
      <c r="U2348" s="28"/>
      <c r="V2348" s="28"/>
      <c r="W2348" s="28"/>
      <c r="X2348" s="28"/>
      <c r="Y2348" s="28"/>
      <c r="Z2348" s="28"/>
      <c r="AA2348" s="28"/>
      <c r="AB2348" s="28"/>
      <c r="AC2348" s="28"/>
    </row>
    <row r="2349" ht="78.0" customHeight="1">
      <c r="A2349" s="52"/>
      <c r="B2349" s="52"/>
      <c r="C2349" s="54"/>
      <c r="D2349" s="855"/>
      <c r="E2349" s="54"/>
      <c r="F2349" s="54"/>
      <c r="G2349" s="54"/>
      <c r="H2349" s="54"/>
      <c r="I2349" s="54"/>
      <c r="J2349" s="54"/>
      <c r="K2349" s="54"/>
      <c r="L2349" s="54"/>
      <c r="M2349" s="54"/>
      <c r="N2349" s="54"/>
      <c r="O2349" s="54"/>
      <c r="P2349" s="54"/>
      <c r="Q2349" s="54"/>
      <c r="R2349" s="54"/>
      <c r="S2349" s="54"/>
      <c r="T2349" s="54"/>
      <c r="U2349" s="54"/>
      <c r="V2349" s="54"/>
      <c r="W2349" s="54"/>
      <c r="X2349" s="54"/>
      <c r="Y2349" s="54"/>
      <c r="Z2349" s="54"/>
      <c r="AA2349" s="54"/>
      <c r="AB2349" s="54"/>
      <c r="AC2349" s="54"/>
    </row>
    <row r="2350" ht="78.0" customHeight="1">
      <c r="A2350" s="26"/>
      <c r="B2350" s="26"/>
      <c r="C2350" s="28"/>
      <c r="D2350" s="825"/>
      <c r="E2350" s="28"/>
      <c r="F2350" s="28"/>
      <c r="G2350" s="28"/>
      <c r="H2350" s="28"/>
      <c r="I2350" s="28"/>
      <c r="J2350" s="28"/>
      <c r="K2350" s="28"/>
      <c r="L2350" s="28"/>
      <c r="M2350" s="28"/>
      <c r="N2350" s="28"/>
      <c r="O2350" s="28"/>
      <c r="P2350" s="28"/>
      <c r="Q2350" s="28"/>
      <c r="R2350" s="28"/>
      <c r="S2350" s="28"/>
      <c r="T2350" s="28"/>
      <c r="U2350" s="28"/>
      <c r="V2350" s="28"/>
      <c r="W2350" s="28"/>
      <c r="X2350" s="28"/>
      <c r="Y2350" s="28"/>
      <c r="Z2350" s="28"/>
      <c r="AA2350" s="28"/>
      <c r="AB2350" s="28"/>
      <c r="AC2350" s="28"/>
    </row>
    <row r="2351" ht="78.0" customHeight="1">
      <c r="A2351" s="52"/>
      <c r="B2351" s="52"/>
      <c r="C2351" s="54"/>
      <c r="D2351" s="855"/>
      <c r="E2351" s="54"/>
      <c r="F2351" s="54"/>
      <c r="G2351" s="54"/>
      <c r="H2351" s="54"/>
      <c r="I2351" s="54"/>
      <c r="J2351" s="54"/>
      <c r="K2351" s="54"/>
      <c r="L2351" s="54"/>
      <c r="M2351" s="54"/>
      <c r="N2351" s="54"/>
      <c r="O2351" s="54"/>
      <c r="P2351" s="54"/>
      <c r="Q2351" s="54"/>
      <c r="R2351" s="54"/>
      <c r="S2351" s="54"/>
      <c r="T2351" s="54"/>
      <c r="U2351" s="54"/>
      <c r="V2351" s="54"/>
      <c r="W2351" s="54"/>
      <c r="X2351" s="54"/>
      <c r="Y2351" s="54"/>
      <c r="Z2351" s="54"/>
      <c r="AA2351" s="54"/>
      <c r="AB2351" s="54"/>
      <c r="AC2351" s="54"/>
    </row>
    <row r="2352" ht="78.0" customHeight="1">
      <c r="A2352" s="26"/>
      <c r="B2352" s="26"/>
      <c r="C2352" s="28"/>
      <c r="D2352" s="825"/>
      <c r="E2352" s="28"/>
      <c r="F2352" s="28"/>
      <c r="G2352" s="28"/>
      <c r="H2352" s="28"/>
      <c r="I2352" s="28"/>
      <c r="J2352" s="28"/>
      <c r="K2352" s="28"/>
      <c r="L2352" s="28"/>
      <c r="M2352" s="28"/>
      <c r="N2352" s="28"/>
      <c r="O2352" s="28"/>
      <c r="P2352" s="28"/>
      <c r="Q2352" s="28"/>
      <c r="R2352" s="28"/>
      <c r="S2352" s="28"/>
      <c r="T2352" s="28"/>
      <c r="U2352" s="28"/>
      <c r="V2352" s="28"/>
      <c r="W2352" s="28"/>
      <c r="X2352" s="28"/>
      <c r="Y2352" s="28"/>
      <c r="Z2352" s="28"/>
      <c r="AA2352" s="28"/>
      <c r="AB2352" s="28"/>
      <c r="AC2352" s="28"/>
    </row>
    <row r="2353" ht="78.0" customHeight="1">
      <c r="A2353" s="52"/>
      <c r="B2353" s="52"/>
      <c r="C2353" s="54"/>
      <c r="D2353" s="855"/>
      <c r="E2353" s="54"/>
      <c r="F2353" s="54"/>
      <c r="G2353" s="54"/>
      <c r="H2353" s="54"/>
      <c r="I2353" s="54"/>
      <c r="J2353" s="54"/>
      <c r="K2353" s="54"/>
      <c r="L2353" s="54"/>
      <c r="M2353" s="54"/>
      <c r="N2353" s="54"/>
      <c r="O2353" s="54"/>
      <c r="P2353" s="54"/>
      <c r="Q2353" s="54"/>
      <c r="R2353" s="54"/>
      <c r="S2353" s="54"/>
      <c r="T2353" s="54"/>
      <c r="U2353" s="54"/>
      <c r="V2353" s="54"/>
      <c r="W2353" s="54"/>
      <c r="X2353" s="54"/>
      <c r="Y2353" s="54"/>
      <c r="Z2353" s="54"/>
      <c r="AA2353" s="54"/>
      <c r="AB2353" s="54"/>
      <c r="AC2353" s="54"/>
    </row>
    <row r="2354" ht="78.0" customHeight="1">
      <c r="A2354" s="26"/>
      <c r="B2354" s="26"/>
      <c r="C2354" s="28"/>
      <c r="D2354" s="825"/>
      <c r="E2354" s="28"/>
      <c r="F2354" s="28"/>
      <c r="G2354" s="28"/>
      <c r="H2354" s="28"/>
      <c r="I2354" s="28"/>
      <c r="J2354" s="28"/>
      <c r="K2354" s="28"/>
      <c r="L2354" s="28"/>
      <c r="M2354" s="28"/>
      <c r="N2354" s="28"/>
      <c r="O2354" s="28"/>
      <c r="P2354" s="28"/>
      <c r="Q2354" s="28"/>
      <c r="R2354" s="28"/>
      <c r="S2354" s="28"/>
      <c r="T2354" s="28"/>
      <c r="U2354" s="28"/>
      <c r="V2354" s="28"/>
      <c r="W2354" s="28"/>
      <c r="X2354" s="28"/>
      <c r="Y2354" s="28"/>
      <c r="Z2354" s="28"/>
      <c r="AA2354" s="28"/>
      <c r="AB2354" s="28"/>
      <c r="AC2354" s="28"/>
    </row>
    <row r="2355" ht="78.0" customHeight="1">
      <c r="A2355" s="52"/>
      <c r="B2355" s="52"/>
      <c r="C2355" s="54"/>
      <c r="D2355" s="855"/>
      <c r="E2355" s="54"/>
      <c r="F2355" s="54"/>
      <c r="G2355" s="54"/>
      <c r="H2355" s="54"/>
      <c r="I2355" s="54"/>
      <c r="J2355" s="54"/>
      <c r="K2355" s="54"/>
      <c r="L2355" s="54"/>
      <c r="M2355" s="54"/>
      <c r="N2355" s="54"/>
      <c r="O2355" s="54"/>
      <c r="P2355" s="54"/>
      <c r="Q2355" s="54"/>
      <c r="R2355" s="54"/>
      <c r="S2355" s="54"/>
      <c r="T2355" s="54"/>
      <c r="U2355" s="54"/>
      <c r="V2355" s="54"/>
      <c r="W2355" s="54"/>
      <c r="X2355" s="54"/>
      <c r="Y2355" s="54"/>
      <c r="Z2355" s="54"/>
      <c r="AA2355" s="54"/>
      <c r="AB2355" s="54"/>
      <c r="AC2355" s="54"/>
    </row>
    <row r="2356" ht="78.0" customHeight="1">
      <c r="A2356" s="26"/>
      <c r="B2356" s="26"/>
      <c r="C2356" s="28"/>
      <c r="D2356" s="825"/>
      <c r="E2356" s="28"/>
      <c r="F2356" s="28"/>
      <c r="G2356" s="28"/>
      <c r="H2356" s="28"/>
      <c r="I2356" s="28"/>
      <c r="J2356" s="28"/>
      <c r="K2356" s="28"/>
      <c r="L2356" s="28"/>
      <c r="M2356" s="28"/>
      <c r="N2356" s="28"/>
      <c r="O2356" s="28"/>
      <c r="P2356" s="28"/>
      <c r="Q2356" s="28"/>
      <c r="R2356" s="28"/>
      <c r="S2356" s="28"/>
      <c r="T2356" s="28"/>
      <c r="U2356" s="28"/>
      <c r="V2356" s="28"/>
      <c r="W2356" s="28"/>
      <c r="X2356" s="28"/>
      <c r="Y2356" s="28"/>
      <c r="Z2356" s="28"/>
      <c r="AA2356" s="28"/>
      <c r="AB2356" s="28"/>
      <c r="AC2356" s="28"/>
    </row>
    <row r="2357" ht="78.0" customHeight="1">
      <c r="A2357" s="52"/>
      <c r="B2357" s="52"/>
      <c r="C2357" s="54"/>
      <c r="D2357" s="855"/>
      <c r="E2357" s="54"/>
      <c r="F2357" s="54"/>
      <c r="G2357" s="54"/>
      <c r="H2357" s="54"/>
      <c r="I2357" s="54"/>
      <c r="J2357" s="54"/>
      <c r="K2357" s="54"/>
      <c r="L2357" s="54"/>
      <c r="M2357" s="54"/>
      <c r="N2357" s="54"/>
      <c r="O2357" s="54"/>
      <c r="P2357" s="54"/>
      <c r="Q2357" s="54"/>
      <c r="R2357" s="54"/>
      <c r="S2357" s="54"/>
      <c r="T2357" s="54"/>
      <c r="U2357" s="54"/>
      <c r="V2357" s="54"/>
      <c r="W2357" s="54"/>
      <c r="X2357" s="54"/>
      <c r="Y2357" s="54"/>
      <c r="Z2357" s="54"/>
      <c r="AA2357" s="54"/>
      <c r="AB2357" s="54"/>
      <c r="AC2357" s="54"/>
    </row>
    <row r="2358" ht="78.0" customHeight="1">
      <c r="A2358" s="26"/>
      <c r="B2358" s="26"/>
      <c r="C2358" s="28"/>
      <c r="D2358" s="825"/>
      <c r="E2358" s="28"/>
      <c r="F2358" s="28"/>
      <c r="G2358" s="28"/>
      <c r="H2358" s="28"/>
      <c r="I2358" s="28"/>
      <c r="J2358" s="28"/>
      <c r="K2358" s="28"/>
      <c r="L2358" s="28"/>
      <c r="M2358" s="28"/>
      <c r="N2358" s="28"/>
      <c r="O2358" s="28"/>
      <c r="P2358" s="28"/>
      <c r="Q2358" s="28"/>
      <c r="R2358" s="28"/>
      <c r="S2358" s="28"/>
      <c r="T2358" s="28"/>
      <c r="U2358" s="28"/>
      <c r="V2358" s="28"/>
      <c r="W2358" s="28"/>
      <c r="X2358" s="28"/>
      <c r="Y2358" s="28"/>
      <c r="Z2358" s="28"/>
      <c r="AA2358" s="28"/>
      <c r="AB2358" s="28"/>
      <c r="AC2358" s="28"/>
    </row>
    <row r="2359" ht="78.0" customHeight="1">
      <c r="A2359" s="52"/>
      <c r="B2359" s="52"/>
      <c r="C2359" s="54"/>
      <c r="D2359" s="855"/>
      <c r="E2359" s="54"/>
      <c r="F2359" s="54"/>
      <c r="G2359" s="54"/>
      <c r="H2359" s="54"/>
      <c r="I2359" s="54"/>
      <c r="J2359" s="54"/>
      <c r="K2359" s="54"/>
      <c r="L2359" s="54"/>
      <c r="M2359" s="54"/>
      <c r="N2359" s="54"/>
      <c r="O2359" s="54"/>
      <c r="P2359" s="54"/>
      <c r="Q2359" s="54"/>
      <c r="R2359" s="54"/>
      <c r="S2359" s="54"/>
      <c r="T2359" s="54"/>
      <c r="U2359" s="54"/>
      <c r="V2359" s="54"/>
      <c r="W2359" s="54"/>
      <c r="X2359" s="54"/>
      <c r="Y2359" s="54"/>
      <c r="Z2359" s="54"/>
      <c r="AA2359" s="54"/>
      <c r="AB2359" s="54"/>
      <c r="AC2359" s="54"/>
    </row>
    <row r="2360" ht="78.0" customHeight="1">
      <c r="A2360" s="26"/>
      <c r="B2360" s="26"/>
      <c r="C2360" s="28"/>
      <c r="D2360" s="825"/>
      <c r="E2360" s="28"/>
      <c r="F2360" s="28"/>
      <c r="G2360" s="28"/>
      <c r="H2360" s="28"/>
      <c r="I2360" s="28"/>
      <c r="J2360" s="28"/>
      <c r="K2360" s="28"/>
      <c r="L2360" s="28"/>
      <c r="M2360" s="28"/>
      <c r="N2360" s="28"/>
      <c r="O2360" s="28"/>
      <c r="P2360" s="28"/>
      <c r="Q2360" s="28"/>
      <c r="R2360" s="28"/>
      <c r="S2360" s="28"/>
      <c r="T2360" s="28"/>
      <c r="U2360" s="28"/>
      <c r="V2360" s="28"/>
      <c r="W2360" s="28"/>
      <c r="X2360" s="28"/>
      <c r="Y2360" s="28"/>
      <c r="Z2360" s="28"/>
      <c r="AA2360" s="28"/>
      <c r="AB2360" s="28"/>
      <c r="AC2360" s="28"/>
    </row>
    <row r="2361" ht="78.0" customHeight="1">
      <c r="A2361" s="52"/>
      <c r="B2361" s="52"/>
      <c r="C2361" s="54"/>
      <c r="D2361" s="855"/>
      <c r="E2361" s="54"/>
      <c r="F2361" s="54"/>
      <c r="G2361" s="54"/>
      <c r="H2361" s="54"/>
      <c r="I2361" s="54"/>
      <c r="J2361" s="54"/>
      <c r="K2361" s="54"/>
      <c r="L2361" s="54"/>
      <c r="M2361" s="54"/>
      <c r="N2361" s="54"/>
      <c r="O2361" s="54"/>
      <c r="P2361" s="54"/>
      <c r="Q2361" s="54"/>
      <c r="R2361" s="54"/>
      <c r="S2361" s="54"/>
      <c r="T2361" s="54"/>
      <c r="U2361" s="54"/>
      <c r="V2361" s="54"/>
      <c r="W2361" s="54"/>
      <c r="X2361" s="54"/>
      <c r="Y2361" s="54"/>
      <c r="Z2361" s="54"/>
      <c r="AA2361" s="54"/>
      <c r="AB2361" s="54"/>
      <c r="AC2361" s="54"/>
    </row>
    <row r="2362" ht="78.0" customHeight="1">
      <c r="A2362" s="26"/>
      <c r="B2362" s="26"/>
      <c r="C2362" s="28"/>
      <c r="D2362" s="825"/>
      <c r="E2362" s="28"/>
      <c r="F2362" s="28"/>
      <c r="G2362" s="28"/>
      <c r="H2362" s="28"/>
      <c r="I2362" s="28"/>
      <c r="J2362" s="28"/>
      <c r="K2362" s="28"/>
      <c r="L2362" s="28"/>
      <c r="M2362" s="28"/>
      <c r="N2362" s="28"/>
      <c r="O2362" s="28"/>
      <c r="P2362" s="28"/>
      <c r="Q2362" s="28"/>
      <c r="R2362" s="28"/>
      <c r="S2362" s="28"/>
      <c r="T2362" s="28"/>
      <c r="U2362" s="28"/>
      <c r="V2362" s="28"/>
      <c r="W2362" s="28"/>
      <c r="X2362" s="28"/>
      <c r="Y2362" s="28"/>
      <c r="Z2362" s="28"/>
      <c r="AA2362" s="28"/>
      <c r="AB2362" s="28"/>
      <c r="AC2362" s="28"/>
    </row>
    <row r="2363" ht="78.0" customHeight="1">
      <c r="A2363" s="52"/>
      <c r="B2363" s="52"/>
      <c r="C2363" s="54"/>
      <c r="D2363" s="855"/>
      <c r="E2363" s="54"/>
      <c r="F2363" s="54"/>
      <c r="G2363" s="54"/>
      <c r="H2363" s="54"/>
      <c r="I2363" s="54"/>
      <c r="J2363" s="54"/>
      <c r="K2363" s="54"/>
      <c r="L2363" s="54"/>
      <c r="M2363" s="54"/>
      <c r="N2363" s="54"/>
      <c r="O2363" s="54"/>
      <c r="P2363" s="54"/>
      <c r="Q2363" s="54"/>
      <c r="R2363" s="54"/>
      <c r="S2363" s="54"/>
      <c r="T2363" s="54"/>
      <c r="U2363" s="54"/>
      <c r="V2363" s="54"/>
      <c r="W2363" s="54"/>
      <c r="X2363" s="54"/>
      <c r="Y2363" s="54"/>
      <c r="Z2363" s="54"/>
      <c r="AA2363" s="54"/>
      <c r="AB2363" s="54"/>
      <c r="AC2363" s="54"/>
    </row>
    <row r="2364" ht="78.0" customHeight="1">
      <c r="A2364" s="26"/>
      <c r="B2364" s="26"/>
      <c r="C2364" s="28"/>
      <c r="D2364" s="825"/>
      <c r="E2364" s="28"/>
      <c r="F2364" s="28"/>
      <c r="G2364" s="28"/>
      <c r="H2364" s="28"/>
      <c r="I2364" s="28"/>
      <c r="J2364" s="28"/>
      <c r="K2364" s="28"/>
      <c r="L2364" s="28"/>
      <c r="M2364" s="28"/>
      <c r="N2364" s="28"/>
      <c r="O2364" s="28"/>
      <c r="P2364" s="28"/>
      <c r="Q2364" s="28"/>
      <c r="R2364" s="28"/>
      <c r="S2364" s="28"/>
      <c r="T2364" s="28"/>
      <c r="U2364" s="28"/>
      <c r="V2364" s="28"/>
      <c r="W2364" s="28"/>
      <c r="X2364" s="28"/>
      <c r="Y2364" s="28"/>
      <c r="Z2364" s="28"/>
      <c r="AA2364" s="28"/>
      <c r="AB2364" s="28"/>
      <c r="AC2364" s="28"/>
    </row>
    <row r="2365" ht="78.0" customHeight="1">
      <c r="A2365" s="52"/>
      <c r="B2365" s="52"/>
      <c r="C2365" s="54"/>
      <c r="D2365" s="855"/>
      <c r="E2365" s="54"/>
      <c r="F2365" s="54"/>
      <c r="G2365" s="54"/>
      <c r="H2365" s="54"/>
      <c r="I2365" s="54"/>
      <c r="J2365" s="54"/>
      <c r="K2365" s="54"/>
      <c r="L2365" s="54"/>
      <c r="M2365" s="54"/>
      <c r="N2365" s="54"/>
      <c r="O2365" s="54"/>
      <c r="P2365" s="54"/>
      <c r="Q2365" s="54"/>
      <c r="R2365" s="54"/>
      <c r="S2365" s="54"/>
      <c r="T2365" s="54"/>
      <c r="U2365" s="54"/>
      <c r="V2365" s="54"/>
      <c r="W2365" s="54"/>
      <c r="X2365" s="54"/>
      <c r="Y2365" s="54"/>
      <c r="Z2365" s="54"/>
      <c r="AA2365" s="54"/>
      <c r="AB2365" s="54"/>
      <c r="AC2365" s="54"/>
    </row>
    <row r="2366" ht="78.0" customHeight="1">
      <c r="A2366" s="26"/>
      <c r="B2366" s="26"/>
      <c r="C2366" s="28"/>
      <c r="D2366" s="825"/>
      <c r="E2366" s="28"/>
      <c r="F2366" s="28"/>
      <c r="G2366" s="28"/>
      <c r="H2366" s="28"/>
      <c r="I2366" s="28"/>
      <c r="J2366" s="28"/>
      <c r="K2366" s="28"/>
      <c r="L2366" s="28"/>
      <c r="M2366" s="28"/>
      <c r="N2366" s="28"/>
      <c r="O2366" s="28"/>
      <c r="P2366" s="28"/>
      <c r="Q2366" s="28"/>
      <c r="R2366" s="28"/>
      <c r="S2366" s="28"/>
      <c r="T2366" s="28"/>
      <c r="U2366" s="28"/>
      <c r="V2366" s="28"/>
      <c r="W2366" s="28"/>
      <c r="X2366" s="28"/>
      <c r="Y2366" s="28"/>
      <c r="Z2366" s="28"/>
      <c r="AA2366" s="28"/>
      <c r="AB2366" s="28"/>
      <c r="AC2366" s="28"/>
    </row>
    <row r="2367" ht="78.0" customHeight="1">
      <c r="A2367" s="52"/>
      <c r="B2367" s="52"/>
      <c r="C2367" s="54"/>
      <c r="D2367" s="855"/>
      <c r="E2367" s="54"/>
      <c r="F2367" s="54"/>
      <c r="G2367" s="54"/>
      <c r="H2367" s="54"/>
      <c r="I2367" s="54"/>
      <c r="J2367" s="54"/>
      <c r="K2367" s="54"/>
      <c r="L2367" s="54"/>
      <c r="M2367" s="54"/>
      <c r="N2367" s="54"/>
      <c r="O2367" s="54"/>
      <c r="P2367" s="54"/>
      <c r="Q2367" s="54"/>
      <c r="R2367" s="54"/>
      <c r="S2367" s="54"/>
      <c r="T2367" s="54"/>
      <c r="U2367" s="54"/>
      <c r="V2367" s="54"/>
      <c r="W2367" s="54"/>
      <c r="X2367" s="54"/>
      <c r="Y2367" s="54"/>
      <c r="Z2367" s="54"/>
      <c r="AA2367" s="54"/>
      <c r="AB2367" s="54"/>
      <c r="AC2367" s="54"/>
    </row>
    <row r="2368" ht="78.0" customHeight="1">
      <c r="A2368" s="26"/>
      <c r="B2368" s="26"/>
      <c r="C2368" s="28"/>
      <c r="D2368" s="825"/>
      <c r="E2368" s="28"/>
      <c r="F2368" s="28"/>
      <c r="G2368" s="28"/>
      <c r="H2368" s="28"/>
      <c r="I2368" s="28"/>
      <c r="J2368" s="28"/>
      <c r="K2368" s="28"/>
      <c r="L2368" s="28"/>
      <c r="M2368" s="28"/>
      <c r="N2368" s="28"/>
      <c r="O2368" s="28"/>
      <c r="P2368" s="28"/>
      <c r="Q2368" s="28"/>
      <c r="R2368" s="28"/>
      <c r="S2368" s="28"/>
      <c r="T2368" s="28"/>
      <c r="U2368" s="28"/>
      <c r="V2368" s="28"/>
      <c r="W2368" s="28"/>
      <c r="X2368" s="28"/>
      <c r="Y2368" s="28"/>
      <c r="Z2368" s="28"/>
      <c r="AA2368" s="28"/>
      <c r="AB2368" s="28"/>
      <c r="AC2368" s="28"/>
    </row>
    <row r="2369" ht="78.0" customHeight="1">
      <c r="A2369" s="52"/>
      <c r="B2369" s="52"/>
      <c r="C2369" s="54"/>
      <c r="D2369" s="855"/>
      <c r="E2369" s="54"/>
      <c r="F2369" s="54"/>
      <c r="G2369" s="54"/>
      <c r="H2369" s="54"/>
      <c r="I2369" s="54"/>
      <c r="J2369" s="54"/>
      <c r="K2369" s="54"/>
      <c r="L2369" s="54"/>
      <c r="M2369" s="54"/>
      <c r="N2369" s="54"/>
      <c r="O2369" s="54"/>
      <c r="P2369" s="54"/>
      <c r="Q2369" s="54"/>
      <c r="R2369" s="54"/>
      <c r="S2369" s="54"/>
      <c r="T2369" s="54"/>
      <c r="U2369" s="54"/>
      <c r="V2369" s="54"/>
      <c r="W2369" s="54"/>
      <c r="X2369" s="54"/>
      <c r="Y2369" s="54"/>
      <c r="Z2369" s="54"/>
      <c r="AA2369" s="54"/>
      <c r="AB2369" s="54"/>
      <c r="AC2369" s="54"/>
    </row>
    <row r="2370" ht="78.0" customHeight="1">
      <c r="A2370" s="26"/>
      <c r="B2370" s="26"/>
      <c r="C2370" s="28"/>
      <c r="D2370" s="825"/>
      <c r="E2370" s="28"/>
      <c r="F2370" s="28"/>
      <c r="G2370" s="28"/>
      <c r="H2370" s="28"/>
      <c r="I2370" s="28"/>
      <c r="J2370" s="28"/>
      <c r="K2370" s="28"/>
      <c r="L2370" s="28"/>
      <c r="M2370" s="28"/>
      <c r="N2370" s="28"/>
      <c r="O2370" s="28"/>
      <c r="P2370" s="28"/>
      <c r="Q2370" s="28"/>
      <c r="R2370" s="28"/>
      <c r="S2370" s="28"/>
      <c r="T2370" s="28"/>
      <c r="U2370" s="28"/>
      <c r="V2370" s="28"/>
      <c r="W2370" s="28"/>
      <c r="X2370" s="28"/>
      <c r="Y2370" s="28"/>
      <c r="Z2370" s="28"/>
      <c r="AA2370" s="28"/>
      <c r="AB2370" s="28"/>
      <c r="AC2370" s="28"/>
    </row>
    <row r="2371" ht="78.0" customHeight="1">
      <c r="A2371" s="52"/>
      <c r="B2371" s="52"/>
      <c r="C2371" s="54"/>
      <c r="D2371" s="855"/>
      <c r="E2371" s="54"/>
      <c r="F2371" s="54"/>
      <c r="G2371" s="54"/>
      <c r="H2371" s="54"/>
      <c r="I2371" s="54"/>
      <c r="J2371" s="54"/>
      <c r="K2371" s="54"/>
      <c r="L2371" s="54"/>
      <c r="M2371" s="54"/>
      <c r="N2371" s="54"/>
      <c r="O2371" s="54"/>
      <c r="P2371" s="54"/>
      <c r="Q2371" s="54"/>
      <c r="R2371" s="54"/>
      <c r="S2371" s="54"/>
      <c r="T2371" s="54"/>
      <c r="U2371" s="54"/>
      <c r="V2371" s="54"/>
      <c r="W2371" s="54"/>
      <c r="X2371" s="54"/>
      <c r="Y2371" s="54"/>
      <c r="Z2371" s="54"/>
      <c r="AA2371" s="54"/>
      <c r="AB2371" s="54"/>
      <c r="AC2371" s="54"/>
    </row>
    <row r="2372" ht="78.0" customHeight="1">
      <c r="A2372" s="26"/>
      <c r="B2372" s="26"/>
      <c r="C2372" s="28"/>
      <c r="D2372" s="825"/>
      <c r="E2372" s="28"/>
      <c r="F2372" s="28"/>
      <c r="G2372" s="28"/>
      <c r="H2372" s="28"/>
      <c r="I2372" s="28"/>
      <c r="J2372" s="28"/>
      <c r="K2372" s="28"/>
      <c r="L2372" s="28"/>
      <c r="M2372" s="28"/>
      <c r="N2372" s="28"/>
      <c r="O2372" s="28"/>
      <c r="P2372" s="28"/>
      <c r="Q2372" s="28"/>
      <c r="R2372" s="28"/>
      <c r="S2372" s="28"/>
      <c r="T2372" s="28"/>
      <c r="U2372" s="28"/>
      <c r="V2372" s="28"/>
      <c r="W2372" s="28"/>
      <c r="X2372" s="28"/>
      <c r="Y2372" s="28"/>
      <c r="Z2372" s="28"/>
      <c r="AA2372" s="28"/>
      <c r="AB2372" s="28"/>
      <c r="AC2372" s="28"/>
    </row>
    <row r="2373" ht="78.0" customHeight="1">
      <c r="A2373" s="52"/>
      <c r="B2373" s="52"/>
      <c r="C2373" s="54"/>
      <c r="D2373" s="855"/>
      <c r="E2373" s="54"/>
      <c r="F2373" s="54"/>
      <c r="G2373" s="54"/>
      <c r="H2373" s="54"/>
      <c r="I2373" s="54"/>
      <c r="J2373" s="54"/>
      <c r="K2373" s="54"/>
      <c r="L2373" s="54"/>
      <c r="M2373" s="54"/>
      <c r="N2373" s="54"/>
      <c r="O2373" s="54"/>
      <c r="P2373" s="54"/>
      <c r="Q2373" s="54"/>
      <c r="R2373" s="54"/>
      <c r="S2373" s="54"/>
      <c r="T2373" s="54"/>
      <c r="U2373" s="54"/>
      <c r="V2373" s="54"/>
      <c r="W2373" s="54"/>
      <c r="X2373" s="54"/>
      <c r="Y2373" s="54"/>
      <c r="Z2373" s="54"/>
      <c r="AA2373" s="54"/>
      <c r="AB2373" s="54"/>
      <c r="AC2373" s="54"/>
    </row>
    <row r="2374" ht="78.0" customHeight="1">
      <c r="A2374" s="26"/>
      <c r="B2374" s="26"/>
      <c r="C2374" s="28"/>
      <c r="D2374" s="825"/>
      <c r="E2374" s="28"/>
      <c r="F2374" s="28"/>
      <c r="G2374" s="28"/>
      <c r="H2374" s="28"/>
      <c r="I2374" s="28"/>
      <c r="J2374" s="28"/>
      <c r="K2374" s="28"/>
      <c r="L2374" s="28"/>
      <c r="M2374" s="28"/>
      <c r="N2374" s="28"/>
      <c r="O2374" s="28"/>
      <c r="P2374" s="28"/>
      <c r="Q2374" s="28"/>
      <c r="R2374" s="28"/>
      <c r="S2374" s="28"/>
      <c r="T2374" s="28"/>
      <c r="U2374" s="28"/>
      <c r="V2374" s="28"/>
      <c r="W2374" s="28"/>
      <c r="X2374" s="28"/>
      <c r="Y2374" s="28"/>
      <c r="Z2374" s="28"/>
      <c r="AA2374" s="28"/>
      <c r="AB2374" s="28"/>
      <c r="AC2374" s="28"/>
    </row>
    <row r="2375" ht="78.0" customHeight="1">
      <c r="A2375" s="52"/>
      <c r="B2375" s="52"/>
      <c r="C2375" s="54"/>
      <c r="D2375" s="855"/>
      <c r="E2375" s="54"/>
      <c r="F2375" s="54"/>
      <c r="G2375" s="54"/>
      <c r="H2375" s="54"/>
      <c r="I2375" s="54"/>
      <c r="J2375" s="54"/>
      <c r="K2375" s="54"/>
      <c r="L2375" s="54"/>
      <c r="M2375" s="54"/>
      <c r="N2375" s="54"/>
      <c r="O2375" s="54"/>
      <c r="P2375" s="54"/>
      <c r="Q2375" s="54"/>
      <c r="R2375" s="54"/>
      <c r="S2375" s="54"/>
      <c r="T2375" s="54"/>
      <c r="U2375" s="54"/>
      <c r="V2375" s="54"/>
      <c r="W2375" s="54"/>
      <c r="X2375" s="54"/>
      <c r="Y2375" s="54"/>
      <c r="Z2375" s="54"/>
      <c r="AA2375" s="54"/>
      <c r="AB2375" s="54"/>
      <c r="AC2375" s="54"/>
    </row>
    <row r="2376" ht="78.0" customHeight="1">
      <c r="A2376" s="26"/>
      <c r="B2376" s="26"/>
      <c r="C2376" s="28"/>
      <c r="D2376" s="825"/>
      <c r="E2376" s="28"/>
      <c r="F2376" s="28"/>
      <c r="G2376" s="28"/>
      <c r="H2376" s="28"/>
      <c r="I2376" s="28"/>
      <c r="J2376" s="28"/>
      <c r="K2376" s="28"/>
      <c r="L2376" s="28"/>
      <c r="M2376" s="28"/>
      <c r="N2376" s="28"/>
      <c r="O2376" s="28"/>
      <c r="P2376" s="28"/>
      <c r="Q2376" s="28"/>
      <c r="R2376" s="28"/>
      <c r="S2376" s="28"/>
      <c r="T2376" s="28"/>
      <c r="U2376" s="28"/>
      <c r="V2376" s="28"/>
      <c r="W2376" s="28"/>
      <c r="X2376" s="28"/>
      <c r="Y2376" s="28"/>
      <c r="Z2376" s="28"/>
      <c r="AA2376" s="28"/>
      <c r="AB2376" s="28"/>
      <c r="AC2376" s="28"/>
    </row>
    <row r="2377" ht="78.0" customHeight="1">
      <c r="A2377" s="52"/>
      <c r="B2377" s="52"/>
      <c r="C2377" s="54"/>
      <c r="D2377" s="855"/>
      <c r="E2377" s="54"/>
      <c r="F2377" s="54"/>
      <c r="G2377" s="54"/>
      <c r="H2377" s="54"/>
      <c r="I2377" s="54"/>
      <c r="J2377" s="54"/>
      <c r="K2377" s="54"/>
      <c r="L2377" s="54"/>
      <c r="M2377" s="54"/>
      <c r="N2377" s="54"/>
      <c r="O2377" s="54"/>
      <c r="P2377" s="54"/>
      <c r="Q2377" s="54"/>
      <c r="R2377" s="54"/>
      <c r="S2377" s="54"/>
      <c r="T2377" s="54"/>
      <c r="U2377" s="54"/>
      <c r="V2377" s="54"/>
      <c r="W2377" s="54"/>
      <c r="X2377" s="54"/>
      <c r="Y2377" s="54"/>
      <c r="Z2377" s="54"/>
      <c r="AA2377" s="54"/>
      <c r="AB2377" s="54"/>
      <c r="AC2377" s="54"/>
    </row>
    <row r="2378" ht="78.0" customHeight="1">
      <c r="A2378" s="26"/>
      <c r="B2378" s="26"/>
      <c r="C2378" s="28"/>
      <c r="D2378" s="825"/>
      <c r="E2378" s="28"/>
      <c r="F2378" s="28"/>
      <c r="G2378" s="28"/>
      <c r="H2378" s="28"/>
      <c r="I2378" s="28"/>
      <c r="J2378" s="28"/>
      <c r="K2378" s="28"/>
      <c r="L2378" s="28"/>
      <c r="M2378" s="28"/>
      <c r="N2378" s="28"/>
      <c r="O2378" s="28"/>
      <c r="P2378" s="28"/>
      <c r="Q2378" s="28"/>
      <c r="R2378" s="28"/>
      <c r="S2378" s="28"/>
      <c r="T2378" s="28"/>
      <c r="U2378" s="28"/>
      <c r="V2378" s="28"/>
      <c r="W2378" s="28"/>
      <c r="X2378" s="28"/>
      <c r="Y2378" s="28"/>
      <c r="Z2378" s="28"/>
      <c r="AA2378" s="28"/>
      <c r="AB2378" s="28"/>
      <c r="AC2378" s="28"/>
    </row>
    <row r="2379" ht="78.0" customHeight="1">
      <c r="A2379" s="52"/>
      <c r="B2379" s="52"/>
      <c r="C2379" s="54"/>
      <c r="D2379" s="855"/>
      <c r="E2379" s="54"/>
      <c r="F2379" s="54"/>
      <c r="G2379" s="54"/>
      <c r="H2379" s="54"/>
      <c r="I2379" s="54"/>
      <c r="J2379" s="54"/>
      <c r="K2379" s="54"/>
      <c r="L2379" s="54"/>
      <c r="M2379" s="54"/>
      <c r="N2379" s="54"/>
      <c r="O2379" s="54"/>
      <c r="P2379" s="54"/>
      <c r="Q2379" s="54"/>
      <c r="R2379" s="54"/>
      <c r="S2379" s="54"/>
      <c r="T2379" s="54"/>
      <c r="U2379" s="54"/>
      <c r="V2379" s="54"/>
      <c r="W2379" s="54"/>
      <c r="X2379" s="54"/>
      <c r="Y2379" s="54"/>
      <c r="Z2379" s="54"/>
      <c r="AA2379" s="54"/>
      <c r="AB2379" s="54"/>
      <c r="AC2379" s="54"/>
    </row>
    <row r="2380" ht="78.0" customHeight="1">
      <c r="A2380" s="26"/>
      <c r="B2380" s="26"/>
      <c r="C2380" s="28"/>
      <c r="D2380" s="825"/>
      <c r="E2380" s="28"/>
      <c r="F2380" s="28"/>
      <c r="G2380" s="28"/>
      <c r="H2380" s="28"/>
      <c r="I2380" s="28"/>
      <c r="J2380" s="28"/>
      <c r="K2380" s="28"/>
      <c r="L2380" s="28"/>
      <c r="M2380" s="28"/>
      <c r="N2380" s="28"/>
      <c r="O2380" s="28"/>
      <c r="P2380" s="28"/>
      <c r="Q2380" s="28"/>
      <c r="R2380" s="28"/>
      <c r="S2380" s="28"/>
      <c r="T2380" s="28"/>
      <c r="U2380" s="28"/>
      <c r="V2380" s="28"/>
      <c r="W2380" s="28"/>
      <c r="X2380" s="28"/>
      <c r="Y2380" s="28"/>
      <c r="Z2380" s="28"/>
      <c r="AA2380" s="28"/>
      <c r="AB2380" s="28"/>
      <c r="AC2380" s="28"/>
    </row>
    <row r="2381" ht="78.0" customHeight="1">
      <c r="A2381" s="52"/>
      <c r="B2381" s="52"/>
      <c r="C2381" s="54"/>
      <c r="D2381" s="855"/>
      <c r="E2381" s="54"/>
      <c r="F2381" s="54"/>
      <c r="G2381" s="54"/>
      <c r="H2381" s="54"/>
      <c r="I2381" s="54"/>
      <c r="J2381" s="54"/>
      <c r="K2381" s="54"/>
      <c r="L2381" s="54"/>
      <c r="M2381" s="54"/>
      <c r="N2381" s="54"/>
      <c r="O2381" s="54"/>
      <c r="P2381" s="54"/>
      <c r="Q2381" s="54"/>
      <c r="R2381" s="54"/>
      <c r="S2381" s="54"/>
      <c r="T2381" s="54"/>
      <c r="U2381" s="54"/>
      <c r="V2381" s="54"/>
      <c r="W2381" s="54"/>
      <c r="X2381" s="54"/>
      <c r="Y2381" s="54"/>
      <c r="Z2381" s="54"/>
      <c r="AA2381" s="54"/>
      <c r="AB2381" s="54"/>
      <c r="AC2381" s="54"/>
    </row>
    <row r="2382" ht="78.0" customHeight="1">
      <c r="A2382" s="26"/>
      <c r="B2382" s="26"/>
      <c r="C2382" s="28"/>
      <c r="D2382" s="825"/>
      <c r="E2382" s="28"/>
      <c r="F2382" s="28"/>
      <c r="G2382" s="28"/>
      <c r="H2382" s="28"/>
      <c r="I2382" s="28"/>
      <c r="J2382" s="28"/>
      <c r="K2382" s="28"/>
      <c r="L2382" s="28"/>
      <c r="M2382" s="28"/>
      <c r="N2382" s="28"/>
      <c r="O2382" s="28"/>
      <c r="P2382" s="28"/>
      <c r="Q2382" s="28"/>
      <c r="R2382" s="28"/>
      <c r="S2382" s="28"/>
      <c r="T2382" s="28"/>
      <c r="U2382" s="28"/>
      <c r="V2382" s="28"/>
      <c r="W2382" s="28"/>
      <c r="X2382" s="28"/>
      <c r="Y2382" s="28"/>
      <c r="Z2382" s="28"/>
      <c r="AA2382" s="28"/>
      <c r="AB2382" s="28"/>
      <c r="AC2382" s="28"/>
    </row>
    <row r="2383" ht="78.0" customHeight="1">
      <c r="A2383" s="52"/>
      <c r="B2383" s="52"/>
      <c r="C2383" s="54"/>
      <c r="D2383" s="855"/>
      <c r="E2383" s="54"/>
      <c r="F2383" s="54"/>
      <c r="G2383" s="54"/>
      <c r="H2383" s="54"/>
      <c r="I2383" s="54"/>
      <c r="J2383" s="54"/>
      <c r="K2383" s="54"/>
      <c r="L2383" s="54"/>
      <c r="M2383" s="54"/>
      <c r="N2383" s="54"/>
      <c r="O2383" s="54"/>
      <c r="P2383" s="54"/>
      <c r="Q2383" s="54"/>
      <c r="R2383" s="54"/>
      <c r="S2383" s="54"/>
      <c r="T2383" s="54"/>
      <c r="U2383" s="54"/>
      <c r="V2383" s="54"/>
      <c r="W2383" s="54"/>
      <c r="X2383" s="54"/>
      <c r="Y2383" s="54"/>
      <c r="Z2383" s="54"/>
      <c r="AA2383" s="54"/>
      <c r="AB2383" s="54"/>
      <c r="AC2383" s="54"/>
    </row>
    <row r="2384" ht="78.0" customHeight="1">
      <c r="A2384" s="26"/>
      <c r="B2384" s="26"/>
      <c r="C2384" s="28"/>
      <c r="D2384" s="825"/>
      <c r="E2384" s="28"/>
      <c r="F2384" s="28"/>
      <c r="G2384" s="28"/>
      <c r="H2384" s="28"/>
      <c r="I2384" s="28"/>
      <c r="J2384" s="28"/>
      <c r="K2384" s="28"/>
      <c r="L2384" s="28"/>
      <c r="M2384" s="28"/>
      <c r="N2384" s="28"/>
      <c r="O2384" s="28"/>
      <c r="P2384" s="28"/>
      <c r="Q2384" s="28"/>
      <c r="R2384" s="28"/>
      <c r="S2384" s="28"/>
      <c r="T2384" s="28"/>
      <c r="U2384" s="28"/>
      <c r="V2384" s="28"/>
      <c r="W2384" s="28"/>
      <c r="X2384" s="28"/>
      <c r="Y2384" s="28"/>
      <c r="Z2384" s="28"/>
      <c r="AA2384" s="28"/>
      <c r="AB2384" s="28"/>
      <c r="AC2384" s="28"/>
    </row>
    <row r="2385" ht="78.0" customHeight="1">
      <c r="A2385" s="52"/>
      <c r="B2385" s="52"/>
      <c r="C2385" s="54"/>
      <c r="D2385" s="855"/>
      <c r="E2385" s="54"/>
      <c r="F2385" s="54"/>
      <c r="G2385" s="54"/>
      <c r="H2385" s="54"/>
      <c r="I2385" s="54"/>
      <c r="J2385" s="54"/>
      <c r="K2385" s="54"/>
      <c r="L2385" s="54"/>
      <c r="M2385" s="54"/>
      <c r="N2385" s="54"/>
      <c r="O2385" s="54"/>
      <c r="P2385" s="54"/>
      <c r="Q2385" s="54"/>
      <c r="R2385" s="54"/>
      <c r="S2385" s="54"/>
      <c r="T2385" s="54"/>
      <c r="U2385" s="54"/>
      <c r="V2385" s="54"/>
      <c r="W2385" s="54"/>
      <c r="X2385" s="54"/>
      <c r="Y2385" s="54"/>
      <c r="Z2385" s="54"/>
      <c r="AA2385" s="54"/>
      <c r="AB2385" s="54"/>
      <c r="AC2385" s="54"/>
    </row>
    <row r="2386" ht="78.0" customHeight="1">
      <c r="A2386" s="26"/>
      <c r="B2386" s="26"/>
      <c r="C2386" s="28"/>
      <c r="D2386" s="825"/>
      <c r="E2386" s="28"/>
      <c r="F2386" s="28"/>
      <c r="G2386" s="28"/>
      <c r="H2386" s="28"/>
      <c r="I2386" s="28"/>
      <c r="J2386" s="28"/>
      <c r="K2386" s="28"/>
      <c r="L2386" s="28"/>
      <c r="M2386" s="28"/>
      <c r="N2386" s="28"/>
      <c r="O2386" s="28"/>
      <c r="P2386" s="28"/>
      <c r="Q2386" s="28"/>
      <c r="R2386" s="28"/>
      <c r="S2386" s="28"/>
      <c r="T2386" s="28"/>
      <c r="U2386" s="28"/>
      <c r="V2386" s="28"/>
      <c r="W2386" s="28"/>
      <c r="X2386" s="28"/>
      <c r="Y2386" s="28"/>
      <c r="Z2386" s="28"/>
      <c r="AA2386" s="28"/>
      <c r="AB2386" s="28"/>
      <c r="AC2386" s="28"/>
    </row>
    <row r="2387" ht="78.0" customHeight="1">
      <c r="A2387" s="52"/>
      <c r="B2387" s="52"/>
      <c r="C2387" s="54"/>
      <c r="D2387" s="855"/>
      <c r="E2387" s="54"/>
      <c r="F2387" s="54"/>
      <c r="G2387" s="54"/>
      <c r="H2387" s="54"/>
      <c r="I2387" s="54"/>
      <c r="J2387" s="54"/>
      <c r="K2387" s="54"/>
      <c r="L2387" s="54"/>
      <c r="M2387" s="54"/>
      <c r="N2387" s="54"/>
      <c r="O2387" s="54"/>
      <c r="P2387" s="54"/>
      <c r="Q2387" s="54"/>
      <c r="R2387" s="54"/>
      <c r="S2387" s="54"/>
      <c r="T2387" s="54"/>
      <c r="U2387" s="54"/>
      <c r="V2387" s="54"/>
      <c r="W2387" s="54"/>
      <c r="X2387" s="54"/>
      <c r="Y2387" s="54"/>
      <c r="Z2387" s="54"/>
      <c r="AA2387" s="54"/>
      <c r="AB2387" s="54"/>
      <c r="AC2387" s="54"/>
    </row>
    <row r="2388" ht="78.0" customHeight="1">
      <c r="A2388" s="26"/>
      <c r="B2388" s="26"/>
      <c r="C2388" s="28"/>
      <c r="D2388" s="825"/>
      <c r="E2388" s="28"/>
      <c r="F2388" s="28"/>
      <c r="G2388" s="28"/>
      <c r="H2388" s="28"/>
      <c r="I2388" s="28"/>
      <c r="J2388" s="28"/>
      <c r="K2388" s="28"/>
      <c r="L2388" s="28"/>
      <c r="M2388" s="28"/>
      <c r="N2388" s="28"/>
      <c r="O2388" s="28"/>
      <c r="P2388" s="28"/>
      <c r="Q2388" s="28"/>
      <c r="R2388" s="28"/>
      <c r="S2388" s="28"/>
      <c r="T2388" s="28"/>
      <c r="U2388" s="28"/>
      <c r="V2388" s="28"/>
      <c r="W2388" s="28"/>
      <c r="X2388" s="28"/>
      <c r="Y2388" s="28"/>
      <c r="Z2388" s="28"/>
      <c r="AA2388" s="28"/>
      <c r="AB2388" s="28"/>
      <c r="AC2388" s="28"/>
    </row>
    <row r="2389" ht="78.0" customHeight="1">
      <c r="A2389" s="52"/>
      <c r="B2389" s="52"/>
      <c r="C2389" s="54"/>
      <c r="D2389" s="855"/>
      <c r="E2389" s="54"/>
      <c r="F2389" s="54"/>
      <c r="G2389" s="54"/>
      <c r="H2389" s="54"/>
      <c r="I2389" s="54"/>
      <c r="J2389" s="54"/>
      <c r="K2389" s="54"/>
      <c r="L2389" s="54"/>
      <c r="M2389" s="54"/>
      <c r="N2389" s="54"/>
      <c r="O2389" s="54"/>
      <c r="P2389" s="54"/>
      <c r="Q2389" s="54"/>
      <c r="R2389" s="54"/>
      <c r="S2389" s="54"/>
      <c r="T2389" s="54"/>
      <c r="U2389" s="54"/>
      <c r="V2389" s="54"/>
      <c r="W2389" s="54"/>
      <c r="X2389" s="54"/>
      <c r="Y2389" s="54"/>
      <c r="Z2389" s="54"/>
      <c r="AA2389" s="54"/>
      <c r="AB2389" s="54"/>
      <c r="AC2389" s="54"/>
    </row>
    <row r="2390" ht="78.0" customHeight="1">
      <c r="A2390" s="26"/>
      <c r="B2390" s="26"/>
      <c r="C2390" s="28"/>
      <c r="D2390" s="825"/>
      <c r="E2390" s="28"/>
      <c r="F2390" s="28"/>
      <c r="G2390" s="28"/>
      <c r="H2390" s="28"/>
      <c r="I2390" s="28"/>
      <c r="J2390" s="28"/>
      <c r="K2390" s="28"/>
      <c r="L2390" s="28"/>
      <c r="M2390" s="28"/>
      <c r="N2390" s="28"/>
      <c r="O2390" s="28"/>
      <c r="P2390" s="28"/>
      <c r="Q2390" s="28"/>
      <c r="R2390" s="28"/>
      <c r="S2390" s="28"/>
      <c r="T2390" s="28"/>
      <c r="U2390" s="28"/>
      <c r="V2390" s="28"/>
      <c r="W2390" s="28"/>
      <c r="X2390" s="28"/>
      <c r="Y2390" s="28"/>
      <c r="Z2390" s="28"/>
      <c r="AA2390" s="28"/>
      <c r="AB2390" s="28"/>
      <c r="AC2390" s="28"/>
    </row>
    <row r="2391" ht="78.0" customHeight="1">
      <c r="A2391" s="52"/>
      <c r="B2391" s="52"/>
      <c r="C2391" s="54"/>
      <c r="D2391" s="855"/>
      <c r="E2391" s="54"/>
      <c r="F2391" s="54"/>
      <c r="G2391" s="54"/>
      <c r="H2391" s="54"/>
      <c r="I2391" s="54"/>
      <c r="J2391" s="54"/>
      <c r="K2391" s="54"/>
      <c r="L2391" s="54"/>
      <c r="M2391" s="54"/>
      <c r="N2391" s="54"/>
      <c r="O2391" s="54"/>
      <c r="P2391" s="54"/>
      <c r="Q2391" s="54"/>
      <c r="R2391" s="54"/>
      <c r="S2391" s="54"/>
      <c r="T2391" s="54"/>
      <c r="U2391" s="54"/>
      <c r="V2391" s="54"/>
      <c r="W2391" s="54"/>
      <c r="X2391" s="54"/>
      <c r="Y2391" s="54"/>
      <c r="Z2391" s="54"/>
      <c r="AA2391" s="54"/>
      <c r="AB2391" s="54"/>
      <c r="AC2391" s="54"/>
    </row>
    <row r="2392" ht="78.0" customHeight="1">
      <c r="A2392" s="26"/>
      <c r="B2392" s="26"/>
      <c r="C2392" s="28"/>
      <c r="D2392" s="825"/>
      <c r="E2392" s="28"/>
      <c r="F2392" s="28"/>
      <c r="G2392" s="28"/>
      <c r="H2392" s="28"/>
      <c r="I2392" s="28"/>
      <c r="J2392" s="28"/>
      <c r="K2392" s="28"/>
      <c r="L2392" s="28"/>
      <c r="M2392" s="28"/>
      <c r="N2392" s="28"/>
      <c r="O2392" s="28"/>
      <c r="P2392" s="28"/>
      <c r="Q2392" s="28"/>
      <c r="R2392" s="28"/>
      <c r="S2392" s="28"/>
      <c r="T2392" s="28"/>
      <c r="U2392" s="28"/>
      <c r="V2392" s="28"/>
      <c r="W2392" s="28"/>
      <c r="X2392" s="28"/>
      <c r="Y2392" s="28"/>
      <c r="Z2392" s="28"/>
      <c r="AA2392" s="28"/>
      <c r="AB2392" s="28"/>
      <c r="AC2392" s="28"/>
    </row>
    <row r="2393" ht="78.0" customHeight="1">
      <c r="A2393" s="52"/>
      <c r="B2393" s="52"/>
      <c r="C2393" s="54"/>
      <c r="D2393" s="855"/>
      <c r="E2393" s="54"/>
      <c r="F2393" s="54"/>
      <c r="G2393" s="54"/>
      <c r="H2393" s="54"/>
      <c r="I2393" s="54"/>
      <c r="J2393" s="54"/>
      <c r="K2393" s="54"/>
      <c r="L2393" s="54"/>
      <c r="M2393" s="54"/>
      <c r="N2393" s="54"/>
      <c r="O2393" s="54"/>
      <c r="P2393" s="54"/>
      <c r="Q2393" s="54"/>
      <c r="R2393" s="54"/>
      <c r="S2393" s="54"/>
      <c r="T2393" s="54"/>
      <c r="U2393" s="54"/>
      <c r="V2393" s="54"/>
      <c r="W2393" s="54"/>
      <c r="X2393" s="54"/>
      <c r="Y2393" s="54"/>
      <c r="Z2393" s="54"/>
      <c r="AA2393" s="54"/>
      <c r="AB2393" s="54"/>
      <c r="AC2393" s="54"/>
    </row>
    <row r="2394" ht="78.0" customHeight="1">
      <c r="A2394" s="26"/>
      <c r="B2394" s="26"/>
      <c r="C2394" s="28"/>
      <c r="D2394" s="825"/>
      <c r="E2394" s="28"/>
      <c r="F2394" s="28"/>
      <c r="G2394" s="28"/>
      <c r="H2394" s="28"/>
      <c r="I2394" s="28"/>
      <c r="J2394" s="28"/>
      <c r="K2394" s="28"/>
      <c r="L2394" s="28"/>
      <c r="M2394" s="28"/>
      <c r="N2394" s="28"/>
      <c r="O2394" s="28"/>
      <c r="P2394" s="28"/>
      <c r="Q2394" s="28"/>
      <c r="R2394" s="28"/>
      <c r="S2394" s="28"/>
      <c r="T2394" s="28"/>
      <c r="U2394" s="28"/>
      <c r="V2394" s="28"/>
      <c r="W2394" s="28"/>
      <c r="X2394" s="28"/>
      <c r="Y2394" s="28"/>
      <c r="Z2394" s="28"/>
      <c r="AA2394" s="28"/>
      <c r="AB2394" s="28"/>
      <c r="AC2394" s="28"/>
    </row>
    <row r="2395" ht="78.0" customHeight="1">
      <c r="A2395" s="52"/>
      <c r="B2395" s="52"/>
      <c r="C2395" s="54"/>
      <c r="D2395" s="855"/>
      <c r="E2395" s="54"/>
      <c r="F2395" s="54"/>
      <c r="G2395" s="54"/>
      <c r="H2395" s="54"/>
      <c r="I2395" s="54"/>
      <c r="J2395" s="54"/>
      <c r="K2395" s="54"/>
      <c r="L2395" s="54"/>
      <c r="M2395" s="54"/>
      <c r="N2395" s="54"/>
      <c r="O2395" s="54"/>
      <c r="P2395" s="54"/>
      <c r="Q2395" s="54"/>
      <c r="R2395" s="54"/>
      <c r="S2395" s="54"/>
      <c r="T2395" s="54"/>
      <c r="U2395" s="54"/>
      <c r="V2395" s="54"/>
      <c r="W2395" s="54"/>
      <c r="X2395" s="54"/>
      <c r="Y2395" s="54"/>
      <c r="Z2395" s="54"/>
      <c r="AA2395" s="54"/>
      <c r="AB2395" s="54"/>
      <c r="AC2395" s="54"/>
    </row>
    <row r="2396" ht="78.0" customHeight="1">
      <c r="A2396" s="26"/>
      <c r="B2396" s="26"/>
      <c r="C2396" s="28"/>
      <c r="D2396" s="825"/>
      <c r="E2396" s="28"/>
      <c r="F2396" s="28"/>
      <c r="G2396" s="28"/>
      <c r="H2396" s="28"/>
      <c r="I2396" s="28"/>
      <c r="J2396" s="28"/>
      <c r="K2396" s="28"/>
      <c r="L2396" s="28"/>
      <c r="M2396" s="28"/>
      <c r="N2396" s="28"/>
      <c r="O2396" s="28"/>
      <c r="P2396" s="28"/>
      <c r="Q2396" s="28"/>
      <c r="R2396" s="28"/>
      <c r="S2396" s="28"/>
      <c r="T2396" s="28"/>
      <c r="U2396" s="28"/>
      <c r="V2396" s="28"/>
      <c r="W2396" s="28"/>
      <c r="X2396" s="28"/>
      <c r="Y2396" s="28"/>
      <c r="Z2396" s="28"/>
      <c r="AA2396" s="28"/>
      <c r="AB2396" s="28"/>
      <c r="AC2396" s="28"/>
    </row>
    <row r="2397" ht="78.0" customHeight="1">
      <c r="A2397" s="52"/>
      <c r="B2397" s="52"/>
      <c r="C2397" s="54"/>
      <c r="D2397" s="855"/>
      <c r="E2397" s="54"/>
      <c r="F2397" s="54"/>
      <c r="G2397" s="54"/>
      <c r="H2397" s="54"/>
      <c r="I2397" s="54"/>
      <c r="J2397" s="54"/>
      <c r="K2397" s="54"/>
      <c r="L2397" s="54"/>
      <c r="M2397" s="54"/>
      <c r="N2397" s="54"/>
      <c r="O2397" s="54"/>
      <c r="P2397" s="54"/>
      <c r="Q2397" s="54"/>
      <c r="R2397" s="54"/>
      <c r="S2397" s="54"/>
      <c r="T2397" s="54"/>
      <c r="U2397" s="54"/>
      <c r="V2397" s="54"/>
      <c r="W2397" s="54"/>
      <c r="X2397" s="54"/>
      <c r="Y2397" s="54"/>
      <c r="Z2397" s="54"/>
      <c r="AA2397" s="54"/>
      <c r="AB2397" s="54"/>
      <c r="AC2397" s="54"/>
    </row>
    <row r="2398" ht="78.0" customHeight="1">
      <c r="A2398" s="26"/>
      <c r="B2398" s="26"/>
      <c r="C2398" s="28"/>
      <c r="D2398" s="825"/>
      <c r="E2398" s="28"/>
      <c r="F2398" s="28"/>
      <c r="G2398" s="28"/>
      <c r="H2398" s="28"/>
      <c r="I2398" s="28"/>
      <c r="J2398" s="28"/>
      <c r="K2398" s="28"/>
      <c r="L2398" s="28"/>
      <c r="M2398" s="28"/>
      <c r="N2398" s="28"/>
      <c r="O2398" s="28"/>
      <c r="P2398" s="28"/>
      <c r="Q2398" s="28"/>
      <c r="R2398" s="28"/>
      <c r="S2398" s="28"/>
      <c r="T2398" s="28"/>
      <c r="U2398" s="28"/>
      <c r="V2398" s="28"/>
      <c r="W2398" s="28"/>
      <c r="X2398" s="28"/>
      <c r="Y2398" s="28"/>
      <c r="Z2398" s="28"/>
      <c r="AA2398" s="28"/>
      <c r="AB2398" s="28"/>
      <c r="AC2398" s="28"/>
    </row>
    <row r="2399" ht="78.0" customHeight="1">
      <c r="A2399" s="52"/>
      <c r="B2399" s="52"/>
      <c r="C2399" s="54"/>
      <c r="D2399" s="855"/>
      <c r="E2399" s="54"/>
      <c r="F2399" s="54"/>
      <c r="G2399" s="54"/>
      <c r="H2399" s="54"/>
      <c r="I2399" s="54"/>
      <c r="J2399" s="54"/>
      <c r="K2399" s="54"/>
      <c r="L2399" s="54"/>
      <c r="M2399" s="54"/>
      <c r="N2399" s="54"/>
      <c r="O2399" s="54"/>
      <c r="P2399" s="54"/>
      <c r="Q2399" s="54"/>
      <c r="R2399" s="54"/>
      <c r="S2399" s="54"/>
      <c r="T2399" s="54"/>
      <c r="U2399" s="54"/>
      <c r="V2399" s="54"/>
      <c r="W2399" s="54"/>
      <c r="X2399" s="54"/>
      <c r="Y2399" s="54"/>
      <c r="Z2399" s="54"/>
      <c r="AA2399" s="54"/>
      <c r="AB2399" s="54"/>
      <c r="AC2399" s="54"/>
    </row>
    <row r="2400" ht="78.0" customHeight="1">
      <c r="A2400" s="26"/>
      <c r="B2400" s="26"/>
      <c r="C2400" s="28"/>
      <c r="D2400" s="825"/>
      <c r="E2400" s="28"/>
      <c r="F2400" s="28"/>
      <c r="G2400" s="28"/>
      <c r="H2400" s="28"/>
      <c r="I2400" s="28"/>
      <c r="J2400" s="28"/>
      <c r="K2400" s="28"/>
      <c r="L2400" s="28"/>
      <c r="M2400" s="28"/>
      <c r="N2400" s="28"/>
      <c r="O2400" s="28"/>
      <c r="P2400" s="28"/>
      <c r="Q2400" s="28"/>
      <c r="R2400" s="28"/>
      <c r="S2400" s="28"/>
      <c r="T2400" s="28"/>
      <c r="U2400" s="28"/>
      <c r="V2400" s="28"/>
      <c r="W2400" s="28"/>
      <c r="X2400" s="28"/>
      <c r="Y2400" s="28"/>
      <c r="Z2400" s="28"/>
      <c r="AA2400" s="28"/>
      <c r="AB2400" s="28"/>
      <c r="AC2400" s="28"/>
    </row>
    <row r="2401" ht="78.0" customHeight="1">
      <c r="A2401" s="52"/>
      <c r="B2401" s="52"/>
      <c r="C2401" s="54"/>
      <c r="D2401" s="855"/>
      <c r="E2401" s="54"/>
      <c r="F2401" s="54"/>
      <c r="G2401" s="54"/>
      <c r="H2401" s="54"/>
      <c r="I2401" s="54"/>
      <c r="J2401" s="54"/>
      <c r="K2401" s="54"/>
      <c r="L2401" s="54"/>
      <c r="M2401" s="54"/>
      <c r="N2401" s="54"/>
      <c r="O2401" s="54"/>
      <c r="P2401" s="54"/>
      <c r="Q2401" s="54"/>
      <c r="R2401" s="54"/>
      <c r="S2401" s="54"/>
      <c r="T2401" s="54"/>
      <c r="U2401" s="54"/>
      <c r="V2401" s="54"/>
      <c r="W2401" s="54"/>
      <c r="X2401" s="54"/>
      <c r="Y2401" s="54"/>
      <c r="Z2401" s="54"/>
      <c r="AA2401" s="54"/>
      <c r="AB2401" s="54"/>
      <c r="AC2401" s="54"/>
    </row>
    <row r="2402" ht="78.0" customHeight="1">
      <c r="A2402" s="26"/>
      <c r="B2402" s="26"/>
      <c r="C2402" s="28"/>
      <c r="D2402" s="825"/>
      <c r="E2402" s="28"/>
      <c r="F2402" s="28"/>
      <c r="G2402" s="28"/>
      <c r="H2402" s="28"/>
      <c r="I2402" s="28"/>
      <c r="J2402" s="28"/>
      <c r="K2402" s="28"/>
      <c r="L2402" s="28"/>
      <c r="M2402" s="28"/>
      <c r="N2402" s="28"/>
      <c r="O2402" s="28"/>
      <c r="P2402" s="28"/>
      <c r="Q2402" s="28"/>
      <c r="R2402" s="28"/>
      <c r="S2402" s="28"/>
      <c r="T2402" s="28"/>
      <c r="U2402" s="28"/>
      <c r="V2402" s="28"/>
      <c r="W2402" s="28"/>
      <c r="X2402" s="28"/>
      <c r="Y2402" s="28"/>
      <c r="Z2402" s="28"/>
      <c r="AA2402" s="28"/>
      <c r="AB2402" s="28"/>
      <c r="AC2402" s="28"/>
    </row>
    <row r="2403" ht="78.0" customHeight="1">
      <c r="A2403" s="52"/>
      <c r="B2403" s="52"/>
      <c r="C2403" s="54"/>
      <c r="D2403" s="855"/>
      <c r="E2403" s="54"/>
      <c r="F2403" s="54"/>
      <c r="G2403" s="54"/>
      <c r="H2403" s="54"/>
      <c r="I2403" s="54"/>
      <c r="J2403" s="54"/>
      <c r="K2403" s="54"/>
      <c r="L2403" s="54"/>
      <c r="M2403" s="54"/>
      <c r="N2403" s="54"/>
      <c r="O2403" s="54"/>
      <c r="P2403" s="54"/>
      <c r="Q2403" s="54"/>
      <c r="R2403" s="54"/>
      <c r="S2403" s="54"/>
      <c r="T2403" s="54"/>
      <c r="U2403" s="54"/>
      <c r="V2403" s="54"/>
      <c r="W2403" s="54"/>
      <c r="X2403" s="54"/>
      <c r="Y2403" s="54"/>
      <c r="Z2403" s="54"/>
      <c r="AA2403" s="54"/>
      <c r="AB2403" s="54"/>
      <c r="AC2403" s="54"/>
    </row>
    <row r="2404" ht="78.0" customHeight="1">
      <c r="A2404" s="26"/>
      <c r="B2404" s="26"/>
      <c r="C2404" s="28"/>
      <c r="D2404" s="825"/>
      <c r="E2404" s="28"/>
      <c r="F2404" s="28"/>
      <c r="G2404" s="28"/>
      <c r="H2404" s="28"/>
      <c r="I2404" s="28"/>
      <c r="J2404" s="28"/>
      <c r="K2404" s="28"/>
      <c r="L2404" s="28"/>
      <c r="M2404" s="28"/>
      <c r="N2404" s="28"/>
      <c r="O2404" s="28"/>
      <c r="P2404" s="28"/>
      <c r="Q2404" s="28"/>
      <c r="R2404" s="28"/>
      <c r="S2404" s="28"/>
      <c r="T2404" s="28"/>
      <c r="U2404" s="28"/>
      <c r="V2404" s="28"/>
      <c r="W2404" s="28"/>
      <c r="X2404" s="28"/>
      <c r="Y2404" s="28"/>
      <c r="Z2404" s="28"/>
      <c r="AA2404" s="28"/>
      <c r="AB2404" s="28"/>
      <c r="AC2404" s="28"/>
    </row>
    <row r="2405" ht="78.0" customHeight="1">
      <c r="A2405" s="52"/>
      <c r="B2405" s="52"/>
      <c r="C2405" s="54"/>
      <c r="D2405" s="855"/>
      <c r="E2405" s="54"/>
      <c r="F2405" s="54"/>
      <c r="G2405" s="54"/>
      <c r="H2405" s="54"/>
      <c r="I2405" s="54"/>
      <c r="J2405" s="54"/>
      <c r="K2405" s="54"/>
      <c r="L2405" s="54"/>
      <c r="M2405" s="54"/>
      <c r="N2405" s="54"/>
      <c r="O2405" s="54"/>
      <c r="P2405" s="54"/>
      <c r="Q2405" s="54"/>
      <c r="R2405" s="54"/>
      <c r="S2405" s="54"/>
      <c r="T2405" s="54"/>
      <c r="U2405" s="54"/>
      <c r="V2405" s="54"/>
      <c r="W2405" s="54"/>
      <c r="X2405" s="54"/>
      <c r="Y2405" s="54"/>
      <c r="Z2405" s="54"/>
      <c r="AA2405" s="54"/>
      <c r="AB2405" s="54"/>
      <c r="AC2405" s="54"/>
    </row>
    <row r="2406" ht="78.0" customHeight="1">
      <c r="A2406" s="26"/>
      <c r="B2406" s="26"/>
      <c r="C2406" s="28"/>
      <c r="D2406" s="825"/>
      <c r="E2406" s="28"/>
      <c r="F2406" s="28"/>
      <c r="G2406" s="28"/>
      <c r="H2406" s="28"/>
      <c r="I2406" s="28"/>
      <c r="J2406" s="28"/>
      <c r="K2406" s="28"/>
      <c r="L2406" s="28"/>
      <c r="M2406" s="28"/>
      <c r="N2406" s="28"/>
      <c r="O2406" s="28"/>
      <c r="P2406" s="28"/>
      <c r="Q2406" s="28"/>
      <c r="R2406" s="28"/>
      <c r="S2406" s="28"/>
      <c r="T2406" s="28"/>
      <c r="U2406" s="28"/>
      <c r="V2406" s="28"/>
      <c r="W2406" s="28"/>
      <c r="X2406" s="28"/>
      <c r="Y2406" s="28"/>
      <c r="Z2406" s="28"/>
      <c r="AA2406" s="28"/>
      <c r="AB2406" s="28"/>
      <c r="AC2406" s="28"/>
    </row>
    <row r="2407" ht="78.0" customHeight="1">
      <c r="A2407" s="52"/>
      <c r="B2407" s="52"/>
      <c r="C2407" s="54"/>
      <c r="D2407" s="855"/>
      <c r="E2407" s="54"/>
      <c r="F2407" s="54"/>
      <c r="G2407" s="54"/>
      <c r="H2407" s="54"/>
      <c r="I2407" s="54"/>
      <c r="J2407" s="54"/>
      <c r="K2407" s="54"/>
      <c r="L2407" s="54"/>
      <c r="M2407" s="54"/>
      <c r="N2407" s="54"/>
      <c r="O2407" s="54"/>
      <c r="P2407" s="54"/>
      <c r="Q2407" s="54"/>
      <c r="R2407" s="54"/>
      <c r="S2407" s="54"/>
      <c r="T2407" s="54"/>
      <c r="U2407" s="54"/>
      <c r="V2407" s="54"/>
      <c r="W2407" s="54"/>
      <c r="X2407" s="54"/>
      <c r="Y2407" s="54"/>
      <c r="Z2407" s="54"/>
      <c r="AA2407" s="54"/>
      <c r="AB2407" s="54"/>
      <c r="AC2407" s="54"/>
    </row>
    <row r="2408" ht="78.0" customHeight="1">
      <c r="A2408" s="26"/>
      <c r="B2408" s="26"/>
      <c r="C2408" s="28"/>
      <c r="D2408" s="825"/>
      <c r="E2408" s="28"/>
      <c r="F2408" s="28"/>
      <c r="G2408" s="28"/>
      <c r="H2408" s="28"/>
      <c r="I2408" s="28"/>
      <c r="J2408" s="28"/>
      <c r="K2408" s="28"/>
      <c r="L2408" s="28"/>
      <c r="M2408" s="28"/>
      <c r="N2408" s="28"/>
      <c r="O2408" s="28"/>
      <c r="P2408" s="28"/>
      <c r="Q2408" s="28"/>
      <c r="R2408" s="28"/>
      <c r="S2408" s="28"/>
      <c r="T2408" s="28"/>
      <c r="U2408" s="28"/>
      <c r="V2408" s="28"/>
      <c r="W2408" s="28"/>
      <c r="X2408" s="28"/>
      <c r="Y2408" s="28"/>
      <c r="Z2408" s="28"/>
      <c r="AA2408" s="28"/>
      <c r="AB2408" s="28"/>
      <c r="AC2408" s="28"/>
    </row>
    <row r="2409" ht="78.0" customHeight="1">
      <c r="A2409" s="52"/>
      <c r="B2409" s="52"/>
      <c r="C2409" s="54"/>
      <c r="D2409" s="855"/>
      <c r="E2409" s="54"/>
      <c r="F2409" s="54"/>
      <c r="G2409" s="54"/>
      <c r="H2409" s="54"/>
      <c r="I2409" s="54"/>
      <c r="J2409" s="54"/>
      <c r="K2409" s="54"/>
      <c r="L2409" s="54"/>
      <c r="M2409" s="54"/>
      <c r="N2409" s="54"/>
      <c r="O2409" s="54"/>
      <c r="P2409" s="54"/>
      <c r="Q2409" s="54"/>
      <c r="R2409" s="54"/>
      <c r="S2409" s="54"/>
      <c r="T2409" s="54"/>
      <c r="U2409" s="54"/>
      <c r="V2409" s="54"/>
      <c r="W2409" s="54"/>
      <c r="X2409" s="54"/>
      <c r="Y2409" s="54"/>
      <c r="Z2409" s="54"/>
      <c r="AA2409" s="54"/>
      <c r="AB2409" s="54"/>
      <c r="AC2409" s="54"/>
    </row>
    <row r="2410" ht="78.0" customHeight="1">
      <c r="A2410" s="26"/>
      <c r="B2410" s="26"/>
      <c r="C2410" s="28"/>
      <c r="D2410" s="825"/>
      <c r="E2410" s="28"/>
      <c r="F2410" s="28"/>
      <c r="G2410" s="28"/>
      <c r="H2410" s="28"/>
      <c r="I2410" s="28"/>
      <c r="J2410" s="28"/>
      <c r="K2410" s="28"/>
      <c r="L2410" s="28"/>
      <c r="M2410" s="28"/>
      <c r="N2410" s="28"/>
      <c r="O2410" s="28"/>
      <c r="P2410" s="28"/>
      <c r="Q2410" s="28"/>
      <c r="R2410" s="28"/>
      <c r="S2410" s="28"/>
      <c r="T2410" s="28"/>
      <c r="U2410" s="28"/>
      <c r="V2410" s="28"/>
      <c r="W2410" s="28"/>
      <c r="X2410" s="28"/>
      <c r="Y2410" s="28"/>
      <c r="Z2410" s="28"/>
      <c r="AA2410" s="28"/>
      <c r="AB2410" s="28"/>
      <c r="AC2410" s="28"/>
    </row>
    <row r="2411" ht="78.0" customHeight="1">
      <c r="A2411" s="52"/>
      <c r="B2411" s="52"/>
      <c r="C2411" s="54"/>
      <c r="D2411" s="855"/>
      <c r="E2411" s="54"/>
      <c r="F2411" s="54"/>
      <c r="G2411" s="54"/>
      <c r="H2411" s="54"/>
      <c r="I2411" s="54"/>
      <c r="J2411" s="54"/>
      <c r="K2411" s="54"/>
      <c r="L2411" s="54"/>
      <c r="M2411" s="54"/>
      <c r="N2411" s="54"/>
      <c r="O2411" s="54"/>
      <c r="P2411" s="54"/>
      <c r="Q2411" s="54"/>
      <c r="R2411" s="54"/>
      <c r="S2411" s="54"/>
      <c r="T2411" s="54"/>
      <c r="U2411" s="54"/>
      <c r="V2411" s="54"/>
      <c r="W2411" s="54"/>
      <c r="X2411" s="54"/>
      <c r="Y2411" s="54"/>
      <c r="Z2411" s="54"/>
      <c r="AA2411" s="54"/>
      <c r="AB2411" s="54"/>
      <c r="AC2411" s="54"/>
    </row>
    <row r="2412" ht="78.0" customHeight="1">
      <c r="A2412" s="26"/>
      <c r="B2412" s="26"/>
      <c r="C2412" s="28"/>
      <c r="D2412" s="825"/>
      <c r="E2412" s="28"/>
      <c r="F2412" s="28"/>
      <c r="G2412" s="28"/>
      <c r="H2412" s="28"/>
      <c r="I2412" s="28"/>
      <c r="J2412" s="28"/>
      <c r="K2412" s="28"/>
      <c r="L2412" s="28"/>
      <c r="M2412" s="28"/>
      <c r="N2412" s="28"/>
      <c r="O2412" s="28"/>
      <c r="P2412" s="28"/>
      <c r="Q2412" s="28"/>
      <c r="R2412" s="28"/>
      <c r="S2412" s="28"/>
      <c r="T2412" s="28"/>
      <c r="U2412" s="28"/>
      <c r="V2412" s="28"/>
      <c r="W2412" s="28"/>
      <c r="X2412" s="28"/>
      <c r="Y2412" s="28"/>
      <c r="Z2412" s="28"/>
      <c r="AA2412" s="28"/>
      <c r="AB2412" s="28"/>
      <c r="AC2412" s="28"/>
    </row>
    <row r="2413" ht="78.0" customHeight="1">
      <c r="A2413" s="52"/>
      <c r="B2413" s="52"/>
      <c r="C2413" s="54"/>
      <c r="D2413" s="855"/>
      <c r="E2413" s="54"/>
      <c r="F2413" s="54"/>
      <c r="G2413" s="54"/>
      <c r="H2413" s="54"/>
      <c r="I2413" s="54"/>
      <c r="J2413" s="54"/>
      <c r="K2413" s="54"/>
      <c r="L2413" s="54"/>
      <c r="M2413" s="54"/>
      <c r="N2413" s="54"/>
      <c r="O2413" s="54"/>
      <c r="P2413" s="54"/>
      <c r="Q2413" s="54"/>
      <c r="R2413" s="54"/>
      <c r="S2413" s="54"/>
      <c r="T2413" s="54"/>
      <c r="U2413" s="54"/>
      <c r="V2413" s="54"/>
      <c r="W2413" s="54"/>
      <c r="X2413" s="54"/>
      <c r="Y2413" s="54"/>
      <c r="Z2413" s="54"/>
      <c r="AA2413" s="54"/>
      <c r="AB2413" s="54"/>
      <c r="AC2413" s="54"/>
    </row>
    <row r="2414" ht="78.0" customHeight="1">
      <c r="A2414" s="26"/>
      <c r="B2414" s="26"/>
      <c r="C2414" s="28"/>
      <c r="D2414" s="825"/>
      <c r="E2414" s="28"/>
      <c r="F2414" s="28"/>
      <c r="G2414" s="28"/>
      <c r="H2414" s="28"/>
      <c r="I2414" s="28"/>
      <c r="J2414" s="28"/>
      <c r="K2414" s="28"/>
      <c r="L2414" s="28"/>
      <c r="M2414" s="28"/>
      <c r="N2414" s="28"/>
      <c r="O2414" s="28"/>
      <c r="P2414" s="28"/>
      <c r="Q2414" s="28"/>
      <c r="R2414" s="28"/>
      <c r="S2414" s="28"/>
      <c r="T2414" s="28"/>
      <c r="U2414" s="28"/>
      <c r="V2414" s="28"/>
      <c r="W2414" s="28"/>
      <c r="X2414" s="28"/>
      <c r="Y2414" s="28"/>
      <c r="Z2414" s="28"/>
      <c r="AA2414" s="28"/>
      <c r="AB2414" s="28"/>
      <c r="AC2414" s="28"/>
    </row>
    <row r="2415" ht="78.0" customHeight="1">
      <c r="A2415" s="52"/>
      <c r="B2415" s="52"/>
      <c r="C2415" s="54"/>
      <c r="D2415" s="855"/>
      <c r="E2415" s="54"/>
      <c r="F2415" s="54"/>
      <c r="G2415" s="54"/>
      <c r="H2415" s="54"/>
      <c r="I2415" s="54"/>
      <c r="J2415" s="54"/>
      <c r="K2415" s="54"/>
      <c r="L2415" s="54"/>
      <c r="M2415" s="54"/>
      <c r="N2415" s="54"/>
      <c r="O2415" s="54"/>
      <c r="P2415" s="54"/>
      <c r="Q2415" s="54"/>
      <c r="R2415" s="54"/>
      <c r="S2415" s="54"/>
      <c r="T2415" s="54"/>
      <c r="U2415" s="54"/>
      <c r="V2415" s="54"/>
      <c r="W2415" s="54"/>
      <c r="X2415" s="54"/>
      <c r="Y2415" s="54"/>
      <c r="Z2415" s="54"/>
      <c r="AA2415" s="54"/>
      <c r="AB2415" s="54"/>
      <c r="AC2415" s="54"/>
    </row>
    <row r="2416" ht="78.0" customHeight="1">
      <c r="A2416" s="26"/>
      <c r="B2416" s="26"/>
      <c r="C2416" s="28"/>
      <c r="D2416" s="825"/>
      <c r="E2416" s="28"/>
      <c r="F2416" s="28"/>
      <c r="G2416" s="28"/>
      <c r="H2416" s="28"/>
      <c r="I2416" s="28"/>
      <c r="J2416" s="28"/>
      <c r="K2416" s="28"/>
      <c r="L2416" s="28"/>
      <c r="M2416" s="28"/>
      <c r="N2416" s="28"/>
      <c r="O2416" s="28"/>
      <c r="P2416" s="28"/>
      <c r="Q2416" s="28"/>
      <c r="R2416" s="28"/>
      <c r="S2416" s="28"/>
      <c r="T2416" s="28"/>
      <c r="U2416" s="28"/>
      <c r="V2416" s="28"/>
      <c r="W2416" s="28"/>
      <c r="X2416" s="28"/>
      <c r="Y2416" s="28"/>
      <c r="Z2416" s="28"/>
      <c r="AA2416" s="28"/>
      <c r="AB2416" s="28"/>
      <c r="AC2416" s="28"/>
    </row>
    <row r="2417" ht="78.0" customHeight="1">
      <c r="A2417" s="52"/>
      <c r="B2417" s="52"/>
      <c r="C2417" s="54"/>
      <c r="D2417" s="855"/>
      <c r="E2417" s="54"/>
      <c r="F2417" s="54"/>
      <c r="G2417" s="54"/>
      <c r="H2417" s="54"/>
      <c r="I2417" s="54"/>
      <c r="J2417" s="54"/>
      <c r="K2417" s="54"/>
      <c r="L2417" s="54"/>
      <c r="M2417" s="54"/>
      <c r="N2417" s="54"/>
      <c r="O2417" s="54"/>
      <c r="P2417" s="54"/>
      <c r="Q2417" s="54"/>
      <c r="R2417" s="54"/>
      <c r="S2417" s="54"/>
      <c r="T2417" s="54"/>
      <c r="U2417" s="54"/>
      <c r="V2417" s="54"/>
      <c r="W2417" s="54"/>
      <c r="X2417" s="54"/>
      <c r="Y2417" s="54"/>
      <c r="Z2417" s="54"/>
      <c r="AA2417" s="54"/>
      <c r="AB2417" s="54"/>
      <c r="AC2417" s="54"/>
    </row>
    <row r="2418" ht="78.0" customHeight="1">
      <c r="A2418" s="26"/>
      <c r="B2418" s="26"/>
      <c r="C2418" s="28"/>
      <c r="D2418" s="825"/>
      <c r="E2418" s="28"/>
      <c r="F2418" s="28"/>
      <c r="G2418" s="28"/>
      <c r="H2418" s="28"/>
      <c r="I2418" s="28"/>
      <c r="J2418" s="28"/>
      <c r="K2418" s="28"/>
      <c r="L2418" s="28"/>
      <c r="M2418" s="28"/>
      <c r="N2418" s="28"/>
      <c r="O2418" s="28"/>
      <c r="P2418" s="28"/>
      <c r="Q2418" s="28"/>
      <c r="R2418" s="28"/>
      <c r="S2418" s="28"/>
      <c r="T2418" s="28"/>
      <c r="U2418" s="28"/>
      <c r="V2418" s="28"/>
      <c r="W2418" s="28"/>
      <c r="X2418" s="28"/>
      <c r="Y2418" s="28"/>
      <c r="Z2418" s="28"/>
      <c r="AA2418" s="28"/>
      <c r="AB2418" s="28"/>
      <c r="AC2418" s="28"/>
    </row>
    <row r="2419" ht="78.0" customHeight="1">
      <c r="A2419" s="52"/>
      <c r="B2419" s="52"/>
      <c r="C2419" s="54"/>
      <c r="D2419" s="855"/>
      <c r="E2419" s="54"/>
      <c r="F2419" s="54"/>
      <c r="G2419" s="54"/>
      <c r="H2419" s="54"/>
      <c r="I2419" s="54"/>
      <c r="J2419" s="54"/>
      <c r="K2419" s="54"/>
      <c r="L2419" s="54"/>
      <c r="M2419" s="54"/>
      <c r="N2419" s="54"/>
      <c r="O2419" s="54"/>
      <c r="P2419" s="54"/>
      <c r="Q2419" s="54"/>
      <c r="R2419" s="54"/>
      <c r="S2419" s="54"/>
      <c r="T2419" s="54"/>
      <c r="U2419" s="54"/>
      <c r="V2419" s="54"/>
      <c r="W2419" s="54"/>
      <c r="X2419" s="54"/>
      <c r="Y2419" s="54"/>
      <c r="Z2419" s="54"/>
      <c r="AA2419" s="54"/>
      <c r="AB2419" s="54"/>
      <c r="AC2419" s="54"/>
    </row>
    <row r="2420" ht="78.0" customHeight="1">
      <c r="A2420" s="26"/>
      <c r="B2420" s="26"/>
      <c r="C2420" s="28"/>
      <c r="D2420" s="825"/>
      <c r="E2420" s="28"/>
      <c r="F2420" s="28"/>
      <c r="G2420" s="28"/>
      <c r="H2420" s="28"/>
      <c r="I2420" s="28"/>
      <c r="J2420" s="28"/>
      <c r="K2420" s="28"/>
      <c r="L2420" s="28"/>
      <c r="M2420" s="28"/>
      <c r="N2420" s="28"/>
      <c r="O2420" s="28"/>
      <c r="P2420" s="28"/>
      <c r="Q2420" s="28"/>
      <c r="R2420" s="28"/>
      <c r="S2420" s="28"/>
      <c r="T2420" s="28"/>
      <c r="U2420" s="28"/>
      <c r="V2420" s="28"/>
      <c r="W2420" s="28"/>
      <c r="X2420" s="28"/>
      <c r="Y2420" s="28"/>
      <c r="Z2420" s="28"/>
      <c r="AA2420" s="28"/>
      <c r="AB2420" s="28"/>
      <c r="AC2420" s="28"/>
    </row>
    <row r="2421" ht="78.0" customHeight="1">
      <c r="A2421" s="52"/>
      <c r="B2421" s="52"/>
      <c r="C2421" s="54"/>
      <c r="D2421" s="855"/>
      <c r="E2421" s="54"/>
      <c r="F2421" s="54"/>
      <c r="G2421" s="54"/>
      <c r="H2421" s="54"/>
      <c r="I2421" s="54"/>
      <c r="J2421" s="54"/>
      <c r="K2421" s="54"/>
      <c r="L2421" s="54"/>
      <c r="M2421" s="54"/>
      <c r="N2421" s="54"/>
      <c r="O2421" s="54"/>
      <c r="P2421" s="54"/>
      <c r="Q2421" s="54"/>
      <c r="R2421" s="54"/>
      <c r="S2421" s="54"/>
      <c r="T2421" s="54"/>
      <c r="U2421" s="54"/>
      <c r="V2421" s="54"/>
      <c r="W2421" s="54"/>
      <c r="X2421" s="54"/>
      <c r="Y2421" s="54"/>
      <c r="Z2421" s="54"/>
      <c r="AA2421" s="54"/>
      <c r="AB2421" s="54"/>
      <c r="AC2421" s="54"/>
    </row>
    <row r="2422" ht="78.0" customHeight="1">
      <c r="A2422" s="26"/>
      <c r="B2422" s="26"/>
      <c r="C2422" s="28"/>
      <c r="D2422" s="825"/>
      <c r="E2422" s="28"/>
      <c r="F2422" s="28"/>
      <c r="G2422" s="28"/>
      <c r="H2422" s="28"/>
      <c r="I2422" s="28"/>
      <c r="J2422" s="28"/>
      <c r="K2422" s="28"/>
      <c r="L2422" s="28"/>
      <c r="M2422" s="28"/>
      <c r="N2422" s="28"/>
      <c r="O2422" s="28"/>
      <c r="P2422" s="28"/>
      <c r="Q2422" s="28"/>
      <c r="R2422" s="28"/>
      <c r="S2422" s="28"/>
      <c r="T2422" s="28"/>
      <c r="U2422" s="28"/>
      <c r="V2422" s="28"/>
      <c r="W2422" s="28"/>
      <c r="X2422" s="28"/>
      <c r="Y2422" s="28"/>
      <c r="Z2422" s="28"/>
      <c r="AA2422" s="28"/>
      <c r="AB2422" s="28"/>
      <c r="AC2422" s="28"/>
    </row>
    <row r="2423" ht="78.0" customHeight="1">
      <c r="A2423" s="52"/>
      <c r="B2423" s="52"/>
      <c r="C2423" s="54"/>
      <c r="D2423" s="855"/>
      <c r="E2423" s="54"/>
      <c r="F2423" s="54"/>
      <c r="G2423" s="54"/>
      <c r="H2423" s="54"/>
      <c r="I2423" s="54"/>
      <c r="J2423" s="54"/>
      <c r="K2423" s="54"/>
      <c r="L2423" s="54"/>
      <c r="M2423" s="54"/>
      <c r="N2423" s="54"/>
      <c r="O2423" s="54"/>
      <c r="P2423" s="54"/>
      <c r="Q2423" s="54"/>
      <c r="R2423" s="54"/>
      <c r="S2423" s="54"/>
      <c r="T2423" s="54"/>
      <c r="U2423" s="54"/>
      <c r="V2423" s="54"/>
      <c r="W2423" s="54"/>
      <c r="X2423" s="54"/>
      <c r="Y2423" s="54"/>
      <c r="Z2423" s="54"/>
      <c r="AA2423" s="54"/>
      <c r="AB2423" s="54"/>
      <c r="AC2423" s="54"/>
    </row>
    <row r="2424" ht="78.0" customHeight="1">
      <c r="A2424" s="26"/>
      <c r="B2424" s="26"/>
      <c r="C2424" s="28"/>
      <c r="D2424" s="825"/>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row>
    <row r="2425" ht="78.0" customHeight="1">
      <c r="A2425" s="52"/>
      <c r="B2425" s="52"/>
      <c r="C2425" s="54"/>
      <c r="D2425" s="855"/>
      <c r="E2425" s="54"/>
      <c r="F2425" s="54"/>
      <c r="G2425" s="54"/>
      <c r="H2425" s="54"/>
      <c r="I2425" s="54"/>
      <c r="J2425" s="54"/>
      <c r="K2425" s="54"/>
      <c r="L2425" s="54"/>
      <c r="M2425" s="54"/>
      <c r="N2425" s="54"/>
      <c r="O2425" s="54"/>
      <c r="P2425" s="54"/>
      <c r="Q2425" s="54"/>
      <c r="R2425" s="54"/>
      <c r="S2425" s="54"/>
      <c r="T2425" s="54"/>
      <c r="U2425" s="54"/>
      <c r="V2425" s="54"/>
      <c r="W2425" s="54"/>
      <c r="X2425" s="54"/>
      <c r="Y2425" s="54"/>
      <c r="Z2425" s="54"/>
      <c r="AA2425" s="54"/>
      <c r="AB2425" s="54"/>
      <c r="AC2425" s="54"/>
    </row>
    <row r="2426" ht="78.0" customHeight="1">
      <c r="A2426" s="26"/>
      <c r="B2426" s="26"/>
      <c r="C2426" s="28"/>
      <c r="D2426" s="825"/>
      <c r="E2426" s="28"/>
      <c r="F2426" s="28"/>
      <c r="G2426" s="28"/>
      <c r="H2426" s="28"/>
      <c r="I2426" s="28"/>
      <c r="J2426" s="28"/>
      <c r="K2426" s="28"/>
      <c r="L2426" s="28"/>
      <c r="M2426" s="28"/>
      <c r="N2426" s="28"/>
      <c r="O2426" s="28"/>
      <c r="P2426" s="28"/>
      <c r="Q2426" s="28"/>
      <c r="R2426" s="28"/>
      <c r="S2426" s="28"/>
      <c r="T2426" s="28"/>
      <c r="U2426" s="28"/>
      <c r="V2426" s="28"/>
      <c r="W2426" s="28"/>
      <c r="X2426" s="28"/>
      <c r="Y2426" s="28"/>
      <c r="Z2426" s="28"/>
      <c r="AA2426" s="28"/>
      <c r="AB2426" s="28"/>
      <c r="AC2426" s="28"/>
    </row>
    <row r="2427" ht="78.0" customHeight="1">
      <c r="A2427" s="52"/>
      <c r="B2427" s="52"/>
      <c r="C2427" s="54"/>
      <c r="D2427" s="855"/>
      <c r="E2427" s="54"/>
      <c r="F2427" s="54"/>
      <c r="G2427" s="54"/>
      <c r="H2427" s="54"/>
      <c r="I2427" s="54"/>
      <c r="J2427" s="54"/>
      <c r="K2427" s="54"/>
      <c r="L2427" s="54"/>
      <c r="M2427" s="54"/>
      <c r="N2427" s="54"/>
      <c r="O2427" s="54"/>
      <c r="P2427" s="54"/>
      <c r="Q2427" s="54"/>
      <c r="R2427" s="54"/>
      <c r="S2427" s="54"/>
      <c r="T2427" s="54"/>
      <c r="U2427" s="54"/>
      <c r="V2427" s="54"/>
      <c r="W2427" s="54"/>
      <c r="X2427" s="54"/>
      <c r="Y2427" s="54"/>
      <c r="Z2427" s="54"/>
      <c r="AA2427" s="54"/>
      <c r="AB2427" s="54"/>
      <c r="AC2427" s="54"/>
    </row>
    <row r="2428" ht="78.0" customHeight="1">
      <c r="A2428" s="26"/>
      <c r="B2428" s="26"/>
      <c r="C2428" s="28"/>
      <c r="D2428" s="825"/>
      <c r="E2428" s="28"/>
      <c r="F2428" s="28"/>
      <c r="G2428" s="28"/>
      <c r="H2428" s="28"/>
      <c r="I2428" s="28"/>
      <c r="J2428" s="28"/>
      <c r="K2428" s="28"/>
      <c r="L2428" s="28"/>
      <c r="M2428" s="28"/>
      <c r="N2428" s="28"/>
      <c r="O2428" s="28"/>
      <c r="P2428" s="28"/>
      <c r="Q2428" s="28"/>
      <c r="R2428" s="28"/>
      <c r="S2428" s="28"/>
      <c r="T2428" s="28"/>
      <c r="U2428" s="28"/>
      <c r="V2428" s="28"/>
      <c r="W2428" s="28"/>
      <c r="X2428" s="28"/>
      <c r="Y2428" s="28"/>
      <c r="Z2428" s="28"/>
      <c r="AA2428" s="28"/>
      <c r="AB2428" s="28"/>
      <c r="AC2428" s="28"/>
    </row>
    <row r="2429" ht="78.0" customHeight="1">
      <c r="A2429" s="52"/>
      <c r="B2429" s="52"/>
      <c r="C2429" s="54"/>
      <c r="D2429" s="855"/>
      <c r="E2429" s="54"/>
      <c r="F2429" s="54"/>
      <c r="G2429" s="54"/>
      <c r="H2429" s="54"/>
      <c r="I2429" s="54"/>
      <c r="J2429" s="54"/>
      <c r="K2429" s="54"/>
      <c r="L2429" s="54"/>
      <c r="M2429" s="54"/>
      <c r="N2429" s="54"/>
      <c r="O2429" s="54"/>
      <c r="P2429" s="54"/>
      <c r="Q2429" s="54"/>
      <c r="R2429" s="54"/>
      <c r="S2429" s="54"/>
      <c r="T2429" s="54"/>
      <c r="U2429" s="54"/>
      <c r="V2429" s="54"/>
      <c r="W2429" s="54"/>
      <c r="X2429" s="54"/>
      <c r="Y2429" s="54"/>
      <c r="Z2429" s="54"/>
      <c r="AA2429" s="54"/>
      <c r="AB2429" s="54"/>
      <c r="AC2429" s="54"/>
    </row>
    <row r="2430" ht="78.0" customHeight="1">
      <c r="A2430" s="26"/>
      <c r="B2430" s="26"/>
      <c r="C2430" s="28"/>
      <c r="D2430" s="825"/>
      <c r="E2430" s="28"/>
      <c r="F2430" s="28"/>
      <c r="G2430" s="28"/>
      <c r="H2430" s="28"/>
      <c r="I2430" s="28"/>
      <c r="J2430" s="28"/>
      <c r="K2430" s="28"/>
      <c r="L2430" s="28"/>
      <c r="M2430" s="28"/>
      <c r="N2430" s="28"/>
      <c r="O2430" s="28"/>
      <c r="P2430" s="28"/>
      <c r="Q2430" s="28"/>
      <c r="R2430" s="28"/>
      <c r="S2430" s="28"/>
      <c r="T2430" s="28"/>
      <c r="U2430" s="28"/>
      <c r="V2430" s="28"/>
      <c r="W2430" s="28"/>
      <c r="X2430" s="28"/>
      <c r="Y2430" s="28"/>
      <c r="Z2430" s="28"/>
      <c r="AA2430" s="28"/>
      <c r="AB2430" s="28"/>
      <c r="AC2430" s="28"/>
    </row>
    <row r="2431" ht="78.0" customHeight="1">
      <c r="A2431" s="52"/>
      <c r="B2431" s="52"/>
      <c r="C2431" s="54"/>
      <c r="D2431" s="855"/>
      <c r="E2431" s="54"/>
      <c r="F2431" s="54"/>
      <c r="G2431" s="54"/>
      <c r="H2431" s="54"/>
      <c r="I2431" s="54"/>
      <c r="J2431" s="54"/>
      <c r="K2431" s="54"/>
      <c r="L2431" s="54"/>
      <c r="M2431" s="54"/>
      <c r="N2431" s="54"/>
      <c r="O2431" s="54"/>
      <c r="P2431" s="54"/>
      <c r="Q2431" s="54"/>
      <c r="R2431" s="54"/>
      <c r="S2431" s="54"/>
      <c r="T2431" s="54"/>
      <c r="U2431" s="54"/>
      <c r="V2431" s="54"/>
      <c r="W2431" s="54"/>
      <c r="X2431" s="54"/>
      <c r="Y2431" s="54"/>
      <c r="Z2431" s="54"/>
      <c r="AA2431" s="54"/>
      <c r="AB2431" s="54"/>
      <c r="AC2431" s="54"/>
    </row>
    <row r="2432" ht="78.0" customHeight="1">
      <c r="A2432" s="26"/>
      <c r="B2432" s="26"/>
      <c r="C2432" s="28"/>
      <c r="D2432" s="825"/>
      <c r="E2432" s="28"/>
      <c r="F2432" s="28"/>
      <c r="G2432" s="28"/>
      <c r="H2432" s="28"/>
      <c r="I2432" s="28"/>
      <c r="J2432" s="28"/>
      <c r="K2432" s="28"/>
      <c r="L2432" s="28"/>
      <c r="M2432" s="28"/>
      <c r="N2432" s="28"/>
      <c r="O2432" s="28"/>
      <c r="P2432" s="28"/>
      <c r="Q2432" s="28"/>
      <c r="R2432" s="28"/>
      <c r="S2432" s="28"/>
      <c r="T2432" s="28"/>
      <c r="U2432" s="28"/>
      <c r="V2432" s="28"/>
      <c r="W2432" s="28"/>
      <c r="X2432" s="28"/>
      <c r="Y2432" s="28"/>
      <c r="Z2432" s="28"/>
      <c r="AA2432" s="28"/>
      <c r="AB2432" s="28"/>
      <c r="AC2432" s="28"/>
    </row>
    <row r="2433" ht="78.0" customHeight="1">
      <c r="A2433" s="52"/>
      <c r="B2433" s="52"/>
      <c r="C2433" s="54"/>
      <c r="D2433" s="855"/>
      <c r="E2433" s="54"/>
      <c r="F2433" s="54"/>
      <c r="G2433" s="54"/>
      <c r="H2433" s="54"/>
      <c r="I2433" s="54"/>
      <c r="J2433" s="54"/>
      <c r="K2433" s="54"/>
      <c r="L2433" s="54"/>
      <c r="M2433" s="54"/>
      <c r="N2433" s="54"/>
      <c r="O2433" s="54"/>
      <c r="P2433" s="54"/>
      <c r="Q2433" s="54"/>
      <c r="R2433" s="54"/>
      <c r="S2433" s="54"/>
      <c r="T2433" s="54"/>
      <c r="U2433" s="54"/>
      <c r="V2433" s="54"/>
      <c r="W2433" s="54"/>
      <c r="X2433" s="54"/>
      <c r="Y2433" s="54"/>
      <c r="Z2433" s="54"/>
      <c r="AA2433" s="54"/>
      <c r="AB2433" s="54"/>
      <c r="AC2433" s="54"/>
    </row>
    <row r="2434" ht="78.0" customHeight="1">
      <c r="A2434" s="26"/>
      <c r="B2434" s="26"/>
      <c r="C2434" s="28"/>
      <c r="D2434" s="825"/>
      <c r="E2434" s="28"/>
      <c r="F2434" s="28"/>
      <c r="G2434" s="28"/>
      <c r="H2434" s="28"/>
      <c r="I2434" s="28"/>
      <c r="J2434" s="28"/>
      <c r="K2434" s="28"/>
      <c r="L2434" s="28"/>
      <c r="M2434" s="28"/>
      <c r="N2434" s="28"/>
      <c r="O2434" s="28"/>
      <c r="P2434" s="28"/>
      <c r="Q2434" s="28"/>
      <c r="R2434" s="28"/>
      <c r="S2434" s="28"/>
      <c r="T2434" s="28"/>
      <c r="U2434" s="28"/>
      <c r="V2434" s="28"/>
      <c r="W2434" s="28"/>
      <c r="X2434" s="28"/>
      <c r="Y2434" s="28"/>
      <c r="Z2434" s="28"/>
      <c r="AA2434" s="28"/>
      <c r="AB2434" s="28"/>
      <c r="AC2434" s="28"/>
    </row>
    <row r="2435" ht="78.0" customHeight="1">
      <c r="A2435" s="52"/>
      <c r="B2435" s="52"/>
      <c r="C2435" s="54"/>
      <c r="D2435" s="855"/>
      <c r="E2435" s="54"/>
      <c r="F2435" s="54"/>
      <c r="G2435" s="54"/>
      <c r="H2435" s="54"/>
      <c r="I2435" s="54"/>
      <c r="J2435" s="54"/>
      <c r="K2435" s="54"/>
      <c r="L2435" s="54"/>
      <c r="M2435" s="54"/>
      <c r="N2435" s="54"/>
      <c r="O2435" s="54"/>
      <c r="P2435" s="54"/>
      <c r="Q2435" s="54"/>
      <c r="R2435" s="54"/>
      <c r="S2435" s="54"/>
      <c r="T2435" s="54"/>
      <c r="U2435" s="54"/>
      <c r="V2435" s="54"/>
      <c r="W2435" s="54"/>
      <c r="X2435" s="54"/>
      <c r="Y2435" s="54"/>
      <c r="Z2435" s="54"/>
      <c r="AA2435" s="54"/>
      <c r="AB2435" s="54"/>
      <c r="AC2435" s="54"/>
    </row>
    <row r="2436" ht="78.0" customHeight="1">
      <c r="A2436" s="26"/>
      <c r="B2436" s="26"/>
      <c r="C2436" s="28"/>
      <c r="D2436" s="825"/>
      <c r="E2436" s="28"/>
      <c r="F2436" s="28"/>
      <c r="G2436" s="28"/>
      <c r="H2436" s="28"/>
      <c r="I2436" s="28"/>
      <c r="J2436" s="28"/>
      <c r="K2436" s="28"/>
      <c r="L2436" s="28"/>
      <c r="M2436" s="28"/>
      <c r="N2436" s="28"/>
      <c r="O2436" s="28"/>
      <c r="P2436" s="28"/>
      <c r="Q2436" s="28"/>
      <c r="R2436" s="28"/>
      <c r="S2436" s="28"/>
      <c r="T2436" s="28"/>
      <c r="U2436" s="28"/>
      <c r="V2436" s="28"/>
      <c r="W2436" s="28"/>
      <c r="X2436" s="28"/>
      <c r="Y2436" s="28"/>
      <c r="Z2436" s="28"/>
      <c r="AA2436" s="28"/>
      <c r="AB2436" s="28"/>
      <c r="AC2436" s="28"/>
    </row>
    <row r="2437" ht="78.0" customHeight="1">
      <c r="A2437" s="52"/>
      <c r="B2437" s="52"/>
      <c r="C2437" s="54"/>
      <c r="D2437" s="855"/>
      <c r="E2437" s="54"/>
      <c r="F2437" s="54"/>
      <c r="G2437" s="54"/>
      <c r="H2437" s="54"/>
      <c r="I2437" s="54"/>
      <c r="J2437" s="54"/>
      <c r="K2437" s="54"/>
      <c r="L2437" s="54"/>
      <c r="M2437" s="54"/>
      <c r="N2437" s="54"/>
      <c r="O2437" s="54"/>
      <c r="P2437" s="54"/>
      <c r="Q2437" s="54"/>
      <c r="R2437" s="54"/>
      <c r="S2437" s="54"/>
      <c r="T2437" s="54"/>
      <c r="U2437" s="54"/>
      <c r="V2437" s="54"/>
      <c r="W2437" s="54"/>
      <c r="X2437" s="54"/>
      <c r="Y2437" s="54"/>
      <c r="Z2437" s="54"/>
      <c r="AA2437" s="54"/>
      <c r="AB2437" s="54"/>
      <c r="AC2437" s="54"/>
    </row>
    <row r="2438" ht="78.0" customHeight="1">
      <c r="A2438" s="26"/>
      <c r="B2438" s="26"/>
      <c r="C2438" s="28"/>
      <c r="D2438" s="825"/>
      <c r="E2438" s="28"/>
      <c r="F2438" s="28"/>
      <c r="G2438" s="28"/>
      <c r="H2438" s="28"/>
      <c r="I2438" s="28"/>
      <c r="J2438" s="28"/>
      <c r="K2438" s="28"/>
      <c r="L2438" s="28"/>
      <c r="M2438" s="28"/>
      <c r="N2438" s="28"/>
      <c r="O2438" s="28"/>
      <c r="P2438" s="28"/>
      <c r="Q2438" s="28"/>
      <c r="R2438" s="28"/>
      <c r="S2438" s="28"/>
      <c r="T2438" s="28"/>
      <c r="U2438" s="28"/>
      <c r="V2438" s="28"/>
      <c r="W2438" s="28"/>
      <c r="X2438" s="28"/>
      <c r="Y2438" s="28"/>
      <c r="Z2438" s="28"/>
      <c r="AA2438" s="28"/>
      <c r="AB2438" s="28"/>
      <c r="AC2438" s="28"/>
    </row>
    <row r="2439" ht="78.0" customHeight="1">
      <c r="A2439" s="52"/>
      <c r="B2439" s="52"/>
      <c r="C2439" s="54"/>
      <c r="D2439" s="855"/>
      <c r="E2439" s="54"/>
      <c r="F2439" s="54"/>
      <c r="G2439" s="54"/>
      <c r="H2439" s="54"/>
      <c r="I2439" s="54"/>
      <c r="J2439" s="54"/>
      <c r="K2439" s="54"/>
      <c r="L2439" s="54"/>
      <c r="M2439" s="54"/>
      <c r="N2439" s="54"/>
      <c r="O2439" s="54"/>
      <c r="P2439" s="54"/>
      <c r="Q2439" s="54"/>
      <c r="R2439" s="54"/>
      <c r="S2439" s="54"/>
      <c r="T2439" s="54"/>
      <c r="U2439" s="54"/>
      <c r="V2439" s="54"/>
      <c r="W2439" s="54"/>
      <c r="X2439" s="54"/>
      <c r="Y2439" s="54"/>
      <c r="Z2439" s="54"/>
      <c r="AA2439" s="54"/>
      <c r="AB2439" s="54"/>
      <c r="AC2439" s="54"/>
    </row>
    <row r="2440" ht="78.0" customHeight="1">
      <c r="A2440" s="26"/>
      <c r="B2440" s="26"/>
      <c r="C2440" s="28"/>
      <c r="D2440" s="825"/>
      <c r="E2440" s="28"/>
      <c r="F2440" s="28"/>
      <c r="G2440" s="28"/>
      <c r="H2440" s="28"/>
      <c r="I2440" s="28"/>
      <c r="J2440" s="28"/>
      <c r="K2440" s="28"/>
      <c r="L2440" s="28"/>
      <c r="M2440" s="28"/>
      <c r="N2440" s="28"/>
      <c r="O2440" s="28"/>
      <c r="P2440" s="28"/>
      <c r="Q2440" s="28"/>
      <c r="R2440" s="28"/>
      <c r="S2440" s="28"/>
      <c r="T2440" s="28"/>
      <c r="U2440" s="28"/>
      <c r="V2440" s="28"/>
      <c r="W2440" s="28"/>
      <c r="X2440" s="28"/>
      <c r="Y2440" s="28"/>
      <c r="Z2440" s="28"/>
      <c r="AA2440" s="28"/>
      <c r="AB2440" s="28"/>
      <c r="AC2440" s="28"/>
    </row>
    <row r="2441" ht="78.0" customHeight="1">
      <c r="A2441" s="52"/>
      <c r="B2441" s="52"/>
      <c r="C2441" s="54"/>
      <c r="D2441" s="855"/>
      <c r="E2441" s="54"/>
      <c r="F2441" s="54"/>
      <c r="G2441" s="54"/>
      <c r="H2441" s="54"/>
      <c r="I2441" s="54"/>
      <c r="J2441" s="54"/>
      <c r="K2441" s="54"/>
      <c r="L2441" s="54"/>
      <c r="M2441" s="54"/>
      <c r="N2441" s="54"/>
      <c r="O2441" s="54"/>
      <c r="P2441" s="54"/>
      <c r="Q2441" s="54"/>
      <c r="R2441" s="54"/>
      <c r="S2441" s="54"/>
      <c r="T2441" s="54"/>
      <c r="U2441" s="54"/>
      <c r="V2441" s="54"/>
      <c r="W2441" s="54"/>
      <c r="X2441" s="54"/>
      <c r="Y2441" s="54"/>
      <c r="Z2441" s="54"/>
      <c r="AA2441" s="54"/>
      <c r="AB2441" s="54"/>
      <c r="AC2441" s="54"/>
    </row>
    <row r="2442" ht="78.0" customHeight="1">
      <c r="A2442" s="26"/>
      <c r="B2442" s="26"/>
      <c r="C2442" s="28"/>
      <c r="D2442" s="825"/>
      <c r="E2442" s="28"/>
      <c r="F2442" s="28"/>
      <c r="G2442" s="28"/>
      <c r="H2442" s="28"/>
      <c r="I2442" s="28"/>
      <c r="J2442" s="28"/>
      <c r="K2442" s="28"/>
      <c r="L2442" s="28"/>
      <c r="M2442" s="28"/>
      <c r="N2442" s="28"/>
      <c r="O2442" s="28"/>
      <c r="P2442" s="28"/>
      <c r="Q2442" s="28"/>
      <c r="R2442" s="28"/>
      <c r="S2442" s="28"/>
      <c r="T2442" s="28"/>
      <c r="U2442" s="28"/>
      <c r="V2442" s="28"/>
      <c r="W2442" s="28"/>
      <c r="X2442" s="28"/>
      <c r="Y2442" s="28"/>
      <c r="Z2442" s="28"/>
      <c r="AA2442" s="28"/>
      <c r="AB2442" s="28"/>
      <c r="AC2442" s="28"/>
    </row>
    <row r="2443" ht="78.0" customHeight="1">
      <c r="A2443" s="52"/>
      <c r="B2443" s="52"/>
      <c r="C2443" s="54"/>
      <c r="D2443" s="855"/>
      <c r="E2443" s="54"/>
      <c r="F2443" s="54"/>
      <c r="G2443" s="54"/>
      <c r="H2443" s="54"/>
      <c r="I2443" s="54"/>
      <c r="J2443" s="54"/>
      <c r="K2443" s="54"/>
      <c r="L2443" s="54"/>
      <c r="M2443" s="54"/>
      <c r="N2443" s="54"/>
      <c r="O2443" s="54"/>
      <c r="P2443" s="54"/>
      <c r="Q2443" s="54"/>
      <c r="R2443" s="54"/>
      <c r="S2443" s="54"/>
      <c r="T2443" s="54"/>
      <c r="U2443" s="54"/>
      <c r="V2443" s="54"/>
      <c r="W2443" s="54"/>
      <c r="X2443" s="54"/>
      <c r="Y2443" s="54"/>
      <c r="Z2443" s="54"/>
      <c r="AA2443" s="54"/>
      <c r="AB2443" s="54"/>
      <c r="AC2443" s="54"/>
    </row>
    <row r="2444" ht="78.0" customHeight="1">
      <c r="A2444" s="26"/>
      <c r="B2444" s="26"/>
      <c r="C2444" s="28"/>
      <c r="D2444" s="825"/>
      <c r="E2444" s="28"/>
      <c r="F2444" s="28"/>
      <c r="G2444" s="28"/>
      <c r="H2444" s="28"/>
      <c r="I2444" s="28"/>
      <c r="J2444" s="28"/>
      <c r="K2444" s="28"/>
      <c r="L2444" s="28"/>
      <c r="M2444" s="28"/>
      <c r="N2444" s="28"/>
      <c r="O2444" s="28"/>
      <c r="P2444" s="28"/>
      <c r="Q2444" s="28"/>
      <c r="R2444" s="28"/>
      <c r="S2444" s="28"/>
      <c r="T2444" s="28"/>
      <c r="U2444" s="28"/>
      <c r="V2444" s="28"/>
      <c r="W2444" s="28"/>
      <c r="X2444" s="28"/>
      <c r="Y2444" s="28"/>
      <c r="Z2444" s="28"/>
      <c r="AA2444" s="28"/>
      <c r="AB2444" s="28"/>
      <c r="AC2444" s="28"/>
    </row>
    <row r="2445" ht="78.0" customHeight="1">
      <c r="A2445" s="52"/>
      <c r="B2445" s="52"/>
      <c r="C2445" s="54"/>
      <c r="D2445" s="855"/>
      <c r="E2445" s="54"/>
      <c r="F2445" s="54"/>
      <c r="G2445" s="54"/>
      <c r="H2445" s="54"/>
      <c r="I2445" s="54"/>
      <c r="J2445" s="54"/>
      <c r="K2445" s="54"/>
      <c r="L2445" s="54"/>
      <c r="M2445" s="54"/>
      <c r="N2445" s="54"/>
      <c r="O2445" s="54"/>
      <c r="P2445" s="54"/>
      <c r="Q2445" s="54"/>
      <c r="R2445" s="54"/>
      <c r="S2445" s="54"/>
      <c r="T2445" s="54"/>
      <c r="U2445" s="54"/>
      <c r="V2445" s="54"/>
      <c r="W2445" s="54"/>
      <c r="X2445" s="54"/>
      <c r="Y2445" s="54"/>
      <c r="Z2445" s="54"/>
      <c r="AA2445" s="54"/>
      <c r="AB2445" s="54"/>
      <c r="AC2445" s="54"/>
    </row>
    <row r="2446" ht="78.0" customHeight="1">
      <c r="A2446" s="26"/>
      <c r="B2446" s="26"/>
      <c r="C2446" s="28"/>
      <c r="D2446" s="825"/>
      <c r="E2446" s="28"/>
      <c r="F2446" s="28"/>
      <c r="G2446" s="28"/>
      <c r="H2446" s="28"/>
      <c r="I2446" s="28"/>
      <c r="J2446" s="28"/>
      <c r="K2446" s="28"/>
      <c r="L2446" s="28"/>
      <c r="M2446" s="28"/>
      <c r="N2446" s="28"/>
      <c r="O2446" s="28"/>
      <c r="P2446" s="28"/>
      <c r="Q2446" s="28"/>
      <c r="R2446" s="28"/>
      <c r="S2446" s="28"/>
      <c r="T2446" s="28"/>
      <c r="U2446" s="28"/>
      <c r="V2446" s="28"/>
      <c r="W2446" s="28"/>
      <c r="X2446" s="28"/>
      <c r="Y2446" s="28"/>
      <c r="Z2446" s="28"/>
      <c r="AA2446" s="28"/>
      <c r="AB2446" s="28"/>
      <c r="AC2446" s="28"/>
    </row>
    <row r="2447" ht="78.0" customHeight="1">
      <c r="A2447" s="52"/>
      <c r="B2447" s="52"/>
      <c r="C2447" s="54"/>
      <c r="D2447" s="855"/>
      <c r="E2447" s="54"/>
      <c r="F2447" s="54"/>
      <c r="G2447" s="54"/>
      <c r="H2447" s="54"/>
      <c r="I2447" s="54"/>
      <c r="J2447" s="54"/>
      <c r="K2447" s="54"/>
      <c r="L2447" s="54"/>
      <c r="M2447" s="54"/>
      <c r="N2447" s="54"/>
      <c r="O2447" s="54"/>
      <c r="P2447" s="54"/>
      <c r="Q2447" s="54"/>
      <c r="R2447" s="54"/>
      <c r="S2447" s="54"/>
      <c r="T2447" s="54"/>
      <c r="U2447" s="54"/>
      <c r="V2447" s="54"/>
      <c r="W2447" s="54"/>
      <c r="X2447" s="54"/>
      <c r="Y2447" s="54"/>
      <c r="Z2447" s="54"/>
      <c r="AA2447" s="54"/>
      <c r="AB2447" s="54"/>
      <c r="AC2447" s="54"/>
    </row>
    <row r="2448" ht="78.0" customHeight="1">
      <c r="A2448" s="26"/>
      <c r="B2448" s="26"/>
      <c r="C2448" s="28"/>
      <c r="D2448" s="825"/>
      <c r="E2448" s="28"/>
      <c r="F2448" s="28"/>
      <c r="G2448" s="28"/>
      <c r="H2448" s="28"/>
      <c r="I2448" s="28"/>
      <c r="J2448" s="28"/>
      <c r="K2448" s="28"/>
      <c r="L2448" s="28"/>
      <c r="M2448" s="28"/>
      <c r="N2448" s="28"/>
      <c r="O2448" s="28"/>
      <c r="P2448" s="28"/>
      <c r="Q2448" s="28"/>
      <c r="R2448" s="28"/>
      <c r="S2448" s="28"/>
      <c r="T2448" s="28"/>
      <c r="U2448" s="28"/>
      <c r="V2448" s="28"/>
      <c r="W2448" s="28"/>
      <c r="X2448" s="28"/>
      <c r="Y2448" s="28"/>
      <c r="Z2448" s="28"/>
      <c r="AA2448" s="28"/>
      <c r="AB2448" s="28"/>
      <c r="AC2448" s="28"/>
    </row>
    <row r="2449" ht="78.0" customHeight="1">
      <c r="A2449" s="52"/>
      <c r="B2449" s="52"/>
      <c r="C2449" s="54"/>
      <c r="D2449" s="855"/>
      <c r="E2449" s="54"/>
      <c r="F2449" s="54"/>
      <c r="G2449" s="54"/>
      <c r="H2449" s="54"/>
      <c r="I2449" s="54"/>
      <c r="J2449" s="54"/>
      <c r="K2449" s="54"/>
      <c r="L2449" s="54"/>
      <c r="M2449" s="54"/>
      <c r="N2449" s="54"/>
      <c r="O2449" s="54"/>
      <c r="P2449" s="54"/>
      <c r="Q2449" s="54"/>
      <c r="R2449" s="54"/>
      <c r="S2449" s="54"/>
      <c r="T2449" s="54"/>
      <c r="U2449" s="54"/>
      <c r="V2449" s="54"/>
      <c r="W2449" s="54"/>
      <c r="X2449" s="54"/>
      <c r="Y2449" s="54"/>
      <c r="Z2449" s="54"/>
      <c r="AA2449" s="54"/>
      <c r="AB2449" s="54"/>
      <c r="AC2449" s="54"/>
    </row>
    <row r="2450" ht="78.0" customHeight="1">
      <c r="A2450" s="26"/>
      <c r="B2450" s="26"/>
      <c r="C2450" s="28"/>
      <c r="D2450" s="825"/>
      <c r="E2450" s="28"/>
      <c r="F2450" s="28"/>
      <c r="G2450" s="28"/>
      <c r="H2450" s="28"/>
      <c r="I2450" s="28"/>
      <c r="J2450" s="28"/>
      <c r="K2450" s="28"/>
      <c r="L2450" s="28"/>
      <c r="M2450" s="28"/>
      <c r="N2450" s="28"/>
      <c r="O2450" s="28"/>
      <c r="P2450" s="28"/>
      <c r="Q2450" s="28"/>
      <c r="R2450" s="28"/>
      <c r="S2450" s="28"/>
      <c r="T2450" s="28"/>
      <c r="U2450" s="28"/>
      <c r="V2450" s="28"/>
      <c r="W2450" s="28"/>
      <c r="X2450" s="28"/>
      <c r="Y2450" s="28"/>
      <c r="Z2450" s="28"/>
      <c r="AA2450" s="28"/>
      <c r="AB2450" s="28"/>
      <c r="AC2450" s="28"/>
    </row>
    <row r="2451" ht="78.0" customHeight="1">
      <c r="A2451" s="52"/>
      <c r="B2451" s="52"/>
      <c r="C2451" s="54"/>
      <c r="D2451" s="855"/>
      <c r="E2451" s="54"/>
      <c r="F2451" s="54"/>
      <c r="G2451" s="54"/>
      <c r="H2451" s="54"/>
      <c r="I2451" s="54"/>
      <c r="J2451" s="54"/>
      <c r="K2451" s="54"/>
      <c r="L2451" s="54"/>
      <c r="M2451" s="54"/>
      <c r="N2451" s="54"/>
      <c r="O2451" s="54"/>
      <c r="P2451" s="54"/>
      <c r="Q2451" s="54"/>
      <c r="R2451" s="54"/>
      <c r="S2451" s="54"/>
      <c r="T2451" s="54"/>
      <c r="U2451" s="54"/>
      <c r="V2451" s="54"/>
      <c r="W2451" s="54"/>
      <c r="X2451" s="54"/>
      <c r="Y2451" s="54"/>
      <c r="Z2451" s="54"/>
      <c r="AA2451" s="54"/>
      <c r="AB2451" s="54"/>
      <c r="AC2451" s="54"/>
    </row>
    <row r="2452" ht="78.0" customHeight="1">
      <c r="A2452" s="26"/>
      <c r="B2452" s="26"/>
      <c r="C2452" s="28"/>
      <c r="D2452" s="825"/>
      <c r="E2452" s="28"/>
      <c r="F2452" s="28"/>
      <c r="G2452" s="28"/>
      <c r="H2452" s="28"/>
      <c r="I2452" s="28"/>
      <c r="J2452" s="28"/>
      <c r="K2452" s="28"/>
      <c r="L2452" s="28"/>
      <c r="M2452" s="28"/>
      <c r="N2452" s="28"/>
      <c r="O2452" s="28"/>
      <c r="P2452" s="28"/>
      <c r="Q2452" s="28"/>
      <c r="R2452" s="28"/>
      <c r="S2452" s="28"/>
      <c r="T2452" s="28"/>
      <c r="U2452" s="28"/>
      <c r="V2452" s="28"/>
      <c r="W2452" s="28"/>
      <c r="X2452" s="28"/>
      <c r="Y2452" s="28"/>
      <c r="Z2452" s="28"/>
      <c r="AA2452" s="28"/>
      <c r="AB2452" s="28"/>
      <c r="AC2452" s="28"/>
    </row>
    <row r="2453" ht="78.0" customHeight="1">
      <c r="A2453" s="52"/>
      <c r="B2453" s="52"/>
      <c r="C2453" s="54"/>
      <c r="D2453" s="855"/>
      <c r="E2453" s="54"/>
      <c r="F2453" s="54"/>
      <c r="G2453" s="54"/>
      <c r="H2453" s="54"/>
      <c r="I2453" s="54"/>
      <c r="J2453" s="54"/>
      <c r="K2453" s="54"/>
      <c r="L2453" s="54"/>
      <c r="M2453" s="54"/>
      <c r="N2453" s="54"/>
      <c r="O2453" s="54"/>
      <c r="P2453" s="54"/>
      <c r="Q2453" s="54"/>
      <c r="R2453" s="54"/>
      <c r="S2453" s="54"/>
      <c r="T2453" s="54"/>
      <c r="U2453" s="54"/>
      <c r="V2453" s="54"/>
      <c r="W2453" s="54"/>
      <c r="X2453" s="54"/>
      <c r="Y2453" s="54"/>
      <c r="Z2453" s="54"/>
      <c r="AA2453" s="54"/>
      <c r="AB2453" s="54"/>
      <c r="AC2453" s="54"/>
    </row>
    <row r="2454" ht="78.0" customHeight="1">
      <c r="A2454" s="26"/>
      <c r="B2454" s="26"/>
      <c r="C2454" s="28"/>
      <c r="D2454" s="825"/>
      <c r="E2454" s="28"/>
      <c r="F2454" s="28"/>
      <c r="G2454" s="28"/>
      <c r="H2454" s="28"/>
      <c r="I2454" s="28"/>
      <c r="J2454" s="28"/>
      <c r="K2454" s="28"/>
      <c r="L2454" s="28"/>
      <c r="M2454" s="28"/>
      <c r="N2454" s="28"/>
      <c r="O2454" s="28"/>
      <c r="P2454" s="28"/>
      <c r="Q2454" s="28"/>
      <c r="R2454" s="28"/>
      <c r="S2454" s="28"/>
      <c r="T2454" s="28"/>
      <c r="U2454" s="28"/>
      <c r="V2454" s="28"/>
      <c r="W2454" s="28"/>
      <c r="X2454" s="28"/>
      <c r="Y2454" s="28"/>
      <c r="Z2454" s="28"/>
      <c r="AA2454" s="28"/>
      <c r="AB2454" s="28"/>
      <c r="AC2454" s="28"/>
    </row>
    <row r="2455" ht="78.0" customHeight="1">
      <c r="A2455" s="52"/>
      <c r="B2455" s="52"/>
      <c r="C2455" s="54"/>
      <c r="D2455" s="855"/>
      <c r="E2455" s="54"/>
      <c r="F2455" s="54"/>
      <c r="G2455" s="54"/>
      <c r="H2455" s="54"/>
      <c r="I2455" s="54"/>
      <c r="J2455" s="54"/>
      <c r="K2455" s="54"/>
      <c r="L2455" s="54"/>
      <c r="M2455" s="54"/>
      <c r="N2455" s="54"/>
      <c r="O2455" s="54"/>
      <c r="P2455" s="54"/>
      <c r="Q2455" s="54"/>
      <c r="R2455" s="54"/>
      <c r="S2455" s="54"/>
      <c r="T2455" s="54"/>
      <c r="U2455" s="54"/>
      <c r="V2455" s="54"/>
      <c r="W2455" s="54"/>
      <c r="X2455" s="54"/>
      <c r="Y2455" s="54"/>
      <c r="Z2455" s="54"/>
      <c r="AA2455" s="54"/>
      <c r="AB2455" s="54"/>
      <c r="AC2455" s="54"/>
    </row>
    <row r="2456" ht="78.0" customHeight="1">
      <c r="A2456" s="26"/>
      <c r="B2456" s="26"/>
      <c r="C2456" s="28"/>
      <c r="D2456" s="825"/>
      <c r="E2456" s="28"/>
      <c r="F2456" s="28"/>
      <c r="G2456" s="28"/>
      <c r="H2456" s="28"/>
      <c r="I2456" s="28"/>
      <c r="J2456" s="28"/>
      <c r="K2456" s="28"/>
      <c r="L2456" s="28"/>
      <c r="M2456" s="28"/>
      <c r="N2456" s="28"/>
      <c r="O2456" s="28"/>
      <c r="P2456" s="28"/>
      <c r="Q2456" s="28"/>
      <c r="R2456" s="28"/>
      <c r="S2456" s="28"/>
      <c r="T2456" s="28"/>
      <c r="U2456" s="28"/>
      <c r="V2456" s="28"/>
      <c r="W2456" s="28"/>
      <c r="X2456" s="28"/>
      <c r="Y2456" s="28"/>
      <c r="Z2456" s="28"/>
      <c r="AA2456" s="28"/>
      <c r="AB2456" s="28"/>
      <c r="AC2456" s="28"/>
    </row>
    <row r="2457" ht="78.0" customHeight="1">
      <c r="A2457" s="52"/>
      <c r="B2457" s="52"/>
      <c r="C2457" s="54"/>
      <c r="D2457" s="855"/>
      <c r="E2457" s="54"/>
      <c r="F2457" s="54"/>
      <c r="G2457" s="54"/>
      <c r="H2457" s="54"/>
      <c r="I2457" s="54"/>
      <c r="J2457" s="54"/>
      <c r="K2457" s="54"/>
      <c r="L2457" s="54"/>
      <c r="M2457" s="54"/>
      <c r="N2457" s="54"/>
      <c r="O2457" s="54"/>
      <c r="P2457" s="54"/>
      <c r="Q2457" s="54"/>
      <c r="R2457" s="54"/>
      <c r="S2457" s="54"/>
      <c r="T2457" s="54"/>
      <c r="U2457" s="54"/>
      <c r="V2457" s="54"/>
      <c r="W2457" s="54"/>
      <c r="X2457" s="54"/>
      <c r="Y2457" s="54"/>
      <c r="Z2457" s="54"/>
      <c r="AA2457" s="54"/>
      <c r="AB2457" s="54"/>
      <c r="AC2457" s="54"/>
    </row>
  </sheetData>
  <conditionalFormatting sqref="D284">
    <cfRule type="notContainsBlanks" dxfId="9" priority="1">
      <formula>LEN(TRIM(D284))&gt;0</formula>
    </cfRule>
  </conditionalFormatting>
  <hyperlinks>
    <hyperlink r:id="rId4" location="gid=1526640748" ref="B5"/>
    <hyperlink r:id="rId5" location="gid=1526640748" ref="C6"/>
    <hyperlink r:id="rId6" ref="B47"/>
    <hyperlink r:id="rId7" ref="C49"/>
    <hyperlink r:id="rId8" ref="D152"/>
    <hyperlink r:id="rId9" ref="D161"/>
    <hyperlink r:id="rId10" ref="D241"/>
    <hyperlink r:id="rId11" ref="G291"/>
    <hyperlink r:id="rId12" ref="G377"/>
    <hyperlink r:id="rId13" ref="G379"/>
    <hyperlink r:id="rId14" ref="C497"/>
    <hyperlink r:id="rId15" ref="C499"/>
    <hyperlink r:id="rId16" location=":" ref="G528"/>
    <hyperlink r:id="rId17" ref="A635"/>
    <hyperlink r:id="rId18" ref="B635"/>
    <hyperlink r:id="rId19" ref="B636"/>
    <hyperlink r:id="rId20" ref="A637"/>
    <hyperlink r:id="rId21" ref="A709"/>
    <hyperlink r:id="rId22" ref="A711"/>
    <hyperlink r:id="rId23" location="gid=217497306" ref="H725"/>
    <hyperlink r:id="rId24" ref="G779"/>
    <hyperlink r:id="rId25" ref="H794"/>
    <hyperlink r:id="rId26" ref="H796"/>
    <hyperlink r:id="rId27" ref="C897"/>
    <hyperlink r:id="rId28" ref="C898"/>
    <hyperlink r:id="rId29" ref="C1545"/>
    <hyperlink r:id="rId30" ref="C1546"/>
  </hyperlinks>
  <drawing r:id="rId31"/>
  <legacyDrawing r:id="rId32"/>
  <tableParts count="1">
    <tablePart r:id="rId3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4BD88"/>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0"/>
    <col customWidth="1" min="2" max="2" width="23.88"/>
    <col customWidth="1" min="3" max="3" width="40.63"/>
    <col customWidth="1" min="4" max="8" width="25.13"/>
  </cols>
  <sheetData>
    <row r="1" ht="30.0" customHeight="1">
      <c r="A1" s="274" t="s">
        <v>1</v>
      </c>
      <c r="B1" s="275"/>
      <c r="C1" s="275"/>
      <c r="D1" s="275"/>
      <c r="E1" s="275"/>
      <c r="F1" s="275"/>
      <c r="G1" s="275"/>
      <c r="H1" s="275"/>
    </row>
    <row r="2">
      <c r="A2" s="277" t="s">
        <v>1142</v>
      </c>
      <c r="B2" s="17" t="s">
        <v>13</v>
      </c>
      <c r="C2" s="20" t="s">
        <v>21</v>
      </c>
      <c r="D2" s="20" t="s">
        <v>23</v>
      </c>
      <c r="E2" s="20" t="s">
        <v>23</v>
      </c>
      <c r="F2" s="20" t="s">
        <v>23</v>
      </c>
      <c r="G2" s="20" t="s">
        <v>23</v>
      </c>
      <c r="H2" s="20" t="s">
        <v>23</v>
      </c>
    </row>
    <row r="3">
      <c r="A3" s="280" t="s">
        <v>1150</v>
      </c>
      <c r="B3" s="281" t="s">
        <v>29</v>
      </c>
      <c r="C3" s="282" t="s">
        <v>1156</v>
      </c>
      <c r="D3" s="282"/>
      <c r="E3" s="283"/>
      <c r="F3" s="283"/>
      <c r="G3" s="283"/>
      <c r="H3" s="283"/>
    </row>
    <row r="4">
      <c r="A4" s="284" t="s">
        <v>1161</v>
      </c>
      <c r="B4" s="152" t="s">
        <v>84</v>
      </c>
      <c r="C4" s="285" t="s">
        <v>1165</v>
      </c>
      <c r="D4" s="285"/>
      <c r="E4" s="285"/>
      <c r="F4" s="285"/>
      <c r="G4" s="285"/>
      <c r="H4" s="286"/>
    </row>
    <row r="5">
      <c r="A5" s="280" t="s">
        <v>1173</v>
      </c>
      <c r="B5" s="281" t="s">
        <v>135</v>
      </c>
      <c r="C5" s="282" t="s">
        <v>1176</v>
      </c>
      <c r="D5" s="282"/>
      <c r="E5" s="283"/>
      <c r="F5" s="283"/>
      <c r="G5" s="283"/>
      <c r="H5" s="283"/>
    </row>
    <row r="6">
      <c r="A6" s="288" t="s">
        <v>389</v>
      </c>
      <c r="B6" s="152" t="s">
        <v>84</v>
      </c>
      <c r="C6" s="285" t="s">
        <v>1181</v>
      </c>
      <c r="D6" s="285"/>
      <c r="E6" s="286"/>
      <c r="F6" s="286"/>
      <c r="G6" s="286"/>
      <c r="H6" s="286"/>
    </row>
    <row r="7">
      <c r="A7" s="280" t="s">
        <v>243</v>
      </c>
      <c r="B7" s="281" t="s">
        <v>471</v>
      </c>
      <c r="C7" s="282" t="s">
        <v>1188</v>
      </c>
      <c r="D7" s="283"/>
      <c r="E7" s="283"/>
      <c r="F7" s="283"/>
      <c r="G7" s="283"/>
      <c r="H7" s="283"/>
    </row>
    <row r="8">
      <c r="A8" s="291"/>
      <c r="B8" s="152" t="s">
        <v>135</v>
      </c>
      <c r="C8" s="285" t="s">
        <v>1193</v>
      </c>
      <c r="D8" s="285"/>
      <c r="E8" s="285"/>
      <c r="F8" s="285"/>
      <c r="G8" s="286"/>
      <c r="H8" s="286"/>
    </row>
    <row r="9">
      <c r="A9" s="280" t="s">
        <v>1195</v>
      </c>
      <c r="B9" s="281" t="s">
        <v>84</v>
      </c>
      <c r="C9" s="282" t="s">
        <v>1197</v>
      </c>
      <c r="D9" s="282" t="s">
        <v>1198</v>
      </c>
      <c r="E9" s="282"/>
      <c r="F9" s="282"/>
      <c r="G9" s="283"/>
      <c r="H9" s="283"/>
    </row>
    <row r="10">
      <c r="A10" s="284" t="s">
        <v>1199</v>
      </c>
      <c r="B10" s="152" t="s">
        <v>84</v>
      </c>
      <c r="C10" s="285" t="s">
        <v>1201</v>
      </c>
      <c r="D10" s="285"/>
      <c r="E10" s="286"/>
      <c r="F10" s="286"/>
      <c r="G10" s="286"/>
      <c r="H10" s="286"/>
    </row>
    <row r="11">
      <c r="A11" s="280" t="s">
        <v>1205</v>
      </c>
      <c r="B11" s="281" t="s">
        <v>84</v>
      </c>
      <c r="C11" s="282" t="s">
        <v>1207</v>
      </c>
      <c r="D11" s="282"/>
      <c r="E11" s="283"/>
      <c r="F11" s="283"/>
      <c r="G11" s="283"/>
      <c r="H11" s="283"/>
    </row>
    <row r="12">
      <c r="A12" s="284" t="s">
        <v>348</v>
      </c>
      <c r="D12" s="286"/>
      <c r="E12" s="286"/>
      <c r="F12" s="286"/>
      <c r="G12" s="286"/>
      <c r="H12" s="286"/>
    </row>
    <row r="13">
      <c r="D13" s="282" t="s">
        <v>1213</v>
      </c>
      <c r="E13" s="283"/>
      <c r="F13" s="283"/>
      <c r="G13" s="283"/>
      <c r="H13" s="283"/>
    </row>
    <row r="14">
      <c r="D14" s="285"/>
      <c r="E14" s="285"/>
      <c r="F14" s="285"/>
      <c r="G14" s="285"/>
      <c r="H14" s="286"/>
    </row>
    <row r="15">
      <c r="D15" s="282"/>
      <c r="E15" s="282"/>
      <c r="F15" s="282"/>
      <c r="G15" s="283"/>
      <c r="H15" s="283"/>
    </row>
    <row r="16">
      <c r="A16" s="284" t="s">
        <v>633</v>
      </c>
      <c r="B16" s="152" t="s">
        <v>84</v>
      </c>
      <c r="C16" s="285" t="s">
        <v>1221</v>
      </c>
      <c r="D16" s="286"/>
      <c r="E16" s="286"/>
      <c r="F16" s="286"/>
      <c r="G16" s="286"/>
      <c r="H16" s="286"/>
    </row>
    <row r="17">
      <c r="A17" s="280" t="s">
        <v>1228</v>
      </c>
      <c r="B17" s="281" t="s">
        <v>84</v>
      </c>
      <c r="C17" s="282" t="s">
        <v>1231</v>
      </c>
      <c r="D17" s="283"/>
      <c r="E17" s="283"/>
      <c r="F17" s="283"/>
      <c r="G17" s="283"/>
      <c r="H17" s="283"/>
    </row>
    <row r="18">
      <c r="A18" s="284" t="s">
        <v>738</v>
      </c>
      <c r="B18" s="152" t="s">
        <v>84</v>
      </c>
      <c r="C18" s="285" t="s">
        <v>1234</v>
      </c>
      <c r="D18" s="286"/>
      <c r="E18" s="286"/>
      <c r="F18" s="286"/>
      <c r="G18" s="286"/>
      <c r="H18" s="286"/>
    </row>
    <row r="19">
      <c r="A19" s="280" t="s">
        <v>1240</v>
      </c>
      <c r="B19" s="281" t="s">
        <v>29</v>
      </c>
      <c r="C19" s="282" t="s">
        <v>1243</v>
      </c>
      <c r="D19" s="283"/>
      <c r="E19" s="283"/>
      <c r="F19" s="283"/>
      <c r="G19" s="283"/>
      <c r="H19" s="283"/>
    </row>
    <row r="20">
      <c r="A20" s="284"/>
      <c r="B20" s="152"/>
      <c r="C20" s="285"/>
      <c r="D20" s="286"/>
      <c r="E20" s="286"/>
      <c r="F20" s="286"/>
      <c r="G20" s="286"/>
      <c r="H20" s="286"/>
    </row>
    <row r="21">
      <c r="A21" s="280"/>
      <c r="B21" s="281"/>
      <c r="C21" s="282"/>
      <c r="D21" s="282"/>
      <c r="E21" s="283"/>
      <c r="F21" s="283"/>
      <c r="G21" s="283"/>
      <c r="H21" s="283"/>
    </row>
    <row r="22">
      <c r="A22" s="284"/>
      <c r="B22" s="152"/>
      <c r="C22" s="285"/>
      <c r="D22" s="286"/>
      <c r="E22" s="286"/>
      <c r="F22" s="286"/>
      <c r="G22" s="286"/>
      <c r="H22" s="286"/>
    </row>
    <row r="23">
      <c r="A23" s="280"/>
      <c r="B23" s="281"/>
      <c r="C23" s="282"/>
      <c r="D23" s="282"/>
      <c r="E23" s="282"/>
      <c r="F23" s="283"/>
      <c r="G23" s="283"/>
      <c r="H23" s="283"/>
    </row>
    <row r="24">
      <c r="A24" s="284"/>
      <c r="B24" s="152"/>
      <c r="C24" s="285"/>
      <c r="D24" s="285"/>
      <c r="E24" s="286"/>
      <c r="F24" s="286"/>
      <c r="G24" s="286"/>
      <c r="H24" s="286"/>
    </row>
    <row r="25">
      <c r="A25" s="280"/>
      <c r="B25" s="281"/>
      <c r="C25" s="282"/>
      <c r="D25" s="282"/>
      <c r="E25" s="283"/>
      <c r="F25" s="283"/>
      <c r="G25" s="283"/>
      <c r="H25" s="283"/>
    </row>
    <row r="26">
      <c r="A26" s="284"/>
      <c r="B26" s="152"/>
      <c r="C26" s="285"/>
      <c r="D26" s="285"/>
      <c r="E26" s="286"/>
      <c r="F26" s="286"/>
      <c r="G26" s="286"/>
      <c r="H26" s="286"/>
    </row>
    <row r="27">
      <c r="A27" s="280"/>
      <c r="B27" s="281"/>
      <c r="C27" s="282"/>
      <c r="D27" s="282"/>
      <c r="E27" s="282"/>
      <c r="F27" s="282"/>
      <c r="G27" s="282"/>
      <c r="H27" s="283"/>
    </row>
    <row r="28">
      <c r="A28" s="295"/>
      <c r="B28" s="296"/>
      <c r="C28" s="286"/>
      <c r="D28" s="286"/>
      <c r="E28" s="286"/>
      <c r="F28" s="286"/>
      <c r="G28" s="286"/>
      <c r="H28" s="286"/>
    </row>
    <row r="29">
      <c r="A29" s="297"/>
      <c r="B29" s="298"/>
      <c r="C29" s="283"/>
      <c r="D29" s="283"/>
      <c r="E29" s="283"/>
      <c r="F29" s="283"/>
      <c r="G29" s="283"/>
      <c r="H29" s="283"/>
    </row>
    <row r="30">
      <c r="A30" s="295"/>
      <c r="B30" s="296"/>
      <c r="C30" s="286"/>
      <c r="D30" s="286"/>
      <c r="E30" s="286"/>
      <c r="F30" s="286"/>
      <c r="G30" s="286"/>
      <c r="H30" s="286"/>
    </row>
    <row r="31">
      <c r="A31" s="297"/>
      <c r="B31" s="298"/>
      <c r="C31" s="283"/>
      <c r="D31" s="283"/>
      <c r="E31" s="283"/>
      <c r="F31" s="283"/>
      <c r="G31" s="283"/>
      <c r="H31" s="283"/>
    </row>
    <row r="32">
      <c r="A32" s="295"/>
      <c r="B32" s="296"/>
      <c r="C32" s="286"/>
      <c r="D32" s="286"/>
      <c r="E32" s="286"/>
      <c r="F32" s="286"/>
      <c r="G32" s="286"/>
      <c r="H32" s="286"/>
    </row>
    <row r="33">
      <c r="A33" s="297"/>
      <c r="B33" s="298"/>
      <c r="C33" s="283"/>
      <c r="D33" s="283"/>
      <c r="E33" s="283"/>
      <c r="F33" s="283"/>
      <c r="G33" s="283"/>
      <c r="H33" s="283"/>
    </row>
    <row r="34">
      <c r="A34" s="295"/>
      <c r="B34" s="296"/>
      <c r="C34" s="286"/>
      <c r="D34" s="286"/>
      <c r="E34" s="286"/>
      <c r="F34" s="286"/>
      <c r="G34" s="286"/>
      <c r="H34" s="286"/>
    </row>
    <row r="35">
      <c r="A35" s="297"/>
      <c r="B35" s="298"/>
      <c r="C35" s="283"/>
      <c r="D35" s="283"/>
      <c r="E35" s="283"/>
      <c r="F35" s="283"/>
      <c r="G35" s="283"/>
      <c r="H35" s="283"/>
    </row>
    <row r="36">
      <c r="A36" s="295"/>
      <c r="B36" s="296"/>
      <c r="C36" s="286"/>
      <c r="D36" s="286"/>
      <c r="E36" s="286"/>
      <c r="F36" s="286"/>
      <c r="G36" s="286"/>
      <c r="H36" s="286"/>
    </row>
    <row r="37">
      <c r="A37" s="297"/>
      <c r="B37" s="298"/>
      <c r="C37" s="283"/>
      <c r="D37" s="283"/>
      <c r="E37" s="283"/>
      <c r="F37" s="283"/>
      <c r="G37" s="283"/>
      <c r="H37" s="283"/>
    </row>
    <row r="38">
      <c r="A38" s="295"/>
      <c r="B38" s="296"/>
      <c r="C38" s="286"/>
      <c r="D38" s="286"/>
      <c r="E38" s="286"/>
      <c r="F38" s="286"/>
      <c r="G38" s="286"/>
      <c r="H38" s="286"/>
    </row>
    <row r="39">
      <c r="A39" s="297"/>
      <c r="B39" s="298"/>
      <c r="C39" s="283"/>
      <c r="D39" s="283"/>
      <c r="E39" s="283"/>
      <c r="F39" s="283"/>
      <c r="G39" s="283"/>
      <c r="H39" s="283"/>
    </row>
    <row r="40">
      <c r="A40" s="295"/>
      <c r="B40" s="296"/>
      <c r="C40" s="286"/>
      <c r="D40" s="286"/>
      <c r="E40" s="286"/>
      <c r="F40" s="286"/>
      <c r="G40" s="286"/>
      <c r="H40" s="286"/>
    </row>
    <row r="41">
      <c r="A41" s="297"/>
      <c r="B41" s="298"/>
      <c r="C41" s="283"/>
      <c r="D41" s="283"/>
      <c r="E41" s="283"/>
      <c r="F41" s="283"/>
      <c r="G41" s="283"/>
      <c r="H41" s="283"/>
    </row>
    <row r="42">
      <c r="A42" s="295"/>
      <c r="B42" s="296"/>
      <c r="C42" s="286"/>
      <c r="D42" s="286"/>
      <c r="E42" s="286"/>
      <c r="F42" s="286"/>
      <c r="G42" s="286"/>
      <c r="H42" s="286"/>
    </row>
    <row r="43">
      <c r="A43" s="297"/>
      <c r="B43" s="298"/>
      <c r="C43" s="283"/>
      <c r="D43" s="283"/>
      <c r="E43" s="283"/>
      <c r="F43" s="283"/>
      <c r="G43" s="283"/>
      <c r="H43" s="283"/>
    </row>
    <row r="44">
      <c r="A44" s="295"/>
      <c r="B44" s="296"/>
      <c r="C44" s="286"/>
      <c r="D44" s="286"/>
      <c r="E44" s="286"/>
      <c r="F44" s="286"/>
      <c r="G44" s="286"/>
      <c r="H44" s="286"/>
    </row>
    <row r="45">
      <c r="A45" s="297"/>
      <c r="B45" s="298"/>
      <c r="C45" s="283"/>
      <c r="D45" s="283"/>
      <c r="E45" s="283"/>
      <c r="F45" s="283"/>
      <c r="G45" s="283"/>
      <c r="H45" s="283"/>
    </row>
    <row r="46">
      <c r="A46" s="295"/>
      <c r="B46" s="296"/>
      <c r="C46" s="286"/>
      <c r="D46" s="286"/>
      <c r="E46" s="286"/>
      <c r="F46" s="286"/>
      <c r="G46" s="286"/>
      <c r="H46" s="286"/>
    </row>
    <row r="47">
      <c r="A47" s="297"/>
      <c r="B47" s="298"/>
      <c r="C47" s="283"/>
      <c r="D47" s="283"/>
      <c r="E47" s="283"/>
      <c r="F47" s="283"/>
      <c r="G47" s="283"/>
      <c r="H47" s="283"/>
    </row>
    <row r="48">
      <c r="A48" s="295"/>
      <c r="B48" s="296"/>
      <c r="C48" s="286"/>
      <c r="D48" s="286"/>
      <c r="E48" s="286"/>
      <c r="F48" s="286"/>
      <c r="G48" s="286"/>
      <c r="H48" s="286"/>
    </row>
    <row r="49">
      <c r="A49" s="297"/>
      <c r="B49" s="298"/>
      <c r="C49" s="283"/>
      <c r="D49" s="283"/>
      <c r="E49" s="283"/>
      <c r="F49" s="283"/>
      <c r="G49" s="283"/>
      <c r="H49" s="283"/>
    </row>
    <row r="50">
      <c r="A50" s="295"/>
      <c r="B50" s="296"/>
      <c r="C50" s="286"/>
      <c r="D50" s="286"/>
      <c r="E50" s="286"/>
      <c r="F50" s="286"/>
      <c r="G50" s="286"/>
      <c r="H50" s="286"/>
    </row>
    <row r="51">
      <c r="A51" s="297"/>
      <c r="B51" s="298"/>
      <c r="C51" s="283"/>
      <c r="D51" s="283"/>
      <c r="E51" s="283"/>
      <c r="F51" s="283"/>
      <c r="G51" s="283"/>
      <c r="H51" s="283"/>
    </row>
    <row r="52">
      <c r="A52" s="295"/>
      <c r="B52" s="296"/>
      <c r="C52" s="286"/>
      <c r="D52" s="286"/>
      <c r="E52" s="286"/>
      <c r="F52" s="286"/>
      <c r="G52" s="286"/>
      <c r="H52" s="286"/>
    </row>
    <row r="53">
      <c r="A53" s="297"/>
      <c r="B53" s="298"/>
      <c r="C53" s="283"/>
      <c r="D53" s="283"/>
      <c r="E53" s="283"/>
      <c r="F53" s="283"/>
      <c r="G53" s="283"/>
      <c r="H53" s="283"/>
    </row>
    <row r="54">
      <c r="A54" s="295"/>
      <c r="B54" s="296"/>
      <c r="C54" s="286"/>
      <c r="D54" s="286"/>
      <c r="E54" s="286"/>
      <c r="F54" s="286"/>
      <c r="G54" s="286"/>
      <c r="H54" s="286"/>
    </row>
    <row r="55">
      <c r="A55" s="297"/>
      <c r="B55" s="298"/>
      <c r="C55" s="283"/>
      <c r="D55" s="283"/>
      <c r="E55" s="283"/>
      <c r="F55" s="283"/>
      <c r="G55" s="283"/>
      <c r="H55" s="283"/>
    </row>
    <row r="56">
      <c r="A56" s="295"/>
      <c r="B56" s="296"/>
      <c r="C56" s="286"/>
      <c r="D56" s="286"/>
      <c r="E56" s="286"/>
      <c r="F56" s="286"/>
      <c r="G56" s="286"/>
      <c r="H56" s="286"/>
    </row>
    <row r="57">
      <c r="A57" s="297"/>
      <c r="B57" s="298"/>
      <c r="C57" s="283"/>
      <c r="D57" s="283"/>
      <c r="E57" s="283"/>
      <c r="F57" s="283"/>
      <c r="G57" s="283"/>
      <c r="H57" s="283"/>
    </row>
    <row r="58">
      <c r="A58" s="295"/>
      <c r="B58" s="296"/>
      <c r="C58" s="286"/>
      <c r="D58" s="286"/>
      <c r="E58" s="286"/>
      <c r="F58" s="286"/>
      <c r="G58" s="286"/>
      <c r="H58" s="286"/>
    </row>
    <row r="59">
      <c r="A59" s="297"/>
      <c r="B59" s="298"/>
      <c r="C59" s="283"/>
      <c r="D59" s="283"/>
      <c r="E59" s="283"/>
      <c r="F59" s="283"/>
      <c r="G59" s="283"/>
      <c r="H59" s="283"/>
    </row>
    <row r="60">
      <c r="A60" s="295"/>
      <c r="B60" s="296"/>
      <c r="C60" s="286"/>
      <c r="D60" s="286"/>
      <c r="E60" s="286"/>
      <c r="F60" s="286"/>
      <c r="G60" s="286"/>
      <c r="H60" s="286"/>
    </row>
    <row r="61">
      <c r="A61" s="297"/>
      <c r="B61" s="298"/>
      <c r="C61" s="283"/>
      <c r="D61" s="283"/>
      <c r="E61" s="283"/>
      <c r="F61" s="283"/>
      <c r="G61" s="283"/>
      <c r="H61" s="283"/>
    </row>
    <row r="62">
      <c r="A62" s="295"/>
      <c r="B62" s="296"/>
      <c r="C62" s="286"/>
      <c r="D62" s="286"/>
      <c r="E62" s="286"/>
      <c r="F62" s="286"/>
      <c r="G62" s="286"/>
      <c r="H62" s="286"/>
    </row>
    <row r="63">
      <c r="A63" s="297"/>
      <c r="B63" s="298"/>
      <c r="C63" s="283"/>
      <c r="D63" s="283"/>
      <c r="E63" s="283"/>
      <c r="F63" s="283"/>
      <c r="G63" s="283"/>
      <c r="H63" s="283"/>
    </row>
    <row r="64">
      <c r="A64" s="295"/>
      <c r="B64" s="296"/>
      <c r="C64" s="286"/>
      <c r="D64" s="286"/>
      <c r="E64" s="286"/>
      <c r="F64" s="286"/>
      <c r="G64" s="286"/>
      <c r="H64" s="286"/>
    </row>
    <row r="65">
      <c r="A65" s="297"/>
      <c r="B65" s="298"/>
      <c r="C65" s="283"/>
      <c r="D65" s="283"/>
      <c r="E65" s="283"/>
      <c r="F65" s="283"/>
      <c r="G65" s="283"/>
      <c r="H65" s="283"/>
    </row>
    <row r="66">
      <c r="A66" s="295"/>
      <c r="B66" s="296"/>
      <c r="C66" s="286"/>
      <c r="D66" s="286"/>
      <c r="E66" s="286"/>
      <c r="F66" s="286"/>
      <c r="G66" s="286"/>
      <c r="H66" s="286"/>
    </row>
    <row r="67">
      <c r="A67" s="297"/>
      <c r="B67" s="298"/>
      <c r="C67" s="283"/>
      <c r="D67" s="283"/>
      <c r="E67" s="283"/>
      <c r="F67" s="283"/>
      <c r="G67" s="283"/>
      <c r="H67" s="283"/>
    </row>
    <row r="68">
      <c r="A68" s="295"/>
      <c r="B68" s="296"/>
      <c r="C68" s="286"/>
      <c r="D68" s="286"/>
      <c r="E68" s="286"/>
      <c r="F68" s="286"/>
      <c r="G68" s="286"/>
      <c r="H68" s="286"/>
    </row>
    <row r="69">
      <c r="A69" s="297"/>
      <c r="B69" s="298"/>
      <c r="C69" s="283"/>
      <c r="D69" s="283"/>
      <c r="E69" s="283"/>
      <c r="F69" s="283"/>
      <c r="G69" s="283"/>
      <c r="H69" s="283"/>
    </row>
    <row r="70">
      <c r="A70" s="295"/>
      <c r="B70" s="296"/>
      <c r="C70" s="286"/>
      <c r="D70" s="286"/>
      <c r="E70" s="286"/>
      <c r="F70" s="286"/>
      <c r="G70" s="286"/>
      <c r="H70" s="286"/>
    </row>
    <row r="71">
      <c r="A71" s="297"/>
      <c r="B71" s="298"/>
      <c r="C71" s="283"/>
      <c r="D71" s="283"/>
      <c r="E71" s="283"/>
      <c r="F71" s="283"/>
      <c r="G71" s="283"/>
      <c r="H71" s="283"/>
    </row>
    <row r="72">
      <c r="A72" s="295"/>
      <c r="B72" s="296"/>
      <c r="C72" s="286"/>
      <c r="D72" s="286"/>
      <c r="E72" s="286"/>
      <c r="F72" s="286"/>
      <c r="G72" s="286"/>
      <c r="H72" s="286"/>
    </row>
    <row r="73">
      <c r="A73" s="297"/>
      <c r="B73" s="298"/>
      <c r="C73" s="283"/>
      <c r="D73" s="283"/>
      <c r="E73" s="283"/>
      <c r="F73" s="283"/>
      <c r="G73" s="283"/>
      <c r="H73" s="283"/>
    </row>
    <row r="74">
      <c r="A74" s="295"/>
      <c r="B74" s="296"/>
      <c r="C74" s="286"/>
      <c r="D74" s="286"/>
      <c r="E74" s="286"/>
      <c r="F74" s="286"/>
      <c r="G74" s="286"/>
      <c r="H74" s="286"/>
    </row>
    <row r="75">
      <c r="A75" s="297"/>
      <c r="B75" s="298"/>
      <c r="C75" s="283"/>
      <c r="D75" s="283"/>
      <c r="E75" s="283"/>
      <c r="F75" s="283"/>
      <c r="G75" s="283"/>
      <c r="H75" s="283"/>
    </row>
    <row r="76">
      <c r="A76" s="295"/>
      <c r="B76" s="296"/>
      <c r="C76" s="286"/>
      <c r="D76" s="286"/>
      <c r="E76" s="286"/>
      <c r="F76" s="286"/>
      <c r="G76" s="286"/>
      <c r="H76" s="286"/>
    </row>
    <row r="77">
      <c r="A77" s="297"/>
      <c r="B77" s="298"/>
      <c r="C77" s="283"/>
      <c r="D77" s="283"/>
      <c r="E77" s="283"/>
      <c r="F77" s="283"/>
      <c r="G77" s="283"/>
      <c r="H77" s="283"/>
    </row>
    <row r="78">
      <c r="A78" s="295"/>
      <c r="B78" s="296"/>
      <c r="C78" s="286"/>
      <c r="D78" s="286"/>
      <c r="E78" s="286"/>
      <c r="F78" s="286"/>
      <c r="G78" s="286"/>
      <c r="H78" s="286"/>
    </row>
    <row r="79">
      <c r="A79" s="297"/>
      <c r="B79" s="298"/>
      <c r="C79" s="283"/>
      <c r="D79" s="283"/>
      <c r="E79" s="283"/>
      <c r="F79" s="283"/>
      <c r="G79" s="283"/>
      <c r="H79" s="283"/>
    </row>
    <row r="80">
      <c r="A80" s="295"/>
      <c r="B80" s="296"/>
      <c r="C80" s="286"/>
      <c r="D80" s="286"/>
      <c r="E80" s="286"/>
      <c r="F80" s="286"/>
      <c r="G80" s="286"/>
      <c r="H80" s="286"/>
    </row>
    <row r="81">
      <c r="A81" s="297"/>
      <c r="B81" s="298"/>
      <c r="C81" s="283"/>
      <c r="D81" s="283"/>
      <c r="E81" s="283"/>
      <c r="F81" s="283"/>
      <c r="G81" s="283"/>
      <c r="H81" s="283"/>
    </row>
    <row r="82">
      <c r="A82" s="295"/>
      <c r="B82" s="296"/>
      <c r="C82" s="286"/>
      <c r="D82" s="286"/>
      <c r="E82" s="286"/>
      <c r="F82" s="286"/>
      <c r="G82" s="286"/>
      <c r="H82" s="286"/>
    </row>
    <row r="83">
      <c r="A83" s="297"/>
      <c r="B83" s="298"/>
      <c r="C83" s="283"/>
      <c r="D83" s="283"/>
      <c r="E83" s="283"/>
      <c r="F83" s="283"/>
      <c r="G83" s="283"/>
      <c r="H83" s="283"/>
    </row>
    <row r="84">
      <c r="A84" s="295"/>
      <c r="B84" s="296"/>
      <c r="C84" s="286"/>
      <c r="D84" s="286"/>
      <c r="E84" s="286"/>
      <c r="F84" s="286"/>
      <c r="G84" s="286"/>
      <c r="H84" s="286"/>
    </row>
    <row r="85">
      <c r="A85" s="297"/>
      <c r="B85" s="298"/>
      <c r="C85" s="283"/>
      <c r="D85" s="283"/>
      <c r="E85" s="283"/>
      <c r="F85" s="283"/>
      <c r="G85" s="283"/>
      <c r="H85" s="283"/>
    </row>
    <row r="86">
      <c r="A86" s="295"/>
      <c r="B86" s="296"/>
      <c r="C86" s="286"/>
      <c r="D86" s="286"/>
      <c r="E86" s="286"/>
      <c r="F86" s="286"/>
      <c r="G86" s="286"/>
      <c r="H86" s="286"/>
    </row>
    <row r="87">
      <c r="A87" s="297"/>
      <c r="B87" s="298"/>
      <c r="C87" s="283"/>
      <c r="D87" s="283"/>
      <c r="E87" s="283"/>
      <c r="F87" s="283"/>
      <c r="G87" s="283"/>
      <c r="H87" s="283"/>
    </row>
    <row r="88">
      <c r="A88" s="295"/>
      <c r="B88" s="296"/>
      <c r="C88" s="286"/>
      <c r="D88" s="286"/>
      <c r="E88" s="286"/>
      <c r="F88" s="286"/>
      <c r="G88" s="286"/>
      <c r="H88" s="286"/>
    </row>
    <row r="89">
      <c r="A89" s="297"/>
      <c r="B89" s="298"/>
      <c r="C89" s="283"/>
      <c r="D89" s="283"/>
      <c r="E89" s="283"/>
      <c r="F89" s="283"/>
      <c r="G89" s="283"/>
      <c r="H89" s="283"/>
    </row>
    <row r="90">
      <c r="A90" s="295"/>
      <c r="B90" s="296"/>
      <c r="C90" s="286"/>
      <c r="D90" s="286"/>
      <c r="E90" s="286"/>
      <c r="F90" s="286"/>
      <c r="G90" s="286"/>
      <c r="H90" s="286"/>
    </row>
    <row r="91">
      <c r="A91" s="297"/>
      <c r="B91" s="298"/>
      <c r="C91" s="283"/>
      <c r="D91" s="283"/>
      <c r="E91" s="283"/>
      <c r="F91" s="283"/>
      <c r="G91" s="283"/>
      <c r="H91" s="283"/>
    </row>
    <row r="92">
      <c r="A92" s="295"/>
      <c r="B92" s="296"/>
      <c r="C92" s="286"/>
      <c r="D92" s="286"/>
      <c r="E92" s="286"/>
      <c r="F92" s="286"/>
      <c r="G92" s="286"/>
      <c r="H92" s="286"/>
    </row>
    <row r="93">
      <c r="A93" s="297"/>
      <c r="B93" s="298"/>
      <c r="C93" s="283"/>
      <c r="D93" s="283"/>
      <c r="E93" s="283"/>
      <c r="F93" s="283"/>
      <c r="G93" s="283"/>
      <c r="H93" s="283"/>
    </row>
    <row r="94">
      <c r="A94" s="295"/>
      <c r="B94" s="296"/>
      <c r="C94" s="286"/>
      <c r="D94" s="286"/>
      <c r="E94" s="286"/>
      <c r="F94" s="286"/>
      <c r="G94" s="286"/>
      <c r="H94" s="286"/>
    </row>
    <row r="95">
      <c r="A95" s="297"/>
      <c r="B95" s="298"/>
      <c r="C95" s="283"/>
      <c r="D95" s="283"/>
      <c r="E95" s="283"/>
      <c r="F95" s="283"/>
      <c r="G95" s="283"/>
      <c r="H95" s="283"/>
    </row>
    <row r="96">
      <c r="A96" s="295"/>
      <c r="B96" s="296"/>
      <c r="C96" s="286"/>
      <c r="D96" s="286"/>
      <c r="E96" s="286"/>
      <c r="F96" s="286"/>
      <c r="G96" s="286"/>
      <c r="H96" s="286"/>
    </row>
    <row r="97">
      <c r="A97" s="297"/>
      <c r="B97" s="298"/>
      <c r="C97" s="283"/>
      <c r="D97" s="283"/>
      <c r="E97" s="283"/>
      <c r="F97" s="283"/>
      <c r="G97" s="283"/>
      <c r="H97" s="283"/>
    </row>
  </sheetData>
  <mergeCells count="1">
    <mergeCell ref="A12:C15"/>
  </mergeCells>
  <dataValidations>
    <dataValidation type="list" allowBlank="1" showErrorMessage="1" sqref="B3:B11 B16:B97">
      <formula1>"Interview,Rotation,Student,Resident,Attending,Other prior experience,Cousin's wife's brother's neighbor,Prefer not to answer,2nd Look"</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pageSetUpPr fitToPage="1"/>
  </sheetPr>
  <sheetViews>
    <sheetView workbookViewId="0"/>
  </sheetViews>
  <sheetFormatPr customHeight="1" defaultColWidth="12.63" defaultRowHeight="15.75"/>
  <cols>
    <col customWidth="1" min="1" max="1" width="22.38"/>
    <col customWidth="1" min="2" max="2" width="29.63"/>
    <col customWidth="1" min="3" max="3" width="35.5"/>
    <col customWidth="1" min="4" max="4" width="7.0"/>
    <col customWidth="1" min="5" max="5" width="7.13"/>
    <col customWidth="1" min="6" max="6" width="42.13"/>
    <col customWidth="1" min="7" max="7" width="38.5"/>
    <col customWidth="1" min="8" max="8" width="37.88"/>
    <col customWidth="1" min="9" max="9" width="37.5"/>
    <col customWidth="1" min="10" max="10" width="64.38"/>
  </cols>
  <sheetData>
    <row r="1" ht="33.0" customHeight="1">
      <c r="A1" s="323"/>
      <c r="B1" s="323" t="s">
        <v>1517</v>
      </c>
      <c r="C1" s="323"/>
      <c r="D1" s="323"/>
      <c r="E1" s="323"/>
      <c r="F1" s="325"/>
      <c r="G1" s="325"/>
      <c r="H1" s="325"/>
      <c r="I1" s="325"/>
      <c r="J1" s="326"/>
    </row>
    <row r="2">
      <c r="A2" s="327" t="s">
        <v>1526</v>
      </c>
      <c r="B2" s="328"/>
      <c r="C2" s="329"/>
      <c r="D2" s="330" t="s">
        <v>1533</v>
      </c>
      <c r="E2" s="329"/>
      <c r="F2" s="331" t="s">
        <v>10</v>
      </c>
      <c r="G2" s="332"/>
      <c r="H2" s="332"/>
      <c r="I2" s="332"/>
      <c r="J2" s="333"/>
    </row>
    <row r="3">
      <c r="A3" s="335" t="s">
        <v>1542</v>
      </c>
      <c r="B3" s="336" t="s">
        <v>1544</v>
      </c>
      <c r="C3" s="336" t="s">
        <v>1546</v>
      </c>
      <c r="D3" s="338" t="s">
        <v>1547</v>
      </c>
      <c r="E3" s="339" t="s">
        <v>1549</v>
      </c>
      <c r="F3" s="340"/>
      <c r="G3" s="342"/>
      <c r="H3" s="342"/>
      <c r="I3" s="342"/>
      <c r="J3" s="344"/>
    </row>
    <row r="4">
      <c r="A4" s="345"/>
      <c r="B4" s="346"/>
      <c r="C4" s="336"/>
      <c r="D4" s="348"/>
      <c r="E4" s="348"/>
      <c r="F4" s="349"/>
      <c r="G4" s="349"/>
      <c r="H4" s="350"/>
      <c r="I4" s="349"/>
      <c r="J4" s="351"/>
    </row>
    <row r="5">
      <c r="A5" s="352" t="s">
        <v>1016</v>
      </c>
      <c r="B5" s="353" t="s">
        <v>508</v>
      </c>
      <c r="C5" s="354" t="s">
        <v>1564</v>
      </c>
      <c r="D5" s="355">
        <v>10.0</v>
      </c>
      <c r="E5" s="355">
        <v>1.0</v>
      </c>
      <c r="F5" s="356"/>
      <c r="G5" s="356"/>
      <c r="H5" s="357"/>
      <c r="I5" s="356"/>
      <c r="J5" s="359"/>
    </row>
    <row r="6">
      <c r="A6" s="345" t="s">
        <v>1576</v>
      </c>
      <c r="B6" s="360" t="s">
        <v>1578</v>
      </c>
      <c r="C6" s="361" t="s">
        <v>1582</v>
      </c>
      <c r="D6" s="348">
        <v>8.0</v>
      </c>
      <c r="E6" s="348">
        <v>8.0</v>
      </c>
      <c r="F6" s="349" t="s">
        <v>1586</v>
      </c>
      <c r="G6" s="349"/>
      <c r="H6" s="349"/>
      <c r="I6" s="349"/>
      <c r="J6" s="363"/>
    </row>
    <row r="7">
      <c r="A7" s="352" t="s">
        <v>1591</v>
      </c>
      <c r="B7" s="364" t="s">
        <v>1592</v>
      </c>
      <c r="C7" s="354" t="s">
        <v>1596</v>
      </c>
      <c r="D7" s="355">
        <v>2.0</v>
      </c>
      <c r="E7" s="355">
        <v>2.0</v>
      </c>
      <c r="F7" s="356" t="s">
        <v>1597</v>
      </c>
      <c r="G7" s="356" t="s">
        <v>1599</v>
      </c>
      <c r="H7" s="356"/>
      <c r="I7" s="356"/>
      <c r="J7" s="366"/>
    </row>
    <row r="8">
      <c r="A8" s="345" t="s">
        <v>1605</v>
      </c>
      <c r="B8" s="360" t="s">
        <v>1607</v>
      </c>
      <c r="C8" s="361" t="s">
        <v>1610</v>
      </c>
      <c r="D8" s="348"/>
      <c r="E8" s="348"/>
      <c r="F8" s="349"/>
      <c r="G8" s="349"/>
      <c r="H8" s="349"/>
      <c r="I8" s="349"/>
      <c r="J8" s="367"/>
    </row>
    <row r="9">
      <c r="A9" s="352" t="s">
        <v>1617</v>
      </c>
      <c r="B9" s="353" t="s">
        <v>1618</v>
      </c>
      <c r="C9" s="354" t="s">
        <v>1620</v>
      </c>
      <c r="D9" s="355"/>
      <c r="E9" s="355">
        <v>4.0</v>
      </c>
      <c r="F9" s="356"/>
      <c r="G9" s="356"/>
      <c r="H9" s="356"/>
      <c r="I9" s="356"/>
      <c r="J9" s="368"/>
    </row>
    <row r="10">
      <c r="A10" s="369" t="s">
        <v>1626</v>
      </c>
      <c r="B10" s="370"/>
      <c r="C10" s="371"/>
      <c r="D10" s="373"/>
      <c r="E10" s="373"/>
      <c r="F10" s="374"/>
      <c r="G10" s="374"/>
      <c r="H10" s="374"/>
      <c r="I10" s="375"/>
      <c r="J10" s="376"/>
    </row>
    <row r="11">
      <c r="A11" s="378" t="s">
        <v>1633</v>
      </c>
      <c r="B11" s="379" t="s">
        <v>1637</v>
      </c>
      <c r="C11" s="371" t="s">
        <v>1641</v>
      </c>
      <c r="D11" s="373">
        <v>4.0</v>
      </c>
      <c r="E11" s="373">
        <v>1.0</v>
      </c>
      <c r="F11" s="374" t="s">
        <v>1645</v>
      </c>
      <c r="G11" s="374" t="s">
        <v>1647</v>
      </c>
      <c r="H11" s="374"/>
      <c r="I11" s="374"/>
      <c r="J11" s="376"/>
    </row>
    <row r="12">
      <c r="A12" s="381" t="s">
        <v>1648</v>
      </c>
      <c r="B12" s="383" t="s">
        <v>389</v>
      </c>
      <c r="C12" s="384" t="s">
        <v>1664</v>
      </c>
      <c r="D12" s="386">
        <v>5.0</v>
      </c>
      <c r="E12" s="386">
        <v>4.0</v>
      </c>
      <c r="F12" s="387" t="s">
        <v>1673</v>
      </c>
      <c r="G12" s="387" t="s">
        <v>1675</v>
      </c>
      <c r="H12" s="389"/>
      <c r="I12" s="389"/>
      <c r="J12" s="390"/>
    </row>
    <row r="13">
      <c r="A13" s="378" t="s">
        <v>1276</v>
      </c>
      <c r="B13" s="379" t="s">
        <v>1678</v>
      </c>
      <c r="C13" s="371" t="s">
        <v>1680</v>
      </c>
      <c r="D13" s="373">
        <v>1.0</v>
      </c>
      <c r="E13" s="373">
        <v>5.0</v>
      </c>
      <c r="F13" s="374" t="s">
        <v>1682</v>
      </c>
      <c r="G13" s="374" t="s">
        <v>1684</v>
      </c>
      <c r="H13" s="374" t="s">
        <v>1685</v>
      </c>
      <c r="I13" s="374" t="s">
        <v>1686</v>
      </c>
      <c r="J13" s="376"/>
    </row>
    <row r="14">
      <c r="A14" s="381" t="s">
        <v>1689</v>
      </c>
      <c r="B14" s="370" t="s">
        <v>1690</v>
      </c>
      <c r="C14" s="371" t="s">
        <v>1692</v>
      </c>
      <c r="D14" s="386">
        <v>5.0</v>
      </c>
      <c r="E14" s="386">
        <v>2.0</v>
      </c>
      <c r="F14" s="106" t="s">
        <v>1694</v>
      </c>
      <c r="G14" s="387"/>
      <c r="H14" s="387"/>
      <c r="I14" s="387"/>
      <c r="J14" s="393"/>
    </row>
    <row r="15">
      <c r="A15" s="395" t="s">
        <v>1697</v>
      </c>
      <c r="B15" s="383" t="s">
        <v>809</v>
      </c>
      <c r="C15" s="384"/>
      <c r="D15" s="373">
        <v>2.0</v>
      </c>
      <c r="E15" s="386"/>
      <c r="F15" s="387" t="s">
        <v>1701</v>
      </c>
      <c r="G15" s="387"/>
      <c r="H15" s="396"/>
      <c r="I15" s="387"/>
      <c r="J15" s="390"/>
    </row>
    <row r="16">
      <c r="A16" s="378" t="s">
        <v>1702</v>
      </c>
      <c r="B16" s="379" t="s">
        <v>1703</v>
      </c>
      <c r="C16" s="397" t="s">
        <v>1680</v>
      </c>
      <c r="D16" s="373">
        <v>7.0</v>
      </c>
      <c r="E16" s="386">
        <v>3.0</v>
      </c>
      <c r="F16" s="386">
        <v>3.0</v>
      </c>
      <c r="G16" s="375"/>
      <c r="H16" s="375"/>
      <c r="I16" s="375"/>
      <c r="J16" s="376"/>
    </row>
    <row r="17">
      <c r="A17" s="398" t="s">
        <v>1705</v>
      </c>
      <c r="B17" s="370" t="s">
        <v>1706</v>
      </c>
      <c r="C17" s="399"/>
      <c r="D17" s="373">
        <v>1.0</v>
      </c>
      <c r="E17" s="373">
        <v>4.0</v>
      </c>
      <c r="F17" s="374" t="s">
        <v>1707</v>
      </c>
      <c r="G17" s="374" t="s">
        <v>1710</v>
      </c>
      <c r="H17" s="374"/>
      <c r="I17" s="375"/>
      <c r="J17" s="376"/>
    </row>
    <row r="18">
      <c r="A18" s="381"/>
      <c r="B18" s="395"/>
      <c r="C18" s="384"/>
      <c r="D18" s="386"/>
      <c r="E18" s="386"/>
      <c r="F18" s="387"/>
      <c r="G18" s="387"/>
      <c r="H18" s="389"/>
      <c r="I18" s="389"/>
      <c r="J18" s="390"/>
    </row>
    <row r="19">
      <c r="A19" s="378" t="s">
        <v>1648</v>
      </c>
      <c r="B19" s="379" t="s">
        <v>820</v>
      </c>
      <c r="C19" s="371" t="s">
        <v>1715</v>
      </c>
      <c r="D19" s="373">
        <v>2.0</v>
      </c>
      <c r="E19" s="373">
        <v>4.0</v>
      </c>
      <c r="F19" s="374" t="s">
        <v>1716</v>
      </c>
      <c r="G19" s="374" t="s">
        <v>1718</v>
      </c>
      <c r="H19" s="374"/>
      <c r="I19" s="375"/>
      <c r="J19" s="376"/>
    </row>
    <row r="20">
      <c r="A20" s="381" t="s">
        <v>1720</v>
      </c>
      <c r="B20" s="370" t="s">
        <v>1721</v>
      </c>
      <c r="C20" s="401" t="s">
        <v>1715</v>
      </c>
      <c r="D20" s="386"/>
      <c r="E20" s="386"/>
      <c r="F20" s="387"/>
      <c r="G20" s="387"/>
      <c r="H20" s="389"/>
      <c r="I20" s="389"/>
      <c r="J20" s="390"/>
    </row>
    <row r="21">
      <c r="A21" s="370" t="s">
        <v>1114</v>
      </c>
      <c r="B21" s="379" t="s">
        <v>1724</v>
      </c>
      <c r="C21" s="371" t="s">
        <v>1726</v>
      </c>
      <c r="D21" s="373">
        <v>3.0</v>
      </c>
      <c r="E21" s="373"/>
      <c r="F21" s="374" t="s">
        <v>1729</v>
      </c>
      <c r="G21" s="374"/>
      <c r="H21" s="374"/>
      <c r="I21" s="375"/>
      <c r="J21" s="376"/>
    </row>
    <row r="22">
      <c r="A22" s="381" t="s">
        <v>1161</v>
      </c>
      <c r="B22" s="395" t="s">
        <v>389</v>
      </c>
      <c r="C22" s="371" t="s">
        <v>1733</v>
      </c>
      <c r="D22" s="386">
        <v>6.0</v>
      </c>
      <c r="E22" s="386">
        <v>4.0</v>
      </c>
      <c r="F22" s="387" t="s">
        <v>1735</v>
      </c>
      <c r="G22" s="387"/>
      <c r="H22" s="387"/>
      <c r="I22" s="389"/>
      <c r="J22" s="390"/>
    </row>
    <row r="23">
      <c r="A23" s="403" t="s">
        <v>1689</v>
      </c>
      <c r="B23" s="370" t="s">
        <v>1740</v>
      </c>
      <c r="C23" s="371" t="s">
        <v>1741</v>
      </c>
      <c r="D23" s="373">
        <v>1.0</v>
      </c>
      <c r="E23" s="373">
        <v>2.0</v>
      </c>
      <c r="F23" s="374" t="s">
        <v>1744</v>
      </c>
      <c r="G23" s="374"/>
      <c r="H23" s="375"/>
      <c r="I23" s="375"/>
      <c r="J23" s="376"/>
    </row>
    <row r="24">
      <c r="A24" s="381" t="s">
        <v>1746</v>
      </c>
      <c r="B24" s="383" t="s">
        <v>27</v>
      </c>
      <c r="C24" s="371" t="s">
        <v>1741</v>
      </c>
      <c r="D24" s="386">
        <v>2.0</v>
      </c>
      <c r="E24" s="386">
        <v>4.0</v>
      </c>
      <c r="F24" s="387" t="s">
        <v>1752</v>
      </c>
      <c r="G24" s="389"/>
      <c r="H24" s="389"/>
      <c r="I24" s="389"/>
      <c r="J24" s="390"/>
    </row>
    <row r="25">
      <c r="A25" s="370" t="s">
        <v>447</v>
      </c>
      <c r="B25" s="31" t="s">
        <v>1755</v>
      </c>
      <c r="C25" s="371" t="s">
        <v>1741</v>
      </c>
      <c r="D25" s="373"/>
      <c r="E25" s="373">
        <v>3.0</v>
      </c>
      <c r="F25" s="374" t="s">
        <v>1757</v>
      </c>
      <c r="G25" s="375"/>
      <c r="H25" s="375"/>
      <c r="I25" s="375"/>
      <c r="J25" s="376"/>
    </row>
    <row r="26">
      <c r="A26" s="381" t="s">
        <v>1761</v>
      </c>
      <c r="B26" s="31" t="s">
        <v>1763</v>
      </c>
      <c r="C26" s="371" t="s">
        <v>1741</v>
      </c>
      <c r="D26" s="386">
        <v>1.0</v>
      </c>
      <c r="E26" s="386"/>
      <c r="F26" s="387"/>
      <c r="G26" s="389"/>
      <c r="H26" s="389"/>
      <c r="I26" s="389"/>
      <c r="J26" s="390"/>
    </row>
    <row r="27">
      <c r="A27" s="378" t="s">
        <v>1766</v>
      </c>
      <c r="B27" s="379" t="s">
        <v>1768</v>
      </c>
      <c r="C27" s="406"/>
      <c r="D27" s="373">
        <v>5.0</v>
      </c>
      <c r="E27" s="373">
        <v>4.0</v>
      </c>
      <c r="F27" s="374" t="s">
        <v>1771</v>
      </c>
      <c r="G27" s="374" t="s">
        <v>1772</v>
      </c>
      <c r="H27" s="375"/>
      <c r="I27" s="375"/>
      <c r="J27" s="376"/>
    </row>
    <row r="28">
      <c r="A28" s="381" t="s">
        <v>1766</v>
      </c>
      <c r="B28" s="383" t="s">
        <v>377</v>
      </c>
      <c r="C28" s="384" t="s">
        <v>1775</v>
      </c>
      <c r="D28" s="386">
        <v>2.0</v>
      </c>
      <c r="E28" s="386">
        <v>1.0</v>
      </c>
      <c r="F28" s="387"/>
      <c r="G28" s="387"/>
      <c r="H28" s="387"/>
      <c r="I28" s="389"/>
      <c r="J28" s="390"/>
    </row>
    <row r="29">
      <c r="A29" s="378" t="s">
        <v>377</v>
      </c>
      <c r="B29" s="379" t="s">
        <v>1768</v>
      </c>
      <c r="C29" s="384" t="s">
        <v>1775</v>
      </c>
      <c r="D29" s="373">
        <v>1.0</v>
      </c>
      <c r="E29" s="373"/>
      <c r="F29" s="374" t="s">
        <v>1780</v>
      </c>
      <c r="G29" s="374"/>
      <c r="H29" s="375"/>
      <c r="I29" s="375"/>
      <c r="J29" s="376"/>
    </row>
    <row r="30">
      <c r="A30" s="378" t="s">
        <v>157</v>
      </c>
      <c r="B30" s="379" t="s">
        <v>1784</v>
      </c>
      <c r="C30" s="371" t="s">
        <v>1741</v>
      </c>
      <c r="D30" s="373">
        <v>7.0</v>
      </c>
      <c r="E30" s="373">
        <v>6.0</v>
      </c>
      <c r="G30" s="374" t="s">
        <v>1790</v>
      </c>
      <c r="H30" s="374" t="s">
        <v>1791</v>
      </c>
      <c r="I30" s="375"/>
      <c r="J30" s="376"/>
    </row>
    <row r="31">
      <c r="A31" s="381" t="s">
        <v>1792</v>
      </c>
      <c r="B31" s="370" t="s">
        <v>1793</v>
      </c>
      <c r="C31" s="384" t="s">
        <v>1794</v>
      </c>
      <c r="D31" s="386">
        <v>3.0</v>
      </c>
      <c r="E31" s="386">
        <v>1.0</v>
      </c>
      <c r="F31" s="387" t="s">
        <v>1795</v>
      </c>
      <c r="G31" s="387" t="s">
        <v>1797</v>
      </c>
      <c r="H31" s="389"/>
      <c r="I31" s="389"/>
      <c r="J31" s="390"/>
    </row>
    <row r="32">
      <c r="A32" s="370" t="s">
        <v>1800</v>
      </c>
      <c r="B32" s="395" t="s">
        <v>1802</v>
      </c>
      <c r="C32" s="371"/>
      <c r="D32" s="373">
        <v>1.0</v>
      </c>
      <c r="E32" s="373"/>
      <c r="F32" s="374" t="s">
        <v>1805</v>
      </c>
      <c r="G32" s="374" t="s">
        <v>1807</v>
      </c>
      <c r="H32" s="375"/>
      <c r="I32" s="375"/>
      <c r="J32" s="376"/>
    </row>
    <row r="33">
      <c r="A33" s="381" t="s">
        <v>1809</v>
      </c>
      <c r="B33" s="379" t="s">
        <v>633</v>
      </c>
      <c r="C33" s="371" t="s">
        <v>1810</v>
      </c>
      <c r="D33" s="386">
        <v>2.0</v>
      </c>
      <c r="E33" s="386">
        <v>3.0</v>
      </c>
      <c r="F33" s="387" t="s">
        <v>1811</v>
      </c>
      <c r="G33" s="387"/>
      <c r="H33" s="389"/>
      <c r="I33" s="389"/>
      <c r="J33" s="390"/>
    </row>
    <row r="34">
      <c r="A34" s="378" t="s">
        <v>1815</v>
      </c>
      <c r="B34" s="383" t="s">
        <v>1763</v>
      </c>
      <c r="C34" s="371" t="s">
        <v>1816</v>
      </c>
      <c r="D34" s="373">
        <v>1.0</v>
      </c>
      <c r="E34" s="410"/>
      <c r="F34" s="374"/>
      <c r="G34" s="374"/>
      <c r="H34" s="411"/>
      <c r="I34" s="375"/>
      <c r="J34" s="376"/>
    </row>
    <row r="35">
      <c r="A35" s="381" t="s">
        <v>804</v>
      </c>
      <c r="B35" s="383" t="s">
        <v>1</v>
      </c>
      <c r="C35" s="384" t="s">
        <v>1824</v>
      </c>
      <c r="D35" s="386"/>
      <c r="E35" s="386"/>
      <c r="F35" s="387" t="s">
        <v>1827</v>
      </c>
      <c r="G35" s="387"/>
      <c r="H35" s="389"/>
      <c r="I35" s="389"/>
      <c r="J35" s="390"/>
    </row>
    <row r="36">
      <c r="A36" s="378" t="s">
        <v>785</v>
      </c>
      <c r="B36" s="379" t="s">
        <v>255</v>
      </c>
      <c r="C36" s="371" t="s">
        <v>1680</v>
      </c>
      <c r="D36" s="373"/>
      <c r="E36" s="373">
        <v>1.0</v>
      </c>
      <c r="F36" s="375"/>
      <c r="G36" s="375"/>
      <c r="H36" s="375"/>
      <c r="I36" s="375"/>
      <c r="J36" s="376"/>
    </row>
    <row r="37">
      <c r="A37" s="378" t="s">
        <v>1793</v>
      </c>
      <c r="B37" s="379" t="s">
        <v>255</v>
      </c>
      <c r="C37" s="416" t="s">
        <v>1831</v>
      </c>
      <c r="D37" s="417"/>
      <c r="E37" s="416">
        <v>1.0</v>
      </c>
      <c r="F37" s="387" t="s">
        <v>1835</v>
      </c>
      <c r="G37" s="387"/>
      <c r="H37" s="387"/>
      <c r="I37" s="387"/>
      <c r="J37" s="390"/>
    </row>
    <row r="38">
      <c r="A38" s="381" t="s">
        <v>1836</v>
      </c>
      <c r="B38" s="379" t="s">
        <v>763</v>
      </c>
      <c r="C38" s="384" t="s">
        <v>1838</v>
      </c>
      <c r="D38" s="386">
        <v>3.0</v>
      </c>
      <c r="E38" s="418">
        <v>3.0</v>
      </c>
      <c r="F38" s="374" t="s">
        <v>1027</v>
      </c>
      <c r="G38" s="374"/>
      <c r="H38" s="375"/>
      <c r="I38" s="375"/>
      <c r="J38" s="376"/>
    </row>
    <row r="39">
      <c r="A39" s="378" t="s">
        <v>1840</v>
      </c>
      <c r="B39" s="379" t="s">
        <v>1095</v>
      </c>
      <c r="C39" s="371" t="s">
        <v>1741</v>
      </c>
      <c r="D39" s="373">
        <v>10.0</v>
      </c>
      <c r="E39" s="373">
        <v>3.0</v>
      </c>
      <c r="F39" s="387" t="s">
        <v>1843</v>
      </c>
      <c r="G39" s="387" t="s">
        <v>1846</v>
      </c>
      <c r="H39" s="387" t="s">
        <v>1848</v>
      </c>
      <c r="I39" s="389"/>
      <c r="J39" s="390"/>
    </row>
    <row r="40">
      <c r="A40" s="420" t="s">
        <v>389</v>
      </c>
      <c r="B40" s="379" t="s">
        <v>390</v>
      </c>
      <c r="C40" s="384" t="s">
        <v>1851</v>
      </c>
      <c r="D40" s="386">
        <v>5.0</v>
      </c>
      <c r="E40" s="386">
        <v>9.0</v>
      </c>
      <c r="F40" s="374" t="s">
        <v>1852</v>
      </c>
      <c r="G40" s="374" t="s">
        <v>1853</v>
      </c>
      <c r="H40" s="374" t="s">
        <v>1855</v>
      </c>
      <c r="I40" s="375"/>
      <c r="J40" s="376"/>
    </row>
    <row r="41">
      <c r="A41" s="378" t="s">
        <v>785</v>
      </c>
      <c r="B41" s="379" t="s">
        <v>1857</v>
      </c>
      <c r="C41" s="371" t="s">
        <v>1741</v>
      </c>
      <c r="D41" s="373">
        <v>5.0</v>
      </c>
      <c r="E41" s="373">
        <v>5.0</v>
      </c>
      <c r="F41" s="387" t="s">
        <v>1859</v>
      </c>
      <c r="G41" s="389"/>
      <c r="H41" s="389"/>
      <c r="I41" s="389"/>
      <c r="J41" s="390"/>
    </row>
    <row r="42">
      <c r="A42" s="378" t="s">
        <v>243</v>
      </c>
      <c r="B42" s="379" t="s">
        <v>820</v>
      </c>
      <c r="C42" s="371" t="s">
        <v>1863</v>
      </c>
      <c r="D42" s="386">
        <v>3.0</v>
      </c>
      <c r="E42" s="386">
        <v>1.0</v>
      </c>
      <c r="F42" s="387" t="s">
        <v>1866</v>
      </c>
      <c r="G42" s="389"/>
      <c r="H42" s="389"/>
      <c r="I42" s="389"/>
      <c r="J42" s="390"/>
    </row>
    <row r="43">
      <c r="A43" s="378" t="s">
        <v>1867</v>
      </c>
      <c r="B43" s="423" t="s">
        <v>1869</v>
      </c>
      <c r="C43" s="384" t="s">
        <v>1872</v>
      </c>
      <c r="D43" s="373"/>
      <c r="E43" s="373">
        <v>6.0</v>
      </c>
      <c r="F43" s="374" t="s">
        <v>1874</v>
      </c>
      <c r="G43" s="374" t="s">
        <v>1875</v>
      </c>
      <c r="H43" s="375"/>
      <c r="I43" s="375"/>
      <c r="J43" s="376"/>
    </row>
    <row r="44">
      <c r="A44" s="378" t="s">
        <v>1878</v>
      </c>
      <c r="B44" s="379" t="s">
        <v>1879</v>
      </c>
      <c r="C44" s="384" t="s">
        <v>1881</v>
      </c>
      <c r="D44" s="373">
        <v>5.0</v>
      </c>
      <c r="E44" s="373">
        <v>7.0</v>
      </c>
      <c r="F44" s="374"/>
      <c r="G44" s="374" t="s">
        <v>1883</v>
      </c>
      <c r="H44" s="375"/>
      <c r="I44" s="375"/>
      <c r="J44" s="376"/>
    </row>
    <row r="45">
      <c r="A45" s="381" t="s">
        <v>1809</v>
      </c>
      <c r="B45" s="383" t="s">
        <v>815</v>
      </c>
      <c r="C45" s="384" t="s">
        <v>1888</v>
      </c>
      <c r="D45" s="386">
        <v>2.0</v>
      </c>
      <c r="E45" s="386">
        <v>2.0</v>
      </c>
      <c r="F45" s="387" t="s">
        <v>1890</v>
      </c>
      <c r="G45" s="387" t="s">
        <v>1891</v>
      </c>
      <c r="H45" s="389"/>
      <c r="I45" s="389"/>
      <c r="J45" s="390"/>
    </row>
    <row r="46">
      <c r="A46" s="378" t="s">
        <v>1892</v>
      </c>
      <c r="B46" s="379" t="s">
        <v>1878</v>
      </c>
      <c r="C46" s="384" t="s">
        <v>1895</v>
      </c>
      <c r="D46" s="373">
        <v>4.0</v>
      </c>
      <c r="E46" s="373">
        <v>4.0</v>
      </c>
      <c r="F46" s="429" t="s">
        <v>1897</v>
      </c>
      <c r="G46" s="374" t="s">
        <v>1899</v>
      </c>
      <c r="H46" s="374" t="s">
        <v>1900</v>
      </c>
      <c r="I46" s="375"/>
      <c r="J46" s="376"/>
    </row>
    <row r="47">
      <c r="A47" s="381" t="s">
        <v>377</v>
      </c>
      <c r="B47" s="431" t="s">
        <v>1044</v>
      </c>
      <c r="C47" s="384" t="s">
        <v>1902</v>
      </c>
      <c r="D47" s="386">
        <v>2.0</v>
      </c>
      <c r="E47" s="386">
        <v>2.0</v>
      </c>
      <c r="F47" s="387"/>
      <c r="G47" s="389"/>
      <c r="H47" s="389"/>
      <c r="I47" s="389"/>
      <c r="J47" s="390"/>
    </row>
    <row r="48">
      <c r="A48" s="378" t="s">
        <v>1793</v>
      </c>
      <c r="B48" s="379" t="s">
        <v>31</v>
      </c>
      <c r="C48" s="384" t="s">
        <v>1904</v>
      </c>
      <c r="D48" s="373">
        <v>2.0</v>
      </c>
      <c r="E48" s="373">
        <v>1.0</v>
      </c>
      <c r="F48" s="375"/>
      <c r="G48" s="375"/>
      <c r="H48" s="375"/>
      <c r="I48" s="375"/>
      <c r="J48" s="376"/>
    </row>
    <row r="49">
      <c r="A49" s="381" t="s">
        <v>1856</v>
      </c>
      <c r="B49" s="383" t="s">
        <v>1618</v>
      </c>
      <c r="C49" s="371" t="s">
        <v>1910</v>
      </c>
      <c r="D49" s="386">
        <v>1.0</v>
      </c>
      <c r="E49" s="386">
        <v>2.0</v>
      </c>
      <c r="F49" s="436" t="s">
        <v>1912</v>
      </c>
      <c r="G49" s="389"/>
      <c r="H49" s="389"/>
      <c r="I49" s="389"/>
      <c r="J49" s="390"/>
    </row>
    <row r="50">
      <c r="A50" s="381" t="s">
        <v>1792</v>
      </c>
      <c r="B50" s="383" t="s">
        <v>1917</v>
      </c>
      <c r="C50" s="371" t="s">
        <v>1918</v>
      </c>
      <c r="D50" s="373">
        <v>4.0</v>
      </c>
      <c r="E50" s="373">
        <v>5.0</v>
      </c>
      <c r="F50" s="374" t="s">
        <v>1921</v>
      </c>
      <c r="G50" s="374" t="s">
        <v>1922</v>
      </c>
      <c r="H50" s="374" t="s">
        <v>1923</v>
      </c>
      <c r="I50" s="374" t="s">
        <v>1925</v>
      </c>
      <c r="J50" s="440" t="s">
        <v>1926</v>
      </c>
    </row>
    <row r="51">
      <c r="A51" s="381" t="s">
        <v>1929</v>
      </c>
      <c r="B51" s="383" t="s">
        <v>963</v>
      </c>
      <c r="C51" s="384" t="s">
        <v>1932</v>
      </c>
      <c r="D51" s="386">
        <v>3.0</v>
      </c>
      <c r="E51" s="386">
        <v>1.0</v>
      </c>
      <c r="F51" s="387" t="s">
        <v>1934</v>
      </c>
      <c r="G51" s="389"/>
      <c r="H51" s="389"/>
      <c r="I51" s="389"/>
      <c r="J51" s="390"/>
    </row>
    <row r="52">
      <c r="A52" s="381" t="s">
        <v>414</v>
      </c>
      <c r="B52" s="383" t="s">
        <v>1617</v>
      </c>
      <c r="C52" s="371" t="s">
        <v>1938</v>
      </c>
      <c r="D52" s="373">
        <v>5.0</v>
      </c>
      <c r="E52" s="373"/>
      <c r="F52" s="387" t="s">
        <v>1940</v>
      </c>
      <c r="G52" s="374" t="s">
        <v>1941</v>
      </c>
      <c r="H52" s="375"/>
      <c r="I52" s="375"/>
      <c r="J52" s="376"/>
    </row>
    <row r="53">
      <c r="A53" s="381" t="s">
        <v>1942</v>
      </c>
      <c r="B53" s="383" t="s">
        <v>1618</v>
      </c>
      <c r="C53" s="384" t="s">
        <v>1943</v>
      </c>
      <c r="D53" s="386">
        <v>1.0</v>
      </c>
      <c r="E53" s="386">
        <v>3.0</v>
      </c>
      <c r="F53" s="31" t="s">
        <v>1945</v>
      </c>
      <c r="G53" s="387" t="s">
        <v>1947</v>
      </c>
      <c r="H53" s="389"/>
      <c r="I53" s="389"/>
      <c r="J53" s="390"/>
    </row>
    <row r="54">
      <c r="A54" s="378" t="s">
        <v>1950</v>
      </c>
      <c r="B54" s="379" t="s">
        <v>414</v>
      </c>
      <c r="C54" s="384" t="s">
        <v>1951</v>
      </c>
      <c r="D54" s="373"/>
      <c r="E54" s="373">
        <v>2.0</v>
      </c>
      <c r="F54" s="374"/>
      <c r="G54" s="375"/>
      <c r="H54" s="375"/>
      <c r="I54" s="375"/>
      <c r="J54" s="376"/>
    </row>
    <row r="55">
      <c r="A55" s="381" t="s">
        <v>31</v>
      </c>
      <c r="B55" s="383" t="s">
        <v>1955</v>
      </c>
      <c r="C55" s="443" t="s">
        <v>1957</v>
      </c>
      <c r="D55" s="386"/>
      <c r="E55" s="386"/>
      <c r="F55" s="387"/>
      <c r="G55" s="387"/>
      <c r="H55" s="387"/>
      <c r="I55" s="389"/>
      <c r="J55" s="390"/>
    </row>
    <row r="56">
      <c r="A56" s="378" t="s">
        <v>1960</v>
      </c>
      <c r="B56" s="379" t="s">
        <v>1961</v>
      </c>
      <c r="C56" s="371" t="s">
        <v>1963</v>
      </c>
      <c r="D56" s="386"/>
      <c r="E56" s="373"/>
      <c r="F56" s="374"/>
      <c r="G56" s="374"/>
      <c r="H56" s="375"/>
      <c r="I56" s="375"/>
      <c r="J56" s="376"/>
    </row>
    <row r="57">
      <c r="A57" s="381" t="s">
        <v>243</v>
      </c>
      <c r="B57" s="383" t="s">
        <v>249</v>
      </c>
      <c r="C57" s="371" t="s">
        <v>1966</v>
      </c>
      <c r="D57" s="386">
        <v>2.0</v>
      </c>
      <c r="E57" s="386"/>
      <c r="F57" s="387" t="s">
        <v>1968</v>
      </c>
      <c r="G57" s="387"/>
      <c r="H57" s="389"/>
      <c r="I57" s="389"/>
      <c r="J57" s="390"/>
    </row>
    <row r="58">
      <c r="A58" s="378" t="s">
        <v>1972</v>
      </c>
      <c r="B58" s="379" t="s">
        <v>1973</v>
      </c>
      <c r="C58" s="371" t="s">
        <v>1974</v>
      </c>
      <c r="D58" s="373">
        <v>3.0</v>
      </c>
      <c r="E58" s="373"/>
      <c r="F58" s="374" t="s">
        <v>1975</v>
      </c>
      <c r="G58" s="374"/>
      <c r="H58" s="375"/>
      <c r="I58" s="375"/>
      <c r="J58" s="376"/>
    </row>
    <row r="59">
      <c r="A59" s="381" t="s">
        <v>1978</v>
      </c>
      <c r="B59" s="383" t="s">
        <v>1588</v>
      </c>
      <c r="C59" s="371" t="s">
        <v>1810</v>
      </c>
      <c r="D59" s="386"/>
      <c r="E59" s="386">
        <v>1.0</v>
      </c>
      <c r="F59" s="387" t="s">
        <v>1979</v>
      </c>
      <c r="G59" s="389"/>
      <c r="H59" s="389"/>
      <c r="I59" s="389"/>
      <c r="J59" s="390"/>
    </row>
    <row r="60">
      <c r="A60" s="378" t="s">
        <v>1982</v>
      </c>
      <c r="B60" s="379" t="s">
        <v>1784</v>
      </c>
      <c r="C60" s="371" t="s">
        <v>1984</v>
      </c>
      <c r="D60" s="373">
        <v>5.0</v>
      </c>
      <c r="E60" s="386"/>
      <c r="F60" s="387" t="s">
        <v>1986</v>
      </c>
      <c r="G60" s="374" t="s">
        <v>1987</v>
      </c>
      <c r="H60" s="374" t="s">
        <v>1989</v>
      </c>
      <c r="I60" s="375"/>
      <c r="J60" s="376"/>
    </row>
    <row r="61">
      <c r="A61" s="381" t="s">
        <v>633</v>
      </c>
      <c r="B61" s="383" t="s">
        <v>1617</v>
      </c>
      <c r="C61" s="371" t="s">
        <v>1992</v>
      </c>
      <c r="D61" s="386">
        <v>1.0</v>
      </c>
      <c r="G61" s="389"/>
      <c r="H61" s="389"/>
      <c r="I61" s="389"/>
      <c r="J61" s="390"/>
    </row>
    <row r="62">
      <c r="A62" s="378" t="s">
        <v>1997</v>
      </c>
      <c r="B62" s="444" t="s">
        <v>1061</v>
      </c>
      <c r="C62" s="371" t="s">
        <v>2001</v>
      </c>
      <c r="D62" s="373"/>
      <c r="E62" s="373">
        <v>2.0</v>
      </c>
      <c r="F62" s="374" t="s">
        <v>2002</v>
      </c>
      <c r="G62" s="375"/>
      <c r="H62" s="375"/>
      <c r="I62" s="375"/>
      <c r="J62" s="376"/>
    </row>
    <row r="63">
      <c r="A63" s="381" t="s">
        <v>1857</v>
      </c>
      <c r="B63" s="383" t="s">
        <v>1578</v>
      </c>
      <c r="C63" s="371" t="s">
        <v>2005</v>
      </c>
      <c r="D63" s="386">
        <v>2.0</v>
      </c>
      <c r="E63" s="386"/>
      <c r="F63" s="387" t="s">
        <v>2007</v>
      </c>
      <c r="G63" s="389"/>
      <c r="H63" s="389"/>
      <c r="I63" s="389"/>
      <c r="J63" s="390"/>
    </row>
    <row r="64">
      <c r="A64" s="378" t="s">
        <v>2009</v>
      </c>
      <c r="B64" s="379" t="s">
        <v>633</v>
      </c>
      <c r="C64" s="371" t="s">
        <v>2011</v>
      </c>
      <c r="D64" s="373"/>
      <c r="E64" s="373">
        <v>3.0</v>
      </c>
      <c r="F64" s="374"/>
      <c r="G64" s="375"/>
      <c r="H64" s="389"/>
      <c r="I64" s="375"/>
      <c r="J64" s="376"/>
    </row>
    <row r="65">
      <c r="A65" s="381" t="s">
        <v>633</v>
      </c>
      <c r="B65" s="383" t="s">
        <v>2015</v>
      </c>
      <c r="C65" s="371" t="s">
        <v>2011</v>
      </c>
      <c r="D65" s="386"/>
      <c r="E65" s="386">
        <v>1.0</v>
      </c>
      <c r="F65" s="387"/>
      <c r="G65" s="389"/>
      <c r="H65" s="389"/>
      <c r="I65" s="389"/>
      <c r="J65" s="390"/>
    </row>
    <row r="66">
      <c r="A66" s="378" t="s">
        <v>2015</v>
      </c>
      <c r="B66" s="379" t="s">
        <v>2009</v>
      </c>
      <c r="C66" s="371" t="s">
        <v>2011</v>
      </c>
      <c r="D66" s="373">
        <v>2.0</v>
      </c>
      <c r="E66" s="373"/>
      <c r="F66" s="374" t="s">
        <v>2017</v>
      </c>
      <c r="G66" s="375"/>
      <c r="H66" s="375"/>
      <c r="I66" s="375"/>
      <c r="J66" s="376"/>
    </row>
    <row r="67">
      <c r="A67" s="378" t="s">
        <v>1648</v>
      </c>
      <c r="B67" s="379" t="s">
        <v>713</v>
      </c>
      <c r="C67" s="371" t="s">
        <v>2022</v>
      </c>
      <c r="D67" s="373">
        <v>6.0</v>
      </c>
      <c r="E67" s="446"/>
      <c r="F67" s="374"/>
      <c r="G67" s="375"/>
      <c r="H67" s="375"/>
      <c r="I67" s="375"/>
      <c r="J67" s="376"/>
    </row>
    <row r="68">
      <c r="A68" s="381" t="s">
        <v>2025</v>
      </c>
      <c r="B68" s="383" t="s">
        <v>2027</v>
      </c>
      <c r="C68" s="384" t="s">
        <v>2028</v>
      </c>
      <c r="D68" s="386"/>
      <c r="E68" s="386">
        <v>1.0</v>
      </c>
      <c r="F68" s="387"/>
      <c r="G68" s="387"/>
      <c r="H68" s="387"/>
      <c r="I68" s="389"/>
      <c r="J68" s="390"/>
    </row>
    <row r="69">
      <c r="A69" s="378" t="s">
        <v>1648</v>
      </c>
      <c r="B69" s="379" t="s">
        <v>2029</v>
      </c>
      <c r="C69" s="447" t="s">
        <v>2030</v>
      </c>
      <c r="D69" s="373">
        <v>3.0</v>
      </c>
      <c r="E69" s="373"/>
      <c r="F69" s="374"/>
      <c r="G69" s="375"/>
      <c r="H69" s="375"/>
      <c r="I69" s="375"/>
      <c r="J69" s="376"/>
    </row>
    <row r="70">
      <c r="A70" s="378" t="s">
        <v>2035</v>
      </c>
      <c r="B70" s="379" t="s">
        <v>2036</v>
      </c>
      <c r="C70" s="447" t="s">
        <v>2030</v>
      </c>
      <c r="D70" s="373"/>
      <c r="E70" s="446"/>
      <c r="F70" s="374"/>
      <c r="G70" s="375"/>
      <c r="H70" s="375"/>
      <c r="I70" s="375"/>
      <c r="J70" s="451"/>
    </row>
    <row r="71">
      <c r="A71" s="378" t="s">
        <v>546</v>
      </c>
      <c r="B71" s="383" t="s">
        <v>2027</v>
      </c>
      <c r="C71" s="447" t="s">
        <v>2030</v>
      </c>
      <c r="D71" s="386">
        <v>2.0</v>
      </c>
      <c r="E71" s="452"/>
      <c r="F71" s="387"/>
      <c r="G71" s="389"/>
      <c r="H71" s="389"/>
      <c r="I71" s="389"/>
      <c r="J71" s="390"/>
    </row>
    <row r="72">
      <c r="A72" s="381" t="s">
        <v>2039</v>
      </c>
      <c r="B72" s="383" t="s">
        <v>2040</v>
      </c>
      <c r="C72" s="371" t="s">
        <v>2041</v>
      </c>
      <c r="D72" s="386"/>
      <c r="E72" s="386">
        <v>2.0</v>
      </c>
      <c r="F72" s="389"/>
      <c r="G72" s="389"/>
      <c r="H72" s="389"/>
      <c r="I72" s="389"/>
      <c r="J72" s="390"/>
    </row>
    <row r="73">
      <c r="A73" s="381" t="s">
        <v>576</v>
      </c>
      <c r="B73" s="379" t="s">
        <v>633</v>
      </c>
      <c r="C73" s="371" t="s">
        <v>2041</v>
      </c>
      <c r="D73" s="386">
        <v>3.0</v>
      </c>
      <c r="E73" s="386"/>
      <c r="F73" s="389"/>
      <c r="G73" s="389"/>
      <c r="H73" s="389"/>
      <c r="I73" s="389"/>
      <c r="J73" s="390"/>
    </row>
    <row r="74">
      <c r="A74" s="106" t="s">
        <v>2047</v>
      </c>
      <c r="B74" s="379" t="s">
        <v>2048</v>
      </c>
      <c r="C74" s="371" t="s">
        <v>2041</v>
      </c>
      <c r="D74" s="373">
        <v>1.0</v>
      </c>
      <c r="E74" s="373"/>
      <c r="F74" s="375"/>
      <c r="G74" s="375"/>
      <c r="H74" s="375"/>
      <c r="I74" s="375"/>
      <c r="J74" s="376"/>
    </row>
    <row r="75">
      <c r="A75" s="381" t="s">
        <v>389</v>
      </c>
      <c r="B75" s="383" t="s">
        <v>896</v>
      </c>
      <c r="C75" s="384" t="s">
        <v>2050</v>
      </c>
      <c r="D75" s="386">
        <v>4.0</v>
      </c>
      <c r="E75" s="386">
        <v>5.0</v>
      </c>
      <c r="F75" s="387"/>
      <c r="G75" s="387"/>
      <c r="H75" s="389"/>
      <c r="I75" s="389"/>
      <c r="J75" s="390"/>
    </row>
    <row r="76">
      <c r="A76" s="378" t="s">
        <v>1929</v>
      </c>
      <c r="B76" s="379" t="s">
        <v>2053</v>
      </c>
      <c r="C76" s="384" t="s">
        <v>2055</v>
      </c>
      <c r="D76" s="373"/>
      <c r="E76" s="373">
        <v>5.0</v>
      </c>
      <c r="F76" s="374"/>
      <c r="G76" s="375"/>
      <c r="H76" s="375"/>
      <c r="I76" s="375"/>
      <c r="J76" s="376"/>
    </row>
    <row r="77">
      <c r="A77" s="381" t="s">
        <v>1792</v>
      </c>
      <c r="B77" s="383" t="s">
        <v>348</v>
      </c>
      <c r="C77" s="384" t="s">
        <v>2059</v>
      </c>
      <c r="D77" s="386">
        <v>4.0</v>
      </c>
      <c r="E77" s="386">
        <v>2.0</v>
      </c>
      <c r="F77" s="387" t="s">
        <v>2060</v>
      </c>
      <c r="G77" s="389"/>
      <c r="H77" s="389"/>
      <c r="I77" s="389"/>
      <c r="J77" s="390"/>
    </row>
    <row r="78">
      <c r="A78" s="378" t="s">
        <v>2064</v>
      </c>
      <c r="B78" s="379" t="s">
        <v>1702</v>
      </c>
      <c r="C78" s="384" t="s">
        <v>2065</v>
      </c>
      <c r="D78" s="373">
        <v>2.0</v>
      </c>
      <c r="E78" s="373">
        <v>3.0</v>
      </c>
      <c r="F78" s="374" t="s">
        <v>2067</v>
      </c>
      <c r="G78" s="374" t="s">
        <v>2069</v>
      </c>
      <c r="H78" s="375"/>
      <c r="I78" s="375"/>
      <c r="J78" s="376"/>
    </row>
    <row r="79">
      <c r="A79" s="381" t="s">
        <v>2072</v>
      </c>
      <c r="B79" s="383" t="s">
        <v>249</v>
      </c>
      <c r="C79" s="384" t="s">
        <v>2075</v>
      </c>
      <c r="D79" s="386">
        <v>1.0</v>
      </c>
      <c r="E79" s="386"/>
      <c r="F79" s="387" t="s">
        <v>2077</v>
      </c>
      <c r="G79" s="389"/>
      <c r="H79" s="389"/>
      <c r="I79" s="389"/>
      <c r="J79" s="390"/>
    </row>
    <row r="80">
      <c r="A80" s="378" t="s">
        <v>293</v>
      </c>
      <c r="B80" s="379" t="s">
        <v>2078</v>
      </c>
      <c r="C80" s="371" t="s">
        <v>2079</v>
      </c>
      <c r="D80" s="373">
        <v>2.0</v>
      </c>
      <c r="E80" s="373">
        <v>5.0</v>
      </c>
      <c r="F80" s="374" t="s">
        <v>2080</v>
      </c>
      <c r="G80" s="374" t="s">
        <v>2081</v>
      </c>
      <c r="H80" s="374" t="s">
        <v>2082</v>
      </c>
      <c r="I80" s="374" t="s">
        <v>2083</v>
      </c>
      <c r="J80" s="440" t="s">
        <v>2084</v>
      </c>
    </row>
    <row r="81" ht="91.5" customHeight="1">
      <c r="A81" s="378" t="s">
        <v>1038</v>
      </c>
      <c r="B81" s="379" t="s">
        <v>1465</v>
      </c>
      <c r="C81" s="371" t="s">
        <v>2086</v>
      </c>
      <c r="D81" s="373">
        <v>3.0</v>
      </c>
      <c r="E81" s="373"/>
      <c r="F81" s="374" t="s">
        <v>2088</v>
      </c>
      <c r="G81" s="374" t="s">
        <v>2089</v>
      </c>
      <c r="H81" s="374" t="s">
        <v>2090</v>
      </c>
      <c r="I81" s="375"/>
      <c r="J81" s="376"/>
    </row>
    <row r="82" ht="30.75" customHeight="1">
      <c r="A82" s="381" t="s">
        <v>1792</v>
      </c>
      <c r="B82" s="383" t="s">
        <v>2092</v>
      </c>
      <c r="C82" s="384" t="s">
        <v>2094</v>
      </c>
      <c r="D82" s="386">
        <v>2.0</v>
      </c>
      <c r="E82" s="386"/>
      <c r="F82" s="387"/>
      <c r="G82" s="387"/>
      <c r="H82" s="387"/>
      <c r="I82" s="387"/>
      <c r="J82" s="390"/>
    </row>
    <row r="83">
      <c r="A83" s="378" t="s">
        <v>2097</v>
      </c>
      <c r="B83" s="379" t="s">
        <v>2098</v>
      </c>
      <c r="C83" s="456" t="s">
        <v>2101</v>
      </c>
      <c r="D83" s="446"/>
      <c r="E83" s="373">
        <v>2.0</v>
      </c>
      <c r="F83" s="374" t="s">
        <v>2103</v>
      </c>
      <c r="G83" s="374"/>
      <c r="H83" s="374"/>
      <c r="I83" s="375"/>
      <c r="J83" s="376"/>
    </row>
    <row r="84">
      <c r="A84" s="381" t="s">
        <v>31</v>
      </c>
      <c r="B84" s="383" t="s">
        <v>1123</v>
      </c>
      <c r="C84" s="447" t="s">
        <v>2059</v>
      </c>
      <c r="D84" s="386">
        <v>1.0</v>
      </c>
      <c r="E84" s="386"/>
      <c r="F84" s="387"/>
      <c r="G84" s="389"/>
      <c r="H84" s="389"/>
      <c r="I84" s="389"/>
      <c r="J84" s="390"/>
    </row>
    <row r="85">
      <c r="A85" s="378" t="s">
        <v>2107</v>
      </c>
      <c r="B85" s="379" t="s">
        <v>2097</v>
      </c>
      <c r="C85" s="447" t="s">
        <v>2108</v>
      </c>
      <c r="D85" s="373">
        <v>3.0</v>
      </c>
      <c r="E85" s="373">
        <v>1.0</v>
      </c>
      <c r="F85" s="375"/>
      <c r="G85" s="375"/>
      <c r="H85" s="375"/>
      <c r="I85" s="375"/>
      <c r="J85" s="376"/>
    </row>
    <row r="86">
      <c r="A86" s="381" t="s">
        <v>2111</v>
      </c>
      <c r="B86" s="383" t="s">
        <v>508</v>
      </c>
      <c r="C86" s="447" t="s">
        <v>2113</v>
      </c>
      <c r="D86" s="386">
        <v>4.0</v>
      </c>
      <c r="E86" s="386">
        <v>4.0</v>
      </c>
      <c r="F86" s="387" t="s">
        <v>2115</v>
      </c>
      <c r="G86" s="387" t="s">
        <v>2116</v>
      </c>
      <c r="H86" s="387" t="s">
        <v>2117</v>
      </c>
      <c r="I86" s="389"/>
      <c r="J86" s="390"/>
    </row>
    <row r="87">
      <c r="A87" s="378" t="s">
        <v>2118</v>
      </c>
      <c r="B87" s="379" t="s">
        <v>2119</v>
      </c>
      <c r="C87" s="256" t="s">
        <v>2120</v>
      </c>
      <c r="D87" s="373">
        <v>1.0</v>
      </c>
      <c r="E87" s="446"/>
      <c r="F87" s="374"/>
      <c r="G87" s="375"/>
      <c r="H87" s="375"/>
      <c r="I87" s="375"/>
      <c r="J87" s="376"/>
    </row>
    <row r="88">
      <c r="A88" s="381" t="s">
        <v>576</v>
      </c>
      <c r="B88" s="383" t="s">
        <v>2125</v>
      </c>
      <c r="C88" s="31" t="s">
        <v>2113</v>
      </c>
      <c r="D88" s="386">
        <v>3.0</v>
      </c>
      <c r="E88" s="452"/>
      <c r="F88" s="387" t="s">
        <v>2128</v>
      </c>
      <c r="G88" s="387" t="s">
        <v>2129</v>
      </c>
      <c r="H88" s="389"/>
      <c r="I88" s="389"/>
      <c r="J88" s="390"/>
    </row>
    <row r="89">
      <c r="A89" s="381" t="s">
        <v>219</v>
      </c>
      <c r="B89" s="383" t="s">
        <v>1755</v>
      </c>
      <c r="C89" s="384" t="s">
        <v>2131</v>
      </c>
      <c r="D89" s="446"/>
      <c r="E89" s="373">
        <v>1.0</v>
      </c>
      <c r="F89" s="374" t="s">
        <v>2133</v>
      </c>
      <c r="G89" s="375"/>
      <c r="H89" s="375"/>
      <c r="I89" s="375"/>
      <c r="J89" s="376"/>
    </row>
    <row r="90">
      <c r="A90" s="381" t="s">
        <v>2097</v>
      </c>
      <c r="B90" s="383" t="s">
        <v>2134</v>
      </c>
      <c r="C90" s="447" t="s">
        <v>2135</v>
      </c>
      <c r="D90" s="386"/>
      <c r="E90" s="386">
        <v>5.0</v>
      </c>
      <c r="F90" s="387" t="s">
        <v>2137</v>
      </c>
      <c r="G90" s="387" t="s">
        <v>2138</v>
      </c>
      <c r="H90" s="389"/>
      <c r="I90" s="389"/>
      <c r="J90" s="390"/>
    </row>
    <row r="91">
      <c r="A91" s="378" t="s">
        <v>389</v>
      </c>
      <c r="B91" s="379" t="s">
        <v>2140</v>
      </c>
      <c r="C91" s="456" t="s">
        <v>2030</v>
      </c>
      <c r="D91" s="373">
        <v>4.0</v>
      </c>
      <c r="E91" s="373">
        <v>6.0</v>
      </c>
      <c r="F91" s="374" t="s">
        <v>2142</v>
      </c>
      <c r="G91" s="375"/>
      <c r="H91" s="375"/>
      <c r="I91" s="375"/>
      <c r="J91" s="376"/>
    </row>
    <row r="92">
      <c r="A92" s="381" t="s">
        <v>2144</v>
      </c>
      <c r="B92" s="383" t="s">
        <v>2146</v>
      </c>
      <c r="C92" s="447" t="s">
        <v>2030</v>
      </c>
      <c r="D92" s="386"/>
      <c r="E92" s="386">
        <v>5.0</v>
      </c>
      <c r="F92" s="387" t="s">
        <v>2128</v>
      </c>
      <c r="G92" s="389"/>
      <c r="H92" s="389"/>
      <c r="I92" s="389"/>
      <c r="J92" s="390"/>
    </row>
    <row r="93">
      <c r="A93" s="378" t="s">
        <v>2150</v>
      </c>
      <c r="B93" s="379" t="s">
        <v>2151</v>
      </c>
      <c r="C93" s="447" t="s">
        <v>2030</v>
      </c>
      <c r="D93" s="373"/>
      <c r="E93" s="373">
        <v>3.0</v>
      </c>
      <c r="F93" s="374" t="s">
        <v>2154</v>
      </c>
      <c r="G93" s="375"/>
      <c r="H93" s="375"/>
      <c r="I93" s="375"/>
      <c r="J93" s="376"/>
    </row>
    <row r="94">
      <c r="A94" s="381" t="s">
        <v>2107</v>
      </c>
      <c r="B94" s="458" t="s">
        <v>1240</v>
      </c>
      <c r="C94" s="447" t="s">
        <v>2155</v>
      </c>
      <c r="D94" s="386"/>
      <c r="E94" s="418"/>
      <c r="F94" s="387"/>
      <c r="G94" s="387"/>
      <c r="H94" s="387"/>
      <c r="I94" s="387"/>
      <c r="J94" s="390"/>
    </row>
    <row r="95">
      <c r="A95" s="378" t="s">
        <v>2158</v>
      </c>
      <c r="B95" s="379" t="s">
        <v>2159</v>
      </c>
      <c r="C95" s="447" t="s">
        <v>2160</v>
      </c>
      <c r="D95" s="373">
        <v>12.0</v>
      </c>
      <c r="E95" s="373">
        <v>12.0</v>
      </c>
      <c r="F95" s="374" t="s">
        <v>2162</v>
      </c>
      <c r="G95" s="374" t="s">
        <v>2163</v>
      </c>
      <c r="H95" s="375"/>
      <c r="I95" s="375"/>
      <c r="J95" s="376"/>
    </row>
    <row r="96">
      <c r="A96" s="381" t="s">
        <v>1161</v>
      </c>
      <c r="B96" s="383" t="s">
        <v>2165</v>
      </c>
      <c r="C96" s="256"/>
      <c r="D96" s="386">
        <v>2.0</v>
      </c>
      <c r="E96" s="386">
        <v>4.0</v>
      </c>
      <c r="F96" s="387" t="s">
        <v>2167</v>
      </c>
      <c r="G96" s="389"/>
      <c r="H96" s="389"/>
      <c r="I96" s="389"/>
      <c r="J96" s="390"/>
    </row>
    <row r="97">
      <c r="A97" s="378" t="s">
        <v>1648</v>
      </c>
      <c r="B97" s="379" t="s">
        <v>1836</v>
      </c>
      <c r="C97" s="456" t="s">
        <v>2169</v>
      </c>
      <c r="D97" s="373">
        <v>5.0</v>
      </c>
      <c r="E97" s="373">
        <v>3.0</v>
      </c>
      <c r="F97" s="374" t="s">
        <v>2170</v>
      </c>
      <c r="G97" s="375"/>
      <c r="H97" s="375"/>
      <c r="I97" s="375"/>
      <c r="J97" s="376"/>
    </row>
    <row r="98">
      <c r="A98" s="381" t="s">
        <v>546</v>
      </c>
      <c r="B98" s="383" t="s">
        <v>1228</v>
      </c>
      <c r="C98" s="447" t="s">
        <v>2030</v>
      </c>
      <c r="D98" s="386"/>
      <c r="E98" s="386"/>
      <c r="F98" s="387"/>
      <c r="G98" s="389"/>
      <c r="H98" s="389"/>
      <c r="I98" s="389"/>
      <c r="J98" s="390"/>
    </row>
    <row r="99">
      <c r="A99" s="378" t="s">
        <v>2172</v>
      </c>
      <c r="B99" s="461" t="s">
        <v>157</v>
      </c>
      <c r="C99" s="456" t="s">
        <v>2176</v>
      </c>
      <c r="D99" s="373"/>
      <c r="E99" s="373">
        <v>7.0</v>
      </c>
      <c r="F99" s="374" t="s">
        <v>2178</v>
      </c>
      <c r="G99" s="375"/>
      <c r="H99" s="375"/>
      <c r="I99" s="375"/>
      <c r="J99" s="376"/>
    </row>
    <row r="100">
      <c r="A100" s="381" t="s">
        <v>2038</v>
      </c>
      <c r="B100" s="383" t="s">
        <v>293</v>
      </c>
      <c r="C100" s="447" t="s">
        <v>2180</v>
      </c>
      <c r="D100" s="386"/>
      <c r="E100" s="386">
        <v>4.0</v>
      </c>
      <c r="F100" s="389"/>
      <c r="G100" s="389"/>
      <c r="H100" s="389"/>
      <c r="I100" s="389"/>
      <c r="J100" s="390"/>
    </row>
    <row r="101">
      <c r="A101" s="378" t="s">
        <v>1095</v>
      </c>
      <c r="B101" s="379" t="s">
        <v>2184</v>
      </c>
      <c r="C101" s="371" t="s">
        <v>2185</v>
      </c>
      <c r="D101" s="373">
        <v>2.0</v>
      </c>
      <c r="E101" s="373">
        <v>3.0</v>
      </c>
      <c r="F101" s="374" t="s">
        <v>2186</v>
      </c>
      <c r="G101" s="374" t="s">
        <v>2187</v>
      </c>
      <c r="H101" s="375"/>
      <c r="I101" s="375"/>
      <c r="J101" s="376"/>
    </row>
    <row r="102">
      <c r="A102" s="381" t="s">
        <v>389</v>
      </c>
      <c r="B102" s="383" t="s">
        <v>1702</v>
      </c>
      <c r="C102" s="447" t="s">
        <v>2193</v>
      </c>
      <c r="D102" s="386">
        <v>5.0</v>
      </c>
      <c r="E102" s="386">
        <v>5.0</v>
      </c>
      <c r="F102" s="387" t="s">
        <v>2194</v>
      </c>
      <c r="G102" s="389"/>
      <c r="H102" s="389"/>
      <c r="I102" s="389"/>
      <c r="J102" s="390"/>
    </row>
    <row r="103">
      <c r="A103" s="378" t="s">
        <v>2195</v>
      </c>
      <c r="B103" s="379" t="s">
        <v>2196</v>
      </c>
      <c r="C103" s="456" t="s">
        <v>2197</v>
      </c>
      <c r="D103" s="373"/>
      <c r="E103" s="373"/>
      <c r="F103" s="375"/>
      <c r="G103" s="375"/>
      <c r="H103" s="375"/>
      <c r="I103" s="375"/>
      <c r="J103" s="376"/>
    </row>
    <row r="104">
      <c r="A104" s="381" t="s">
        <v>1038</v>
      </c>
      <c r="B104" s="383" t="s">
        <v>2165</v>
      </c>
      <c r="C104" s="456"/>
      <c r="D104" s="386">
        <v>1.0</v>
      </c>
      <c r="E104" s="386">
        <v>2.0</v>
      </c>
      <c r="F104" s="387" t="s">
        <v>2201</v>
      </c>
      <c r="G104" s="387" t="s">
        <v>2203</v>
      </c>
      <c r="H104" s="389"/>
      <c r="I104" s="389"/>
      <c r="J104" s="390"/>
    </row>
    <row r="105">
      <c r="A105" s="378" t="s">
        <v>576</v>
      </c>
      <c r="B105" s="379" t="s">
        <v>499</v>
      </c>
      <c r="C105" s="456" t="s">
        <v>2206</v>
      </c>
      <c r="D105" s="373">
        <v>1.0</v>
      </c>
      <c r="E105" s="373"/>
      <c r="F105" s="375"/>
      <c r="G105" s="375"/>
      <c r="H105" s="375"/>
      <c r="I105" s="375"/>
      <c r="J105" s="376"/>
    </row>
    <row r="106">
      <c r="A106" s="381" t="s">
        <v>1173</v>
      </c>
      <c r="B106" s="383" t="s">
        <v>1892</v>
      </c>
      <c r="C106" s="456" t="s">
        <v>2209</v>
      </c>
      <c r="D106" s="386">
        <v>2.0</v>
      </c>
      <c r="E106" s="386">
        <v>2.0</v>
      </c>
      <c r="F106" s="387" t="s">
        <v>2211</v>
      </c>
      <c r="G106" s="387"/>
      <c r="H106" s="387"/>
      <c r="I106" s="389"/>
      <c r="J106" s="390"/>
    </row>
    <row r="107">
      <c r="A107" s="381" t="s">
        <v>2097</v>
      </c>
      <c r="B107" s="383" t="s">
        <v>2213</v>
      </c>
      <c r="C107" s="447" t="s">
        <v>2193</v>
      </c>
      <c r="D107" s="386"/>
      <c r="E107" s="386">
        <v>2.0</v>
      </c>
      <c r="F107" s="387"/>
      <c r="G107" s="387"/>
      <c r="H107" s="389"/>
      <c r="I107" s="389"/>
      <c r="J107" s="390"/>
    </row>
    <row r="108">
      <c r="A108" s="378" t="s">
        <v>243</v>
      </c>
      <c r="B108" s="383" t="s">
        <v>1648</v>
      </c>
      <c r="C108" s="447" t="s">
        <v>2193</v>
      </c>
      <c r="D108" s="373">
        <v>2.0</v>
      </c>
      <c r="E108" s="373">
        <v>1.0</v>
      </c>
      <c r="F108" s="375"/>
      <c r="G108" s="375"/>
      <c r="H108" s="375"/>
      <c r="I108" s="375"/>
      <c r="J108" s="376"/>
    </row>
    <row r="109">
      <c r="A109" s="381" t="s">
        <v>1228</v>
      </c>
      <c r="B109" s="383" t="s">
        <v>2027</v>
      </c>
      <c r="C109" s="456" t="s">
        <v>2219</v>
      </c>
      <c r="D109" s="386">
        <v>3.0</v>
      </c>
      <c r="E109" s="386"/>
      <c r="F109" s="389"/>
      <c r="G109" s="389"/>
      <c r="H109" s="389"/>
      <c r="I109" s="389"/>
      <c r="J109" s="390"/>
    </row>
    <row r="110">
      <c r="A110" s="378" t="s">
        <v>2040</v>
      </c>
      <c r="B110" s="463" t="s">
        <v>2223</v>
      </c>
      <c r="C110" s="456" t="s">
        <v>2219</v>
      </c>
      <c r="D110" s="373">
        <v>1.0</v>
      </c>
      <c r="E110" s="373"/>
      <c r="F110" s="374"/>
      <c r="G110" s="374"/>
      <c r="H110" s="375"/>
      <c r="I110" s="375"/>
      <c r="J110" s="376"/>
    </row>
    <row r="111">
      <c r="A111" s="381" t="s">
        <v>2226</v>
      </c>
      <c r="B111" s="383" t="s">
        <v>2020</v>
      </c>
      <c r="C111" s="456" t="s">
        <v>2219</v>
      </c>
      <c r="D111" s="386"/>
      <c r="E111" s="386">
        <v>2.0</v>
      </c>
      <c r="F111" s="389"/>
      <c r="G111" s="389"/>
      <c r="H111" s="389"/>
      <c r="I111" s="389"/>
      <c r="J111" s="390"/>
    </row>
    <row r="112">
      <c r="A112" s="378" t="s">
        <v>2229</v>
      </c>
      <c r="B112" s="379" t="s">
        <v>2014</v>
      </c>
      <c r="C112" s="456" t="s">
        <v>2219</v>
      </c>
      <c r="D112" s="373">
        <v>3.0</v>
      </c>
      <c r="E112" s="373">
        <v>1.0</v>
      </c>
      <c r="F112" s="375"/>
      <c r="G112" s="375"/>
      <c r="H112" s="375"/>
      <c r="I112" s="375"/>
      <c r="J112" s="376"/>
    </row>
    <row r="113">
      <c r="A113" s="381" t="s">
        <v>2232</v>
      </c>
      <c r="B113" s="466" t="s">
        <v>2229</v>
      </c>
      <c r="C113" s="447" t="s">
        <v>2219</v>
      </c>
      <c r="D113" s="386">
        <v>2.0</v>
      </c>
      <c r="E113" s="386">
        <v>2.0</v>
      </c>
      <c r="F113" s="389"/>
      <c r="G113" s="389"/>
      <c r="H113" s="389"/>
      <c r="I113" s="389"/>
      <c r="J113" s="390"/>
    </row>
    <row r="114">
      <c r="A114" s="468" t="s">
        <v>2241</v>
      </c>
      <c r="B114" s="470" t="s">
        <v>2242</v>
      </c>
      <c r="C114" s="447" t="s">
        <v>2219</v>
      </c>
      <c r="D114" s="471"/>
      <c r="E114" s="471"/>
      <c r="F114" s="472"/>
      <c r="G114" s="472"/>
      <c r="H114" s="472"/>
      <c r="I114" s="472"/>
      <c r="J114" s="473"/>
    </row>
    <row r="115">
      <c r="A115" s="468" t="s">
        <v>1982</v>
      </c>
      <c r="B115" s="470" t="s">
        <v>157</v>
      </c>
      <c r="C115" s="474" t="s">
        <v>2249</v>
      </c>
      <c r="D115" s="471">
        <v>3.0</v>
      </c>
      <c r="E115" s="471">
        <v>1.0</v>
      </c>
      <c r="F115" s="475" t="s">
        <v>2251</v>
      </c>
      <c r="G115" s="475" t="s">
        <v>2252</v>
      </c>
      <c r="H115" s="475" t="s">
        <v>2253</v>
      </c>
      <c r="I115" s="475" t="s">
        <v>2254</v>
      </c>
      <c r="J115" s="473"/>
    </row>
    <row r="116">
      <c r="A116" s="468" t="s">
        <v>2038</v>
      </c>
      <c r="B116" s="470" t="s">
        <v>1173</v>
      </c>
      <c r="C116" s="474" t="s">
        <v>2249</v>
      </c>
      <c r="D116" s="471">
        <v>1.0</v>
      </c>
      <c r="E116" s="471">
        <v>3.0</v>
      </c>
      <c r="F116" s="475" t="s">
        <v>2258</v>
      </c>
      <c r="G116" s="475" t="s">
        <v>2260</v>
      </c>
      <c r="H116" s="475" t="s">
        <v>2261</v>
      </c>
      <c r="I116" s="475" t="s">
        <v>2262</v>
      </c>
      <c r="J116" s="473"/>
    </row>
    <row r="117">
      <c r="A117" s="468" t="s">
        <v>2263</v>
      </c>
      <c r="B117" s="470" t="s">
        <v>157</v>
      </c>
      <c r="C117" s="447" t="s">
        <v>2264</v>
      </c>
      <c r="D117" s="471"/>
      <c r="E117" s="471">
        <v>2.0</v>
      </c>
      <c r="F117" s="475" t="s">
        <v>2258</v>
      </c>
      <c r="G117" s="472"/>
      <c r="H117" s="472"/>
      <c r="I117" s="472"/>
      <c r="J117" s="473"/>
    </row>
    <row r="118">
      <c r="A118" s="468" t="s">
        <v>2265</v>
      </c>
      <c r="B118" s="470" t="s">
        <v>157</v>
      </c>
      <c r="C118" s="447" t="s">
        <v>2264</v>
      </c>
      <c r="D118" s="471">
        <v>2.0</v>
      </c>
      <c r="E118" s="471">
        <v>4.0</v>
      </c>
      <c r="F118" s="475" t="s">
        <v>2258</v>
      </c>
      <c r="G118" s="472"/>
      <c r="H118" s="472"/>
      <c r="I118" s="472"/>
      <c r="J118" s="473"/>
    </row>
    <row r="119">
      <c r="A119" s="468" t="s">
        <v>576</v>
      </c>
      <c r="B119" s="470" t="s">
        <v>2269</v>
      </c>
      <c r="C119" s="384" t="s">
        <v>2271</v>
      </c>
      <c r="D119" s="471">
        <v>1.0</v>
      </c>
      <c r="E119" s="471">
        <v>1.0</v>
      </c>
      <c r="F119" s="475" t="s">
        <v>2273</v>
      </c>
      <c r="G119" s="475"/>
      <c r="H119" s="472"/>
      <c r="I119" s="472"/>
      <c r="J119" s="473"/>
    </row>
    <row r="120">
      <c r="A120" s="468" t="s">
        <v>2275</v>
      </c>
      <c r="B120" s="470" t="s">
        <v>2277</v>
      </c>
      <c r="C120" s="384" t="s">
        <v>2041</v>
      </c>
      <c r="D120" s="471">
        <v>3.0</v>
      </c>
      <c r="E120" s="471">
        <v>6.0</v>
      </c>
      <c r="F120" s="475" t="s">
        <v>2258</v>
      </c>
      <c r="G120" s="475" t="s">
        <v>2279</v>
      </c>
      <c r="H120" s="472"/>
      <c r="I120" s="472"/>
      <c r="J120" s="473"/>
    </row>
    <row r="121">
      <c r="A121" s="468" t="s">
        <v>2158</v>
      </c>
      <c r="B121" s="470" t="s">
        <v>2281</v>
      </c>
      <c r="C121" s="384" t="s">
        <v>2271</v>
      </c>
      <c r="D121" s="471">
        <v>5.0</v>
      </c>
      <c r="E121" s="471">
        <v>1.0</v>
      </c>
      <c r="F121" s="475" t="s">
        <v>2284</v>
      </c>
      <c r="G121" s="475" t="s">
        <v>2285</v>
      </c>
      <c r="H121" s="475"/>
      <c r="I121" s="477"/>
      <c r="J121" s="473"/>
    </row>
    <row r="122">
      <c r="A122" s="468" t="s">
        <v>2287</v>
      </c>
      <c r="B122" s="470" t="s">
        <v>2288</v>
      </c>
      <c r="C122" s="384" t="s">
        <v>2271</v>
      </c>
      <c r="D122" s="471"/>
      <c r="E122" s="471">
        <v>2.0</v>
      </c>
      <c r="F122" s="475" t="s">
        <v>2258</v>
      </c>
      <c r="G122" s="472"/>
      <c r="H122" s="472"/>
      <c r="I122" s="477"/>
      <c r="J122" s="473"/>
    </row>
    <row r="123">
      <c r="A123" s="468" t="s">
        <v>2294</v>
      </c>
      <c r="B123" s="470" t="s">
        <v>2296</v>
      </c>
      <c r="C123" s="479" t="s">
        <v>2298</v>
      </c>
      <c r="D123" s="481"/>
      <c r="E123" s="471"/>
      <c r="F123" s="472"/>
      <c r="G123" s="472"/>
      <c r="H123" s="472"/>
      <c r="I123" s="477"/>
      <c r="J123" s="473"/>
    </row>
    <row r="124">
      <c r="A124" s="468" t="s">
        <v>2300</v>
      </c>
      <c r="B124" s="470" t="s">
        <v>2277</v>
      </c>
      <c r="C124" s="384" t="s">
        <v>2041</v>
      </c>
      <c r="D124" s="471"/>
      <c r="E124" s="471">
        <v>1.0</v>
      </c>
      <c r="F124" s="475" t="s">
        <v>2302</v>
      </c>
      <c r="G124" s="472"/>
      <c r="H124" s="472"/>
      <c r="I124" s="477"/>
      <c r="J124" s="473"/>
    </row>
    <row r="125">
      <c r="A125" s="468" t="s">
        <v>389</v>
      </c>
      <c r="B125" s="470" t="s">
        <v>820</v>
      </c>
      <c r="C125" s="479" t="s">
        <v>2305</v>
      </c>
      <c r="D125" s="471">
        <v>1.0</v>
      </c>
      <c r="E125" s="471">
        <v>1.0</v>
      </c>
      <c r="F125" s="475" t="s">
        <v>2306</v>
      </c>
      <c r="G125" s="472"/>
      <c r="H125" s="472"/>
      <c r="I125" s="477"/>
      <c r="J125" s="473"/>
    </row>
    <row r="126">
      <c r="A126" s="468" t="s">
        <v>2307</v>
      </c>
      <c r="B126" s="470" t="s">
        <v>2277</v>
      </c>
      <c r="C126" s="479" t="s">
        <v>2308</v>
      </c>
      <c r="D126" s="471">
        <v>1.0</v>
      </c>
      <c r="E126" s="471">
        <v>2.0</v>
      </c>
      <c r="F126" s="475" t="s">
        <v>2310</v>
      </c>
      <c r="G126" s="475" t="s">
        <v>2311</v>
      </c>
      <c r="H126" s="475" t="s">
        <v>2314</v>
      </c>
      <c r="I126" s="483" t="s">
        <v>2315</v>
      </c>
      <c r="J126" s="479" t="s">
        <v>2317</v>
      </c>
    </row>
    <row r="127">
      <c r="A127" s="468" t="s">
        <v>2319</v>
      </c>
      <c r="B127" s="470" t="s">
        <v>1617</v>
      </c>
      <c r="C127" s="479" t="s">
        <v>2321</v>
      </c>
      <c r="D127" s="471"/>
      <c r="E127" s="471">
        <v>1.0</v>
      </c>
      <c r="F127" s="475" t="s">
        <v>2323</v>
      </c>
      <c r="G127" s="472"/>
      <c r="H127" s="472"/>
      <c r="I127" s="477"/>
      <c r="J127" s="473"/>
    </row>
    <row r="128">
      <c r="A128" s="468" t="s">
        <v>508</v>
      </c>
      <c r="B128" s="470" t="s">
        <v>815</v>
      </c>
      <c r="C128" s="479" t="s">
        <v>2327</v>
      </c>
      <c r="D128" s="471">
        <v>3.0</v>
      </c>
      <c r="E128" s="471">
        <v>1.0</v>
      </c>
      <c r="F128" s="475"/>
      <c r="G128" s="475"/>
      <c r="H128" s="472"/>
      <c r="I128" s="477"/>
      <c r="J128" s="473"/>
    </row>
    <row r="129">
      <c r="A129" s="468" t="s">
        <v>1892</v>
      </c>
      <c r="B129" s="470" t="s">
        <v>1879</v>
      </c>
      <c r="C129" s="479" t="s">
        <v>2331</v>
      </c>
      <c r="D129" s="471">
        <v>2.0</v>
      </c>
      <c r="E129" s="471">
        <v>2.0</v>
      </c>
      <c r="F129" s="475" t="s">
        <v>2333</v>
      </c>
      <c r="G129" s="475"/>
      <c r="H129" s="472"/>
      <c r="I129" s="477"/>
      <c r="J129" s="473"/>
    </row>
    <row r="130">
      <c r="A130" s="468" t="s">
        <v>2334</v>
      </c>
      <c r="B130" s="470" t="s">
        <v>878</v>
      </c>
      <c r="C130" s="479" t="s">
        <v>2331</v>
      </c>
      <c r="D130" s="471">
        <v>1.0</v>
      </c>
      <c r="E130" s="471"/>
      <c r="F130" s="475" t="s">
        <v>2336</v>
      </c>
      <c r="G130" s="475"/>
      <c r="H130" s="472"/>
      <c r="I130" s="477"/>
      <c r="J130" s="473"/>
    </row>
    <row r="131">
      <c r="A131" s="485" t="s">
        <v>2229</v>
      </c>
      <c r="B131" s="486" t="s">
        <v>2051</v>
      </c>
      <c r="C131" s="479" t="s">
        <v>2341</v>
      </c>
      <c r="D131" s="487"/>
      <c r="E131" s="487">
        <v>1.0</v>
      </c>
      <c r="F131" s="475" t="s">
        <v>2344</v>
      </c>
      <c r="G131" s="472"/>
      <c r="H131" s="472"/>
      <c r="I131" s="477"/>
      <c r="J131" s="488"/>
    </row>
    <row r="132">
      <c r="A132" s="485" t="s">
        <v>1016</v>
      </c>
      <c r="B132" s="486" t="s">
        <v>249</v>
      </c>
      <c r="C132" s="479" t="s">
        <v>2346</v>
      </c>
      <c r="D132" s="487">
        <v>6.0</v>
      </c>
      <c r="E132" s="487">
        <v>3.0</v>
      </c>
      <c r="F132" s="475" t="s">
        <v>2349</v>
      </c>
      <c r="G132" s="475" t="s">
        <v>2351</v>
      </c>
      <c r="H132" s="472"/>
      <c r="I132" s="477"/>
      <c r="J132" s="488"/>
    </row>
    <row r="133">
      <c r="A133" s="485" t="s">
        <v>2354</v>
      </c>
      <c r="B133" s="486" t="s">
        <v>1139</v>
      </c>
      <c r="C133" s="479" t="s">
        <v>2356</v>
      </c>
      <c r="D133" s="487">
        <v>3.0</v>
      </c>
      <c r="E133" s="487">
        <v>4.0</v>
      </c>
      <c r="F133" s="475" t="s">
        <v>2358</v>
      </c>
      <c r="G133" s="475" t="s">
        <v>2359</v>
      </c>
      <c r="H133" s="475" t="s">
        <v>2361</v>
      </c>
      <c r="I133" s="477"/>
      <c r="J133" s="488"/>
    </row>
    <row r="134">
      <c r="A134" s="485" t="s">
        <v>2362</v>
      </c>
      <c r="B134" s="486" t="s">
        <v>2363</v>
      </c>
      <c r="C134" s="479" t="s">
        <v>2364</v>
      </c>
      <c r="D134" s="487">
        <v>3.0</v>
      </c>
      <c r="E134" s="487"/>
      <c r="F134" s="475"/>
      <c r="G134" s="472"/>
      <c r="H134" s="472"/>
      <c r="I134" s="477"/>
      <c r="J134" s="488"/>
    </row>
    <row r="135">
      <c r="A135" s="485" t="s">
        <v>2365</v>
      </c>
      <c r="B135" s="486" t="s">
        <v>1578</v>
      </c>
      <c r="C135" s="479" t="s">
        <v>2366</v>
      </c>
      <c r="D135" s="487">
        <v>1.0</v>
      </c>
      <c r="E135" s="487"/>
      <c r="F135" s="475"/>
      <c r="G135" s="475"/>
      <c r="H135" s="475"/>
      <c r="I135" s="477"/>
      <c r="J135" s="488"/>
    </row>
    <row r="136">
      <c r="A136" s="485" t="s">
        <v>2370</v>
      </c>
      <c r="B136" s="486" t="s">
        <v>1578</v>
      </c>
      <c r="C136" s="479" t="s">
        <v>2372</v>
      </c>
      <c r="D136" s="487"/>
      <c r="E136" s="487"/>
      <c r="F136" s="475" t="s">
        <v>2375</v>
      </c>
      <c r="G136" s="472"/>
      <c r="H136" s="472"/>
      <c r="I136" s="477"/>
      <c r="J136" s="488"/>
    </row>
    <row r="137">
      <c r="A137" s="485" t="s">
        <v>377</v>
      </c>
      <c r="B137" s="486" t="s">
        <v>1950</v>
      </c>
      <c r="C137" s="479" t="s">
        <v>2381</v>
      </c>
      <c r="D137" s="487">
        <v>1.0</v>
      </c>
      <c r="E137" s="487"/>
      <c r="F137" s="475" t="s">
        <v>2382</v>
      </c>
      <c r="G137" s="472"/>
      <c r="H137" s="472"/>
      <c r="I137" s="477"/>
      <c r="J137" s="488"/>
    </row>
    <row r="138">
      <c r="A138" s="485" t="s">
        <v>157</v>
      </c>
      <c r="B138" s="486" t="s">
        <v>2150</v>
      </c>
      <c r="C138" s="479" t="s">
        <v>2383</v>
      </c>
      <c r="D138" s="487">
        <v>5.0</v>
      </c>
      <c r="E138" s="487">
        <v>2.0</v>
      </c>
      <c r="F138" s="475" t="s">
        <v>2384</v>
      </c>
      <c r="G138" s="472"/>
      <c r="H138" s="472"/>
      <c r="I138" s="477"/>
      <c r="J138" s="488"/>
    </row>
    <row r="139">
      <c r="A139" s="485" t="s">
        <v>348</v>
      </c>
      <c r="B139" s="486" t="s">
        <v>243</v>
      </c>
      <c r="C139" s="384" t="s">
        <v>2271</v>
      </c>
      <c r="D139" s="487">
        <v>1.0</v>
      </c>
      <c r="E139" s="487">
        <v>2.0</v>
      </c>
      <c r="F139" s="475"/>
      <c r="G139" s="475"/>
      <c r="H139" s="472"/>
      <c r="I139" s="477"/>
      <c r="J139" s="488"/>
    </row>
    <row r="140">
      <c r="A140" s="485" t="s">
        <v>2386</v>
      </c>
      <c r="B140" s="486" t="s">
        <v>2387</v>
      </c>
      <c r="C140" s="479" t="s">
        <v>2388</v>
      </c>
      <c r="D140" s="487">
        <v>1.0</v>
      </c>
      <c r="E140" s="487"/>
      <c r="F140" s="475"/>
      <c r="G140" s="475"/>
      <c r="H140" s="475"/>
      <c r="I140" s="477"/>
      <c r="J140" s="488"/>
    </row>
    <row r="141">
      <c r="A141" s="485" t="s">
        <v>2390</v>
      </c>
      <c r="B141" s="486" t="s">
        <v>1173</v>
      </c>
      <c r="C141" s="479" t="s">
        <v>2391</v>
      </c>
      <c r="D141" s="487"/>
      <c r="E141" s="487">
        <v>1.0</v>
      </c>
      <c r="F141" s="475"/>
      <c r="G141" s="472"/>
      <c r="H141" s="472"/>
      <c r="I141" s="477"/>
      <c r="J141" s="488"/>
    </row>
    <row r="142">
      <c r="A142" s="485" t="s">
        <v>2390</v>
      </c>
      <c r="B142" s="486" t="s">
        <v>2184</v>
      </c>
      <c r="C142" s="479" t="s">
        <v>2391</v>
      </c>
      <c r="D142" s="487"/>
      <c r="E142" s="487">
        <v>4.0</v>
      </c>
      <c r="F142" s="475" t="s">
        <v>2394</v>
      </c>
      <c r="G142" s="475" t="s">
        <v>2395</v>
      </c>
      <c r="H142" s="472"/>
      <c r="I142" s="477"/>
      <c r="J142" s="488"/>
    </row>
    <row r="143">
      <c r="A143" s="485" t="s">
        <v>1617</v>
      </c>
      <c r="B143" s="486" t="s">
        <v>2396</v>
      </c>
      <c r="C143" s="371"/>
      <c r="D143" s="487">
        <v>2.0</v>
      </c>
      <c r="E143" s="487">
        <v>1.0</v>
      </c>
      <c r="F143" s="475" t="s">
        <v>2397</v>
      </c>
      <c r="G143" s="475" t="s">
        <v>2398</v>
      </c>
      <c r="H143" s="472"/>
      <c r="I143" s="477"/>
      <c r="J143" s="488"/>
    </row>
    <row r="144">
      <c r="A144" s="485" t="s">
        <v>1929</v>
      </c>
      <c r="B144" s="486" t="s">
        <v>2399</v>
      </c>
      <c r="C144" s="479"/>
      <c r="D144" s="487"/>
      <c r="E144" s="487">
        <v>4.0</v>
      </c>
      <c r="F144" s="475" t="s">
        <v>2400</v>
      </c>
      <c r="G144" s="472"/>
      <c r="H144" s="472"/>
      <c r="I144" s="477"/>
      <c r="J144" s="488"/>
    </row>
    <row r="145">
      <c r="A145" s="485" t="s">
        <v>1892</v>
      </c>
      <c r="B145" s="486" t="s">
        <v>1879</v>
      </c>
      <c r="C145" s="479" t="s">
        <v>2005</v>
      </c>
      <c r="D145" s="487">
        <v>2.0</v>
      </c>
      <c r="E145" s="487">
        <v>1.0</v>
      </c>
      <c r="F145" s="475"/>
      <c r="G145" s="472"/>
      <c r="H145" s="472"/>
      <c r="I145" s="477"/>
      <c r="J145" s="488"/>
    </row>
    <row r="146">
      <c r="A146" s="485" t="s">
        <v>2401</v>
      </c>
      <c r="B146" s="486" t="s">
        <v>2402</v>
      </c>
      <c r="C146" s="479" t="s">
        <v>2403</v>
      </c>
      <c r="D146" s="487"/>
      <c r="E146" s="487">
        <v>1.0</v>
      </c>
      <c r="F146" s="475"/>
      <c r="G146" s="472"/>
      <c r="H146" s="472"/>
      <c r="I146" s="477"/>
      <c r="J146" s="488"/>
    </row>
    <row r="147">
      <c r="A147" s="485" t="s">
        <v>2404</v>
      </c>
      <c r="B147" s="486" t="s">
        <v>1617</v>
      </c>
      <c r="C147" s="479" t="s">
        <v>2405</v>
      </c>
      <c r="D147" s="492"/>
      <c r="E147" s="487">
        <v>2.0</v>
      </c>
      <c r="F147" s="475" t="s">
        <v>2407</v>
      </c>
      <c r="G147" s="472"/>
      <c r="H147" s="472"/>
      <c r="I147" s="477"/>
      <c r="J147" s="488"/>
    </row>
    <row r="148">
      <c r="A148" s="485" t="s">
        <v>2408</v>
      </c>
      <c r="B148" s="486" t="s">
        <v>156</v>
      </c>
      <c r="C148" s="479" t="s">
        <v>2410</v>
      </c>
      <c r="D148" s="487">
        <v>1.0</v>
      </c>
      <c r="E148" s="487"/>
      <c r="F148" s="475"/>
      <c r="G148" s="475"/>
      <c r="H148" s="472"/>
      <c r="I148" s="477"/>
      <c r="J148" s="488"/>
    </row>
    <row r="149">
      <c r="A149" s="485" t="s">
        <v>1114</v>
      </c>
      <c r="B149" s="486" t="s">
        <v>1755</v>
      </c>
      <c r="C149" s="479" t="s">
        <v>2331</v>
      </c>
      <c r="D149" s="487"/>
      <c r="E149" s="487">
        <v>2.0</v>
      </c>
      <c r="F149" s="475"/>
      <c r="G149" s="475"/>
      <c r="H149" s="472"/>
      <c r="I149" s="477"/>
      <c r="J149" s="479"/>
    </row>
    <row r="150">
      <c r="A150" s="485" t="s">
        <v>1277</v>
      </c>
      <c r="B150" s="486" t="s">
        <v>878</v>
      </c>
      <c r="C150" s="479" t="s">
        <v>2331</v>
      </c>
      <c r="D150" s="487"/>
      <c r="E150" s="492"/>
      <c r="F150" s="475"/>
      <c r="G150" s="475"/>
      <c r="H150" s="472"/>
      <c r="I150" s="477"/>
      <c r="J150" s="488"/>
    </row>
    <row r="151">
      <c r="A151" s="485" t="s">
        <v>546</v>
      </c>
      <c r="B151" s="486" t="s">
        <v>2414</v>
      </c>
      <c r="C151" s="479" t="s">
        <v>2331</v>
      </c>
      <c r="D151" s="487"/>
      <c r="E151" s="487">
        <v>2.0</v>
      </c>
      <c r="F151" s="475"/>
      <c r="G151" s="475"/>
      <c r="H151" s="475"/>
      <c r="I151" s="483"/>
      <c r="J151" s="488"/>
    </row>
    <row r="152">
      <c r="A152" s="485" t="s">
        <v>2036</v>
      </c>
      <c r="B152" s="486" t="s">
        <v>2415</v>
      </c>
      <c r="C152" s="479" t="s">
        <v>2416</v>
      </c>
      <c r="D152" s="487">
        <v>1.0</v>
      </c>
      <c r="E152" s="487">
        <v>1.0</v>
      </c>
      <c r="F152" s="475"/>
      <c r="G152" s="472"/>
      <c r="H152" s="472"/>
      <c r="I152" s="477"/>
      <c r="J152" s="488"/>
    </row>
    <row r="153">
      <c r="A153" s="485" t="s">
        <v>2097</v>
      </c>
      <c r="B153" s="486" t="s">
        <v>2287</v>
      </c>
      <c r="C153" s="447" t="s">
        <v>2193</v>
      </c>
      <c r="D153" s="487">
        <v>2.0</v>
      </c>
      <c r="E153" s="492"/>
      <c r="F153" s="472"/>
      <c r="G153" s="472"/>
      <c r="H153" s="472"/>
      <c r="I153" s="477"/>
      <c r="J153" s="488"/>
    </row>
    <row r="154">
      <c r="A154" s="485" t="s">
        <v>2420</v>
      </c>
      <c r="B154" s="486" t="s">
        <v>2072</v>
      </c>
      <c r="C154" s="479" t="s">
        <v>2421</v>
      </c>
      <c r="D154" s="487"/>
      <c r="E154" s="487">
        <v>1.0</v>
      </c>
      <c r="F154" s="475"/>
      <c r="G154" s="472"/>
      <c r="H154" s="472"/>
      <c r="I154" s="477"/>
      <c r="J154" s="488"/>
    </row>
    <row r="155">
      <c r="A155" s="485" t="s">
        <v>157</v>
      </c>
      <c r="B155" s="486" t="s">
        <v>390</v>
      </c>
      <c r="C155" s="479" t="s">
        <v>2331</v>
      </c>
      <c r="D155" s="487">
        <v>4.0</v>
      </c>
      <c r="E155" s="487">
        <v>4.0</v>
      </c>
      <c r="F155" s="475" t="s">
        <v>2422</v>
      </c>
      <c r="G155" s="472"/>
      <c r="H155" s="472"/>
      <c r="I155" s="477"/>
      <c r="J155" s="488"/>
    </row>
    <row r="156">
      <c r="A156" s="485" t="s">
        <v>963</v>
      </c>
      <c r="B156" s="486" t="s">
        <v>1618</v>
      </c>
      <c r="C156" s="493" t="s">
        <v>2424</v>
      </c>
      <c r="D156" s="487">
        <v>1.0</v>
      </c>
      <c r="E156" s="487">
        <v>1.0</v>
      </c>
      <c r="F156" s="475"/>
      <c r="G156" s="472"/>
      <c r="H156" s="472"/>
      <c r="I156" s="477"/>
      <c r="J156" s="488"/>
    </row>
    <row r="157">
      <c r="A157" s="485" t="s">
        <v>1161</v>
      </c>
      <c r="B157" s="486" t="s">
        <v>2426</v>
      </c>
      <c r="C157" s="493" t="s">
        <v>2424</v>
      </c>
      <c r="D157" s="487">
        <v>2.0</v>
      </c>
      <c r="E157" s="487">
        <v>4.0</v>
      </c>
      <c r="F157" s="475" t="s">
        <v>2427</v>
      </c>
      <c r="G157" s="472"/>
      <c r="H157" s="472"/>
      <c r="I157" s="477"/>
      <c r="J157" s="488"/>
    </row>
    <row r="158">
      <c r="A158" s="485" t="s">
        <v>389</v>
      </c>
      <c r="B158" s="486" t="s">
        <v>2048</v>
      </c>
      <c r="C158" s="479"/>
      <c r="D158" s="487">
        <v>1.0</v>
      </c>
      <c r="E158" s="487" t="s">
        <v>2428</v>
      </c>
      <c r="F158" s="475" t="s">
        <v>2429</v>
      </c>
      <c r="G158" s="472"/>
      <c r="H158" s="472"/>
      <c r="I158" s="477"/>
      <c r="J158" s="488"/>
    </row>
    <row r="159">
      <c r="A159" s="485" t="s">
        <v>1982</v>
      </c>
      <c r="B159" s="486" t="s">
        <v>1878</v>
      </c>
      <c r="C159" s="493" t="s">
        <v>2430</v>
      </c>
      <c r="D159" s="487">
        <v>2.0</v>
      </c>
      <c r="E159" s="487">
        <v>3.0</v>
      </c>
      <c r="F159" s="472"/>
      <c r="G159" s="472"/>
      <c r="H159" s="472"/>
      <c r="I159" s="477"/>
      <c r="J159" s="488"/>
    </row>
    <row r="160">
      <c r="A160" s="485" t="s">
        <v>1982</v>
      </c>
      <c r="B160" s="486" t="s">
        <v>1879</v>
      </c>
      <c r="C160" s="479" t="s">
        <v>2435</v>
      </c>
      <c r="D160" s="487">
        <v>3.0</v>
      </c>
      <c r="E160" s="487"/>
      <c r="F160" s="494" t="s">
        <v>2436</v>
      </c>
      <c r="G160" s="475" t="s">
        <v>2437</v>
      </c>
      <c r="H160" s="472"/>
      <c r="I160" s="477"/>
      <c r="J160" s="488"/>
    </row>
    <row r="161">
      <c r="A161" s="468" t="s">
        <v>2078</v>
      </c>
      <c r="B161" s="470" t="s">
        <v>1879</v>
      </c>
      <c r="C161" s="479" t="s">
        <v>2442</v>
      </c>
      <c r="D161" s="471">
        <v>4.0</v>
      </c>
      <c r="E161" s="471">
        <v>1.0</v>
      </c>
      <c r="F161" s="494" t="s">
        <v>2436</v>
      </c>
      <c r="G161" s="475" t="s">
        <v>2443</v>
      </c>
      <c r="H161" s="472"/>
      <c r="I161" s="477"/>
      <c r="J161" s="473"/>
    </row>
    <row r="162">
      <c r="A162" s="468" t="s">
        <v>1114</v>
      </c>
      <c r="B162" s="470" t="s">
        <v>2444</v>
      </c>
      <c r="C162" s="479" t="s">
        <v>2424</v>
      </c>
      <c r="D162" s="471"/>
      <c r="E162" s="471"/>
      <c r="F162" s="472"/>
      <c r="G162" s="472"/>
      <c r="H162" s="472"/>
      <c r="I162" s="477"/>
      <c r="J162" s="473"/>
    </row>
    <row r="163">
      <c r="A163" s="468" t="s">
        <v>1114</v>
      </c>
      <c r="B163" s="470" t="s">
        <v>1330</v>
      </c>
      <c r="C163" s="447" t="s">
        <v>2447</v>
      </c>
      <c r="D163" s="471"/>
      <c r="E163" s="471">
        <v>1.0</v>
      </c>
      <c r="F163" s="475" t="s">
        <v>2448</v>
      </c>
      <c r="G163" s="475" t="s">
        <v>2449</v>
      </c>
      <c r="H163" s="472"/>
      <c r="I163" s="477"/>
      <c r="J163" s="473"/>
    </row>
    <row r="164">
      <c r="A164" s="468" t="s">
        <v>2415</v>
      </c>
      <c r="B164" s="470" t="s">
        <v>2451</v>
      </c>
      <c r="C164" s="479" t="s">
        <v>2452</v>
      </c>
      <c r="D164" s="471">
        <v>3.0</v>
      </c>
      <c r="E164" s="471"/>
      <c r="F164" s="475" t="s">
        <v>2453</v>
      </c>
      <c r="G164" s="475" t="s">
        <v>2454</v>
      </c>
      <c r="H164" s="472"/>
      <c r="I164" s="477"/>
      <c r="J164" s="473"/>
    </row>
    <row r="165">
      <c r="A165" s="468" t="s">
        <v>2455</v>
      </c>
      <c r="B165" s="470" t="s">
        <v>1648</v>
      </c>
      <c r="C165" s="479" t="s">
        <v>2457</v>
      </c>
      <c r="D165" s="471"/>
      <c r="E165" s="471">
        <v>1.0</v>
      </c>
      <c r="F165" s="472"/>
      <c r="G165" s="472"/>
      <c r="H165" s="472"/>
      <c r="I165" s="477"/>
      <c r="J165" s="473"/>
    </row>
    <row r="166">
      <c r="A166" s="468" t="s">
        <v>1578</v>
      </c>
      <c r="B166" s="470" t="s">
        <v>2455</v>
      </c>
      <c r="C166" s="496" t="s">
        <v>2457</v>
      </c>
      <c r="D166" s="471">
        <v>4.0</v>
      </c>
      <c r="E166" s="471"/>
      <c r="F166" s="472"/>
      <c r="G166" s="472"/>
      <c r="H166" s="472"/>
      <c r="I166" s="477"/>
      <c r="J166" s="473"/>
    </row>
    <row r="167">
      <c r="A167" s="468" t="s">
        <v>1330</v>
      </c>
      <c r="B167" s="470" t="s">
        <v>1950</v>
      </c>
      <c r="C167" s="479" t="s">
        <v>2467</v>
      </c>
      <c r="D167" s="471"/>
      <c r="E167" s="471">
        <v>3.0</v>
      </c>
      <c r="F167" s="475" t="s">
        <v>2469</v>
      </c>
      <c r="G167" s="472"/>
      <c r="H167" s="472"/>
      <c r="I167" s="477"/>
      <c r="J167" s="473"/>
    </row>
    <row r="168">
      <c r="A168" s="468" t="s">
        <v>815</v>
      </c>
      <c r="B168" s="470" t="s">
        <v>390</v>
      </c>
      <c r="C168" s="479" t="s">
        <v>2331</v>
      </c>
      <c r="D168" s="471">
        <v>2.0</v>
      </c>
      <c r="E168" s="471">
        <v>2.0</v>
      </c>
      <c r="F168" s="475" t="s">
        <v>2470</v>
      </c>
      <c r="G168" s="472"/>
      <c r="H168" s="472"/>
      <c r="I168" s="477"/>
      <c r="J168" s="473"/>
    </row>
    <row r="169">
      <c r="A169" s="468" t="s">
        <v>1802</v>
      </c>
      <c r="B169" s="470" t="s">
        <v>2472</v>
      </c>
      <c r="C169" s="384" t="s">
        <v>2474</v>
      </c>
      <c r="D169" s="471"/>
      <c r="E169" s="471"/>
      <c r="F169" s="472"/>
      <c r="G169" s="472"/>
      <c r="H169" s="472"/>
      <c r="I169" s="477"/>
      <c r="J169" s="473"/>
    </row>
    <row r="170">
      <c r="A170" s="468" t="s">
        <v>2476</v>
      </c>
      <c r="B170" s="470" t="s">
        <v>2477</v>
      </c>
      <c r="C170" s="384" t="s">
        <v>2478</v>
      </c>
      <c r="D170" s="471">
        <v>2.0</v>
      </c>
      <c r="E170" s="471">
        <v>4.0</v>
      </c>
      <c r="F170" s="475" t="s">
        <v>2479</v>
      </c>
      <c r="G170" s="475"/>
      <c r="H170" s="472"/>
      <c r="I170" s="477"/>
      <c r="J170" s="473"/>
    </row>
    <row r="171">
      <c r="A171" s="497" t="s">
        <v>2480</v>
      </c>
      <c r="B171" s="498" t="s">
        <v>2481</v>
      </c>
      <c r="C171" s="499" t="s">
        <v>2430</v>
      </c>
      <c r="D171" s="500">
        <v>1.0</v>
      </c>
      <c r="E171" s="500"/>
      <c r="F171" s="501"/>
      <c r="G171" s="501"/>
      <c r="H171" s="502"/>
      <c r="I171" s="503"/>
      <c r="J171" s="504"/>
    </row>
    <row r="172">
      <c r="A172" s="505" t="s">
        <v>2480</v>
      </c>
      <c r="B172" s="506" t="s">
        <v>2486</v>
      </c>
      <c r="C172" s="416" t="s">
        <v>2430</v>
      </c>
      <c r="D172" s="507">
        <v>1.0</v>
      </c>
      <c r="E172" s="507"/>
      <c r="F172" s="508"/>
      <c r="G172" s="509"/>
      <c r="H172" s="509"/>
      <c r="I172" s="477"/>
      <c r="J172" s="473"/>
    </row>
    <row r="173">
      <c r="A173" s="497" t="s">
        <v>2480</v>
      </c>
      <c r="B173" s="498" t="s">
        <v>2072</v>
      </c>
      <c r="C173" s="510" t="s">
        <v>2430</v>
      </c>
      <c r="D173" s="500"/>
      <c r="E173" s="500">
        <v>2.0</v>
      </c>
      <c r="F173" s="511"/>
      <c r="G173" s="502"/>
      <c r="H173" s="502"/>
      <c r="I173" s="503"/>
      <c r="J173" s="504"/>
    </row>
    <row r="174">
      <c r="A174" s="505" t="s">
        <v>31</v>
      </c>
      <c r="B174" s="506" t="s">
        <v>2072</v>
      </c>
      <c r="C174" s="98" t="s">
        <v>2491</v>
      </c>
      <c r="D174" s="507"/>
      <c r="E174" s="507">
        <v>2.0</v>
      </c>
      <c r="F174" s="508" t="s">
        <v>1975</v>
      </c>
      <c r="G174" s="509"/>
      <c r="H174" s="509"/>
      <c r="I174" s="477"/>
      <c r="J174" s="473"/>
    </row>
    <row r="175">
      <c r="A175" s="497" t="s">
        <v>1015</v>
      </c>
      <c r="B175" s="498" t="s">
        <v>2072</v>
      </c>
      <c r="C175" s="98" t="s">
        <v>2491</v>
      </c>
      <c r="D175" s="513"/>
      <c r="E175" s="500">
        <v>1.0</v>
      </c>
      <c r="F175" s="502"/>
      <c r="G175" s="502"/>
      <c r="H175" s="502"/>
      <c r="I175" s="503"/>
      <c r="J175" s="504"/>
    </row>
    <row r="176">
      <c r="A176" s="505" t="s">
        <v>157</v>
      </c>
      <c r="B176" s="506" t="s">
        <v>576</v>
      </c>
      <c r="C176" s="98" t="s">
        <v>2491</v>
      </c>
      <c r="D176" s="507">
        <v>1.0</v>
      </c>
      <c r="E176" s="507">
        <v>3.0</v>
      </c>
      <c r="F176" s="508" t="s">
        <v>2495</v>
      </c>
      <c r="G176" s="509"/>
      <c r="H176" s="509"/>
      <c r="I176" s="477"/>
      <c r="J176" s="473"/>
    </row>
    <row r="177">
      <c r="A177" s="497" t="s">
        <v>1173</v>
      </c>
      <c r="B177" s="498" t="s">
        <v>1578</v>
      </c>
      <c r="C177" s="510" t="s">
        <v>2041</v>
      </c>
      <c r="D177" s="500">
        <v>1.0</v>
      </c>
      <c r="E177" s="500">
        <v>1.0</v>
      </c>
      <c r="F177" s="501"/>
      <c r="G177" s="502"/>
      <c r="H177" s="502"/>
      <c r="I177" s="503"/>
      <c r="J177" s="504"/>
    </row>
    <row r="178">
      <c r="A178" s="505" t="s">
        <v>377</v>
      </c>
      <c r="B178" s="506" t="s">
        <v>2303</v>
      </c>
      <c r="C178" s="514" t="s">
        <v>2496</v>
      </c>
      <c r="D178" s="515"/>
      <c r="E178" s="507"/>
      <c r="F178" s="509"/>
      <c r="G178" s="509"/>
      <c r="H178" s="509"/>
      <c r="I178" s="477"/>
      <c r="J178" s="473"/>
    </row>
    <row r="179">
      <c r="A179" s="497" t="s">
        <v>2499</v>
      </c>
      <c r="B179" s="498" t="s">
        <v>348</v>
      </c>
      <c r="C179" s="510" t="s">
        <v>2501</v>
      </c>
      <c r="D179" s="500">
        <v>3.0</v>
      </c>
      <c r="E179" s="500">
        <v>1.0</v>
      </c>
      <c r="F179" s="501" t="s">
        <v>2505</v>
      </c>
      <c r="G179" s="502"/>
      <c r="H179" s="502"/>
      <c r="I179" s="503"/>
      <c r="J179" s="504"/>
    </row>
    <row r="180">
      <c r="A180" s="505" t="s">
        <v>2509</v>
      </c>
      <c r="B180" s="506" t="s">
        <v>348</v>
      </c>
      <c r="C180" s="514" t="s">
        <v>2501</v>
      </c>
      <c r="D180" s="507">
        <v>2.0</v>
      </c>
      <c r="E180" s="507">
        <v>1.0</v>
      </c>
      <c r="F180" s="508"/>
      <c r="G180" s="509"/>
      <c r="H180" s="509"/>
      <c r="I180" s="477"/>
      <c r="J180" s="473"/>
    </row>
    <row r="181">
      <c r="A181" s="497" t="s">
        <v>1161</v>
      </c>
      <c r="B181" s="498" t="s">
        <v>815</v>
      </c>
      <c r="C181" s="499" t="s">
        <v>2510</v>
      </c>
      <c r="D181" s="500"/>
      <c r="E181" s="500">
        <v>6.0</v>
      </c>
      <c r="F181" s="501"/>
      <c r="G181" s="502"/>
      <c r="H181" s="502"/>
      <c r="I181" s="503"/>
      <c r="J181" s="504"/>
    </row>
    <row r="182">
      <c r="A182" s="505" t="s">
        <v>1161</v>
      </c>
      <c r="B182" s="506" t="s">
        <v>2390</v>
      </c>
      <c r="C182" s="514" t="s">
        <v>2513</v>
      </c>
      <c r="D182" s="507">
        <v>1.0</v>
      </c>
      <c r="E182" s="507"/>
      <c r="F182" s="508"/>
      <c r="G182" s="508"/>
      <c r="H182" s="509"/>
      <c r="I182" s="516"/>
      <c r="J182" s="417"/>
    </row>
    <row r="183">
      <c r="A183" s="497" t="s">
        <v>31</v>
      </c>
      <c r="B183" s="498" t="s">
        <v>1015</v>
      </c>
      <c r="C183" s="98" t="s">
        <v>2491</v>
      </c>
      <c r="D183" s="500"/>
      <c r="E183" s="500"/>
      <c r="F183" s="501"/>
      <c r="G183" s="501"/>
      <c r="H183" s="502"/>
      <c r="I183" s="503"/>
      <c r="J183" s="504"/>
    </row>
    <row r="184">
      <c r="A184" s="517" t="s">
        <v>785</v>
      </c>
      <c r="B184" s="518" t="s">
        <v>2518</v>
      </c>
      <c r="C184" s="371" t="s">
        <v>2519</v>
      </c>
      <c r="D184" s="507"/>
      <c r="E184" s="507"/>
      <c r="F184" s="507"/>
      <c r="G184" s="508"/>
      <c r="H184" s="509"/>
      <c r="I184" s="516"/>
      <c r="J184" s="417"/>
    </row>
    <row r="185">
      <c r="A185" s="519" t="s">
        <v>389</v>
      </c>
      <c r="B185" s="520" t="s">
        <v>1038</v>
      </c>
      <c r="C185" s="510" t="s">
        <v>2523</v>
      </c>
      <c r="D185" s="500">
        <v>2.0</v>
      </c>
      <c r="E185" s="500">
        <v>4.0</v>
      </c>
      <c r="F185" s="501" t="s">
        <v>1975</v>
      </c>
      <c r="G185" s="501"/>
      <c r="H185" s="502"/>
      <c r="I185" s="503"/>
      <c r="J185" s="504"/>
    </row>
    <row r="186">
      <c r="A186" s="517" t="s">
        <v>1648</v>
      </c>
      <c r="B186" s="518" t="s">
        <v>1038</v>
      </c>
      <c r="C186" s="510" t="s">
        <v>2525</v>
      </c>
      <c r="D186" s="507">
        <v>1.0</v>
      </c>
      <c r="E186" s="507">
        <v>2.0</v>
      </c>
      <c r="F186" s="509"/>
      <c r="G186" s="509"/>
      <c r="H186" s="509"/>
      <c r="I186" s="516"/>
      <c r="J186" s="417"/>
    </row>
    <row r="187">
      <c r="A187" s="519" t="s">
        <v>2527</v>
      </c>
      <c r="B187" s="520" t="s">
        <v>2182</v>
      </c>
      <c r="C187" s="510" t="s">
        <v>2528</v>
      </c>
      <c r="D187" s="500"/>
      <c r="E187" s="500"/>
      <c r="F187" s="501"/>
      <c r="G187" s="502"/>
      <c r="H187" s="502"/>
      <c r="I187" s="503"/>
      <c r="J187" s="504"/>
    </row>
    <row r="188">
      <c r="A188" s="517" t="s">
        <v>1892</v>
      </c>
      <c r="B188" s="518" t="s">
        <v>1997</v>
      </c>
      <c r="C188" s="98" t="s">
        <v>2491</v>
      </c>
      <c r="D188" s="507">
        <v>2.0</v>
      </c>
      <c r="E188" s="507">
        <v>3.0</v>
      </c>
      <c r="F188" s="509"/>
      <c r="G188" s="509"/>
      <c r="H188" s="509"/>
      <c r="I188" s="516"/>
      <c r="J188" s="417"/>
    </row>
    <row r="189">
      <c r="A189" s="517"/>
      <c r="B189" s="518"/>
      <c r="C189" s="514"/>
      <c r="D189" s="507"/>
      <c r="E189" s="515"/>
      <c r="F189" s="509"/>
      <c r="G189" s="509"/>
      <c r="H189" s="509"/>
      <c r="I189" s="516"/>
      <c r="J189" s="417"/>
    </row>
    <row r="190">
      <c r="A190" s="517"/>
      <c r="B190" s="518"/>
      <c r="C190" s="514"/>
      <c r="D190" s="507"/>
      <c r="E190" s="515"/>
      <c r="F190" s="508"/>
      <c r="G190" s="508"/>
      <c r="H190" s="509"/>
      <c r="I190" s="516"/>
      <c r="J190" s="417"/>
    </row>
    <row r="191">
      <c r="A191" s="519" t="s">
        <v>2541</v>
      </c>
      <c r="B191" s="520" t="s">
        <v>2542</v>
      </c>
      <c r="C191" s="521" t="s">
        <v>2544</v>
      </c>
      <c r="D191" s="500">
        <v>1.0</v>
      </c>
      <c r="E191" s="500"/>
      <c r="F191" s="501"/>
      <c r="G191" s="501"/>
      <c r="H191" s="501"/>
      <c r="I191" s="503"/>
      <c r="J191" s="504"/>
    </row>
    <row r="192">
      <c r="A192" s="517" t="s">
        <v>2072</v>
      </c>
      <c r="B192" s="506" t="s">
        <v>1578</v>
      </c>
      <c r="C192" s="522" t="s">
        <v>2546</v>
      </c>
      <c r="D192" s="507">
        <v>2.0</v>
      </c>
      <c r="E192" s="507">
        <v>1.0</v>
      </c>
      <c r="F192" s="509"/>
      <c r="G192" s="509"/>
      <c r="H192" s="509"/>
      <c r="I192" s="516"/>
      <c r="J192" s="417"/>
    </row>
    <row r="193">
      <c r="A193" s="519" t="s">
        <v>2547</v>
      </c>
      <c r="B193" s="498" t="s">
        <v>1792</v>
      </c>
      <c r="C193" s="510" t="s">
        <v>2548</v>
      </c>
      <c r="D193" s="500"/>
      <c r="E193" s="500">
        <v>1.0</v>
      </c>
      <c r="F193" s="502"/>
      <c r="G193" s="502"/>
      <c r="H193" s="502"/>
      <c r="I193" s="503"/>
      <c r="J193" s="504"/>
    </row>
    <row r="194">
      <c r="A194" s="517" t="s">
        <v>243</v>
      </c>
      <c r="B194" s="506" t="s">
        <v>2263</v>
      </c>
      <c r="C194" s="514" t="s">
        <v>2552</v>
      </c>
      <c r="D194" s="507"/>
      <c r="E194" s="507">
        <v>1.0</v>
      </c>
      <c r="F194" s="508"/>
      <c r="G194" s="508"/>
      <c r="H194" s="509"/>
      <c r="I194" s="516"/>
      <c r="J194" s="417"/>
    </row>
    <row r="195">
      <c r="A195" s="519" t="s">
        <v>2554</v>
      </c>
      <c r="B195" s="498" t="s">
        <v>499</v>
      </c>
      <c r="C195" s="499" t="s">
        <v>2555</v>
      </c>
      <c r="D195" s="500">
        <v>2.0</v>
      </c>
      <c r="E195" s="500">
        <v>2.0</v>
      </c>
      <c r="F195" s="502"/>
      <c r="G195" s="502"/>
      <c r="H195" s="502"/>
      <c r="I195" s="503"/>
      <c r="J195" s="504"/>
    </row>
    <row r="196">
      <c r="A196" s="517" t="s">
        <v>2556</v>
      </c>
      <c r="B196" s="518" t="s">
        <v>2557</v>
      </c>
      <c r="C196" s="416" t="s">
        <v>2558</v>
      </c>
      <c r="D196" s="507">
        <v>1.0</v>
      </c>
      <c r="E196" s="507"/>
      <c r="F196" s="508"/>
      <c r="G196" s="508"/>
      <c r="H196" s="509"/>
      <c r="I196" s="516"/>
      <c r="J196" s="417"/>
    </row>
    <row r="197">
      <c r="A197" s="519" t="s">
        <v>1015</v>
      </c>
      <c r="B197" s="520" t="s">
        <v>1123</v>
      </c>
      <c r="C197" s="510" t="s">
        <v>2560</v>
      </c>
      <c r="D197" s="500"/>
      <c r="E197" s="500">
        <v>1.0</v>
      </c>
      <c r="F197" s="523"/>
      <c r="G197" s="502"/>
      <c r="H197" s="502"/>
      <c r="I197" s="503"/>
      <c r="J197" s="504"/>
    </row>
    <row r="198">
      <c r="A198" s="524" t="s">
        <v>2561</v>
      </c>
      <c r="B198" s="525" t="s">
        <v>2563</v>
      </c>
      <c r="C198" s="514" t="s">
        <v>2565</v>
      </c>
      <c r="D198" s="507">
        <v>1.0</v>
      </c>
      <c r="E198" s="507">
        <v>3.0</v>
      </c>
      <c r="F198" s="526" t="s">
        <v>2566</v>
      </c>
      <c r="G198" s="509"/>
      <c r="H198" s="509"/>
      <c r="I198" s="516"/>
      <c r="J198" s="417"/>
    </row>
    <row r="199">
      <c r="A199" s="517" t="s">
        <v>243</v>
      </c>
      <c r="B199" s="527" t="s">
        <v>2567</v>
      </c>
      <c r="C199" s="514" t="s">
        <v>2552</v>
      </c>
      <c r="D199" s="500">
        <v>1.0</v>
      </c>
      <c r="E199" s="500">
        <v>1.0</v>
      </c>
      <c r="F199" s="501"/>
      <c r="G199" s="501"/>
      <c r="H199" s="501"/>
      <c r="I199" s="521"/>
      <c r="J199" s="499"/>
    </row>
    <row r="200">
      <c r="A200" s="517" t="s">
        <v>2569</v>
      </c>
      <c r="B200" s="518" t="s">
        <v>2570</v>
      </c>
      <c r="C200" s="522" t="s">
        <v>2546</v>
      </c>
      <c r="D200" s="507"/>
      <c r="E200" s="507">
        <v>1.0</v>
      </c>
      <c r="F200" s="508" t="s">
        <v>2573</v>
      </c>
      <c r="G200" s="508"/>
      <c r="H200" s="509"/>
      <c r="I200" s="516"/>
      <c r="J200" s="417"/>
    </row>
    <row r="201">
      <c r="A201" s="517"/>
      <c r="B201" s="528"/>
      <c r="C201" s="514"/>
      <c r="D201" s="507"/>
      <c r="E201" s="507"/>
      <c r="F201" s="509"/>
      <c r="G201" s="509"/>
      <c r="H201" s="509"/>
      <c r="I201" s="516"/>
      <c r="J201" s="417"/>
    </row>
    <row r="202">
      <c r="A202" s="517" t="s">
        <v>1173</v>
      </c>
      <c r="B202" s="528" t="s">
        <v>633</v>
      </c>
      <c r="C202" s="514" t="s">
        <v>2574</v>
      </c>
      <c r="D202" s="507">
        <v>2.0</v>
      </c>
      <c r="E202" s="507">
        <v>1.0</v>
      </c>
      <c r="F202" s="508" t="s">
        <v>2575</v>
      </c>
      <c r="G202" s="509"/>
      <c r="H202" s="509"/>
      <c r="I202" s="516"/>
      <c r="J202" s="417"/>
    </row>
    <row r="203">
      <c r="A203" s="519" t="s">
        <v>2576</v>
      </c>
      <c r="B203" s="520" t="s">
        <v>2577</v>
      </c>
      <c r="C203" s="499" t="s">
        <v>2579</v>
      </c>
      <c r="D203" s="500">
        <v>4.0</v>
      </c>
      <c r="E203" s="500"/>
      <c r="F203" s="529" t="s">
        <v>2583</v>
      </c>
      <c r="G203" s="502"/>
      <c r="H203" s="502"/>
      <c r="I203" s="503"/>
      <c r="J203" s="504"/>
    </row>
    <row r="204">
      <c r="A204" s="517" t="s">
        <v>2390</v>
      </c>
      <c r="B204" s="518" t="s">
        <v>2586</v>
      </c>
      <c r="C204" s="416"/>
      <c r="D204" s="515"/>
      <c r="E204" s="507">
        <v>1.0</v>
      </c>
      <c r="F204" s="508" t="s">
        <v>1027</v>
      </c>
      <c r="G204" s="509"/>
      <c r="H204" s="509"/>
      <c r="I204" s="516"/>
      <c r="J204" s="417"/>
    </row>
    <row r="205">
      <c r="A205" s="519" t="s">
        <v>2587</v>
      </c>
      <c r="B205" s="530"/>
      <c r="C205" s="510" t="s">
        <v>2588</v>
      </c>
      <c r="D205" s="500">
        <v>1.0</v>
      </c>
      <c r="E205" s="500">
        <v>1.0</v>
      </c>
      <c r="F205" s="501" t="s">
        <v>1027</v>
      </c>
      <c r="G205" s="502"/>
      <c r="H205" s="502"/>
      <c r="I205" s="503"/>
      <c r="J205" s="504"/>
    </row>
    <row r="206">
      <c r="A206" s="519" t="s">
        <v>2426</v>
      </c>
      <c r="B206" s="520" t="s">
        <v>2287</v>
      </c>
      <c r="C206" s="510" t="s">
        <v>2588</v>
      </c>
      <c r="D206" s="500">
        <v>3.0</v>
      </c>
      <c r="E206" s="500"/>
      <c r="F206" s="501" t="s">
        <v>2592</v>
      </c>
      <c r="G206" s="501" t="s">
        <v>2593</v>
      </c>
      <c r="H206" s="501" t="s">
        <v>2595</v>
      </c>
      <c r="I206" s="503"/>
      <c r="J206" s="504"/>
    </row>
    <row r="207">
      <c r="A207" s="517" t="s">
        <v>2596</v>
      </c>
      <c r="B207" s="518" t="s">
        <v>2542</v>
      </c>
      <c r="C207" s="514" t="s">
        <v>2597</v>
      </c>
      <c r="D207" s="507"/>
      <c r="E207" s="507"/>
      <c r="F207" s="508"/>
      <c r="G207" s="508"/>
      <c r="H207" s="509"/>
      <c r="I207" s="516"/>
      <c r="J207" s="417"/>
    </row>
    <row r="208">
      <c r="A208" s="519" t="s">
        <v>2599</v>
      </c>
      <c r="B208" s="520" t="s">
        <v>2601</v>
      </c>
      <c r="C208" s="531" t="s">
        <v>2602</v>
      </c>
      <c r="D208" s="500">
        <v>2.0</v>
      </c>
      <c r="E208" s="500">
        <v>1.0</v>
      </c>
      <c r="F208" s="501"/>
      <c r="G208" s="502"/>
      <c r="H208" s="502"/>
      <c r="I208" s="503"/>
      <c r="J208" s="504"/>
    </row>
    <row r="209">
      <c r="A209" s="517" t="s">
        <v>2604</v>
      </c>
      <c r="B209" s="518" t="s">
        <v>2605</v>
      </c>
      <c r="C209" s="532" t="s">
        <v>2606</v>
      </c>
      <c r="D209" s="533"/>
      <c r="E209" s="515"/>
      <c r="F209" s="509"/>
      <c r="G209" s="509"/>
      <c r="H209" s="509"/>
      <c r="I209" s="516"/>
      <c r="J209" s="417"/>
    </row>
    <row r="210">
      <c r="A210" s="519" t="s">
        <v>293</v>
      </c>
      <c r="B210" s="520" t="s">
        <v>157</v>
      </c>
      <c r="C210" s="534" t="s">
        <v>2613</v>
      </c>
      <c r="D210" s="500">
        <v>3.0</v>
      </c>
      <c r="E210" s="500">
        <v>2.0</v>
      </c>
      <c r="F210" s="501" t="s">
        <v>1027</v>
      </c>
      <c r="G210" s="502"/>
      <c r="H210" s="502"/>
      <c r="I210" s="503"/>
      <c r="J210" s="504"/>
    </row>
    <row r="211">
      <c r="A211" s="517" t="s">
        <v>576</v>
      </c>
      <c r="B211" s="518" t="s">
        <v>1792</v>
      </c>
      <c r="C211" s="514" t="s">
        <v>2615</v>
      </c>
      <c r="D211" s="507">
        <v>2.0</v>
      </c>
      <c r="E211" s="507"/>
      <c r="F211" s="508" t="s">
        <v>2616</v>
      </c>
      <c r="G211" s="509"/>
      <c r="H211" s="509"/>
      <c r="I211" s="516"/>
      <c r="J211" s="417"/>
    </row>
    <row r="212">
      <c r="A212" s="519" t="s">
        <v>820</v>
      </c>
      <c r="B212" s="520" t="s">
        <v>249</v>
      </c>
      <c r="C212" s="510" t="s">
        <v>2619</v>
      </c>
      <c r="D212" s="500">
        <v>1.0</v>
      </c>
      <c r="E212" s="500">
        <v>1.0</v>
      </c>
      <c r="F212" s="501"/>
      <c r="G212" s="502"/>
      <c r="H212" s="502"/>
      <c r="I212" s="503"/>
      <c r="J212" s="504"/>
    </row>
    <row r="213">
      <c r="A213" s="517" t="s">
        <v>2624</v>
      </c>
      <c r="B213" s="518" t="s">
        <v>633</v>
      </c>
      <c r="C213" s="514" t="s">
        <v>2619</v>
      </c>
      <c r="D213" s="507">
        <v>1.0</v>
      </c>
      <c r="E213" s="507">
        <v>3.0</v>
      </c>
      <c r="F213" s="508"/>
      <c r="G213" s="509"/>
      <c r="H213" s="509"/>
      <c r="I213" s="516"/>
      <c r="J213" s="417"/>
    </row>
    <row r="214">
      <c r="A214" s="519" t="s">
        <v>2625</v>
      </c>
      <c r="B214" s="520" t="s">
        <v>2626</v>
      </c>
      <c r="C214" s="535" t="s">
        <v>2627</v>
      </c>
      <c r="D214" s="500">
        <v>1.0</v>
      </c>
      <c r="E214" s="500">
        <v>1.0</v>
      </c>
      <c r="F214" s="510" t="s">
        <v>2628</v>
      </c>
      <c r="G214" s="536" t="s">
        <v>2629</v>
      </c>
      <c r="H214" s="537"/>
      <c r="I214" s="538"/>
      <c r="J214" s="539"/>
    </row>
    <row r="215">
      <c r="A215" s="517" t="s">
        <v>2633</v>
      </c>
      <c r="B215" s="518" t="s">
        <v>2634</v>
      </c>
      <c r="C215" s="514" t="s">
        <v>2635</v>
      </c>
      <c r="D215" s="507">
        <v>1.0</v>
      </c>
      <c r="E215" s="507">
        <v>2.0</v>
      </c>
      <c r="F215" s="508" t="s">
        <v>2636</v>
      </c>
      <c r="G215" s="508"/>
      <c r="H215" s="509"/>
      <c r="I215" s="516"/>
      <c r="J215" s="417"/>
    </row>
    <row r="216">
      <c r="A216" s="519" t="s">
        <v>2638</v>
      </c>
      <c r="B216" s="520" t="s">
        <v>2639</v>
      </c>
      <c r="D216" s="500">
        <v>3.0</v>
      </c>
      <c r="E216" s="500">
        <v>2.0</v>
      </c>
      <c r="F216" s="501"/>
      <c r="G216" s="502"/>
      <c r="H216" s="502"/>
      <c r="I216" s="503"/>
      <c r="J216" s="504"/>
    </row>
    <row r="217" ht="24.0" customHeight="1">
      <c r="A217" s="519" t="s">
        <v>2638</v>
      </c>
      <c r="B217" s="518" t="s">
        <v>2643</v>
      </c>
      <c r="C217" s="514" t="s">
        <v>2628</v>
      </c>
      <c r="D217" s="507">
        <v>1.0</v>
      </c>
      <c r="E217" s="507">
        <v>1.0</v>
      </c>
      <c r="F217" s="509"/>
      <c r="G217" s="509"/>
      <c r="H217" s="509"/>
      <c r="I217" s="516"/>
      <c r="J217" s="417"/>
    </row>
    <row r="218">
      <c r="A218" s="519" t="s">
        <v>785</v>
      </c>
      <c r="B218" s="520" t="s">
        <v>1633</v>
      </c>
      <c r="C218" s="540" t="s">
        <v>2249</v>
      </c>
      <c r="D218" s="500">
        <v>2.0</v>
      </c>
      <c r="E218" s="500">
        <v>1.0</v>
      </c>
      <c r="F218" s="501" t="s">
        <v>2644</v>
      </c>
      <c r="G218" s="501"/>
      <c r="H218" s="502"/>
      <c r="I218" s="503"/>
      <c r="J218" s="504"/>
    </row>
    <row r="219">
      <c r="A219" s="541"/>
      <c r="B219" s="542"/>
      <c r="C219" s="532"/>
      <c r="D219" s="507"/>
      <c r="E219" s="515"/>
      <c r="F219" s="509"/>
      <c r="G219" s="509"/>
      <c r="H219" s="509"/>
      <c r="I219" s="516"/>
      <c r="J219" s="417"/>
    </row>
    <row r="220">
      <c r="A220" s="519" t="s">
        <v>2651</v>
      </c>
      <c r="B220" s="543" t="s">
        <v>2652</v>
      </c>
      <c r="C220" s="531" t="s">
        <v>2653</v>
      </c>
      <c r="D220" s="513"/>
      <c r="E220" s="500">
        <v>2.0</v>
      </c>
      <c r="F220" s="501"/>
      <c r="G220" s="502"/>
      <c r="H220" s="502"/>
      <c r="I220" s="503"/>
      <c r="J220" s="504"/>
    </row>
    <row r="221">
      <c r="A221" s="517" t="s">
        <v>390</v>
      </c>
      <c r="B221" s="542" t="s">
        <v>896</v>
      </c>
      <c r="C221" s="514" t="s">
        <v>2655</v>
      </c>
      <c r="D221" s="507">
        <v>5.0</v>
      </c>
      <c r="E221" s="507">
        <v>4.0</v>
      </c>
      <c r="F221" s="544" t="s">
        <v>2657</v>
      </c>
      <c r="G221" s="509"/>
      <c r="H221" s="509"/>
      <c r="I221" s="516"/>
      <c r="J221" s="417"/>
    </row>
    <row r="222">
      <c r="A222" s="519" t="s">
        <v>1766</v>
      </c>
      <c r="B222" s="543" t="s">
        <v>2662</v>
      </c>
      <c r="C222" s="510" t="s">
        <v>2664</v>
      </c>
      <c r="D222" s="500">
        <v>1.0</v>
      </c>
      <c r="E222" s="500">
        <v>2.0</v>
      </c>
      <c r="F222" s="501" t="s">
        <v>1027</v>
      </c>
      <c r="G222" s="502"/>
      <c r="H222" s="502"/>
      <c r="I222" s="503"/>
      <c r="J222" s="504"/>
    </row>
    <row r="223">
      <c r="A223" s="517" t="s">
        <v>2665</v>
      </c>
      <c r="B223" s="542" t="s">
        <v>2666</v>
      </c>
      <c r="C223" s="514" t="s">
        <v>2667</v>
      </c>
      <c r="D223" s="507"/>
      <c r="E223" s="507">
        <v>1.0</v>
      </c>
      <c r="F223" s="509"/>
      <c r="G223" s="509"/>
      <c r="H223" s="509"/>
      <c r="I223" s="516"/>
      <c r="J223" s="417"/>
    </row>
    <row r="224">
      <c r="A224" s="519" t="s">
        <v>1276</v>
      </c>
      <c r="B224" s="543" t="s">
        <v>1457</v>
      </c>
      <c r="C224" s="510" t="s">
        <v>2653</v>
      </c>
      <c r="D224" s="500">
        <v>1.0</v>
      </c>
      <c r="E224" s="500"/>
      <c r="F224" s="502"/>
      <c r="G224" s="502"/>
      <c r="H224" s="502"/>
      <c r="I224" s="503"/>
      <c r="J224" s="504"/>
    </row>
    <row r="225">
      <c r="A225" s="517" t="s">
        <v>633</v>
      </c>
      <c r="B225" s="542" t="s">
        <v>2669</v>
      </c>
      <c r="C225" s="514" t="s">
        <v>2635</v>
      </c>
      <c r="D225" s="507"/>
      <c r="E225" s="507"/>
      <c r="F225" s="509"/>
      <c r="G225" s="509"/>
      <c r="H225" s="509"/>
      <c r="I225" s="516"/>
      <c r="J225" s="417"/>
    </row>
    <row r="226">
      <c r="A226" s="545" t="s">
        <v>2670</v>
      </c>
      <c r="B226" s="543" t="s">
        <v>1972</v>
      </c>
      <c r="C226" s="510" t="s">
        <v>2671</v>
      </c>
      <c r="D226" s="500"/>
      <c r="E226" s="500">
        <v>2.0</v>
      </c>
      <c r="F226" s="501" t="s">
        <v>2673</v>
      </c>
      <c r="G226" s="502"/>
      <c r="H226" s="502"/>
      <c r="I226" s="503"/>
      <c r="J226" s="504"/>
    </row>
    <row r="227">
      <c r="A227" s="517" t="s">
        <v>2677</v>
      </c>
      <c r="B227" s="542" t="s">
        <v>2678</v>
      </c>
      <c r="C227" s="514" t="s">
        <v>2680</v>
      </c>
      <c r="D227" s="507"/>
      <c r="E227" s="507">
        <v>2.0</v>
      </c>
      <c r="F227" s="508" t="s">
        <v>2682</v>
      </c>
      <c r="G227" s="508"/>
      <c r="H227" s="509"/>
      <c r="I227" s="516"/>
      <c r="J227" s="417"/>
    </row>
    <row r="228">
      <c r="A228" s="519" t="s">
        <v>1972</v>
      </c>
      <c r="B228" s="543" t="s">
        <v>713</v>
      </c>
      <c r="C228" s="510" t="s">
        <v>2680</v>
      </c>
      <c r="D228" s="500">
        <v>2.0</v>
      </c>
      <c r="E228" s="500">
        <v>1.0</v>
      </c>
      <c r="F228" s="501" t="s">
        <v>2685</v>
      </c>
      <c r="G228" s="501" t="s">
        <v>2686</v>
      </c>
      <c r="H228" s="502"/>
      <c r="I228" s="503"/>
      <c r="J228" s="504"/>
    </row>
    <row r="229">
      <c r="A229" s="517" t="s">
        <v>2687</v>
      </c>
      <c r="B229" s="542" t="s">
        <v>2688</v>
      </c>
      <c r="C229" s="514" t="s">
        <v>2680</v>
      </c>
      <c r="D229" s="507"/>
      <c r="E229" s="507">
        <v>2.0</v>
      </c>
      <c r="F229" s="508" t="s">
        <v>2690</v>
      </c>
      <c r="G229" s="509"/>
      <c r="H229" s="509"/>
      <c r="I229" s="516"/>
      <c r="J229" s="417"/>
    </row>
    <row r="230">
      <c r="A230" s="519" t="s">
        <v>2692</v>
      </c>
      <c r="B230" s="543" t="s">
        <v>2694</v>
      </c>
      <c r="C230" s="510" t="s">
        <v>2680</v>
      </c>
      <c r="D230" s="500"/>
      <c r="E230" s="500">
        <v>1.0</v>
      </c>
      <c r="F230" s="502"/>
      <c r="G230" s="502"/>
      <c r="H230" s="502"/>
      <c r="I230" s="503"/>
      <c r="J230" s="504"/>
    </row>
    <row r="231">
      <c r="A231" s="517" t="s">
        <v>2694</v>
      </c>
      <c r="B231" s="542" t="s">
        <v>2697</v>
      </c>
      <c r="C231" s="514" t="s">
        <v>2680</v>
      </c>
      <c r="D231" s="507">
        <v>2.0</v>
      </c>
      <c r="E231" s="507"/>
      <c r="F231" s="508" t="s">
        <v>2698</v>
      </c>
      <c r="G231" s="509"/>
      <c r="H231" s="509"/>
      <c r="I231" s="516"/>
      <c r="J231" s="417"/>
    </row>
    <row r="232">
      <c r="A232" s="519" t="s">
        <v>2670</v>
      </c>
      <c r="B232" s="543" t="s">
        <v>713</v>
      </c>
      <c r="C232" s="510" t="s">
        <v>2680</v>
      </c>
      <c r="D232" s="500"/>
      <c r="E232" s="500">
        <v>1.0</v>
      </c>
      <c r="F232" s="501"/>
      <c r="G232" s="502"/>
      <c r="H232" s="502"/>
      <c r="I232" s="503"/>
      <c r="J232" s="504"/>
    </row>
    <row r="233">
      <c r="A233" s="517" t="s">
        <v>633</v>
      </c>
      <c r="B233" s="542" t="s">
        <v>2701</v>
      </c>
      <c r="C233" s="514" t="s">
        <v>2703</v>
      </c>
      <c r="D233" s="507">
        <v>2.0</v>
      </c>
      <c r="E233" s="507">
        <v>1.0</v>
      </c>
      <c r="F233" s="508" t="s">
        <v>2705</v>
      </c>
      <c r="G233" s="508" t="s">
        <v>2706</v>
      </c>
      <c r="H233" s="509"/>
      <c r="I233" s="516"/>
      <c r="J233" s="417"/>
    </row>
    <row r="234">
      <c r="A234" s="519" t="s">
        <v>2707</v>
      </c>
      <c r="B234" s="543" t="s">
        <v>2708</v>
      </c>
      <c r="C234" s="499" t="s">
        <v>2709</v>
      </c>
      <c r="D234" s="500">
        <v>1.0</v>
      </c>
      <c r="E234" s="500"/>
      <c r="F234" s="501"/>
      <c r="G234" s="502"/>
      <c r="H234" s="502"/>
      <c r="I234" s="503"/>
      <c r="J234" s="504"/>
    </row>
    <row r="235">
      <c r="A235" s="546" t="s">
        <v>2711</v>
      </c>
      <c r="B235" s="542" t="s">
        <v>2708</v>
      </c>
      <c r="D235" s="507">
        <v>1.0</v>
      </c>
      <c r="E235" s="507">
        <v>3.0</v>
      </c>
      <c r="F235" s="508" t="s">
        <v>2713</v>
      </c>
      <c r="G235" s="509"/>
      <c r="H235" s="509"/>
      <c r="I235" s="516"/>
      <c r="J235" s="417"/>
    </row>
    <row r="236">
      <c r="A236" s="519" t="s">
        <v>2716</v>
      </c>
      <c r="B236" s="543" t="s">
        <v>2444</v>
      </c>
      <c r="C236" s="531" t="s">
        <v>2717</v>
      </c>
      <c r="D236" s="500">
        <v>2.0</v>
      </c>
      <c r="E236" s="513"/>
      <c r="F236" s="501" t="s">
        <v>2718</v>
      </c>
      <c r="G236" s="501" t="s">
        <v>2719</v>
      </c>
      <c r="H236" s="502"/>
      <c r="I236" s="503"/>
      <c r="J236" s="504"/>
    </row>
    <row r="237">
      <c r="A237" s="517" t="s">
        <v>2263</v>
      </c>
      <c r="B237" s="542" t="s">
        <v>2720</v>
      </c>
      <c r="C237" s="514" t="s">
        <v>2664</v>
      </c>
      <c r="D237" s="507">
        <v>2.0</v>
      </c>
      <c r="E237" s="507">
        <v>2.0</v>
      </c>
      <c r="F237" s="508"/>
      <c r="G237" s="509"/>
      <c r="H237" s="509"/>
      <c r="I237" s="516"/>
      <c r="J237" s="417"/>
    </row>
    <row r="238">
      <c r="A238" s="517" t="s">
        <v>2670</v>
      </c>
      <c r="B238" s="542" t="s">
        <v>2687</v>
      </c>
      <c r="C238" s="416"/>
      <c r="D238" s="507">
        <v>1.0</v>
      </c>
      <c r="E238" s="515"/>
      <c r="F238" s="508"/>
      <c r="G238" s="509"/>
      <c r="H238" s="509"/>
      <c r="I238" s="516"/>
      <c r="J238" s="417"/>
    </row>
    <row r="239">
      <c r="A239" s="517"/>
      <c r="B239" s="542"/>
      <c r="C239" s="384"/>
      <c r="D239" s="507"/>
      <c r="E239" s="515"/>
      <c r="F239" s="508"/>
      <c r="G239" s="509"/>
      <c r="H239" s="509"/>
      <c r="I239" s="516"/>
      <c r="J239" s="417"/>
    </row>
    <row r="240">
      <c r="A240" s="517" t="s">
        <v>2726</v>
      </c>
      <c r="B240" s="542" t="s">
        <v>1345</v>
      </c>
      <c r="C240" s="514"/>
      <c r="D240" s="507">
        <v>1.0</v>
      </c>
      <c r="E240" s="507">
        <v>1.0</v>
      </c>
      <c r="F240" s="509"/>
      <c r="G240" s="509"/>
      <c r="H240" s="509"/>
      <c r="I240" s="516"/>
      <c r="J240" s="417"/>
    </row>
    <row r="241">
      <c r="A241" s="519" t="s">
        <v>713</v>
      </c>
      <c r="B241" s="543" t="s">
        <v>2694</v>
      </c>
      <c r="C241" s="510"/>
      <c r="D241" s="500">
        <v>1.0</v>
      </c>
      <c r="E241" s="500">
        <v>1.0</v>
      </c>
      <c r="F241" s="502"/>
      <c r="G241" s="502"/>
      <c r="H241" s="502"/>
      <c r="I241" s="503"/>
      <c r="J241" s="504"/>
    </row>
    <row r="242" ht="32.25" customHeight="1">
      <c r="A242" s="517" t="s">
        <v>2734</v>
      </c>
      <c r="B242" s="542" t="s">
        <v>2736</v>
      </c>
      <c r="C242" s="514"/>
      <c r="D242" s="507">
        <v>2.0</v>
      </c>
      <c r="E242" s="507">
        <v>2.0</v>
      </c>
      <c r="F242" s="509"/>
      <c r="G242" s="509"/>
      <c r="H242" s="509"/>
      <c r="I242" s="516"/>
      <c r="J242" s="417"/>
    </row>
    <row r="243">
      <c r="A243" s="517" t="s">
        <v>2739</v>
      </c>
      <c r="B243" s="542" t="s">
        <v>2734</v>
      </c>
      <c r="C243" s="514"/>
      <c r="D243" s="507"/>
      <c r="E243" s="507"/>
      <c r="F243" s="509"/>
      <c r="G243" s="509"/>
      <c r="H243" s="509"/>
      <c r="I243" s="516"/>
      <c r="J243" s="417"/>
    </row>
    <row r="244">
      <c r="A244" s="519" t="s">
        <v>1879</v>
      </c>
      <c r="B244" s="543" t="s">
        <v>2741</v>
      </c>
      <c r="C244" s="354" t="s">
        <v>2742</v>
      </c>
      <c r="D244" s="500">
        <v>2.0</v>
      </c>
      <c r="E244" s="500">
        <v>3.0</v>
      </c>
      <c r="F244" s="501" t="s">
        <v>2743</v>
      </c>
      <c r="G244" s="502"/>
      <c r="H244" s="502"/>
      <c r="I244" s="503"/>
      <c r="J244" s="504"/>
    </row>
    <row r="245">
      <c r="A245" s="541" t="s">
        <v>576</v>
      </c>
      <c r="B245" s="542" t="s">
        <v>1879</v>
      </c>
      <c r="C245" s="354" t="s">
        <v>2742</v>
      </c>
      <c r="D245" s="507">
        <v>2.0</v>
      </c>
      <c r="E245" s="515"/>
      <c r="F245" s="509"/>
      <c r="G245" s="509"/>
      <c r="H245" s="509"/>
      <c r="I245" s="516"/>
      <c r="J245" s="417"/>
    </row>
    <row r="246" ht="24.75" customHeight="1">
      <c r="A246" s="547" t="s">
        <v>2720</v>
      </c>
      <c r="B246" s="543" t="s">
        <v>31</v>
      </c>
      <c r="C246" s="499" t="s">
        <v>2745</v>
      </c>
      <c r="D246" s="500">
        <v>3.0</v>
      </c>
      <c r="E246" s="513"/>
      <c r="F246" s="501"/>
      <c r="G246" s="502"/>
      <c r="H246" s="502"/>
      <c r="I246" s="503"/>
      <c r="J246" s="504"/>
    </row>
    <row r="247">
      <c r="A247" s="541" t="s">
        <v>499</v>
      </c>
      <c r="B247" s="542" t="s">
        <v>31</v>
      </c>
      <c r="C247" s="416" t="s">
        <v>2491</v>
      </c>
      <c r="D247" s="507"/>
      <c r="E247" s="507">
        <v>1.0</v>
      </c>
      <c r="F247" s="509"/>
      <c r="G247" s="509"/>
      <c r="H247" s="509"/>
      <c r="I247" s="516"/>
      <c r="J247" s="417"/>
    </row>
    <row r="248">
      <c r="A248" s="547" t="s">
        <v>2670</v>
      </c>
      <c r="B248" s="543" t="s">
        <v>2694</v>
      </c>
      <c r="C248" s="499"/>
      <c r="D248" s="500">
        <v>1.0</v>
      </c>
      <c r="E248" s="500">
        <v>1.0</v>
      </c>
      <c r="F248" s="502"/>
      <c r="G248" s="502"/>
      <c r="H248" s="502"/>
      <c r="I248" s="503"/>
      <c r="J248" s="504"/>
    </row>
    <row r="249">
      <c r="A249" s="541" t="s">
        <v>2232</v>
      </c>
      <c r="B249" s="542" t="s">
        <v>2751</v>
      </c>
      <c r="C249" s="522" t="s">
        <v>2752</v>
      </c>
      <c r="D249" s="507"/>
      <c r="E249" s="507">
        <v>1.0</v>
      </c>
      <c r="F249" s="508" t="s">
        <v>2754</v>
      </c>
      <c r="G249" s="509"/>
      <c r="H249" s="509"/>
      <c r="I249" s="516"/>
      <c r="J249" s="417"/>
    </row>
    <row r="250">
      <c r="A250" s="547" t="s">
        <v>390</v>
      </c>
      <c r="B250" s="543" t="s">
        <v>2755</v>
      </c>
      <c r="C250" s="256" t="s">
        <v>2756</v>
      </c>
      <c r="D250" s="500">
        <v>5.0</v>
      </c>
      <c r="E250" s="500">
        <v>1.0</v>
      </c>
      <c r="F250" s="501" t="s">
        <v>2759</v>
      </c>
      <c r="G250" s="502"/>
      <c r="H250" s="502"/>
      <c r="I250" s="503"/>
      <c r="J250" s="504"/>
    </row>
    <row r="251">
      <c r="A251" s="547" t="s">
        <v>499</v>
      </c>
      <c r="B251" s="543" t="s">
        <v>2762</v>
      </c>
      <c r="C251" s="416" t="s">
        <v>2491</v>
      </c>
      <c r="D251" s="513"/>
      <c r="E251" s="500">
        <v>1.0</v>
      </c>
      <c r="F251" s="501"/>
      <c r="G251" s="501"/>
      <c r="H251" s="502"/>
      <c r="I251" s="503"/>
      <c r="J251" s="504"/>
    </row>
    <row r="252">
      <c r="A252" s="541" t="s">
        <v>390</v>
      </c>
      <c r="B252" s="542" t="s">
        <v>2269</v>
      </c>
      <c r="C252" s="514" t="s">
        <v>2763</v>
      </c>
      <c r="D252" s="507">
        <v>2.0</v>
      </c>
      <c r="E252" s="507">
        <v>2.0</v>
      </c>
      <c r="F252" s="509"/>
      <c r="G252" s="509"/>
      <c r="H252" s="509"/>
      <c r="I252" s="516"/>
      <c r="J252" s="417"/>
    </row>
    <row r="253">
      <c r="A253" s="547" t="s">
        <v>390</v>
      </c>
      <c r="B253" s="543" t="s">
        <v>2150</v>
      </c>
      <c r="C253" s="514" t="s">
        <v>2763</v>
      </c>
      <c r="D253" s="500">
        <v>3.0</v>
      </c>
      <c r="E253" s="500">
        <v>3.0</v>
      </c>
      <c r="F253" s="501" t="s">
        <v>2470</v>
      </c>
      <c r="G253" s="502"/>
      <c r="H253" s="502"/>
      <c r="I253" s="503"/>
      <c r="J253" s="504"/>
    </row>
    <row r="254">
      <c r="A254" s="541" t="s">
        <v>390</v>
      </c>
      <c r="B254" s="542" t="s">
        <v>1173</v>
      </c>
      <c r="C254" s="514" t="s">
        <v>2767</v>
      </c>
      <c r="D254" s="507">
        <v>2.0</v>
      </c>
      <c r="E254" s="507">
        <v>2.0</v>
      </c>
      <c r="F254" s="509"/>
      <c r="G254" s="509"/>
      <c r="H254" s="509"/>
      <c r="I254" s="516"/>
      <c r="J254" s="417"/>
    </row>
    <row r="255">
      <c r="A255" s="547" t="s">
        <v>157</v>
      </c>
      <c r="B255" s="543" t="s">
        <v>1809</v>
      </c>
      <c r="C255" s="499" t="s">
        <v>2768</v>
      </c>
      <c r="D255" s="500">
        <v>2.0</v>
      </c>
      <c r="E255" s="500">
        <v>1.0</v>
      </c>
      <c r="F255" s="501"/>
      <c r="G255" s="501"/>
      <c r="H255" s="501"/>
      <c r="I255" s="503"/>
      <c r="J255" s="504"/>
    </row>
    <row r="256">
      <c r="A256" s="541" t="s">
        <v>249</v>
      </c>
      <c r="B256" s="542" t="s">
        <v>389</v>
      </c>
      <c r="C256" s="514" t="s">
        <v>2770</v>
      </c>
      <c r="D256" s="507">
        <v>3.0</v>
      </c>
      <c r="E256" s="507">
        <v>1.0</v>
      </c>
      <c r="F256" s="509"/>
      <c r="G256" s="509"/>
      <c r="H256" s="509"/>
      <c r="I256" s="516"/>
      <c r="J256" s="417"/>
    </row>
    <row r="257">
      <c r="A257" s="547" t="s">
        <v>590</v>
      </c>
      <c r="B257" s="543" t="s">
        <v>2773</v>
      </c>
      <c r="C257" s="548" t="s">
        <v>2774</v>
      </c>
      <c r="D257" s="500">
        <v>1.0</v>
      </c>
      <c r="E257" s="500">
        <v>1.0</v>
      </c>
      <c r="F257" s="502"/>
      <c r="G257" s="502"/>
      <c r="H257" s="502"/>
      <c r="I257" s="503"/>
      <c r="J257" s="504"/>
    </row>
    <row r="258">
      <c r="A258" s="541" t="s">
        <v>2547</v>
      </c>
      <c r="B258" s="542" t="s">
        <v>2390</v>
      </c>
      <c r="C258" s="499" t="s">
        <v>2777</v>
      </c>
      <c r="D258" s="507">
        <v>1.0</v>
      </c>
      <c r="E258" s="507"/>
      <c r="F258" s="508" t="s">
        <v>1027</v>
      </c>
      <c r="G258" s="509"/>
      <c r="H258" s="509"/>
      <c r="I258" s="516"/>
      <c r="J258" s="417"/>
    </row>
    <row r="259">
      <c r="A259" s="547" t="s">
        <v>1792</v>
      </c>
      <c r="B259" s="543" t="s">
        <v>2780</v>
      </c>
      <c r="C259" s="499" t="s">
        <v>2781</v>
      </c>
      <c r="D259" s="500">
        <v>1.0</v>
      </c>
      <c r="E259" s="513"/>
      <c r="F259" s="502"/>
      <c r="G259" s="502"/>
      <c r="H259" s="502"/>
      <c r="I259" s="503"/>
      <c r="J259" s="504"/>
    </row>
    <row r="260">
      <c r="A260" s="541" t="s">
        <v>398</v>
      </c>
      <c r="B260" s="542" t="s">
        <v>2784</v>
      </c>
      <c r="C260" s="479" t="s">
        <v>2619</v>
      </c>
      <c r="D260" s="549"/>
      <c r="E260" s="507">
        <v>1.0</v>
      </c>
      <c r="F260" s="508"/>
      <c r="G260" s="509"/>
      <c r="H260" s="509"/>
      <c r="I260" s="516"/>
      <c r="J260" s="417"/>
    </row>
    <row r="261">
      <c r="A261" s="547" t="s">
        <v>2786</v>
      </c>
      <c r="B261" s="543" t="s">
        <v>2787</v>
      </c>
      <c r="C261" s="499" t="s">
        <v>2788</v>
      </c>
      <c r="D261" s="500"/>
      <c r="E261" s="500">
        <v>1.0</v>
      </c>
      <c r="F261" s="502"/>
      <c r="G261" s="502"/>
      <c r="H261" s="502"/>
      <c r="I261" s="503"/>
      <c r="J261" s="504"/>
    </row>
    <row r="262">
      <c r="A262" s="541" t="s">
        <v>390</v>
      </c>
      <c r="B262" s="542" t="s">
        <v>1578</v>
      </c>
      <c r="C262" s="514" t="s">
        <v>2789</v>
      </c>
      <c r="D262" s="507">
        <v>3.0</v>
      </c>
      <c r="E262" s="507">
        <v>2.0</v>
      </c>
      <c r="F262" s="509"/>
      <c r="G262" s="509"/>
      <c r="H262" s="509"/>
      <c r="I262" s="516"/>
      <c r="J262" s="417"/>
    </row>
    <row r="263" ht="25.5" customHeight="1">
      <c r="A263" s="547" t="s">
        <v>2790</v>
      </c>
      <c r="B263" s="543" t="s">
        <v>2780</v>
      </c>
      <c r="C263" s="510" t="s">
        <v>2791</v>
      </c>
      <c r="D263" s="513"/>
      <c r="E263" s="500">
        <v>2.0</v>
      </c>
      <c r="F263" s="502"/>
      <c r="G263" s="502"/>
      <c r="H263" s="502"/>
      <c r="I263" s="503"/>
      <c r="J263" s="504"/>
    </row>
    <row r="264">
      <c r="A264" s="541" t="s">
        <v>2792</v>
      </c>
      <c r="B264" s="542" t="s">
        <v>2794</v>
      </c>
      <c r="C264" s="510" t="s">
        <v>2791</v>
      </c>
      <c r="D264" s="507">
        <v>2.0</v>
      </c>
      <c r="E264" s="507"/>
      <c r="F264" s="522"/>
      <c r="G264" s="516"/>
      <c r="H264" s="516"/>
      <c r="I264" s="516"/>
      <c r="J264" s="417"/>
    </row>
    <row r="265">
      <c r="A265" s="547" t="s">
        <v>2038</v>
      </c>
      <c r="B265" s="543" t="s">
        <v>2795</v>
      </c>
      <c r="C265" s="510" t="s">
        <v>2796</v>
      </c>
      <c r="D265" s="500">
        <v>1.0</v>
      </c>
      <c r="E265" s="500">
        <v>3.0</v>
      </c>
      <c r="F265" s="521" t="s">
        <v>2797</v>
      </c>
      <c r="G265" s="503"/>
      <c r="H265" s="503"/>
      <c r="I265" s="503"/>
      <c r="J265" s="504"/>
    </row>
    <row r="266">
      <c r="A266" s="541" t="s">
        <v>2038</v>
      </c>
      <c r="B266" s="542" t="s">
        <v>1095</v>
      </c>
      <c r="C266" s="510" t="s">
        <v>2796</v>
      </c>
      <c r="D266" s="507">
        <v>2.0</v>
      </c>
      <c r="E266" s="507">
        <v>4.0</v>
      </c>
      <c r="F266" s="522"/>
      <c r="G266" s="516"/>
      <c r="H266" s="516"/>
      <c r="I266" s="516"/>
      <c r="J266" s="417"/>
    </row>
    <row r="267" ht="92.25" customHeight="1">
      <c r="A267" s="547"/>
      <c r="B267" s="543"/>
      <c r="C267" s="521"/>
      <c r="D267" s="500"/>
      <c r="E267" s="513"/>
      <c r="F267" s="551"/>
      <c r="G267" s="521"/>
      <c r="H267" s="503"/>
      <c r="I267" s="503"/>
      <c r="J267" s="504"/>
    </row>
    <row r="268">
      <c r="A268" s="552" t="s">
        <v>2455</v>
      </c>
      <c r="B268" s="542" t="s">
        <v>784</v>
      </c>
      <c r="C268" s="479" t="s">
        <v>2804</v>
      </c>
      <c r="D268" s="507">
        <v>1.0</v>
      </c>
      <c r="E268" s="507">
        <v>2.0</v>
      </c>
      <c r="F268" s="522"/>
      <c r="G268" s="516"/>
      <c r="H268" s="516"/>
      <c r="I268" s="516"/>
      <c r="J268" s="417"/>
    </row>
    <row r="269">
      <c r="A269" s="547" t="s">
        <v>2688</v>
      </c>
      <c r="B269" s="543" t="s">
        <v>2807</v>
      </c>
      <c r="C269" s="510"/>
      <c r="D269" s="500">
        <v>1.0</v>
      </c>
      <c r="E269" s="500"/>
      <c r="F269" s="503"/>
      <c r="G269" s="503"/>
      <c r="H269" s="503"/>
      <c r="I269" s="503"/>
      <c r="J269" s="504"/>
    </row>
    <row r="270">
      <c r="A270" s="541" t="s">
        <v>389</v>
      </c>
      <c r="B270" s="542" t="s">
        <v>1997</v>
      </c>
      <c r="C270" s="514" t="s">
        <v>2809</v>
      </c>
      <c r="D270" s="507"/>
      <c r="E270" s="507">
        <v>6.0</v>
      </c>
      <c r="F270" s="522" t="s">
        <v>2810</v>
      </c>
      <c r="G270" s="516"/>
      <c r="H270" s="516"/>
      <c r="I270" s="516"/>
      <c r="J270" s="417"/>
    </row>
    <row r="271">
      <c r="A271" s="547" t="s">
        <v>1037</v>
      </c>
      <c r="B271" s="543" t="s">
        <v>389</v>
      </c>
      <c r="C271" s="510"/>
      <c r="D271" s="500">
        <v>3.0</v>
      </c>
      <c r="E271" s="500"/>
      <c r="F271" s="503"/>
      <c r="G271" s="503"/>
      <c r="H271" s="503"/>
      <c r="I271" s="503"/>
      <c r="J271" s="504"/>
    </row>
    <row r="272">
      <c r="A272" s="541" t="s">
        <v>2811</v>
      </c>
      <c r="B272" s="542" t="s">
        <v>1997</v>
      </c>
      <c r="C272" s="514" t="s">
        <v>2812</v>
      </c>
      <c r="D272" s="507"/>
      <c r="E272" s="507">
        <v>1.0</v>
      </c>
      <c r="F272" s="522" t="s">
        <v>2813</v>
      </c>
      <c r="G272" s="516"/>
      <c r="H272" s="516"/>
      <c r="I272" s="516"/>
      <c r="J272" s="417"/>
    </row>
    <row r="273">
      <c r="A273" s="547" t="s">
        <v>613</v>
      </c>
      <c r="B273" s="543" t="s">
        <v>2816</v>
      </c>
      <c r="C273" s="510" t="s">
        <v>2817</v>
      </c>
      <c r="D273" s="513"/>
      <c r="E273" s="500">
        <v>1.0</v>
      </c>
      <c r="F273" s="521" t="s">
        <v>2819</v>
      </c>
      <c r="G273" s="503"/>
      <c r="H273" s="503"/>
      <c r="I273" s="503"/>
      <c r="J273" s="504"/>
    </row>
    <row r="274">
      <c r="A274" s="547" t="s">
        <v>1114</v>
      </c>
      <c r="B274" s="542" t="s">
        <v>2196</v>
      </c>
      <c r="C274" s="479" t="s">
        <v>2820</v>
      </c>
      <c r="D274" s="507">
        <v>1.0</v>
      </c>
      <c r="E274" s="515"/>
      <c r="F274" s="522"/>
      <c r="G274" s="522"/>
      <c r="H274" s="516"/>
      <c r="I274" s="516"/>
      <c r="J274" s="417"/>
    </row>
    <row r="275">
      <c r="A275" s="547" t="s">
        <v>1114</v>
      </c>
      <c r="B275" s="543" t="s">
        <v>2821</v>
      </c>
      <c r="C275" s="521" t="s">
        <v>2820</v>
      </c>
      <c r="D275" s="500">
        <v>1.0</v>
      </c>
      <c r="E275" s="500"/>
      <c r="F275" s="503"/>
      <c r="G275" s="503"/>
      <c r="H275" s="503"/>
      <c r="I275" s="503"/>
      <c r="J275" s="504"/>
    </row>
    <row r="276">
      <c r="A276" s="541" t="s">
        <v>2196</v>
      </c>
      <c r="B276" s="542" t="s">
        <v>2036</v>
      </c>
      <c r="C276" s="479" t="s">
        <v>2820</v>
      </c>
      <c r="D276" s="507">
        <v>1.0</v>
      </c>
      <c r="E276" s="507">
        <v>1.0</v>
      </c>
      <c r="F276" s="522" t="s">
        <v>2825</v>
      </c>
      <c r="G276" s="522"/>
      <c r="H276" s="516"/>
      <c r="I276" s="516"/>
      <c r="J276" s="417"/>
    </row>
    <row r="277">
      <c r="A277" s="547" t="s">
        <v>2755</v>
      </c>
      <c r="B277" s="543" t="s">
        <v>1997</v>
      </c>
      <c r="C277" s="521" t="s">
        <v>2826</v>
      </c>
      <c r="D277" s="500">
        <v>1.0</v>
      </c>
      <c r="E277" s="500">
        <v>4.0</v>
      </c>
      <c r="F277" s="521"/>
      <c r="G277" s="503"/>
      <c r="H277" s="503"/>
      <c r="I277" s="503"/>
      <c r="J277" s="504"/>
    </row>
    <row r="278">
      <c r="A278" s="541" t="s">
        <v>2828</v>
      </c>
      <c r="B278" s="542" t="s">
        <v>2830</v>
      </c>
      <c r="C278" s="401" t="s">
        <v>2831</v>
      </c>
      <c r="D278" s="507">
        <v>1.0</v>
      </c>
      <c r="E278" s="507"/>
      <c r="F278" s="522"/>
      <c r="G278" s="516"/>
      <c r="H278" s="516"/>
      <c r="I278" s="516"/>
      <c r="J278" s="417"/>
    </row>
    <row r="279">
      <c r="A279" s="547" t="s">
        <v>576</v>
      </c>
      <c r="B279" s="543" t="s">
        <v>2547</v>
      </c>
      <c r="C279" s="521" t="s">
        <v>2835</v>
      </c>
      <c r="D279" s="529">
        <v>2.0</v>
      </c>
      <c r="E279" s="500">
        <v>1.0</v>
      </c>
      <c r="F279" s="521"/>
      <c r="G279" s="521"/>
      <c r="H279" s="521"/>
      <c r="I279" s="503"/>
      <c r="J279" s="504"/>
    </row>
    <row r="280">
      <c r="A280" s="541" t="s">
        <v>2837</v>
      </c>
      <c r="B280" s="542" t="s">
        <v>784</v>
      </c>
      <c r="C280" s="479" t="s">
        <v>2820</v>
      </c>
      <c r="D280" s="507">
        <v>1.0</v>
      </c>
      <c r="E280" s="515"/>
      <c r="F280" s="516"/>
      <c r="G280" s="516"/>
      <c r="H280" s="516"/>
      <c r="I280" s="516"/>
      <c r="J280" s="417"/>
    </row>
    <row r="281">
      <c r="A281" s="547" t="s">
        <v>2839</v>
      </c>
      <c r="B281" s="543" t="s">
        <v>2840</v>
      </c>
      <c r="C281" s="521" t="s">
        <v>2841</v>
      </c>
      <c r="D281" s="500"/>
      <c r="E281" s="500"/>
      <c r="F281" s="503"/>
      <c r="G281" s="503"/>
      <c r="H281" s="503"/>
      <c r="I281" s="503"/>
      <c r="J281" s="504"/>
    </row>
    <row r="282">
      <c r="A282" s="541" t="s">
        <v>1173</v>
      </c>
      <c r="B282" s="542" t="s">
        <v>2843</v>
      </c>
      <c r="C282" s="522" t="s">
        <v>2844</v>
      </c>
      <c r="D282" s="515"/>
      <c r="E282" s="515"/>
      <c r="F282" s="522"/>
      <c r="G282" s="522"/>
      <c r="H282" s="522"/>
      <c r="I282" s="516"/>
      <c r="J282" s="417"/>
    </row>
    <row r="283">
      <c r="A283" s="547" t="s">
        <v>576</v>
      </c>
      <c r="B283" s="543" t="s">
        <v>1173</v>
      </c>
      <c r="C283" s="522" t="s">
        <v>2844</v>
      </c>
      <c r="D283" s="500">
        <v>2.0</v>
      </c>
      <c r="E283" s="513"/>
      <c r="F283" s="503"/>
      <c r="G283" s="503"/>
      <c r="H283" s="503"/>
      <c r="I283" s="503"/>
      <c r="J283" s="504"/>
    </row>
    <row r="284">
      <c r="A284" s="553" t="s">
        <v>2843</v>
      </c>
      <c r="B284" s="542" t="s">
        <v>576</v>
      </c>
      <c r="C284" s="522" t="s">
        <v>2844</v>
      </c>
      <c r="D284" s="507">
        <v>1.0</v>
      </c>
      <c r="E284" s="507">
        <v>2.0</v>
      </c>
      <c r="F284" s="522"/>
      <c r="G284" s="522"/>
      <c r="H284" s="516"/>
      <c r="I284" s="516"/>
      <c r="J284" s="417"/>
    </row>
    <row r="285">
      <c r="A285" s="547" t="s">
        <v>2038</v>
      </c>
      <c r="B285" s="458" t="s">
        <v>2843</v>
      </c>
      <c r="C285" s="522" t="s">
        <v>2844</v>
      </c>
      <c r="D285" s="500">
        <v>2.0</v>
      </c>
      <c r="E285" s="500">
        <v>3.0</v>
      </c>
      <c r="F285" s="503"/>
      <c r="G285" s="503"/>
      <c r="H285" s="503"/>
      <c r="I285" s="503"/>
      <c r="J285" s="504"/>
    </row>
    <row r="286">
      <c r="A286" s="541" t="s">
        <v>576</v>
      </c>
      <c r="B286" s="554" t="s">
        <v>348</v>
      </c>
      <c r="C286" s="522" t="s">
        <v>2848</v>
      </c>
      <c r="D286" s="507">
        <v>1.0</v>
      </c>
      <c r="E286" s="507">
        <v>1.0</v>
      </c>
      <c r="F286" s="522"/>
      <c r="G286" s="522"/>
      <c r="H286" s="516"/>
      <c r="I286" s="516"/>
      <c r="J286" s="417"/>
    </row>
    <row r="287">
      <c r="A287" s="547" t="s">
        <v>2365</v>
      </c>
      <c r="B287" s="458" t="s">
        <v>1706</v>
      </c>
      <c r="C287" s="521" t="s">
        <v>2851</v>
      </c>
      <c r="D287" s="500">
        <v>1.0</v>
      </c>
      <c r="E287" s="500"/>
      <c r="F287" s="521"/>
      <c r="G287" s="503"/>
      <c r="H287" s="503"/>
      <c r="I287" s="503"/>
      <c r="J287" s="504"/>
    </row>
    <row r="288">
      <c r="A288" s="541" t="s">
        <v>2853</v>
      </c>
      <c r="B288" s="458" t="s">
        <v>1706</v>
      </c>
      <c r="C288" s="521" t="s">
        <v>2851</v>
      </c>
      <c r="D288" s="507">
        <v>1.0</v>
      </c>
      <c r="E288" s="507">
        <v>1.0</v>
      </c>
      <c r="F288" s="522" t="s">
        <v>2855</v>
      </c>
      <c r="G288" s="522" t="s">
        <v>2856</v>
      </c>
      <c r="H288" s="516"/>
      <c r="I288" s="516"/>
      <c r="J288" s="417"/>
    </row>
    <row r="289">
      <c r="A289" s="547" t="s">
        <v>590</v>
      </c>
      <c r="B289" s="383" t="s">
        <v>249</v>
      </c>
      <c r="C289" s="522" t="s">
        <v>2848</v>
      </c>
      <c r="D289" s="500">
        <v>2.0</v>
      </c>
      <c r="E289" s="500"/>
      <c r="F289" s="521"/>
      <c r="G289" s="521"/>
      <c r="H289" s="503"/>
      <c r="I289" s="503"/>
      <c r="J289" s="504"/>
    </row>
    <row r="290">
      <c r="A290" s="541" t="s">
        <v>1578</v>
      </c>
      <c r="B290" s="431" t="s">
        <v>2859</v>
      </c>
      <c r="C290" s="522" t="s">
        <v>2861</v>
      </c>
      <c r="D290" s="507">
        <v>3.0</v>
      </c>
      <c r="E290" s="507">
        <v>2.0</v>
      </c>
      <c r="F290" s="516"/>
      <c r="G290" s="516"/>
      <c r="H290" s="516"/>
      <c r="I290" s="516"/>
      <c r="J290" s="417"/>
    </row>
    <row r="291">
      <c r="A291" s="547" t="s">
        <v>2862</v>
      </c>
      <c r="B291" s="379"/>
      <c r="C291" s="521" t="s">
        <v>2863</v>
      </c>
      <c r="D291" s="500">
        <v>2.0</v>
      </c>
      <c r="E291" s="500"/>
      <c r="F291" s="503"/>
      <c r="G291" s="503"/>
      <c r="H291" s="503"/>
      <c r="I291" s="503"/>
      <c r="J291" s="504"/>
    </row>
    <row r="292">
      <c r="A292" s="541" t="s">
        <v>2865</v>
      </c>
      <c r="B292" s="542" t="s">
        <v>2866</v>
      </c>
      <c r="C292" s="401" t="s">
        <v>2868</v>
      </c>
      <c r="D292" s="507"/>
      <c r="E292" s="507">
        <v>1.0</v>
      </c>
      <c r="F292" s="522"/>
      <c r="G292" s="516"/>
      <c r="H292" s="516"/>
      <c r="I292" s="516"/>
      <c r="J292" s="417"/>
    </row>
    <row r="293">
      <c r="A293" s="547" t="s">
        <v>1720</v>
      </c>
      <c r="B293" s="543" t="s">
        <v>2869</v>
      </c>
      <c r="C293" s="521" t="s">
        <v>2820</v>
      </c>
      <c r="D293" s="500">
        <v>3.0</v>
      </c>
      <c r="E293" s="500">
        <v>1.0</v>
      </c>
      <c r="F293" s="503"/>
      <c r="G293" s="503"/>
      <c r="H293" s="503"/>
      <c r="I293" s="503"/>
      <c r="J293" s="504"/>
    </row>
    <row r="294">
      <c r="A294" s="541" t="s">
        <v>2871</v>
      </c>
      <c r="B294" s="542" t="s">
        <v>2287</v>
      </c>
      <c r="C294" s="521" t="s">
        <v>2872</v>
      </c>
      <c r="D294" s="507"/>
      <c r="E294" s="507">
        <v>1.0</v>
      </c>
      <c r="F294" s="522"/>
      <c r="G294" s="516"/>
      <c r="H294" s="516"/>
      <c r="I294" s="516"/>
      <c r="J294" s="417"/>
    </row>
    <row r="295">
      <c r="A295" s="555" t="s">
        <v>576</v>
      </c>
      <c r="B295" s="543" t="s">
        <v>590</v>
      </c>
      <c r="C295" s="521" t="s">
        <v>2848</v>
      </c>
      <c r="D295" s="500">
        <v>4.0</v>
      </c>
      <c r="E295" s="513"/>
      <c r="F295" s="521" t="s">
        <v>2875</v>
      </c>
      <c r="G295" s="503"/>
      <c r="H295" s="503"/>
      <c r="I295" s="503"/>
      <c r="J295" s="504"/>
    </row>
    <row r="296">
      <c r="A296" s="541" t="s">
        <v>1705</v>
      </c>
      <c r="B296" s="542" t="s">
        <v>175</v>
      </c>
      <c r="C296" s="522" t="s">
        <v>2876</v>
      </c>
      <c r="D296" s="515"/>
      <c r="E296" s="507"/>
      <c r="F296" s="516"/>
      <c r="G296" s="516"/>
      <c r="H296" s="516"/>
      <c r="I296" s="516"/>
      <c r="J296" s="417"/>
    </row>
    <row r="297">
      <c r="A297" s="541" t="s">
        <v>2871</v>
      </c>
      <c r="B297" s="543" t="s">
        <v>1644</v>
      </c>
      <c r="C297" s="522" t="s">
        <v>2885</v>
      </c>
      <c r="D297" s="500"/>
      <c r="E297" s="500"/>
      <c r="F297" s="521"/>
      <c r="G297" s="521"/>
      <c r="H297" s="521"/>
      <c r="I297" s="503"/>
      <c r="J297" s="504"/>
    </row>
    <row r="298">
      <c r="A298" s="541" t="s">
        <v>2839</v>
      </c>
      <c r="B298" s="542" t="s">
        <v>2887</v>
      </c>
      <c r="C298" s="522" t="s">
        <v>2888</v>
      </c>
      <c r="D298" s="507">
        <v>1.0</v>
      </c>
      <c r="E298" s="507">
        <v>1.0</v>
      </c>
      <c r="F298" s="514" t="s">
        <v>2889</v>
      </c>
      <c r="G298" s="516"/>
      <c r="H298" s="516"/>
      <c r="I298" s="516"/>
      <c r="J298" s="417"/>
    </row>
    <row r="299">
      <c r="A299" s="541" t="s">
        <v>2892</v>
      </c>
      <c r="B299" s="543" t="s">
        <v>500</v>
      </c>
      <c r="C299" s="522"/>
      <c r="D299" s="513"/>
      <c r="E299" s="500"/>
      <c r="F299" s="503"/>
      <c r="G299" s="503"/>
      <c r="H299" s="503"/>
      <c r="I299" s="503"/>
      <c r="J299" s="504"/>
    </row>
    <row r="300">
      <c r="A300" s="541" t="s">
        <v>1705</v>
      </c>
      <c r="B300" s="543" t="s">
        <v>2893</v>
      </c>
      <c r="C300" s="522" t="s">
        <v>2888</v>
      </c>
      <c r="D300" s="500">
        <v>2.0</v>
      </c>
      <c r="E300" s="500">
        <v>1.0</v>
      </c>
      <c r="F300" s="503"/>
      <c r="G300" s="503"/>
      <c r="H300" s="503"/>
      <c r="I300" s="503"/>
      <c r="J300" s="504"/>
    </row>
    <row r="301">
      <c r="A301" s="541" t="s">
        <v>2839</v>
      </c>
      <c r="B301" s="542" t="s">
        <v>1856</v>
      </c>
      <c r="C301" s="522" t="s">
        <v>2848</v>
      </c>
      <c r="D301" s="507"/>
      <c r="E301" s="507">
        <v>1.0</v>
      </c>
      <c r="F301" s="516"/>
      <c r="G301" s="516"/>
      <c r="H301" s="516"/>
      <c r="I301" s="516"/>
      <c r="J301" s="417"/>
    </row>
    <row r="302">
      <c r="A302" s="547" t="s">
        <v>2898</v>
      </c>
      <c r="B302" s="543" t="s">
        <v>2518</v>
      </c>
      <c r="C302" s="521"/>
      <c r="D302" s="500"/>
      <c r="E302" s="513"/>
      <c r="F302" s="503"/>
      <c r="G302" s="503"/>
      <c r="H302" s="503"/>
      <c r="I302" s="503"/>
      <c r="J302" s="504"/>
    </row>
    <row r="303">
      <c r="A303" s="541" t="s">
        <v>437</v>
      </c>
      <c r="B303" s="542" t="s">
        <v>878</v>
      </c>
      <c r="C303" s="522" t="s">
        <v>2900</v>
      </c>
      <c r="D303" s="507">
        <v>1.0</v>
      </c>
      <c r="E303" s="515"/>
      <c r="F303" s="516"/>
      <c r="G303" s="516"/>
      <c r="H303" s="516"/>
      <c r="I303" s="516"/>
      <c r="J303" s="417"/>
    </row>
    <row r="304">
      <c r="A304" s="559" t="s">
        <v>763</v>
      </c>
      <c r="B304" s="543" t="s">
        <v>500</v>
      </c>
      <c r="C304" s="521" t="s">
        <v>2820</v>
      </c>
      <c r="D304" s="507"/>
      <c r="E304" s="515"/>
      <c r="F304" s="516"/>
      <c r="G304" s="516"/>
      <c r="H304" s="516"/>
      <c r="I304" s="516"/>
      <c r="J304" s="417"/>
    </row>
    <row r="305">
      <c r="A305" s="547" t="s">
        <v>1792</v>
      </c>
      <c r="B305" s="543" t="s">
        <v>2905</v>
      </c>
      <c r="C305" s="521" t="s">
        <v>2907</v>
      </c>
      <c r="D305" s="500">
        <v>2.0</v>
      </c>
      <c r="E305" s="500">
        <v>2.0</v>
      </c>
      <c r="F305" s="503"/>
      <c r="G305" s="503"/>
      <c r="H305" s="503"/>
      <c r="I305" s="503"/>
      <c r="J305" s="504"/>
    </row>
    <row r="306">
      <c r="A306" s="541" t="s">
        <v>763</v>
      </c>
      <c r="B306" s="542" t="s">
        <v>2624</v>
      </c>
      <c r="C306" s="521" t="s">
        <v>2820</v>
      </c>
      <c r="D306" s="507"/>
      <c r="E306" s="507">
        <v>1.0</v>
      </c>
      <c r="F306" s="522"/>
      <c r="G306" s="522"/>
      <c r="H306" s="516"/>
      <c r="I306" s="516"/>
      <c r="J306" s="417"/>
    </row>
    <row r="307">
      <c r="A307" s="352" t="s">
        <v>2624</v>
      </c>
      <c r="B307" s="543" t="s">
        <v>500</v>
      </c>
      <c r="C307" s="521" t="s">
        <v>2820</v>
      </c>
      <c r="D307" s="500">
        <v>2.0</v>
      </c>
      <c r="E307" s="513"/>
      <c r="F307" s="521" t="s">
        <v>2911</v>
      </c>
      <c r="G307" s="503"/>
      <c r="H307" s="503"/>
      <c r="I307" s="503"/>
      <c r="J307" s="504"/>
    </row>
    <row r="308">
      <c r="A308" s="559" t="s">
        <v>2843</v>
      </c>
      <c r="B308" s="543" t="s">
        <v>2150</v>
      </c>
      <c r="C308" s="521" t="s">
        <v>2914</v>
      </c>
      <c r="D308" s="507">
        <v>2.0</v>
      </c>
      <c r="E308" s="507">
        <v>1.0</v>
      </c>
      <c r="F308" s="516"/>
      <c r="G308" s="516"/>
      <c r="H308" s="516"/>
      <c r="I308" s="516"/>
      <c r="J308" s="417"/>
    </row>
    <row r="309">
      <c r="A309" s="352" t="s">
        <v>389</v>
      </c>
      <c r="B309" s="543" t="s">
        <v>1857</v>
      </c>
      <c r="C309" s="514" t="s">
        <v>2915</v>
      </c>
      <c r="D309" s="513"/>
      <c r="E309" s="500">
        <v>1.0</v>
      </c>
      <c r="F309" s="503"/>
      <c r="G309" s="503"/>
      <c r="H309" s="503"/>
      <c r="I309" s="503"/>
      <c r="J309" s="504"/>
    </row>
    <row r="310">
      <c r="A310" s="345" t="s">
        <v>2917</v>
      </c>
      <c r="B310" s="560" t="s">
        <v>1856</v>
      </c>
      <c r="C310" s="561" t="s">
        <v>2918</v>
      </c>
      <c r="D310" s="562"/>
      <c r="E310" s="563">
        <v>2.0</v>
      </c>
      <c r="F310" s="564"/>
      <c r="G310" s="564"/>
      <c r="H310" s="564"/>
      <c r="I310" s="564"/>
      <c r="J310" s="565"/>
    </row>
    <row r="311">
      <c r="A311" s="381" t="s">
        <v>2670</v>
      </c>
      <c r="B311" s="566" t="s">
        <v>1330</v>
      </c>
      <c r="C311" s="568" t="s">
        <v>2918</v>
      </c>
      <c r="D311" s="569"/>
      <c r="E311" s="513"/>
      <c r="F311" s="503"/>
      <c r="G311" s="503"/>
      <c r="H311" s="503"/>
      <c r="I311" s="503"/>
      <c r="J311" s="504"/>
    </row>
    <row r="312">
      <c r="A312" s="381" t="s">
        <v>2925</v>
      </c>
      <c r="B312" s="570" t="s">
        <v>1330</v>
      </c>
      <c r="C312" s="568" t="s">
        <v>2918</v>
      </c>
      <c r="D312" s="568"/>
      <c r="E312" s="507"/>
      <c r="F312" s="516"/>
      <c r="G312" s="516"/>
      <c r="H312" s="516"/>
      <c r="I312" s="516"/>
      <c r="J312" s="417"/>
    </row>
    <row r="313">
      <c r="A313" s="381" t="s">
        <v>389</v>
      </c>
      <c r="B313" s="570" t="s">
        <v>2928</v>
      </c>
      <c r="C313" s="572" t="s">
        <v>2929</v>
      </c>
      <c r="D313" s="574">
        <v>1.0</v>
      </c>
      <c r="E313" s="575"/>
      <c r="F313" s="576"/>
      <c r="G313" s="576"/>
      <c r="H313" s="577"/>
      <c r="I313" s="577"/>
      <c r="J313" s="578"/>
    </row>
    <row r="314">
      <c r="A314" s="381" t="s">
        <v>1840</v>
      </c>
      <c r="B314" s="570" t="s">
        <v>2150</v>
      </c>
      <c r="C314" s="568" t="s">
        <v>2934</v>
      </c>
      <c r="D314" s="568">
        <v>3.0</v>
      </c>
      <c r="E314" s="507">
        <v>2.0</v>
      </c>
      <c r="F314" s="522" t="s">
        <v>2936</v>
      </c>
      <c r="G314" s="522" t="s">
        <v>2937</v>
      </c>
      <c r="H314" s="516"/>
      <c r="I314" s="516"/>
      <c r="J314" s="417"/>
    </row>
    <row r="315" ht="24.75" customHeight="1">
      <c r="A315" s="580" t="s">
        <v>1578</v>
      </c>
      <c r="B315" s="581" t="s">
        <v>1766</v>
      </c>
      <c r="C315" s="572" t="s">
        <v>2939</v>
      </c>
      <c r="D315" s="572">
        <v>1.0</v>
      </c>
      <c r="E315" s="582"/>
      <c r="F315" s="583" t="s">
        <v>2940</v>
      </c>
      <c r="G315" s="584"/>
      <c r="H315" s="584"/>
      <c r="I315" s="584"/>
      <c r="J315" s="585"/>
    </row>
    <row r="316">
      <c r="A316" s="580" t="s">
        <v>348</v>
      </c>
      <c r="B316" s="586" t="s">
        <v>1044</v>
      </c>
      <c r="C316" s="572" t="s">
        <v>2943</v>
      </c>
      <c r="D316" s="572">
        <v>2.0</v>
      </c>
      <c r="E316" s="507"/>
      <c r="F316" s="522"/>
      <c r="G316" s="516"/>
      <c r="H316" s="516"/>
      <c r="I316" s="516"/>
      <c r="J316" s="417"/>
    </row>
    <row r="317">
      <c r="A317" s="580" t="s">
        <v>713</v>
      </c>
      <c r="B317" s="586" t="s">
        <v>1044</v>
      </c>
      <c r="C317" s="572" t="s">
        <v>2943</v>
      </c>
      <c r="D317" s="572">
        <v>1.0</v>
      </c>
      <c r="E317" s="500"/>
      <c r="F317" s="521"/>
      <c r="G317" s="503"/>
      <c r="H317" s="503"/>
      <c r="I317" s="503"/>
      <c r="J317" s="504"/>
    </row>
    <row r="318">
      <c r="A318" s="580" t="s">
        <v>2946</v>
      </c>
      <c r="B318" s="586" t="s">
        <v>1330</v>
      </c>
      <c r="C318" s="572" t="s">
        <v>2948</v>
      </c>
      <c r="D318" s="572">
        <v>1.0</v>
      </c>
      <c r="E318" s="507"/>
      <c r="F318" s="516"/>
      <c r="G318" s="516"/>
      <c r="H318" s="516"/>
      <c r="I318" s="516"/>
      <c r="J318" s="417"/>
    </row>
    <row r="319">
      <c r="A319" s="572" t="s">
        <v>1095</v>
      </c>
      <c r="B319" s="586" t="s">
        <v>576</v>
      </c>
      <c r="C319" s="572" t="s">
        <v>2951</v>
      </c>
      <c r="D319" s="569"/>
      <c r="E319" s="500">
        <v>3.0</v>
      </c>
      <c r="F319" s="503"/>
      <c r="G319" s="503"/>
      <c r="H319" s="503"/>
      <c r="I319" s="503"/>
      <c r="J319" s="504"/>
    </row>
    <row r="320">
      <c r="A320" s="580" t="s">
        <v>2386</v>
      </c>
      <c r="B320" s="586" t="s">
        <v>2952</v>
      </c>
      <c r="C320" s="572" t="s">
        <v>2954</v>
      </c>
      <c r="D320" s="572">
        <v>1.0</v>
      </c>
      <c r="E320" s="515"/>
      <c r="F320" s="516"/>
      <c r="G320" s="516"/>
      <c r="H320" s="516"/>
      <c r="I320" s="516"/>
      <c r="J320" s="417"/>
    </row>
    <row r="321">
      <c r="A321" s="580" t="s">
        <v>2688</v>
      </c>
      <c r="B321" s="586" t="s">
        <v>2946</v>
      </c>
      <c r="C321" s="572" t="s">
        <v>2948</v>
      </c>
      <c r="D321" s="572"/>
      <c r="E321" s="500">
        <v>1.0</v>
      </c>
      <c r="F321" s="521" t="s">
        <v>2957</v>
      </c>
      <c r="G321" s="521"/>
      <c r="H321" s="503"/>
      <c r="I321" s="503"/>
      <c r="J321" s="504"/>
    </row>
    <row r="322">
      <c r="A322" s="580" t="s">
        <v>2958</v>
      </c>
      <c r="B322" s="586" t="s">
        <v>2959</v>
      </c>
      <c r="C322" s="572" t="s">
        <v>2960</v>
      </c>
      <c r="D322" s="572">
        <v>1.0</v>
      </c>
      <c r="E322" s="507">
        <v>2.0</v>
      </c>
      <c r="F322" s="516"/>
      <c r="G322" s="516"/>
      <c r="H322" s="516"/>
      <c r="I322" s="516"/>
      <c r="J322" s="417"/>
    </row>
    <row r="323">
      <c r="A323" s="580" t="s">
        <v>1576</v>
      </c>
      <c r="B323" s="470" t="s">
        <v>2281</v>
      </c>
      <c r="C323" s="572" t="s">
        <v>2948</v>
      </c>
      <c r="D323" s="572">
        <v>2.0</v>
      </c>
      <c r="E323" s="500"/>
      <c r="F323" s="521" t="s">
        <v>2963</v>
      </c>
      <c r="G323" s="503"/>
      <c r="H323" s="503"/>
      <c r="I323" s="503"/>
      <c r="J323" s="504"/>
    </row>
    <row r="324">
      <c r="A324" s="580" t="s">
        <v>785</v>
      </c>
      <c r="B324" s="470" t="s">
        <v>820</v>
      </c>
      <c r="C324" s="587" t="s">
        <v>2966</v>
      </c>
      <c r="D324" s="572">
        <v>3.0</v>
      </c>
      <c r="E324" s="507">
        <v>1.0</v>
      </c>
      <c r="F324" s="522" t="s">
        <v>2968</v>
      </c>
      <c r="G324" s="516"/>
      <c r="H324" s="516"/>
      <c r="I324" s="516"/>
      <c r="J324" s="417"/>
    </row>
    <row r="325">
      <c r="A325" s="580" t="s">
        <v>2281</v>
      </c>
      <c r="B325" s="588" t="s">
        <v>820</v>
      </c>
      <c r="C325" s="587" t="s">
        <v>2966</v>
      </c>
      <c r="D325" s="572"/>
      <c r="E325" s="500">
        <v>1.0</v>
      </c>
      <c r="F325" s="503"/>
      <c r="G325" s="503"/>
      <c r="H325" s="503"/>
      <c r="I325" s="503"/>
      <c r="J325" s="504"/>
    </row>
    <row r="326">
      <c r="A326" s="580" t="s">
        <v>785</v>
      </c>
      <c r="B326" s="588" t="s">
        <v>2281</v>
      </c>
      <c r="C326" s="587" t="s">
        <v>2966</v>
      </c>
      <c r="D326" s="572"/>
      <c r="E326" s="507">
        <v>1.0</v>
      </c>
      <c r="F326" s="522"/>
      <c r="G326" s="522"/>
      <c r="H326" s="516"/>
      <c r="I326" s="516"/>
      <c r="J326" s="417"/>
    </row>
    <row r="327">
      <c r="A327" s="580" t="s">
        <v>785</v>
      </c>
      <c r="B327" s="588" t="s">
        <v>389</v>
      </c>
      <c r="C327" s="587" t="s">
        <v>2966</v>
      </c>
      <c r="D327" s="572">
        <v>2.0</v>
      </c>
      <c r="E327" s="500">
        <v>1.0</v>
      </c>
      <c r="F327" s="503"/>
      <c r="G327" s="503"/>
      <c r="H327" s="503"/>
      <c r="I327" s="503"/>
      <c r="J327" s="504"/>
    </row>
    <row r="328">
      <c r="A328" s="580" t="s">
        <v>2970</v>
      </c>
      <c r="B328" s="588" t="s">
        <v>2972</v>
      </c>
      <c r="C328" s="587" t="s">
        <v>2966</v>
      </c>
      <c r="D328" s="572"/>
      <c r="E328" s="507">
        <v>1.0</v>
      </c>
      <c r="F328" s="522"/>
      <c r="G328" s="516"/>
      <c r="H328" s="516"/>
      <c r="I328" s="516"/>
      <c r="J328" s="417"/>
    </row>
    <row r="329">
      <c r="A329" s="580" t="s">
        <v>2973</v>
      </c>
      <c r="B329" s="588" t="s">
        <v>2816</v>
      </c>
      <c r="C329" s="587" t="s">
        <v>2817</v>
      </c>
      <c r="D329" s="569"/>
      <c r="E329" s="500"/>
      <c r="F329" s="521"/>
      <c r="G329" s="521"/>
      <c r="H329" s="503"/>
      <c r="I329" s="503"/>
      <c r="J329" s="504"/>
    </row>
    <row r="330">
      <c r="A330" s="580" t="s">
        <v>1576</v>
      </c>
      <c r="B330" s="383" t="s">
        <v>815</v>
      </c>
      <c r="C330" s="587" t="s">
        <v>2966</v>
      </c>
      <c r="D330" s="569"/>
      <c r="E330" s="507">
        <v>1.0</v>
      </c>
      <c r="F330" s="522" t="s">
        <v>1968</v>
      </c>
      <c r="G330" s="516"/>
      <c r="H330" s="516"/>
      <c r="I330" s="516"/>
      <c r="J330" s="417"/>
    </row>
    <row r="331">
      <c r="A331" s="580" t="s">
        <v>2976</v>
      </c>
      <c r="B331" s="383" t="s">
        <v>646</v>
      </c>
      <c r="C331" s="587" t="s">
        <v>2977</v>
      </c>
      <c r="D331" s="572">
        <v>2.0</v>
      </c>
      <c r="E331" s="500">
        <v>2.0</v>
      </c>
      <c r="F331" s="589" t="s">
        <v>2978</v>
      </c>
      <c r="G331" s="503"/>
      <c r="H331" s="503"/>
      <c r="I331" s="503"/>
      <c r="J331" s="504"/>
    </row>
    <row r="332">
      <c r="A332" s="580" t="s">
        <v>2035</v>
      </c>
      <c r="B332" s="383"/>
      <c r="C332" s="587" t="s">
        <v>2680</v>
      </c>
      <c r="D332" s="572"/>
      <c r="E332" s="507"/>
      <c r="F332" s="522"/>
      <c r="G332" s="516"/>
      <c r="H332" s="516"/>
      <c r="I332" s="516"/>
      <c r="J332" s="417"/>
    </row>
    <row r="333">
      <c r="A333" s="580" t="s">
        <v>2677</v>
      </c>
      <c r="B333" s="383" t="s">
        <v>2670</v>
      </c>
      <c r="C333" s="587" t="s">
        <v>2680</v>
      </c>
      <c r="D333" s="569"/>
      <c r="E333" s="500"/>
      <c r="F333" s="503"/>
      <c r="G333" s="503"/>
      <c r="H333" s="503"/>
      <c r="I333" s="503"/>
      <c r="J333" s="504"/>
    </row>
    <row r="334">
      <c r="A334" s="580"/>
      <c r="B334" s="383" t="s">
        <v>2688</v>
      </c>
      <c r="C334" s="587" t="s">
        <v>2680</v>
      </c>
      <c r="D334" s="572"/>
      <c r="E334" s="515"/>
      <c r="F334" s="516"/>
      <c r="G334" s="516"/>
      <c r="H334" s="516"/>
      <c r="I334" s="516"/>
      <c r="J334" s="417"/>
    </row>
    <row r="335">
      <c r="A335" s="580" t="s">
        <v>1276</v>
      </c>
      <c r="B335" s="383" t="s">
        <v>2987</v>
      </c>
      <c r="C335" s="587" t="s">
        <v>2988</v>
      </c>
      <c r="D335" s="572">
        <v>1.0</v>
      </c>
      <c r="E335" s="513"/>
      <c r="F335" s="521"/>
      <c r="G335" s="503"/>
      <c r="H335" s="503"/>
      <c r="I335" s="503"/>
      <c r="J335" s="504"/>
    </row>
    <row r="336">
      <c r="A336" s="580" t="s">
        <v>2839</v>
      </c>
      <c r="B336" s="383" t="s">
        <v>1445</v>
      </c>
      <c r="C336" s="587" t="s">
        <v>2988</v>
      </c>
      <c r="D336" s="572">
        <v>1.0</v>
      </c>
      <c r="E336" s="513"/>
      <c r="F336" s="521"/>
      <c r="G336" s="503"/>
      <c r="H336" s="503"/>
      <c r="I336" s="503"/>
      <c r="J336" s="504"/>
    </row>
    <row r="337">
      <c r="A337" s="580" t="s">
        <v>81</v>
      </c>
      <c r="B337" s="383" t="s">
        <v>1648</v>
      </c>
      <c r="C337" s="587" t="s">
        <v>2988</v>
      </c>
      <c r="D337" s="572"/>
      <c r="E337" s="507">
        <v>1.0</v>
      </c>
      <c r="F337" s="522"/>
      <c r="G337" s="516"/>
      <c r="H337" s="516"/>
      <c r="I337" s="516"/>
      <c r="J337" s="417"/>
    </row>
    <row r="338">
      <c r="A338" s="580" t="s">
        <v>2036</v>
      </c>
      <c r="B338" s="383" t="s">
        <v>2991</v>
      </c>
      <c r="C338" s="572" t="s">
        <v>2948</v>
      </c>
      <c r="D338" s="572">
        <v>1.0</v>
      </c>
      <c r="E338" s="500">
        <v>1.0</v>
      </c>
      <c r="F338" s="521"/>
      <c r="G338" s="503"/>
      <c r="H338" s="503"/>
      <c r="I338" s="503"/>
      <c r="J338" s="504"/>
    </row>
    <row r="339">
      <c r="A339" s="580" t="s">
        <v>2992</v>
      </c>
      <c r="B339" s="383" t="s">
        <v>2993</v>
      </c>
      <c r="C339" s="572" t="s">
        <v>2994</v>
      </c>
      <c r="D339" s="569"/>
      <c r="E339" s="507"/>
      <c r="F339" s="516"/>
      <c r="G339" s="516"/>
      <c r="H339" s="516"/>
      <c r="I339" s="516"/>
      <c r="J339" s="417"/>
    </row>
    <row r="340">
      <c r="A340" s="378" t="s">
        <v>2995</v>
      </c>
      <c r="B340" s="383" t="s">
        <v>2996</v>
      </c>
      <c r="C340" s="572" t="s">
        <v>2997</v>
      </c>
      <c r="D340" s="572">
        <v>2.0</v>
      </c>
      <c r="E340" s="500"/>
      <c r="F340" s="521"/>
      <c r="G340" s="503"/>
      <c r="H340" s="503"/>
      <c r="I340" s="503"/>
      <c r="J340" s="504"/>
    </row>
    <row r="341">
      <c r="A341" s="378" t="s">
        <v>2670</v>
      </c>
      <c r="B341" s="383" t="s">
        <v>3000</v>
      </c>
      <c r="C341" s="572" t="s">
        <v>3002</v>
      </c>
      <c r="D341" s="569"/>
      <c r="E341" s="515"/>
      <c r="F341" s="522"/>
      <c r="G341" s="522"/>
      <c r="H341" s="516"/>
      <c r="I341" s="516"/>
      <c r="J341" s="417"/>
    </row>
    <row r="342">
      <c r="A342" s="378" t="s">
        <v>2036</v>
      </c>
      <c r="B342" s="383" t="s">
        <v>3003</v>
      </c>
      <c r="C342" s="572" t="s">
        <v>3004</v>
      </c>
      <c r="D342" s="569"/>
      <c r="E342" s="500"/>
      <c r="F342" s="503"/>
      <c r="G342" s="503"/>
      <c r="H342" s="503"/>
      <c r="I342" s="503"/>
      <c r="J342" s="504"/>
    </row>
    <row r="343">
      <c r="A343" s="378" t="s">
        <v>175</v>
      </c>
      <c r="B343" s="383" t="s">
        <v>3006</v>
      </c>
      <c r="C343" s="590" t="s">
        <v>3007</v>
      </c>
      <c r="D343" s="572">
        <v>1.0</v>
      </c>
      <c r="E343" s="563"/>
      <c r="F343" s="564"/>
      <c r="G343" s="564"/>
      <c r="H343" s="564"/>
      <c r="I343" s="564"/>
      <c r="J343" s="565"/>
    </row>
    <row r="344">
      <c r="A344" s="378" t="s">
        <v>763</v>
      </c>
      <c r="B344" s="383" t="s">
        <v>1836</v>
      </c>
      <c r="C344" s="590" t="s">
        <v>3012</v>
      </c>
      <c r="D344" s="572">
        <v>1.0</v>
      </c>
      <c r="E344" s="500">
        <v>1.0</v>
      </c>
      <c r="F344" s="521"/>
      <c r="G344" s="521"/>
      <c r="H344" s="503"/>
      <c r="I344" s="503"/>
      <c r="J344" s="504"/>
    </row>
    <row r="345" ht="35.25" customHeight="1">
      <c r="A345" s="378" t="s">
        <v>3013</v>
      </c>
      <c r="B345" s="383" t="s">
        <v>3014</v>
      </c>
      <c r="C345" s="590" t="s">
        <v>3015</v>
      </c>
      <c r="D345" s="572"/>
      <c r="E345" s="507"/>
      <c r="F345" s="522"/>
      <c r="G345" s="516"/>
      <c r="H345" s="516"/>
      <c r="I345" s="516"/>
      <c r="J345" s="417"/>
    </row>
    <row r="346">
      <c r="A346" s="378" t="s">
        <v>2607</v>
      </c>
      <c r="B346" s="383" t="s">
        <v>1095</v>
      </c>
      <c r="C346" s="590" t="s">
        <v>3017</v>
      </c>
      <c r="D346" s="572">
        <v>2.0</v>
      </c>
      <c r="E346" s="507">
        <v>3.0</v>
      </c>
      <c r="F346" s="522" t="s">
        <v>3018</v>
      </c>
      <c r="G346" s="516"/>
      <c r="H346" s="516"/>
      <c r="I346" s="516"/>
      <c r="J346" s="417"/>
    </row>
    <row r="347">
      <c r="A347" s="378" t="s">
        <v>1633</v>
      </c>
      <c r="B347" s="383" t="s">
        <v>1123</v>
      </c>
      <c r="C347" s="590" t="s">
        <v>3020</v>
      </c>
      <c r="D347" s="572"/>
      <c r="E347" s="513"/>
      <c r="F347" s="503"/>
      <c r="G347" s="503"/>
      <c r="H347" s="503"/>
      <c r="I347" s="503"/>
      <c r="J347" s="504"/>
    </row>
    <row r="348">
      <c r="A348" s="378" t="s">
        <v>3023</v>
      </c>
      <c r="B348" s="383" t="s">
        <v>3024</v>
      </c>
      <c r="C348" s="590" t="s">
        <v>3025</v>
      </c>
      <c r="D348" s="572"/>
      <c r="E348" s="515"/>
      <c r="F348" s="516"/>
      <c r="G348" s="516"/>
      <c r="H348" s="516"/>
      <c r="I348" s="516"/>
      <c r="J348" s="417"/>
    </row>
    <row r="349">
      <c r="A349" s="378" t="s">
        <v>3026</v>
      </c>
      <c r="B349" s="383" t="s">
        <v>2074</v>
      </c>
      <c r="C349" s="590" t="s">
        <v>3027</v>
      </c>
      <c r="D349" s="572"/>
      <c r="E349" s="500"/>
      <c r="F349" s="521"/>
      <c r="G349" s="503"/>
      <c r="H349" s="503"/>
      <c r="I349" s="503"/>
      <c r="J349" s="504"/>
    </row>
    <row r="350">
      <c r="A350" s="378" t="s">
        <v>2607</v>
      </c>
      <c r="B350" s="383" t="s">
        <v>1879</v>
      </c>
      <c r="C350" s="590" t="s">
        <v>3028</v>
      </c>
      <c r="D350" s="572">
        <v>1.0</v>
      </c>
      <c r="E350" s="507">
        <v>1.0</v>
      </c>
      <c r="F350" s="516"/>
      <c r="G350" s="516"/>
      <c r="H350" s="516"/>
      <c r="I350" s="516"/>
      <c r="J350" s="417"/>
    </row>
    <row r="351">
      <c r="A351" s="378" t="s">
        <v>2995</v>
      </c>
      <c r="B351" s="383" t="s">
        <v>3031</v>
      </c>
      <c r="C351" s="590" t="s">
        <v>3032</v>
      </c>
      <c r="D351" s="572">
        <v>1.0</v>
      </c>
      <c r="E351" s="500"/>
      <c r="F351" s="503"/>
      <c r="G351" s="503"/>
      <c r="H351" s="503"/>
      <c r="I351" s="503"/>
      <c r="J351" s="504"/>
    </row>
    <row r="352">
      <c r="A352" s="378" t="s">
        <v>3034</v>
      </c>
      <c r="B352" s="383" t="s">
        <v>3035</v>
      </c>
      <c r="C352" s="590" t="s">
        <v>3036</v>
      </c>
      <c r="D352" s="572"/>
      <c r="E352" s="507"/>
      <c r="F352" s="516"/>
      <c r="G352" s="516"/>
      <c r="H352" s="516"/>
      <c r="I352" s="516"/>
      <c r="J352" s="417"/>
    </row>
    <row r="353">
      <c r="A353" s="378" t="s">
        <v>3037</v>
      </c>
      <c r="B353" s="383" t="s">
        <v>804</v>
      </c>
      <c r="C353" s="590" t="s">
        <v>3039</v>
      </c>
      <c r="D353" s="572"/>
      <c r="E353" s="500"/>
      <c r="F353" s="503"/>
      <c r="G353" s="503"/>
      <c r="H353" s="503"/>
      <c r="I353" s="503"/>
      <c r="J353" s="504"/>
    </row>
    <row r="354">
      <c r="A354" s="378" t="s">
        <v>3041</v>
      </c>
      <c r="B354" s="383" t="s">
        <v>3042</v>
      </c>
      <c r="C354" s="590" t="s">
        <v>3043</v>
      </c>
      <c r="D354" s="572"/>
      <c r="E354" s="507"/>
      <c r="F354" s="522"/>
      <c r="G354" s="516"/>
      <c r="H354" s="516"/>
      <c r="I354" s="516"/>
      <c r="J354" s="417"/>
    </row>
    <row r="355">
      <c r="A355" s="378" t="s">
        <v>3044</v>
      </c>
      <c r="B355" s="383" t="s">
        <v>3045</v>
      </c>
      <c r="C355" s="590" t="s">
        <v>3043</v>
      </c>
      <c r="D355" s="572"/>
      <c r="E355" s="513"/>
      <c r="F355" s="503"/>
      <c r="G355" s="503"/>
      <c r="H355" s="503"/>
      <c r="I355" s="503"/>
      <c r="J355" s="504"/>
    </row>
    <row r="356">
      <c r="A356" s="378" t="s">
        <v>3047</v>
      </c>
      <c r="B356" s="383" t="s">
        <v>3045</v>
      </c>
      <c r="C356" s="590" t="s">
        <v>3043</v>
      </c>
      <c r="D356" s="572"/>
      <c r="E356" s="515"/>
      <c r="F356" s="516"/>
      <c r="G356" s="516"/>
      <c r="H356" s="516"/>
      <c r="I356" s="516"/>
      <c r="J356" s="417"/>
    </row>
    <row r="357">
      <c r="A357" s="378" t="s">
        <v>3047</v>
      </c>
      <c r="B357" s="378" t="s">
        <v>3044</v>
      </c>
      <c r="C357" s="590" t="s">
        <v>3043</v>
      </c>
      <c r="D357" s="572"/>
      <c r="E357" s="500"/>
      <c r="F357" s="503"/>
      <c r="G357" s="503"/>
      <c r="H357" s="503"/>
      <c r="I357" s="503"/>
      <c r="J357" s="504"/>
    </row>
    <row r="358">
      <c r="A358" s="559"/>
      <c r="B358" s="506"/>
      <c r="C358" s="591"/>
      <c r="D358" s="507"/>
      <c r="E358" s="507"/>
      <c r="F358" s="522"/>
      <c r="G358" s="516"/>
      <c r="H358" s="516"/>
      <c r="I358" s="516"/>
      <c r="J358" s="417"/>
    </row>
    <row r="359">
      <c r="A359" s="352"/>
      <c r="B359" s="498"/>
      <c r="C359" s="592"/>
      <c r="D359" s="500"/>
      <c r="E359" s="500"/>
      <c r="F359" s="503"/>
      <c r="G359" s="503"/>
      <c r="H359" s="503"/>
      <c r="I359" s="503"/>
      <c r="J359" s="504"/>
    </row>
    <row r="360">
      <c r="A360" s="559"/>
      <c r="B360" s="506"/>
      <c r="C360" s="561"/>
      <c r="D360" s="507"/>
      <c r="E360" s="507"/>
      <c r="F360" s="516"/>
      <c r="G360" s="516"/>
      <c r="H360" s="516"/>
      <c r="I360" s="516"/>
      <c r="J360" s="417"/>
    </row>
    <row r="361">
      <c r="A361" s="352"/>
      <c r="B361" s="498"/>
      <c r="C361" s="592"/>
      <c r="D361" s="513"/>
      <c r="E361" s="513"/>
      <c r="F361" s="521"/>
      <c r="G361" s="503"/>
      <c r="H361" s="503"/>
      <c r="I361" s="503"/>
      <c r="J361" s="504"/>
    </row>
    <row r="362">
      <c r="A362" s="345"/>
      <c r="B362" s="593"/>
      <c r="C362" s="594"/>
      <c r="D362" s="563"/>
      <c r="E362" s="563"/>
      <c r="F362" s="595"/>
      <c r="G362" s="564"/>
      <c r="H362" s="564"/>
      <c r="I362" s="564"/>
      <c r="J362" s="565"/>
    </row>
    <row r="363">
      <c r="A363" s="352"/>
      <c r="B363" s="498"/>
      <c r="C363" s="592"/>
      <c r="D363" s="500"/>
      <c r="E363" s="500"/>
      <c r="F363" s="521"/>
      <c r="G363" s="503"/>
      <c r="H363" s="503"/>
      <c r="I363" s="503"/>
      <c r="J363" s="504"/>
    </row>
    <row r="364">
      <c r="A364" s="345"/>
      <c r="B364" s="593"/>
      <c r="C364" s="594"/>
      <c r="D364" s="596"/>
      <c r="E364" s="563"/>
      <c r="F364" s="595"/>
      <c r="G364" s="564"/>
      <c r="H364" s="564"/>
      <c r="I364" s="564"/>
      <c r="J364" s="565"/>
    </row>
    <row r="365">
      <c r="A365" s="352"/>
      <c r="B365" s="498"/>
      <c r="C365" s="592"/>
      <c r="D365" s="513"/>
      <c r="E365" s="500"/>
      <c r="F365" s="521"/>
      <c r="G365" s="503"/>
      <c r="H365" s="503"/>
      <c r="I365" s="503"/>
      <c r="J365" s="504"/>
    </row>
    <row r="366">
      <c r="A366" s="345"/>
      <c r="B366" s="593"/>
      <c r="C366" s="594"/>
      <c r="D366" s="596"/>
      <c r="E366" s="563"/>
      <c r="F366" s="595"/>
      <c r="G366" s="597"/>
      <c r="H366" s="350"/>
      <c r="I366" s="350"/>
      <c r="J366" s="565"/>
    </row>
    <row r="367">
      <c r="A367" s="352"/>
      <c r="B367" s="498"/>
      <c r="C367" s="592"/>
      <c r="D367" s="500"/>
      <c r="E367" s="513"/>
      <c r="F367" s="521"/>
      <c r="G367" s="503"/>
      <c r="H367" s="503"/>
      <c r="I367" s="503"/>
      <c r="J367" s="504"/>
    </row>
    <row r="368">
      <c r="A368" s="345"/>
      <c r="B368" s="593"/>
      <c r="C368" s="594"/>
      <c r="D368" s="596"/>
      <c r="E368" s="596"/>
      <c r="F368" s="595"/>
      <c r="G368" s="564"/>
      <c r="H368" s="564"/>
      <c r="I368" s="564"/>
      <c r="J368" s="565"/>
    </row>
    <row r="369">
      <c r="A369" s="352"/>
      <c r="B369" s="498"/>
      <c r="C369" s="592"/>
      <c r="D369" s="513"/>
      <c r="E369" s="513"/>
      <c r="F369" s="521"/>
      <c r="G369" s="503"/>
      <c r="H369" s="503"/>
      <c r="I369" s="503"/>
      <c r="J369" s="504"/>
    </row>
    <row r="370">
      <c r="A370" s="345"/>
      <c r="B370" s="593"/>
      <c r="C370" s="594"/>
      <c r="D370" s="596"/>
      <c r="E370" s="563"/>
      <c r="F370" s="595"/>
      <c r="G370" s="564"/>
      <c r="H370" s="564"/>
      <c r="I370" s="564"/>
      <c r="J370" s="565"/>
    </row>
    <row r="371">
      <c r="A371" s="352"/>
      <c r="B371" s="498"/>
      <c r="C371" s="592"/>
      <c r="D371" s="513"/>
      <c r="E371" s="500"/>
      <c r="F371" s="521"/>
      <c r="G371" s="503"/>
      <c r="H371" s="503"/>
      <c r="I371" s="503"/>
      <c r="J371" s="504"/>
    </row>
    <row r="372">
      <c r="A372" s="345"/>
      <c r="B372" s="593"/>
      <c r="C372" s="594"/>
      <c r="D372" s="596"/>
      <c r="E372" s="596"/>
      <c r="F372" s="595"/>
      <c r="G372" s="564"/>
      <c r="H372" s="564"/>
      <c r="I372" s="564"/>
      <c r="J372" s="565"/>
    </row>
    <row r="373">
      <c r="A373" s="352"/>
      <c r="B373" s="498"/>
      <c r="C373" s="592"/>
      <c r="D373" s="500"/>
      <c r="E373" s="513"/>
      <c r="F373" s="521"/>
      <c r="G373" s="503"/>
      <c r="H373" s="503"/>
      <c r="I373" s="503"/>
      <c r="J373" s="504"/>
    </row>
    <row r="374">
      <c r="A374" s="345"/>
      <c r="B374" s="593"/>
      <c r="C374" s="594"/>
      <c r="D374" s="563"/>
      <c r="E374" s="563"/>
      <c r="F374" s="595"/>
      <c r="G374" s="564"/>
      <c r="H374" s="564"/>
      <c r="I374" s="564"/>
      <c r="J374" s="565"/>
    </row>
    <row r="375">
      <c r="A375" s="352"/>
      <c r="B375" s="498"/>
      <c r="C375" s="592"/>
      <c r="D375" s="500"/>
      <c r="E375" s="500"/>
      <c r="F375" s="521"/>
      <c r="G375" s="503"/>
      <c r="H375" s="503"/>
      <c r="I375" s="503"/>
      <c r="J375" s="504"/>
    </row>
    <row r="376">
      <c r="A376" s="559"/>
      <c r="B376" s="506"/>
      <c r="C376" s="561"/>
      <c r="D376" s="515"/>
      <c r="E376" s="507"/>
      <c r="F376" s="516"/>
      <c r="G376" s="516"/>
      <c r="H376" s="516"/>
      <c r="I376" s="516"/>
      <c r="J376" s="417"/>
    </row>
    <row r="377">
      <c r="A377" s="352"/>
      <c r="B377" s="498"/>
      <c r="C377" s="592"/>
      <c r="D377" s="500"/>
      <c r="E377" s="500"/>
      <c r="F377" s="503"/>
      <c r="G377" s="503"/>
      <c r="H377" s="503"/>
      <c r="I377" s="503"/>
      <c r="J377" s="504"/>
    </row>
    <row r="378">
      <c r="A378" s="345"/>
      <c r="B378" s="506"/>
      <c r="C378" s="561"/>
      <c r="D378" s="507"/>
      <c r="E378" s="507"/>
      <c r="F378" s="516"/>
      <c r="G378" s="516"/>
      <c r="H378" s="516"/>
      <c r="I378" s="516"/>
      <c r="J378" s="417"/>
    </row>
    <row r="379">
      <c r="A379" s="352"/>
      <c r="B379" s="498"/>
      <c r="C379" s="592"/>
      <c r="D379" s="500"/>
      <c r="E379" s="513"/>
      <c r="F379" s="521"/>
      <c r="G379" s="503"/>
      <c r="H379" s="503"/>
      <c r="I379" s="503"/>
      <c r="J379" s="504"/>
    </row>
    <row r="380">
      <c r="A380" s="559"/>
      <c r="B380" s="506"/>
      <c r="C380" s="514"/>
      <c r="D380" s="507"/>
      <c r="E380" s="507"/>
      <c r="F380" s="522"/>
      <c r="G380" s="516"/>
      <c r="H380" s="516"/>
      <c r="I380" s="516"/>
      <c r="J380" s="417"/>
    </row>
    <row r="381">
      <c r="A381" s="547"/>
      <c r="B381" s="498"/>
      <c r="C381" s="510"/>
      <c r="D381" s="500"/>
      <c r="E381" s="500"/>
      <c r="F381" s="521"/>
      <c r="G381" s="521"/>
      <c r="H381" s="503"/>
      <c r="I381" s="503"/>
      <c r="J381" s="504"/>
    </row>
    <row r="382">
      <c r="A382" s="541"/>
      <c r="B382" s="506"/>
      <c r="C382" s="514"/>
      <c r="D382" s="507"/>
      <c r="E382" s="507"/>
      <c r="F382" s="516"/>
      <c r="G382" s="516"/>
      <c r="H382" s="516"/>
      <c r="I382" s="516"/>
      <c r="J382" s="417"/>
    </row>
    <row r="383">
      <c r="A383" s="547"/>
      <c r="B383" s="498"/>
      <c r="C383" s="510"/>
      <c r="D383" s="513"/>
      <c r="E383" s="500"/>
      <c r="F383" s="521"/>
      <c r="G383" s="503"/>
      <c r="H383" s="503"/>
      <c r="I383" s="503"/>
      <c r="J383" s="504"/>
    </row>
    <row r="384">
      <c r="A384" s="541"/>
      <c r="B384" s="506"/>
      <c r="C384" s="514"/>
      <c r="D384" s="507"/>
      <c r="E384" s="515"/>
      <c r="F384" s="516"/>
      <c r="G384" s="516"/>
      <c r="H384" s="516"/>
      <c r="I384" s="516"/>
      <c r="J384" s="417"/>
    </row>
    <row r="385">
      <c r="A385" s="547"/>
      <c r="B385" s="498"/>
      <c r="C385" s="510"/>
      <c r="D385" s="513"/>
      <c r="E385" s="500"/>
      <c r="F385" s="503"/>
      <c r="G385" s="503"/>
      <c r="H385" s="503"/>
      <c r="I385" s="503"/>
      <c r="J385" s="504"/>
    </row>
    <row r="386">
      <c r="A386" s="541"/>
      <c r="B386" s="506"/>
      <c r="C386" s="514"/>
      <c r="D386" s="515"/>
      <c r="E386" s="515"/>
      <c r="F386" s="522"/>
      <c r="G386" s="516"/>
      <c r="H386" s="516"/>
      <c r="I386" s="516"/>
      <c r="J386" s="417"/>
    </row>
    <row r="387">
      <c r="A387" s="547"/>
      <c r="B387" s="498"/>
      <c r="C387" s="510"/>
      <c r="D387" s="500"/>
      <c r="E387" s="513"/>
      <c r="F387" s="503"/>
      <c r="G387" s="503"/>
      <c r="H387" s="503"/>
      <c r="I387" s="503"/>
      <c r="J387" s="504"/>
    </row>
    <row r="388">
      <c r="A388" s="541"/>
      <c r="B388" s="506"/>
      <c r="C388" s="514"/>
      <c r="D388" s="515"/>
      <c r="E388" s="507"/>
      <c r="F388" s="522"/>
      <c r="G388" s="516"/>
      <c r="H388" s="516"/>
      <c r="I388" s="516"/>
      <c r="J388" s="417"/>
    </row>
    <row r="389">
      <c r="A389" s="547"/>
      <c r="B389" s="598"/>
      <c r="C389" s="510"/>
      <c r="D389" s="513"/>
      <c r="E389" s="500"/>
      <c r="F389" s="521"/>
      <c r="G389" s="521"/>
      <c r="H389" s="503"/>
      <c r="I389" s="503"/>
      <c r="J389" s="504"/>
    </row>
    <row r="390">
      <c r="A390" s="541"/>
      <c r="B390" s="599"/>
      <c r="C390" s="514"/>
      <c r="D390" s="507"/>
      <c r="E390" s="515"/>
      <c r="F390" s="600"/>
      <c r="G390" s="601"/>
      <c r="H390" s="516"/>
      <c r="I390" s="516"/>
      <c r="J390" s="417"/>
    </row>
    <row r="391">
      <c r="A391" s="547"/>
      <c r="B391" s="598"/>
      <c r="C391" s="510"/>
      <c r="D391" s="500"/>
      <c r="E391" s="513"/>
      <c r="F391" s="602"/>
      <c r="G391" s="602"/>
      <c r="H391" s="503"/>
      <c r="I391" s="503"/>
      <c r="J391" s="504"/>
    </row>
    <row r="392">
      <c r="A392" s="541"/>
      <c r="B392" s="599"/>
      <c r="C392" s="514"/>
      <c r="D392" s="507"/>
      <c r="E392" s="507"/>
      <c r="F392" s="522"/>
      <c r="G392" s="516"/>
      <c r="H392" s="516"/>
      <c r="I392" s="516"/>
      <c r="J392" s="417"/>
    </row>
    <row r="393">
      <c r="A393" s="547"/>
      <c r="B393" s="598"/>
      <c r="C393" s="510"/>
      <c r="D393" s="500"/>
      <c r="E393" s="500"/>
      <c r="F393" s="503"/>
      <c r="G393" s="503"/>
      <c r="H393" s="503"/>
      <c r="I393" s="503"/>
      <c r="J393" s="504"/>
    </row>
    <row r="394">
      <c r="A394" s="541"/>
      <c r="B394" s="599"/>
      <c r="C394" s="514"/>
      <c r="D394" s="515"/>
      <c r="E394" s="507"/>
      <c r="F394" s="516"/>
      <c r="G394" s="516"/>
      <c r="H394" s="516"/>
      <c r="I394" s="516"/>
      <c r="J394" s="417"/>
    </row>
    <row r="395">
      <c r="A395" s="547"/>
      <c r="B395" s="603"/>
      <c r="C395" s="510"/>
      <c r="D395" s="500"/>
      <c r="E395" s="500"/>
      <c r="F395" s="521"/>
      <c r="G395" s="521"/>
      <c r="H395" s="521"/>
      <c r="I395" s="521"/>
      <c r="J395" s="504"/>
    </row>
    <row r="396">
      <c r="A396" s="541"/>
      <c r="B396" s="599"/>
      <c r="C396" s="514"/>
      <c r="D396" s="507"/>
      <c r="E396" s="515"/>
      <c r="F396" s="516"/>
      <c r="G396" s="516"/>
      <c r="H396" s="516"/>
      <c r="I396" s="516"/>
      <c r="J396" s="417"/>
    </row>
    <row r="397">
      <c r="A397" s="547"/>
      <c r="B397" s="598"/>
      <c r="C397" s="510"/>
      <c r="D397" s="500"/>
      <c r="E397" s="500"/>
      <c r="F397" s="503"/>
      <c r="G397" s="503"/>
      <c r="H397" s="503"/>
      <c r="I397" s="503"/>
      <c r="J397" s="504"/>
    </row>
    <row r="398">
      <c r="A398" s="541"/>
      <c r="B398" s="599"/>
      <c r="C398" s="514"/>
      <c r="D398" s="507"/>
      <c r="E398" s="507"/>
      <c r="F398" s="516"/>
      <c r="G398" s="516"/>
      <c r="H398" s="516"/>
      <c r="I398" s="516"/>
      <c r="J398" s="417"/>
    </row>
    <row r="399">
      <c r="A399" s="541"/>
      <c r="B399" s="599"/>
      <c r="C399" s="510"/>
      <c r="D399" s="500"/>
      <c r="E399" s="500"/>
      <c r="F399" s="503"/>
      <c r="G399" s="503"/>
      <c r="H399" s="503"/>
      <c r="I399" s="503"/>
      <c r="J399" s="504"/>
    </row>
    <row r="400">
      <c r="A400" s="541"/>
      <c r="B400" s="599"/>
      <c r="C400" s="521"/>
      <c r="D400" s="507"/>
      <c r="E400" s="507"/>
      <c r="F400" s="522"/>
      <c r="G400" s="522"/>
      <c r="H400" s="604"/>
      <c r="I400" s="522"/>
      <c r="J400" s="417"/>
    </row>
    <row r="401">
      <c r="A401" s="547"/>
      <c r="B401" s="598"/>
      <c r="C401" s="510"/>
      <c r="D401" s="500"/>
      <c r="E401" s="513"/>
      <c r="F401" s="605"/>
      <c r="G401" s="503"/>
      <c r="H401" s="503"/>
      <c r="I401" s="503"/>
      <c r="J401" s="504"/>
    </row>
    <row r="402">
      <c r="A402" s="541"/>
      <c r="B402" s="506"/>
      <c r="C402" s="514"/>
      <c r="D402" s="507"/>
      <c r="E402" s="507"/>
      <c r="F402" s="522"/>
      <c r="G402" s="522"/>
      <c r="H402" s="522"/>
      <c r="I402" s="516"/>
      <c r="J402" s="417"/>
    </row>
    <row r="403">
      <c r="A403" s="547"/>
      <c r="B403" s="498"/>
      <c r="C403" s="510"/>
      <c r="D403" s="500"/>
      <c r="E403" s="513"/>
      <c r="F403" s="503"/>
      <c r="G403" s="503"/>
      <c r="H403" s="503"/>
      <c r="I403" s="503"/>
      <c r="J403" s="504"/>
    </row>
    <row r="404">
      <c r="A404" s="547"/>
      <c r="B404" s="506"/>
      <c r="C404" s="510"/>
      <c r="D404" s="515"/>
      <c r="E404" s="507"/>
      <c r="F404" s="516"/>
      <c r="G404" s="516"/>
      <c r="H404" s="516"/>
      <c r="I404" s="516"/>
      <c r="J404" s="417"/>
    </row>
    <row r="405">
      <c r="A405" s="547"/>
      <c r="B405" s="498"/>
      <c r="C405" s="510"/>
      <c r="D405" s="500"/>
      <c r="E405" s="500"/>
      <c r="F405" s="504"/>
      <c r="G405" s="504"/>
      <c r="H405" s="504"/>
      <c r="I405" s="504"/>
      <c r="J405" s="504"/>
    </row>
    <row r="406">
      <c r="A406" s="541"/>
      <c r="B406" s="506"/>
      <c r="C406" s="522"/>
      <c r="D406" s="507"/>
      <c r="E406" s="515"/>
      <c r="F406" s="606"/>
      <c r="G406" s="607"/>
      <c r="H406" s="608"/>
      <c r="I406" s="417"/>
      <c r="J406" s="417"/>
    </row>
    <row r="407">
      <c r="A407" s="547"/>
      <c r="B407" s="498"/>
      <c r="C407" s="510"/>
      <c r="D407" s="513"/>
      <c r="E407" s="500"/>
      <c r="F407" s="504"/>
      <c r="G407" s="504"/>
      <c r="H407" s="504"/>
      <c r="I407" s="504"/>
      <c r="J407" s="504"/>
    </row>
    <row r="408">
      <c r="A408" s="541"/>
      <c r="B408" s="506"/>
      <c r="C408" s="514"/>
      <c r="D408" s="507"/>
      <c r="E408" s="507"/>
      <c r="F408" s="416"/>
      <c r="G408" s="417"/>
      <c r="H408" s="417"/>
      <c r="I408" s="417"/>
      <c r="J408" s="417"/>
    </row>
    <row r="409">
      <c r="A409" s="547"/>
      <c r="B409" s="498"/>
      <c r="C409" s="510"/>
      <c r="D409" s="513"/>
      <c r="E409" s="500"/>
      <c r="F409" s="504"/>
      <c r="G409" s="504"/>
      <c r="H409" s="504"/>
      <c r="I409" s="504"/>
      <c r="J409" s="504"/>
    </row>
    <row r="410">
      <c r="A410" s="541"/>
      <c r="B410" s="506"/>
      <c r="C410" s="514"/>
      <c r="D410" s="507"/>
      <c r="E410" s="507"/>
      <c r="F410" s="514"/>
      <c r="G410" s="417"/>
      <c r="H410" s="417"/>
      <c r="I410" s="417"/>
      <c r="J410" s="417"/>
    </row>
    <row r="411">
      <c r="A411" s="547"/>
      <c r="B411" s="498"/>
      <c r="C411" s="521"/>
      <c r="D411" s="513"/>
      <c r="E411" s="500"/>
      <c r="F411" s="504"/>
      <c r="G411" s="504"/>
      <c r="H411" s="504"/>
      <c r="I411" s="504"/>
      <c r="J411" s="504"/>
    </row>
    <row r="412">
      <c r="A412" s="541"/>
      <c r="B412" s="506"/>
      <c r="C412" s="521"/>
      <c r="D412" s="507"/>
      <c r="E412" s="507"/>
      <c r="F412" s="416"/>
      <c r="G412" s="417"/>
      <c r="H412" s="417"/>
      <c r="I412" s="417"/>
      <c r="J412" s="417"/>
    </row>
    <row r="413">
      <c r="A413" s="541"/>
      <c r="B413" s="498"/>
      <c r="C413" s="521"/>
      <c r="D413" s="500"/>
      <c r="E413" s="500"/>
      <c r="F413" s="504"/>
      <c r="G413" s="504"/>
      <c r="H413" s="504"/>
      <c r="I413" s="504"/>
      <c r="J413" s="504"/>
    </row>
    <row r="414">
      <c r="A414" s="541"/>
      <c r="B414" s="506"/>
      <c r="C414" s="514"/>
      <c r="D414" s="515"/>
      <c r="E414" s="515"/>
      <c r="F414" s="417"/>
      <c r="G414" s="417"/>
      <c r="H414" s="417"/>
      <c r="I414" s="417"/>
      <c r="J414" s="417"/>
    </row>
    <row r="415">
      <c r="A415" s="547"/>
      <c r="B415" s="498"/>
      <c r="C415" s="499"/>
      <c r="D415" s="500"/>
      <c r="E415" s="500"/>
      <c r="F415" s="504"/>
      <c r="G415" s="504"/>
      <c r="H415" s="504"/>
      <c r="I415" s="504"/>
      <c r="J415" s="504"/>
    </row>
    <row r="416">
      <c r="A416" s="541"/>
      <c r="B416" s="506"/>
      <c r="C416" s="416"/>
      <c r="D416" s="507"/>
      <c r="E416" s="507"/>
      <c r="F416" s="416"/>
      <c r="G416" s="417"/>
      <c r="H416" s="417"/>
      <c r="I416" s="417"/>
      <c r="J416" s="417"/>
    </row>
    <row r="417" ht="13.5" customHeight="1">
      <c r="A417" s="547"/>
      <c r="B417" s="498"/>
      <c r="C417" s="499"/>
      <c r="D417" s="513"/>
      <c r="E417" s="500"/>
      <c r="F417" s="504"/>
      <c r="G417" s="504"/>
      <c r="H417" s="504"/>
      <c r="I417" s="504"/>
      <c r="J417" s="504"/>
    </row>
    <row r="418" ht="78.0" customHeight="1">
      <c r="A418" s="541"/>
      <c r="B418" s="506"/>
      <c r="C418" s="609"/>
      <c r="D418" s="515"/>
      <c r="E418" s="515"/>
      <c r="F418" s="522"/>
      <c r="G418" s="610"/>
      <c r="I418" s="417"/>
      <c r="J418" s="417"/>
    </row>
    <row r="419">
      <c r="A419" s="547"/>
      <c r="B419" s="498"/>
      <c r="C419" s="611"/>
      <c r="D419" s="513"/>
      <c r="E419" s="500"/>
      <c r="F419" s="504"/>
      <c r="G419" s="613"/>
      <c r="H419" s="504"/>
      <c r="I419" s="504"/>
      <c r="J419" s="504"/>
    </row>
    <row r="420">
      <c r="A420" s="541"/>
      <c r="B420" s="506"/>
      <c r="C420" s="609"/>
      <c r="D420" s="507"/>
      <c r="E420" s="507"/>
      <c r="F420" s="417"/>
      <c r="G420" s="417"/>
      <c r="H420" s="417"/>
      <c r="I420" s="417"/>
      <c r="J420" s="417"/>
    </row>
    <row r="421">
      <c r="A421" s="547"/>
      <c r="B421" s="498"/>
      <c r="C421" s="611"/>
      <c r="D421" s="500"/>
      <c r="E421" s="500"/>
      <c r="F421" s="504"/>
      <c r="G421" s="504"/>
      <c r="H421" s="504"/>
      <c r="I421" s="504"/>
      <c r="J421" s="504"/>
    </row>
    <row r="422">
      <c r="A422" s="541"/>
      <c r="B422" s="506"/>
      <c r="C422" s="522"/>
      <c r="D422" s="507"/>
      <c r="E422" s="507"/>
      <c r="F422" s="514"/>
      <c r="G422" s="417"/>
      <c r="H422" s="417"/>
      <c r="I422" s="417"/>
      <c r="J422" s="417"/>
    </row>
    <row r="423">
      <c r="A423" s="547"/>
      <c r="B423" s="498"/>
      <c r="C423" s="614"/>
      <c r="D423" s="500"/>
      <c r="E423" s="500"/>
      <c r="F423" s="510"/>
      <c r="G423" s="504"/>
      <c r="H423" s="504"/>
      <c r="I423" s="504"/>
      <c r="J423" s="504"/>
    </row>
    <row r="424">
      <c r="A424" s="541"/>
      <c r="B424" s="506"/>
      <c r="C424" s="609"/>
      <c r="D424" s="507"/>
      <c r="E424" s="507"/>
      <c r="F424" s="615"/>
      <c r="G424" s="417"/>
      <c r="H424" s="417"/>
      <c r="I424" s="417"/>
      <c r="J424" s="417"/>
    </row>
    <row r="425">
      <c r="A425" s="541"/>
      <c r="B425" s="506"/>
      <c r="C425" s="609"/>
      <c r="D425" s="507"/>
      <c r="E425" s="515"/>
      <c r="F425" s="514"/>
      <c r="G425" s="417"/>
      <c r="H425" s="417"/>
      <c r="I425" s="417"/>
      <c r="J425" s="417"/>
    </row>
    <row r="426">
      <c r="A426" s="541"/>
      <c r="B426" s="506"/>
      <c r="C426" s="522"/>
      <c r="D426" s="515"/>
      <c r="E426" s="507"/>
      <c r="F426" s="615"/>
      <c r="G426" s="417"/>
      <c r="H426" s="417"/>
      <c r="I426" s="417"/>
      <c r="J426" s="417"/>
    </row>
    <row r="427">
      <c r="A427" s="547"/>
      <c r="B427" s="498"/>
      <c r="C427" s="616"/>
      <c r="D427" s="500"/>
      <c r="E427" s="500"/>
      <c r="F427" s="617"/>
      <c r="G427" s="504"/>
      <c r="H427" s="504"/>
      <c r="I427" s="504"/>
      <c r="J427" s="504"/>
    </row>
    <row r="428">
      <c r="A428" s="541"/>
      <c r="B428" s="506"/>
      <c r="C428" s="522"/>
      <c r="D428" s="515"/>
      <c r="E428" s="507"/>
      <c r="F428" s="615"/>
      <c r="G428" s="417"/>
      <c r="H428" s="417"/>
      <c r="I428" s="417"/>
      <c r="J428" s="417"/>
    </row>
    <row r="429">
      <c r="A429" s="547"/>
      <c r="B429" s="498"/>
      <c r="C429" s="521"/>
      <c r="D429" s="513"/>
      <c r="E429" s="500"/>
      <c r="F429" s="617"/>
      <c r="G429" s="504"/>
      <c r="H429" s="504"/>
      <c r="I429" s="504"/>
      <c r="J429" s="504"/>
    </row>
    <row r="430">
      <c r="A430" s="552"/>
      <c r="B430" s="618"/>
      <c r="C430" s="516"/>
      <c r="D430" s="507"/>
      <c r="E430" s="515"/>
      <c r="F430" s="514"/>
      <c r="G430" s="416"/>
      <c r="H430" s="417"/>
      <c r="I430" s="417"/>
      <c r="J430" s="417"/>
    </row>
    <row r="431">
      <c r="A431" s="547"/>
      <c r="B431" s="498"/>
      <c r="C431" s="521"/>
      <c r="D431" s="500"/>
      <c r="E431" s="500"/>
      <c r="F431" s="617"/>
      <c r="G431" s="504"/>
      <c r="H431" s="504"/>
      <c r="I431" s="504"/>
      <c r="J431" s="504"/>
    </row>
    <row r="432">
      <c r="A432" s="541"/>
      <c r="B432" s="506"/>
      <c r="C432" s="522"/>
      <c r="D432" s="515"/>
      <c r="E432" s="507"/>
      <c r="F432" s="615"/>
      <c r="G432" s="417"/>
      <c r="H432" s="417"/>
      <c r="I432" s="417"/>
      <c r="J432" s="417"/>
    </row>
    <row r="433">
      <c r="A433" s="547"/>
      <c r="B433" s="498"/>
      <c r="C433" s="521"/>
      <c r="D433" s="500"/>
      <c r="E433" s="513"/>
      <c r="F433" s="510"/>
      <c r="G433" s="504"/>
      <c r="H433" s="504"/>
      <c r="I433" s="504"/>
      <c r="J433" s="504"/>
    </row>
    <row r="434" ht="30.0" customHeight="1">
      <c r="A434" s="541"/>
      <c r="B434" s="506"/>
      <c r="C434" s="609"/>
      <c r="D434" s="507"/>
      <c r="E434" s="515"/>
      <c r="F434" s="615"/>
      <c r="G434" s="417"/>
      <c r="H434" s="417"/>
      <c r="I434" s="417"/>
      <c r="J434" s="417"/>
    </row>
    <row r="435" ht="27.0" customHeight="1">
      <c r="A435" s="547"/>
      <c r="B435" s="498"/>
      <c r="C435" s="611"/>
      <c r="D435" s="500"/>
      <c r="E435" s="513"/>
      <c r="F435" s="617"/>
      <c r="G435" s="504"/>
      <c r="H435" s="504"/>
      <c r="I435" s="504"/>
      <c r="J435" s="504"/>
    </row>
    <row r="436">
      <c r="A436" s="541"/>
      <c r="B436" s="506"/>
      <c r="C436" s="522"/>
      <c r="D436" s="507"/>
      <c r="E436" s="515"/>
      <c r="F436" s="417"/>
      <c r="G436" s="417"/>
      <c r="H436" s="417"/>
      <c r="I436" s="417"/>
      <c r="J436" s="417"/>
    </row>
    <row r="437">
      <c r="A437" s="547"/>
      <c r="B437" s="498"/>
      <c r="C437" s="611"/>
      <c r="D437" s="513"/>
      <c r="E437" s="513"/>
      <c r="F437" s="504"/>
      <c r="G437" s="504"/>
      <c r="H437" s="504"/>
      <c r="I437" s="504"/>
      <c r="J437" s="504"/>
    </row>
    <row r="438">
      <c r="A438" s="541"/>
      <c r="B438" s="542"/>
      <c r="C438" s="416"/>
      <c r="D438" s="507"/>
      <c r="E438" s="507"/>
      <c r="F438" s="417"/>
      <c r="G438" s="417"/>
      <c r="H438" s="417"/>
      <c r="I438" s="417"/>
      <c r="J438" s="417"/>
    </row>
    <row r="439">
      <c r="A439" s="547"/>
      <c r="B439" s="498"/>
      <c r="C439" s="510"/>
      <c r="D439" s="513"/>
      <c r="E439" s="500"/>
      <c r="F439" s="510"/>
      <c r="G439" s="504"/>
      <c r="H439" s="504"/>
      <c r="I439" s="504"/>
      <c r="J439" s="504"/>
    </row>
    <row r="440">
      <c r="A440" s="541"/>
      <c r="B440" s="506"/>
      <c r="C440" s="514"/>
      <c r="D440" s="507"/>
      <c r="E440" s="515"/>
      <c r="F440" s="417"/>
      <c r="G440" s="417"/>
      <c r="H440" s="417"/>
      <c r="I440" s="417"/>
      <c r="J440" s="417"/>
    </row>
    <row r="441">
      <c r="A441" s="547"/>
      <c r="B441" s="498"/>
      <c r="C441" s="499"/>
      <c r="D441" s="500"/>
      <c r="E441" s="513"/>
      <c r="F441" s="504"/>
      <c r="G441" s="504"/>
      <c r="H441" s="504"/>
      <c r="I441" s="504"/>
      <c r="J441" s="504"/>
    </row>
    <row r="442">
      <c r="A442" s="541"/>
      <c r="B442" s="506"/>
      <c r="C442" s="416"/>
      <c r="D442" s="515"/>
      <c r="E442" s="507"/>
      <c r="F442" s="416"/>
      <c r="G442" s="417"/>
      <c r="H442" s="417"/>
      <c r="I442" s="417"/>
      <c r="J442" s="417"/>
    </row>
    <row r="443">
      <c r="A443" s="555"/>
      <c r="B443" s="498"/>
      <c r="C443" s="510"/>
      <c r="D443" s="500"/>
      <c r="E443" s="500"/>
      <c r="F443" s="510"/>
      <c r="G443" s="504"/>
      <c r="H443" s="504"/>
      <c r="I443" s="504"/>
      <c r="J443" s="504"/>
    </row>
    <row r="444">
      <c r="A444" s="541"/>
      <c r="B444" s="506"/>
      <c r="C444" s="514"/>
      <c r="D444" s="515"/>
      <c r="E444" s="515"/>
      <c r="F444" s="417"/>
      <c r="G444" s="417"/>
      <c r="H444" s="417"/>
      <c r="I444" s="417"/>
      <c r="J444" s="417"/>
    </row>
    <row r="445">
      <c r="A445" s="545"/>
      <c r="B445" s="498"/>
      <c r="C445" s="510"/>
      <c r="D445" s="513"/>
      <c r="E445" s="513"/>
      <c r="F445" s="504"/>
      <c r="G445" s="504"/>
      <c r="H445" s="504"/>
      <c r="I445" s="504"/>
      <c r="J445" s="504"/>
    </row>
    <row r="446">
      <c r="A446" s="541"/>
      <c r="B446" s="506"/>
      <c r="C446" s="514"/>
      <c r="D446" s="515"/>
      <c r="E446" s="507"/>
      <c r="F446" s="416"/>
      <c r="G446" s="417"/>
      <c r="H446" s="417"/>
      <c r="I446" s="417"/>
      <c r="J446" s="417"/>
    </row>
    <row r="447">
      <c r="A447" s="547"/>
      <c r="B447" s="498"/>
      <c r="C447" s="510"/>
      <c r="D447" s="513"/>
      <c r="E447" s="500"/>
      <c r="F447" s="499"/>
      <c r="G447" s="504"/>
      <c r="H447" s="504"/>
      <c r="I447" s="504"/>
      <c r="J447" s="504"/>
    </row>
    <row r="448">
      <c r="A448" s="541"/>
      <c r="B448" s="506"/>
      <c r="C448" s="514"/>
      <c r="D448" s="515"/>
      <c r="E448" s="507"/>
      <c r="F448" s="416"/>
      <c r="G448" s="417"/>
      <c r="H448" s="417"/>
      <c r="I448" s="417"/>
      <c r="J448" s="417"/>
    </row>
    <row r="449">
      <c r="A449" s="547"/>
      <c r="B449" s="498"/>
      <c r="C449" s="510"/>
      <c r="D449" s="513"/>
      <c r="E449" s="500"/>
      <c r="F449" s="499"/>
      <c r="G449" s="504"/>
      <c r="H449" s="504"/>
      <c r="I449" s="504"/>
      <c r="J449" s="504"/>
    </row>
    <row r="450">
      <c r="A450" s="541"/>
      <c r="B450" s="506"/>
      <c r="C450" s="514"/>
      <c r="D450" s="515"/>
      <c r="E450" s="507"/>
      <c r="F450" s="417"/>
      <c r="G450" s="417"/>
      <c r="H450" s="417"/>
      <c r="I450" s="417"/>
      <c r="J450" s="417"/>
    </row>
    <row r="451" ht="75.0" customHeight="1">
      <c r="A451" s="547"/>
      <c r="B451" s="498"/>
      <c r="C451" s="510"/>
      <c r="D451" s="513"/>
      <c r="E451" s="500"/>
      <c r="F451" s="620"/>
      <c r="G451" s="621"/>
      <c r="H451" s="504"/>
      <c r="I451" s="504"/>
      <c r="J451" s="504"/>
    </row>
    <row r="452">
      <c r="A452" s="541"/>
      <c r="B452" s="506"/>
      <c r="C452" s="514"/>
      <c r="D452" s="515"/>
      <c r="E452" s="507"/>
      <c r="F452" s="417"/>
      <c r="G452" s="417"/>
      <c r="H452" s="417"/>
      <c r="I452" s="417"/>
      <c r="J452" s="417"/>
    </row>
    <row r="453">
      <c r="A453" s="547"/>
      <c r="B453" s="543"/>
      <c r="C453" s="510"/>
      <c r="D453" s="500"/>
      <c r="E453" s="500"/>
      <c r="F453" s="504"/>
      <c r="G453" s="504"/>
      <c r="H453" s="504"/>
      <c r="I453" s="504"/>
      <c r="J453" s="504"/>
    </row>
    <row r="454">
      <c r="A454" s="541"/>
      <c r="B454" s="542"/>
      <c r="C454" s="514"/>
      <c r="D454" s="515"/>
      <c r="E454" s="507"/>
      <c r="F454" s="417"/>
      <c r="G454" s="417"/>
      <c r="H454" s="417"/>
      <c r="I454" s="417"/>
      <c r="J454" s="417"/>
    </row>
    <row r="455">
      <c r="A455" s="352"/>
      <c r="B455" s="498"/>
      <c r="C455" s="592"/>
      <c r="D455" s="500"/>
      <c r="E455" s="513"/>
      <c r="F455" s="504"/>
      <c r="G455" s="504"/>
      <c r="H455" s="504"/>
      <c r="I455" s="504"/>
      <c r="J455" s="504"/>
    </row>
    <row r="456">
      <c r="A456" s="345"/>
      <c r="B456" s="593"/>
      <c r="C456" s="594"/>
      <c r="D456" s="515"/>
      <c r="E456" s="515"/>
      <c r="F456" s="417"/>
      <c r="G456" s="417"/>
      <c r="H456" s="417"/>
      <c r="I456" s="417"/>
      <c r="J456" s="417"/>
    </row>
    <row r="457">
      <c r="A457" s="352"/>
      <c r="B457" s="498"/>
      <c r="C457" s="592"/>
      <c r="D457" s="500"/>
      <c r="E457" s="513"/>
      <c r="F457" s="504"/>
      <c r="G457" s="504"/>
      <c r="H457" s="504"/>
      <c r="I457" s="504"/>
      <c r="J457" s="504"/>
    </row>
    <row r="458">
      <c r="A458" s="345"/>
      <c r="B458" s="593"/>
      <c r="C458" s="594"/>
      <c r="D458" s="515"/>
      <c r="E458" s="507"/>
      <c r="F458" s="417"/>
      <c r="G458" s="417"/>
      <c r="H458" s="417"/>
      <c r="I458" s="417"/>
      <c r="J458" s="417"/>
    </row>
    <row r="459">
      <c r="A459" s="352"/>
      <c r="B459" s="498"/>
      <c r="C459" s="592"/>
      <c r="D459" s="513"/>
      <c r="E459" s="500"/>
      <c r="F459" s="504"/>
      <c r="G459" s="504"/>
      <c r="H459" s="504"/>
      <c r="I459" s="504"/>
      <c r="J459" s="504"/>
    </row>
    <row r="460">
      <c r="A460" s="345"/>
      <c r="B460" s="593"/>
      <c r="C460" s="594"/>
      <c r="D460" s="515"/>
      <c r="E460" s="515"/>
      <c r="F460" s="417"/>
      <c r="G460" s="417"/>
      <c r="H460" s="417"/>
      <c r="I460" s="417"/>
      <c r="J460" s="417"/>
    </row>
    <row r="461">
      <c r="A461" s="345"/>
      <c r="B461" s="593"/>
      <c r="C461" s="510"/>
      <c r="D461" s="513"/>
      <c r="E461" s="513"/>
      <c r="F461" s="504"/>
      <c r="G461" s="504"/>
      <c r="H461" s="504"/>
      <c r="I461" s="504"/>
      <c r="J461" s="504"/>
    </row>
    <row r="462">
      <c r="A462" s="541"/>
      <c r="B462" s="542"/>
      <c r="C462" s="514"/>
      <c r="D462" s="515"/>
      <c r="E462" s="515"/>
      <c r="F462" s="417"/>
      <c r="G462" s="417"/>
      <c r="H462" s="417"/>
      <c r="I462" s="417"/>
      <c r="J462" s="417"/>
    </row>
    <row r="463">
      <c r="A463" s="345"/>
      <c r="B463" s="593"/>
      <c r="C463" s="510"/>
      <c r="D463" s="500"/>
      <c r="E463" s="500"/>
      <c r="F463" s="499"/>
      <c r="G463" s="504"/>
      <c r="H463" s="504"/>
      <c r="I463" s="504"/>
      <c r="J463" s="504"/>
    </row>
    <row r="464">
      <c r="A464" s="345"/>
      <c r="B464" s="593"/>
      <c r="C464" s="510"/>
      <c r="D464" s="507"/>
      <c r="E464" s="507"/>
      <c r="F464" s="416"/>
      <c r="G464" s="514"/>
      <c r="H464" s="417"/>
      <c r="I464" s="417"/>
      <c r="J464" s="417"/>
    </row>
    <row r="465">
      <c r="A465" s="547"/>
      <c r="B465" s="543"/>
      <c r="C465" s="510"/>
      <c r="D465" s="513"/>
      <c r="E465" s="500"/>
      <c r="F465" s="504"/>
      <c r="G465" s="504"/>
      <c r="H465" s="504"/>
      <c r="I465" s="504"/>
      <c r="J465" s="504"/>
    </row>
    <row r="466">
      <c r="A466" s="541"/>
      <c r="B466" s="542"/>
      <c r="C466" s="514"/>
      <c r="D466" s="515"/>
      <c r="E466" s="507"/>
      <c r="F466" s="417"/>
      <c r="G466" s="417"/>
      <c r="H466" s="417"/>
      <c r="I466" s="417"/>
      <c r="J466" s="417"/>
    </row>
    <row r="467">
      <c r="A467" s="547"/>
      <c r="B467" s="543"/>
      <c r="C467" s="510"/>
      <c r="D467" s="513"/>
      <c r="E467" s="500"/>
      <c r="F467" s="499"/>
      <c r="G467" s="504"/>
      <c r="H467" s="504"/>
      <c r="I467" s="504"/>
      <c r="J467" s="504"/>
    </row>
    <row r="468">
      <c r="A468" s="505"/>
      <c r="B468" s="542"/>
      <c r="C468" s="514"/>
      <c r="D468" s="507"/>
      <c r="E468" s="515"/>
      <c r="F468" s="417"/>
      <c r="G468" s="417"/>
      <c r="H468" s="417"/>
      <c r="I468" s="417"/>
      <c r="J468" s="417"/>
    </row>
    <row r="469">
      <c r="A469" s="497"/>
      <c r="B469" s="543"/>
      <c r="C469" s="510"/>
      <c r="D469" s="500"/>
      <c r="E469" s="500"/>
      <c r="F469" s="504"/>
      <c r="G469" s="504"/>
      <c r="H469" s="504"/>
      <c r="I469" s="504"/>
      <c r="J469" s="504"/>
    </row>
    <row r="470">
      <c r="A470" s="505"/>
      <c r="B470" s="542"/>
      <c r="C470" s="416"/>
      <c r="D470" s="507"/>
      <c r="E470" s="507"/>
      <c r="F470" s="417"/>
      <c r="G470" s="417"/>
      <c r="H470" s="417"/>
      <c r="I470" s="417"/>
      <c r="J470" s="417"/>
    </row>
    <row r="471">
      <c r="A471" s="497"/>
      <c r="B471" s="543"/>
      <c r="C471" s="499"/>
      <c r="D471" s="500"/>
      <c r="E471" s="513"/>
      <c r="F471" s="504"/>
      <c r="G471" s="504"/>
      <c r="H471" s="504"/>
      <c r="I471" s="504"/>
      <c r="J471" s="504"/>
    </row>
    <row r="472">
      <c r="A472" s="505"/>
      <c r="B472" s="542"/>
      <c r="C472" s="416"/>
      <c r="D472" s="507"/>
      <c r="E472" s="515"/>
      <c r="F472" s="417"/>
      <c r="G472" s="417"/>
      <c r="H472" s="417"/>
      <c r="I472" s="417"/>
      <c r="J472" s="417"/>
    </row>
    <row r="473">
      <c r="A473" s="624"/>
      <c r="B473" s="625"/>
      <c r="C473" s="499"/>
      <c r="D473" s="513"/>
      <c r="E473" s="513"/>
      <c r="F473" s="504"/>
      <c r="G473" s="504"/>
      <c r="H473" s="504"/>
      <c r="I473" s="504"/>
      <c r="J473" s="504"/>
    </row>
    <row r="474">
      <c r="A474" s="505"/>
      <c r="B474" s="542"/>
      <c r="C474" s="416"/>
      <c r="D474" s="515"/>
      <c r="E474" s="515"/>
      <c r="F474" s="417"/>
      <c r="G474" s="417"/>
      <c r="H474" s="417"/>
      <c r="I474" s="417"/>
      <c r="J474" s="417"/>
    </row>
    <row r="475">
      <c r="A475" s="505"/>
      <c r="B475" s="542"/>
      <c r="C475" s="592"/>
      <c r="D475" s="513"/>
      <c r="E475" s="513"/>
      <c r="F475" s="504"/>
      <c r="G475" s="504"/>
      <c r="H475" s="504"/>
      <c r="I475" s="504"/>
      <c r="J475" s="504"/>
    </row>
    <row r="476">
      <c r="A476" s="497"/>
      <c r="B476" s="542"/>
      <c r="C476" s="514"/>
      <c r="D476" s="507"/>
      <c r="E476" s="507"/>
      <c r="F476" s="416"/>
      <c r="G476" s="417"/>
      <c r="H476" s="417"/>
      <c r="I476" s="417"/>
      <c r="J476" s="417"/>
    </row>
    <row r="477">
      <c r="A477" s="541"/>
      <c r="B477" s="506"/>
      <c r="C477" s="510"/>
      <c r="D477" s="513"/>
      <c r="E477" s="500"/>
      <c r="F477" s="499"/>
      <c r="G477" s="504"/>
      <c r="H477" s="504"/>
      <c r="I477" s="504"/>
      <c r="J477" s="504"/>
    </row>
    <row r="478">
      <c r="A478" s="505"/>
      <c r="B478" s="542"/>
      <c r="C478" s="514"/>
      <c r="D478" s="507"/>
      <c r="E478" s="507"/>
      <c r="F478" s="416"/>
      <c r="G478" s="417"/>
      <c r="H478" s="417"/>
      <c r="I478" s="417"/>
      <c r="J478" s="417"/>
    </row>
    <row r="479">
      <c r="A479" s="497"/>
      <c r="B479" s="543"/>
      <c r="C479" s="510"/>
      <c r="D479" s="500"/>
      <c r="E479" s="500"/>
      <c r="F479" s="499"/>
      <c r="G479" s="504"/>
      <c r="H479" s="504"/>
      <c r="I479" s="504"/>
      <c r="J479" s="504"/>
    </row>
    <row r="480">
      <c r="A480" s="505"/>
      <c r="B480" s="542"/>
      <c r="C480" s="514"/>
      <c r="D480" s="507"/>
      <c r="E480" s="507"/>
      <c r="F480" s="416"/>
      <c r="G480" s="417"/>
      <c r="H480" s="417"/>
      <c r="I480" s="417"/>
      <c r="J480" s="417"/>
    </row>
    <row r="481">
      <c r="A481" s="497"/>
      <c r="B481" s="543"/>
      <c r="C481" s="592"/>
      <c r="D481" s="500"/>
      <c r="E481" s="513"/>
      <c r="F481" s="510"/>
      <c r="G481" s="510"/>
      <c r="H481" s="504"/>
      <c r="I481" s="504"/>
      <c r="J481" s="504"/>
    </row>
    <row r="482" ht="108.0" customHeight="1">
      <c r="A482" s="505"/>
      <c r="B482" s="542"/>
      <c r="C482" s="627"/>
      <c r="D482" s="507"/>
      <c r="E482" s="515"/>
      <c r="F482" s="514"/>
      <c r="G482" s="417"/>
      <c r="H482" s="417"/>
      <c r="I482" s="417"/>
      <c r="J482" s="417"/>
    </row>
    <row r="483">
      <c r="A483" s="497"/>
      <c r="B483" s="543"/>
      <c r="C483" s="628"/>
      <c r="D483" s="500"/>
      <c r="E483" s="500"/>
      <c r="F483" s="510"/>
      <c r="G483" s="499"/>
      <c r="H483" s="510"/>
      <c r="I483" s="504"/>
      <c r="J483" s="504"/>
    </row>
    <row r="484">
      <c r="A484" s="505"/>
      <c r="B484" s="542"/>
      <c r="C484" s="514"/>
      <c r="D484" s="515"/>
      <c r="E484" s="507"/>
      <c r="F484" s="416"/>
      <c r="G484" s="416"/>
      <c r="H484" s="417"/>
      <c r="I484" s="417"/>
      <c r="J484" s="417"/>
    </row>
    <row r="485">
      <c r="A485" s="505"/>
      <c r="B485" s="542"/>
      <c r="C485" s="514"/>
      <c r="D485" s="500"/>
      <c r="E485" s="513"/>
      <c r="F485" s="499"/>
      <c r="G485" s="504"/>
      <c r="H485" s="504"/>
      <c r="I485" s="504"/>
      <c r="J485" s="504"/>
    </row>
    <row r="486">
      <c r="A486" s="541"/>
      <c r="B486" s="542"/>
      <c r="C486" s="416"/>
      <c r="D486" s="507"/>
      <c r="E486" s="515"/>
      <c r="F486" s="417"/>
      <c r="G486" s="417"/>
      <c r="H486" s="417"/>
      <c r="I486" s="417"/>
      <c r="J486" s="417"/>
    </row>
    <row r="487">
      <c r="A487" s="547"/>
      <c r="B487" s="543"/>
      <c r="C487" s="499"/>
      <c r="D487" s="500"/>
      <c r="E487" s="513"/>
      <c r="F487" s="504"/>
      <c r="G487" s="504"/>
      <c r="H487" s="504"/>
      <c r="I487" s="504"/>
      <c r="J487" s="504"/>
    </row>
    <row r="488" ht="37.5" customHeight="1">
      <c r="A488" s="541"/>
      <c r="B488" s="542"/>
      <c r="C488" s="479"/>
      <c r="D488" s="507"/>
      <c r="E488" s="507"/>
      <c r="F488" s="417"/>
      <c r="G488" s="417"/>
      <c r="H488" s="417"/>
      <c r="I488" s="417"/>
      <c r="J488" s="417"/>
    </row>
    <row r="489">
      <c r="A489" s="541"/>
      <c r="B489" s="630"/>
      <c r="C489" s="479"/>
      <c r="D489" s="513"/>
      <c r="E489" s="513"/>
      <c r="F489" s="499"/>
      <c r="G489" s="504"/>
      <c r="H489" s="504"/>
      <c r="I489" s="504"/>
      <c r="J489" s="504"/>
    </row>
    <row r="490">
      <c r="A490" s="541"/>
      <c r="B490" s="630"/>
      <c r="C490" s="510"/>
      <c r="D490" s="507"/>
      <c r="E490" s="507"/>
      <c r="F490" s="416"/>
      <c r="G490" s="417"/>
      <c r="H490" s="417"/>
      <c r="I490" s="417"/>
      <c r="J490" s="417"/>
    </row>
    <row r="491">
      <c r="A491" s="519"/>
      <c r="B491" s="520"/>
      <c r="C491" s="510"/>
      <c r="D491" s="500"/>
      <c r="E491" s="500"/>
      <c r="F491" s="499"/>
      <c r="G491" s="504"/>
      <c r="H491" s="504"/>
      <c r="I491" s="504"/>
      <c r="J491" s="504"/>
    </row>
    <row r="492">
      <c r="A492" s="517"/>
      <c r="B492" s="518"/>
      <c r="C492" s="514"/>
      <c r="D492" s="507"/>
      <c r="E492" s="507"/>
      <c r="F492" s="417"/>
      <c r="G492" s="417"/>
      <c r="H492" s="417"/>
      <c r="I492" s="417"/>
      <c r="J492" s="417"/>
    </row>
    <row r="493">
      <c r="A493" s="519"/>
      <c r="B493" s="520"/>
      <c r="C493" s="510"/>
      <c r="D493" s="500"/>
      <c r="E493" s="513"/>
      <c r="F493" s="504"/>
      <c r="G493" s="504"/>
      <c r="H493" s="504"/>
      <c r="I493" s="504"/>
      <c r="J493" s="504"/>
    </row>
    <row r="494">
      <c r="A494" s="517"/>
      <c r="B494" s="518"/>
      <c r="C494" s="514"/>
      <c r="D494" s="507"/>
      <c r="E494" s="507"/>
      <c r="F494" s="417"/>
      <c r="G494" s="417"/>
      <c r="H494" s="417"/>
      <c r="I494" s="417"/>
      <c r="J494" s="417"/>
    </row>
    <row r="495">
      <c r="A495" s="519"/>
      <c r="B495" s="520"/>
      <c r="C495" s="384"/>
      <c r="D495" s="500"/>
      <c r="E495" s="500"/>
      <c r="F495" s="499"/>
      <c r="G495" s="504"/>
      <c r="H495" s="504"/>
      <c r="I495" s="504"/>
      <c r="J495" s="504"/>
    </row>
    <row r="496">
      <c r="A496" s="517"/>
      <c r="B496" s="518"/>
      <c r="C496" s="514"/>
      <c r="D496" s="507"/>
      <c r="E496" s="507"/>
      <c r="F496" s="514"/>
      <c r="G496" s="514"/>
      <c r="H496" s="416"/>
      <c r="I496" s="417"/>
      <c r="J496" s="417"/>
    </row>
    <row r="497">
      <c r="A497" s="519"/>
      <c r="B497" s="520"/>
      <c r="C497" s="510"/>
      <c r="D497" s="500"/>
      <c r="E497" s="500"/>
      <c r="F497" s="510"/>
      <c r="G497" s="510"/>
      <c r="H497" s="504"/>
      <c r="I497" s="504"/>
      <c r="J497" s="504"/>
    </row>
    <row r="498">
      <c r="A498" s="519"/>
      <c r="B498" s="520"/>
      <c r="C498" s="510"/>
      <c r="D498" s="507"/>
      <c r="E498" s="515"/>
      <c r="F498" s="417"/>
      <c r="G498" s="417"/>
      <c r="H498" s="417"/>
      <c r="I498" s="417"/>
      <c r="J498" s="417"/>
    </row>
    <row r="499">
      <c r="A499" s="519"/>
      <c r="B499" s="520"/>
      <c r="C499" s="510"/>
      <c r="D499" s="513"/>
      <c r="E499" s="500"/>
      <c r="F499" s="504"/>
      <c r="G499" s="504"/>
      <c r="H499" s="504"/>
      <c r="I499" s="504"/>
      <c r="J499" s="504"/>
    </row>
    <row r="500">
      <c r="A500" s="517"/>
      <c r="B500" s="518"/>
      <c r="C500" s="514"/>
      <c r="D500" s="507"/>
      <c r="E500" s="515"/>
      <c r="F500" s="417"/>
      <c r="G500" s="417"/>
      <c r="H500" s="417"/>
      <c r="I500" s="417"/>
      <c r="J500" s="417"/>
    </row>
    <row r="501">
      <c r="A501" s="519"/>
      <c r="B501" s="520"/>
      <c r="C501" s="510"/>
      <c r="D501" s="500"/>
      <c r="E501" s="500"/>
      <c r="F501" s="510"/>
      <c r="G501" s="499"/>
      <c r="H501" s="504"/>
      <c r="I501" s="504"/>
      <c r="J501" s="504"/>
    </row>
    <row r="502">
      <c r="A502" s="517"/>
      <c r="B502" s="518"/>
      <c r="C502" s="514"/>
      <c r="E502" s="507"/>
      <c r="F502" s="417"/>
      <c r="G502" s="417"/>
      <c r="H502" s="417"/>
      <c r="I502" s="417"/>
      <c r="J502" s="417"/>
    </row>
    <row r="503">
      <c r="A503" s="519"/>
      <c r="B503" s="520"/>
      <c r="C503" s="510"/>
      <c r="D503" s="500"/>
      <c r="E503" s="513"/>
      <c r="F503" s="504"/>
      <c r="G503" s="504"/>
      <c r="H503" s="504"/>
      <c r="I503" s="504"/>
      <c r="J503" s="504"/>
    </row>
    <row r="504">
      <c r="A504" s="517"/>
      <c r="B504" s="518"/>
      <c r="C504" s="514"/>
      <c r="D504" s="507"/>
      <c r="E504" s="515"/>
      <c r="F504" s="417"/>
      <c r="G504" s="417"/>
      <c r="H504" s="417"/>
      <c r="I504" s="417"/>
      <c r="J504" s="417"/>
    </row>
    <row r="505">
      <c r="A505" s="519"/>
      <c r="B505" s="520"/>
      <c r="C505" s="510"/>
      <c r="D505" s="500"/>
      <c r="E505" s="513"/>
      <c r="F505" s="504"/>
      <c r="G505" s="504"/>
      <c r="H505" s="504"/>
      <c r="I505" s="504"/>
      <c r="J505" s="504"/>
    </row>
    <row r="506">
      <c r="A506" s="517"/>
      <c r="B506" s="518"/>
      <c r="C506" s="514"/>
      <c r="D506" s="515"/>
      <c r="E506" s="515"/>
      <c r="F506" s="416"/>
      <c r="G506" s="417"/>
      <c r="H506" s="417"/>
      <c r="I506" s="417"/>
      <c r="J506" s="417"/>
    </row>
    <row r="507">
      <c r="A507" s="519"/>
      <c r="B507" s="499"/>
      <c r="C507" s="499"/>
      <c r="D507" s="513"/>
      <c r="E507" s="513"/>
      <c r="F507" s="499"/>
      <c r="G507" s="504"/>
      <c r="H507" s="504"/>
      <c r="I507" s="504"/>
      <c r="J507" s="504"/>
    </row>
    <row r="508">
      <c r="A508" s="517"/>
      <c r="B508" s="416"/>
      <c r="C508" s="510"/>
      <c r="D508" s="507"/>
      <c r="E508" s="515"/>
      <c r="F508" s="417"/>
      <c r="G508" s="417"/>
      <c r="H508" s="417"/>
      <c r="I508" s="417"/>
      <c r="J508" s="417"/>
    </row>
    <row r="509" ht="28.5" customHeight="1">
      <c r="A509" s="519"/>
      <c r="B509" s="499"/>
      <c r="C509" s="499"/>
      <c r="D509" s="500"/>
      <c r="E509" s="500"/>
      <c r="F509" s="504"/>
      <c r="G509" s="504"/>
      <c r="H509" s="504"/>
      <c r="I509" s="504"/>
      <c r="J509" s="504"/>
    </row>
    <row r="510">
      <c r="A510" s="416"/>
      <c r="B510" s="416"/>
      <c r="C510" s="256"/>
      <c r="D510" s="515"/>
      <c r="E510" s="515"/>
      <c r="F510" s="417"/>
      <c r="G510" s="417"/>
      <c r="H510" s="417"/>
      <c r="I510" s="417"/>
      <c r="J510" s="417"/>
    </row>
    <row r="511">
      <c r="A511" s="519"/>
      <c r="B511" s="518"/>
      <c r="C511" s="499"/>
      <c r="D511" s="513"/>
      <c r="E511" s="500"/>
      <c r="F511" s="499"/>
      <c r="G511" s="504"/>
      <c r="H511" s="504"/>
      <c r="I511" s="504"/>
      <c r="J511" s="504"/>
    </row>
    <row r="512">
      <c r="A512" s="417"/>
      <c r="B512" s="417"/>
      <c r="C512" s="417"/>
      <c r="D512" s="515"/>
      <c r="E512" s="515"/>
      <c r="F512" s="417"/>
      <c r="G512" s="417"/>
      <c r="H512" s="417"/>
      <c r="I512" s="417"/>
      <c r="J512" s="417"/>
    </row>
    <row r="513">
      <c r="A513" s="504"/>
      <c r="B513" s="504"/>
      <c r="C513" s="504"/>
      <c r="D513" s="513"/>
      <c r="E513" s="513"/>
      <c r="F513" s="504"/>
      <c r="G513" s="504"/>
      <c r="H513" s="504"/>
      <c r="I513" s="504"/>
      <c r="J513" s="504"/>
    </row>
    <row r="514">
      <c r="A514" s="417"/>
      <c r="B514" s="417"/>
      <c r="C514" s="417"/>
      <c r="D514" s="515"/>
      <c r="E514" s="515"/>
      <c r="F514" s="417"/>
      <c r="G514" s="417"/>
      <c r="H514" s="417"/>
      <c r="I514" s="417"/>
      <c r="J514" s="417"/>
    </row>
    <row r="515">
      <c r="A515" s="504"/>
      <c r="B515" s="504"/>
      <c r="C515" s="504"/>
      <c r="D515" s="513"/>
      <c r="E515" s="513"/>
      <c r="F515" s="504"/>
      <c r="G515" s="504"/>
      <c r="H515" s="504"/>
      <c r="I515" s="504"/>
      <c r="J515" s="504"/>
    </row>
    <row r="516">
      <c r="A516" s="417"/>
      <c r="B516" s="417"/>
      <c r="C516" s="417"/>
      <c r="D516" s="515"/>
      <c r="E516" s="515"/>
      <c r="F516" s="417"/>
      <c r="G516" s="417"/>
      <c r="H516" s="417"/>
      <c r="I516" s="417"/>
      <c r="J516" s="417"/>
    </row>
    <row r="517">
      <c r="A517" s="504"/>
      <c r="B517" s="504"/>
      <c r="C517" s="504"/>
      <c r="D517" s="513"/>
      <c r="E517" s="513"/>
      <c r="F517" s="504"/>
      <c r="G517" s="504"/>
      <c r="H517" s="504"/>
      <c r="I517" s="504"/>
      <c r="J517" s="504"/>
    </row>
    <row r="518">
      <c r="A518" s="417"/>
      <c r="B518" s="417"/>
      <c r="C518" s="417"/>
      <c r="D518" s="515"/>
      <c r="E518" s="515"/>
      <c r="F518" s="417"/>
      <c r="G518" s="417"/>
      <c r="H518" s="417"/>
      <c r="I518" s="417"/>
      <c r="J518" s="417"/>
    </row>
    <row r="519">
      <c r="A519" s="504"/>
      <c r="B519" s="504"/>
      <c r="C519" s="504"/>
      <c r="D519" s="513"/>
      <c r="E519" s="513"/>
      <c r="F519" s="504"/>
      <c r="G519" s="504"/>
      <c r="H519" s="504"/>
      <c r="I519" s="504"/>
      <c r="J519" s="504"/>
    </row>
    <row r="520">
      <c r="A520" s="417"/>
      <c r="B520" s="417"/>
      <c r="C520" s="417"/>
      <c r="D520" s="515"/>
      <c r="E520" s="515"/>
      <c r="F520" s="417"/>
      <c r="G520" s="417"/>
      <c r="H520" s="417"/>
      <c r="I520" s="417"/>
      <c r="J520" s="417"/>
    </row>
    <row r="521">
      <c r="A521" s="504"/>
      <c r="B521" s="504"/>
      <c r="C521" s="504"/>
      <c r="D521" s="513"/>
      <c r="E521" s="513"/>
      <c r="F521" s="504"/>
      <c r="G521" s="504"/>
      <c r="H521" s="504"/>
      <c r="I521" s="504"/>
      <c r="J521" s="504"/>
    </row>
    <row r="522">
      <c r="A522" s="417"/>
      <c r="B522" s="417"/>
      <c r="C522" s="417"/>
      <c r="D522" s="515"/>
      <c r="E522" s="515"/>
      <c r="F522" s="417"/>
      <c r="G522" s="417"/>
      <c r="H522" s="417"/>
      <c r="I522" s="417"/>
      <c r="J522" s="417"/>
    </row>
    <row r="523">
      <c r="A523" s="504"/>
      <c r="B523" s="504"/>
      <c r="C523" s="504"/>
      <c r="D523" s="513"/>
      <c r="E523" s="513"/>
      <c r="F523" s="504"/>
      <c r="G523" s="504"/>
      <c r="H523" s="504"/>
      <c r="I523" s="504"/>
      <c r="J523" s="504"/>
    </row>
    <row r="524">
      <c r="A524" s="417"/>
      <c r="B524" s="417"/>
      <c r="C524" s="417"/>
      <c r="D524" s="515"/>
      <c r="E524" s="515"/>
      <c r="F524" s="417"/>
      <c r="G524" s="417"/>
      <c r="H524" s="417"/>
      <c r="I524" s="417"/>
      <c r="J524" s="417"/>
    </row>
    <row r="525">
      <c r="A525" s="504"/>
      <c r="B525" s="504"/>
      <c r="C525" s="504"/>
      <c r="D525" s="513"/>
      <c r="E525" s="513"/>
      <c r="F525" s="504"/>
      <c r="G525" s="504"/>
      <c r="H525" s="504"/>
      <c r="I525" s="504"/>
      <c r="J525" s="504"/>
    </row>
    <row r="526">
      <c r="A526" s="417"/>
      <c r="B526" s="417"/>
      <c r="C526" s="417"/>
      <c r="D526" s="515"/>
      <c r="E526" s="515"/>
      <c r="F526" s="417"/>
      <c r="G526" s="417"/>
      <c r="H526" s="417"/>
      <c r="I526" s="417"/>
      <c r="J526" s="417"/>
    </row>
    <row r="527">
      <c r="A527" s="504"/>
      <c r="B527" s="504"/>
      <c r="C527" s="504"/>
      <c r="D527" s="513"/>
      <c r="E527" s="513"/>
      <c r="F527" s="504"/>
      <c r="G527" s="504"/>
      <c r="H527" s="504"/>
      <c r="I527" s="504"/>
      <c r="J527" s="504"/>
    </row>
    <row r="528">
      <c r="A528" s="417"/>
      <c r="B528" s="417"/>
      <c r="C528" s="417"/>
      <c r="D528" s="515"/>
      <c r="E528" s="515"/>
      <c r="F528" s="417"/>
      <c r="G528" s="417"/>
      <c r="H528" s="417"/>
      <c r="I528" s="417"/>
      <c r="J528" s="417"/>
    </row>
    <row r="529">
      <c r="A529" s="504"/>
      <c r="B529" s="504"/>
      <c r="C529" s="504"/>
      <c r="D529" s="513"/>
      <c r="E529" s="513"/>
      <c r="F529" s="504"/>
      <c r="G529" s="504"/>
      <c r="H529" s="504"/>
      <c r="I529" s="504"/>
      <c r="J529" s="504"/>
    </row>
    <row r="530">
      <c r="A530" s="417"/>
      <c r="B530" s="417"/>
      <c r="C530" s="417"/>
      <c r="D530" s="515"/>
      <c r="E530" s="515"/>
      <c r="F530" s="417"/>
      <c r="G530" s="417"/>
      <c r="H530" s="417"/>
      <c r="I530" s="417"/>
      <c r="J530" s="417"/>
    </row>
    <row r="531">
      <c r="A531" s="417"/>
      <c r="B531" s="417"/>
      <c r="C531" s="417"/>
      <c r="D531" s="515"/>
      <c r="E531" s="515"/>
      <c r="F531" s="417"/>
      <c r="G531" s="417"/>
      <c r="H531" s="417"/>
      <c r="I531" s="417"/>
      <c r="J531" s="417"/>
    </row>
    <row r="532">
      <c r="A532" s="417"/>
      <c r="B532" s="417"/>
      <c r="C532" s="417"/>
      <c r="D532" s="515"/>
      <c r="E532" s="515"/>
      <c r="F532" s="417"/>
      <c r="G532" s="417"/>
      <c r="H532" s="417"/>
      <c r="I532" s="417"/>
      <c r="J532" s="417"/>
    </row>
    <row r="533">
      <c r="A533" s="417"/>
      <c r="B533" s="417"/>
      <c r="C533" s="417"/>
      <c r="D533" s="515"/>
      <c r="E533" s="515"/>
      <c r="F533" s="417"/>
      <c r="G533" s="417"/>
      <c r="H533" s="417"/>
      <c r="I533" s="417"/>
      <c r="J533" s="417"/>
    </row>
    <row r="534">
      <c r="A534" s="417"/>
      <c r="B534" s="417"/>
      <c r="C534" s="417"/>
      <c r="D534" s="515"/>
      <c r="E534" s="515"/>
      <c r="F534" s="417"/>
      <c r="G534" s="417"/>
      <c r="H534" s="417"/>
      <c r="I534" s="417"/>
      <c r="J534" s="417"/>
    </row>
    <row r="535">
      <c r="A535" s="417"/>
      <c r="B535" s="417"/>
      <c r="C535" s="417"/>
      <c r="D535" s="515"/>
      <c r="E535" s="515"/>
      <c r="F535" s="417"/>
      <c r="G535" s="417"/>
      <c r="H535" s="417"/>
      <c r="I535" s="417"/>
      <c r="J535" s="417"/>
    </row>
    <row r="536">
      <c r="A536" s="417"/>
      <c r="B536" s="417"/>
      <c r="C536" s="417"/>
      <c r="D536" s="515"/>
      <c r="E536" s="515"/>
      <c r="F536" s="417"/>
      <c r="G536" s="417"/>
      <c r="H536" s="417"/>
      <c r="I536" s="417"/>
      <c r="J536" s="417"/>
    </row>
    <row r="537">
      <c r="A537" s="417"/>
      <c r="B537" s="417"/>
      <c r="C537" s="417"/>
      <c r="D537" s="515"/>
      <c r="E537" s="515"/>
      <c r="F537" s="417"/>
      <c r="G537" s="417"/>
      <c r="H537" s="417"/>
      <c r="I537" s="417"/>
      <c r="J537" s="417"/>
    </row>
    <row r="538">
      <c r="A538" s="417"/>
      <c r="B538" s="417"/>
      <c r="C538" s="417"/>
      <c r="D538" s="515"/>
      <c r="E538" s="515"/>
      <c r="F538" s="417"/>
      <c r="G538" s="417"/>
      <c r="H538" s="417"/>
      <c r="I538" s="417"/>
      <c r="J538" s="417"/>
    </row>
    <row r="539">
      <c r="A539" s="417"/>
      <c r="B539" s="417"/>
      <c r="C539" s="417"/>
      <c r="D539" s="515"/>
      <c r="E539" s="515"/>
      <c r="F539" s="417"/>
      <c r="G539" s="417"/>
      <c r="H539" s="417"/>
      <c r="I539" s="417"/>
      <c r="J539" s="417"/>
    </row>
    <row r="540">
      <c r="A540" s="417"/>
      <c r="B540" s="417"/>
      <c r="C540" s="417"/>
      <c r="D540" s="515"/>
      <c r="E540" s="515"/>
      <c r="F540" s="417"/>
      <c r="G540" s="417"/>
      <c r="H540" s="417"/>
      <c r="I540" s="417"/>
      <c r="J540" s="417"/>
    </row>
    <row r="541">
      <c r="A541" s="417"/>
      <c r="B541" s="417"/>
      <c r="C541" s="417"/>
      <c r="D541" s="515"/>
      <c r="E541" s="515"/>
      <c r="F541" s="417"/>
      <c r="G541" s="417"/>
      <c r="H541" s="417"/>
      <c r="I541" s="417"/>
      <c r="J541" s="417"/>
    </row>
    <row r="542">
      <c r="A542" s="417"/>
      <c r="B542" s="417"/>
      <c r="C542" s="417"/>
      <c r="D542" s="515"/>
      <c r="E542" s="515"/>
      <c r="F542" s="417"/>
      <c r="G542" s="417"/>
      <c r="H542" s="417"/>
      <c r="I542" s="417"/>
      <c r="J542" s="417"/>
    </row>
    <row r="543">
      <c r="A543" s="417"/>
      <c r="B543" s="417"/>
      <c r="C543" s="417"/>
      <c r="D543" s="515"/>
      <c r="E543" s="515"/>
      <c r="F543" s="417"/>
      <c r="G543" s="417"/>
      <c r="H543" s="417"/>
      <c r="I543" s="417"/>
      <c r="J543" s="417"/>
    </row>
    <row r="544">
      <c r="A544" s="417"/>
      <c r="B544" s="417"/>
      <c r="C544" s="417"/>
      <c r="D544" s="515"/>
      <c r="E544" s="515"/>
      <c r="F544" s="417"/>
      <c r="G544" s="417"/>
      <c r="H544" s="417"/>
      <c r="I544" s="417"/>
      <c r="J544" s="417"/>
    </row>
    <row r="545">
      <c r="A545" s="417"/>
      <c r="B545" s="417"/>
      <c r="C545" s="417"/>
      <c r="D545" s="515"/>
      <c r="E545" s="515"/>
      <c r="F545" s="417"/>
      <c r="G545" s="417"/>
      <c r="H545" s="417"/>
      <c r="I545" s="417"/>
      <c r="J545" s="417"/>
    </row>
    <row r="546">
      <c r="A546" s="417"/>
      <c r="B546" s="417"/>
      <c r="C546" s="417"/>
      <c r="D546" s="515"/>
      <c r="E546" s="515"/>
      <c r="F546" s="417"/>
      <c r="G546" s="417"/>
      <c r="H546" s="417"/>
      <c r="I546" s="417"/>
      <c r="J546" s="417"/>
    </row>
    <row r="547">
      <c r="A547" s="417"/>
      <c r="B547" s="417"/>
      <c r="C547" s="417"/>
      <c r="D547" s="515"/>
      <c r="E547" s="515"/>
      <c r="F547" s="417"/>
      <c r="G547" s="417"/>
      <c r="H547" s="417"/>
      <c r="I547" s="417"/>
      <c r="J547" s="417"/>
    </row>
    <row r="548">
      <c r="A548" s="417"/>
      <c r="B548" s="417"/>
      <c r="C548" s="417"/>
      <c r="D548" s="515"/>
      <c r="E548" s="515"/>
      <c r="F548" s="417"/>
      <c r="G548" s="417"/>
      <c r="H548" s="417"/>
      <c r="I548" s="417"/>
      <c r="J548" s="417"/>
    </row>
    <row r="549">
      <c r="A549" s="417"/>
      <c r="B549" s="417"/>
      <c r="C549" s="417"/>
      <c r="D549" s="515"/>
      <c r="E549" s="515"/>
      <c r="F549" s="417"/>
      <c r="G549" s="417"/>
      <c r="H549" s="417"/>
      <c r="I549" s="417"/>
      <c r="J549" s="417"/>
    </row>
    <row r="550">
      <c r="A550" s="417"/>
      <c r="B550" s="417"/>
      <c r="C550" s="417"/>
      <c r="D550" s="515"/>
      <c r="E550" s="515"/>
      <c r="F550" s="417"/>
      <c r="G550" s="417"/>
      <c r="H550" s="417"/>
      <c r="I550" s="417"/>
      <c r="J550" s="417"/>
    </row>
    <row r="551">
      <c r="A551" s="417"/>
      <c r="B551" s="417"/>
      <c r="C551" s="417"/>
      <c r="D551" s="515"/>
      <c r="E551" s="515"/>
      <c r="F551" s="417"/>
      <c r="G551" s="417"/>
      <c r="H551" s="417"/>
      <c r="I551" s="417"/>
      <c r="J551" s="417"/>
    </row>
    <row r="552">
      <c r="A552" s="417"/>
      <c r="B552" s="417"/>
      <c r="C552" s="417"/>
      <c r="D552" s="515"/>
      <c r="E552" s="515"/>
      <c r="F552" s="417"/>
      <c r="G552" s="417"/>
      <c r="H552" s="417"/>
      <c r="I552" s="417"/>
      <c r="J552" s="417"/>
    </row>
    <row r="553">
      <c r="A553" s="417"/>
      <c r="B553" s="417"/>
      <c r="C553" s="417"/>
      <c r="D553" s="515"/>
      <c r="E553" s="515"/>
      <c r="F553" s="417"/>
      <c r="G553" s="417"/>
      <c r="H553" s="417"/>
      <c r="I553" s="417"/>
      <c r="J553" s="417"/>
    </row>
    <row r="554">
      <c r="A554" s="417"/>
      <c r="B554" s="417"/>
      <c r="C554" s="417"/>
      <c r="D554" s="515"/>
      <c r="E554" s="515"/>
      <c r="F554" s="417"/>
      <c r="G554" s="417"/>
      <c r="H554" s="417"/>
      <c r="I554" s="417"/>
      <c r="J554" s="417"/>
    </row>
    <row r="555">
      <c r="A555" s="417"/>
      <c r="B555" s="417"/>
      <c r="C555" s="417"/>
      <c r="D555" s="515"/>
      <c r="E555" s="515"/>
      <c r="F555" s="417"/>
      <c r="G555" s="417"/>
      <c r="H555" s="417"/>
      <c r="I555" s="417"/>
      <c r="J555" s="417"/>
    </row>
    <row r="556">
      <c r="A556" s="417"/>
      <c r="B556" s="417"/>
      <c r="C556" s="417"/>
      <c r="D556" s="515"/>
      <c r="E556" s="515"/>
      <c r="F556" s="417"/>
      <c r="G556" s="417"/>
      <c r="H556" s="417"/>
      <c r="I556" s="417"/>
      <c r="J556" s="417"/>
    </row>
    <row r="557">
      <c r="A557" s="417"/>
      <c r="B557" s="417"/>
      <c r="C557" s="417"/>
      <c r="D557" s="515"/>
      <c r="E557" s="515"/>
      <c r="F557" s="417"/>
      <c r="G557" s="417"/>
      <c r="H557" s="417"/>
      <c r="I557" s="417"/>
      <c r="J557" s="417"/>
    </row>
    <row r="558">
      <c r="A558" s="417"/>
      <c r="B558" s="417"/>
      <c r="C558" s="417"/>
      <c r="D558" s="515"/>
      <c r="E558" s="515"/>
      <c r="F558" s="417"/>
      <c r="G558" s="417"/>
      <c r="H558" s="417"/>
      <c r="I558" s="417"/>
      <c r="J558" s="417"/>
    </row>
    <row r="559">
      <c r="A559" s="417"/>
      <c r="B559" s="417"/>
      <c r="C559" s="417"/>
      <c r="D559" s="515"/>
      <c r="E559" s="515"/>
      <c r="F559" s="417"/>
      <c r="G559" s="417"/>
      <c r="H559" s="417"/>
      <c r="I559" s="417"/>
      <c r="J559" s="417"/>
    </row>
    <row r="560">
      <c r="A560" s="417"/>
      <c r="B560" s="417"/>
      <c r="C560" s="417"/>
      <c r="D560" s="515"/>
      <c r="E560" s="515"/>
      <c r="F560" s="417"/>
      <c r="G560" s="417"/>
      <c r="H560" s="417"/>
      <c r="I560" s="417"/>
      <c r="J560" s="417"/>
    </row>
    <row r="561">
      <c r="A561" s="417"/>
      <c r="B561" s="417"/>
      <c r="C561" s="417"/>
      <c r="D561" s="515"/>
      <c r="E561" s="515"/>
      <c r="F561" s="417"/>
      <c r="G561" s="417"/>
      <c r="H561" s="417"/>
      <c r="I561" s="417"/>
      <c r="J561" s="417"/>
    </row>
    <row r="562">
      <c r="A562" s="417"/>
      <c r="B562" s="417"/>
      <c r="C562" s="417"/>
      <c r="D562" s="515"/>
      <c r="E562" s="515"/>
      <c r="F562" s="417"/>
      <c r="G562" s="417"/>
      <c r="H562" s="417"/>
      <c r="I562" s="417"/>
      <c r="J562" s="417"/>
    </row>
    <row r="563">
      <c r="A563" s="417"/>
      <c r="B563" s="417"/>
      <c r="C563" s="417"/>
      <c r="D563" s="515"/>
      <c r="E563" s="515"/>
      <c r="F563" s="417"/>
      <c r="G563" s="417"/>
      <c r="H563" s="417"/>
      <c r="I563" s="417"/>
      <c r="J563" s="417"/>
    </row>
    <row r="564">
      <c r="A564" s="417"/>
      <c r="B564" s="417"/>
      <c r="C564" s="417"/>
      <c r="D564" s="515"/>
      <c r="E564" s="515"/>
      <c r="F564" s="417"/>
      <c r="G564" s="417"/>
      <c r="H564" s="417"/>
      <c r="I564" s="417"/>
      <c r="J564" s="417"/>
    </row>
    <row r="565">
      <c r="A565" s="417"/>
      <c r="B565" s="417"/>
      <c r="C565" s="417"/>
      <c r="D565" s="515"/>
      <c r="E565" s="515"/>
      <c r="F565" s="417"/>
      <c r="G565" s="417"/>
      <c r="H565" s="417"/>
      <c r="I565" s="417"/>
      <c r="J565" s="417"/>
    </row>
    <row r="566">
      <c r="A566" s="417"/>
      <c r="B566" s="417"/>
      <c r="C566" s="417"/>
      <c r="D566" s="515"/>
      <c r="E566" s="515"/>
      <c r="F566" s="417"/>
      <c r="G566" s="417"/>
      <c r="H566" s="417"/>
      <c r="I566" s="417"/>
      <c r="J566" s="417"/>
    </row>
    <row r="567">
      <c r="A567" s="417"/>
      <c r="B567" s="417"/>
      <c r="C567" s="417"/>
      <c r="D567" s="515"/>
      <c r="E567" s="515"/>
      <c r="F567" s="417"/>
      <c r="G567" s="417"/>
      <c r="H567" s="417"/>
      <c r="I567" s="417"/>
      <c r="J567" s="417"/>
    </row>
    <row r="568">
      <c r="A568" s="417"/>
      <c r="B568" s="417"/>
      <c r="C568" s="417"/>
      <c r="D568" s="515"/>
      <c r="E568" s="515"/>
      <c r="F568" s="417"/>
      <c r="G568" s="417"/>
      <c r="H568" s="417"/>
      <c r="I568" s="417"/>
      <c r="J568" s="417"/>
    </row>
    <row r="569">
      <c r="A569" s="417"/>
      <c r="B569" s="417"/>
      <c r="C569" s="417"/>
      <c r="D569" s="515"/>
      <c r="E569" s="515"/>
      <c r="F569" s="417"/>
      <c r="G569" s="417"/>
      <c r="H569" s="417"/>
      <c r="I569" s="417"/>
      <c r="J569" s="417"/>
    </row>
    <row r="570">
      <c r="A570" s="417"/>
      <c r="B570" s="417"/>
      <c r="C570" s="417"/>
      <c r="D570" s="515"/>
      <c r="E570" s="515"/>
      <c r="F570" s="417"/>
      <c r="G570" s="417"/>
      <c r="H570" s="417"/>
      <c r="I570" s="417"/>
      <c r="J570" s="417"/>
    </row>
    <row r="571">
      <c r="A571" s="417"/>
      <c r="B571" s="417"/>
      <c r="C571" s="417"/>
      <c r="D571" s="515"/>
      <c r="E571" s="515"/>
      <c r="F571" s="417"/>
      <c r="G571" s="417"/>
      <c r="H571" s="417"/>
      <c r="I571" s="417"/>
      <c r="J571" s="417"/>
    </row>
    <row r="572">
      <c r="A572" s="417"/>
      <c r="B572" s="417"/>
      <c r="C572" s="417"/>
      <c r="D572" s="515"/>
      <c r="E572" s="515"/>
      <c r="F572" s="417"/>
      <c r="G572" s="417"/>
      <c r="H572" s="417"/>
      <c r="I572" s="417"/>
      <c r="J572" s="417"/>
    </row>
    <row r="573">
      <c r="A573" s="417"/>
      <c r="B573" s="417"/>
      <c r="C573" s="417"/>
      <c r="D573" s="515"/>
      <c r="E573" s="515"/>
      <c r="F573" s="417"/>
      <c r="G573" s="417"/>
      <c r="H573" s="417"/>
      <c r="I573" s="417"/>
      <c r="J573" s="417"/>
    </row>
    <row r="574">
      <c r="A574" s="417"/>
      <c r="B574" s="417"/>
      <c r="C574" s="417"/>
      <c r="D574" s="515"/>
      <c r="E574" s="515"/>
      <c r="F574" s="417"/>
      <c r="G574" s="417"/>
      <c r="H574" s="417"/>
      <c r="I574" s="417"/>
      <c r="J574" s="417"/>
    </row>
    <row r="575">
      <c r="A575" s="417"/>
      <c r="B575" s="417"/>
      <c r="C575" s="417"/>
      <c r="D575" s="515"/>
      <c r="E575" s="515"/>
      <c r="F575" s="417"/>
      <c r="G575" s="417"/>
      <c r="H575" s="417"/>
      <c r="I575" s="417"/>
      <c r="J575" s="417"/>
    </row>
    <row r="576">
      <c r="A576" s="417"/>
      <c r="B576" s="417"/>
      <c r="C576" s="417"/>
      <c r="D576" s="515"/>
      <c r="E576" s="515"/>
      <c r="F576" s="417"/>
      <c r="G576" s="417"/>
      <c r="H576" s="417"/>
      <c r="I576" s="417"/>
      <c r="J576" s="417"/>
    </row>
    <row r="577">
      <c r="A577" s="417"/>
      <c r="B577" s="417"/>
      <c r="C577" s="417"/>
      <c r="D577" s="515"/>
      <c r="E577" s="515"/>
      <c r="F577" s="417"/>
      <c r="G577" s="417"/>
      <c r="H577" s="417"/>
      <c r="I577" s="417"/>
      <c r="J577" s="417"/>
    </row>
    <row r="578">
      <c r="A578" s="417"/>
      <c r="B578" s="417"/>
      <c r="C578" s="417"/>
      <c r="D578" s="515"/>
      <c r="E578" s="515"/>
      <c r="F578" s="417"/>
      <c r="G578" s="417"/>
      <c r="H578" s="417"/>
      <c r="I578" s="417"/>
      <c r="J578" s="417"/>
    </row>
    <row r="579">
      <c r="A579" s="417"/>
      <c r="B579" s="417"/>
      <c r="C579" s="417"/>
      <c r="D579" s="515"/>
      <c r="E579" s="515"/>
      <c r="F579" s="417"/>
      <c r="G579" s="417"/>
      <c r="H579" s="417"/>
      <c r="I579" s="417"/>
      <c r="J579" s="417"/>
    </row>
    <row r="580">
      <c r="A580" s="417"/>
      <c r="B580" s="417"/>
      <c r="C580" s="417"/>
      <c r="D580" s="515"/>
      <c r="E580" s="515"/>
      <c r="F580" s="417"/>
      <c r="G580" s="417"/>
      <c r="H580" s="417"/>
      <c r="I580" s="417"/>
      <c r="J580" s="417"/>
    </row>
    <row r="581">
      <c r="A581" s="417"/>
      <c r="B581" s="417"/>
      <c r="C581" s="417"/>
      <c r="D581" s="515"/>
      <c r="E581" s="515"/>
      <c r="F581" s="417"/>
      <c r="G581" s="417"/>
      <c r="H581" s="417"/>
      <c r="I581" s="417"/>
      <c r="J581" s="417"/>
    </row>
    <row r="582">
      <c r="A582" s="417"/>
      <c r="B582" s="417"/>
      <c r="C582" s="417"/>
      <c r="D582" s="515"/>
      <c r="E582" s="515"/>
      <c r="F582" s="417"/>
      <c r="G582" s="417"/>
      <c r="H582" s="417"/>
      <c r="I582" s="417"/>
      <c r="J582" s="417"/>
    </row>
    <row r="583">
      <c r="A583" s="417"/>
      <c r="B583" s="417"/>
      <c r="C583" s="417"/>
      <c r="D583" s="515"/>
      <c r="E583" s="515"/>
      <c r="F583" s="417"/>
      <c r="G583" s="417"/>
      <c r="H583" s="417"/>
      <c r="I583" s="417"/>
      <c r="J583" s="417"/>
    </row>
    <row r="584">
      <c r="A584" s="417"/>
      <c r="B584" s="417"/>
      <c r="C584" s="417"/>
      <c r="D584" s="515"/>
      <c r="E584" s="515"/>
      <c r="F584" s="417"/>
      <c r="G584" s="417"/>
      <c r="H584" s="417"/>
      <c r="I584" s="417"/>
      <c r="J584" s="417"/>
    </row>
    <row r="585">
      <c r="A585" s="417"/>
      <c r="B585" s="417"/>
      <c r="C585" s="417"/>
      <c r="D585" s="515"/>
      <c r="E585" s="515"/>
      <c r="F585" s="417"/>
      <c r="G585" s="417"/>
      <c r="H585" s="417"/>
      <c r="I585" s="417"/>
      <c r="J585" s="417"/>
    </row>
    <row r="586">
      <c r="A586" s="417"/>
      <c r="B586" s="417"/>
      <c r="C586" s="417"/>
      <c r="D586" s="515"/>
      <c r="E586" s="515"/>
      <c r="F586" s="417"/>
      <c r="G586" s="417"/>
      <c r="H586" s="417"/>
      <c r="I586" s="417"/>
      <c r="J586" s="417"/>
    </row>
    <row r="587">
      <c r="A587" s="417"/>
      <c r="B587" s="417"/>
      <c r="C587" s="417"/>
      <c r="D587" s="515"/>
      <c r="E587" s="515"/>
      <c r="F587" s="417"/>
      <c r="G587" s="417"/>
      <c r="H587" s="417"/>
      <c r="I587" s="417"/>
      <c r="J587" s="417"/>
    </row>
    <row r="588">
      <c r="A588" s="417"/>
      <c r="B588" s="417"/>
      <c r="C588" s="417"/>
      <c r="D588" s="515"/>
      <c r="E588" s="515"/>
      <c r="F588" s="417"/>
      <c r="G588" s="417"/>
      <c r="H588" s="417"/>
      <c r="I588" s="417"/>
      <c r="J588" s="417"/>
    </row>
    <row r="589">
      <c r="A589" s="417"/>
      <c r="B589" s="417"/>
      <c r="C589" s="417"/>
      <c r="D589" s="515"/>
      <c r="E589" s="515"/>
      <c r="F589" s="417"/>
      <c r="G589" s="417"/>
      <c r="H589" s="417"/>
      <c r="I589" s="417"/>
      <c r="J589" s="417"/>
    </row>
    <row r="590">
      <c r="A590" s="417"/>
      <c r="B590" s="417"/>
      <c r="C590" s="417"/>
      <c r="D590" s="515"/>
      <c r="E590" s="515"/>
      <c r="F590" s="417"/>
      <c r="G590" s="417"/>
      <c r="H590" s="417"/>
      <c r="I590" s="417"/>
      <c r="J590" s="417"/>
    </row>
    <row r="591">
      <c r="A591" s="417"/>
      <c r="B591" s="417"/>
      <c r="C591" s="417"/>
      <c r="D591" s="515"/>
      <c r="E591" s="515"/>
      <c r="F591" s="417"/>
      <c r="G591" s="417"/>
      <c r="H591" s="417"/>
      <c r="I591" s="417"/>
      <c r="J591" s="417"/>
    </row>
    <row r="592">
      <c r="A592" s="417"/>
      <c r="B592" s="417"/>
      <c r="C592" s="417"/>
      <c r="D592" s="515"/>
      <c r="E592" s="515"/>
      <c r="F592" s="417"/>
      <c r="G592" s="417"/>
      <c r="H592" s="417"/>
      <c r="I592" s="417"/>
      <c r="J592" s="417"/>
    </row>
    <row r="593">
      <c r="A593" s="417"/>
      <c r="B593" s="417"/>
      <c r="C593" s="417"/>
      <c r="D593" s="515"/>
      <c r="E593" s="515"/>
      <c r="F593" s="417"/>
      <c r="G593" s="417"/>
      <c r="H593" s="417"/>
      <c r="I593" s="417"/>
      <c r="J593" s="417"/>
    </row>
    <row r="594">
      <c r="A594" s="417"/>
      <c r="B594" s="417"/>
      <c r="C594" s="417"/>
      <c r="D594" s="515"/>
      <c r="E594" s="515"/>
      <c r="F594" s="417"/>
      <c r="G594" s="417"/>
      <c r="H594" s="417"/>
      <c r="I594" s="417"/>
      <c r="J594" s="417"/>
    </row>
    <row r="595">
      <c r="A595" s="417"/>
      <c r="B595" s="417"/>
      <c r="C595" s="417"/>
      <c r="D595" s="515"/>
      <c r="E595" s="515"/>
      <c r="F595" s="417"/>
      <c r="G595" s="417"/>
      <c r="H595" s="417"/>
      <c r="I595" s="417"/>
      <c r="J595" s="417"/>
    </row>
    <row r="596">
      <c r="A596" s="417"/>
      <c r="B596" s="417"/>
      <c r="C596" s="417"/>
      <c r="D596" s="515"/>
      <c r="E596" s="515"/>
      <c r="F596" s="417"/>
      <c r="G596" s="417"/>
      <c r="H596" s="417"/>
      <c r="I596" s="417"/>
      <c r="J596" s="417"/>
    </row>
    <row r="597">
      <c r="A597" s="417"/>
      <c r="B597" s="417"/>
      <c r="C597" s="417"/>
      <c r="D597" s="515"/>
      <c r="E597" s="515"/>
      <c r="F597" s="417"/>
      <c r="G597" s="417"/>
      <c r="H597" s="417"/>
      <c r="I597" s="417"/>
      <c r="J597" s="417"/>
    </row>
    <row r="598">
      <c r="A598" s="417"/>
      <c r="B598" s="417"/>
      <c r="C598" s="417"/>
      <c r="D598" s="515"/>
      <c r="E598" s="515"/>
      <c r="F598" s="417"/>
      <c r="G598" s="417"/>
      <c r="H598" s="417"/>
      <c r="I598" s="417"/>
      <c r="J598" s="417"/>
    </row>
    <row r="599">
      <c r="A599" s="417"/>
      <c r="B599" s="417"/>
      <c r="C599" s="417"/>
      <c r="D599" s="515"/>
      <c r="E599" s="515"/>
      <c r="F599" s="417"/>
      <c r="G599" s="417"/>
      <c r="H599" s="417"/>
      <c r="I599" s="417"/>
      <c r="J599" s="417"/>
    </row>
    <row r="600">
      <c r="A600" s="417"/>
      <c r="B600" s="417"/>
      <c r="C600" s="417"/>
      <c r="D600" s="515"/>
      <c r="E600" s="515"/>
      <c r="F600" s="417"/>
      <c r="G600" s="417"/>
      <c r="H600" s="417"/>
      <c r="I600" s="417"/>
      <c r="J600" s="417"/>
    </row>
    <row r="601">
      <c r="A601" s="417"/>
      <c r="B601" s="417"/>
      <c r="C601" s="417"/>
      <c r="D601" s="515"/>
      <c r="E601" s="515"/>
      <c r="F601" s="417"/>
      <c r="G601" s="417"/>
      <c r="H601" s="417"/>
      <c r="I601" s="417"/>
      <c r="J601" s="417"/>
    </row>
    <row r="602">
      <c r="A602" s="417"/>
      <c r="B602" s="417"/>
      <c r="C602" s="417"/>
      <c r="D602" s="515"/>
      <c r="E602" s="515"/>
      <c r="F602" s="417"/>
      <c r="G602" s="417"/>
      <c r="H602" s="417"/>
      <c r="I602" s="417"/>
      <c r="J602" s="417"/>
    </row>
    <row r="603">
      <c r="A603" s="417"/>
      <c r="B603" s="417"/>
      <c r="C603" s="417"/>
      <c r="D603" s="515"/>
      <c r="E603" s="515"/>
      <c r="F603" s="417"/>
      <c r="G603" s="417"/>
      <c r="H603" s="417"/>
      <c r="I603" s="417"/>
      <c r="J603" s="417"/>
    </row>
    <row r="604">
      <c r="A604" s="417"/>
      <c r="B604" s="417"/>
      <c r="C604" s="417"/>
      <c r="D604" s="515"/>
      <c r="E604" s="515"/>
      <c r="F604" s="417"/>
      <c r="G604" s="417"/>
      <c r="H604" s="417"/>
      <c r="I604" s="417"/>
      <c r="J604" s="417"/>
    </row>
    <row r="605">
      <c r="A605" s="417"/>
      <c r="B605" s="417"/>
      <c r="C605" s="417"/>
      <c r="D605" s="515"/>
      <c r="E605" s="515"/>
      <c r="F605" s="417"/>
      <c r="G605" s="417"/>
      <c r="H605" s="417"/>
      <c r="I605" s="417"/>
      <c r="J605" s="417"/>
    </row>
    <row r="606">
      <c r="A606" s="417"/>
      <c r="B606" s="417"/>
      <c r="C606" s="417"/>
      <c r="D606" s="515"/>
      <c r="E606" s="515"/>
      <c r="F606" s="417"/>
      <c r="G606" s="417"/>
      <c r="H606" s="417"/>
      <c r="I606" s="417"/>
      <c r="J606" s="417"/>
    </row>
    <row r="607">
      <c r="A607" s="417"/>
      <c r="B607" s="417"/>
      <c r="C607" s="417"/>
      <c r="D607" s="515"/>
      <c r="E607" s="515"/>
      <c r="F607" s="417"/>
      <c r="G607" s="417"/>
      <c r="H607" s="417"/>
      <c r="I607" s="417"/>
      <c r="J607" s="417"/>
    </row>
    <row r="608">
      <c r="A608" s="417"/>
      <c r="B608" s="417"/>
      <c r="C608" s="417"/>
      <c r="D608" s="515"/>
      <c r="E608" s="515"/>
      <c r="F608" s="417"/>
      <c r="G608" s="417"/>
      <c r="H608" s="417"/>
      <c r="I608" s="417"/>
      <c r="J608" s="417"/>
    </row>
    <row r="609">
      <c r="A609" s="417"/>
      <c r="B609" s="417"/>
      <c r="C609" s="417"/>
      <c r="D609" s="515"/>
      <c r="E609" s="515"/>
      <c r="F609" s="417"/>
      <c r="G609" s="417"/>
      <c r="H609" s="417"/>
      <c r="I609" s="417"/>
      <c r="J609" s="417"/>
    </row>
    <row r="610">
      <c r="A610" s="417"/>
      <c r="B610" s="417"/>
      <c r="C610" s="417"/>
      <c r="D610" s="515"/>
      <c r="E610" s="515"/>
      <c r="F610" s="417"/>
      <c r="G610" s="417"/>
      <c r="H610" s="417"/>
      <c r="I610" s="417"/>
      <c r="J610" s="417"/>
    </row>
    <row r="611">
      <c r="A611" s="417"/>
      <c r="B611" s="417"/>
      <c r="C611" s="417"/>
      <c r="D611" s="515"/>
      <c r="E611" s="515"/>
      <c r="F611" s="417"/>
      <c r="G611" s="417"/>
      <c r="H611" s="417"/>
      <c r="I611" s="417"/>
      <c r="J611" s="417"/>
    </row>
    <row r="612">
      <c r="A612" s="417"/>
      <c r="B612" s="417"/>
      <c r="C612" s="417"/>
      <c r="D612" s="515"/>
      <c r="E612" s="515"/>
      <c r="F612" s="417"/>
      <c r="G612" s="417"/>
      <c r="H612" s="417"/>
      <c r="I612" s="417"/>
      <c r="J612" s="417"/>
    </row>
    <row r="613">
      <c r="A613" s="417"/>
      <c r="B613" s="417"/>
      <c r="C613" s="417"/>
      <c r="D613" s="515"/>
      <c r="E613" s="515"/>
      <c r="F613" s="417"/>
      <c r="G613" s="417"/>
      <c r="H613" s="417"/>
      <c r="I613" s="417"/>
      <c r="J613" s="417"/>
    </row>
    <row r="614">
      <c r="A614" s="417"/>
      <c r="B614" s="417"/>
      <c r="C614" s="417"/>
      <c r="D614" s="515"/>
      <c r="E614" s="515"/>
      <c r="F614" s="417"/>
      <c r="G614" s="417"/>
      <c r="H614" s="417"/>
      <c r="I614" s="417"/>
      <c r="J614" s="417"/>
    </row>
    <row r="615">
      <c r="A615" s="417"/>
      <c r="B615" s="417"/>
      <c r="C615" s="417"/>
      <c r="D615" s="515"/>
      <c r="E615" s="515"/>
      <c r="F615" s="417"/>
      <c r="G615" s="417"/>
      <c r="H615" s="417"/>
      <c r="I615" s="417"/>
      <c r="J615" s="417"/>
    </row>
    <row r="616">
      <c r="A616" s="417"/>
      <c r="B616" s="417"/>
      <c r="C616" s="417"/>
      <c r="D616" s="515"/>
      <c r="E616" s="515"/>
      <c r="F616" s="417"/>
      <c r="G616" s="417"/>
      <c r="H616" s="417"/>
      <c r="I616" s="417"/>
      <c r="J616" s="417"/>
    </row>
    <row r="617">
      <c r="A617" s="417"/>
      <c r="B617" s="417"/>
      <c r="C617" s="417"/>
      <c r="D617" s="515"/>
      <c r="E617" s="515"/>
      <c r="F617" s="417"/>
      <c r="G617" s="417"/>
      <c r="H617" s="417"/>
      <c r="I617" s="417"/>
      <c r="J617" s="417"/>
    </row>
    <row r="618">
      <c r="A618" s="417"/>
      <c r="B618" s="417"/>
      <c r="C618" s="417"/>
      <c r="D618" s="515"/>
      <c r="E618" s="515"/>
      <c r="F618" s="417"/>
      <c r="G618" s="417"/>
      <c r="H618" s="417"/>
      <c r="I618" s="417"/>
      <c r="J618" s="417"/>
    </row>
    <row r="619">
      <c r="A619" s="417"/>
      <c r="B619" s="417"/>
      <c r="C619" s="417"/>
      <c r="D619" s="515"/>
      <c r="E619" s="515"/>
      <c r="F619" s="417"/>
      <c r="G619" s="417"/>
      <c r="H619" s="417"/>
      <c r="I619" s="417"/>
      <c r="J619" s="417"/>
    </row>
    <row r="620">
      <c r="A620" s="417"/>
      <c r="B620" s="417"/>
      <c r="C620" s="417"/>
      <c r="D620" s="515"/>
      <c r="E620" s="515"/>
      <c r="F620" s="417"/>
      <c r="G620" s="417"/>
      <c r="H620" s="417"/>
      <c r="I620" s="417"/>
      <c r="J620" s="417"/>
    </row>
    <row r="621">
      <c r="A621" s="417"/>
      <c r="B621" s="417"/>
      <c r="C621" s="417"/>
      <c r="D621" s="515"/>
      <c r="E621" s="515"/>
      <c r="F621" s="417"/>
      <c r="G621" s="417"/>
      <c r="H621" s="417"/>
      <c r="I621" s="417"/>
      <c r="J621" s="417"/>
    </row>
    <row r="622">
      <c r="A622" s="417"/>
      <c r="B622" s="417"/>
      <c r="C622" s="417"/>
      <c r="D622" s="515"/>
      <c r="E622" s="515"/>
      <c r="F622" s="417"/>
      <c r="G622" s="417"/>
      <c r="H622" s="417"/>
      <c r="I622" s="417"/>
      <c r="J622" s="417"/>
    </row>
    <row r="623">
      <c r="A623" s="417"/>
      <c r="B623" s="417"/>
      <c r="C623" s="417"/>
      <c r="D623" s="515"/>
      <c r="E623" s="515"/>
      <c r="F623" s="417"/>
      <c r="G623" s="417"/>
      <c r="H623" s="417"/>
      <c r="I623" s="417"/>
      <c r="J623" s="417"/>
    </row>
    <row r="624">
      <c r="A624" s="417"/>
      <c r="B624" s="417"/>
      <c r="C624" s="417"/>
      <c r="D624" s="515"/>
      <c r="E624" s="515"/>
      <c r="F624" s="417"/>
      <c r="G624" s="417"/>
      <c r="H624" s="417"/>
      <c r="I624" s="417"/>
      <c r="J624" s="417"/>
    </row>
    <row r="625">
      <c r="A625" s="417"/>
      <c r="B625" s="417"/>
      <c r="C625" s="417"/>
      <c r="D625" s="515"/>
      <c r="E625" s="515"/>
      <c r="F625" s="417"/>
      <c r="G625" s="417"/>
      <c r="H625" s="417"/>
      <c r="I625" s="417"/>
      <c r="J625" s="417"/>
    </row>
    <row r="626">
      <c r="A626" s="417"/>
      <c r="B626" s="417"/>
      <c r="C626" s="417"/>
      <c r="D626" s="515"/>
      <c r="E626" s="515"/>
      <c r="F626" s="417"/>
      <c r="G626" s="417"/>
      <c r="H626" s="417"/>
      <c r="I626" s="417"/>
      <c r="J626" s="417"/>
    </row>
    <row r="627">
      <c r="A627" s="417"/>
      <c r="B627" s="417"/>
      <c r="C627" s="417"/>
      <c r="D627" s="515"/>
      <c r="E627" s="515"/>
      <c r="F627" s="417"/>
      <c r="G627" s="417"/>
      <c r="H627" s="417"/>
      <c r="I627" s="417"/>
      <c r="J627" s="417"/>
    </row>
    <row r="628">
      <c r="A628" s="417"/>
      <c r="B628" s="417"/>
      <c r="C628" s="417"/>
      <c r="D628" s="515"/>
      <c r="E628" s="515"/>
      <c r="F628" s="417"/>
      <c r="G628" s="417"/>
      <c r="H628" s="417"/>
      <c r="I628" s="417"/>
      <c r="J628" s="417"/>
    </row>
    <row r="629">
      <c r="A629" s="417"/>
      <c r="B629" s="417"/>
      <c r="C629" s="417"/>
      <c r="D629" s="515"/>
      <c r="E629" s="515"/>
      <c r="F629" s="417"/>
      <c r="G629" s="417"/>
      <c r="H629" s="417"/>
      <c r="I629" s="417"/>
      <c r="J629" s="417"/>
    </row>
    <row r="630">
      <c r="A630" s="417"/>
      <c r="B630" s="417"/>
      <c r="C630" s="417"/>
      <c r="D630" s="515"/>
      <c r="E630" s="515"/>
      <c r="F630" s="417"/>
      <c r="G630" s="417"/>
      <c r="H630" s="417"/>
      <c r="I630" s="417"/>
      <c r="J630" s="417"/>
    </row>
    <row r="631">
      <c r="A631" s="417"/>
      <c r="B631" s="417"/>
      <c r="C631" s="417"/>
      <c r="D631" s="515"/>
      <c r="E631" s="515"/>
      <c r="F631" s="417"/>
      <c r="G631" s="417"/>
      <c r="H631" s="417"/>
      <c r="I631" s="417"/>
      <c r="J631" s="417"/>
    </row>
    <row r="632">
      <c r="A632" s="417"/>
      <c r="B632" s="417"/>
      <c r="C632" s="417"/>
      <c r="D632" s="515"/>
      <c r="E632" s="515"/>
      <c r="F632" s="417"/>
      <c r="G632" s="417"/>
      <c r="H632" s="417"/>
      <c r="I632" s="417"/>
      <c r="J632" s="417"/>
    </row>
    <row r="633">
      <c r="A633" s="417"/>
      <c r="B633" s="417"/>
      <c r="C633" s="417"/>
      <c r="D633" s="515"/>
      <c r="E633" s="515"/>
      <c r="F633" s="417"/>
      <c r="G633" s="417"/>
      <c r="H633" s="417"/>
      <c r="I633" s="417"/>
      <c r="J633" s="417"/>
    </row>
    <row r="634">
      <c r="A634" s="417"/>
      <c r="B634" s="417"/>
      <c r="C634" s="417"/>
      <c r="D634" s="515"/>
      <c r="E634" s="515"/>
      <c r="F634" s="417"/>
      <c r="G634" s="417"/>
      <c r="H634" s="417"/>
      <c r="I634" s="417"/>
      <c r="J634" s="417"/>
    </row>
    <row r="635">
      <c r="A635" s="417"/>
      <c r="B635" s="417"/>
      <c r="C635" s="417"/>
      <c r="D635" s="515"/>
      <c r="E635" s="515"/>
      <c r="F635" s="417"/>
      <c r="G635" s="417"/>
      <c r="H635" s="417"/>
      <c r="I635" s="417"/>
      <c r="J635" s="417"/>
    </row>
    <row r="636">
      <c r="A636" s="417"/>
      <c r="B636" s="417"/>
      <c r="C636" s="417"/>
      <c r="D636" s="515"/>
      <c r="E636" s="515"/>
      <c r="F636" s="417"/>
      <c r="G636" s="417"/>
      <c r="H636" s="417"/>
      <c r="I636" s="417"/>
      <c r="J636" s="417"/>
    </row>
    <row r="637">
      <c r="A637" s="417"/>
      <c r="B637" s="417"/>
      <c r="C637" s="417"/>
      <c r="D637" s="515"/>
      <c r="E637" s="515"/>
      <c r="F637" s="417"/>
      <c r="G637" s="417"/>
      <c r="H637" s="417"/>
      <c r="I637" s="417"/>
      <c r="J637" s="417"/>
    </row>
    <row r="638">
      <c r="A638" s="417"/>
      <c r="B638" s="417"/>
      <c r="C638" s="417"/>
      <c r="D638" s="515"/>
      <c r="E638" s="515"/>
      <c r="F638" s="417"/>
      <c r="G638" s="417"/>
      <c r="H638" s="417"/>
      <c r="I638" s="417"/>
      <c r="J638" s="417"/>
    </row>
    <row r="639">
      <c r="A639" s="417"/>
      <c r="B639" s="417"/>
      <c r="C639" s="417"/>
      <c r="D639" s="515"/>
      <c r="E639" s="515"/>
      <c r="F639" s="417"/>
      <c r="G639" s="417"/>
      <c r="H639" s="417"/>
      <c r="I639" s="417"/>
      <c r="J639" s="417"/>
    </row>
    <row r="640">
      <c r="A640" s="417"/>
      <c r="B640" s="417"/>
      <c r="C640" s="417"/>
      <c r="D640" s="515"/>
      <c r="E640" s="515"/>
      <c r="F640" s="417"/>
      <c r="G640" s="417"/>
      <c r="H640" s="417"/>
      <c r="I640" s="417"/>
      <c r="J640" s="417"/>
    </row>
    <row r="641">
      <c r="A641" s="417"/>
      <c r="B641" s="417"/>
      <c r="C641" s="417"/>
      <c r="D641" s="515"/>
      <c r="E641" s="515"/>
      <c r="F641" s="417"/>
      <c r="G641" s="417"/>
      <c r="H641" s="417"/>
      <c r="I641" s="417"/>
      <c r="J641" s="417"/>
    </row>
    <row r="642">
      <c r="A642" s="417"/>
      <c r="B642" s="417"/>
      <c r="C642" s="417"/>
      <c r="D642" s="515"/>
      <c r="E642" s="515"/>
      <c r="F642" s="417"/>
      <c r="G642" s="417"/>
      <c r="H642" s="417"/>
      <c r="I642" s="417"/>
      <c r="J642" s="417"/>
    </row>
    <row r="643">
      <c r="A643" s="417"/>
      <c r="B643" s="417"/>
      <c r="C643" s="417"/>
      <c r="D643" s="515"/>
      <c r="E643" s="515"/>
      <c r="F643" s="417"/>
      <c r="G643" s="417"/>
      <c r="H643" s="417"/>
      <c r="I643" s="417"/>
      <c r="J643" s="417"/>
    </row>
    <row r="644">
      <c r="A644" s="417"/>
      <c r="B644" s="417"/>
      <c r="C644" s="417"/>
      <c r="D644" s="515"/>
      <c r="E644" s="515"/>
      <c r="F644" s="417"/>
      <c r="G644" s="417"/>
      <c r="H644" s="417"/>
      <c r="I644" s="417"/>
      <c r="J644" s="417"/>
    </row>
    <row r="645">
      <c r="A645" s="417"/>
      <c r="B645" s="417"/>
      <c r="C645" s="417"/>
      <c r="D645" s="515"/>
      <c r="E645" s="515"/>
      <c r="F645" s="417"/>
      <c r="G645" s="417"/>
      <c r="H645" s="417"/>
      <c r="I645" s="417"/>
      <c r="J645" s="417"/>
    </row>
    <row r="646">
      <c r="A646" s="417"/>
      <c r="B646" s="417"/>
      <c r="C646" s="417"/>
      <c r="D646" s="515"/>
      <c r="E646" s="515"/>
      <c r="F646" s="417"/>
      <c r="G646" s="417"/>
      <c r="H646" s="417"/>
      <c r="I646" s="417"/>
      <c r="J646" s="417"/>
    </row>
    <row r="647">
      <c r="A647" s="417"/>
      <c r="B647" s="417"/>
      <c r="C647" s="417"/>
      <c r="D647" s="515"/>
      <c r="E647" s="515"/>
      <c r="F647" s="417"/>
      <c r="G647" s="417"/>
      <c r="H647" s="417"/>
      <c r="I647" s="417"/>
      <c r="J647" s="417"/>
    </row>
    <row r="648">
      <c r="A648" s="417"/>
      <c r="B648" s="417"/>
      <c r="C648" s="417"/>
      <c r="D648" s="515"/>
      <c r="E648" s="515"/>
      <c r="F648" s="417"/>
      <c r="G648" s="417"/>
      <c r="H648" s="417"/>
      <c r="I648" s="417"/>
      <c r="J648" s="417"/>
    </row>
    <row r="649">
      <c r="A649" s="417"/>
      <c r="B649" s="417"/>
      <c r="C649" s="417"/>
      <c r="D649" s="515"/>
      <c r="E649" s="515"/>
      <c r="F649" s="417"/>
      <c r="G649" s="417"/>
      <c r="H649" s="417"/>
      <c r="I649" s="417"/>
      <c r="J649" s="417"/>
    </row>
    <row r="650">
      <c r="A650" s="417"/>
      <c r="B650" s="417"/>
      <c r="C650" s="417"/>
      <c r="D650" s="515"/>
      <c r="E650" s="515"/>
      <c r="F650" s="417"/>
      <c r="G650" s="417"/>
      <c r="H650" s="417"/>
      <c r="I650" s="417"/>
      <c r="J650" s="417"/>
    </row>
    <row r="651">
      <c r="A651" s="417"/>
      <c r="B651" s="417"/>
      <c r="C651" s="417"/>
      <c r="D651" s="515"/>
      <c r="E651" s="515"/>
      <c r="F651" s="417"/>
      <c r="G651" s="417"/>
      <c r="H651" s="417"/>
      <c r="I651" s="417"/>
      <c r="J651" s="417"/>
    </row>
    <row r="652">
      <c r="A652" s="417"/>
      <c r="B652" s="417"/>
      <c r="C652" s="417"/>
      <c r="D652" s="515"/>
      <c r="E652" s="515"/>
      <c r="F652" s="417"/>
      <c r="G652" s="417"/>
      <c r="H652" s="417"/>
      <c r="I652" s="417"/>
      <c r="J652" s="417"/>
    </row>
    <row r="653">
      <c r="A653" s="417"/>
      <c r="B653" s="417"/>
      <c r="C653" s="417"/>
      <c r="D653" s="515"/>
      <c r="E653" s="515"/>
      <c r="F653" s="417"/>
      <c r="G653" s="417"/>
      <c r="H653" s="417"/>
      <c r="I653" s="417"/>
      <c r="J653" s="417"/>
    </row>
    <row r="654">
      <c r="A654" s="417"/>
      <c r="B654" s="417"/>
      <c r="C654" s="417"/>
      <c r="D654" s="515"/>
      <c r="E654" s="515"/>
      <c r="F654" s="417"/>
      <c r="G654" s="417"/>
      <c r="H654" s="417"/>
      <c r="I654" s="417"/>
      <c r="J654" s="417"/>
    </row>
    <row r="655">
      <c r="A655" s="417"/>
      <c r="B655" s="417"/>
      <c r="C655" s="417"/>
      <c r="D655" s="515"/>
      <c r="E655" s="515"/>
      <c r="F655" s="417"/>
      <c r="G655" s="417"/>
      <c r="H655" s="417"/>
      <c r="I655" s="417"/>
      <c r="J655" s="417"/>
    </row>
    <row r="656">
      <c r="A656" s="417"/>
      <c r="B656" s="417"/>
      <c r="C656" s="417"/>
      <c r="D656" s="515"/>
      <c r="E656" s="515"/>
      <c r="F656" s="417"/>
      <c r="G656" s="417"/>
      <c r="H656" s="417"/>
      <c r="I656" s="417"/>
      <c r="J656" s="417"/>
    </row>
    <row r="657">
      <c r="A657" s="417"/>
      <c r="B657" s="417"/>
      <c r="C657" s="417"/>
      <c r="D657" s="515"/>
      <c r="E657" s="515"/>
      <c r="F657" s="417"/>
      <c r="G657" s="417"/>
      <c r="H657" s="417"/>
      <c r="I657" s="417"/>
      <c r="J657" s="417"/>
    </row>
    <row r="658">
      <c r="A658" s="417"/>
      <c r="B658" s="417"/>
      <c r="C658" s="417"/>
      <c r="D658" s="515"/>
      <c r="E658" s="515"/>
      <c r="F658" s="417"/>
      <c r="G658" s="417"/>
      <c r="H658" s="417"/>
      <c r="I658" s="417"/>
      <c r="J658" s="417"/>
    </row>
    <row r="659">
      <c r="A659" s="417"/>
      <c r="B659" s="417"/>
      <c r="C659" s="417"/>
      <c r="D659" s="515"/>
      <c r="E659" s="515"/>
      <c r="F659" s="417"/>
      <c r="G659" s="417"/>
      <c r="H659" s="417"/>
      <c r="I659" s="417"/>
      <c r="J659" s="417"/>
    </row>
    <row r="660">
      <c r="A660" s="417"/>
      <c r="B660" s="417"/>
      <c r="C660" s="417"/>
      <c r="D660" s="515"/>
      <c r="E660" s="515"/>
      <c r="F660" s="417"/>
      <c r="G660" s="417"/>
      <c r="H660" s="417"/>
      <c r="I660" s="417"/>
      <c r="J660" s="417"/>
    </row>
    <row r="661">
      <c r="A661" s="417"/>
      <c r="B661" s="417"/>
      <c r="C661" s="417"/>
      <c r="D661" s="515"/>
      <c r="E661" s="515"/>
      <c r="F661" s="417"/>
      <c r="G661" s="417"/>
      <c r="H661" s="417"/>
      <c r="I661" s="417"/>
      <c r="J661" s="417"/>
    </row>
    <row r="662">
      <c r="A662" s="417"/>
      <c r="B662" s="417"/>
      <c r="C662" s="417"/>
      <c r="D662" s="515"/>
      <c r="E662" s="515"/>
      <c r="F662" s="417"/>
      <c r="G662" s="417"/>
      <c r="H662" s="417"/>
      <c r="I662" s="417"/>
      <c r="J662" s="417"/>
    </row>
    <row r="663">
      <c r="A663" s="417"/>
      <c r="B663" s="417"/>
      <c r="C663" s="417"/>
      <c r="D663" s="515"/>
      <c r="E663" s="515"/>
      <c r="F663" s="417"/>
      <c r="G663" s="417"/>
      <c r="H663" s="417"/>
      <c r="I663" s="417"/>
      <c r="J663" s="417"/>
    </row>
    <row r="664">
      <c r="A664" s="417"/>
      <c r="B664" s="417"/>
      <c r="C664" s="417"/>
      <c r="D664" s="515"/>
      <c r="E664" s="515"/>
      <c r="F664" s="417"/>
      <c r="G664" s="417"/>
      <c r="H664" s="417"/>
      <c r="I664" s="417"/>
      <c r="J664" s="417"/>
    </row>
    <row r="665">
      <c r="A665" s="417"/>
      <c r="B665" s="417"/>
      <c r="C665" s="417"/>
      <c r="D665" s="515"/>
      <c r="E665" s="515"/>
      <c r="F665" s="417"/>
      <c r="G665" s="417"/>
      <c r="H665" s="417"/>
      <c r="I665" s="417"/>
      <c r="J665" s="417"/>
    </row>
    <row r="666">
      <c r="A666" s="417"/>
      <c r="B666" s="417"/>
      <c r="C666" s="417"/>
      <c r="D666" s="515"/>
      <c r="E666" s="515"/>
      <c r="F666" s="417"/>
      <c r="G666" s="417"/>
      <c r="H666" s="417"/>
      <c r="I666" s="417"/>
      <c r="J666" s="417"/>
    </row>
    <row r="667">
      <c r="A667" s="417"/>
      <c r="B667" s="417"/>
      <c r="C667" s="417"/>
      <c r="D667" s="515"/>
      <c r="E667" s="515"/>
      <c r="F667" s="417"/>
      <c r="G667" s="417"/>
      <c r="H667" s="417"/>
      <c r="I667" s="417"/>
      <c r="J667" s="417"/>
    </row>
    <row r="668">
      <c r="A668" s="417"/>
      <c r="B668" s="417"/>
      <c r="C668" s="417"/>
      <c r="D668" s="515"/>
      <c r="E668" s="515"/>
      <c r="F668" s="417"/>
      <c r="G668" s="417"/>
      <c r="H668" s="417"/>
      <c r="I668" s="417"/>
      <c r="J668" s="417"/>
    </row>
    <row r="669">
      <c r="A669" s="417"/>
      <c r="B669" s="417"/>
      <c r="C669" s="417"/>
      <c r="D669" s="515"/>
      <c r="E669" s="515"/>
      <c r="F669" s="417"/>
      <c r="G669" s="417"/>
      <c r="H669" s="417"/>
      <c r="I669" s="417"/>
      <c r="J669" s="417"/>
    </row>
    <row r="670">
      <c r="A670" s="417"/>
      <c r="B670" s="417"/>
      <c r="C670" s="417"/>
      <c r="D670" s="515"/>
      <c r="E670" s="515"/>
      <c r="F670" s="417"/>
      <c r="G670" s="417"/>
      <c r="H670" s="417"/>
      <c r="I670" s="417"/>
      <c r="J670" s="417"/>
    </row>
    <row r="671">
      <c r="A671" s="417"/>
      <c r="B671" s="417"/>
      <c r="C671" s="417"/>
      <c r="D671" s="515"/>
      <c r="E671" s="515"/>
      <c r="F671" s="417"/>
      <c r="G671" s="417"/>
      <c r="H671" s="417"/>
      <c r="I671" s="417"/>
      <c r="J671" s="417"/>
    </row>
    <row r="672">
      <c r="A672" s="417"/>
      <c r="B672" s="417"/>
      <c r="C672" s="417"/>
      <c r="D672" s="515"/>
      <c r="E672" s="515"/>
      <c r="F672" s="417"/>
      <c r="G672" s="417"/>
      <c r="H672" s="417"/>
      <c r="I672" s="417"/>
      <c r="J672" s="417"/>
    </row>
    <row r="673">
      <c r="A673" s="417"/>
      <c r="B673" s="417"/>
      <c r="C673" s="417"/>
      <c r="D673" s="515"/>
      <c r="E673" s="515"/>
      <c r="F673" s="417"/>
      <c r="G673" s="417"/>
      <c r="H673" s="417"/>
      <c r="I673" s="417"/>
      <c r="J673" s="417"/>
    </row>
    <row r="674">
      <c r="A674" s="417"/>
      <c r="B674" s="417"/>
      <c r="C674" s="417"/>
      <c r="D674" s="515"/>
      <c r="E674" s="515"/>
      <c r="F674" s="417"/>
      <c r="G674" s="417"/>
      <c r="H674" s="417"/>
      <c r="I674" s="417"/>
      <c r="J674" s="417"/>
    </row>
    <row r="675">
      <c r="A675" s="417"/>
      <c r="B675" s="417"/>
      <c r="C675" s="417"/>
      <c r="D675" s="515"/>
      <c r="E675" s="515"/>
      <c r="F675" s="417"/>
      <c r="G675" s="417"/>
      <c r="H675" s="417"/>
      <c r="I675" s="417"/>
      <c r="J675" s="417"/>
    </row>
    <row r="676">
      <c r="A676" s="417"/>
      <c r="B676" s="417"/>
      <c r="C676" s="417"/>
      <c r="D676" s="515"/>
      <c r="E676" s="515"/>
      <c r="F676" s="417"/>
      <c r="G676" s="417"/>
      <c r="H676" s="417"/>
      <c r="I676" s="417"/>
      <c r="J676" s="417"/>
    </row>
    <row r="677">
      <c r="A677" s="417"/>
      <c r="B677" s="417"/>
      <c r="C677" s="417"/>
      <c r="D677" s="515"/>
      <c r="E677" s="515"/>
      <c r="F677" s="417"/>
      <c r="G677" s="417"/>
      <c r="H677" s="417"/>
      <c r="I677" s="417"/>
      <c r="J677" s="417"/>
    </row>
    <row r="678">
      <c r="A678" s="417"/>
      <c r="B678" s="417"/>
      <c r="C678" s="417"/>
      <c r="D678" s="515"/>
      <c r="E678" s="515"/>
      <c r="F678" s="417"/>
      <c r="G678" s="417"/>
      <c r="H678" s="417"/>
      <c r="I678" s="417"/>
      <c r="J678" s="417"/>
    </row>
    <row r="679">
      <c r="A679" s="417"/>
      <c r="B679" s="417"/>
      <c r="C679" s="417"/>
      <c r="D679" s="515"/>
      <c r="E679" s="515"/>
      <c r="F679" s="417"/>
      <c r="G679" s="417"/>
      <c r="H679" s="417"/>
      <c r="I679" s="417"/>
      <c r="J679" s="417"/>
    </row>
    <row r="680">
      <c r="A680" s="417"/>
      <c r="B680" s="417"/>
      <c r="C680" s="417"/>
      <c r="D680" s="515"/>
      <c r="E680" s="515"/>
      <c r="F680" s="417"/>
      <c r="G680" s="417"/>
      <c r="H680" s="417"/>
      <c r="I680" s="417"/>
      <c r="J680" s="417"/>
    </row>
    <row r="681">
      <c r="A681" s="417"/>
      <c r="B681" s="417"/>
      <c r="C681" s="417"/>
      <c r="D681" s="515"/>
      <c r="E681" s="515"/>
      <c r="F681" s="417"/>
      <c r="G681" s="417"/>
      <c r="H681" s="417"/>
      <c r="I681" s="417"/>
      <c r="J681" s="417"/>
    </row>
    <row r="682">
      <c r="A682" s="417"/>
      <c r="B682" s="417"/>
      <c r="C682" s="417"/>
      <c r="D682" s="515"/>
      <c r="E682" s="515"/>
      <c r="F682" s="417"/>
      <c r="G682" s="417"/>
      <c r="H682" s="417"/>
      <c r="I682" s="417"/>
      <c r="J682" s="417"/>
    </row>
    <row r="683">
      <c r="A683" s="417"/>
      <c r="B683" s="417"/>
      <c r="C683" s="417"/>
      <c r="D683" s="515"/>
      <c r="E683" s="515"/>
      <c r="F683" s="417"/>
      <c r="G683" s="417"/>
      <c r="H683" s="417"/>
      <c r="I683" s="417"/>
      <c r="J683" s="417"/>
    </row>
    <row r="684">
      <c r="A684" s="417"/>
      <c r="B684" s="417"/>
      <c r="C684" s="417"/>
      <c r="D684" s="515"/>
      <c r="E684" s="515"/>
      <c r="F684" s="417"/>
      <c r="G684" s="417"/>
      <c r="H684" s="417"/>
      <c r="I684" s="417"/>
      <c r="J684" s="417"/>
    </row>
    <row r="685">
      <c r="A685" s="417"/>
      <c r="B685" s="417"/>
      <c r="C685" s="417"/>
      <c r="D685" s="515"/>
      <c r="E685" s="515"/>
      <c r="F685" s="417"/>
      <c r="G685" s="417"/>
      <c r="H685" s="417"/>
      <c r="I685" s="417"/>
      <c r="J685" s="417"/>
    </row>
    <row r="686">
      <c r="A686" s="417"/>
      <c r="B686" s="417"/>
      <c r="C686" s="417"/>
      <c r="D686" s="515"/>
      <c r="E686" s="515"/>
      <c r="F686" s="417"/>
      <c r="G686" s="417"/>
      <c r="H686" s="417"/>
      <c r="I686" s="417"/>
      <c r="J686" s="417"/>
    </row>
    <row r="687">
      <c r="A687" s="417"/>
      <c r="B687" s="417"/>
      <c r="C687" s="417"/>
      <c r="D687" s="515"/>
      <c r="E687" s="515"/>
      <c r="F687" s="417"/>
      <c r="G687" s="417"/>
      <c r="H687" s="417"/>
      <c r="I687" s="417"/>
      <c r="J687" s="417"/>
    </row>
    <row r="688">
      <c r="A688" s="417"/>
      <c r="B688" s="417"/>
      <c r="C688" s="417"/>
      <c r="D688" s="515"/>
      <c r="E688" s="515"/>
      <c r="F688" s="417"/>
      <c r="G688" s="417"/>
      <c r="H688" s="417"/>
      <c r="I688" s="417"/>
      <c r="J688" s="417"/>
    </row>
    <row r="689">
      <c r="A689" s="417"/>
      <c r="B689" s="417"/>
      <c r="C689" s="417"/>
      <c r="D689" s="515"/>
      <c r="E689" s="515"/>
      <c r="F689" s="417"/>
      <c r="G689" s="417"/>
      <c r="H689" s="417"/>
      <c r="I689" s="417"/>
      <c r="J689" s="417"/>
    </row>
    <row r="690">
      <c r="A690" s="417"/>
      <c r="B690" s="417"/>
      <c r="C690" s="417"/>
      <c r="D690" s="515"/>
      <c r="E690" s="515"/>
      <c r="F690" s="417"/>
      <c r="G690" s="417"/>
      <c r="H690" s="417"/>
      <c r="I690" s="417"/>
      <c r="J690" s="417"/>
    </row>
    <row r="691">
      <c r="A691" s="417"/>
      <c r="B691" s="417"/>
      <c r="C691" s="417"/>
      <c r="D691" s="515"/>
      <c r="E691" s="515"/>
      <c r="F691" s="417"/>
      <c r="G691" s="417"/>
      <c r="H691" s="417"/>
      <c r="I691" s="417"/>
      <c r="J691" s="417"/>
    </row>
    <row r="692">
      <c r="A692" s="417"/>
      <c r="B692" s="417"/>
      <c r="C692" s="417"/>
      <c r="D692" s="515"/>
      <c r="E692" s="515"/>
      <c r="F692" s="417"/>
      <c r="G692" s="417"/>
      <c r="H692" s="417"/>
      <c r="I692" s="417"/>
      <c r="J692" s="417"/>
    </row>
    <row r="693">
      <c r="A693" s="417"/>
      <c r="B693" s="417"/>
      <c r="C693" s="417"/>
      <c r="D693" s="515"/>
      <c r="E693" s="515"/>
      <c r="F693" s="417"/>
      <c r="G693" s="417"/>
      <c r="H693" s="417"/>
      <c r="I693" s="417"/>
      <c r="J693" s="417"/>
    </row>
    <row r="694">
      <c r="A694" s="417"/>
      <c r="B694" s="417"/>
      <c r="C694" s="417"/>
      <c r="D694" s="515"/>
      <c r="E694" s="515"/>
      <c r="F694" s="417"/>
      <c r="G694" s="417"/>
      <c r="H694" s="417"/>
      <c r="I694" s="417"/>
      <c r="J694" s="417"/>
    </row>
    <row r="695">
      <c r="A695" s="417"/>
      <c r="B695" s="417"/>
      <c r="C695" s="417"/>
      <c r="D695" s="515"/>
      <c r="E695" s="515"/>
      <c r="F695" s="417"/>
      <c r="G695" s="417"/>
      <c r="H695" s="417"/>
      <c r="I695" s="417"/>
      <c r="J695" s="417"/>
    </row>
    <row r="696">
      <c r="A696" s="417"/>
      <c r="B696" s="417"/>
      <c r="C696" s="417"/>
      <c r="D696" s="515"/>
      <c r="E696" s="515"/>
      <c r="F696" s="417"/>
      <c r="G696" s="417"/>
      <c r="H696" s="417"/>
      <c r="I696" s="417"/>
      <c r="J696" s="417"/>
    </row>
    <row r="697">
      <c r="A697" s="417"/>
      <c r="B697" s="417"/>
      <c r="C697" s="417"/>
      <c r="D697" s="515"/>
      <c r="E697" s="515"/>
      <c r="F697" s="417"/>
      <c r="G697" s="417"/>
      <c r="H697" s="417"/>
      <c r="I697" s="417"/>
      <c r="J697" s="417"/>
    </row>
    <row r="698">
      <c r="A698" s="417"/>
      <c r="B698" s="417"/>
      <c r="C698" s="417"/>
      <c r="D698" s="515"/>
      <c r="E698" s="515"/>
      <c r="F698" s="417"/>
      <c r="G698" s="417"/>
      <c r="H698" s="417"/>
      <c r="I698" s="417"/>
      <c r="J698" s="417"/>
    </row>
    <row r="699">
      <c r="A699" s="417"/>
      <c r="B699" s="417"/>
      <c r="C699" s="417"/>
      <c r="D699" s="515"/>
      <c r="E699" s="515"/>
      <c r="F699" s="417"/>
      <c r="G699" s="417"/>
      <c r="H699" s="417"/>
      <c r="I699" s="417"/>
      <c r="J699" s="417"/>
    </row>
    <row r="700">
      <c r="A700" s="417"/>
      <c r="B700" s="417"/>
      <c r="C700" s="417"/>
      <c r="D700" s="515"/>
      <c r="E700" s="515"/>
      <c r="F700" s="417"/>
      <c r="G700" s="417"/>
      <c r="H700" s="417"/>
      <c r="I700" s="417"/>
      <c r="J700" s="417"/>
    </row>
    <row r="701">
      <c r="A701" s="417"/>
      <c r="B701" s="417"/>
      <c r="C701" s="417"/>
      <c r="D701" s="515"/>
      <c r="E701" s="515"/>
      <c r="F701" s="417"/>
      <c r="G701" s="417"/>
      <c r="H701" s="417"/>
      <c r="I701" s="417"/>
      <c r="J701" s="417"/>
    </row>
    <row r="702">
      <c r="A702" s="417"/>
      <c r="B702" s="417"/>
      <c r="C702" s="417"/>
      <c r="D702" s="515"/>
      <c r="E702" s="515"/>
      <c r="F702" s="417"/>
      <c r="G702" s="417"/>
      <c r="H702" s="417"/>
      <c r="I702" s="417"/>
      <c r="J702" s="417"/>
    </row>
    <row r="703">
      <c r="A703" s="417"/>
      <c r="B703" s="417"/>
      <c r="C703" s="417"/>
      <c r="D703" s="515"/>
      <c r="E703" s="515"/>
      <c r="F703" s="417"/>
      <c r="G703" s="417"/>
      <c r="H703" s="417"/>
      <c r="I703" s="417"/>
      <c r="J703" s="417"/>
    </row>
    <row r="704">
      <c r="A704" s="417"/>
      <c r="B704" s="417"/>
      <c r="C704" s="417"/>
      <c r="D704" s="515"/>
      <c r="E704" s="515"/>
      <c r="F704" s="417"/>
      <c r="G704" s="417"/>
      <c r="H704" s="417"/>
      <c r="I704" s="417"/>
      <c r="J704" s="417"/>
    </row>
    <row r="705">
      <c r="A705" s="417"/>
      <c r="B705" s="417"/>
      <c r="C705" s="417"/>
      <c r="D705" s="515"/>
      <c r="E705" s="515"/>
      <c r="F705" s="417"/>
      <c r="G705" s="417"/>
      <c r="H705" s="417"/>
      <c r="I705" s="417"/>
      <c r="J705" s="417"/>
    </row>
    <row r="706">
      <c r="A706" s="417"/>
      <c r="B706" s="417"/>
      <c r="C706" s="417"/>
      <c r="D706" s="515"/>
      <c r="E706" s="515"/>
      <c r="F706" s="417"/>
      <c r="G706" s="417"/>
      <c r="H706" s="417"/>
      <c r="I706" s="417"/>
      <c r="J706" s="417"/>
    </row>
    <row r="707">
      <c r="A707" s="417"/>
      <c r="B707" s="417"/>
      <c r="C707" s="417"/>
      <c r="D707" s="515"/>
      <c r="E707" s="515"/>
      <c r="F707" s="417"/>
      <c r="G707" s="417"/>
      <c r="H707" s="417"/>
      <c r="I707" s="417"/>
      <c r="J707" s="417"/>
    </row>
    <row r="708">
      <c r="A708" s="417"/>
      <c r="B708" s="417"/>
      <c r="C708" s="417"/>
      <c r="D708" s="515"/>
      <c r="E708" s="515"/>
      <c r="F708" s="417"/>
      <c r="G708" s="417"/>
      <c r="H708" s="417"/>
      <c r="I708" s="417"/>
      <c r="J708" s="417"/>
    </row>
    <row r="709">
      <c r="A709" s="417"/>
      <c r="B709" s="417"/>
      <c r="C709" s="417"/>
      <c r="D709" s="515"/>
      <c r="E709" s="515"/>
      <c r="F709" s="417"/>
      <c r="G709" s="417"/>
      <c r="H709" s="417"/>
      <c r="I709" s="417"/>
      <c r="J709" s="417"/>
    </row>
    <row r="710">
      <c r="A710" s="417"/>
      <c r="B710" s="417"/>
      <c r="C710" s="417"/>
      <c r="D710" s="515"/>
      <c r="E710" s="515"/>
      <c r="F710" s="417"/>
      <c r="G710" s="417"/>
      <c r="H710" s="417"/>
      <c r="I710" s="417"/>
      <c r="J710" s="417"/>
    </row>
    <row r="711">
      <c r="A711" s="417"/>
      <c r="B711" s="417"/>
      <c r="C711" s="417"/>
      <c r="D711" s="515"/>
      <c r="E711" s="515"/>
      <c r="F711" s="417"/>
      <c r="G711" s="417"/>
      <c r="H711" s="417"/>
      <c r="I711" s="417"/>
      <c r="J711" s="417"/>
    </row>
    <row r="712">
      <c r="A712" s="417"/>
      <c r="B712" s="417"/>
      <c r="C712" s="417"/>
      <c r="D712" s="515"/>
      <c r="E712" s="515"/>
      <c r="F712" s="417"/>
      <c r="G712" s="417"/>
      <c r="H712" s="417"/>
      <c r="I712" s="417"/>
      <c r="J712" s="417"/>
    </row>
    <row r="713">
      <c r="A713" s="417"/>
      <c r="B713" s="417"/>
      <c r="C713" s="417"/>
      <c r="D713" s="515"/>
      <c r="E713" s="515"/>
      <c r="F713" s="417"/>
      <c r="G713" s="417"/>
      <c r="H713" s="417"/>
      <c r="I713" s="417"/>
      <c r="J713" s="417"/>
    </row>
    <row r="714">
      <c r="A714" s="417"/>
      <c r="B714" s="417"/>
      <c r="C714" s="417"/>
      <c r="D714" s="515"/>
      <c r="E714" s="515"/>
      <c r="F714" s="417"/>
      <c r="G714" s="417"/>
      <c r="H714" s="417"/>
      <c r="I714" s="417"/>
      <c r="J714" s="417"/>
    </row>
    <row r="715">
      <c r="A715" s="417"/>
      <c r="B715" s="417"/>
      <c r="C715" s="417"/>
      <c r="D715" s="515"/>
      <c r="E715" s="515"/>
      <c r="F715" s="417"/>
      <c r="G715" s="417"/>
      <c r="H715" s="417"/>
      <c r="I715" s="417"/>
      <c r="J715" s="417"/>
    </row>
    <row r="716">
      <c r="A716" s="417"/>
      <c r="B716" s="417"/>
      <c r="C716" s="417"/>
      <c r="D716" s="515"/>
      <c r="E716" s="515"/>
      <c r="F716" s="417"/>
      <c r="G716" s="417"/>
      <c r="H716" s="417"/>
      <c r="I716" s="417"/>
      <c r="J716" s="417"/>
    </row>
    <row r="717">
      <c r="A717" s="417"/>
      <c r="B717" s="417"/>
      <c r="C717" s="417"/>
      <c r="D717" s="515"/>
      <c r="E717" s="515"/>
      <c r="F717" s="417"/>
      <c r="G717" s="417"/>
      <c r="H717" s="417"/>
      <c r="I717" s="417"/>
      <c r="J717" s="417"/>
    </row>
    <row r="718">
      <c r="A718" s="417"/>
      <c r="B718" s="417"/>
      <c r="C718" s="417"/>
      <c r="D718" s="515"/>
      <c r="E718" s="515"/>
      <c r="F718" s="417"/>
      <c r="G718" s="417"/>
      <c r="H718" s="417"/>
      <c r="I718" s="417"/>
      <c r="J718" s="417"/>
    </row>
    <row r="719">
      <c r="A719" s="417"/>
      <c r="B719" s="417"/>
      <c r="C719" s="417"/>
      <c r="D719" s="515"/>
      <c r="E719" s="515"/>
      <c r="F719" s="417"/>
      <c r="G719" s="417"/>
      <c r="H719" s="417"/>
      <c r="I719" s="417"/>
      <c r="J719" s="417"/>
    </row>
    <row r="720">
      <c r="A720" s="417"/>
      <c r="B720" s="417"/>
      <c r="C720" s="417"/>
      <c r="D720" s="515"/>
      <c r="E720" s="515"/>
      <c r="F720" s="417"/>
      <c r="G720" s="417"/>
      <c r="H720" s="417"/>
      <c r="I720" s="417"/>
      <c r="J720" s="417"/>
    </row>
    <row r="721">
      <c r="A721" s="417"/>
      <c r="B721" s="417"/>
      <c r="C721" s="417"/>
      <c r="D721" s="515"/>
      <c r="E721" s="515"/>
      <c r="F721" s="417"/>
      <c r="G721" s="417"/>
      <c r="H721" s="417"/>
      <c r="I721" s="417"/>
      <c r="J721" s="417"/>
    </row>
    <row r="722">
      <c r="A722" s="417"/>
      <c r="B722" s="417"/>
      <c r="C722" s="417"/>
      <c r="D722" s="515"/>
      <c r="E722" s="515"/>
      <c r="F722" s="417"/>
      <c r="G722" s="417"/>
      <c r="H722" s="417"/>
      <c r="I722" s="417"/>
      <c r="J722" s="417"/>
    </row>
    <row r="723">
      <c r="A723" s="417"/>
      <c r="B723" s="417"/>
      <c r="C723" s="417"/>
      <c r="D723" s="515"/>
      <c r="E723" s="515"/>
      <c r="F723" s="417"/>
      <c r="G723" s="417"/>
      <c r="H723" s="417"/>
      <c r="I723" s="417"/>
      <c r="J723" s="417"/>
    </row>
    <row r="724">
      <c r="A724" s="417"/>
      <c r="B724" s="417"/>
      <c r="C724" s="417"/>
      <c r="D724" s="515"/>
      <c r="E724" s="515"/>
      <c r="F724" s="417"/>
      <c r="G724" s="417"/>
      <c r="H724" s="417"/>
      <c r="I724" s="417"/>
      <c r="J724" s="417"/>
    </row>
    <row r="725">
      <c r="A725" s="417"/>
      <c r="B725" s="417"/>
      <c r="C725" s="417"/>
      <c r="D725" s="515"/>
      <c r="E725" s="515"/>
      <c r="F725" s="417"/>
      <c r="G725" s="417"/>
      <c r="H725" s="417"/>
      <c r="I725" s="417"/>
      <c r="J725" s="417"/>
    </row>
    <row r="726">
      <c r="A726" s="417"/>
      <c r="B726" s="417"/>
      <c r="C726" s="417"/>
      <c r="D726" s="515"/>
      <c r="E726" s="515"/>
      <c r="F726" s="417"/>
      <c r="G726" s="417"/>
      <c r="H726" s="417"/>
      <c r="I726" s="417"/>
      <c r="J726" s="417"/>
    </row>
    <row r="727">
      <c r="A727" s="417"/>
      <c r="B727" s="417"/>
      <c r="C727" s="417"/>
      <c r="D727" s="515"/>
      <c r="E727" s="515"/>
      <c r="F727" s="417"/>
      <c r="G727" s="417"/>
      <c r="H727" s="417"/>
      <c r="I727" s="417"/>
      <c r="J727" s="417"/>
    </row>
    <row r="728">
      <c r="A728" s="417"/>
      <c r="B728" s="417"/>
      <c r="C728" s="417"/>
      <c r="D728" s="515"/>
      <c r="E728" s="515"/>
      <c r="F728" s="417"/>
      <c r="G728" s="417"/>
      <c r="H728" s="417"/>
      <c r="I728" s="417"/>
      <c r="J728" s="417"/>
    </row>
    <row r="729">
      <c r="A729" s="417"/>
      <c r="B729" s="417"/>
      <c r="C729" s="417"/>
      <c r="D729" s="515"/>
      <c r="E729" s="515"/>
      <c r="F729" s="417"/>
      <c r="G729" s="417"/>
      <c r="H729" s="417"/>
      <c r="I729" s="417"/>
      <c r="J729" s="417"/>
    </row>
    <row r="730">
      <c r="A730" s="417"/>
      <c r="B730" s="417"/>
      <c r="C730" s="417"/>
      <c r="D730" s="515"/>
      <c r="E730" s="515"/>
      <c r="F730" s="417"/>
      <c r="G730" s="417"/>
      <c r="H730" s="417"/>
      <c r="I730" s="417"/>
      <c r="J730" s="417"/>
    </row>
    <row r="731">
      <c r="A731" s="417"/>
      <c r="B731" s="417"/>
      <c r="C731" s="417"/>
      <c r="D731" s="515"/>
      <c r="E731" s="515"/>
      <c r="F731" s="417"/>
      <c r="G731" s="417"/>
      <c r="H731" s="417"/>
      <c r="I731" s="417"/>
      <c r="J731" s="417"/>
    </row>
    <row r="732">
      <c r="A732" s="417"/>
      <c r="B732" s="417"/>
      <c r="C732" s="417"/>
      <c r="D732" s="515"/>
      <c r="E732" s="515"/>
      <c r="F732" s="417"/>
      <c r="G732" s="417"/>
      <c r="H732" s="417"/>
      <c r="I732" s="417"/>
      <c r="J732" s="417"/>
    </row>
    <row r="733">
      <c r="A733" s="417"/>
      <c r="B733" s="417"/>
      <c r="C733" s="417"/>
      <c r="D733" s="515"/>
      <c r="E733" s="515"/>
      <c r="F733" s="417"/>
      <c r="G733" s="417"/>
      <c r="H733" s="417"/>
      <c r="I733" s="417"/>
      <c r="J733" s="417"/>
    </row>
    <row r="734">
      <c r="A734" s="417"/>
      <c r="B734" s="417"/>
      <c r="C734" s="417"/>
      <c r="D734" s="515"/>
      <c r="E734" s="515"/>
      <c r="F734" s="417"/>
      <c r="G734" s="417"/>
      <c r="H734" s="417"/>
      <c r="I734" s="417"/>
      <c r="J734" s="417"/>
    </row>
    <row r="735">
      <c r="A735" s="417"/>
      <c r="B735" s="417"/>
      <c r="C735" s="417"/>
      <c r="D735" s="515"/>
      <c r="E735" s="515"/>
      <c r="F735" s="417"/>
      <c r="G735" s="417"/>
      <c r="H735" s="417"/>
      <c r="I735" s="417"/>
      <c r="J735" s="417"/>
    </row>
    <row r="736">
      <c r="A736" s="417"/>
      <c r="B736" s="417"/>
      <c r="C736" s="417"/>
      <c r="D736" s="515"/>
      <c r="E736" s="515"/>
      <c r="F736" s="417"/>
      <c r="G736" s="417"/>
      <c r="H736" s="417"/>
      <c r="I736" s="417"/>
      <c r="J736" s="417"/>
    </row>
    <row r="737">
      <c r="A737" s="417"/>
      <c r="B737" s="417"/>
      <c r="C737" s="417"/>
      <c r="D737" s="515"/>
      <c r="E737" s="515"/>
      <c r="F737" s="417"/>
      <c r="G737" s="417"/>
      <c r="H737" s="417"/>
      <c r="I737" s="417"/>
      <c r="J737" s="417"/>
    </row>
    <row r="738">
      <c r="A738" s="417"/>
      <c r="B738" s="417"/>
      <c r="C738" s="417"/>
      <c r="D738" s="515"/>
      <c r="E738" s="515"/>
      <c r="F738" s="417"/>
      <c r="G738" s="417"/>
      <c r="H738" s="417"/>
      <c r="I738" s="417"/>
      <c r="J738" s="417"/>
    </row>
    <row r="739">
      <c r="A739" s="417"/>
      <c r="B739" s="417"/>
      <c r="C739" s="417"/>
      <c r="D739" s="515"/>
      <c r="E739" s="515"/>
      <c r="F739" s="417"/>
      <c r="G739" s="417"/>
      <c r="H739" s="417"/>
      <c r="I739" s="417"/>
      <c r="J739" s="417"/>
    </row>
    <row r="740">
      <c r="A740" s="417"/>
      <c r="B740" s="417"/>
      <c r="C740" s="417"/>
      <c r="D740" s="515"/>
      <c r="E740" s="515"/>
      <c r="F740" s="417"/>
      <c r="G740" s="417"/>
      <c r="H740" s="417"/>
      <c r="I740" s="417"/>
      <c r="J740" s="417"/>
    </row>
    <row r="741">
      <c r="A741" s="417"/>
      <c r="B741" s="417"/>
      <c r="C741" s="417"/>
      <c r="D741" s="515"/>
      <c r="E741" s="515"/>
      <c r="F741" s="417"/>
      <c r="G741" s="417"/>
      <c r="H741" s="417"/>
      <c r="I741" s="417"/>
      <c r="J741" s="417"/>
    </row>
    <row r="742">
      <c r="A742" s="417"/>
      <c r="B742" s="417"/>
      <c r="C742" s="417"/>
      <c r="D742" s="515"/>
      <c r="E742" s="515"/>
      <c r="F742" s="417"/>
      <c r="G742" s="417"/>
      <c r="H742" s="417"/>
      <c r="I742" s="417"/>
      <c r="J742" s="417"/>
    </row>
    <row r="743">
      <c r="A743" s="417"/>
      <c r="B743" s="417"/>
      <c r="C743" s="417"/>
      <c r="D743" s="515"/>
      <c r="E743" s="515"/>
      <c r="F743" s="417"/>
      <c r="G743" s="417"/>
      <c r="H743" s="417"/>
      <c r="I743" s="417"/>
      <c r="J743" s="417"/>
    </row>
    <row r="744">
      <c r="A744" s="417"/>
      <c r="B744" s="417"/>
      <c r="C744" s="417"/>
      <c r="D744" s="515"/>
      <c r="E744" s="515"/>
      <c r="F744" s="417"/>
      <c r="G744" s="417"/>
      <c r="H744" s="417"/>
      <c r="I744" s="417"/>
      <c r="J744" s="417"/>
    </row>
    <row r="745">
      <c r="A745" s="417"/>
      <c r="B745" s="417"/>
      <c r="C745" s="417"/>
      <c r="D745" s="515"/>
      <c r="E745" s="515"/>
      <c r="F745" s="417"/>
      <c r="G745" s="417"/>
      <c r="H745" s="417"/>
      <c r="I745" s="417"/>
      <c r="J745" s="417"/>
    </row>
    <row r="746">
      <c r="A746" s="417"/>
      <c r="B746" s="417"/>
      <c r="C746" s="417"/>
      <c r="D746" s="515"/>
      <c r="E746" s="515"/>
      <c r="F746" s="417"/>
      <c r="G746" s="417"/>
      <c r="H746" s="417"/>
      <c r="I746" s="417"/>
      <c r="J746" s="417"/>
    </row>
    <row r="747">
      <c r="A747" s="417"/>
      <c r="B747" s="417"/>
      <c r="C747" s="417"/>
      <c r="D747" s="515"/>
      <c r="E747" s="515"/>
      <c r="F747" s="417"/>
      <c r="G747" s="417"/>
      <c r="H747" s="417"/>
      <c r="I747" s="417"/>
      <c r="J747" s="417"/>
    </row>
    <row r="748">
      <c r="A748" s="417"/>
      <c r="B748" s="417"/>
      <c r="C748" s="417"/>
      <c r="D748" s="515"/>
      <c r="E748" s="515"/>
      <c r="F748" s="417"/>
      <c r="G748" s="417"/>
      <c r="H748" s="417"/>
      <c r="I748" s="417"/>
      <c r="J748" s="417"/>
    </row>
    <row r="749">
      <c r="A749" s="417"/>
      <c r="B749" s="417"/>
      <c r="C749" s="417"/>
      <c r="D749" s="515"/>
      <c r="E749" s="515"/>
      <c r="F749" s="417"/>
      <c r="G749" s="417"/>
      <c r="H749" s="417"/>
      <c r="I749" s="417"/>
      <c r="J749" s="417"/>
    </row>
    <row r="750">
      <c r="A750" s="417"/>
      <c r="B750" s="417"/>
      <c r="C750" s="417"/>
      <c r="D750" s="515"/>
      <c r="E750" s="515"/>
      <c r="F750" s="417"/>
      <c r="G750" s="417"/>
      <c r="H750" s="417"/>
      <c r="I750" s="417"/>
      <c r="J750" s="417"/>
    </row>
    <row r="751">
      <c r="A751" s="417"/>
      <c r="B751" s="417"/>
      <c r="C751" s="417"/>
      <c r="D751" s="515"/>
      <c r="E751" s="515"/>
      <c r="F751" s="417"/>
      <c r="G751" s="417"/>
      <c r="H751" s="417"/>
      <c r="I751" s="417"/>
      <c r="J751" s="417"/>
    </row>
    <row r="752">
      <c r="A752" s="417"/>
      <c r="B752" s="417"/>
      <c r="C752" s="417"/>
      <c r="D752" s="515"/>
      <c r="E752" s="515"/>
      <c r="F752" s="417"/>
      <c r="G752" s="417"/>
      <c r="H752" s="417"/>
      <c r="I752" s="417"/>
      <c r="J752" s="417"/>
    </row>
    <row r="753">
      <c r="A753" s="417"/>
      <c r="B753" s="417"/>
      <c r="C753" s="417"/>
      <c r="D753" s="515"/>
      <c r="E753" s="515"/>
      <c r="F753" s="417"/>
      <c r="G753" s="417"/>
      <c r="H753" s="417"/>
      <c r="I753" s="417"/>
      <c r="J753" s="417"/>
    </row>
    <row r="754">
      <c r="A754" s="417"/>
      <c r="B754" s="417"/>
      <c r="C754" s="417"/>
      <c r="D754" s="515"/>
      <c r="E754" s="515"/>
      <c r="F754" s="417"/>
      <c r="G754" s="417"/>
      <c r="H754" s="417"/>
      <c r="I754" s="417"/>
      <c r="J754" s="417"/>
    </row>
    <row r="755">
      <c r="A755" s="417"/>
      <c r="B755" s="417"/>
      <c r="C755" s="417"/>
      <c r="D755" s="515"/>
      <c r="E755" s="515"/>
      <c r="F755" s="417"/>
      <c r="G755" s="417"/>
      <c r="H755" s="417"/>
      <c r="I755" s="417"/>
      <c r="J755" s="417"/>
    </row>
    <row r="756">
      <c r="A756" s="417"/>
      <c r="B756" s="417"/>
      <c r="C756" s="417"/>
      <c r="D756" s="515"/>
      <c r="E756" s="515"/>
      <c r="F756" s="417"/>
      <c r="G756" s="417"/>
      <c r="H756" s="417"/>
      <c r="I756" s="417"/>
      <c r="J756" s="417"/>
    </row>
    <row r="757">
      <c r="A757" s="417"/>
      <c r="B757" s="417"/>
      <c r="C757" s="417"/>
      <c r="D757" s="515"/>
      <c r="E757" s="515"/>
      <c r="F757" s="417"/>
      <c r="G757" s="417"/>
      <c r="H757" s="417"/>
      <c r="I757" s="417"/>
      <c r="J757" s="417"/>
    </row>
    <row r="758">
      <c r="A758" s="417"/>
      <c r="B758" s="417"/>
      <c r="C758" s="417"/>
      <c r="D758" s="515"/>
      <c r="E758" s="515"/>
      <c r="F758" s="417"/>
      <c r="G758" s="417"/>
      <c r="H758" s="417"/>
      <c r="I758" s="417"/>
      <c r="J758" s="417"/>
    </row>
    <row r="759">
      <c r="A759" s="417"/>
      <c r="B759" s="417"/>
      <c r="C759" s="417"/>
      <c r="D759" s="515"/>
      <c r="E759" s="515"/>
      <c r="F759" s="417"/>
      <c r="G759" s="417"/>
      <c r="H759" s="417"/>
      <c r="I759" s="417"/>
      <c r="J759" s="417"/>
    </row>
    <row r="760">
      <c r="A760" s="417"/>
      <c r="B760" s="417"/>
      <c r="C760" s="417"/>
      <c r="D760" s="515"/>
      <c r="E760" s="515"/>
      <c r="F760" s="417"/>
      <c r="G760" s="417"/>
      <c r="H760" s="417"/>
      <c r="I760" s="417"/>
      <c r="J760" s="417"/>
    </row>
    <row r="761">
      <c r="A761" s="417"/>
      <c r="B761" s="417"/>
      <c r="C761" s="417"/>
      <c r="D761" s="515"/>
      <c r="E761" s="515"/>
      <c r="F761" s="417"/>
      <c r="G761" s="417"/>
      <c r="H761" s="417"/>
      <c r="I761" s="417"/>
      <c r="J761" s="417"/>
    </row>
    <row r="762">
      <c r="A762" s="417"/>
      <c r="B762" s="417"/>
      <c r="C762" s="417"/>
      <c r="D762" s="515"/>
      <c r="E762" s="515"/>
      <c r="F762" s="417"/>
      <c r="G762" s="417"/>
      <c r="H762" s="417"/>
      <c r="I762" s="417"/>
      <c r="J762" s="417"/>
    </row>
    <row r="763">
      <c r="A763" s="417"/>
      <c r="B763" s="417"/>
      <c r="C763" s="417"/>
      <c r="D763" s="515"/>
      <c r="E763" s="515"/>
      <c r="F763" s="417"/>
      <c r="G763" s="417"/>
      <c r="H763" s="417"/>
      <c r="I763" s="417"/>
      <c r="J763" s="417"/>
    </row>
    <row r="764">
      <c r="A764" s="417"/>
      <c r="B764" s="417"/>
      <c r="C764" s="417"/>
      <c r="D764" s="515"/>
      <c r="E764" s="515"/>
      <c r="F764" s="417"/>
      <c r="G764" s="417"/>
      <c r="H764" s="417"/>
      <c r="I764" s="417"/>
      <c r="J764" s="417"/>
    </row>
    <row r="765">
      <c r="A765" s="417"/>
      <c r="B765" s="417"/>
      <c r="C765" s="417"/>
      <c r="D765" s="515"/>
      <c r="E765" s="515"/>
      <c r="F765" s="417"/>
      <c r="G765" s="417"/>
      <c r="H765" s="417"/>
      <c r="I765" s="417"/>
      <c r="J765" s="417"/>
    </row>
    <row r="766">
      <c r="A766" s="417"/>
      <c r="B766" s="417"/>
      <c r="C766" s="417"/>
      <c r="D766" s="515"/>
      <c r="E766" s="515"/>
      <c r="F766" s="417"/>
      <c r="G766" s="417"/>
      <c r="H766" s="417"/>
      <c r="I766" s="417"/>
      <c r="J766" s="417"/>
    </row>
    <row r="767">
      <c r="A767" s="417"/>
      <c r="B767" s="417"/>
      <c r="C767" s="417"/>
      <c r="D767" s="515"/>
      <c r="E767" s="515"/>
      <c r="F767" s="417"/>
      <c r="G767" s="417"/>
      <c r="H767" s="417"/>
      <c r="I767" s="417"/>
      <c r="J767" s="417"/>
    </row>
    <row r="768">
      <c r="A768" s="417"/>
      <c r="B768" s="417"/>
      <c r="C768" s="417"/>
      <c r="D768" s="515"/>
      <c r="E768" s="515"/>
      <c r="F768" s="417"/>
      <c r="G768" s="417"/>
      <c r="H768" s="417"/>
      <c r="I768" s="417"/>
      <c r="J768" s="417"/>
    </row>
    <row r="769">
      <c r="A769" s="417"/>
      <c r="B769" s="417"/>
      <c r="C769" s="417"/>
      <c r="D769" s="515"/>
      <c r="E769" s="515"/>
      <c r="F769" s="417"/>
      <c r="G769" s="417"/>
      <c r="H769" s="417"/>
      <c r="I769" s="417"/>
      <c r="J769" s="417"/>
    </row>
    <row r="770">
      <c r="A770" s="417"/>
      <c r="B770" s="417"/>
      <c r="C770" s="417"/>
      <c r="D770" s="515"/>
      <c r="E770" s="515"/>
      <c r="F770" s="417"/>
      <c r="G770" s="417"/>
      <c r="H770" s="417"/>
      <c r="I770" s="417"/>
      <c r="J770" s="417"/>
    </row>
    <row r="771">
      <c r="A771" s="417"/>
      <c r="B771" s="417"/>
      <c r="C771" s="417"/>
      <c r="D771" s="515"/>
      <c r="E771" s="515"/>
      <c r="F771" s="417"/>
      <c r="G771" s="417"/>
      <c r="H771" s="417"/>
      <c r="I771" s="417"/>
      <c r="J771" s="417"/>
    </row>
    <row r="772">
      <c r="A772" s="417"/>
      <c r="B772" s="417"/>
      <c r="C772" s="417"/>
      <c r="D772" s="515"/>
      <c r="E772" s="515"/>
      <c r="F772" s="417"/>
      <c r="G772" s="417"/>
      <c r="H772" s="417"/>
      <c r="I772" s="417"/>
      <c r="J772" s="417"/>
    </row>
    <row r="773">
      <c r="A773" s="417"/>
      <c r="B773" s="417"/>
      <c r="C773" s="417"/>
      <c r="D773" s="515"/>
      <c r="E773" s="515"/>
      <c r="F773" s="417"/>
      <c r="G773" s="417"/>
      <c r="H773" s="417"/>
      <c r="I773" s="417"/>
      <c r="J773" s="417"/>
    </row>
    <row r="774">
      <c r="A774" s="417"/>
      <c r="B774" s="417"/>
      <c r="C774" s="417"/>
      <c r="D774" s="515"/>
      <c r="E774" s="515"/>
      <c r="F774" s="417"/>
      <c r="G774" s="417"/>
      <c r="H774" s="417"/>
      <c r="I774" s="417"/>
      <c r="J774" s="417"/>
    </row>
    <row r="775">
      <c r="A775" s="417"/>
      <c r="B775" s="417"/>
      <c r="C775" s="417"/>
      <c r="D775" s="515"/>
      <c r="E775" s="515"/>
      <c r="F775" s="417"/>
      <c r="G775" s="417"/>
      <c r="H775" s="417"/>
      <c r="I775" s="417"/>
      <c r="J775" s="417"/>
    </row>
    <row r="776">
      <c r="A776" s="417"/>
      <c r="B776" s="417"/>
      <c r="C776" s="417"/>
      <c r="D776" s="515"/>
      <c r="E776" s="515"/>
      <c r="F776" s="417"/>
      <c r="G776" s="417"/>
      <c r="H776" s="417"/>
      <c r="I776" s="417"/>
      <c r="J776" s="417"/>
    </row>
    <row r="777">
      <c r="A777" s="417"/>
      <c r="B777" s="417"/>
      <c r="C777" s="417"/>
      <c r="D777" s="515"/>
      <c r="E777" s="515"/>
      <c r="F777" s="417"/>
      <c r="G777" s="417"/>
      <c r="H777" s="417"/>
      <c r="I777" s="417"/>
      <c r="J777" s="417"/>
    </row>
    <row r="778">
      <c r="A778" s="417"/>
      <c r="B778" s="417"/>
      <c r="C778" s="417"/>
      <c r="D778" s="515"/>
      <c r="E778" s="515"/>
      <c r="F778" s="417"/>
      <c r="G778" s="417"/>
      <c r="H778" s="417"/>
      <c r="I778" s="417"/>
      <c r="J778" s="417"/>
    </row>
    <row r="779">
      <c r="A779" s="417"/>
      <c r="B779" s="417"/>
      <c r="C779" s="417"/>
      <c r="D779" s="515"/>
      <c r="E779" s="515"/>
      <c r="F779" s="417"/>
      <c r="G779" s="417"/>
      <c r="H779" s="417"/>
      <c r="I779" s="417"/>
      <c r="J779" s="417"/>
    </row>
    <row r="780">
      <c r="A780" s="417"/>
      <c r="B780" s="417"/>
      <c r="C780" s="417"/>
      <c r="D780" s="515"/>
      <c r="E780" s="515"/>
      <c r="F780" s="417"/>
      <c r="G780" s="417"/>
      <c r="H780" s="417"/>
      <c r="I780" s="417"/>
      <c r="J780" s="417"/>
    </row>
    <row r="781">
      <c r="A781" s="417"/>
      <c r="B781" s="417"/>
      <c r="C781" s="417"/>
      <c r="D781" s="515"/>
      <c r="E781" s="515"/>
      <c r="F781" s="417"/>
      <c r="G781" s="417"/>
      <c r="H781" s="417"/>
      <c r="I781" s="417"/>
      <c r="J781" s="417"/>
    </row>
    <row r="782">
      <c r="A782" s="417"/>
      <c r="B782" s="417"/>
      <c r="C782" s="417"/>
      <c r="D782" s="515"/>
      <c r="E782" s="515"/>
      <c r="F782" s="417"/>
      <c r="G782" s="417"/>
      <c r="H782" s="417"/>
      <c r="I782" s="417"/>
      <c r="J782" s="417"/>
    </row>
    <row r="783">
      <c r="A783" s="417"/>
      <c r="B783" s="417"/>
      <c r="C783" s="417"/>
      <c r="D783" s="515"/>
      <c r="E783" s="515"/>
      <c r="F783" s="417"/>
      <c r="G783" s="417"/>
      <c r="H783" s="417"/>
      <c r="I783" s="417"/>
      <c r="J783" s="417"/>
    </row>
    <row r="784">
      <c r="A784" s="417"/>
      <c r="B784" s="417"/>
      <c r="C784" s="417"/>
      <c r="D784" s="515"/>
      <c r="E784" s="515"/>
      <c r="F784" s="417"/>
      <c r="G784" s="417"/>
      <c r="H784" s="417"/>
      <c r="I784" s="417"/>
      <c r="J784" s="417"/>
    </row>
    <row r="785">
      <c r="A785" s="417"/>
      <c r="B785" s="417"/>
      <c r="C785" s="417"/>
      <c r="D785" s="515"/>
      <c r="E785" s="515"/>
      <c r="F785" s="417"/>
      <c r="G785" s="417"/>
      <c r="H785" s="417"/>
      <c r="I785" s="417"/>
      <c r="J785" s="417"/>
    </row>
    <row r="786">
      <c r="A786" s="417"/>
      <c r="B786" s="417"/>
      <c r="C786" s="417"/>
      <c r="D786" s="515"/>
      <c r="E786" s="515"/>
      <c r="F786" s="417"/>
      <c r="G786" s="417"/>
      <c r="H786" s="417"/>
      <c r="I786" s="417"/>
      <c r="J786" s="417"/>
    </row>
    <row r="787">
      <c r="A787" s="417"/>
      <c r="B787" s="417"/>
      <c r="C787" s="417"/>
      <c r="D787" s="515"/>
      <c r="E787" s="515"/>
      <c r="F787" s="417"/>
      <c r="G787" s="417"/>
      <c r="H787" s="417"/>
      <c r="I787" s="417"/>
      <c r="J787" s="417"/>
    </row>
    <row r="788">
      <c r="A788" s="417"/>
      <c r="B788" s="417"/>
      <c r="C788" s="417"/>
      <c r="D788" s="515"/>
      <c r="E788" s="515"/>
      <c r="F788" s="417"/>
      <c r="G788" s="417"/>
      <c r="H788" s="417"/>
      <c r="I788" s="417"/>
      <c r="J788" s="417"/>
    </row>
    <row r="789">
      <c r="A789" s="417"/>
      <c r="B789" s="417"/>
      <c r="C789" s="417"/>
      <c r="D789" s="515"/>
      <c r="E789" s="515"/>
      <c r="F789" s="417"/>
      <c r="G789" s="417"/>
      <c r="H789" s="417"/>
      <c r="I789" s="417"/>
      <c r="J789" s="417"/>
    </row>
    <row r="790">
      <c r="A790" s="417"/>
      <c r="B790" s="417"/>
      <c r="C790" s="417"/>
      <c r="D790" s="515"/>
      <c r="E790" s="515"/>
      <c r="F790" s="417"/>
      <c r="G790" s="417"/>
      <c r="H790" s="417"/>
      <c r="I790" s="417"/>
      <c r="J790" s="417"/>
    </row>
    <row r="791">
      <c r="A791" s="417"/>
      <c r="B791" s="417"/>
      <c r="C791" s="417"/>
      <c r="D791" s="515"/>
      <c r="E791" s="515"/>
      <c r="F791" s="417"/>
      <c r="G791" s="417"/>
      <c r="H791" s="417"/>
      <c r="I791" s="417"/>
      <c r="J791" s="417"/>
    </row>
    <row r="792">
      <c r="A792" s="417"/>
      <c r="B792" s="417"/>
      <c r="C792" s="417"/>
      <c r="D792" s="515"/>
      <c r="E792" s="515"/>
      <c r="F792" s="417"/>
      <c r="G792" s="417"/>
      <c r="H792" s="417"/>
      <c r="I792" s="417"/>
      <c r="J792" s="417"/>
    </row>
    <row r="793">
      <c r="A793" s="417"/>
      <c r="B793" s="417"/>
      <c r="C793" s="417"/>
      <c r="D793" s="515"/>
      <c r="E793" s="515"/>
      <c r="F793" s="417"/>
      <c r="G793" s="417"/>
      <c r="H793" s="417"/>
      <c r="I793" s="417"/>
      <c r="J793" s="417"/>
    </row>
    <row r="794">
      <c r="A794" s="417"/>
      <c r="B794" s="417"/>
      <c r="C794" s="417"/>
      <c r="D794" s="515"/>
      <c r="E794" s="515"/>
      <c r="F794" s="417"/>
      <c r="G794" s="417"/>
      <c r="H794" s="417"/>
      <c r="I794" s="417"/>
      <c r="J794" s="417"/>
    </row>
    <row r="795">
      <c r="A795" s="417"/>
      <c r="B795" s="417"/>
      <c r="C795" s="417"/>
      <c r="D795" s="515"/>
      <c r="E795" s="515"/>
      <c r="F795" s="417"/>
      <c r="G795" s="417"/>
      <c r="H795" s="417"/>
      <c r="I795" s="417"/>
      <c r="J795" s="417"/>
    </row>
    <row r="796">
      <c r="A796" s="417"/>
      <c r="B796" s="417"/>
      <c r="C796" s="417"/>
      <c r="D796" s="515"/>
      <c r="E796" s="515"/>
      <c r="F796" s="417"/>
      <c r="G796" s="417"/>
      <c r="H796" s="417"/>
      <c r="I796" s="417"/>
      <c r="J796" s="417"/>
    </row>
    <row r="797">
      <c r="A797" s="417"/>
      <c r="B797" s="417"/>
      <c r="C797" s="417"/>
      <c r="D797" s="515"/>
      <c r="E797" s="515"/>
      <c r="F797" s="417"/>
      <c r="G797" s="417"/>
      <c r="H797" s="417"/>
      <c r="I797" s="417"/>
      <c r="J797" s="417"/>
    </row>
    <row r="798">
      <c r="A798" s="417"/>
      <c r="B798" s="417"/>
      <c r="C798" s="417"/>
      <c r="D798" s="515"/>
      <c r="E798" s="515"/>
      <c r="F798" s="417"/>
      <c r="G798" s="417"/>
      <c r="H798" s="417"/>
      <c r="I798" s="417"/>
      <c r="J798" s="417"/>
    </row>
    <row r="799">
      <c r="A799" s="417"/>
      <c r="B799" s="417"/>
      <c r="C799" s="417"/>
      <c r="D799" s="515"/>
      <c r="E799" s="515"/>
      <c r="F799" s="417"/>
      <c r="G799" s="417"/>
      <c r="H799" s="417"/>
      <c r="I799" s="417"/>
      <c r="J799" s="417"/>
    </row>
    <row r="800">
      <c r="A800" s="417"/>
      <c r="B800" s="417"/>
      <c r="C800" s="417"/>
      <c r="D800" s="515"/>
      <c r="E800" s="515"/>
      <c r="F800" s="417"/>
      <c r="G800" s="417"/>
      <c r="H800" s="417"/>
      <c r="I800" s="417"/>
      <c r="J800" s="417"/>
    </row>
    <row r="801">
      <c r="A801" s="417"/>
      <c r="B801" s="417"/>
      <c r="C801" s="417"/>
      <c r="D801" s="515"/>
      <c r="E801" s="515"/>
      <c r="F801" s="417"/>
      <c r="G801" s="417"/>
      <c r="H801" s="417"/>
      <c r="I801" s="417"/>
      <c r="J801" s="417"/>
    </row>
    <row r="802">
      <c r="A802" s="417"/>
      <c r="B802" s="417"/>
      <c r="C802" s="417"/>
      <c r="D802" s="515"/>
      <c r="E802" s="515"/>
      <c r="F802" s="417"/>
      <c r="G802" s="417"/>
      <c r="H802" s="417"/>
      <c r="I802" s="417"/>
      <c r="J802" s="417"/>
    </row>
    <row r="803">
      <c r="A803" s="417"/>
      <c r="B803" s="417"/>
      <c r="C803" s="417"/>
      <c r="D803" s="515"/>
      <c r="E803" s="515"/>
      <c r="F803" s="417"/>
      <c r="G803" s="417"/>
      <c r="H803" s="417"/>
      <c r="I803" s="417"/>
      <c r="J803" s="417"/>
    </row>
    <row r="804">
      <c r="A804" s="417"/>
      <c r="B804" s="417"/>
      <c r="C804" s="417"/>
      <c r="D804" s="515"/>
      <c r="E804" s="515"/>
      <c r="F804" s="417"/>
      <c r="G804" s="417"/>
      <c r="H804" s="417"/>
      <c r="I804" s="417"/>
      <c r="J804" s="417"/>
    </row>
    <row r="805">
      <c r="A805" s="417"/>
      <c r="B805" s="417"/>
      <c r="C805" s="417"/>
      <c r="D805" s="515"/>
      <c r="E805" s="515"/>
      <c r="F805" s="417"/>
      <c r="G805" s="417"/>
      <c r="H805" s="417"/>
      <c r="I805" s="417"/>
      <c r="J805" s="417"/>
    </row>
    <row r="806">
      <c r="A806" s="417"/>
      <c r="B806" s="417"/>
      <c r="C806" s="417"/>
      <c r="D806" s="515"/>
      <c r="E806" s="515"/>
      <c r="F806" s="417"/>
      <c r="G806" s="417"/>
      <c r="H806" s="417"/>
      <c r="I806" s="417"/>
      <c r="J806" s="417"/>
    </row>
    <row r="807">
      <c r="A807" s="417"/>
      <c r="B807" s="417"/>
      <c r="C807" s="417"/>
      <c r="D807" s="515"/>
      <c r="E807" s="515"/>
      <c r="F807" s="417"/>
      <c r="G807" s="417"/>
      <c r="H807" s="417"/>
      <c r="I807" s="417"/>
      <c r="J807" s="417"/>
    </row>
    <row r="808">
      <c r="A808" s="417"/>
      <c r="B808" s="417"/>
      <c r="C808" s="417"/>
      <c r="D808" s="515"/>
      <c r="E808" s="515"/>
      <c r="F808" s="417"/>
      <c r="G808" s="417"/>
      <c r="H808" s="417"/>
      <c r="I808" s="417"/>
      <c r="J808" s="417"/>
    </row>
    <row r="809">
      <c r="A809" s="417"/>
      <c r="B809" s="417"/>
      <c r="C809" s="417"/>
      <c r="D809" s="515"/>
      <c r="E809" s="515"/>
      <c r="F809" s="417"/>
      <c r="G809" s="417"/>
      <c r="H809" s="417"/>
      <c r="I809" s="417"/>
      <c r="J809" s="417"/>
    </row>
    <row r="810">
      <c r="A810" s="417"/>
      <c r="B810" s="417"/>
      <c r="C810" s="417"/>
      <c r="D810" s="515"/>
      <c r="E810" s="515"/>
      <c r="F810" s="417"/>
      <c r="G810" s="417"/>
      <c r="H810" s="417"/>
      <c r="I810" s="417"/>
      <c r="J810" s="417"/>
    </row>
    <row r="811">
      <c r="A811" s="417"/>
      <c r="B811" s="417"/>
      <c r="C811" s="417"/>
      <c r="D811" s="515"/>
      <c r="E811" s="515"/>
      <c r="F811" s="417"/>
      <c r="G811" s="417"/>
      <c r="H811" s="417"/>
      <c r="I811" s="417"/>
      <c r="J811" s="417"/>
    </row>
    <row r="812">
      <c r="A812" s="417"/>
      <c r="B812" s="417"/>
      <c r="C812" s="417"/>
      <c r="D812" s="515"/>
      <c r="E812" s="515"/>
      <c r="F812" s="417"/>
      <c r="G812" s="417"/>
      <c r="H812" s="417"/>
      <c r="I812" s="417"/>
      <c r="J812" s="417"/>
    </row>
    <row r="813">
      <c r="A813" s="417"/>
      <c r="B813" s="417"/>
      <c r="C813" s="417"/>
      <c r="D813" s="515"/>
      <c r="E813" s="515"/>
      <c r="F813" s="417"/>
      <c r="G813" s="417"/>
      <c r="H813" s="417"/>
      <c r="I813" s="417"/>
      <c r="J813" s="417"/>
    </row>
    <row r="814">
      <c r="A814" s="417"/>
      <c r="B814" s="417"/>
      <c r="C814" s="417"/>
      <c r="D814" s="515"/>
      <c r="E814" s="515"/>
      <c r="F814" s="417"/>
      <c r="G814" s="417"/>
      <c r="H814" s="417"/>
      <c r="I814" s="417"/>
      <c r="J814" s="417"/>
    </row>
    <row r="815">
      <c r="A815" s="417"/>
      <c r="B815" s="417"/>
      <c r="C815" s="417"/>
      <c r="D815" s="515"/>
      <c r="E815" s="515"/>
      <c r="F815" s="417"/>
      <c r="G815" s="417"/>
      <c r="H815" s="417"/>
      <c r="I815" s="417"/>
      <c r="J815" s="417"/>
    </row>
    <row r="816">
      <c r="A816" s="417"/>
      <c r="B816" s="417"/>
      <c r="C816" s="417"/>
      <c r="D816" s="515"/>
      <c r="E816" s="515"/>
      <c r="F816" s="417"/>
      <c r="G816" s="417"/>
      <c r="H816" s="417"/>
      <c r="I816" s="417"/>
      <c r="J816" s="417"/>
    </row>
    <row r="817">
      <c r="A817" s="417"/>
      <c r="B817" s="417"/>
      <c r="C817" s="417"/>
      <c r="D817" s="515"/>
      <c r="E817" s="515"/>
      <c r="F817" s="417"/>
      <c r="G817" s="417"/>
      <c r="H817" s="417"/>
      <c r="I817" s="417"/>
      <c r="J817" s="417"/>
    </row>
    <row r="818">
      <c r="A818" s="417"/>
      <c r="B818" s="417"/>
      <c r="C818" s="417"/>
      <c r="D818" s="515"/>
      <c r="E818" s="515"/>
      <c r="F818" s="417"/>
      <c r="G818" s="417"/>
      <c r="H818" s="417"/>
      <c r="I818" s="417"/>
      <c r="J818" s="417"/>
    </row>
    <row r="819">
      <c r="A819" s="417"/>
      <c r="B819" s="417"/>
      <c r="C819" s="417"/>
      <c r="D819" s="515"/>
      <c r="E819" s="515"/>
      <c r="F819" s="417"/>
      <c r="G819" s="417"/>
      <c r="H819" s="417"/>
      <c r="I819" s="417"/>
      <c r="J819" s="417"/>
    </row>
    <row r="820">
      <c r="A820" s="417"/>
      <c r="B820" s="417"/>
      <c r="C820" s="417"/>
      <c r="D820" s="515"/>
      <c r="E820" s="515"/>
      <c r="F820" s="417"/>
      <c r="G820" s="417"/>
      <c r="H820" s="417"/>
      <c r="I820" s="417"/>
      <c r="J820" s="417"/>
    </row>
    <row r="821">
      <c r="A821" s="417"/>
      <c r="B821" s="417"/>
      <c r="C821" s="417"/>
      <c r="D821" s="515"/>
      <c r="E821" s="515"/>
      <c r="F821" s="417"/>
      <c r="G821" s="417"/>
      <c r="H821" s="417"/>
      <c r="I821" s="417"/>
      <c r="J821" s="417"/>
    </row>
    <row r="822">
      <c r="A822" s="417"/>
      <c r="B822" s="417"/>
      <c r="C822" s="417"/>
      <c r="D822" s="515"/>
      <c r="E822" s="515"/>
      <c r="F822" s="417"/>
      <c r="G822" s="417"/>
      <c r="H822" s="417"/>
      <c r="I822" s="417"/>
      <c r="J822" s="417"/>
    </row>
    <row r="823">
      <c r="A823" s="417"/>
      <c r="B823" s="417"/>
      <c r="C823" s="417"/>
      <c r="D823" s="515"/>
      <c r="E823" s="515"/>
      <c r="F823" s="417"/>
      <c r="G823" s="417"/>
      <c r="H823" s="417"/>
      <c r="I823" s="417"/>
      <c r="J823" s="417"/>
    </row>
    <row r="824">
      <c r="A824" s="417"/>
      <c r="B824" s="417"/>
      <c r="C824" s="417"/>
      <c r="D824" s="515"/>
      <c r="E824" s="515"/>
      <c r="F824" s="417"/>
      <c r="G824" s="417"/>
      <c r="H824" s="417"/>
      <c r="I824" s="417"/>
      <c r="J824" s="417"/>
    </row>
    <row r="825">
      <c r="A825" s="417"/>
      <c r="B825" s="417"/>
      <c r="C825" s="417"/>
      <c r="D825" s="515"/>
      <c r="E825" s="515"/>
      <c r="F825" s="417"/>
      <c r="G825" s="417"/>
      <c r="H825" s="417"/>
      <c r="I825" s="417"/>
      <c r="J825" s="417"/>
    </row>
    <row r="826">
      <c r="A826" s="417"/>
      <c r="B826" s="417"/>
      <c r="C826" s="417"/>
      <c r="D826" s="515"/>
      <c r="E826" s="515"/>
      <c r="F826" s="417"/>
      <c r="G826" s="417"/>
      <c r="H826" s="417"/>
      <c r="I826" s="417"/>
      <c r="J826" s="417"/>
    </row>
    <row r="827">
      <c r="A827" s="417"/>
      <c r="B827" s="417"/>
      <c r="C827" s="417"/>
      <c r="D827" s="515"/>
      <c r="E827" s="515"/>
      <c r="F827" s="417"/>
      <c r="G827" s="417"/>
      <c r="H827" s="417"/>
      <c r="I827" s="417"/>
      <c r="J827" s="417"/>
    </row>
    <row r="828">
      <c r="A828" s="417"/>
      <c r="B828" s="417"/>
      <c r="C828" s="417"/>
      <c r="D828" s="515"/>
      <c r="E828" s="515"/>
      <c r="F828" s="417"/>
      <c r="G828" s="417"/>
      <c r="H828" s="417"/>
      <c r="I828" s="417"/>
      <c r="J828" s="417"/>
    </row>
    <row r="829">
      <c r="A829" s="417"/>
      <c r="B829" s="417"/>
      <c r="C829" s="417"/>
      <c r="D829" s="515"/>
      <c r="E829" s="515"/>
      <c r="F829" s="417"/>
      <c r="G829" s="417"/>
      <c r="H829" s="417"/>
      <c r="I829" s="417"/>
      <c r="J829" s="417"/>
    </row>
    <row r="830">
      <c r="A830" s="417"/>
      <c r="B830" s="417"/>
      <c r="C830" s="417"/>
      <c r="D830" s="515"/>
      <c r="E830" s="515"/>
      <c r="F830" s="417"/>
      <c r="G830" s="417"/>
      <c r="H830" s="417"/>
      <c r="I830" s="417"/>
      <c r="J830" s="417"/>
    </row>
    <row r="831">
      <c r="A831" s="417"/>
      <c r="B831" s="417"/>
      <c r="C831" s="417"/>
      <c r="D831" s="515"/>
      <c r="E831" s="515"/>
      <c r="F831" s="417"/>
      <c r="G831" s="417"/>
      <c r="H831" s="417"/>
      <c r="I831" s="417"/>
      <c r="J831" s="417"/>
    </row>
    <row r="832">
      <c r="A832" s="417"/>
      <c r="B832" s="417"/>
      <c r="C832" s="417"/>
      <c r="D832" s="515"/>
      <c r="E832" s="515"/>
      <c r="F832" s="417"/>
      <c r="G832" s="417"/>
      <c r="H832" s="417"/>
      <c r="I832" s="417"/>
      <c r="J832" s="417"/>
    </row>
    <row r="833">
      <c r="A833" s="417"/>
      <c r="B833" s="417"/>
      <c r="C833" s="417"/>
      <c r="D833" s="515"/>
      <c r="E833" s="515"/>
      <c r="F833" s="417"/>
      <c r="G833" s="417"/>
      <c r="H833" s="417"/>
      <c r="I833" s="417"/>
      <c r="J833" s="417"/>
    </row>
    <row r="834">
      <c r="A834" s="417"/>
      <c r="B834" s="417"/>
      <c r="C834" s="417"/>
      <c r="D834" s="515"/>
      <c r="E834" s="515"/>
      <c r="F834" s="417"/>
      <c r="G834" s="417"/>
      <c r="H834" s="417"/>
      <c r="I834" s="417"/>
      <c r="J834" s="417"/>
    </row>
    <row r="835">
      <c r="A835" s="417"/>
      <c r="B835" s="417"/>
      <c r="C835" s="417"/>
      <c r="D835" s="515"/>
      <c r="E835" s="515"/>
      <c r="F835" s="417"/>
      <c r="G835" s="417"/>
      <c r="H835" s="417"/>
      <c r="I835" s="417"/>
      <c r="J835" s="417"/>
    </row>
    <row r="836">
      <c r="A836" s="417"/>
      <c r="B836" s="417"/>
      <c r="C836" s="417"/>
      <c r="D836" s="515"/>
      <c r="E836" s="515"/>
      <c r="F836" s="417"/>
      <c r="G836" s="417"/>
      <c r="H836" s="417"/>
      <c r="I836" s="417"/>
      <c r="J836" s="417"/>
    </row>
    <row r="837">
      <c r="A837" s="417"/>
      <c r="B837" s="417"/>
      <c r="C837" s="417"/>
      <c r="D837" s="515"/>
      <c r="E837" s="515"/>
      <c r="F837" s="417"/>
      <c r="G837" s="417"/>
      <c r="H837" s="417"/>
      <c r="I837" s="417"/>
      <c r="J837" s="417"/>
    </row>
    <row r="838">
      <c r="A838" s="417"/>
      <c r="B838" s="417"/>
      <c r="C838" s="417"/>
      <c r="D838" s="515"/>
      <c r="E838" s="515"/>
      <c r="F838" s="417"/>
      <c r="G838" s="417"/>
      <c r="H838" s="417"/>
      <c r="I838" s="417"/>
      <c r="J838" s="417"/>
    </row>
    <row r="839">
      <c r="A839" s="417"/>
      <c r="B839" s="417"/>
      <c r="C839" s="417"/>
      <c r="D839" s="515"/>
      <c r="E839" s="515"/>
      <c r="F839" s="417"/>
      <c r="G839" s="417"/>
      <c r="H839" s="417"/>
      <c r="I839" s="417"/>
      <c r="J839" s="417"/>
    </row>
    <row r="840">
      <c r="A840" s="417"/>
      <c r="B840" s="417"/>
      <c r="C840" s="417"/>
      <c r="D840" s="515"/>
      <c r="E840" s="515"/>
      <c r="F840" s="417"/>
      <c r="G840" s="417"/>
      <c r="H840" s="417"/>
      <c r="I840" s="417"/>
      <c r="J840" s="417"/>
    </row>
    <row r="841">
      <c r="A841" s="417"/>
      <c r="B841" s="417"/>
      <c r="C841" s="417"/>
      <c r="D841" s="515"/>
      <c r="E841" s="515"/>
      <c r="F841" s="417"/>
      <c r="G841" s="417"/>
      <c r="H841" s="417"/>
      <c r="I841" s="417"/>
      <c r="J841" s="417"/>
    </row>
    <row r="842">
      <c r="A842" s="417"/>
      <c r="B842" s="417"/>
      <c r="C842" s="417"/>
      <c r="D842" s="515"/>
      <c r="E842" s="515"/>
      <c r="F842" s="417"/>
      <c r="G842" s="417"/>
      <c r="H842" s="417"/>
      <c r="I842" s="417"/>
      <c r="J842" s="417"/>
    </row>
    <row r="843">
      <c r="A843" s="417"/>
      <c r="B843" s="417"/>
      <c r="C843" s="417"/>
      <c r="D843" s="515"/>
      <c r="E843" s="515"/>
      <c r="F843" s="417"/>
      <c r="G843" s="417"/>
      <c r="H843" s="417"/>
      <c r="I843" s="417"/>
      <c r="J843" s="417"/>
    </row>
    <row r="844">
      <c r="A844" s="417"/>
      <c r="B844" s="417"/>
      <c r="C844" s="417"/>
      <c r="D844" s="515"/>
      <c r="E844" s="515"/>
      <c r="F844" s="417"/>
      <c r="G844" s="417"/>
      <c r="H844" s="417"/>
      <c r="I844" s="417"/>
      <c r="J844" s="417"/>
    </row>
    <row r="845">
      <c r="A845" s="417"/>
      <c r="B845" s="417"/>
      <c r="C845" s="417"/>
      <c r="D845" s="515"/>
      <c r="E845" s="515"/>
      <c r="F845" s="417"/>
      <c r="G845" s="417"/>
      <c r="H845" s="417"/>
      <c r="I845" s="417"/>
      <c r="J845" s="417"/>
    </row>
    <row r="846">
      <c r="A846" s="417"/>
      <c r="B846" s="417"/>
      <c r="C846" s="417"/>
      <c r="D846" s="515"/>
      <c r="E846" s="515"/>
      <c r="F846" s="417"/>
      <c r="G846" s="417"/>
      <c r="H846" s="417"/>
      <c r="I846" s="417"/>
      <c r="J846" s="417"/>
    </row>
    <row r="847">
      <c r="A847" s="417"/>
      <c r="B847" s="417"/>
      <c r="C847" s="417"/>
      <c r="D847" s="515"/>
      <c r="E847" s="515"/>
      <c r="F847" s="417"/>
      <c r="G847" s="417"/>
      <c r="H847" s="417"/>
      <c r="I847" s="417"/>
      <c r="J847" s="417"/>
    </row>
    <row r="848">
      <c r="A848" s="417"/>
      <c r="B848" s="417"/>
      <c r="C848" s="417"/>
      <c r="D848" s="515"/>
      <c r="E848" s="515"/>
      <c r="F848" s="417"/>
      <c r="G848" s="417"/>
      <c r="H848" s="417"/>
      <c r="I848" s="417"/>
      <c r="J848" s="417"/>
    </row>
    <row r="849">
      <c r="A849" s="417"/>
      <c r="B849" s="417"/>
      <c r="C849" s="417"/>
      <c r="D849" s="515"/>
      <c r="E849" s="515"/>
      <c r="F849" s="417"/>
      <c r="G849" s="417"/>
      <c r="H849" s="417"/>
      <c r="I849" s="417"/>
      <c r="J849" s="417"/>
    </row>
    <row r="850">
      <c r="A850" s="417"/>
      <c r="B850" s="417"/>
      <c r="C850" s="417"/>
      <c r="D850" s="515"/>
      <c r="E850" s="515"/>
      <c r="F850" s="417"/>
      <c r="G850" s="417"/>
      <c r="H850" s="417"/>
      <c r="I850" s="417"/>
      <c r="J850" s="417"/>
    </row>
    <row r="851">
      <c r="A851" s="417"/>
      <c r="B851" s="417"/>
      <c r="C851" s="417"/>
      <c r="D851" s="515"/>
      <c r="E851" s="515"/>
      <c r="F851" s="417"/>
      <c r="G851" s="417"/>
      <c r="H851" s="417"/>
      <c r="I851" s="417"/>
      <c r="J851" s="417"/>
    </row>
    <row r="852">
      <c r="A852" s="417"/>
      <c r="B852" s="417"/>
      <c r="C852" s="417"/>
      <c r="D852" s="515"/>
      <c r="E852" s="515"/>
      <c r="F852" s="417"/>
      <c r="G852" s="417"/>
      <c r="H852" s="417"/>
      <c r="I852" s="417"/>
      <c r="J852" s="417"/>
    </row>
    <row r="853">
      <c r="A853" s="417"/>
      <c r="B853" s="417"/>
      <c r="C853" s="417"/>
      <c r="D853" s="515"/>
      <c r="E853" s="515"/>
      <c r="F853" s="417"/>
      <c r="G853" s="417"/>
      <c r="H853" s="417"/>
      <c r="I853" s="417"/>
      <c r="J853" s="417"/>
    </row>
    <row r="854">
      <c r="A854" s="417"/>
      <c r="B854" s="417"/>
      <c r="C854" s="417"/>
      <c r="D854" s="515"/>
      <c r="E854" s="515"/>
      <c r="F854" s="417"/>
      <c r="G854" s="417"/>
      <c r="H854" s="417"/>
      <c r="I854" s="417"/>
      <c r="J854" s="417"/>
    </row>
    <row r="855">
      <c r="A855" s="417"/>
      <c r="B855" s="417"/>
      <c r="C855" s="417"/>
      <c r="D855" s="515"/>
      <c r="E855" s="515"/>
      <c r="F855" s="417"/>
      <c r="G855" s="417"/>
      <c r="H855" s="417"/>
      <c r="I855" s="417"/>
      <c r="J855" s="417"/>
    </row>
    <row r="856">
      <c r="A856" s="417"/>
      <c r="B856" s="417"/>
      <c r="C856" s="417"/>
      <c r="D856" s="515"/>
      <c r="E856" s="515"/>
      <c r="F856" s="417"/>
      <c r="G856" s="417"/>
      <c r="H856" s="417"/>
      <c r="I856" s="417"/>
      <c r="J856" s="417"/>
    </row>
    <row r="857">
      <c r="A857" s="417"/>
      <c r="B857" s="417"/>
      <c r="C857" s="417"/>
      <c r="D857" s="515"/>
      <c r="E857" s="515"/>
      <c r="F857" s="417"/>
      <c r="G857" s="417"/>
      <c r="H857" s="417"/>
      <c r="I857" s="417"/>
      <c r="J857" s="417"/>
    </row>
    <row r="858">
      <c r="A858" s="417"/>
      <c r="B858" s="417"/>
      <c r="C858" s="417"/>
      <c r="D858" s="515"/>
      <c r="E858" s="515"/>
      <c r="F858" s="417"/>
      <c r="G858" s="417"/>
      <c r="H858" s="417"/>
      <c r="I858" s="417"/>
      <c r="J858" s="417"/>
    </row>
    <row r="859">
      <c r="A859" s="417"/>
      <c r="B859" s="417"/>
      <c r="C859" s="417"/>
      <c r="D859" s="515"/>
      <c r="E859" s="515"/>
      <c r="F859" s="417"/>
      <c r="G859" s="417"/>
      <c r="H859" s="417"/>
      <c r="I859" s="417"/>
      <c r="J859" s="417"/>
    </row>
    <row r="860">
      <c r="A860" s="417"/>
      <c r="B860" s="417"/>
      <c r="C860" s="417"/>
      <c r="D860" s="515"/>
      <c r="E860" s="515"/>
      <c r="F860" s="417"/>
      <c r="G860" s="417"/>
      <c r="H860" s="417"/>
      <c r="I860" s="417"/>
      <c r="J860" s="417"/>
    </row>
    <row r="861">
      <c r="A861" s="417"/>
      <c r="B861" s="417"/>
      <c r="C861" s="417"/>
      <c r="D861" s="515"/>
      <c r="E861" s="515"/>
      <c r="F861" s="417"/>
      <c r="G861" s="417"/>
      <c r="H861" s="417"/>
      <c r="I861" s="417"/>
      <c r="J861" s="417"/>
    </row>
    <row r="862">
      <c r="A862" s="417"/>
      <c r="B862" s="417"/>
      <c r="C862" s="417"/>
      <c r="D862" s="515"/>
      <c r="E862" s="515"/>
      <c r="F862" s="417"/>
      <c r="G862" s="417"/>
      <c r="H862" s="417"/>
      <c r="I862" s="417"/>
      <c r="J862" s="417"/>
    </row>
    <row r="863">
      <c r="A863" s="417"/>
      <c r="B863" s="417"/>
      <c r="C863" s="417"/>
      <c r="D863" s="515"/>
      <c r="E863" s="515"/>
      <c r="F863" s="417"/>
      <c r="G863" s="417"/>
      <c r="H863" s="417"/>
      <c r="I863" s="417"/>
      <c r="J863" s="417"/>
    </row>
    <row r="864">
      <c r="A864" s="417"/>
      <c r="B864" s="417"/>
      <c r="C864" s="417"/>
      <c r="D864" s="515"/>
      <c r="E864" s="515"/>
      <c r="F864" s="417"/>
      <c r="G864" s="417"/>
      <c r="H864" s="417"/>
      <c r="I864" s="417"/>
      <c r="J864" s="417"/>
    </row>
    <row r="865">
      <c r="A865" s="417"/>
      <c r="B865" s="417"/>
      <c r="C865" s="417"/>
      <c r="D865" s="515"/>
      <c r="E865" s="515"/>
      <c r="F865" s="417"/>
      <c r="G865" s="417"/>
      <c r="H865" s="417"/>
      <c r="I865" s="417"/>
      <c r="J865" s="417"/>
    </row>
    <row r="866">
      <c r="A866" s="417"/>
      <c r="B866" s="417"/>
      <c r="C866" s="417"/>
      <c r="D866" s="515"/>
      <c r="E866" s="515"/>
      <c r="F866" s="417"/>
      <c r="G866" s="417"/>
      <c r="H866" s="417"/>
      <c r="I866" s="417"/>
      <c r="J866" s="417"/>
    </row>
    <row r="867">
      <c r="A867" s="417"/>
      <c r="B867" s="417"/>
      <c r="C867" s="417"/>
      <c r="D867" s="515"/>
      <c r="E867" s="515"/>
      <c r="F867" s="417"/>
      <c r="G867" s="417"/>
      <c r="H867" s="417"/>
      <c r="I867" s="417"/>
      <c r="J867" s="417"/>
    </row>
    <row r="868">
      <c r="A868" s="417"/>
      <c r="B868" s="417"/>
      <c r="C868" s="417"/>
      <c r="D868" s="515"/>
      <c r="E868" s="515"/>
      <c r="F868" s="417"/>
      <c r="G868" s="417"/>
      <c r="H868" s="417"/>
      <c r="I868" s="417"/>
      <c r="J868" s="417"/>
    </row>
    <row r="869">
      <c r="A869" s="417"/>
      <c r="B869" s="417"/>
      <c r="C869" s="417"/>
      <c r="D869" s="515"/>
      <c r="E869" s="515"/>
      <c r="F869" s="417"/>
      <c r="G869" s="417"/>
      <c r="H869" s="417"/>
      <c r="I869" s="417"/>
      <c r="J869" s="417"/>
    </row>
    <row r="870">
      <c r="A870" s="417"/>
      <c r="B870" s="417"/>
      <c r="C870" s="417"/>
      <c r="D870" s="515"/>
      <c r="E870" s="515"/>
      <c r="F870" s="417"/>
      <c r="G870" s="417"/>
      <c r="H870" s="417"/>
      <c r="I870" s="417"/>
      <c r="J870" s="417"/>
    </row>
    <row r="871">
      <c r="A871" s="417"/>
      <c r="B871" s="417"/>
      <c r="C871" s="417"/>
      <c r="D871" s="515"/>
      <c r="E871" s="515"/>
      <c r="F871" s="417"/>
      <c r="G871" s="417"/>
      <c r="H871" s="417"/>
      <c r="I871" s="417"/>
      <c r="J871" s="417"/>
    </row>
    <row r="872">
      <c r="A872" s="417"/>
      <c r="B872" s="417"/>
      <c r="C872" s="417"/>
      <c r="D872" s="515"/>
      <c r="E872" s="515"/>
      <c r="F872" s="417"/>
      <c r="G872" s="417"/>
      <c r="H872" s="417"/>
      <c r="I872" s="417"/>
      <c r="J872" s="417"/>
    </row>
    <row r="873">
      <c r="A873" s="417"/>
      <c r="B873" s="417"/>
      <c r="C873" s="417"/>
      <c r="D873" s="515"/>
      <c r="E873" s="515"/>
      <c r="F873" s="417"/>
      <c r="G873" s="417"/>
      <c r="H873" s="417"/>
      <c r="I873" s="417"/>
      <c r="J873" s="417"/>
    </row>
    <row r="874">
      <c r="A874" s="417"/>
      <c r="B874" s="417"/>
      <c r="C874" s="417"/>
      <c r="D874" s="515"/>
      <c r="E874" s="515"/>
      <c r="F874" s="417"/>
      <c r="G874" s="417"/>
      <c r="H874" s="417"/>
      <c r="I874" s="417"/>
      <c r="J874" s="417"/>
    </row>
    <row r="875">
      <c r="A875" s="417"/>
      <c r="B875" s="417"/>
      <c r="C875" s="417"/>
      <c r="D875" s="515"/>
      <c r="E875" s="515"/>
      <c r="F875" s="417"/>
      <c r="G875" s="417"/>
      <c r="H875" s="417"/>
      <c r="I875" s="417"/>
      <c r="J875" s="417"/>
    </row>
    <row r="876">
      <c r="A876" s="417"/>
      <c r="B876" s="417"/>
      <c r="C876" s="417"/>
      <c r="D876" s="515"/>
      <c r="E876" s="515"/>
      <c r="F876" s="417"/>
      <c r="G876" s="417"/>
      <c r="H876" s="417"/>
      <c r="I876" s="417"/>
      <c r="J876" s="417"/>
    </row>
    <row r="877">
      <c r="A877" s="417"/>
      <c r="B877" s="417"/>
      <c r="C877" s="417"/>
      <c r="D877" s="515"/>
      <c r="E877" s="515"/>
      <c r="F877" s="417"/>
      <c r="G877" s="417"/>
      <c r="H877" s="417"/>
      <c r="I877" s="417"/>
      <c r="J877" s="417"/>
    </row>
    <row r="878">
      <c r="A878" s="417"/>
      <c r="B878" s="417"/>
      <c r="C878" s="417"/>
      <c r="D878" s="515"/>
      <c r="E878" s="515"/>
      <c r="F878" s="417"/>
      <c r="G878" s="417"/>
      <c r="H878" s="417"/>
      <c r="I878" s="417"/>
      <c r="J878" s="417"/>
    </row>
    <row r="879">
      <c r="A879" s="417"/>
      <c r="B879" s="417"/>
      <c r="C879" s="417"/>
      <c r="D879" s="515"/>
      <c r="E879" s="515"/>
      <c r="F879" s="417"/>
      <c r="G879" s="417"/>
      <c r="H879" s="417"/>
      <c r="I879" s="417"/>
      <c r="J879" s="417"/>
    </row>
    <row r="880">
      <c r="A880" s="417"/>
      <c r="B880" s="417"/>
      <c r="C880" s="417"/>
      <c r="D880" s="515"/>
      <c r="E880" s="515"/>
      <c r="F880" s="417"/>
      <c r="G880" s="417"/>
      <c r="H880" s="417"/>
      <c r="I880" s="417"/>
      <c r="J880" s="417"/>
    </row>
    <row r="881">
      <c r="A881" s="417"/>
      <c r="B881" s="417"/>
      <c r="C881" s="417"/>
      <c r="D881" s="515"/>
      <c r="E881" s="515"/>
      <c r="F881" s="417"/>
      <c r="G881" s="417"/>
      <c r="H881" s="417"/>
      <c r="I881" s="417"/>
      <c r="J881" s="417"/>
    </row>
    <row r="882">
      <c r="A882" s="417"/>
      <c r="B882" s="417"/>
      <c r="C882" s="417"/>
      <c r="D882" s="515"/>
      <c r="E882" s="515"/>
      <c r="F882" s="417"/>
      <c r="G882" s="417"/>
      <c r="H882" s="417"/>
      <c r="I882" s="417"/>
      <c r="J882" s="417"/>
    </row>
    <row r="883">
      <c r="A883" s="417"/>
      <c r="B883" s="417"/>
      <c r="C883" s="417"/>
      <c r="D883" s="515"/>
      <c r="E883" s="515"/>
      <c r="F883" s="417"/>
      <c r="G883" s="417"/>
      <c r="H883" s="417"/>
      <c r="I883" s="417"/>
      <c r="J883" s="417"/>
    </row>
    <row r="884">
      <c r="A884" s="417"/>
      <c r="B884" s="417"/>
      <c r="C884" s="417"/>
      <c r="D884" s="515"/>
      <c r="E884" s="515"/>
      <c r="F884" s="417"/>
      <c r="G884" s="417"/>
      <c r="H884" s="417"/>
      <c r="I884" s="417"/>
      <c r="J884" s="417"/>
    </row>
    <row r="885">
      <c r="A885" s="417"/>
      <c r="B885" s="417"/>
      <c r="C885" s="417"/>
      <c r="D885" s="515"/>
      <c r="E885" s="515"/>
      <c r="F885" s="417"/>
      <c r="G885" s="417"/>
      <c r="H885" s="417"/>
      <c r="I885" s="417"/>
      <c r="J885" s="417"/>
    </row>
    <row r="886">
      <c r="A886" s="417"/>
      <c r="B886" s="417"/>
      <c r="C886" s="417"/>
      <c r="D886" s="515"/>
      <c r="E886" s="515"/>
      <c r="F886" s="417"/>
      <c r="G886" s="417"/>
      <c r="H886" s="417"/>
      <c r="I886" s="417"/>
      <c r="J886" s="417"/>
    </row>
    <row r="887">
      <c r="A887" s="417"/>
      <c r="B887" s="417"/>
      <c r="C887" s="417"/>
      <c r="D887" s="515"/>
      <c r="E887" s="515"/>
      <c r="F887" s="417"/>
      <c r="G887" s="417"/>
      <c r="H887" s="417"/>
      <c r="I887" s="417"/>
      <c r="J887" s="417"/>
    </row>
    <row r="888">
      <c r="A888" s="417"/>
      <c r="B888" s="417"/>
      <c r="C888" s="417"/>
      <c r="D888" s="515"/>
      <c r="E888" s="515"/>
      <c r="F888" s="417"/>
      <c r="G888" s="417"/>
      <c r="H888" s="417"/>
      <c r="I888" s="417"/>
      <c r="J888" s="417"/>
    </row>
    <row r="889">
      <c r="A889" s="417"/>
      <c r="B889" s="417"/>
      <c r="C889" s="417"/>
      <c r="D889" s="515"/>
      <c r="E889" s="515"/>
      <c r="F889" s="417"/>
      <c r="G889" s="417"/>
      <c r="H889" s="417"/>
      <c r="I889" s="417"/>
      <c r="J889" s="417"/>
    </row>
    <row r="890">
      <c r="A890" s="417"/>
      <c r="B890" s="417"/>
      <c r="C890" s="417"/>
      <c r="D890" s="515"/>
      <c r="E890" s="515"/>
      <c r="F890" s="417"/>
      <c r="G890" s="417"/>
      <c r="H890" s="417"/>
      <c r="I890" s="417"/>
      <c r="J890" s="417"/>
    </row>
    <row r="891">
      <c r="A891" s="417"/>
      <c r="B891" s="417"/>
      <c r="C891" s="417"/>
      <c r="D891" s="515"/>
      <c r="E891" s="515"/>
      <c r="F891" s="417"/>
      <c r="G891" s="417"/>
      <c r="H891" s="417"/>
      <c r="I891" s="417"/>
      <c r="J891" s="417"/>
    </row>
    <row r="892">
      <c r="A892" s="417"/>
      <c r="B892" s="417"/>
      <c r="C892" s="417"/>
      <c r="D892" s="515"/>
      <c r="E892" s="515"/>
      <c r="F892" s="417"/>
      <c r="G892" s="417"/>
      <c r="H892" s="417"/>
      <c r="I892" s="417"/>
      <c r="J892" s="417"/>
    </row>
    <row r="893">
      <c r="A893" s="417"/>
      <c r="B893" s="417"/>
      <c r="C893" s="417"/>
      <c r="D893" s="515"/>
      <c r="E893" s="515"/>
      <c r="F893" s="417"/>
      <c r="G893" s="417"/>
      <c r="H893" s="417"/>
      <c r="I893" s="417"/>
      <c r="J893" s="417"/>
    </row>
    <row r="894">
      <c r="A894" s="417"/>
      <c r="B894" s="417"/>
      <c r="C894" s="417"/>
      <c r="D894" s="515"/>
      <c r="E894" s="515"/>
      <c r="F894" s="417"/>
      <c r="G894" s="417"/>
      <c r="H894" s="417"/>
      <c r="I894" s="417"/>
      <c r="J894" s="417"/>
    </row>
    <row r="895">
      <c r="A895" s="417"/>
      <c r="B895" s="417"/>
      <c r="C895" s="417"/>
      <c r="D895" s="515"/>
      <c r="E895" s="515"/>
      <c r="F895" s="417"/>
      <c r="G895" s="417"/>
      <c r="H895" s="417"/>
      <c r="I895" s="417"/>
      <c r="J895" s="417"/>
    </row>
    <row r="896">
      <c r="A896" s="417"/>
      <c r="B896" s="417"/>
      <c r="C896" s="417"/>
      <c r="D896" s="515"/>
      <c r="E896" s="515"/>
      <c r="F896" s="417"/>
      <c r="G896" s="417"/>
      <c r="H896" s="417"/>
      <c r="I896" s="417"/>
      <c r="J896" s="417"/>
    </row>
    <row r="897">
      <c r="A897" s="417"/>
      <c r="B897" s="417"/>
      <c r="C897" s="417"/>
      <c r="D897" s="515"/>
      <c r="E897" s="515"/>
      <c r="F897" s="417"/>
      <c r="G897" s="417"/>
      <c r="H897" s="417"/>
      <c r="I897" s="417"/>
      <c r="J897" s="417"/>
    </row>
    <row r="898">
      <c r="A898" s="417"/>
      <c r="B898" s="417"/>
      <c r="C898" s="417"/>
      <c r="D898" s="515"/>
      <c r="E898" s="515"/>
      <c r="F898" s="417"/>
      <c r="G898" s="417"/>
      <c r="H898" s="417"/>
      <c r="I898" s="417"/>
      <c r="J898" s="417"/>
    </row>
    <row r="899">
      <c r="A899" s="417"/>
      <c r="B899" s="417"/>
      <c r="C899" s="417"/>
      <c r="D899" s="515"/>
      <c r="E899" s="515"/>
      <c r="F899" s="417"/>
      <c r="G899" s="417"/>
      <c r="H899" s="417"/>
      <c r="I899" s="417"/>
      <c r="J899" s="417"/>
    </row>
    <row r="900">
      <c r="A900" s="417"/>
      <c r="B900" s="417"/>
      <c r="C900" s="417"/>
      <c r="D900" s="515"/>
      <c r="E900" s="515"/>
      <c r="F900" s="417"/>
      <c r="G900" s="417"/>
      <c r="H900" s="417"/>
      <c r="I900" s="417"/>
      <c r="J900" s="417"/>
    </row>
    <row r="901">
      <c r="A901" s="417"/>
      <c r="B901" s="417"/>
      <c r="C901" s="417"/>
      <c r="D901" s="515"/>
      <c r="E901" s="515"/>
      <c r="F901" s="417"/>
      <c r="G901" s="417"/>
      <c r="H901" s="417"/>
      <c r="I901" s="417"/>
      <c r="J901" s="417"/>
    </row>
    <row r="902">
      <c r="A902" s="417"/>
      <c r="B902" s="417"/>
      <c r="C902" s="417"/>
      <c r="D902" s="515"/>
      <c r="E902" s="515"/>
      <c r="F902" s="417"/>
      <c r="G902" s="417"/>
      <c r="H902" s="417"/>
      <c r="I902" s="417"/>
      <c r="J902" s="417"/>
    </row>
    <row r="903">
      <c r="A903" s="417"/>
      <c r="B903" s="417"/>
      <c r="C903" s="417"/>
      <c r="D903" s="515"/>
      <c r="E903" s="515"/>
      <c r="F903" s="417"/>
      <c r="G903" s="417"/>
      <c r="H903" s="417"/>
      <c r="I903" s="417"/>
      <c r="J903" s="417"/>
    </row>
    <row r="904">
      <c r="A904" s="417"/>
      <c r="B904" s="417"/>
      <c r="C904" s="417"/>
      <c r="D904" s="515"/>
      <c r="E904" s="515"/>
      <c r="F904" s="417"/>
      <c r="G904" s="417"/>
      <c r="H904" s="417"/>
      <c r="I904" s="417"/>
      <c r="J904" s="417"/>
    </row>
    <row r="905">
      <c r="A905" s="417"/>
      <c r="B905" s="417"/>
      <c r="C905" s="417"/>
      <c r="D905" s="515"/>
      <c r="E905" s="515"/>
      <c r="F905" s="417"/>
      <c r="G905" s="417"/>
      <c r="H905" s="417"/>
      <c r="I905" s="417"/>
      <c r="J905" s="417"/>
    </row>
    <row r="906">
      <c r="A906" s="417"/>
      <c r="B906" s="417"/>
      <c r="C906" s="417"/>
      <c r="D906" s="515"/>
      <c r="E906" s="515"/>
      <c r="F906" s="417"/>
      <c r="G906" s="417"/>
      <c r="H906" s="417"/>
      <c r="I906" s="417"/>
      <c r="J906" s="417"/>
    </row>
    <row r="907">
      <c r="A907" s="417"/>
      <c r="B907" s="417"/>
      <c r="C907" s="417"/>
      <c r="D907" s="515"/>
      <c r="E907" s="515"/>
      <c r="F907" s="417"/>
      <c r="G907" s="417"/>
      <c r="H907" s="417"/>
      <c r="I907" s="417"/>
      <c r="J907" s="417"/>
    </row>
    <row r="908">
      <c r="A908" s="417"/>
      <c r="B908" s="417"/>
      <c r="C908" s="417"/>
      <c r="D908" s="515"/>
      <c r="E908" s="515"/>
      <c r="F908" s="417"/>
      <c r="G908" s="417"/>
      <c r="H908" s="417"/>
      <c r="I908" s="417"/>
      <c r="J908" s="417"/>
    </row>
    <row r="909">
      <c r="A909" s="417"/>
      <c r="B909" s="417"/>
      <c r="C909" s="417"/>
      <c r="D909" s="515"/>
      <c r="E909" s="515"/>
      <c r="F909" s="417"/>
      <c r="G909" s="417"/>
      <c r="H909" s="417"/>
      <c r="I909" s="417"/>
      <c r="J909" s="417"/>
    </row>
    <row r="910">
      <c r="A910" s="417"/>
      <c r="B910" s="417"/>
      <c r="C910" s="417"/>
      <c r="D910" s="515"/>
      <c r="E910" s="515"/>
      <c r="F910" s="417"/>
      <c r="G910" s="417"/>
      <c r="H910" s="417"/>
      <c r="I910" s="417"/>
      <c r="J910" s="417"/>
    </row>
    <row r="911">
      <c r="A911" s="417"/>
      <c r="B911" s="417"/>
      <c r="C911" s="417"/>
      <c r="D911" s="515"/>
      <c r="E911" s="515"/>
      <c r="F911" s="417"/>
      <c r="G911" s="417"/>
      <c r="H911" s="417"/>
      <c r="I911" s="417"/>
      <c r="J911" s="417"/>
    </row>
    <row r="912">
      <c r="A912" s="417"/>
      <c r="B912" s="417"/>
      <c r="C912" s="417"/>
      <c r="D912" s="515"/>
      <c r="E912" s="515"/>
      <c r="F912" s="417"/>
      <c r="G912" s="417"/>
      <c r="H912" s="417"/>
      <c r="I912" s="417"/>
      <c r="J912" s="417"/>
    </row>
    <row r="913">
      <c r="A913" s="417"/>
      <c r="B913" s="417"/>
      <c r="C913" s="417"/>
      <c r="D913" s="515"/>
      <c r="E913" s="515"/>
      <c r="F913" s="417"/>
      <c r="G913" s="417"/>
      <c r="H913" s="417"/>
      <c r="I913" s="417"/>
      <c r="J913" s="417"/>
    </row>
    <row r="914">
      <c r="A914" s="417"/>
      <c r="B914" s="417"/>
      <c r="C914" s="417"/>
      <c r="D914" s="515"/>
      <c r="E914" s="515"/>
      <c r="F914" s="417"/>
      <c r="G914" s="417"/>
      <c r="H914" s="417"/>
      <c r="I914" s="417"/>
      <c r="J914" s="417"/>
    </row>
    <row r="915">
      <c r="A915" s="417"/>
      <c r="B915" s="417"/>
      <c r="C915" s="417"/>
      <c r="D915" s="515"/>
      <c r="E915" s="515"/>
      <c r="F915" s="417"/>
      <c r="G915" s="417"/>
      <c r="H915" s="417"/>
      <c r="I915" s="417"/>
      <c r="J915" s="417"/>
    </row>
    <row r="916">
      <c r="A916" s="417"/>
      <c r="B916" s="417"/>
      <c r="C916" s="417"/>
      <c r="D916" s="515"/>
      <c r="E916" s="515"/>
      <c r="F916" s="417"/>
      <c r="G916" s="417"/>
      <c r="H916" s="417"/>
      <c r="I916" s="417"/>
      <c r="J916" s="417"/>
    </row>
    <row r="917">
      <c r="A917" s="417"/>
      <c r="B917" s="417"/>
      <c r="C917" s="417"/>
      <c r="D917" s="515"/>
      <c r="E917" s="515"/>
      <c r="F917" s="417"/>
      <c r="G917" s="417"/>
      <c r="H917" s="417"/>
      <c r="I917" s="417"/>
      <c r="J917" s="417"/>
    </row>
    <row r="918">
      <c r="A918" s="417"/>
      <c r="B918" s="417"/>
      <c r="C918" s="417"/>
      <c r="D918" s="515"/>
      <c r="E918" s="515"/>
      <c r="F918" s="417"/>
      <c r="G918" s="417"/>
      <c r="H918" s="417"/>
      <c r="I918" s="417"/>
      <c r="J918" s="417"/>
    </row>
    <row r="919">
      <c r="A919" s="417"/>
      <c r="B919" s="417"/>
      <c r="C919" s="417"/>
      <c r="D919" s="515"/>
      <c r="E919" s="515"/>
      <c r="F919" s="417"/>
      <c r="G919" s="417"/>
      <c r="H919" s="417"/>
      <c r="I919" s="417"/>
      <c r="J919" s="417"/>
    </row>
    <row r="920">
      <c r="A920" s="417"/>
      <c r="B920" s="417"/>
      <c r="C920" s="417"/>
      <c r="D920" s="515"/>
      <c r="E920" s="515"/>
      <c r="F920" s="417"/>
      <c r="G920" s="417"/>
      <c r="H920" s="417"/>
      <c r="I920" s="417"/>
      <c r="J920" s="417"/>
    </row>
    <row r="921">
      <c r="A921" s="417"/>
      <c r="B921" s="417"/>
      <c r="C921" s="417"/>
      <c r="D921" s="515"/>
      <c r="E921" s="515"/>
      <c r="F921" s="417"/>
      <c r="G921" s="417"/>
      <c r="H921" s="417"/>
      <c r="I921" s="417"/>
      <c r="J921" s="417"/>
    </row>
    <row r="922">
      <c r="A922" s="417"/>
      <c r="B922" s="417"/>
      <c r="C922" s="417"/>
      <c r="D922" s="515"/>
      <c r="E922" s="515"/>
      <c r="F922" s="417"/>
      <c r="G922" s="417"/>
      <c r="H922" s="417"/>
      <c r="I922" s="417"/>
      <c r="J922" s="417"/>
    </row>
    <row r="923">
      <c r="A923" s="417"/>
      <c r="B923" s="417"/>
      <c r="C923" s="417"/>
      <c r="D923" s="515"/>
      <c r="E923" s="515"/>
      <c r="F923" s="417"/>
      <c r="G923" s="417"/>
      <c r="H923" s="417"/>
      <c r="I923" s="417"/>
      <c r="J923" s="417"/>
    </row>
    <row r="924">
      <c r="A924" s="417"/>
      <c r="B924" s="417"/>
      <c r="C924" s="417"/>
      <c r="D924" s="515"/>
      <c r="E924" s="515"/>
      <c r="F924" s="417"/>
      <c r="G924" s="417"/>
      <c r="H924" s="417"/>
      <c r="I924" s="417"/>
      <c r="J924" s="417"/>
    </row>
    <row r="925">
      <c r="A925" s="417"/>
      <c r="B925" s="417"/>
      <c r="C925" s="417"/>
      <c r="D925" s="515"/>
      <c r="E925" s="515"/>
      <c r="F925" s="417"/>
      <c r="G925" s="417"/>
      <c r="H925" s="417"/>
      <c r="I925" s="417"/>
      <c r="J925" s="417"/>
    </row>
    <row r="926">
      <c r="A926" s="417"/>
      <c r="B926" s="417"/>
      <c r="C926" s="417"/>
      <c r="D926" s="515"/>
      <c r="E926" s="515"/>
      <c r="F926" s="417"/>
      <c r="G926" s="417"/>
      <c r="H926" s="417"/>
      <c r="I926" s="417"/>
      <c r="J926" s="417"/>
    </row>
    <row r="927">
      <c r="A927" s="417"/>
      <c r="B927" s="417"/>
      <c r="C927" s="417"/>
      <c r="D927" s="515"/>
      <c r="E927" s="515"/>
      <c r="F927" s="417"/>
      <c r="G927" s="417"/>
      <c r="H927" s="417"/>
      <c r="I927" s="417"/>
      <c r="J927" s="417"/>
    </row>
    <row r="928">
      <c r="A928" s="417"/>
      <c r="B928" s="417"/>
      <c r="C928" s="417"/>
      <c r="D928" s="515"/>
      <c r="E928" s="515"/>
      <c r="F928" s="417"/>
      <c r="G928" s="417"/>
      <c r="H928" s="417"/>
      <c r="I928" s="417"/>
      <c r="J928" s="417"/>
    </row>
    <row r="929">
      <c r="A929" s="417"/>
      <c r="B929" s="417"/>
      <c r="C929" s="417"/>
      <c r="D929" s="515"/>
      <c r="E929" s="515"/>
      <c r="F929" s="417"/>
      <c r="G929" s="417"/>
      <c r="H929" s="417"/>
      <c r="I929" s="417"/>
      <c r="J929" s="417"/>
    </row>
    <row r="930">
      <c r="A930" s="417"/>
      <c r="B930" s="417"/>
      <c r="C930" s="417"/>
      <c r="D930" s="515"/>
      <c r="E930" s="515"/>
      <c r="F930" s="417"/>
      <c r="G930" s="417"/>
      <c r="H930" s="417"/>
      <c r="I930" s="417"/>
      <c r="J930" s="417"/>
    </row>
    <row r="931">
      <c r="A931" s="417"/>
      <c r="B931" s="417"/>
      <c r="C931" s="417"/>
      <c r="D931" s="515"/>
      <c r="E931" s="515"/>
      <c r="F931" s="417"/>
      <c r="G931" s="417"/>
      <c r="H931" s="417"/>
      <c r="I931" s="417"/>
      <c r="J931" s="417"/>
    </row>
    <row r="932">
      <c r="A932" s="417"/>
      <c r="B932" s="417"/>
      <c r="C932" s="417"/>
      <c r="D932" s="515"/>
      <c r="E932" s="515"/>
      <c r="F932" s="417"/>
      <c r="G932" s="417"/>
      <c r="H932" s="417"/>
      <c r="I932" s="417"/>
      <c r="J932" s="417"/>
    </row>
    <row r="933">
      <c r="A933" s="417"/>
      <c r="B933" s="417"/>
      <c r="C933" s="417"/>
      <c r="D933" s="515"/>
      <c r="E933" s="515"/>
      <c r="F933" s="417"/>
      <c r="G933" s="417"/>
      <c r="H933" s="417"/>
      <c r="I933" s="417"/>
      <c r="J933" s="417"/>
    </row>
    <row r="934">
      <c r="A934" s="417"/>
      <c r="B934" s="417"/>
      <c r="C934" s="417"/>
      <c r="D934" s="515"/>
      <c r="E934" s="515"/>
      <c r="F934" s="417"/>
      <c r="G934" s="417"/>
      <c r="H934" s="417"/>
      <c r="I934" s="417"/>
      <c r="J934" s="417"/>
    </row>
    <row r="935">
      <c r="A935" s="417"/>
      <c r="B935" s="417"/>
      <c r="C935" s="417"/>
      <c r="D935" s="515"/>
      <c r="E935" s="515"/>
      <c r="F935" s="417"/>
      <c r="G935" s="417"/>
      <c r="H935" s="417"/>
      <c r="I935" s="417"/>
      <c r="J935" s="417"/>
    </row>
    <row r="936">
      <c r="A936" s="417"/>
      <c r="B936" s="417"/>
      <c r="C936" s="417"/>
      <c r="D936" s="515"/>
      <c r="E936" s="515"/>
      <c r="F936" s="417"/>
      <c r="G936" s="417"/>
      <c r="H936" s="417"/>
      <c r="I936" s="417"/>
      <c r="J936" s="417"/>
    </row>
    <row r="937">
      <c r="A937" s="417"/>
      <c r="B937" s="417"/>
      <c r="C937" s="417"/>
      <c r="D937" s="515"/>
      <c r="E937" s="515"/>
      <c r="F937" s="417"/>
      <c r="G937" s="417"/>
      <c r="H937" s="417"/>
      <c r="I937" s="417"/>
      <c r="J937" s="417"/>
    </row>
    <row r="938">
      <c r="A938" s="417"/>
      <c r="B938" s="417"/>
      <c r="C938" s="417"/>
      <c r="D938" s="515"/>
      <c r="E938" s="515"/>
      <c r="F938" s="417"/>
      <c r="G938" s="417"/>
      <c r="H938" s="417"/>
      <c r="I938" s="417"/>
      <c r="J938" s="417"/>
    </row>
    <row r="939">
      <c r="A939" s="417"/>
      <c r="B939" s="417"/>
      <c r="C939" s="417"/>
      <c r="D939" s="515"/>
      <c r="E939" s="515"/>
      <c r="F939" s="417"/>
      <c r="G939" s="417"/>
      <c r="H939" s="417"/>
      <c r="I939" s="417"/>
      <c r="J939" s="417"/>
    </row>
    <row r="940">
      <c r="A940" s="417"/>
      <c r="B940" s="417"/>
      <c r="C940" s="417"/>
      <c r="D940" s="515"/>
      <c r="E940" s="515"/>
      <c r="F940" s="417"/>
      <c r="G940" s="417"/>
      <c r="H940" s="417"/>
      <c r="I940" s="417"/>
      <c r="J940" s="417"/>
    </row>
    <row r="941">
      <c r="A941" s="417"/>
      <c r="B941" s="417"/>
      <c r="C941" s="417"/>
      <c r="D941" s="515"/>
      <c r="E941" s="515"/>
      <c r="F941" s="417"/>
      <c r="G941" s="417"/>
      <c r="H941" s="417"/>
      <c r="I941" s="417"/>
      <c r="J941" s="417"/>
    </row>
    <row r="942">
      <c r="A942" s="417"/>
      <c r="B942" s="417"/>
      <c r="C942" s="417"/>
      <c r="D942" s="515"/>
      <c r="E942" s="515"/>
      <c r="F942" s="417"/>
      <c r="G942" s="417"/>
      <c r="H942" s="417"/>
      <c r="I942" s="417"/>
      <c r="J942" s="417"/>
    </row>
    <row r="943">
      <c r="A943" s="417"/>
      <c r="B943" s="417"/>
      <c r="C943" s="417"/>
      <c r="D943" s="515"/>
      <c r="E943" s="515"/>
      <c r="F943" s="417"/>
      <c r="G943" s="417"/>
      <c r="H943" s="417"/>
      <c r="I943" s="417"/>
      <c r="J943" s="417"/>
    </row>
    <row r="944">
      <c r="A944" s="417"/>
      <c r="B944" s="417"/>
      <c r="C944" s="417"/>
      <c r="D944" s="515"/>
      <c r="E944" s="515"/>
      <c r="F944" s="417"/>
      <c r="G944" s="417"/>
      <c r="H944" s="417"/>
      <c r="I944" s="417"/>
      <c r="J944" s="417"/>
    </row>
    <row r="945">
      <c r="A945" s="417"/>
      <c r="B945" s="417"/>
      <c r="C945" s="417"/>
      <c r="D945" s="515"/>
      <c r="E945" s="515"/>
      <c r="F945" s="417"/>
      <c r="G945" s="417"/>
      <c r="H945" s="417"/>
      <c r="I945" s="417"/>
      <c r="J945" s="417"/>
    </row>
    <row r="946">
      <c r="A946" s="417"/>
      <c r="B946" s="417"/>
      <c r="C946" s="417"/>
      <c r="D946" s="515"/>
      <c r="E946" s="515"/>
      <c r="F946" s="417"/>
      <c r="G946" s="417"/>
      <c r="H946" s="417"/>
      <c r="I946" s="417"/>
      <c r="J946" s="417"/>
    </row>
    <row r="947">
      <c r="A947" s="417"/>
      <c r="B947" s="417"/>
      <c r="C947" s="417"/>
      <c r="D947" s="515"/>
      <c r="E947" s="515"/>
      <c r="F947" s="417"/>
      <c r="G947" s="417"/>
      <c r="H947" s="417"/>
      <c r="I947" s="417"/>
      <c r="J947" s="417"/>
    </row>
    <row r="948">
      <c r="A948" s="417"/>
      <c r="B948" s="417"/>
      <c r="C948" s="417"/>
      <c r="D948" s="515"/>
      <c r="E948" s="515"/>
      <c r="F948" s="417"/>
      <c r="G948" s="417"/>
      <c r="H948" s="417"/>
      <c r="I948" s="417"/>
      <c r="J948" s="417"/>
    </row>
    <row r="949">
      <c r="A949" s="417"/>
      <c r="B949" s="417"/>
      <c r="C949" s="417"/>
      <c r="D949" s="515"/>
      <c r="E949" s="515"/>
      <c r="F949" s="417"/>
      <c r="G949" s="417"/>
      <c r="H949" s="417"/>
      <c r="I949" s="417"/>
      <c r="J949" s="417"/>
    </row>
    <row r="950">
      <c r="A950" s="417"/>
      <c r="B950" s="417"/>
      <c r="C950" s="417"/>
      <c r="D950" s="515"/>
      <c r="E950" s="515"/>
      <c r="F950" s="417"/>
      <c r="G950" s="417"/>
      <c r="H950" s="417"/>
      <c r="I950" s="417"/>
      <c r="J950" s="417"/>
    </row>
    <row r="951">
      <c r="A951" s="417"/>
      <c r="B951" s="417"/>
      <c r="C951" s="417"/>
      <c r="D951" s="515"/>
      <c r="E951" s="515"/>
      <c r="F951" s="417"/>
      <c r="G951" s="417"/>
      <c r="H951" s="417"/>
      <c r="I951" s="417"/>
      <c r="J951" s="417"/>
    </row>
    <row r="952">
      <c r="A952" s="417"/>
      <c r="B952" s="417"/>
      <c r="C952" s="417"/>
      <c r="D952" s="515"/>
      <c r="E952" s="515"/>
      <c r="F952" s="417"/>
      <c r="G952" s="417"/>
      <c r="H952" s="417"/>
      <c r="I952" s="417"/>
      <c r="J952" s="417"/>
    </row>
    <row r="953">
      <c r="A953" s="417"/>
      <c r="B953" s="417"/>
      <c r="C953" s="417"/>
      <c r="D953" s="515"/>
      <c r="E953" s="515"/>
      <c r="F953" s="417"/>
      <c r="G953" s="417"/>
      <c r="H953" s="417"/>
      <c r="I953" s="417"/>
      <c r="J953" s="417"/>
    </row>
    <row r="954">
      <c r="A954" s="417"/>
      <c r="B954" s="417"/>
      <c r="C954" s="417"/>
      <c r="D954" s="515"/>
      <c r="E954" s="515"/>
      <c r="F954" s="417"/>
      <c r="G954" s="417"/>
      <c r="H954" s="417"/>
      <c r="I954" s="417"/>
      <c r="J954" s="417"/>
    </row>
    <row r="955">
      <c r="A955" s="417"/>
      <c r="B955" s="417"/>
      <c r="C955" s="417"/>
      <c r="D955" s="515"/>
      <c r="E955" s="515"/>
      <c r="F955" s="417"/>
      <c r="G955" s="417"/>
      <c r="H955" s="417"/>
      <c r="I955" s="417"/>
      <c r="J955" s="417"/>
    </row>
    <row r="956">
      <c r="A956" s="417"/>
      <c r="B956" s="417"/>
      <c r="C956" s="417"/>
      <c r="D956" s="515"/>
      <c r="E956" s="515"/>
      <c r="F956" s="417"/>
      <c r="G956" s="417"/>
      <c r="H956" s="417"/>
      <c r="I956" s="417"/>
      <c r="J956" s="417"/>
    </row>
    <row r="957">
      <c r="A957" s="417"/>
      <c r="B957" s="417"/>
      <c r="C957" s="417"/>
      <c r="D957" s="515"/>
      <c r="E957" s="515"/>
      <c r="F957" s="417"/>
      <c r="G957" s="417"/>
      <c r="H957" s="417"/>
      <c r="I957" s="417"/>
      <c r="J957" s="417"/>
    </row>
    <row r="958">
      <c r="A958" s="417"/>
      <c r="B958" s="417"/>
      <c r="C958" s="417"/>
      <c r="D958" s="515"/>
      <c r="E958" s="515"/>
      <c r="F958" s="417"/>
      <c r="G958" s="417"/>
      <c r="H958" s="417"/>
      <c r="I958" s="417"/>
      <c r="J958" s="417"/>
    </row>
    <row r="959">
      <c r="A959" s="417"/>
      <c r="B959" s="417"/>
      <c r="C959" s="417"/>
      <c r="D959" s="515"/>
      <c r="E959" s="515"/>
      <c r="F959" s="417"/>
      <c r="G959" s="417"/>
      <c r="H959" s="417"/>
      <c r="I959" s="417"/>
      <c r="J959" s="417"/>
    </row>
    <row r="960">
      <c r="A960" s="417"/>
      <c r="B960" s="417"/>
      <c r="C960" s="417"/>
      <c r="D960" s="515"/>
      <c r="E960" s="515"/>
      <c r="F960" s="417"/>
      <c r="G960" s="417"/>
      <c r="H960" s="417"/>
      <c r="I960" s="417"/>
      <c r="J960" s="417"/>
    </row>
    <row r="961">
      <c r="A961" s="417"/>
      <c r="B961" s="417"/>
      <c r="C961" s="417"/>
      <c r="D961" s="515"/>
      <c r="E961" s="515"/>
      <c r="F961" s="417"/>
      <c r="G961" s="417"/>
      <c r="H961" s="417"/>
      <c r="I961" s="417"/>
      <c r="J961" s="417"/>
    </row>
    <row r="962">
      <c r="A962" s="417"/>
      <c r="B962" s="417"/>
      <c r="C962" s="417"/>
      <c r="D962" s="515"/>
      <c r="E962" s="515"/>
      <c r="F962" s="417"/>
      <c r="G962" s="417"/>
      <c r="H962" s="417"/>
      <c r="I962" s="417"/>
      <c r="J962" s="417"/>
    </row>
    <row r="963">
      <c r="A963" s="417"/>
      <c r="B963" s="417"/>
      <c r="C963" s="417"/>
      <c r="D963" s="515"/>
      <c r="E963" s="515"/>
      <c r="F963" s="417"/>
      <c r="G963" s="417"/>
      <c r="H963" s="417"/>
      <c r="I963" s="417"/>
      <c r="J963" s="417"/>
    </row>
    <row r="964">
      <c r="A964" s="417"/>
      <c r="B964" s="417"/>
      <c r="C964" s="417"/>
      <c r="D964" s="515"/>
      <c r="E964" s="515"/>
      <c r="F964" s="417"/>
      <c r="G964" s="417"/>
      <c r="H964" s="417"/>
      <c r="I964" s="417"/>
      <c r="J964" s="417"/>
    </row>
    <row r="965">
      <c r="A965" s="417"/>
      <c r="B965" s="417"/>
      <c r="C965" s="417"/>
      <c r="D965" s="515"/>
      <c r="E965" s="515"/>
      <c r="F965" s="417"/>
      <c r="G965" s="417"/>
      <c r="H965" s="417"/>
      <c r="I965" s="417"/>
      <c r="J965" s="417"/>
    </row>
    <row r="966">
      <c r="A966" s="417"/>
      <c r="B966" s="417"/>
      <c r="C966" s="417"/>
      <c r="D966" s="515"/>
      <c r="E966" s="515"/>
      <c r="F966" s="417"/>
      <c r="G966" s="417"/>
      <c r="H966" s="417"/>
      <c r="I966" s="417"/>
      <c r="J966" s="417"/>
    </row>
    <row r="967">
      <c r="A967" s="417"/>
      <c r="B967" s="417"/>
      <c r="C967" s="417"/>
      <c r="D967" s="515"/>
      <c r="E967" s="515"/>
      <c r="F967" s="417"/>
      <c r="G967" s="417"/>
      <c r="H967" s="417"/>
      <c r="I967" s="417"/>
      <c r="J967" s="417"/>
    </row>
    <row r="968">
      <c r="A968" s="417"/>
      <c r="B968" s="417"/>
      <c r="C968" s="417"/>
      <c r="D968" s="515"/>
      <c r="E968" s="515"/>
      <c r="F968" s="417"/>
      <c r="G968" s="417"/>
      <c r="H968" s="417"/>
      <c r="I968" s="417"/>
      <c r="J968" s="417"/>
    </row>
    <row r="969">
      <c r="A969" s="417"/>
      <c r="B969" s="417"/>
      <c r="C969" s="417"/>
      <c r="D969" s="515"/>
      <c r="E969" s="515"/>
      <c r="F969" s="417"/>
      <c r="G969" s="417"/>
      <c r="H969" s="417"/>
      <c r="I969" s="417"/>
      <c r="J969" s="417"/>
    </row>
    <row r="970">
      <c r="A970" s="417"/>
      <c r="B970" s="417"/>
      <c r="C970" s="417"/>
      <c r="D970" s="515"/>
      <c r="E970" s="515"/>
      <c r="F970" s="417"/>
      <c r="G970" s="417"/>
      <c r="H970" s="417"/>
      <c r="I970" s="417"/>
      <c r="J970" s="417"/>
    </row>
    <row r="971">
      <c r="A971" s="417"/>
      <c r="B971" s="417"/>
      <c r="C971" s="417"/>
      <c r="D971" s="515"/>
      <c r="E971" s="515"/>
      <c r="F971" s="417"/>
      <c r="G971" s="417"/>
      <c r="H971" s="417"/>
      <c r="I971" s="417"/>
      <c r="J971" s="417"/>
    </row>
    <row r="972">
      <c r="A972" s="417"/>
      <c r="B972" s="417"/>
      <c r="C972" s="417"/>
      <c r="D972" s="515"/>
      <c r="E972" s="515"/>
      <c r="F972" s="417"/>
      <c r="G972" s="417"/>
      <c r="H972" s="417"/>
      <c r="I972" s="417"/>
      <c r="J972" s="417"/>
    </row>
    <row r="973">
      <c r="A973" s="417"/>
      <c r="B973" s="417"/>
      <c r="C973" s="417"/>
      <c r="D973" s="515"/>
      <c r="E973" s="515"/>
      <c r="F973" s="417"/>
      <c r="G973" s="417"/>
      <c r="H973" s="417"/>
      <c r="I973" s="417"/>
      <c r="J973" s="417"/>
    </row>
    <row r="974">
      <c r="A974" s="417"/>
      <c r="B974" s="417"/>
      <c r="C974" s="417"/>
      <c r="D974" s="515"/>
      <c r="E974" s="515"/>
      <c r="F974" s="417"/>
      <c r="G974" s="417"/>
      <c r="H974" s="417"/>
      <c r="I974" s="417"/>
      <c r="J974" s="417"/>
    </row>
    <row r="975">
      <c r="A975" s="417"/>
      <c r="B975" s="417"/>
      <c r="C975" s="417"/>
      <c r="D975" s="515"/>
      <c r="E975" s="515"/>
      <c r="F975" s="417"/>
      <c r="G975" s="417"/>
      <c r="H975" s="417"/>
      <c r="I975" s="417"/>
      <c r="J975" s="417"/>
    </row>
    <row r="976">
      <c r="A976" s="417"/>
      <c r="B976" s="417"/>
      <c r="C976" s="417"/>
      <c r="D976" s="515"/>
      <c r="E976" s="515"/>
      <c r="F976" s="417"/>
      <c r="G976" s="417"/>
      <c r="H976" s="417"/>
      <c r="I976" s="417"/>
      <c r="J976" s="417"/>
    </row>
    <row r="977">
      <c r="A977" s="417"/>
      <c r="B977" s="417"/>
      <c r="C977" s="417"/>
      <c r="D977" s="515"/>
      <c r="E977" s="515"/>
      <c r="F977" s="417"/>
      <c r="G977" s="417"/>
      <c r="H977" s="417"/>
      <c r="I977" s="417"/>
      <c r="J977" s="417"/>
    </row>
  </sheetData>
  <mergeCells count="6">
    <mergeCell ref="A2:C2"/>
    <mergeCell ref="D2:E2"/>
    <mergeCell ref="F2:J3"/>
    <mergeCell ref="F390:F391"/>
    <mergeCell ref="G390:G391"/>
    <mergeCell ref="F406:G406"/>
  </mergeCells>
  <printOptions gridLines="1" horizontalCentered="1"/>
  <pageMargins bottom="0.75" footer="0.0" header="0.0" left="0.7" right="0.7" top="0.75"/>
  <pageSetup fitToHeight="0" paperSize="9" cellComments="atEnd" orientation="landscape" pageOrder="overThenDown"/>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18.88"/>
    <col customWidth="1" min="2" max="2" width="10.63"/>
    <col customWidth="1" min="3" max="3" width="7.63"/>
    <col customWidth="1" min="4" max="4" width="13.63"/>
    <col customWidth="1" min="5" max="13" width="7.63"/>
    <col customWidth="1" min="14" max="15" width="8.88"/>
    <col customWidth="1" min="16" max="16" width="7.63"/>
    <col customWidth="1" min="17" max="17" width="2.0"/>
    <col customWidth="1" min="18" max="18" width="8.88"/>
    <col customWidth="1" min="19" max="19" width="11.5"/>
    <col customWidth="1" min="20" max="20" width="12.75"/>
    <col customWidth="1" min="21" max="21" width="8.25"/>
    <col customWidth="1" min="22" max="22" width="13.0"/>
    <col customWidth="1" min="23" max="26" width="8.25"/>
    <col customWidth="1" min="27" max="27" width="2.0"/>
    <col customWidth="1" min="28" max="28" width="18.88"/>
    <col customWidth="1" min="29" max="29" width="2.0"/>
  </cols>
  <sheetData>
    <row r="1">
      <c r="A1" s="651"/>
      <c r="B1" s="652"/>
      <c r="C1" s="652"/>
      <c r="D1" s="652"/>
      <c r="E1" s="652"/>
      <c r="F1" s="652"/>
      <c r="G1" s="652"/>
      <c r="H1" s="652"/>
      <c r="I1" s="652"/>
      <c r="J1" s="652"/>
      <c r="K1" s="652"/>
      <c r="L1" s="652"/>
      <c r="M1" s="652"/>
      <c r="N1" s="652"/>
      <c r="O1" s="652"/>
      <c r="P1" s="652"/>
      <c r="Q1" s="652"/>
      <c r="R1" s="652"/>
      <c r="S1" s="652"/>
      <c r="T1" s="652"/>
      <c r="U1" s="652"/>
      <c r="V1" s="652"/>
      <c r="W1" s="652"/>
      <c r="X1" s="652"/>
      <c r="Y1" s="652"/>
      <c r="Z1" s="652"/>
      <c r="AA1" s="652"/>
      <c r="AB1" s="652"/>
      <c r="AC1" s="607"/>
    </row>
    <row r="2">
      <c r="A2" s="653" t="s">
        <v>3673</v>
      </c>
      <c r="B2" s="654"/>
      <c r="C2" s="654"/>
      <c r="D2" s="654"/>
      <c r="E2" s="654"/>
      <c r="F2" s="654"/>
      <c r="G2" s="654"/>
      <c r="H2" s="654"/>
      <c r="I2" s="654"/>
      <c r="J2" s="654"/>
      <c r="K2" s="654"/>
      <c r="L2" s="654"/>
      <c r="M2" s="654"/>
      <c r="N2" s="654"/>
      <c r="O2" s="654"/>
      <c r="P2" s="654"/>
      <c r="Q2" s="654"/>
      <c r="R2" s="654"/>
      <c r="S2" s="654"/>
      <c r="T2" s="654"/>
      <c r="U2" s="654"/>
      <c r="V2" s="654"/>
      <c r="W2" s="654"/>
      <c r="X2" s="654"/>
      <c r="Y2" s="654"/>
      <c r="Z2" s="654"/>
      <c r="AA2" s="654"/>
      <c r="AB2" s="654"/>
      <c r="AC2" s="656"/>
    </row>
    <row r="3">
      <c r="A3" s="657" t="s">
        <v>3681</v>
      </c>
      <c r="B3" s="654"/>
      <c r="C3" s="654"/>
      <c r="D3" s="654"/>
      <c r="E3" s="654"/>
      <c r="F3" s="654"/>
      <c r="G3" s="654"/>
      <c r="H3" s="654"/>
      <c r="I3" s="654"/>
      <c r="J3" s="654"/>
      <c r="K3" s="654"/>
      <c r="L3" s="654"/>
      <c r="M3" s="654"/>
      <c r="N3" s="654"/>
      <c r="O3" s="654"/>
      <c r="P3" s="654"/>
      <c r="Q3" s="654"/>
      <c r="R3" s="654"/>
      <c r="S3" s="654"/>
      <c r="T3" s="654"/>
      <c r="U3" s="654"/>
      <c r="V3" s="654"/>
      <c r="W3" s="654"/>
      <c r="X3" s="654"/>
      <c r="Y3" s="654"/>
      <c r="Z3" s="654"/>
      <c r="AA3" s="654"/>
      <c r="AB3" s="654"/>
      <c r="AC3" s="656"/>
    </row>
    <row r="4">
      <c r="A4" s="658"/>
      <c r="B4" s="654"/>
      <c r="C4" s="654"/>
      <c r="D4" s="654"/>
      <c r="E4" s="654"/>
      <c r="F4" s="654"/>
      <c r="G4" s="654"/>
      <c r="H4" s="654"/>
      <c r="I4" s="654"/>
      <c r="J4" s="654"/>
      <c r="K4" s="654"/>
      <c r="L4" s="654"/>
      <c r="M4" s="654"/>
      <c r="N4" s="654"/>
      <c r="O4" s="654"/>
      <c r="P4" s="656"/>
      <c r="Q4" s="659"/>
      <c r="R4" s="660" t="s">
        <v>3689</v>
      </c>
      <c r="AA4" s="661"/>
      <c r="AB4" s="662" t="s">
        <v>3691</v>
      </c>
      <c r="AC4" s="661"/>
    </row>
    <row r="5">
      <c r="A5" s="663" t="s">
        <v>3692</v>
      </c>
      <c r="B5" s="664" t="s">
        <v>3693</v>
      </c>
      <c r="C5" s="665" t="s">
        <v>3695</v>
      </c>
      <c r="D5" s="663" t="s">
        <v>3697</v>
      </c>
      <c r="E5" s="663" t="s">
        <v>3700</v>
      </c>
      <c r="F5" s="665" t="s">
        <v>3701</v>
      </c>
      <c r="G5" s="663" t="s">
        <v>3702</v>
      </c>
      <c r="H5" s="663" t="s">
        <v>3703</v>
      </c>
      <c r="I5" s="665" t="s">
        <v>3704</v>
      </c>
      <c r="J5" s="663" t="s">
        <v>3705</v>
      </c>
      <c r="K5" s="663" t="s">
        <v>3707</v>
      </c>
      <c r="L5" s="663" t="s">
        <v>3710</v>
      </c>
      <c r="M5" s="663" t="s">
        <v>3712</v>
      </c>
      <c r="N5" s="663" t="s">
        <v>3715</v>
      </c>
      <c r="O5" s="663" t="s">
        <v>3717</v>
      </c>
      <c r="P5" s="665" t="s">
        <v>3720</v>
      </c>
      <c r="Q5" s="666"/>
      <c r="R5" s="663" t="s">
        <v>3722</v>
      </c>
      <c r="S5" s="663" t="s">
        <v>3723</v>
      </c>
      <c r="T5" s="667" t="s">
        <v>3724</v>
      </c>
      <c r="U5" s="665" t="s">
        <v>3728</v>
      </c>
      <c r="V5" s="668" t="s">
        <v>3729</v>
      </c>
      <c r="W5" s="668" t="s">
        <v>3730</v>
      </c>
      <c r="X5" s="668" t="s">
        <v>3731</v>
      </c>
      <c r="Y5" s="668" t="s">
        <v>3732</v>
      </c>
      <c r="Z5" s="668" t="s">
        <v>3733</v>
      </c>
      <c r="AA5" s="669"/>
      <c r="AB5" s="668" t="s">
        <v>3735</v>
      </c>
      <c r="AC5" s="661"/>
    </row>
    <row r="6">
      <c r="A6" s="670" t="s">
        <v>3736</v>
      </c>
      <c r="B6" s="671" t="s">
        <v>3741</v>
      </c>
      <c r="C6" s="670"/>
      <c r="D6" s="672"/>
      <c r="E6" s="670">
        <v>1.0</v>
      </c>
      <c r="F6" s="670">
        <f>Round(AVERAGE(F8:F320),0)</f>
        <v>252</v>
      </c>
      <c r="G6" s="670"/>
      <c r="H6" s="670">
        <f>Round(AVERAGE(H8:H320),0)</f>
        <v>588</v>
      </c>
      <c r="I6" s="670"/>
      <c r="J6" s="670" t="s">
        <v>3755</v>
      </c>
      <c r="K6" s="670"/>
      <c r="L6" s="670" t="s">
        <v>3758</v>
      </c>
      <c r="M6" s="670">
        <v>0.0</v>
      </c>
      <c r="N6" s="670">
        <f>Round(MEDIAN(N8:N320),0)</f>
        <v>6</v>
      </c>
      <c r="O6" s="670">
        <f>Round(AVERAGE(O8:O320),0)</f>
        <v>10</v>
      </c>
      <c r="P6" s="670" t="s">
        <v>3755</v>
      </c>
      <c r="Q6" s="673"/>
      <c r="R6" s="670">
        <f>Round(MEDIAN(R8:R320),0)</f>
        <v>78</v>
      </c>
      <c r="S6" s="674">
        <f>AVERAGE(S8:S320)</f>
        <v>10.39273927</v>
      </c>
      <c r="T6" s="675">
        <f t="shared" ref="T6:T11" si="1">S6/R6</f>
        <v>0.1332402471</v>
      </c>
      <c r="U6" s="670"/>
      <c r="V6" s="673"/>
      <c r="W6" s="673"/>
      <c r="X6" s="673"/>
      <c r="Y6" s="673"/>
      <c r="Z6" s="673"/>
      <c r="AA6" s="676"/>
      <c r="AB6" s="677" t="s">
        <v>3778</v>
      </c>
      <c r="AC6" s="676"/>
    </row>
    <row r="7">
      <c r="A7" s="670" t="s">
        <v>3779</v>
      </c>
      <c r="B7" s="670" t="s">
        <v>3741</v>
      </c>
      <c r="C7" s="670"/>
      <c r="D7" s="678" t="s">
        <v>3780</v>
      </c>
      <c r="E7" s="670">
        <v>2.0</v>
      </c>
      <c r="F7" s="679">
        <f>STDEV(F8:F320)</f>
        <v>13.19680027</v>
      </c>
      <c r="G7" s="670"/>
      <c r="H7" s="670">
        <f>Round(STDEv(H8:H320),0)</f>
        <v>74</v>
      </c>
      <c r="I7" s="670"/>
      <c r="J7" s="670" t="s">
        <v>3755</v>
      </c>
      <c r="K7" s="670"/>
      <c r="L7" s="670" t="s">
        <v>3758</v>
      </c>
      <c r="M7" s="670">
        <v>8.0</v>
      </c>
      <c r="N7" s="670">
        <f>(Round(Quartile(N8:N320,3)-Round(QUARTILE(N8:N320,1),0),0))/2</f>
        <v>5.5</v>
      </c>
      <c r="O7" s="670">
        <f>Round(STDEv(O8:O320),0)</f>
        <v>1</v>
      </c>
      <c r="P7" s="670"/>
      <c r="Q7" s="673"/>
      <c r="R7" s="679">
        <f>(Round(Quartile(R8:R320,3)-Round(QUARTILE(R8:R320,1),0),0))/2</f>
        <v>31</v>
      </c>
      <c r="S7" s="674">
        <f>STDEV(S8:S320)</f>
        <v>7.89883553</v>
      </c>
      <c r="T7" s="675">
        <f t="shared" si="1"/>
        <v>0.2548011461</v>
      </c>
      <c r="U7" s="670"/>
      <c r="V7" s="673"/>
      <c r="W7" s="673"/>
      <c r="X7" s="673"/>
      <c r="Y7" s="673"/>
      <c r="Z7" s="673"/>
      <c r="AA7" s="676"/>
      <c r="AB7" s="677" t="s">
        <v>3778</v>
      </c>
      <c r="AC7" s="676"/>
    </row>
    <row r="8" ht="15.0" customHeight="1">
      <c r="A8" s="680" t="s">
        <v>3803</v>
      </c>
      <c r="B8" s="680" t="s">
        <v>857</v>
      </c>
      <c r="C8" s="680">
        <v>2025.0</v>
      </c>
      <c r="D8" s="681" t="s">
        <v>3804</v>
      </c>
      <c r="E8" s="680">
        <v>1.0</v>
      </c>
      <c r="F8" s="682">
        <v>274.0</v>
      </c>
      <c r="G8" s="683" t="s">
        <v>3808</v>
      </c>
      <c r="H8" s="683" t="s">
        <v>3808</v>
      </c>
      <c r="I8" s="680" t="s">
        <v>3812</v>
      </c>
      <c r="J8" s="680" t="s">
        <v>3758</v>
      </c>
      <c r="K8" s="680" t="s">
        <v>3758</v>
      </c>
      <c r="L8" s="680" t="s">
        <v>3758</v>
      </c>
      <c r="M8" s="680">
        <v>8.0</v>
      </c>
      <c r="N8" s="680">
        <v>7.0</v>
      </c>
      <c r="O8" s="680">
        <v>10.0</v>
      </c>
      <c r="P8" s="680" t="s">
        <v>3755</v>
      </c>
      <c r="Q8" s="666"/>
      <c r="R8" s="680">
        <v>49.0</v>
      </c>
      <c r="S8" s="684">
        <v>25.0</v>
      </c>
      <c r="T8" s="685">
        <f t="shared" si="1"/>
        <v>0.5102040816</v>
      </c>
      <c r="U8" s="680" t="s">
        <v>3823</v>
      </c>
      <c r="V8" s="686"/>
      <c r="W8" s="680">
        <v>17.0</v>
      </c>
      <c r="X8" s="680">
        <v>7.0</v>
      </c>
      <c r="Y8" s="680"/>
      <c r="Z8" s="680">
        <v>0.0</v>
      </c>
      <c r="AA8" s="669"/>
      <c r="AB8" s="176" t="s">
        <v>3778</v>
      </c>
      <c r="AC8" s="669"/>
    </row>
    <row r="9">
      <c r="A9" s="680" t="s">
        <v>3828</v>
      </c>
      <c r="B9" s="680" t="s">
        <v>857</v>
      </c>
      <c r="C9" s="680">
        <v>2025.0</v>
      </c>
      <c r="D9" s="687" t="s">
        <v>3829</v>
      </c>
      <c r="E9" s="680">
        <v>1.0</v>
      </c>
      <c r="F9" s="682">
        <v>258.0</v>
      </c>
      <c r="G9" s="683" t="s">
        <v>3808</v>
      </c>
      <c r="H9" s="683" t="s">
        <v>3808</v>
      </c>
      <c r="I9" s="680" t="s">
        <v>3812</v>
      </c>
      <c r="J9" s="688"/>
      <c r="K9" s="680" t="s">
        <v>3755</v>
      </c>
      <c r="L9" s="680" t="s">
        <v>3758</v>
      </c>
      <c r="M9" s="680"/>
      <c r="N9" s="680">
        <v>1.0</v>
      </c>
      <c r="O9" s="680">
        <v>10.0</v>
      </c>
      <c r="P9" s="689" t="s">
        <v>3755</v>
      </c>
      <c r="Q9" s="666"/>
      <c r="R9" s="680">
        <v>273.0</v>
      </c>
      <c r="S9" s="690">
        <v>12.0</v>
      </c>
      <c r="T9" s="685">
        <f t="shared" si="1"/>
        <v>0.04395604396</v>
      </c>
      <c r="U9" s="691">
        <v>45703.0</v>
      </c>
      <c r="V9" s="680" t="s">
        <v>3838</v>
      </c>
      <c r="W9" s="680">
        <v>12.0</v>
      </c>
      <c r="X9" s="680">
        <v>0.0</v>
      </c>
      <c r="Y9" s="680"/>
      <c r="Z9" s="680">
        <v>0.0</v>
      </c>
      <c r="AA9" s="669"/>
      <c r="AB9" s="176" t="s">
        <v>3841</v>
      </c>
      <c r="AC9" s="669"/>
    </row>
    <row r="10" ht="18.0" customHeight="1">
      <c r="A10" s="680" t="s">
        <v>3842</v>
      </c>
      <c r="B10" s="680" t="s">
        <v>857</v>
      </c>
      <c r="C10" s="680">
        <v>2025.0</v>
      </c>
      <c r="D10" s="681" t="s">
        <v>3844</v>
      </c>
      <c r="E10" s="680">
        <v>1.0</v>
      </c>
      <c r="F10" s="692">
        <v>260.0</v>
      </c>
      <c r="G10" s="680" t="s">
        <v>3808</v>
      </c>
      <c r="H10" s="680" t="s">
        <v>3808</v>
      </c>
      <c r="I10" s="680" t="s">
        <v>3812</v>
      </c>
      <c r="J10" s="680" t="s">
        <v>3755</v>
      </c>
      <c r="K10" s="680" t="s">
        <v>3755</v>
      </c>
      <c r="L10" s="680" t="s">
        <v>3758</v>
      </c>
      <c r="M10" s="680">
        <v>4.0</v>
      </c>
      <c r="N10" s="680">
        <v>4.0</v>
      </c>
      <c r="O10" s="680">
        <v>10.0</v>
      </c>
      <c r="P10" s="680" t="s">
        <v>3758</v>
      </c>
      <c r="Q10" s="666"/>
      <c r="R10" s="680">
        <v>104.0</v>
      </c>
      <c r="S10" s="680">
        <v>19.0</v>
      </c>
      <c r="T10" s="693">
        <f t="shared" si="1"/>
        <v>0.1826923077</v>
      </c>
      <c r="U10" s="688"/>
      <c r="V10" s="694"/>
      <c r="W10" s="686"/>
      <c r="X10" s="680"/>
      <c r="Y10" s="686"/>
      <c r="Z10" s="686"/>
      <c r="AA10" s="669"/>
      <c r="AB10" s="176"/>
      <c r="AC10" s="669"/>
    </row>
    <row r="11" ht="15.75" customHeight="1">
      <c r="A11" s="680" t="s">
        <v>3853</v>
      </c>
      <c r="B11" s="680" t="s">
        <v>857</v>
      </c>
      <c r="C11" s="680">
        <v>2025.0</v>
      </c>
      <c r="D11" s="681" t="s">
        <v>3854</v>
      </c>
      <c r="E11" s="680">
        <v>1.0</v>
      </c>
      <c r="F11" s="680">
        <v>256.0</v>
      </c>
      <c r="G11" s="683" t="s">
        <v>3808</v>
      </c>
      <c r="H11" s="683" t="s">
        <v>3808</v>
      </c>
      <c r="I11" s="680" t="s">
        <v>3812</v>
      </c>
      <c r="J11" s="680" t="s">
        <v>3755</v>
      </c>
      <c r="K11" s="680" t="s">
        <v>3755</v>
      </c>
      <c r="L11" s="680" t="s">
        <v>3758</v>
      </c>
      <c r="M11" s="680">
        <v>6.0</v>
      </c>
      <c r="N11" s="680">
        <v>3.0</v>
      </c>
      <c r="O11" s="680">
        <v>8.0</v>
      </c>
      <c r="P11" s="680" t="s">
        <v>3755</v>
      </c>
      <c r="Q11" s="666"/>
      <c r="R11" s="680">
        <v>42.0</v>
      </c>
      <c r="S11" s="680">
        <v>10.0</v>
      </c>
      <c r="T11" s="693">
        <f t="shared" si="1"/>
        <v>0.2380952381</v>
      </c>
      <c r="U11" s="691">
        <v>45488.0</v>
      </c>
      <c r="V11" s="680" t="s">
        <v>3859</v>
      </c>
      <c r="W11" s="680">
        <v>5.0</v>
      </c>
      <c r="X11" s="686"/>
      <c r="Y11" s="680">
        <v>2.0</v>
      </c>
      <c r="Z11" s="686"/>
      <c r="AA11" s="669"/>
      <c r="AB11" s="695"/>
      <c r="AC11" s="669"/>
    </row>
    <row r="12" ht="30.75" customHeight="1">
      <c r="A12" s="680" t="s">
        <v>3860</v>
      </c>
      <c r="B12" s="680" t="s">
        <v>857</v>
      </c>
      <c r="C12" s="680">
        <v>2025.0</v>
      </c>
      <c r="D12" s="681" t="s">
        <v>3861</v>
      </c>
      <c r="E12" s="680">
        <v>1.0</v>
      </c>
      <c r="F12" s="680">
        <v>258.0</v>
      </c>
      <c r="G12" s="683" t="s">
        <v>3808</v>
      </c>
      <c r="H12" s="683" t="s">
        <v>3808</v>
      </c>
      <c r="I12" s="680"/>
      <c r="J12" s="688"/>
      <c r="K12" s="680" t="s">
        <v>3755</v>
      </c>
      <c r="L12" s="680" t="s">
        <v>3758</v>
      </c>
      <c r="M12" s="680">
        <v>2.0</v>
      </c>
      <c r="O12" s="680">
        <v>6.0</v>
      </c>
      <c r="P12" s="680" t="s">
        <v>3755</v>
      </c>
      <c r="Q12" s="666"/>
      <c r="R12" s="680" t="s">
        <v>3868</v>
      </c>
      <c r="S12" s="680" t="s">
        <v>3868</v>
      </c>
      <c r="T12" s="680" t="s">
        <v>3870</v>
      </c>
      <c r="U12" s="691"/>
      <c r="V12" s="686"/>
      <c r="W12" s="686"/>
      <c r="X12" s="688"/>
      <c r="Y12" s="686"/>
      <c r="Z12" s="688"/>
      <c r="AA12" s="669"/>
      <c r="AB12" s="695"/>
      <c r="AC12" s="669"/>
    </row>
    <row r="13" ht="18.75" customHeight="1">
      <c r="A13" s="680" t="s">
        <v>3872</v>
      </c>
      <c r="B13" s="680" t="s">
        <v>857</v>
      </c>
      <c r="C13" s="680">
        <v>2025.0</v>
      </c>
      <c r="D13" s="681" t="s">
        <v>3874</v>
      </c>
      <c r="E13" s="688"/>
      <c r="F13" s="680">
        <v>243.0</v>
      </c>
      <c r="G13" s="683" t="s">
        <v>3808</v>
      </c>
      <c r="H13" s="683" t="s">
        <v>3808</v>
      </c>
      <c r="I13" s="680" t="s">
        <v>3879</v>
      </c>
      <c r="J13" s="680" t="s">
        <v>3755</v>
      </c>
      <c r="K13" s="680" t="s">
        <v>3755</v>
      </c>
      <c r="L13" s="680" t="s">
        <v>3758</v>
      </c>
      <c r="M13" s="680">
        <v>2.0</v>
      </c>
      <c r="N13" s="680">
        <v>16.0</v>
      </c>
      <c r="O13" s="680">
        <v>10.0</v>
      </c>
      <c r="P13" s="680" t="s">
        <v>3755</v>
      </c>
      <c r="Q13" s="666"/>
      <c r="R13" s="680">
        <v>80.0</v>
      </c>
      <c r="S13" s="680">
        <v>0.0</v>
      </c>
      <c r="T13" s="693">
        <f t="shared" ref="T13:T14" si="2">S13/R13</f>
        <v>0</v>
      </c>
      <c r="U13" s="696"/>
      <c r="V13" s="686"/>
      <c r="W13" s="686"/>
      <c r="X13" s="688"/>
      <c r="Y13" s="686"/>
      <c r="Z13" s="688"/>
      <c r="AA13" s="669"/>
      <c r="AB13" s="176" t="s">
        <v>3882</v>
      </c>
      <c r="AC13" s="669"/>
    </row>
    <row r="14">
      <c r="A14" s="680" t="s">
        <v>3883</v>
      </c>
      <c r="B14" s="680" t="s">
        <v>857</v>
      </c>
      <c r="C14" s="680">
        <v>2025.0</v>
      </c>
      <c r="D14" s="681" t="s">
        <v>3884</v>
      </c>
      <c r="E14" s="680">
        <v>1.0</v>
      </c>
      <c r="F14" s="680">
        <v>272.0</v>
      </c>
      <c r="G14" s="680" t="s">
        <v>3808</v>
      </c>
      <c r="H14" s="680" t="s">
        <v>3808</v>
      </c>
      <c r="I14" s="688"/>
      <c r="J14" s="680" t="s">
        <v>3755</v>
      </c>
      <c r="K14" s="680" t="s">
        <v>3755</v>
      </c>
      <c r="L14" s="680" t="s">
        <v>3758</v>
      </c>
      <c r="M14" s="680">
        <v>6.0</v>
      </c>
      <c r="N14" s="680">
        <v>5.0</v>
      </c>
      <c r="O14" s="680">
        <v>10.0</v>
      </c>
      <c r="P14" s="680" t="s">
        <v>3755</v>
      </c>
      <c r="Q14" s="666"/>
      <c r="R14" s="680">
        <v>42.0</v>
      </c>
      <c r="S14" s="680">
        <v>18.0</v>
      </c>
      <c r="T14" s="693">
        <f t="shared" si="2"/>
        <v>0.4285714286</v>
      </c>
      <c r="U14" s="691">
        <v>45580.0</v>
      </c>
      <c r="V14" s="698" t="s">
        <v>3887</v>
      </c>
      <c r="W14" s="680">
        <v>17.0</v>
      </c>
      <c r="X14" s="680">
        <v>1.0</v>
      </c>
      <c r="Y14" s="680">
        <v>2.0</v>
      </c>
      <c r="Z14" s="680">
        <v>0.0</v>
      </c>
      <c r="AA14" s="669"/>
      <c r="AB14" s="176" t="s">
        <v>3778</v>
      </c>
      <c r="AC14" s="669"/>
    </row>
    <row r="15" ht="18.75" customHeight="1">
      <c r="A15" s="680" t="s">
        <v>3891</v>
      </c>
      <c r="B15" s="680" t="s">
        <v>857</v>
      </c>
      <c r="C15" s="680">
        <v>2023.0</v>
      </c>
      <c r="D15" s="687" t="s">
        <v>3829</v>
      </c>
      <c r="E15" s="680">
        <v>1.0</v>
      </c>
      <c r="F15" s="680">
        <v>254.0</v>
      </c>
      <c r="G15" s="699" t="s">
        <v>3808</v>
      </c>
      <c r="H15" s="699" t="s">
        <v>3808</v>
      </c>
      <c r="I15" s="680" t="s">
        <v>3893</v>
      </c>
      <c r="J15" s="688"/>
      <c r="K15" s="688"/>
      <c r="L15" s="680" t="s">
        <v>3758</v>
      </c>
      <c r="M15" s="680">
        <v>8.0</v>
      </c>
      <c r="N15" s="680">
        <v>1.0</v>
      </c>
      <c r="O15" s="680">
        <v>10.0</v>
      </c>
      <c r="P15" s="680" t="s">
        <v>3755</v>
      </c>
      <c r="Q15" s="666"/>
      <c r="R15" s="680" t="s">
        <v>3868</v>
      </c>
      <c r="S15" s="680" t="s">
        <v>3868</v>
      </c>
      <c r="T15" s="680" t="s">
        <v>3870</v>
      </c>
      <c r="U15" s="688"/>
      <c r="V15" s="680"/>
      <c r="W15" s="680"/>
      <c r="X15" s="680"/>
      <c r="Y15" s="688"/>
      <c r="Z15" s="686"/>
      <c r="AA15" s="669"/>
      <c r="AB15" s="176"/>
      <c r="AC15" s="669"/>
    </row>
    <row r="16" ht="18.0" customHeight="1">
      <c r="A16" s="680" t="s">
        <v>3896</v>
      </c>
      <c r="B16" s="680" t="s">
        <v>857</v>
      </c>
      <c r="C16" s="680">
        <v>2024.0</v>
      </c>
      <c r="D16" s="681" t="s">
        <v>3861</v>
      </c>
      <c r="E16" s="680">
        <v>1.0</v>
      </c>
      <c r="F16" s="680">
        <v>247.0</v>
      </c>
      <c r="G16" s="680" t="s">
        <v>3808</v>
      </c>
      <c r="H16" s="680" t="s">
        <v>3808</v>
      </c>
      <c r="I16" s="680" t="s">
        <v>3893</v>
      </c>
      <c r="J16" s="680" t="s">
        <v>3755</v>
      </c>
      <c r="K16" s="680" t="s">
        <v>3755</v>
      </c>
      <c r="L16" s="680" t="s">
        <v>3758</v>
      </c>
      <c r="M16" s="680">
        <v>2.0</v>
      </c>
      <c r="N16" s="680" t="s">
        <v>3902</v>
      </c>
      <c r="O16" s="680">
        <v>10.0</v>
      </c>
      <c r="P16" s="680" t="s">
        <v>3755</v>
      </c>
      <c r="Q16" s="666"/>
      <c r="R16" s="680" t="s">
        <v>3868</v>
      </c>
      <c r="S16" s="680" t="s">
        <v>3868</v>
      </c>
      <c r="T16" s="700" t="s">
        <v>3870</v>
      </c>
      <c r="U16" s="691"/>
      <c r="V16" s="701"/>
      <c r="W16" s="680"/>
      <c r="X16" s="686"/>
      <c r="Y16" s="686"/>
      <c r="Z16" s="686"/>
      <c r="AA16" s="669"/>
      <c r="AB16" s="695"/>
      <c r="AC16" s="669"/>
    </row>
    <row r="17" ht="18.0" customHeight="1">
      <c r="A17" s="680" t="s">
        <v>3909</v>
      </c>
      <c r="B17" s="702" t="s">
        <v>857</v>
      </c>
      <c r="C17" s="680">
        <v>2025.0</v>
      </c>
      <c r="D17" s="681" t="s">
        <v>3861</v>
      </c>
      <c r="E17" s="680">
        <v>1.0</v>
      </c>
      <c r="F17" s="680">
        <v>260.0</v>
      </c>
      <c r="G17" s="680" t="s">
        <v>3808</v>
      </c>
      <c r="H17" s="680" t="s">
        <v>3808</v>
      </c>
      <c r="I17" s="680" t="s">
        <v>3812</v>
      </c>
      <c r="J17" s="680" t="s">
        <v>3758</v>
      </c>
      <c r="K17" s="680" t="s">
        <v>3758</v>
      </c>
      <c r="L17" s="680" t="s">
        <v>3758</v>
      </c>
      <c r="M17" s="680">
        <v>5.0</v>
      </c>
      <c r="N17" s="680">
        <v>12.0</v>
      </c>
      <c r="O17" s="680">
        <v>9.0</v>
      </c>
      <c r="P17" s="680" t="s">
        <v>3758</v>
      </c>
      <c r="Q17" s="666"/>
      <c r="R17" s="680">
        <v>30.0</v>
      </c>
      <c r="S17" s="680">
        <v>15.0</v>
      </c>
      <c r="T17" s="693">
        <f t="shared" ref="T17:T22" si="3">S17/R17</f>
        <v>0.5</v>
      </c>
      <c r="U17" s="691">
        <v>45611.0</v>
      </c>
      <c r="V17" s="680"/>
      <c r="W17" s="680">
        <v>13.0</v>
      </c>
      <c r="X17" s="680">
        <v>1.0</v>
      </c>
      <c r="Y17" s="680">
        <v>15.0</v>
      </c>
      <c r="Z17" s="680">
        <v>0.0</v>
      </c>
      <c r="AA17" s="669"/>
      <c r="AB17" s="176" t="s">
        <v>3778</v>
      </c>
      <c r="AC17" s="669"/>
    </row>
    <row r="18" ht="18.0" customHeight="1">
      <c r="A18" s="680" t="s">
        <v>3918</v>
      </c>
      <c r="B18" s="680" t="s">
        <v>3919</v>
      </c>
      <c r="C18" s="680">
        <v>2025.0</v>
      </c>
      <c r="D18" s="681" t="s">
        <v>3921</v>
      </c>
      <c r="E18" s="680">
        <v>1.0</v>
      </c>
      <c r="F18" s="680">
        <v>253.0</v>
      </c>
      <c r="G18" s="680" t="s">
        <v>3808</v>
      </c>
      <c r="H18" s="680" t="s">
        <v>3808</v>
      </c>
      <c r="I18" s="680" t="s">
        <v>3879</v>
      </c>
      <c r="J18" s="680" t="s">
        <v>3755</v>
      </c>
      <c r="K18" s="680" t="s">
        <v>3755</v>
      </c>
      <c r="L18" s="680" t="s">
        <v>3758</v>
      </c>
      <c r="M18" s="680">
        <v>4.0</v>
      </c>
      <c r="N18" s="680">
        <v>7.0</v>
      </c>
      <c r="O18" s="680">
        <v>8.0</v>
      </c>
      <c r="P18" s="680" t="s">
        <v>3755</v>
      </c>
      <c r="Q18" s="666"/>
      <c r="R18" s="680">
        <v>138.0</v>
      </c>
      <c r="S18" s="680">
        <v>12.0</v>
      </c>
      <c r="T18" s="693">
        <f t="shared" si="3"/>
        <v>0.08695652174</v>
      </c>
      <c r="U18" s="691">
        <v>45458.0</v>
      </c>
      <c r="V18" s="680" t="s">
        <v>3928</v>
      </c>
      <c r="W18" s="680">
        <v>11.0</v>
      </c>
      <c r="X18" s="680">
        <v>1.0</v>
      </c>
      <c r="Y18" s="680">
        <v>2.0</v>
      </c>
      <c r="Z18" s="680"/>
      <c r="AA18" s="669"/>
      <c r="AB18" s="176" t="s">
        <v>3778</v>
      </c>
      <c r="AC18" s="669"/>
    </row>
    <row r="19" ht="17.25" customHeight="1">
      <c r="A19" s="680" t="s">
        <v>3930</v>
      </c>
      <c r="B19" s="680" t="s">
        <v>857</v>
      </c>
      <c r="C19" s="680">
        <v>2025.0</v>
      </c>
      <c r="D19" s="681" t="s">
        <v>3844</v>
      </c>
      <c r="E19" s="680">
        <v>1.0</v>
      </c>
      <c r="F19" s="680">
        <v>267.0</v>
      </c>
      <c r="G19" s="680" t="s">
        <v>3808</v>
      </c>
      <c r="H19" s="680" t="s">
        <v>3808</v>
      </c>
      <c r="I19" s="680" t="s">
        <v>3812</v>
      </c>
      <c r="J19" s="176" t="s">
        <v>3758</v>
      </c>
      <c r="K19" s="176" t="s">
        <v>3758</v>
      </c>
      <c r="L19" s="680" t="s">
        <v>3758</v>
      </c>
      <c r="M19" s="680">
        <v>6.0</v>
      </c>
      <c r="N19" s="680">
        <v>3.0</v>
      </c>
      <c r="O19" s="680">
        <v>10.0</v>
      </c>
      <c r="P19" s="680" t="s">
        <v>3755</v>
      </c>
      <c r="Q19" s="666"/>
      <c r="R19" s="680">
        <v>55.0</v>
      </c>
      <c r="S19" s="680">
        <v>26.0</v>
      </c>
      <c r="T19" s="693">
        <f t="shared" si="3"/>
        <v>0.4727272727</v>
      </c>
      <c r="U19" s="680" t="s">
        <v>3823</v>
      </c>
      <c r="V19" s="686"/>
      <c r="W19" s="680">
        <v>22.0</v>
      </c>
      <c r="X19" s="680">
        <v>4.0</v>
      </c>
      <c r="Y19" s="680">
        <v>2.0</v>
      </c>
      <c r="Z19" s="680">
        <v>2.0</v>
      </c>
      <c r="AA19" s="669"/>
      <c r="AB19" s="176" t="s">
        <v>3778</v>
      </c>
      <c r="AC19" s="669"/>
    </row>
    <row r="20" ht="18.0" customHeight="1">
      <c r="A20" s="680" t="s">
        <v>3951</v>
      </c>
      <c r="B20" s="680" t="s">
        <v>857</v>
      </c>
      <c r="C20" s="680">
        <v>2025.0</v>
      </c>
      <c r="D20" s="681" t="s">
        <v>3954</v>
      </c>
      <c r="E20" s="680">
        <v>1.0</v>
      </c>
      <c r="F20" s="680">
        <v>248.0</v>
      </c>
      <c r="G20" s="680" t="s">
        <v>3808</v>
      </c>
      <c r="H20" s="680" t="s">
        <v>3808</v>
      </c>
      <c r="I20" s="176" t="s">
        <v>3812</v>
      </c>
      <c r="J20" s="680" t="s">
        <v>3755</v>
      </c>
      <c r="K20" s="680" t="s">
        <v>3755</v>
      </c>
      <c r="L20" s="680" t="s">
        <v>3758</v>
      </c>
      <c r="M20" s="680">
        <v>6.0</v>
      </c>
      <c r="N20" s="680">
        <v>7.0</v>
      </c>
      <c r="O20" s="680">
        <v>8.0</v>
      </c>
      <c r="P20" s="680" t="s">
        <v>3755</v>
      </c>
      <c r="Q20" s="666"/>
      <c r="R20" s="680">
        <v>88.0</v>
      </c>
      <c r="S20" s="680">
        <v>14.0</v>
      </c>
      <c r="T20" s="685">
        <f t="shared" si="3"/>
        <v>0.1590909091</v>
      </c>
      <c r="U20" s="691">
        <v>45427.0</v>
      </c>
      <c r="V20" s="707" t="s">
        <v>3959</v>
      </c>
      <c r="W20" s="680">
        <v>14.0</v>
      </c>
      <c r="X20" s="680"/>
      <c r="Y20" s="686"/>
      <c r="Z20" s="688"/>
      <c r="AA20" s="669"/>
      <c r="AB20" s="176" t="s">
        <v>3778</v>
      </c>
      <c r="AC20" s="669"/>
    </row>
    <row r="21" ht="18.0" customHeight="1">
      <c r="A21" s="680" t="s">
        <v>3960</v>
      </c>
      <c r="B21" s="680" t="s">
        <v>857</v>
      </c>
      <c r="C21" s="680">
        <v>2024.0</v>
      </c>
      <c r="D21" s="681"/>
      <c r="E21" s="680">
        <v>1.0</v>
      </c>
      <c r="F21" s="680">
        <v>247.0</v>
      </c>
      <c r="G21" s="680" t="s">
        <v>3808</v>
      </c>
      <c r="H21" s="680" t="s">
        <v>3808</v>
      </c>
      <c r="I21" s="680" t="s">
        <v>3893</v>
      </c>
      <c r="J21" s="680" t="s">
        <v>3755</v>
      </c>
      <c r="K21" s="680" t="s">
        <v>3755</v>
      </c>
      <c r="L21" s="680" t="s">
        <v>3758</v>
      </c>
      <c r="M21" s="680">
        <v>7.0</v>
      </c>
      <c r="N21" s="680">
        <v>7.0</v>
      </c>
      <c r="O21" s="680">
        <v>10.0</v>
      </c>
      <c r="P21" s="680" t="s">
        <v>3755</v>
      </c>
      <c r="Q21" s="666"/>
      <c r="R21" s="680">
        <v>283.0</v>
      </c>
      <c r="S21" s="680">
        <v>1.0</v>
      </c>
      <c r="T21" s="693">
        <f t="shared" si="3"/>
        <v>0.003533568905</v>
      </c>
      <c r="U21" s="680">
        <v>0.0</v>
      </c>
      <c r="V21" s="707" t="s">
        <v>3959</v>
      </c>
      <c r="W21" s="686"/>
      <c r="X21" s="686"/>
      <c r="Y21" s="686"/>
      <c r="Z21" s="686"/>
      <c r="AA21" s="669"/>
      <c r="AB21" s="176" t="s">
        <v>3882</v>
      </c>
      <c r="AC21" s="669"/>
    </row>
    <row r="22" ht="18.0" customHeight="1">
      <c r="A22" s="680" t="s">
        <v>3969</v>
      </c>
      <c r="B22" s="680" t="s">
        <v>857</v>
      </c>
      <c r="C22" s="680">
        <v>2024.0</v>
      </c>
      <c r="D22" s="681" t="s">
        <v>3971</v>
      </c>
      <c r="E22" s="680">
        <v>1.0</v>
      </c>
      <c r="F22" s="680">
        <v>257.0</v>
      </c>
      <c r="G22" s="680" t="s">
        <v>3808</v>
      </c>
      <c r="H22" s="680" t="s">
        <v>3808</v>
      </c>
      <c r="I22" s="680" t="s">
        <v>3812</v>
      </c>
      <c r="J22" s="680" t="s">
        <v>3758</v>
      </c>
      <c r="K22" s="680" t="s">
        <v>3758</v>
      </c>
      <c r="L22" s="680" t="s">
        <v>3758</v>
      </c>
      <c r="M22" s="680">
        <v>6.0</v>
      </c>
      <c r="N22" s="680">
        <v>4.0</v>
      </c>
      <c r="O22" s="680">
        <v>10.0</v>
      </c>
      <c r="P22" s="680" t="s">
        <v>3755</v>
      </c>
      <c r="Q22" s="666"/>
      <c r="R22" s="680">
        <v>65.0</v>
      </c>
      <c r="S22" s="684">
        <v>25.0</v>
      </c>
      <c r="T22" s="693">
        <f t="shared" si="3"/>
        <v>0.3846153846</v>
      </c>
      <c r="U22" s="691">
        <v>45550.0</v>
      </c>
      <c r="V22" s="708"/>
      <c r="W22" s="680"/>
      <c r="X22" s="680"/>
      <c r="Y22" s="686"/>
      <c r="Z22" s="680"/>
      <c r="AA22" s="669"/>
      <c r="AB22" s="176"/>
      <c r="AC22" s="669"/>
    </row>
    <row r="23" ht="18.75" customHeight="1">
      <c r="A23" s="680" t="s">
        <v>3981</v>
      </c>
      <c r="B23" s="680" t="s">
        <v>857</v>
      </c>
      <c r="C23" s="680">
        <v>2025.0</v>
      </c>
      <c r="D23" s="681" t="s">
        <v>3844</v>
      </c>
      <c r="E23" s="680">
        <v>1.0</v>
      </c>
      <c r="F23" s="680">
        <v>254.0</v>
      </c>
      <c r="G23" s="680" t="s">
        <v>3808</v>
      </c>
      <c r="H23" s="680" t="s">
        <v>3808</v>
      </c>
      <c r="I23" s="176" t="s">
        <v>3812</v>
      </c>
      <c r="J23" s="176" t="s">
        <v>3758</v>
      </c>
      <c r="K23" s="176" t="s">
        <v>3755</v>
      </c>
      <c r="L23" s="688"/>
      <c r="M23" s="688"/>
      <c r="N23" s="680">
        <v>8.0</v>
      </c>
      <c r="O23" s="680">
        <v>10.0</v>
      </c>
      <c r="P23" s="680" t="s">
        <v>3755</v>
      </c>
      <c r="Q23" s="666"/>
      <c r="R23" s="680" t="s">
        <v>3868</v>
      </c>
      <c r="S23" s="680" t="s">
        <v>3868</v>
      </c>
      <c r="T23" s="709" t="s">
        <v>3870</v>
      </c>
      <c r="U23" s="691"/>
      <c r="V23" s="710"/>
      <c r="W23" s="680"/>
      <c r="X23" s="680"/>
      <c r="Y23" s="680"/>
      <c r="Z23" s="686"/>
      <c r="AA23" s="669"/>
      <c r="AB23" s="695"/>
      <c r="AC23" s="669"/>
    </row>
    <row r="24" ht="18.0" customHeight="1">
      <c r="A24" s="680" t="s">
        <v>3992</v>
      </c>
      <c r="B24" s="680" t="s">
        <v>857</v>
      </c>
      <c r="C24" s="680">
        <v>2025.0</v>
      </c>
      <c r="D24" s="681" t="s">
        <v>3995</v>
      </c>
      <c r="E24" s="680">
        <v>1.0</v>
      </c>
      <c r="F24" s="680">
        <v>251.0</v>
      </c>
      <c r="G24" s="680" t="s">
        <v>3808</v>
      </c>
      <c r="H24" s="680" t="s">
        <v>3808</v>
      </c>
      <c r="I24" s="680" t="s">
        <v>3879</v>
      </c>
      <c r="J24" s="680" t="s">
        <v>3758</v>
      </c>
      <c r="K24" s="680" t="s">
        <v>3755</v>
      </c>
      <c r="L24" s="680" t="s">
        <v>3758</v>
      </c>
      <c r="M24" s="680">
        <v>4.0</v>
      </c>
      <c r="N24" s="680">
        <v>6.0</v>
      </c>
      <c r="O24" s="680">
        <v>10.0</v>
      </c>
      <c r="P24" s="680" t="s">
        <v>3755</v>
      </c>
      <c r="Q24" s="666"/>
      <c r="R24" s="680">
        <v>74.0</v>
      </c>
      <c r="S24" s="684">
        <v>21.0</v>
      </c>
      <c r="T24" s="693">
        <f t="shared" ref="T24:T27" si="4">S24/R24</f>
        <v>0.2837837838</v>
      </c>
      <c r="U24" s="691">
        <v>45611.0</v>
      </c>
      <c r="V24" s="711" t="s">
        <v>4002</v>
      </c>
      <c r="W24" s="680">
        <v>20.0</v>
      </c>
      <c r="X24" s="680">
        <v>1.0</v>
      </c>
      <c r="Y24" s="680">
        <v>4.0</v>
      </c>
      <c r="Z24" s="680">
        <v>0.0</v>
      </c>
      <c r="AA24" s="669"/>
      <c r="AB24" s="176" t="s">
        <v>3778</v>
      </c>
      <c r="AC24" s="669"/>
    </row>
    <row r="25" ht="18.0" customHeight="1">
      <c r="A25" s="680" t="s">
        <v>4005</v>
      </c>
      <c r="B25" s="680" t="s">
        <v>857</v>
      </c>
      <c r="C25" s="680">
        <v>2025.0</v>
      </c>
      <c r="D25" s="681" t="s">
        <v>4006</v>
      </c>
      <c r="E25" s="680">
        <v>1.0</v>
      </c>
      <c r="F25" s="680">
        <v>253.0</v>
      </c>
      <c r="G25" s="680" t="s">
        <v>3808</v>
      </c>
      <c r="H25" s="680" t="s">
        <v>3808</v>
      </c>
      <c r="I25" s="680" t="s">
        <v>3812</v>
      </c>
      <c r="J25" s="680" t="s">
        <v>3758</v>
      </c>
      <c r="K25" s="680" t="s">
        <v>3755</v>
      </c>
      <c r="L25" s="680" t="s">
        <v>3755</v>
      </c>
      <c r="M25" s="680" t="s">
        <v>4012</v>
      </c>
      <c r="N25" s="688"/>
      <c r="O25" s="680">
        <v>10.0</v>
      </c>
      <c r="P25" s="680" t="s">
        <v>3755</v>
      </c>
      <c r="Q25" s="666"/>
      <c r="R25" s="680">
        <v>71.0</v>
      </c>
      <c r="S25" s="680">
        <v>11.0</v>
      </c>
      <c r="T25" s="693">
        <f t="shared" si="4"/>
        <v>0.1549295775</v>
      </c>
      <c r="U25" s="691">
        <v>45488.0</v>
      </c>
      <c r="V25" s="711" t="s">
        <v>4013</v>
      </c>
      <c r="W25" s="686"/>
      <c r="X25" s="686"/>
      <c r="Y25" s="680">
        <v>3.0</v>
      </c>
      <c r="Z25" s="686"/>
      <c r="AA25" s="669"/>
      <c r="AB25" s="695"/>
      <c r="AC25" s="669"/>
    </row>
    <row r="26" ht="18.0" customHeight="1">
      <c r="A26" s="680" t="s">
        <v>4016</v>
      </c>
      <c r="B26" s="680" t="s">
        <v>857</v>
      </c>
      <c r="C26" s="680">
        <v>2025.0</v>
      </c>
      <c r="D26" s="681" t="s">
        <v>4019</v>
      </c>
      <c r="E26" s="680">
        <v>1.0</v>
      </c>
      <c r="F26" s="680">
        <v>269.0</v>
      </c>
      <c r="G26" s="680" t="s">
        <v>3808</v>
      </c>
      <c r="H26" s="680" t="s">
        <v>3808</v>
      </c>
      <c r="I26" s="680" t="s">
        <v>3812</v>
      </c>
      <c r="J26" s="680" t="s">
        <v>3758</v>
      </c>
      <c r="K26" s="680" t="s">
        <v>3755</v>
      </c>
      <c r="L26" s="680" t="s">
        <v>3758</v>
      </c>
      <c r="M26" s="680">
        <v>7.0</v>
      </c>
      <c r="N26" s="680">
        <v>8.0</v>
      </c>
      <c r="O26" s="680">
        <v>10.0</v>
      </c>
      <c r="P26" s="680" t="s">
        <v>3755</v>
      </c>
      <c r="Q26" s="666"/>
      <c r="R26" s="680">
        <v>36.0</v>
      </c>
      <c r="S26" s="712">
        <v>18.0</v>
      </c>
      <c r="T26" s="685">
        <f t="shared" si="4"/>
        <v>0.5</v>
      </c>
      <c r="U26" s="713" t="s">
        <v>4025</v>
      </c>
      <c r="V26" s="680"/>
      <c r="W26" s="680">
        <v>16.0</v>
      </c>
      <c r="X26" s="680">
        <v>2.0</v>
      </c>
      <c r="Y26" s="680">
        <v>3.0</v>
      </c>
      <c r="Z26" s="680">
        <v>0.0</v>
      </c>
      <c r="AA26" s="666"/>
      <c r="AB26" s="680" t="s">
        <v>3778</v>
      </c>
      <c r="AC26" s="666"/>
    </row>
    <row r="27" ht="18.75" customHeight="1">
      <c r="A27" s="714" t="s">
        <v>4029</v>
      </c>
      <c r="B27" s="680" t="s">
        <v>3919</v>
      </c>
      <c r="C27" s="680">
        <v>2025.0</v>
      </c>
      <c r="D27" s="681" t="s">
        <v>4006</v>
      </c>
      <c r="E27" s="680">
        <v>1.0</v>
      </c>
      <c r="F27" s="680">
        <v>252.0</v>
      </c>
      <c r="G27" s="680" t="s">
        <v>3808</v>
      </c>
      <c r="H27" s="680">
        <v>489.0</v>
      </c>
      <c r="I27" s="680" t="s">
        <v>3812</v>
      </c>
      <c r="J27" s="680" t="s">
        <v>3755</v>
      </c>
      <c r="K27" s="680" t="s">
        <v>3758</v>
      </c>
      <c r="L27" s="680" t="s">
        <v>3758</v>
      </c>
      <c r="M27" s="680">
        <v>4.0</v>
      </c>
      <c r="N27" s="680">
        <v>36.0</v>
      </c>
      <c r="O27" s="680">
        <v>10.0</v>
      </c>
      <c r="P27" s="680" t="s">
        <v>3755</v>
      </c>
      <c r="Q27" s="666"/>
      <c r="R27" s="680">
        <v>50.0</v>
      </c>
      <c r="S27" s="680">
        <v>24.0</v>
      </c>
      <c r="T27" s="693">
        <f t="shared" si="4"/>
        <v>0.48</v>
      </c>
      <c r="U27" s="691"/>
      <c r="V27" s="716"/>
      <c r="W27" s="686"/>
      <c r="X27" s="686"/>
      <c r="Y27" s="686"/>
      <c r="Z27" s="686"/>
      <c r="AA27" s="669"/>
      <c r="AB27" s="176"/>
      <c r="AC27" s="669"/>
    </row>
    <row r="28" ht="18.0" customHeight="1">
      <c r="A28" s="680" t="s">
        <v>4035</v>
      </c>
      <c r="B28" s="680" t="s">
        <v>857</v>
      </c>
      <c r="C28" s="680">
        <v>2025.0</v>
      </c>
      <c r="D28" s="681" t="s">
        <v>3844</v>
      </c>
      <c r="E28" s="681">
        <v>2.0</v>
      </c>
      <c r="F28" s="681">
        <v>233.0</v>
      </c>
      <c r="G28" s="680" t="s">
        <v>3808</v>
      </c>
      <c r="H28" s="680" t="s">
        <v>3808</v>
      </c>
      <c r="I28" s="681" t="s">
        <v>3893</v>
      </c>
      <c r="J28" s="680" t="s">
        <v>3755</v>
      </c>
      <c r="K28" s="680" t="s">
        <v>3758</v>
      </c>
      <c r="L28" s="680" t="s">
        <v>3755</v>
      </c>
      <c r="M28" s="680">
        <v>2.0</v>
      </c>
      <c r="N28" s="681">
        <v>18.0</v>
      </c>
      <c r="O28" s="681">
        <v>10.0</v>
      </c>
      <c r="P28" s="681" t="s">
        <v>4039</v>
      </c>
      <c r="Q28" s="681"/>
      <c r="R28" s="681">
        <v>159.0</v>
      </c>
      <c r="S28" s="681">
        <v>8.0</v>
      </c>
      <c r="T28" s="681">
        <f>S28/R28*100</f>
        <v>5.031446541</v>
      </c>
      <c r="U28" s="717">
        <v>45731.0</v>
      </c>
      <c r="V28" s="718" t="s">
        <v>4048</v>
      </c>
      <c r="W28" s="681">
        <v>8.0</v>
      </c>
      <c r="X28" s="680">
        <v>0.0</v>
      </c>
      <c r="Y28" s="680">
        <v>16.0</v>
      </c>
      <c r="Z28" s="680">
        <v>1.0</v>
      </c>
      <c r="AA28" s="669"/>
      <c r="AB28" s="176" t="s">
        <v>3778</v>
      </c>
      <c r="AC28" s="669"/>
    </row>
    <row r="29" ht="18.0" customHeight="1">
      <c r="A29" s="680" t="s">
        <v>4049</v>
      </c>
      <c r="B29" s="680" t="s">
        <v>857</v>
      </c>
      <c r="C29" s="680">
        <v>2025.0</v>
      </c>
      <c r="D29" s="681" t="s">
        <v>3844</v>
      </c>
      <c r="E29" s="680">
        <v>1.0</v>
      </c>
      <c r="F29" s="680">
        <v>265.0</v>
      </c>
      <c r="G29" s="680" t="s">
        <v>3808</v>
      </c>
      <c r="H29" s="680" t="s">
        <v>3808</v>
      </c>
      <c r="I29" s="680" t="s">
        <v>3812</v>
      </c>
      <c r="J29" s="680" t="s">
        <v>3755</v>
      </c>
      <c r="K29" s="176" t="s">
        <v>3758</v>
      </c>
      <c r="L29" s="680" t="s">
        <v>3758</v>
      </c>
      <c r="M29" s="680">
        <v>8.0</v>
      </c>
      <c r="N29" s="680">
        <v>22.0</v>
      </c>
      <c r="O29" s="680">
        <v>10.0</v>
      </c>
      <c r="P29" s="680" t="s">
        <v>3758</v>
      </c>
      <c r="Q29" s="666"/>
      <c r="R29" s="680">
        <v>32.0</v>
      </c>
      <c r="S29" s="680">
        <v>16.0</v>
      </c>
      <c r="T29" s="693">
        <f t="shared" ref="T29:T39" si="5">S29/R29</f>
        <v>0.5</v>
      </c>
      <c r="U29" s="680" t="s">
        <v>4025</v>
      </c>
      <c r="V29" s="680"/>
      <c r="W29" s="680"/>
      <c r="X29" s="686"/>
      <c r="Y29" s="680"/>
      <c r="Z29" s="686"/>
      <c r="AA29" s="669"/>
      <c r="AB29" s="176" t="s">
        <v>3778</v>
      </c>
      <c r="AC29" s="669"/>
    </row>
    <row r="30" ht="18.0" customHeight="1">
      <c r="A30" s="680" t="s">
        <v>4059</v>
      </c>
      <c r="B30" s="680" t="s">
        <v>857</v>
      </c>
      <c r="C30" s="680">
        <v>2025.0</v>
      </c>
      <c r="D30" s="681" t="s">
        <v>3971</v>
      </c>
      <c r="E30" s="680">
        <v>1.0</v>
      </c>
      <c r="F30" s="680">
        <v>231.0</v>
      </c>
      <c r="G30" s="680" t="s">
        <v>3808</v>
      </c>
      <c r="H30" s="680" t="s">
        <v>3808</v>
      </c>
      <c r="I30" s="680" t="s">
        <v>3879</v>
      </c>
      <c r="J30" s="680" t="s">
        <v>3755</v>
      </c>
      <c r="K30" s="680" t="s">
        <v>3758</v>
      </c>
      <c r="L30" s="680" t="s">
        <v>3755</v>
      </c>
      <c r="M30" s="680">
        <v>2.0</v>
      </c>
      <c r="N30" s="680">
        <v>13.0</v>
      </c>
      <c r="O30" s="680">
        <v>10.0</v>
      </c>
      <c r="P30" s="680" t="s">
        <v>3755</v>
      </c>
      <c r="Q30" s="666"/>
      <c r="R30" s="680">
        <v>68.0</v>
      </c>
      <c r="S30" s="680">
        <v>11.0</v>
      </c>
      <c r="T30" s="693">
        <f t="shared" si="5"/>
        <v>0.1617647059</v>
      </c>
      <c r="U30" s="691">
        <v>45427.0</v>
      </c>
      <c r="V30" s="708" t="s">
        <v>4069</v>
      </c>
      <c r="W30" s="680">
        <v>11.0</v>
      </c>
      <c r="X30" s="686"/>
      <c r="Y30" s="680">
        <v>7.0</v>
      </c>
      <c r="Z30" s="680">
        <v>1.0</v>
      </c>
      <c r="AA30" s="669"/>
      <c r="AB30" s="176" t="s">
        <v>3778</v>
      </c>
      <c r="AC30" s="669"/>
    </row>
    <row r="31" ht="18.0" customHeight="1">
      <c r="A31" s="680" t="s">
        <v>4073</v>
      </c>
      <c r="B31" s="680" t="s">
        <v>857</v>
      </c>
      <c r="C31" s="680">
        <v>2025.0</v>
      </c>
      <c r="D31" s="681" t="s">
        <v>4019</v>
      </c>
      <c r="E31" s="680">
        <v>1.0</v>
      </c>
      <c r="F31" s="680">
        <v>235.0</v>
      </c>
      <c r="G31" s="680">
        <v>240.0</v>
      </c>
      <c r="H31" s="680" t="s">
        <v>3808</v>
      </c>
      <c r="I31" s="680" t="s">
        <v>3808</v>
      </c>
      <c r="J31" s="680" t="s">
        <v>3755</v>
      </c>
      <c r="K31" s="680" t="s">
        <v>3755</v>
      </c>
      <c r="L31" s="680" t="s">
        <v>3755</v>
      </c>
      <c r="M31" s="680">
        <v>0.0</v>
      </c>
      <c r="N31" s="680">
        <v>9.0</v>
      </c>
      <c r="O31" s="680">
        <v>10.0</v>
      </c>
      <c r="P31" s="680" t="s">
        <v>3755</v>
      </c>
      <c r="Q31" s="666"/>
      <c r="R31" s="680">
        <v>59.0</v>
      </c>
      <c r="S31" s="680">
        <v>10.0</v>
      </c>
      <c r="T31" s="693">
        <f t="shared" si="5"/>
        <v>0.1694915254</v>
      </c>
      <c r="U31" s="691">
        <v>45519.0</v>
      </c>
      <c r="V31" s="707" t="s">
        <v>4083</v>
      </c>
      <c r="W31" s="686"/>
      <c r="X31" s="686"/>
      <c r="Y31" s="680">
        <v>1.0</v>
      </c>
      <c r="Z31" s="680">
        <v>1.0</v>
      </c>
      <c r="AA31" s="669"/>
      <c r="AB31" s="695"/>
      <c r="AC31" s="669"/>
    </row>
    <row r="32" ht="18.0" customHeight="1">
      <c r="A32" s="680" t="s">
        <v>4085</v>
      </c>
      <c r="B32" s="680" t="s">
        <v>857</v>
      </c>
      <c r="C32" s="680">
        <v>2025.0</v>
      </c>
      <c r="D32" s="681" t="s">
        <v>4086</v>
      </c>
      <c r="E32" s="680">
        <v>1.0</v>
      </c>
      <c r="F32" s="680">
        <v>268.0</v>
      </c>
      <c r="G32" s="680" t="s">
        <v>3808</v>
      </c>
      <c r="H32" s="680" t="s">
        <v>3808</v>
      </c>
      <c r="I32" s="680" t="s">
        <v>3812</v>
      </c>
      <c r="J32" s="680" t="s">
        <v>3758</v>
      </c>
      <c r="K32" s="680" t="s">
        <v>3755</v>
      </c>
      <c r="L32" s="680" t="s">
        <v>3755</v>
      </c>
      <c r="M32" s="680">
        <v>3.0</v>
      </c>
      <c r="N32" s="680">
        <v>28.0</v>
      </c>
      <c r="O32" s="680">
        <v>10.0</v>
      </c>
      <c r="P32" s="680" t="s">
        <v>3755</v>
      </c>
      <c r="Q32" s="666"/>
      <c r="R32" s="680">
        <v>64.0</v>
      </c>
      <c r="S32" s="680">
        <v>13.0</v>
      </c>
      <c r="T32" s="693">
        <f t="shared" si="5"/>
        <v>0.203125</v>
      </c>
      <c r="U32" s="691">
        <v>45488.0</v>
      </c>
      <c r="V32" s="711" t="s">
        <v>4089</v>
      </c>
      <c r="W32" s="680">
        <v>12.0</v>
      </c>
      <c r="X32" s="680">
        <v>1.0</v>
      </c>
      <c r="Y32" s="680">
        <v>3.0</v>
      </c>
      <c r="Z32" s="680">
        <v>1.0</v>
      </c>
      <c r="AA32" s="669"/>
      <c r="AB32" s="176"/>
      <c r="AC32" s="669"/>
    </row>
    <row r="33" ht="18.75" customHeight="1">
      <c r="A33" s="680" t="s">
        <v>4091</v>
      </c>
      <c r="B33" s="680" t="s">
        <v>857</v>
      </c>
      <c r="C33" s="680">
        <v>2025.0</v>
      </c>
      <c r="D33" s="681" t="s">
        <v>4086</v>
      </c>
      <c r="E33" s="680">
        <v>1.0</v>
      </c>
      <c r="F33" s="680">
        <v>267.0</v>
      </c>
      <c r="G33" s="680" t="s">
        <v>3808</v>
      </c>
      <c r="H33" s="680" t="s">
        <v>3808</v>
      </c>
      <c r="I33" s="176"/>
      <c r="J33" s="680"/>
      <c r="K33" s="680" t="s">
        <v>3755</v>
      </c>
      <c r="L33" s="680" t="s">
        <v>3758</v>
      </c>
      <c r="M33" s="680">
        <v>4.0</v>
      </c>
      <c r="N33" s="680">
        <v>2.0</v>
      </c>
      <c r="O33" s="680">
        <v>10.0</v>
      </c>
      <c r="P33" s="680" t="s">
        <v>3755</v>
      </c>
      <c r="Q33" s="666"/>
      <c r="R33" s="680">
        <v>40.0</v>
      </c>
      <c r="S33" s="684">
        <v>22.0</v>
      </c>
      <c r="T33" s="693">
        <f t="shared" si="5"/>
        <v>0.55</v>
      </c>
      <c r="U33" s="680" t="s">
        <v>3823</v>
      </c>
      <c r="V33" s="707" t="s">
        <v>4099</v>
      </c>
      <c r="W33" s="680">
        <v>17.0</v>
      </c>
      <c r="X33" s="680">
        <v>5.0</v>
      </c>
      <c r="Y33" s="680">
        <v>3.0</v>
      </c>
      <c r="Z33" s="680">
        <v>1.0</v>
      </c>
      <c r="AA33" s="669"/>
      <c r="AB33" s="176" t="s">
        <v>3778</v>
      </c>
      <c r="AC33" s="669"/>
    </row>
    <row r="34" ht="18.0" customHeight="1">
      <c r="A34" s="680" t="s">
        <v>3758</v>
      </c>
      <c r="B34" s="680" t="s">
        <v>3741</v>
      </c>
      <c r="C34" s="680">
        <v>2023.0</v>
      </c>
      <c r="D34" s="687" t="s">
        <v>3829</v>
      </c>
      <c r="E34" s="680">
        <v>1.0</v>
      </c>
      <c r="F34" s="680">
        <v>250.0</v>
      </c>
      <c r="G34" s="680" t="s">
        <v>3808</v>
      </c>
      <c r="H34" s="680" t="s">
        <v>3808</v>
      </c>
      <c r="I34" s="688"/>
      <c r="J34" s="688"/>
      <c r="K34" s="688"/>
      <c r="L34" s="688"/>
      <c r="M34" s="686"/>
      <c r="N34" s="680">
        <v>1.0</v>
      </c>
      <c r="O34" s="680">
        <v>10.0</v>
      </c>
      <c r="P34" s="680" t="s">
        <v>3755</v>
      </c>
      <c r="Q34" s="666"/>
      <c r="R34" s="680">
        <v>209.0</v>
      </c>
      <c r="S34" s="690">
        <v>2.0</v>
      </c>
      <c r="T34" s="693">
        <f t="shared" si="5"/>
        <v>0.00956937799</v>
      </c>
      <c r="U34" s="691">
        <v>45306.0</v>
      </c>
      <c r="V34" s="680" t="s">
        <v>4105</v>
      </c>
      <c r="W34" s="680"/>
      <c r="X34" s="686"/>
      <c r="Y34" s="680">
        <v>1.0</v>
      </c>
      <c r="Z34" s="686"/>
      <c r="AA34" s="669"/>
      <c r="AB34" s="176"/>
      <c r="AC34" s="669"/>
    </row>
    <row r="35" ht="18.0" customHeight="1">
      <c r="A35" s="680" t="s">
        <v>4108</v>
      </c>
      <c r="B35" s="680" t="s">
        <v>857</v>
      </c>
      <c r="C35" s="680">
        <v>2025.0</v>
      </c>
      <c r="D35" s="681" t="s">
        <v>4105</v>
      </c>
      <c r="E35" s="680">
        <v>1.0</v>
      </c>
      <c r="F35" s="680">
        <v>262.0</v>
      </c>
      <c r="G35" s="680" t="s">
        <v>3808</v>
      </c>
      <c r="H35" s="680" t="s">
        <v>3808</v>
      </c>
      <c r="I35" s="680" t="s">
        <v>3812</v>
      </c>
      <c r="J35" s="680" t="s">
        <v>3758</v>
      </c>
      <c r="K35" s="680" t="s">
        <v>3755</v>
      </c>
      <c r="L35" s="680" t="s">
        <v>3758</v>
      </c>
      <c r="M35" s="680">
        <v>5.0</v>
      </c>
      <c r="N35" s="680">
        <v>9.0</v>
      </c>
      <c r="O35" s="680">
        <v>10.0</v>
      </c>
      <c r="P35" s="680" t="s">
        <v>3755</v>
      </c>
      <c r="Q35" s="666"/>
      <c r="R35" s="680">
        <v>41.0</v>
      </c>
      <c r="S35" s="680">
        <v>15.0</v>
      </c>
      <c r="T35" s="693">
        <f t="shared" si="5"/>
        <v>0.3658536585</v>
      </c>
      <c r="U35" s="691">
        <v>45519.0</v>
      </c>
      <c r="V35" s="698"/>
      <c r="W35" s="686"/>
      <c r="X35" s="686"/>
      <c r="Y35" s="680"/>
      <c r="Z35" s="686"/>
      <c r="AA35" s="669"/>
      <c r="AB35" s="176" t="s">
        <v>3778</v>
      </c>
      <c r="AC35" s="669"/>
    </row>
    <row r="36" ht="18.0" customHeight="1">
      <c r="A36" s="680" t="s">
        <v>4114</v>
      </c>
      <c r="B36" s="680" t="s">
        <v>857</v>
      </c>
      <c r="C36" s="680">
        <v>2025.0</v>
      </c>
      <c r="D36" s="681" t="s">
        <v>4019</v>
      </c>
      <c r="E36" s="680">
        <v>1.0</v>
      </c>
      <c r="F36" s="680">
        <v>239.0</v>
      </c>
      <c r="G36" s="680" t="s">
        <v>3808</v>
      </c>
      <c r="H36" s="680" t="s">
        <v>3808</v>
      </c>
      <c r="I36" s="688"/>
      <c r="J36" s="176" t="s">
        <v>3755</v>
      </c>
      <c r="K36" s="176" t="s">
        <v>3755</v>
      </c>
      <c r="L36" s="680" t="s">
        <v>3755</v>
      </c>
      <c r="M36" s="680">
        <v>0.0</v>
      </c>
      <c r="N36" s="680">
        <v>11.0</v>
      </c>
      <c r="O36" s="680">
        <v>10.0</v>
      </c>
      <c r="P36" s="680" t="s">
        <v>3758</v>
      </c>
      <c r="Q36" s="666"/>
      <c r="R36" s="680">
        <v>118.0</v>
      </c>
      <c r="S36" s="680">
        <v>22.0</v>
      </c>
      <c r="T36" s="693">
        <f t="shared" si="5"/>
        <v>0.186440678</v>
      </c>
      <c r="U36" s="691">
        <v>45884.0</v>
      </c>
      <c r="V36" s="680"/>
      <c r="W36" s="686"/>
      <c r="X36" s="686"/>
      <c r="Y36" s="686"/>
      <c r="Z36" s="686"/>
      <c r="AA36" s="669"/>
      <c r="AB36" s="176" t="s">
        <v>3778</v>
      </c>
      <c r="AC36" s="669"/>
    </row>
    <row r="37" ht="18.0" customHeight="1">
      <c r="A37" s="680" t="s">
        <v>4121</v>
      </c>
      <c r="B37" s="680" t="s">
        <v>3919</v>
      </c>
      <c r="C37" s="680">
        <v>2025.0</v>
      </c>
      <c r="D37" s="681" t="s">
        <v>4122</v>
      </c>
      <c r="E37" s="680">
        <v>1.0</v>
      </c>
      <c r="F37" s="680">
        <v>260.0</v>
      </c>
      <c r="G37" s="680" t="s">
        <v>4125</v>
      </c>
      <c r="H37" s="680">
        <v>575.0</v>
      </c>
      <c r="I37" s="680" t="s">
        <v>3879</v>
      </c>
      <c r="J37" s="680" t="s">
        <v>3755</v>
      </c>
      <c r="K37" s="680" t="s">
        <v>3755</v>
      </c>
      <c r="L37" s="680" t="s">
        <v>3758</v>
      </c>
      <c r="M37" s="680">
        <v>4.0</v>
      </c>
      <c r="N37" s="680">
        <v>0.0</v>
      </c>
      <c r="O37" s="680">
        <v>10.0</v>
      </c>
      <c r="P37" s="680" t="s">
        <v>3755</v>
      </c>
      <c r="Q37" s="666"/>
      <c r="R37" s="680">
        <v>30.0</v>
      </c>
      <c r="S37" s="680">
        <v>12.0</v>
      </c>
      <c r="T37" s="693">
        <f t="shared" si="5"/>
        <v>0.4</v>
      </c>
      <c r="U37" s="691">
        <v>45519.0</v>
      </c>
      <c r="V37" s="686"/>
      <c r="W37" s="686"/>
      <c r="X37" s="686"/>
      <c r="Y37" s="686"/>
      <c r="Z37" s="686"/>
      <c r="AA37" s="669"/>
      <c r="AB37" s="695"/>
      <c r="AC37" s="669"/>
    </row>
    <row r="38" ht="21.75" customHeight="1">
      <c r="A38" s="680" t="s">
        <v>4128</v>
      </c>
      <c r="B38" s="680" t="s">
        <v>3919</v>
      </c>
      <c r="C38" s="680">
        <v>2025.0</v>
      </c>
      <c r="D38" s="681" t="s">
        <v>3844</v>
      </c>
      <c r="E38" s="680">
        <v>1.0</v>
      </c>
      <c r="F38" s="680">
        <v>262.0</v>
      </c>
      <c r="G38" s="680" t="s">
        <v>3808</v>
      </c>
      <c r="H38" s="680">
        <v>642.0</v>
      </c>
      <c r="I38" s="680" t="s">
        <v>3812</v>
      </c>
      <c r="J38" s="680" t="s">
        <v>3755</v>
      </c>
      <c r="K38" s="680" t="s">
        <v>3755</v>
      </c>
      <c r="L38" s="680" t="s">
        <v>3758</v>
      </c>
      <c r="M38" s="680">
        <v>8.0</v>
      </c>
      <c r="N38" s="680">
        <v>0.0</v>
      </c>
      <c r="O38" s="680">
        <v>8.0</v>
      </c>
      <c r="P38" s="680" t="s">
        <v>3758</v>
      </c>
      <c r="Q38" s="666"/>
      <c r="R38" s="680">
        <v>142.0</v>
      </c>
      <c r="S38" s="680">
        <v>30.0</v>
      </c>
      <c r="T38" s="685">
        <f t="shared" si="5"/>
        <v>0.2112676056</v>
      </c>
      <c r="U38" s="691">
        <v>45884.0</v>
      </c>
      <c r="V38" s="680"/>
      <c r="W38" s="680">
        <v>26.0</v>
      </c>
      <c r="X38" s="680">
        <v>4.0</v>
      </c>
      <c r="Y38" s="680"/>
      <c r="Z38" s="680"/>
      <c r="AA38" s="666"/>
      <c r="AB38" s="680" t="s">
        <v>3778</v>
      </c>
      <c r="AC38" s="719"/>
    </row>
    <row r="39" ht="18.0" customHeight="1">
      <c r="A39" s="680" t="s">
        <v>4133</v>
      </c>
      <c r="B39" s="680" t="s">
        <v>857</v>
      </c>
      <c r="C39" s="680">
        <v>2025.0</v>
      </c>
      <c r="D39" s="681" t="s">
        <v>4135</v>
      </c>
      <c r="E39" s="680">
        <v>1.0</v>
      </c>
      <c r="F39" s="680">
        <v>268.0</v>
      </c>
      <c r="G39" s="680" t="s">
        <v>3808</v>
      </c>
      <c r="H39" s="680" t="s">
        <v>3808</v>
      </c>
      <c r="I39" s="680" t="s">
        <v>3812</v>
      </c>
      <c r="J39" s="680" t="s">
        <v>3758</v>
      </c>
      <c r="K39" s="680" t="s">
        <v>3755</v>
      </c>
      <c r="L39" s="680" t="s">
        <v>3758</v>
      </c>
      <c r="M39" s="680">
        <v>6.0</v>
      </c>
      <c r="N39" s="680">
        <v>9.0</v>
      </c>
      <c r="O39" s="680">
        <v>10.0</v>
      </c>
      <c r="P39" s="680" t="s">
        <v>3755</v>
      </c>
      <c r="Q39" s="666"/>
      <c r="R39" s="680">
        <v>63.0</v>
      </c>
      <c r="S39" s="684">
        <v>27.0</v>
      </c>
      <c r="T39" s="693">
        <f t="shared" si="5"/>
        <v>0.4285714286</v>
      </c>
      <c r="U39" s="691">
        <v>45641.0</v>
      </c>
      <c r="V39" s="711" t="s">
        <v>4137</v>
      </c>
      <c r="W39" s="680">
        <v>19.0</v>
      </c>
      <c r="X39" s="680">
        <v>8.0</v>
      </c>
      <c r="Y39" s="680">
        <v>3.0</v>
      </c>
      <c r="Z39" s="686"/>
      <c r="AA39" s="669"/>
      <c r="AB39" s="176" t="s">
        <v>3778</v>
      </c>
      <c r="AC39" s="669"/>
    </row>
    <row r="40" ht="18.0" customHeight="1">
      <c r="A40" s="680" t="s">
        <v>4142</v>
      </c>
      <c r="B40" s="680" t="s">
        <v>3919</v>
      </c>
      <c r="C40" s="680">
        <v>2025.0</v>
      </c>
      <c r="D40" s="681" t="s">
        <v>4143</v>
      </c>
      <c r="E40" s="680">
        <v>1.0</v>
      </c>
      <c r="F40" s="680">
        <v>255.0</v>
      </c>
      <c r="G40" s="680" t="s">
        <v>4125</v>
      </c>
      <c r="H40" s="680">
        <v>571.0</v>
      </c>
      <c r="I40" s="176" t="s">
        <v>3893</v>
      </c>
      <c r="J40" s="176" t="s">
        <v>3755</v>
      </c>
      <c r="K40" s="176" t="s">
        <v>3755</v>
      </c>
      <c r="L40" s="680" t="s">
        <v>3758</v>
      </c>
      <c r="M40" s="680">
        <v>4.0</v>
      </c>
      <c r="N40" s="680">
        <v>8.0</v>
      </c>
      <c r="O40" s="680">
        <v>8.0</v>
      </c>
      <c r="P40" s="680" t="s">
        <v>3755</v>
      </c>
      <c r="Q40" s="666"/>
      <c r="R40" s="680" t="s">
        <v>3868</v>
      </c>
      <c r="S40" s="680" t="s">
        <v>3868</v>
      </c>
      <c r="T40" s="680" t="s">
        <v>3870</v>
      </c>
      <c r="U40" s="688"/>
      <c r="V40" s="686"/>
      <c r="W40" s="686"/>
      <c r="X40" s="686"/>
      <c r="Y40" s="686"/>
      <c r="Z40" s="686"/>
      <c r="AA40" s="669"/>
      <c r="AB40" s="695"/>
      <c r="AC40" s="669"/>
    </row>
    <row r="41" ht="18.0" customHeight="1">
      <c r="A41" s="680" t="s">
        <v>4146</v>
      </c>
      <c r="B41" s="680" t="s">
        <v>857</v>
      </c>
      <c r="C41" s="680">
        <v>2025.0</v>
      </c>
      <c r="D41" s="681" t="s">
        <v>4122</v>
      </c>
      <c r="E41" s="680">
        <v>1.0</v>
      </c>
      <c r="F41" s="680">
        <v>253.0</v>
      </c>
      <c r="G41" s="680" t="s">
        <v>3808</v>
      </c>
      <c r="H41" s="680" t="s">
        <v>3808</v>
      </c>
      <c r="I41" s="680" t="s">
        <v>3893</v>
      </c>
      <c r="J41" s="680" t="s">
        <v>3755</v>
      </c>
      <c r="K41" s="680" t="s">
        <v>3755</v>
      </c>
      <c r="L41" s="680" t="s">
        <v>3758</v>
      </c>
      <c r="M41" s="680">
        <v>4.0</v>
      </c>
      <c r="N41" s="680">
        <v>14.0</v>
      </c>
      <c r="O41" s="680">
        <v>10.0</v>
      </c>
      <c r="P41" s="680" t="s">
        <v>3755</v>
      </c>
      <c r="Q41" s="666"/>
      <c r="R41" s="680">
        <v>97.0</v>
      </c>
      <c r="S41" s="680">
        <v>11.0</v>
      </c>
      <c r="T41" s="693">
        <f t="shared" ref="T41:T47" si="6">S41/R41</f>
        <v>0.1134020619</v>
      </c>
      <c r="U41" s="691">
        <v>45366.0</v>
      </c>
      <c r="V41" s="711" t="s">
        <v>4157</v>
      </c>
      <c r="W41" s="680">
        <v>11.0</v>
      </c>
      <c r="X41" s="686"/>
      <c r="Y41" s="680">
        <v>3.0</v>
      </c>
      <c r="Z41" s="686"/>
      <c r="AA41" s="669"/>
      <c r="AB41" s="176" t="s">
        <v>3778</v>
      </c>
      <c r="AC41" s="669"/>
    </row>
    <row r="42" ht="18.0" customHeight="1">
      <c r="A42" s="681">
        <v>9.0</v>
      </c>
      <c r="B42" s="681" t="s">
        <v>857</v>
      </c>
      <c r="C42" s="681">
        <v>2025.0</v>
      </c>
      <c r="D42" s="681" t="s">
        <v>4158</v>
      </c>
      <c r="E42" s="681">
        <v>1.0</v>
      </c>
      <c r="F42" s="681">
        <v>265.0</v>
      </c>
      <c r="G42" s="680" t="s">
        <v>3808</v>
      </c>
      <c r="H42" s="680" t="s">
        <v>3808</v>
      </c>
      <c r="I42" s="681" t="s">
        <v>3812</v>
      </c>
      <c r="J42" s="681" t="s">
        <v>3758</v>
      </c>
      <c r="K42" s="681" t="s">
        <v>3755</v>
      </c>
      <c r="L42" s="681" t="s">
        <v>3758</v>
      </c>
      <c r="M42" s="681">
        <v>5.0</v>
      </c>
      <c r="N42" s="681">
        <v>11.0</v>
      </c>
      <c r="O42" s="681">
        <v>10.0</v>
      </c>
      <c r="P42" s="681" t="s">
        <v>3755</v>
      </c>
      <c r="Q42" s="659"/>
      <c r="R42" s="681">
        <v>54.0</v>
      </c>
      <c r="S42" s="681">
        <v>16.0</v>
      </c>
      <c r="T42" s="722">
        <f t="shared" si="6"/>
        <v>0.2962962963</v>
      </c>
      <c r="U42" s="717">
        <v>45580.0</v>
      </c>
      <c r="V42" s="723" t="s">
        <v>4161</v>
      </c>
      <c r="W42" s="681">
        <v>5.0</v>
      </c>
      <c r="X42" s="724"/>
      <c r="Y42" s="681">
        <v>5.0</v>
      </c>
      <c r="Z42" s="681">
        <v>1.0</v>
      </c>
      <c r="AA42" s="661"/>
      <c r="AB42" s="725" t="s">
        <v>3778</v>
      </c>
      <c r="AC42" s="661"/>
    </row>
    <row r="43" ht="18.0" customHeight="1">
      <c r="A43" s="680" t="s">
        <v>4166</v>
      </c>
      <c r="B43" s="680" t="s">
        <v>857</v>
      </c>
      <c r="C43" s="680">
        <v>2025.0</v>
      </c>
      <c r="D43" s="681" t="s">
        <v>4167</v>
      </c>
      <c r="E43" s="680">
        <v>1.0</v>
      </c>
      <c r="F43" s="680">
        <v>252.0</v>
      </c>
      <c r="G43" s="680" t="s">
        <v>3808</v>
      </c>
      <c r="H43" s="680" t="s">
        <v>3808</v>
      </c>
      <c r="I43" s="680" t="s">
        <v>3812</v>
      </c>
      <c r="J43" s="680" t="s">
        <v>3755</v>
      </c>
      <c r="K43" s="680" t="s">
        <v>3755</v>
      </c>
      <c r="L43" s="680" t="s">
        <v>3758</v>
      </c>
      <c r="M43" s="680">
        <v>2.0</v>
      </c>
      <c r="N43" s="680">
        <v>0.0</v>
      </c>
      <c r="O43" s="680">
        <v>9.0</v>
      </c>
      <c r="P43" s="680" t="s">
        <v>3755</v>
      </c>
      <c r="Q43" s="666"/>
      <c r="R43" s="680">
        <v>152.0</v>
      </c>
      <c r="S43" s="680">
        <v>10.0</v>
      </c>
      <c r="T43" s="693">
        <f t="shared" si="6"/>
        <v>0.06578947368</v>
      </c>
      <c r="U43" s="691">
        <v>45427.0</v>
      </c>
      <c r="V43" s="711" t="s">
        <v>4171</v>
      </c>
      <c r="W43" s="680">
        <v>9.0</v>
      </c>
      <c r="X43" s="680">
        <v>1.0</v>
      </c>
      <c r="Y43" s="680">
        <v>5.0</v>
      </c>
      <c r="Z43" s="688"/>
      <c r="AA43" s="669"/>
      <c r="AB43" s="176" t="s">
        <v>3841</v>
      </c>
      <c r="AC43" s="669"/>
    </row>
    <row r="44" ht="18.0" customHeight="1">
      <c r="A44" s="680" t="s">
        <v>4173</v>
      </c>
      <c r="B44" s="680" t="s">
        <v>857</v>
      </c>
      <c r="C44" s="680">
        <v>2025.0</v>
      </c>
      <c r="D44" s="681" t="s">
        <v>4135</v>
      </c>
      <c r="E44" s="680">
        <v>1.0</v>
      </c>
      <c r="F44" s="680">
        <v>240.0</v>
      </c>
      <c r="G44" s="680" t="s">
        <v>3808</v>
      </c>
      <c r="H44" s="680" t="s">
        <v>3808</v>
      </c>
      <c r="I44" s="680" t="s">
        <v>3879</v>
      </c>
      <c r="J44" s="680" t="s">
        <v>3755</v>
      </c>
      <c r="K44" s="680" t="s">
        <v>3755</v>
      </c>
      <c r="L44" s="680" t="s">
        <v>3758</v>
      </c>
      <c r="M44" s="680">
        <v>3.0</v>
      </c>
      <c r="N44" s="680">
        <v>4.0</v>
      </c>
      <c r="O44" s="680">
        <v>9.0</v>
      </c>
      <c r="P44" s="680" t="s">
        <v>3755</v>
      </c>
      <c r="Q44" s="666"/>
      <c r="R44" s="680">
        <v>116.0</v>
      </c>
      <c r="S44" s="684">
        <v>23.0</v>
      </c>
      <c r="T44" s="693">
        <f t="shared" si="6"/>
        <v>0.1982758621</v>
      </c>
      <c r="U44" s="691"/>
      <c r="V44" s="680" t="s">
        <v>4181</v>
      </c>
      <c r="W44" s="680">
        <v>22.0</v>
      </c>
      <c r="X44" s="680">
        <v>1.0</v>
      </c>
      <c r="Y44" s="686"/>
      <c r="Z44" s="686"/>
      <c r="AA44" s="669"/>
      <c r="AB44" s="176" t="s">
        <v>3778</v>
      </c>
      <c r="AC44" s="669"/>
    </row>
    <row r="45" ht="18.0" customHeight="1">
      <c r="A45" s="680" t="s">
        <v>4185</v>
      </c>
      <c r="B45" s="680" t="s">
        <v>857</v>
      </c>
      <c r="C45" s="680">
        <v>2025.0</v>
      </c>
      <c r="D45" s="681" t="s">
        <v>3844</v>
      </c>
      <c r="E45" s="680">
        <v>1.0</v>
      </c>
      <c r="F45" s="680">
        <v>244.0</v>
      </c>
      <c r="G45" s="680" t="s">
        <v>3808</v>
      </c>
      <c r="H45" s="680" t="s">
        <v>3808</v>
      </c>
      <c r="I45" s="680" t="s">
        <v>3879</v>
      </c>
      <c r="J45" s="680" t="s">
        <v>3755</v>
      </c>
      <c r="K45" s="680" t="s">
        <v>3755</v>
      </c>
      <c r="L45" s="680" t="s">
        <v>3755</v>
      </c>
      <c r="M45" s="680">
        <v>4.0</v>
      </c>
      <c r="N45" s="680">
        <v>5.0</v>
      </c>
      <c r="O45" s="680">
        <v>10.0</v>
      </c>
      <c r="P45" s="680" t="s">
        <v>3755</v>
      </c>
      <c r="Q45" s="666"/>
      <c r="R45" s="680">
        <v>139.0</v>
      </c>
      <c r="S45" s="680">
        <v>14.0</v>
      </c>
      <c r="T45" s="693">
        <f t="shared" si="6"/>
        <v>0.1007194245</v>
      </c>
      <c r="U45" s="691">
        <v>45519.0</v>
      </c>
      <c r="V45" s="680"/>
      <c r="W45" s="680">
        <v>13.0</v>
      </c>
      <c r="X45" s="680">
        <v>1.0</v>
      </c>
      <c r="Y45" s="680"/>
      <c r="Z45" s="688"/>
      <c r="AA45" s="669"/>
      <c r="AB45" s="176" t="s">
        <v>3778</v>
      </c>
      <c r="AC45" s="669"/>
    </row>
    <row r="46" ht="18.0" customHeight="1">
      <c r="A46" s="680" t="s">
        <v>4196</v>
      </c>
      <c r="B46" s="680" t="s">
        <v>3919</v>
      </c>
      <c r="C46" s="680">
        <v>2025.0</v>
      </c>
      <c r="D46" s="681" t="s">
        <v>4143</v>
      </c>
      <c r="E46" s="680">
        <v>1.0</v>
      </c>
      <c r="F46" s="680">
        <v>248.0</v>
      </c>
      <c r="G46" s="680" t="s">
        <v>4197</v>
      </c>
      <c r="H46" s="680">
        <v>593.0</v>
      </c>
      <c r="I46" s="680" t="s">
        <v>3879</v>
      </c>
      <c r="J46" s="680" t="s">
        <v>3758</v>
      </c>
      <c r="K46" s="680" t="s">
        <v>3758</v>
      </c>
      <c r="L46" s="680" t="s">
        <v>3755</v>
      </c>
      <c r="M46" s="680">
        <v>1.0</v>
      </c>
      <c r="N46" s="680">
        <v>4.0</v>
      </c>
      <c r="O46" s="680">
        <v>10.0</v>
      </c>
      <c r="P46" s="680" t="s">
        <v>3755</v>
      </c>
      <c r="Q46" s="666"/>
      <c r="R46" s="680">
        <v>92.0</v>
      </c>
      <c r="S46" s="680">
        <v>15.0</v>
      </c>
      <c r="T46" s="693">
        <f t="shared" si="6"/>
        <v>0.1630434783</v>
      </c>
      <c r="U46" s="691">
        <v>45458.0</v>
      </c>
      <c r="V46" s="688"/>
      <c r="W46" s="680">
        <v>14.0</v>
      </c>
      <c r="X46" s="680">
        <v>1.0</v>
      </c>
      <c r="Y46" s="680">
        <v>4.0</v>
      </c>
      <c r="Z46" s="686"/>
      <c r="AA46" s="669"/>
      <c r="AB46" s="176" t="s">
        <v>3778</v>
      </c>
      <c r="AC46" s="669"/>
    </row>
    <row r="47" ht="18.0" customHeight="1">
      <c r="A47" s="680" t="s">
        <v>4212</v>
      </c>
      <c r="B47" s="680" t="s">
        <v>3919</v>
      </c>
      <c r="C47" s="680">
        <v>2025.0</v>
      </c>
      <c r="D47" s="681" t="s">
        <v>4215</v>
      </c>
      <c r="E47" s="680">
        <v>1.0</v>
      </c>
      <c r="F47" s="680">
        <v>243.0</v>
      </c>
      <c r="G47" s="680" t="s">
        <v>4197</v>
      </c>
      <c r="H47" s="680">
        <v>578.0</v>
      </c>
      <c r="I47" s="680" t="s">
        <v>3879</v>
      </c>
      <c r="J47" s="680" t="s">
        <v>3758</v>
      </c>
      <c r="K47" s="680" t="s">
        <v>3758</v>
      </c>
      <c r="L47" s="680" t="s">
        <v>3755</v>
      </c>
      <c r="M47" s="680">
        <v>4.0</v>
      </c>
      <c r="N47" s="680">
        <v>9.0</v>
      </c>
      <c r="O47" s="680">
        <v>10.0</v>
      </c>
      <c r="P47" s="680" t="s">
        <v>3755</v>
      </c>
      <c r="Q47" s="666"/>
      <c r="R47" s="680">
        <v>100.0</v>
      </c>
      <c r="S47" s="680">
        <v>10.0</v>
      </c>
      <c r="T47" s="693">
        <f t="shared" si="6"/>
        <v>0.1</v>
      </c>
      <c r="U47" s="691">
        <v>45427.0</v>
      </c>
      <c r="V47" s="686"/>
      <c r="W47" s="680"/>
      <c r="X47" s="686"/>
      <c r="Y47" s="686"/>
      <c r="Z47" s="686"/>
      <c r="AA47" s="669"/>
      <c r="AB47" s="176"/>
      <c r="AC47" s="669"/>
    </row>
    <row r="48" ht="18.75" customHeight="1">
      <c r="A48" s="680" t="s">
        <v>4219</v>
      </c>
      <c r="B48" s="680" t="s">
        <v>857</v>
      </c>
      <c r="C48" s="680">
        <v>2025.0</v>
      </c>
      <c r="D48" s="681" t="s">
        <v>4019</v>
      </c>
      <c r="E48" s="680">
        <v>1.0</v>
      </c>
      <c r="F48" s="680">
        <v>253.0</v>
      </c>
      <c r="G48" s="680" t="s">
        <v>3808</v>
      </c>
      <c r="H48" s="680" t="s">
        <v>3808</v>
      </c>
      <c r="I48" s="680" t="s">
        <v>3879</v>
      </c>
      <c r="J48" s="680" t="s">
        <v>3755</v>
      </c>
      <c r="K48" s="680" t="s">
        <v>3755</v>
      </c>
      <c r="L48" s="680" t="s">
        <v>3758</v>
      </c>
      <c r="M48" s="680">
        <v>3.0</v>
      </c>
      <c r="N48" s="680">
        <v>0.0</v>
      </c>
      <c r="O48" s="680">
        <v>10.0</v>
      </c>
      <c r="P48" s="680" t="s">
        <v>3755</v>
      </c>
      <c r="Q48" s="666"/>
      <c r="R48" s="680" t="s">
        <v>3868</v>
      </c>
      <c r="S48" s="680" t="s">
        <v>3868</v>
      </c>
      <c r="T48" s="680" t="s">
        <v>3870</v>
      </c>
      <c r="U48" s="696"/>
      <c r="V48" s="686"/>
      <c r="W48" s="688"/>
      <c r="X48" s="686"/>
      <c r="Y48" s="688"/>
      <c r="Z48" s="686"/>
      <c r="AA48" s="669"/>
      <c r="AB48" s="176"/>
      <c r="AC48" s="669"/>
    </row>
    <row r="49">
      <c r="A49" s="727" t="s">
        <v>4221</v>
      </c>
      <c r="B49" s="680" t="s">
        <v>3919</v>
      </c>
      <c r="C49" s="680">
        <v>202.0</v>
      </c>
      <c r="D49" s="681" t="s">
        <v>4135</v>
      </c>
      <c r="E49" s="680">
        <v>1.0</v>
      </c>
      <c r="F49" s="680">
        <v>243.0</v>
      </c>
      <c r="G49" s="680" t="s">
        <v>4125</v>
      </c>
      <c r="H49" s="680">
        <v>558.0</v>
      </c>
      <c r="I49" s="680" t="s">
        <v>3893</v>
      </c>
      <c r="J49" s="680" t="s">
        <v>3755</v>
      </c>
      <c r="K49" s="680" t="s">
        <v>3755</v>
      </c>
      <c r="L49" s="680" t="s">
        <v>3758</v>
      </c>
      <c r="M49" s="680">
        <v>8.0</v>
      </c>
      <c r="N49" s="680">
        <v>5.0</v>
      </c>
      <c r="O49" s="680">
        <v>10.0</v>
      </c>
      <c r="P49" s="680" t="s">
        <v>3755</v>
      </c>
      <c r="Q49" s="666"/>
      <c r="R49" s="680">
        <v>130.0</v>
      </c>
      <c r="S49" s="680">
        <v>10.0</v>
      </c>
      <c r="T49" s="693">
        <f t="shared" ref="T49:T97" si="7">S49/R49</f>
        <v>0.07692307692</v>
      </c>
      <c r="U49" s="691">
        <v>45397.0</v>
      </c>
      <c r="V49" s="680" t="s">
        <v>4230</v>
      </c>
      <c r="W49" s="680">
        <v>9.0</v>
      </c>
      <c r="X49" s="680">
        <v>1.0</v>
      </c>
      <c r="Y49" s="680"/>
      <c r="Z49" s="686"/>
      <c r="AA49" s="669"/>
      <c r="AB49" s="176" t="s">
        <v>3841</v>
      </c>
      <c r="AC49" s="669"/>
    </row>
    <row r="50" ht="18.0" customHeight="1">
      <c r="A50" s="680" t="s">
        <v>4231</v>
      </c>
      <c r="B50" s="680" t="s">
        <v>3919</v>
      </c>
      <c r="C50" s="680">
        <v>2025.0</v>
      </c>
      <c r="D50" s="681" t="s">
        <v>4122</v>
      </c>
      <c r="E50" s="680">
        <v>1.0</v>
      </c>
      <c r="F50" s="680">
        <v>262.0</v>
      </c>
      <c r="G50" s="680" t="s">
        <v>4125</v>
      </c>
      <c r="H50" s="680">
        <v>721.0</v>
      </c>
      <c r="I50" s="176" t="s">
        <v>3812</v>
      </c>
      <c r="J50" s="680" t="s">
        <v>3758</v>
      </c>
      <c r="K50" s="680" t="s">
        <v>3755</v>
      </c>
      <c r="L50" s="680" t="s">
        <v>3758</v>
      </c>
      <c r="M50" s="680">
        <v>7.0</v>
      </c>
      <c r="N50" s="680">
        <v>3.0</v>
      </c>
      <c r="O50" s="680">
        <v>10.0</v>
      </c>
      <c r="P50" s="680" t="s">
        <v>3755</v>
      </c>
      <c r="Q50" s="666"/>
      <c r="R50" s="680">
        <v>80.0</v>
      </c>
      <c r="S50" s="680">
        <v>15.0</v>
      </c>
      <c r="T50" s="693">
        <f t="shared" si="7"/>
        <v>0.1875</v>
      </c>
      <c r="U50" s="696"/>
      <c r="V50" s="688"/>
      <c r="W50" s="680"/>
      <c r="X50" s="688"/>
      <c r="Y50" s="680"/>
      <c r="Z50" s="688"/>
      <c r="AA50" s="669"/>
      <c r="AB50" s="176"/>
      <c r="AC50" s="669"/>
    </row>
    <row r="51" ht="18.0" customHeight="1">
      <c r="A51" s="680" t="s">
        <v>4235</v>
      </c>
      <c r="B51" s="680" t="s">
        <v>857</v>
      </c>
      <c r="C51" s="680">
        <v>2025.0</v>
      </c>
      <c r="D51" s="681" t="s">
        <v>3844</v>
      </c>
      <c r="E51" s="680">
        <v>1.0</v>
      </c>
      <c r="F51" s="680">
        <v>260.0</v>
      </c>
      <c r="G51" s="680" t="s">
        <v>3808</v>
      </c>
      <c r="H51" s="680" t="s">
        <v>3808</v>
      </c>
      <c r="I51" s="680" t="s">
        <v>3812</v>
      </c>
      <c r="J51" s="680" t="s">
        <v>3758</v>
      </c>
      <c r="K51" s="680" t="s">
        <v>3755</v>
      </c>
      <c r="L51" s="680" t="s">
        <v>3758</v>
      </c>
      <c r="M51" s="680">
        <v>8.0</v>
      </c>
      <c r="N51" s="680">
        <v>5.0</v>
      </c>
      <c r="O51" s="680">
        <v>10.0</v>
      </c>
      <c r="P51" s="680" t="s">
        <v>3755</v>
      </c>
      <c r="Q51" s="666"/>
      <c r="R51" s="680">
        <v>65.0</v>
      </c>
      <c r="S51" s="680">
        <v>13.0</v>
      </c>
      <c r="T51" s="693">
        <f t="shared" si="7"/>
        <v>0.2</v>
      </c>
      <c r="U51" s="691">
        <v>45458.0</v>
      </c>
      <c r="V51" s="708" t="s">
        <v>4239</v>
      </c>
      <c r="W51" s="680">
        <v>12.0</v>
      </c>
      <c r="X51" s="680">
        <v>0.0</v>
      </c>
      <c r="Y51" s="680">
        <v>8.0</v>
      </c>
      <c r="Z51" s="680">
        <v>0.0</v>
      </c>
      <c r="AA51" s="669"/>
      <c r="AB51" s="176" t="s">
        <v>3778</v>
      </c>
      <c r="AC51" s="669"/>
    </row>
    <row r="52" ht="18.0" customHeight="1">
      <c r="A52" s="680" t="s">
        <v>4241</v>
      </c>
      <c r="B52" s="680" t="s">
        <v>3919</v>
      </c>
      <c r="C52" s="680">
        <v>2025.0</v>
      </c>
      <c r="D52" s="681" t="s">
        <v>4135</v>
      </c>
      <c r="E52" s="680">
        <v>1.0</v>
      </c>
      <c r="F52" s="680">
        <v>259.0</v>
      </c>
      <c r="G52" s="680" t="s">
        <v>4125</v>
      </c>
      <c r="H52" s="680">
        <v>652.0</v>
      </c>
      <c r="I52" s="686"/>
      <c r="J52" s="680" t="s">
        <v>3758</v>
      </c>
      <c r="K52" s="680" t="s">
        <v>3755</v>
      </c>
      <c r="L52" s="680" t="s">
        <v>3758</v>
      </c>
      <c r="M52" s="680">
        <v>7.0</v>
      </c>
      <c r="N52" s="680">
        <v>5.0</v>
      </c>
      <c r="O52" s="680">
        <v>9.0</v>
      </c>
      <c r="P52" s="680" t="s">
        <v>3755</v>
      </c>
      <c r="Q52" s="666"/>
      <c r="R52" s="680">
        <v>70.0</v>
      </c>
      <c r="S52" s="680">
        <v>0.0</v>
      </c>
      <c r="T52" s="685">
        <f t="shared" si="7"/>
        <v>0</v>
      </c>
      <c r="U52" s="688"/>
      <c r="V52" s="728"/>
      <c r="W52" s="680"/>
      <c r="X52" s="680"/>
      <c r="Y52" s="686"/>
      <c r="Z52" s="680"/>
      <c r="AA52" s="669"/>
      <c r="AB52" s="176" t="s">
        <v>3882</v>
      </c>
      <c r="AC52" s="669"/>
    </row>
    <row r="53" ht="18.0" customHeight="1">
      <c r="A53" s="680" t="s">
        <v>4249</v>
      </c>
      <c r="B53" s="680" t="s">
        <v>3741</v>
      </c>
      <c r="C53" s="680">
        <v>2023.0</v>
      </c>
      <c r="D53" s="687" t="s">
        <v>3829</v>
      </c>
      <c r="E53" s="680">
        <v>1.0</v>
      </c>
      <c r="F53" s="680">
        <v>267.0</v>
      </c>
      <c r="G53" s="680" t="s">
        <v>3808</v>
      </c>
      <c r="H53" s="680" t="s">
        <v>3808</v>
      </c>
      <c r="I53" s="680" t="s">
        <v>3812</v>
      </c>
      <c r="J53" s="680" t="s">
        <v>3755</v>
      </c>
      <c r="K53" s="680" t="s">
        <v>3755</v>
      </c>
      <c r="L53" s="680" t="s">
        <v>3758</v>
      </c>
      <c r="M53" s="680">
        <v>8.0</v>
      </c>
      <c r="N53" s="680">
        <v>22.0</v>
      </c>
      <c r="O53" s="680">
        <v>9.0</v>
      </c>
      <c r="P53" s="680" t="s">
        <v>3755</v>
      </c>
      <c r="Q53" s="666"/>
      <c r="R53" s="680">
        <v>70.0</v>
      </c>
      <c r="S53" s="690">
        <v>1.0</v>
      </c>
      <c r="T53" s="693">
        <f t="shared" si="7"/>
        <v>0.01428571429</v>
      </c>
      <c r="U53" s="688"/>
      <c r="V53" s="686"/>
      <c r="W53" s="686"/>
      <c r="X53" s="686"/>
      <c r="Y53" s="686"/>
      <c r="Z53" s="686"/>
      <c r="AA53" s="669"/>
      <c r="AB53" s="695"/>
      <c r="AC53" s="669"/>
    </row>
    <row r="54" ht="18.0" customHeight="1">
      <c r="A54" s="680" t="s">
        <v>4252</v>
      </c>
      <c r="B54" s="680" t="s">
        <v>3919</v>
      </c>
      <c r="C54" s="680">
        <v>2025.0</v>
      </c>
      <c r="D54" s="681" t="s">
        <v>4158</v>
      </c>
      <c r="E54" s="680">
        <v>1.0</v>
      </c>
      <c r="F54" s="680">
        <v>249.0</v>
      </c>
      <c r="G54" s="680" t="s">
        <v>4125</v>
      </c>
      <c r="H54" s="680">
        <v>648.0</v>
      </c>
      <c r="I54" s="690" t="s">
        <v>3812</v>
      </c>
      <c r="J54" s="680" t="s">
        <v>3755</v>
      </c>
      <c r="K54" s="680" t="s">
        <v>3755</v>
      </c>
      <c r="L54" s="680" t="s">
        <v>3758</v>
      </c>
      <c r="M54" s="680">
        <v>8.0</v>
      </c>
      <c r="N54" s="680">
        <v>5.0</v>
      </c>
      <c r="O54" s="680">
        <v>8.0</v>
      </c>
      <c r="P54" s="680" t="s">
        <v>3755</v>
      </c>
      <c r="Q54" s="666"/>
      <c r="R54" s="680">
        <v>70.0</v>
      </c>
      <c r="S54" s="680">
        <v>16.0</v>
      </c>
      <c r="T54" s="693">
        <f t="shared" si="7"/>
        <v>0.2285714286</v>
      </c>
      <c r="U54" s="691">
        <v>45611.0</v>
      </c>
      <c r="V54" s="698" t="s">
        <v>4256</v>
      </c>
      <c r="W54" s="680">
        <v>16.0</v>
      </c>
      <c r="X54" s="680">
        <v>0.0</v>
      </c>
      <c r="Y54" s="680">
        <v>2.0</v>
      </c>
      <c r="Z54" s="680">
        <v>0.0</v>
      </c>
      <c r="AA54" s="669"/>
      <c r="AB54" s="176" t="s">
        <v>3778</v>
      </c>
      <c r="AC54" s="669"/>
    </row>
    <row r="55" ht="18.0" customHeight="1">
      <c r="A55" s="680" t="s">
        <v>4259</v>
      </c>
      <c r="B55" s="680" t="s">
        <v>857</v>
      </c>
      <c r="C55" s="680">
        <v>2025.0</v>
      </c>
      <c r="D55" s="681" t="s">
        <v>3844</v>
      </c>
      <c r="E55" s="680">
        <v>1.0</v>
      </c>
      <c r="F55" s="680">
        <v>274.0</v>
      </c>
      <c r="G55" s="680" t="s">
        <v>3808</v>
      </c>
      <c r="H55" s="680" t="s">
        <v>3808</v>
      </c>
      <c r="I55" s="680" t="s">
        <v>3812</v>
      </c>
      <c r="J55" s="680" t="s">
        <v>3758</v>
      </c>
      <c r="K55" s="680" t="s">
        <v>3755</v>
      </c>
      <c r="L55" s="680" t="s">
        <v>3758</v>
      </c>
      <c r="M55" s="680">
        <v>7.0</v>
      </c>
      <c r="N55" s="680">
        <v>4.0</v>
      </c>
      <c r="O55" s="680">
        <v>10.0</v>
      </c>
      <c r="P55" s="680" t="s">
        <v>3758</v>
      </c>
      <c r="Q55" s="666"/>
      <c r="R55" s="680">
        <v>57.0</v>
      </c>
      <c r="S55" s="680">
        <v>18.0</v>
      </c>
      <c r="T55" s="693">
        <f t="shared" si="7"/>
        <v>0.3157894737</v>
      </c>
      <c r="U55" s="691">
        <v>45488.0</v>
      </c>
      <c r="V55" s="729" t="s">
        <v>4266</v>
      </c>
      <c r="W55" s="680">
        <v>17.0</v>
      </c>
      <c r="X55" s="680">
        <v>1.0</v>
      </c>
      <c r="Y55" s="686"/>
      <c r="Z55" s="686"/>
      <c r="AA55" s="669"/>
      <c r="AB55" s="176" t="s">
        <v>3778</v>
      </c>
      <c r="AC55" s="669"/>
    </row>
    <row r="56" ht="18.0" customHeight="1">
      <c r="A56" s="680" t="s">
        <v>4268</v>
      </c>
      <c r="B56" s="680" t="s">
        <v>857</v>
      </c>
      <c r="C56" s="680">
        <v>2025.0</v>
      </c>
      <c r="D56" s="681" t="s">
        <v>4105</v>
      </c>
      <c r="E56" s="680">
        <v>1.0</v>
      </c>
      <c r="F56" s="680">
        <v>244.0</v>
      </c>
      <c r="G56" s="680" t="s">
        <v>3808</v>
      </c>
      <c r="H56" s="680" t="s">
        <v>3808</v>
      </c>
      <c r="I56" s="176" t="s">
        <v>3879</v>
      </c>
      <c r="J56" s="680" t="s">
        <v>3755</v>
      </c>
      <c r="K56" s="680" t="s">
        <v>3755</v>
      </c>
      <c r="L56" s="680" t="s">
        <v>3755</v>
      </c>
      <c r="M56" s="680">
        <v>4.0</v>
      </c>
      <c r="N56" s="680">
        <v>0.0</v>
      </c>
      <c r="O56" s="680">
        <v>10.0</v>
      </c>
      <c r="P56" s="680" t="s">
        <v>3755</v>
      </c>
      <c r="Q56" s="666"/>
      <c r="R56" s="680">
        <v>96.0</v>
      </c>
      <c r="S56" s="680">
        <v>15.0</v>
      </c>
      <c r="T56" s="693">
        <f t="shared" si="7"/>
        <v>0.15625</v>
      </c>
      <c r="U56" s="691">
        <v>45580.0</v>
      </c>
      <c r="V56" s="711" t="s">
        <v>4271</v>
      </c>
      <c r="W56" s="680">
        <v>15.0</v>
      </c>
      <c r="X56" s="686"/>
      <c r="Y56" s="680">
        <v>4.0</v>
      </c>
      <c r="Z56" s="680">
        <v>1.0</v>
      </c>
      <c r="AA56" s="669"/>
      <c r="AB56" s="176" t="s">
        <v>3778</v>
      </c>
      <c r="AC56" s="669"/>
    </row>
    <row r="57" ht="18.0" customHeight="1">
      <c r="A57" s="680" t="s">
        <v>4273</v>
      </c>
      <c r="B57" s="680" t="s">
        <v>3919</v>
      </c>
      <c r="C57" s="680">
        <v>2025.0</v>
      </c>
      <c r="D57" s="681" t="s">
        <v>3844</v>
      </c>
      <c r="E57" s="680">
        <v>1.0</v>
      </c>
      <c r="F57" s="680">
        <v>264.0</v>
      </c>
      <c r="G57" s="680" t="s">
        <v>4125</v>
      </c>
      <c r="H57" s="680">
        <v>704.0</v>
      </c>
      <c r="I57" s="680" t="s">
        <v>3812</v>
      </c>
      <c r="J57" s="680" t="s">
        <v>3758</v>
      </c>
      <c r="K57" s="680" t="s">
        <v>3755</v>
      </c>
      <c r="L57" s="680" t="s">
        <v>3758</v>
      </c>
      <c r="M57" s="680">
        <v>7.0</v>
      </c>
      <c r="N57" s="680">
        <v>8.0</v>
      </c>
      <c r="O57" s="680">
        <v>10.0</v>
      </c>
      <c r="P57" s="680" t="s">
        <v>3755</v>
      </c>
      <c r="Q57" s="666"/>
      <c r="R57" s="680">
        <v>58.0</v>
      </c>
      <c r="S57" s="680">
        <v>16.0</v>
      </c>
      <c r="T57" s="693">
        <f t="shared" si="7"/>
        <v>0.275862069</v>
      </c>
      <c r="U57" s="691">
        <v>45580.0</v>
      </c>
      <c r="V57" s="680"/>
      <c r="W57" s="680">
        <v>14.0</v>
      </c>
      <c r="X57" s="680">
        <v>2.0</v>
      </c>
      <c r="Y57" s="686"/>
      <c r="Z57" s="686"/>
      <c r="AA57" s="669"/>
      <c r="AB57" s="176" t="s">
        <v>3778</v>
      </c>
      <c r="AC57" s="669"/>
    </row>
    <row r="58" ht="18.0" customHeight="1">
      <c r="A58" s="680" t="s">
        <v>4279</v>
      </c>
      <c r="B58" s="680" t="s">
        <v>3741</v>
      </c>
      <c r="C58" s="680">
        <v>2024.0</v>
      </c>
      <c r="D58" s="687" t="s">
        <v>3829</v>
      </c>
      <c r="E58" s="680">
        <v>1.0</v>
      </c>
      <c r="F58" s="680">
        <v>244.0</v>
      </c>
      <c r="G58" s="680" t="s">
        <v>3808</v>
      </c>
      <c r="H58" s="680" t="s">
        <v>3808</v>
      </c>
      <c r="I58" s="680" t="s">
        <v>3812</v>
      </c>
      <c r="J58" s="680" t="s">
        <v>3755</v>
      </c>
      <c r="K58" s="680" t="s">
        <v>3755</v>
      </c>
      <c r="L58" s="680" t="s">
        <v>3758</v>
      </c>
      <c r="M58" s="688"/>
      <c r="N58" s="680">
        <v>10.0</v>
      </c>
      <c r="O58" s="680">
        <v>10.0</v>
      </c>
      <c r="P58" s="680" t="s">
        <v>3755</v>
      </c>
      <c r="Q58" s="666"/>
      <c r="R58" s="680">
        <v>137.0</v>
      </c>
      <c r="S58" s="680">
        <v>0.0</v>
      </c>
      <c r="T58" s="693">
        <f t="shared" si="7"/>
        <v>0</v>
      </c>
      <c r="U58" s="688"/>
      <c r="V58" s="686"/>
      <c r="W58" s="688"/>
      <c r="X58" s="686"/>
      <c r="Y58" s="680">
        <v>16.0</v>
      </c>
      <c r="Z58" s="686"/>
      <c r="AA58" s="669"/>
      <c r="AB58" s="176" t="s">
        <v>3882</v>
      </c>
      <c r="AC58" s="669"/>
    </row>
    <row r="59" ht="18.0" customHeight="1">
      <c r="A59" s="680" t="s">
        <v>4285</v>
      </c>
      <c r="B59" s="680" t="s">
        <v>3919</v>
      </c>
      <c r="C59" s="680">
        <v>2025.0</v>
      </c>
      <c r="D59" s="681" t="s">
        <v>3844</v>
      </c>
      <c r="E59" s="680">
        <v>1.0</v>
      </c>
      <c r="F59" s="680">
        <v>246.0</v>
      </c>
      <c r="G59" s="680" t="s">
        <v>4125</v>
      </c>
      <c r="H59" s="680">
        <v>559.0</v>
      </c>
      <c r="I59" s="680" t="s">
        <v>3893</v>
      </c>
      <c r="J59" s="680" t="s">
        <v>3755</v>
      </c>
      <c r="K59" s="680" t="s">
        <v>3755</v>
      </c>
      <c r="L59" s="680" t="s">
        <v>3755</v>
      </c>
      <c r="M59" s="680">
        <v>1.0</v>
      </c>
      <c r="N59" s="680">
        <v>2.0</v>
      </c>
      <c r="O59" s="680">
        <v>8.0</v>
      </c>
      <c r="P59" s="680" t="s">
        <v>3755</v>
      </c>
      <c r="Q59" s="666"/>
      <c r="R59" s="680">
        <v>136.0</v>
      </c>
      <c r="S59" s="680">
        <v>13.0</v>
      </c>
      <c r="T59" s="693">
        <f t="shared" si="7"/>
        <v>0.09558823529</v>
      </c>
      <c r="U59" s="691">
        <v>45397.0</v>
      </c>
      <c r="V59" s="711" t="s">
        <v>4292</v>
      </c>
      <c r="W59" s="680">
        <v>12.0</v>
      </c>
      <c r="X59" s="688"/>
      <c r="Y59" s="688"/>
      <c r="Z59" s="688"/>
      <c r="AA59" s="669"/>
      <c r="AB59" s="176" t="s">
        <v>3841</v>
      </c>
      <c r="AC59" s="669"/>
    </row>
    <row r="60" ht="18.75" customHeight="1">
      <c r="A60" s="680" t="s">
        <v>4293</v>
      </c>
      <c r="B60" s="680" t="s">
        <v>857</v>
      </c>
      <c r="C60" s="680">
        <v>2025.0</v>
      </c>
      <c r="D60" s="681" t="s">
        <v>3844</v>
      </c>
      <c r="E60" s="680">
        <v>1.0</v>
      </c>
      <c r="F60" s="680">
        <v>243.0</v>
      </c>
      <c r="G60" s="680" t="s">
        <v>3808</v>
      </c>
      <c r="H60" s="680" t="s">
        <v>3808</v>
      </c>
      <c r="I60" s="176" t="s">
        <v>3879</v>
      </c>
      <c r="J60" s="680" t="s">
        <v>3755</v>
      </c>
      <c r="K60" s="680" t="s">
        <v>3755</v>
      </c>
      <c r="L60" s="680" t="s">
        <v>3758</v>
      </c>
      <c r="M60" s="680">
        <v>5.0</v>
      </c>
      <c r="N60" s="680">
        <v>4.0</v>
      </c>
      <c r="O60" s="680">
        <v>10.0</v>
      </c>
      <c r="P60" s="680" t="s">
        <v>3755</v>
      </c>
      <c r="Q60" s="666"/>
      <c r="R60" s="680">
        <v>60.0</v>
      </c>
      <c r="S60" s="680">
        <v>18.0</v>
      </c>
      <c r="T60" s="693">
        <f t="shared" si="7"/>
        <v>0.3</v>
      </c>
      <c r="U60" s="691">
        <v>45611.0</v>
      </c>
      <c r="V60" s="716"/>
      <c r="W60" s="680">
        <v>16.0</v>
      </c>
      <c r="X60" s="680">
        <v>2.0</v>
      </c>
      <c r="Y60" s="680">
        <v>5.0</v>
      </c>
      <c r="Z60" s="680">
        <v>2.0</v>
      </c>
      <c r="AA60" s="669"/>
      <c r="AB60" s="176" t="s">
        <v>3778</v>
      </c>
      <c r="AC60" s="669"/>
    </row>
    <row r="61" ht="18.0" customHeight="1">
      <c r="A61" s="680" t="s">
        <v>4298</v>
      </c>
      <c r="B61" s="680" t="s">
        <v>857</v>
      </c>
      <c r="C61" s="680">
        <v>2025.0</v>
      </c>
      <c r="D61" s="681" t="s">
        <v>3844</v>
      </c>
      <c r="E61" s="680">
        <v>1.0</v>
      </c>
      <c r="F61" s="680">
        <v>270.0</v>
      </c>
      <c r="G61" s="680" t="s">
        <v>3808</v>
      </c>
      <c r="H61" s="680" t="s">
        <v>3808</v>
      </c>
      <c r="I61" s="680" t="s">
        <v>3812</v>
      </c>
      <c r="J61" s="680" t="s">
        <v>3758</v>
      </c>
      <c r="K61" s="680" t="s">
        <v>3758</v>
      </c>
      <c r="L61" s="680" t="s">
        <v>3758</v>
      </c>
      <c r="M61" s="680">
        <v>7.0</v>
      </c>
      <c r="N61" s="680">
        <v>4.0</v>
      </c>
      <c r="O61" s="680">
        <v>10.0</v>
      </c>
      <c r="P61" s="680" t="s">
        <v>3755</v>
      </c>
      <c r="Q61" s="666"/>
      <c r="R61" s="680">
        <v>59.0</v>
      </c>
      <c r="S61" s="680">
        <v>16.0</v>
      </c>
      <c r="T61" s="693">
        <f t="shared" si="7"/>
        <v>0.2711864407</v>
      </c>
      <c r="U61" s="691">
        <v>45580.0</v>
      </c>
      <c r="V61" s="708" t="s">
        <v>4299</v>
      </c>
      <c r="W61" s="680">
        <v>14.0</v>
      </c>
      <c r="X61" s="680">
        <v>2.0</v>
      </c>
      <c r="Y61" s="680">
        <v>43.0</v>
      </c>
      <c r="Z61" s="680">
        <v>0.0</v>
      </c>
      <c r="AA61" s="669"/>
      <c r="AB61" s="176" t="s">
        <v>3778</v>
      </c>
      <c r="AC61" s="669"/>
    </row>
    <row r="62" ht="18.0" customHeight="1">
      <c r="A62" s="680" t="s">
        <v>4300</v>
      </c>
      <c r="B62" s="680" t="s">
        <v>857</v>
      </c>
      <c r="C62" s="680">
        <v>2025.0</v>
      </c>
      <c r="D62" s="681" t="s">
        <v>4135</v>
      </c>
      <c r="E62" s="680">
        <v>1.0</v>
      </c>
      <c r="F62" s="680">
        <v>262.0</v>
      </c>
      <c r="G62" s="680" t="s">
        <v>3808</v>
      </c>
      <c r="H62" s="680" t="s">
        <v>3808</v>
      </c>
      <c r="I62" s="680" t="s">
        <v>3893</v>
      </c>
      <c r="J62" s="680" t="s">
        <v>3755</v>
      </c>
      <c r="K62" s="680" t="s">
        <v>3755</v>
      </c>
      <c r="L62" s="680" t="s">
        <v>3755</v>
      </c>
      <c r="M62" s="680">
        <v>3.0</v>
      </c>
      <c r="N62" s="680">
        <v>4.0</v>
      </c>
      <c r="O62" s="680">
        <v>10.0</v>
      </c>
      <c r="P62" s="680" t="s">
        <v>3755</v>
      </c>
      <c r="Q62" s="666"/>
      <c r="R62" s="680">
        <v>79.0</v>
      </c>
      <c r="S62" s="680">
        <v>17.0</v>
      </c>
      <c r="T62" s="693">
        <f t="shared" si="7"/>
        <v>0.2151898734</v>
      </c>
      <c r="U62" s="691">
        <v>45792.0</v>
      </c>
      <c r="V62" s="707" t="s">
        <v>4303</v>
      </c>
      <c r="W62" s="680">
        <v>15.0</v>
      </c>
      <c r="X62" s="680">
        <v>2.0</v>
      </c>
      <c r="Y62" s="680"/>
      <c r="Z62" s="680">
        <v>1.0</v>
      </c>
      <c r="AA62" s="669"/>
      <c r="AB62" s="730" t="s">
        <v>4307</v>
      </c>
      <c r="AC62" s="669"/>
    </row>
    <row r="63" ht="18.0" customHeight="1">
      <c r="A63" s="680" t="s">
        <v>4308</v>
      </c>
      <c r="B63" s="680" t="s">
        <v>857</v>
      </c>
      <c r="C63" s="680">
        <v>2025.0</v>
      </c>
      <c r="D63" s="681" t="s">
        <v>4135</v>
      </c>
      <c r="E63" s="680">
        <v>1.0</v>
      </c>
      <c r="F63" s="680">
        <v>259.0</v>
      </c>
      <c r="G63" s="680" t="s">
        <v>3808</v>
      </c>
      <c r="H63" s="680" t="s">
        <v>3808</v>
      </c>
      <c r="I63" s="176" t="s">
        <v>3879</v>
      </c>
      <c r="J63" s="176" t="s">
        <v>3808</v>
      </c>
      <c r="K63" s="176" t="s">
        <v>3755</v>
      </c>
      <c r="L63" s="680" t="s">
        <v>3755</v>
      </c>
      <c r="M63" s="680">
        <v>5.0</v>
      </c>
      <c r="N63" s="680">
        <v>4.0</v>
      </c>
      <c r="O63" s="680">
        <v>10.0</v>
      </c>
      <c r="P63" s="680" t="s">
        <v>3755</v>
      </c>
      <c r="Q63" s="666"/>
      <c r="R63" s="680">
        <v>75.0</v>
      </c>
      <c r="S63" s="680">
        <v>0.0</v>
      </c>
      <c r="T63" s="693">
        <f t="shared" si="7"/>
        <v>0</v>
      </c>
      <c r="U63" s="688"/>
      <c r="V63" s="686"/>
      <c r="W63" s="686"/>
      <c r="X63" s="686"/>
      <c r="Y63" s="686"/>
      <c r="Z63" s="686"/>
      <c r="AA63" s="669"/>
      <c r="AB63" s="176" t="s">
        <v>3882</v>
      </c>
      <c r="AC63" s="669"/>
    </row>
    <row r="64" ht="18.0" customHeight="1">
      <c r="A64" s="680" t="s">
        <v>3860</v>
      </c>
      <c r="B64" s="680" t="s">
        <v>857</v>
      </c>
      <c r="C64" s="680">
        <v>2025.0</v>
      </c>
      <c r="D64" s="681" t="s">
        <v>4105</v>
      </c>
      <c r="E64" s="680">
        <v>1.0</v>
      </c>
      <c r="F64" s="680">
        <v>261.0</v>
      </c>
      <c r="G64" s="680" t="s">
        <v>3808</v>
      </c>
      <c r="H64" s="680" t="s">
        <v>3808</v>
      </c>
      <c r="I64" s="680" t="s">
        <v>3812</v>
      </c>
      <c r="J64" s="680" t="s">
        <v>3758</v>
      </c>
      <c r="K64" s="680" t="s">
        <v>3755</v>
      </c>
      <c r="L64" s="680" t="s">
        <v>3758</v>
      </c>
      <c r="M64" s="680">
        <v>6.0</v>
      </c>
      <c r="N64" s="680">
        <v>17.0</v>
      </c>
      <c r="O64" s="680">
        <v>10.0</v>
      </c>
      <c r="P64" s="680" t="s">
        <v>3755</v>
      </c>
      <c r="Q64" s="666"/>
      <c r="R64" s="680">
        <v>63.0</v>
      </c>
      <c r="S64" s="680">
        <v>19.0</v>
      </c>
      <c r="T64" s="693">
        <f t="shared" si="7"/>
        <v>0.3015873016</v>
      </c>
      <c r="U64" s="691">
        <v>45580.0</v>
      </c>
      <c r="V64" s="708"/>
      <c r="W64" s="680">
        <v>16.0</v>
      </c>
      <c r="X64" s="680">
        <v>3.0</v>
      </c>
      <c r="Y64" s="680"/>
      <c r="Z64" s="680">
        <v>0.0</v>
      </c>
      <c r="AA64" s="669"/>
      <c r="AB64" s="176" t="s">
        <v>3778</v>
      </c>
      <c r="AC64" s="669"/>
    </row>
    <row r="65" ht="18.0" customHeight="1">
      <c r="A65" s="680" t="s">
        <v>4314</v>
      </c>
      <c r="B65" s="680" t="s">
        <v>3919</v>
      </c>
      <c r="C65" s="680">
        <v>2025.0</v>
      </c>
      <c r="D65" s="681" t="s">
        <v>3995</v>
      </c>
      <c r="E65" s="680">
        <v>1.0</v>
      </c>
      <c r="F65" s="680">
        <v>257.0</v>
      </c>
      <c r="G65" s="680" t="s">
        <v>4197</v>
      </c>
      <c r="H65" s="680">
        <v>668.0</v>
      </c>
      <c r="I65" s="680" t="s">
        <v>3812</v>
      </c>
      <c r="J65" s="680" t="s">
        <v>3758</v>
      </c>
      <c r="K65" s="680" t="s">
        <v>3755</v>
      </c>
      <c r="L65" s="680" t="s">
        <v>3758</v>
      </c>
      <c r="M65" s="680">
        <v>6.0</v>
      </c>
      <c r="N65" s="680">
        <v>4.0</v>
      </c>
      <c r="O65" s="680">
        <v>10.0</v>
      </c>
      <c r="P65" s="680" t="s">
        <v>3755</v>
      </c>
      <c r="Q65" s="666"/>
      <c r="R65" s="680">
        <v>100.0</v>
      </c>
      <c r="S65" s="684">
        <v>21.0</v>
      </c>
      <c r="T65" s="693">
        <f t="shared" si="7"/>
        <v>0.21</v>
      </c>
      <c r="U65" s="691">
        <v>45550.0</v>
      </c>
      <c r="V65" s="716" t="s">
        <v>4317</v>
      </c>
      <c r="W65" s="680"/>
      <c r="X65" s="680"/>
      <c r="Y65" s="680"/>
      <c r="Z65" s="680"/>
      <c r="AA65" s="669"/>
      <c r="AB65" s="176"/>
      <c r="AC65" s="669"/>
    </row>
    <row r="66" ht="18.0" customHeight="1">
      <c r="A66" s="680" t="s">
        <v>4318</v>
      </c>
      <c r="B66" s="680" t="s">
        <v>857</v>
      </c>
      <c r="C66" s="680">
        <v>2025.0</v>
      </c>
      <c r="D66" s="176" t="s">
        <v>4319</v>
      </c>
      <c r="E66" s="680">
        <v>1.0</v>
      </c>
      <c r="F66" s="680">
        <v>253.0</v>
      </c>
      <c r="G66" s="680" t="s">
        <v>3808</v>
      </c>
      <c r="H66" s="680" t="s">
        <v>3808</v>
      </c>
      <c r="I66" s="731"/>
      <c r="J66" s="688"/>
      <c r="K66" s="680" t="s">
        <v>3755</v>
      </c>
      <c r="L66" s="680" t="s">
        <v>3758</v>
      </c>
      <c r="M66" s="680">
        <v>4.0</v>
      </c>
      <c r="N66" s="680">
        <v>5.0</v>
      </c>
      <c r="O66" s="680">
        <v>10.0</v>
      </c>
      <c r="P66" s="680" t="s">
        <v>3755</v>
      </c>
      <c r="Q66" s="666"/>
      <c r="R66" s="680">
        <v>60.0</v>
      </c>
      <c r="S66" s="680">
        <v>13.0</v>
      </c>
      <c r="T66" s="685">
        <f t="shared" si="7"/>
        <v>0.2166666667</v>
      </c>
      <c r="U66" s="691">
        <v>45488.0</v>
      </c>
      <c r="V66" s="711" t="s">
        <v>4322</v>
      </c>
      <c r="W66" s="686"/>
      <c r="X66" s="686"/>
      <c r="Y66" s="680">
        <v>1.0</v>
      </c>
      <c r="Z66" s="680">
        <v>2.0</v>
      </c>
      <c r="AA66" s="669"/>
      <c r="AB66" s="176" t="s">
        <v>3778</v>
      </c>
      <c r="AC66" s="669"/>
    </row>
    <row r="67" ht="17.25" customHeight="1">
      <c r="A67" s="680" t="s">
        <v>4323</v>
      </c>
      <c r="B67" s="680" t="s">
        <v>857</v>
      </c>
      <c r="C67" s="680">
        <v>2025.0</v>
      </c>
      <c r="D67" s="681" t="s">
        <v>3844</v>
      </c>
      <c r="E67" s="680">
        <v>1.0</v>
      </c>
      <c r="F67" s="680">
        <v>244.0</v>
      </c>
      <c r="G67" s="680" t="s">
        <v>3808</v>
      </c>
      <c r="H67" s="680" t="s">
        <v>3808</v>
      </c>
      <c r="I67" s="688"/>
      <c r="J67" s="688"/>
      <c r="K67" s="688"/>
      <c r="L67" s="680" t="s">
        <v>3758</v>
      </c>
      <c r="M67" s="680">
        <v>4.0</v>
      </c>
      <c r="N67" s="680">
        <v>20.0</v>
      </c>
      <c r="O67" s="680">
        <v>10.0</v>
      </c>
      <c r="P67" s="680" t="s">
        <v>3755</v>
      </c>
      <c r="Q67" s="666"/>
      <c r="R67" s="680">
        <v>80.0</v>
      </c>
      <c r="S67" s="680">
        <v>13.0</v>
      </c>
      <c r="T67" s="693">
        <f t="shared" si="7"/>
        <v>0.1625</v>
      </c>
      <c r="U67" s="691">
        <v>45488.0</v>
      </c>
      <c r="V67" s="688"/>
      <c r="W67" s="688"/>
      <c r="X67" s="688"/>
      <c r="Y67" s="688"/>
      <c r="Z67" s="688"/>
      <c r="AA67" s="669"/>
      <c r="AB67" s="695"/>
      <c r="AC67" s="669"/>
    </row>
    <row r="68" ht="18.0" customHeight="1">
      <c r="A68" s="680" t="s">
        <v>4331</v>
      </c>
      <c r="B68" s="680" t="s">
        <v>3919</v>
      </c>
      <c r="C68" s="680">
        <v>2025.0</v>
      </c>
      <c r="D68" s="681" t="s">
        <v>4019</v>
      </c>
      <c r="E68" s="680">
        <v>1.0</v>
      </c>
      <c r="F68" s="31">
        <v>249.0</v>
      </c>
      <c r="G68" s="680" t="s">
        <v>4197</v>
      </c>
      <c r="H68" s="680">
        <v>530.0</v>
      </c>
      <c r="I68" s="680" t="s">
        <v>3879</v>
      </c>
      <c r="J68" s="680"/>
      <c r="K68" s="680" t="s">
        <v>3758</v>
      </c>
      <c r="L68" s="680" t="s">
        <v>3758</v>
      </c>
      <c r="M68" s="680">
        <v>6.0</v>
      </c>
      <c r="N68" s="680">
        <v>7.0</v>
      </c>
      <c r="O68" s="680">
        <v>10.0</v>
      </c>
      <c r="P68" s="680" t="s">
        <v>3755</v>
      </c>
      <c r="Q68" s="666"/>
      <c r="R68" s="680">
        <v>30.0</v>
      </c>
      <c r="S68" s="680">
        <v>9.0</v>
      </c>
      <c r="T68" s="693">
        <f t="shared" si="7"/>
        <v>0.3</v>
      </c>
      <c r="U68" s="691">
        <v>45519.0</v>
      </c>
      <c r="V68" s="716"/>
      <c r="W68" s="680"/>
      <c r="X68" s="680"/>
      <c r="Y68" s="686"/>
      <c r="Z68" s="686"/>
      <c r="AA68" s="669"/>
      <c r="AB68" s="176"/>
      <c r="AC68" s="669"/>
    </row>
    <row r="69" ht="18.0" customHeight="1">
      <c r="A69" s="680" t="s">
        <v>4340</v>
      </c>
      <c r="B69" s="680" t="s">
        <v>857</v>
      </c>
      <c r="C69" s="680">
        <v>2025.0</v>
      </c>
      <c r="D69" s="681" t="s">
        <v>3804</v>
      </c>
      <c r="E69" s="680">
        <v>1.0</v>
      </c>
      <c r="F69" s="680">
        <v>278.0</v>
      </c>
      <c r="G69" s="680" t="s">
        <v>3808</v>
      </c>
      <c r="H69" s="680" t="s">
        <v>3808</v>
      </c>
      <c r="I69" s="686"/>
      <c r="J69" s="680" t="s">
        <v>3758</v>
      </c>
      <c r="K69" s="680" t="s">
        <v>3755</v>
      </c>
      <c r="L69" s="680" t="s">
        <v>3758</v>
      </c>
      <c r="M69" s="680">
        <v>7.0</v>
      </c>
      <c r="N69" s="680">
        <v>18.0</v>
      </c>
      <c r="O69" s="680">
        <v>10.0</v>
      </c>
      <c r="P69" s="680" t="s">
        <v>3755</v>
      </c>
      <c r="Q69" s="666"/>
      <c r="R69" s="680">
        <v>67.0</v>
      </c>
      <c r="S69" s="742">
        <v>27.0</v>
      </c>
      <c r="T69" s="685">
        <f t="shared" si="7"/>
        <v>0.4029850746</v>
      </c>
      <c r="U69" s="680" t="s">
        <v>4025</v>
      </c>
      <c r="V69" s="686"/>
      <c r="W69" s="680">
        <v>22.0</v>
      </c>
      <c r="X69" s="680">
        <v>5.0</v>
      </c>
      <c r="Y69" s="680"/>
      <c r="Z69" s="680">
        <v>1.0</v>
      </c>
      <c r="AA69" s="666"/>
      <c r="AB69" s="680" t="s">
        <v>3778</v>
      </c>
      <c r="AC69" s="666"/>
    </row>
    <row r="70" ht="18.0" customHeight="1">
      <c r="A70" s="680" t="s">
        <v>4350</v>
      </c>
      <c r="B70" s="680" t="s">
        <v>857</v>
      </c>
      <c r="C70" s="680">
        <v>2025.0</v>
      </c>
      <c r="D70" s="681" t="s">
        <v>4353</v>
      </c>
      <c r="E70" s="680">
        <v>1.0</v>
      </c>
      <c r="F70" s="680">
        <v>262.0</v>
      </c>
      <c r="G70" s="680" t="s">
        <v>3808</v>
      </c>
      <c r="H70" s="680" t="s">
        <v>3808</v>
      </c>
      <c r="I70" s="688"/>
      <c r="J70" s="680" t="s">
        <v>3758</v>
      </c>
      <c r="K70" s="680" t="s">
        <v>3755</v>
      </c>
      <c r="L70" s="680" t="s">
        <v>3758</v>
      </c>
      <c r="M70" s="680">
        <v>6.0</v>
      </c>
      <c r="N70" s="680">
        <v>19.0</v>
      </c>
      <c r="O70" s="680">
        <v>10.0</v>
      </c>
      <c r="P70" s="680" t="s">
        <v>3755</v>
      </c>
      <c r="Q70" s="666"/>
      <c r="R70" s="680">
        <v>61.0</v>
      </c>
      <c r="S70" s="684">
        <v>26.0</v>
      </c>
      <c r="T70" s="693">
        <f t="shared" si="7"/>
        <v>0.4262295082</v>
      </c>
      <c r="U70" s="691">
        <v>45641.0</v>
      </c>
      <c r="V70" s="744" t="s">
        <v>4361</v>
      </c>
      <c r="W70" s="680">
        <v>20.0</v>
      </c>
      <c r="X70" s="680">
        <v>6.0</v>
      </c>
      <c r="Y70" s="680">
        <v>3.0</v>
      </c>
      <c r="Z70" s="680">
        <v>1.0</v>
      </c>
      <c r="AA70" s="669"/>
      <c r="AB70" s="176" t="s">
        <v>3778</v>
      </c>
      <c r="AC70" s="669"/>
    </row>
    <row r="71" ht="18.0" customHeight="1">
      <c r="A71" s="680" t="s">
        <v>4367</v>
      </c>
      <c r="B71" s="680" t="s">
        <v>857</v>
      </c>
      <c r="C71" s="680">
        <v>2025.0</v>
      </c>
      <c r="D71" s="681" t="s">
        <v>4006</v>
      </c>
      <c r="E71" s="680">
        <v>2.0</v>
      </c>
      <c r="F71" s="680">
        <v>224.0</v>
      </c>
      <c r="G71" s="680" t="s">
        <v>3808</v>
      </c>
      <c r="H71" s="680" t="s">
        <v>3808</v>
      </c>
      <c r="I71" s="688"/>
      <c r="J71" s="688"/>
      <c r="K71" s="688"/>
      <c r="L71" s="680" t="s">
        <v>3758</v>
      </c>
      <c r="M71" s="688"/>
      <c r="N71" s="680">
        <v>4.0</v>
      </c>
      <c r="O71" s="680">
        <v>10.0</v>
      </c>
      <c r="P71" s="680" t="s">
        <v>3755</v>
      </c>
      <c r="Q71" s="666"/>
      <c r="R71" s="680">
        <v>145.0</v>
      </c>
      <c r="S71" s="680">
        <v>12.0</v>
      </c>
      <c r="T71" s="693">
        <f t="shared" si="7"/>
        <v>0.08275862069</v>
      </c>
      <c r="U71" s="691">
        <v>45366.0</v>
      </c>
      <c r="V71" s="680" t="s">
        <v>4377</v>
      </c>
      <c r="W71" s="680">
        <v>12.0</v>
      </c>
      <c r="X71" s="680">
        <v>0.0</v>
      </c>
      <c r="Y71" s="680">
        <v>20.0</v>
      </c>
      <c r="Z71" s="680">
        <v>1.0</v>
      </c>
      <c r="AA71" s="669"/>
      <c r="AB71" s="176" t="s">
        <v>3778</v>
      </c>
      <c r="AC71" s="669"/>
    </row>
    <row r="72" ht="18.0" customHeight="1">
      <c r="A72" s="680" t="s">
        <v>4381</v>
      </c>
      <c r="B72" s="680" t="s">
        <v>3741</v>
      </c>
      <c r="C72" s="680">
        <v>2024.0</v>
      </c>
      <c r="D72" s="687" t="s">
        <v>3829</v>
      </c>
      <c r="E72" s="680">
        <v>1.0</v>
      </c>
      <c r="F72" s="680">
        <v>259.0</v>
      </c>
      <c r="G72" s="680" t="s">
        <v>3808</v>
      </c>
      <c r="H72" s="680" t="s">
        <v>3808</v>
      </c>
      <c r="I72" s="680" t="s">
        <v>3812</v>
      </c>
      <c r="J72" s="680" t="s">
        <v>3755</v>
      </c>
      <c r="K72" s="680" t="s">
        <v>3755</v>
      </c>
      <c r="L72" s="680"/>
      <c r="M72" s="688"/>
      <c r="N72" s="680">
        <v>9.0</v>
      </c>
      <c r="O72" s="680">
        <v>10.0</v>
      </c>
      <c r="P72" s="680" t="s">
        <v>3755</v>
      </c>
      <c r="Q72" s="666"/>
      <c r="R72" s="748">
        <v>222.0</v>
      </c>
      <c r="S72" s="749">
        <v>1.0</v>
      </c>
      <c r="T72" s="693">
        <f t="shared" si="7"/>
        <v>0.004504504505</v>
      </c>
      <c r="U72" s="750">
        <v>45306.0</v>
      </c>
      <c r="V72" s="688"/>
      <c r="W72" s="688"/>
      <c r="X72" s="686"/>
      <c r="Y72" s="688"/>
      <c r="Z72" s="686"/>
      <c r="AA72" s="669"/>
      <c r="AB72" s="695"/>
      <c r="AC72" s="669"/>
    </row>
    <row r="73" ht="18.0" customHeight="1">
      <c r="A73" s="680" t="s">
        <v>4396</v>
      </c>
      <c r="B73" s="680" t="s">
        <v>857</v>
      </c>
      <c r="C73" s="680">
        <v>2025.0</v>
      </c>
      <c r="D73" s="681" t="s">
        <v>3844</v>
      </c>
      <c r="E73" s="680">
        <v>1.0</v>
      </c>
      <c r="F73" s="680">
        <v>279.0</v>
      </c>
      <c r="G73" s="680" t="s">
        <v>3808</v>
      </c>
      <c r="H73" s="680" t="s">
        <v>3808</v>
      </c>
      <c r="I73" s="680" t="s">
        <v>3812</v>
      </c>
      <c r="J73" s="680" t="s">
        <v>3758</v>
      </c>
      <c r="K73" s="680" t="s">
        <v>3758</v>
      </c>
      <c r="L73" s="680" t="s">
        <v>3758</v>
      </c>
      <c r="M73" s="680">
        <v>7.0</v>
      </c>
      <c r="N73" s="680">
        <v>27.0</v>
      </c>
      <c r="O73" s="680">
        <v>10.0</v>
      </c>
      <c r="P73" s="680" t="s">
        <v>3755</v>
      </c>
      <c r="Q73" s="666"/>
      <c r="R73" s="680">
        <v>15.0</v>
      </c>
      <c r="S73" s="680">
        <v>0.0</v>
      </c>
      <c r="T73" s="693">
        <f t="shared" si="7"/>
        <v>0</v>
      </c>
      <c r="U73" s="696"/>
      <c r="V73" s="686"/>
      <c r="W73" s="686"/>
      <c r="X73" s="686"/>
      <c r="Y73" s="686"/>
      <c r="Z73" s="686"/>
      <c r="AA73" s="669"/>
      <c r="AB73" s="176" t="s">
        <v>3882</v>
      </c>
      <c r="AC73" s="669"/>
    </row>
    <row r="74" ht="18.0" customHeight="1">
      <c r="A74" s="680" t="s">
        <v>4410</v>
      </c>
      <c r="B74" s="680" t="s">
        <v>3919</v>
      </c>
      <c r="C74" s="680">
        <v>2025.0</v>
      </c>
      <c r="D74" s="681" t="s">
        <v>3995</v>
      </c>
      <c r="E74" s="680">
        <v>1.0</v>
      </c>
      <c r="F74" s="680">
        <v>250.0</v>
      </c>
      <c r="G74" s="680" t="s">
        <v>4125</v>
      </c>
      <c r="H74" s="680">
        <v>550.0</v>
      </c>
      <c r="I74" s="680" t="s">
        <v>3812</v>
      </c>
      <c r="J74" s="680" t="s">
        <v>3758</v>
      </c>
      <c r="K74" s="680" t="s">
        <v>3755</v>
      </c>
      <c r="L74" s="680" t="s">
        <v>3758</v>
      </c>
      <c r="M74" s="680">
        <v>3.0</v>
      </c>
      <c r="N74" s="680">
        <v>2.0</v>
      </c>
      <c r="O74" s="680">
        <v>9.0</v>
      </c>
      <c r="P74" s="680" t="s">
        <v>3755</v>
      </c>
      <c r="Q74" s="666"/>
      <c r="R74" s="680">
        <v>131.0</v>
      </c>
      <c r="S74" s="680">
        <v>0.0</v>
      </c>
      <c r="T74" s="693">
        <f t="shared" si="7"/>
        <v>0</v>
      </c>
      <c r="U74" s="688"/>
      <c r="V74" s="686"/>
      <c r="W74" s="686"/>
      <c r="X74" s="686"/>
      <c r="Y74" s="688"/>
      <c r="Z74" s="686"/>
      <c r="AA74" s="669"/>
      <c r="AB74" s="176" t="s">
        <v>3882</v>
      </c>
      <c r="AC74" s="669"/>
    </row>
    <row r="75" ht="18.0" customHeight="1">
      <c r="A75" s="680" t="s">
        <v>4424</v>
      </c>
      <c r="B75" s="680" t="s">
        <v>857</v>
      </c>
      <c r="C75" s="680">
        <v>2025.0</v>
      </c>
      <c r="D75" s="681" t="s">
        <v>4006</v>
      </c>
      <c r="E75" s="680">
        <v>1.0</v>
      </c>
      <c r="F75" s="680">
        <v>253.0</v>
      </c>
      <c r="G75" s="680" t="s">
        <v>3808</v>
      </c>
      <c r="H75" s="680" t="s">
        <v>3808</v>
      </c>
      <c r="I75" s="680" t="s">
        <v>3879</v>
      </c>
      <c r="J75" s="688"/>
      <c r="K75" s="680" t="s">
        <v>3755</v>
      </c>
      <c r="L75" s="680" t="s">
        <v>3758</v>
      </c>
      <c r="M75" s="680">
        <v>5.0</v>
      </c>
      <c r="N75" s="680">
        <v>12.0</v>
      </c>
      <c r="O75" s="680">
        <v>10.0</v>
      </c>
      <c r="P75" s="680" t="s">
        <v>3755</v>
      </c>
      <c r="Q75" s="666"/>
      <c r="R75" s="680">
        <v>59.0</v>
      </c>
      <c r="S75" s="680">
        <v>14.0</v>
      </c>
      <c r="T75" s="693">
        <f t="shared" si="7"/>
        <v>0.2372881356</v>
      </c>
      <c r="U75" s="691">
        <v>45519.0</v>
      </c>
      <c r="V75" s="753" t="s">
        <v>4433</v>
      </c>
      <c r="W75" s="680">
        <v>13.0</v>
      </c>
      <c r="X75" s="680">
        <v>1.0</v>
      </c>
      <c r="Y75" s="680"/>
      <c r="Z75" s="686"/>
      <c r="AA75" s="669"/>
      <c r="AB75" s="176" t="s">
        <v>3778</v>
      </c>
      <c r="AC75" s="669"/>
    </row>
    <row r="76">
      <c r="A76" s="681" t="s">
        <v>4436</v>
      </c>
      <c r="B76" s="681" t="s">
        <v>857</v>
      </c>
      <c r="C76" s="681">
        <v>2025.0</v>
      </c>
      <c r="D76" s="681" t="s">
        <v>4019</v>
      </c>
      <c r="E76" s="681">
        <v>1.0</v>
      </c>
      <c r="F76" s="681">
        <v>269.0</v>
      </c>
      <c r="G76" s="680" t="s">
        <v>3808</v>
      </c>
      <c r="H76" s="680" t="s">
        <v>3808</v>
      </c>
      <c r="I76" s="725" t="s">
        <v>3812</v>
      </c>
      <c r="J76" s="681" t="s">
        <v>3758</v>
      </c>
      <c r="K76" s="681" t="s">
        <v>3755</v>
      </c>
      <c r="L76" s="681" t="s">
        <v>3758</v>
      </c>
      <c r="M76" s="681">
        <v>6.0</v>
      </c>
      <c r="N76" s="681">
        <v>68.0</v>
      </c>
      <c r="O76" s="681">
        <v>10.0</v>
      </c>
      <c r="P76" s="681" t="s">
        <v>3755</v>
      </c>
      <c r="Q76" s="659"/>
      <c r="R76" s="680">
        <v>40.0</v>
      </c>
      <c r="S76" s="680">
        <v>13.0</v>
      </c>
      <c r="T76" s="693">
        <f t="shared" si="7"/>
        <v>0.325</v>
      </c>
      <c r="U76" s="691"/>
      <c r="V76" s="686"/>
      <c r="W76" s="680"/>
      <c r="X76" s="680"/>
      <c r="Y76" s="680"/>
      <c r="Z76" s="680"/>
      <c r="AA76" s="661"/>
      <c r="AB76" s="755"/>
      <c r="AC76" s="661"/>
    </row>
    <row r="77" ht="18.75" customHeight="1">
      <c r="A77" s="680" t="s">
        <v>4450</v>
      </c>
      <c r="B77" s="680" t="s">
        <v>857</v>
      </c>
      <c r="C77" s="680">
        <v>2025.0</v>
      </c>
      <c r="D77" s="681" t="s">
        <v>3844</v>
      </c>
      <c r="E77" s="680">
        <v>1.0</v>
      </c>
      <c r="F77" s="680">
        <v>260.0</v>
      </c>
      <c r="G77" s="680" t="s">
        <v>3808</v>
      </c>
      <c r="H77" s="680" t="s">
        <v>3808</v>
      </c>
      <c r="I77" s="680" t="s">
        <v>3879</v>
      </c>
      <c r="J77" s="680" t="s">
        <v>3755</v>
      </c>
      <c r="K77" s="680" t="s">
        <v>3755</v>
      </c>
      <c r="L77" s="680" t="s">
        <v>3755</v>
      </c>
      <c r="M77" s="680">
        <v>4.0</v>
      </c>
      <c r="N77" s="680">
        <v>6.0</v>
      </c>
      <c r="O77" s="680">
        <v>10.0</v>
      </c>
      <c r="P77" s="680" t="s">
        <v>3755</v>
      </c>
      <c r="Q77" s="666"/>
      <c r="R77" s="680">
        <v>65.0</v>
      </c>
      <c r="S77" s="680">
        <v>9.0</v>
      </c>
      <c r="T77" s="693">
        <f t="shared" si="7"/>
        <v>0.1384615385</v>
      </c>
      <c r="U77" s="691">
        <v>45853.0</v>
      </c>
      <c r="V77" s="686"/>
      <c r="W77" s="680">
        <v>9.0</v>
      </c>
      <c r="X77" s="680"/>
      <c r="Y77" s="680">
        <v>1.0</v>
      </c>
      <c r="Z77" s="680"/>
      <c r="AA77" s="669"/>
      <c r="AB77" s="695"/>
      <c r="AC77" s="669"/>
    </row>
    <row r="78" ht="18.0" customHeight="1">
      <c r="A78" s="680" t="s">
        <v>4472</v>
      </c>
      <c r="B78" s="680" t="s">
        <v>857</v>
      </c>
      <c r="C78" s="680">
        <v>2025.0</v>
      </c>
      <c r="D78" s="681" t="s">
        <v>4019</v>
      </c>
      <c r="E78" s="680">
        <v>1.0</v>
      </c>
      <c r="F78" s="680">
        <v>264.0</v>
      </c>
      <c r="G78" s="680" t="s">
        <v>3808</v>
      </c>
      <c r="H78" s="680" t="s">
        <v>3808</v>
      </c>
      <c r="I78" s="680" t="s">
        <v>3879</v>
      </c>
      <c r="J78" s="680" t="s">
        <v>3755</v>
      </c>
      <c r="K78" s="680" t="s">
        <v>3755</v>
      </c>
      <c r="L78" s="680" t="s">
        <v>3758</v>
      </c>
      <c r="M78" s="680">
        <v>1.0</v>
      </c>
      <c r="N78" s="680">
        <v>8.0</v>
      </c>
      <c r="O78" s="680">
        <v>10.0</v>
      </c>
      <c r="P78" s="680" t="s">
        <v>3758</v>
      </c>
      <c r="Q78" s="666"/>
      <c r="R78" s="680">
        <v>55.0</v>
      </c>
      <c r="S78" s="681">
        <v>21.0</v>
      </c>
      <c r="T78" s="685">
        <f t="shared" si="7"/>
        <v>0.3818181818</v>
      </c>
      <c r="U78" s="691">
        <v>45550.0</v>
      </c>
      <c r="V78" s="757" t="s">
        <v>4483</v>
      </c>
      <c r="W78" s="680">
        <v>18.0</v>
      </c>
      <c r="X78" s="680">
        <v>3.0</v>
      </c>
      <c r="Y78" s="680"/>
      <c r="Z78" s="680">
        <v>1.0</v>
      </c>
      <c r="AA78" s="666"/>
      <c r="AB78" s="680" t="s">
        <v>3778</v>
      </c>
      <c r="AC78" s="666"/>
    </row>
    <row r="79" ht="18.0" customHeight="1">
      <c r="A79" s="680" t="s">
        <v>4484</v>
      </c>
      <c r="B79" s="680" t="s">
        <v>857</v>
      </c>
      <c r="C79" s="680">
        <v>2019.0</v>
      </c>
      <c r="D79" s="681" t="s">
        <v>3921</v>
      </c>
      <c r="E79" s="680">
        <v>3.0</v>
      </c>
      <c r="F79" s="680">
        <v>215.0</v>
      </c>
      <c r="G79" s="680" t="s">
        <v>3808</v>
      </c>
      <c r="H79" s="680" t="s">
        <v>3808</v>
      </c>
      <c r="I79" s="176" t="s">
        <v>3812</v>
      </c>
      <c r="J79" s="680" t="s">
        <v>3755</v>
      </c>
      <c r="K79" s="680" t="s">
        <v>3755</v>
      </c>
      <c r="L79" s="680" t="s">
        <v>3758</v>
      </c>
      <c r="M79" s="680">
        <v>7.0</v>
      </c>
      <c r="N79" s="680">
        <v>0.0</v>
      </c>
      <c r="O79" s="680">
        <v>8.0</v>
      </c>
      <c r="P79" s="680" t="s">
        <v>3755</v>
      </c>
      <c r="Q79" s="666"/>
      <c r="R79" s="680">
        <v>28.0</v>
      </c>
      <c r="S79" s="680">
        <v>0.0</v>
      </c>
      <c r="T79" s="693">
        <f t="shared" si="7"/>
        <v>0</v>
      </c>
      <c r="U79" s="691"/>
      <c r="V79" s="686"/>
      <c r="W79" s="680"/>
      <c r="X79" s="680"/>
      <c r="Y79" s="680"/>
      <c r="Z79" s="686"/>
      <c r="AA79" s="669"/>
      <c r="AB79" s="176" t="s">
        <v>3882</v>
      </c>
      <c r="AC79" s="669"/>
    </row>
    <row r="80" ht="18.0" customHeight="1">
      <c r="A80" s="742" t="s">
        <v>4501</v>
      </c>
      <c r="B80" s="680" t="s">
        <v>3741</v>
      </c>
      <c r="C80" s="680">
        <v>2019.0</v>
      </c>
      <c r="D80" s="687" t="s">
        <v>3829</v>
      </c>
      <c r="E80" s="680">
        <v>1.0</v>
      </c>
      <c r="F80" s="680">
        <v>242.0</v>
      </c>
      <c r="G80" s="680" t="s">
        <v>3808</v>
      </c>
      <c r="H80" s="680" t="s">
        <v>3808</v>
      </c>
      <c r="I80" s="680" t="s">
        <v>3812</v>
      </c>
      <c r="J80" s="680" t="s">
        <v>3755</v>
      </c>
      <c r="K80" s="176" t="s">
        <v>3755</v>
      </c>
      <c r="L80" s="680" t="s">
        <v>3755</v>
      </c>
      <c r="M80" s="688"/>
      <c r="N80" s="680">
        <v>23.0</v>
      </c>
      <c r="O80" s="680">
        <v>10.0</v>
      </c>
      <c r="P80" s="680" t="s">
        <v>3755</v>
      </c>
      <c r="Q80" s="666"/>
      <c r="R80" s="680">
        <v>222.0</v>
      </c>
      <c r="S80" s="690">
        <v>3.0</v>
      </c>
      <c r="T80" s="693">
        <f t="shared" si="7"/>
        <v>0.01351351351</v>
      </c>
      <c r="U80" s="691"/>
      <c r="V80" s="686"/>
      <c r="W80" s="686"/>
      <c r="X80" s="686"/>
      <c r="Y80" s="686"/>
      <c r="Z80" s="686"/>
      <c r="AA80" s="669"/>
      <c r="AB80" s="176" t="s">
        <v>3841</v>
      </c>
      <c r="AC80" s="669"/>
    </row>
    <row r="81" ht="18.0" customHeight="1">
      <c r="A81" s="680" t="s">
        <v>4517</v>
      </c>
      <c r="B81" s="680" t="s">
        <v>857</v>
      </c>
      <c r="C81" s="680">
        <v>2022.0</v>
      </c>
      <c r="D81" s="681" t="s">
        <v>3921</v>
      </c>
      <c r="E81" s="680">
        <v>1.0</v>
      </c>
      <c r="F81" s="680">
        <v>250.0</v>
      </c>
      <c r="G81" s="688"/>
      <c r="H81" s="688"/>
      <c r="I81" s="686"/>
      <c r="J81" s="680" t="s">
        <v>3755</v>
      </c>
      <c r="K81" s="680" t="s">
        <v>3755</v>
      </c>
      <c r="L81" s="680" t="s">
        <v>3758</v>
      </c>
      <c r="M81" s="688"/>
      <c r="N81" s="680">
        <v>20.0</v>
      </c>
      <c r="O81" s="680">
        <v>10.0</v>
      </c>
      <c r="P81" s="680" t="s">
        <v>3755</v>
      </c>
      <c r="Q81" s="666"/>
      <c r="R81" s="680">
        <v>150.0</v>
      </c>
      <c r="S81" s="680">
        <v>0.0</v>
      </c>
      <c r="T81" s="693">
        <f t="shared" si="7"/>
        <v>0</v>
      </c>
      <c r="U81" s="691"/>
      <c r="V81" s="686"/>
      <c r="W81" s="680"/>
      <c r="X81" s="680"/>
      <c r="Y81" s="680"/>
      <c r="Z81" s="680"/>
      <c r="AA81" s="669"/>
      <c r="AB81" s="176"/>
      <c r="AC81" s="669"/>
    </row>
    <row r="82">
      <c r="A82" s="680" t="s">
        <v>4533</v>
      </c>
      <c r="B82" s="680" t="s">
        <v>3741</v>
      </c>
      <c r="C82" s="680">
        <v>2023.0</v>
      </c>
      <c r="D82" s="687" t="s">
        <v>3829</v>
      </c>
      <c r="E82" s="680">
        <v>1.0</v>
      </c>
      <c r="F82" s="680">
        <v>273.0</v>
      </c>
      <c r="G82" s="680" t="s">
        <v>3808</v>
      </c>
      <c r="H82" s="680" t="s">
        <v>3808</v>
      </c>
      <c r="I82" s="680" t="s">
        <v>3812</v>
      </c>
      <c r="J82" s="680" t="s">
        <v>3755</v>
      </c>
      <c r="K82" s="680" t="s">
        <v>3755</v>
      </c>
      <c r="L82" s="680" t="s">
        <v>3755</v>
      </c>
      <c r="M82" s="688"/>
      <c r="N82" s="680">
        <v>26.0</v>
      </c>
      <c r="O82" s="680">
        <v>10.0</v>
      </c>
      <c r="P82" s="680" t="s">
        <v>3755</v>
      </c>
      <c r="Q82" s="666"/>
      <c r="R82" s="680">
        <v>100.0</v>
      </c>
      <c r="S82" s="690">
        <v>15.0</v>
      </c>
      <c r="T82" s="693">
        <f t="shared" si="7"/>
        <v>0.15</v>
      </c>
      <c r="U82" s="691">
        <v>45550.0</v>
      </c>
      <c r="V82" s="686"/>
      <c r="W82" s="680">
        <v>15.0</v>
      </c>
      <c r="X82" s="680"/>
      <c r="Y82" s="686"/>
      <c r="Z82" s="680">
        <v>1.0</v>
      </c>
      <c r="AA82" s="669"/>
      <c r="AB82" s="176" t="s">
        <v>3841</v>
      </c>
      <c r="AC82" s="669"/>
    </row>
    <row r="83">
      <c r="A83" s="764" t="s">
        <v>4549</v>
      </c>
      <c r="B83" s="680" t="s">
        <v>3919</v>
      </c>
      <c r="C83" s="680">
        <v>2025.0</v>
      </c>
      <c r="D83" s="681" t="s">
        <v>4122</v>
      </c>
      <c r="E83" s="680">
        <v>1.0</v>
      </c>
      <c r="F83" s="680">
        <v>216.0</v>
      </c>
      <c r="G83" s="680" t="s">
        <v>4125</v>
      </c>
      <c r="H83" s="680">
        <v>570.0</v>
      </c>
      <c r="I83" s="680"/>
      <c r="J83" s="680" t="s">
        <v>3755</v>
      </c>
      <c r="K83" s="680" t="s">
        <v>3758</v>
      </c>
      <c r="L83" s="680" t="s">
        <v>3758</v>
      </c>
      <c r="M83" s="680">
        <v>1.0</v>
      </c>
      <c r="N83" s="680">
        <v>6.0</v>
      </c>
      <c r="O83" s="680">
        <v>10.0</v>
      </c>
      <c r="P83" s="680" t="s">
        <v>3755</v>
      </c>
      <c r="Q83" s="666"/>
      <c r="R83" s="680">
        <v>55.0</v>
      </c>
      <c r="S83" s="680">
        <v>8.0</v>
      </c>
      <c r="T83" s="693">
        <f t="shared" si="7"/>
        <v>0.1454545455</v>
      </c>
      <c r="U83" s="691">
        <v>45427.0</v>
      </c>
      <c r="V83" s="680" t="s">
        <v>4559</v>
      </c>
      <c r="W83" s="680">
        <v>8.0</v>
      </c>
      <c r="X83" s="680">
        <v>1.0</v>
      </c>
      <c r="Y83" s="680">
        <v>7.0</v>
      </c>
      <c r="Z83" s="680">
        <v>1.0</v>
      </c>
      <c r="AA83" s="669"/>
      <c r="AB83" s="176" t="s">
        <v>3778</v>
      </c>
      <c r="AC83" s="669"/>
    </row>
    <row r="84" ht="18.0" customHeight="1">
      <c r="A84" s="680" t="s">
        <v>4565</v>
      </c>
      <c r="B84" s="680" t="s">
        <v>857</v>
      </c>
      <c r="C84" s="680">
        <v>2025.0</v>
      </c>
      <c r="D84" s="680" t="s">
        <v>4122</v>
      </c>
      <c r="E84" s="680">
        <v>1.0</v>
      </c>
      <c r="F84" s="680">
        <v>259.0</v>
      </c>
      <c r="G84" s="688"/>
      <c r="H84" s="688"/>
      <c r="I84" s="176" t="s">
        <v>3879</v>
      </c>
      <c r="J84" s="680" t="s">
        <v>3755</v>
      </c>
      <c r="K84" s="680" t="s">
        <v>3755</v>
      </c>
      <c r="L84" s="680" t="s">
        <v>3758</v>
      </c>
      <c r="M84" s="680">
        <v>1.0</v>
      </c>
      <c r="N84" s="680">
        <v>18.0</v>
      </c>
      <c r="O84" s="680">
        <v>9.0</v>
      </c>
      <c r="P84" s="680" t="s">
        <v>3758</v>
      </c>
      <c r="Q84" s="666"/>
      <c r="R84" s="680">
        <v>109.0</v>
      </c>
      <c r="S84" s="684">
        <v>33.0</v>
      </c>
      <c r="T84" s="693">
        <f t="shared" si="7"/>
        <v>0.3027522936</v>
      </c>
      <c r="U84" s="691">
        <v>45488.0</v>
      </c>
      <c r="V84" s="680"/>
      <c r="W84" s="686"/>
      <c r="X84" s="686"/>
      <c r="Y84" s="680">
        <v>2.0</v>
      </c>
      <c r="Z84" s="686"/>
      <c r="AA84" s="669"/>
      <c r="AB84" s="176"/>
      <c r="AC84" s="669"/>
    </row>
    <row r="85" ht="18.0" customHeight="1">
      <c r="A85" s="680" t="s">
        <v>4588</v>
      </c>
      <c r="B85" s="680" t="s">
        <v>3741</v>
      </c>
      <c r="C85" s="680">
        <v>2023.0</v>
      </c>
      <c r="D85" s="687" t="s">
        <v>3829</v>
      </c>
      <c r="E85" s="680">
        <v>1.0</v>
      </c>
      <c r="F85" s="680">
        <v>249.0</v>
      </c>
      <c r="G85" s="680" t="s">
        <v>3808</v>
      </c>
      <c r="H85" s="680" t="s">
        <v>3808</v>
      </c>
      <c r="I85" s="680" t="s">
        <v>3812</v>
      </c>
      <c r="J85" s="680" t="s">
        <v>3755</v>
      </c>
      <c r="K85" s="680" t="s">
        <v>3755</v>
      </c>
      <c r="L85" s="680" t="s">
        <v>3755</v>
      </c>
      <c r="M85" s="686"/>
      <c r="N85" s="680">
        <v>9.0</v>
      </c>
      <c r="O85" s="680">
        <v>10.0</v>
      </c>
      <c r="P85" s="680" t="s">
        <v>3755</v>
      </c>
      <c r="Q85" s="666"/>
      <c r="R85" s="680">
        <v>169.0</v>
      </c>
      <c r="S85" s="690">
        <v>1.0</v>
      </c>
      <c r="T85" s="693">
        <f t="shared" si="7"/>
        <v>0.005917159763</v>
      </c>
      <c r="U85" s="688"/>
      <c r="V85" s="686"/>
      <c r="W85" s="686"/>
      <c r="X85" s="686"/>
      <c r="Y85" s="686"/>
      <c r="Z85" s="686"/>
      <c r="AA85" s="669"/>
      <c r="AB85" s="176"/>
      <c r="AC85" s="669"/>
    </row>
    <row r="86" ht="18.75" customHeight="1">
      <c r="A86" s="680" t="s">
        <v>4592</v>
      </c>
      <c r="B86" s="680" t="s">
        <v>857</v>
      </c>
      <c r="C86" s="680">
        <v>2025.0</v>
      </c>
      <c r="D86" s="681" t="s">
        <v>4135</v>
      </c>
      <c r="E86" s="680">
        <v>1.0</v>
      </c>
      <c r="F86" s="680">
        <v>276.0</v>
      </c>
      <c r="G86" s="680" t="s">
        <v>3808</v>
      </c>
      <c r="H86" s="680" t="s">
        <v>3808</v>
      </c>
      <c r="I86" s="688"/>
      <c r="J86" s="731"/>
      <c r="K86" s="731"/>
      <c r="L86" s="688"/>
      <c r="M86" s="688"/>
      <c r="N86" s="680">
        <v>12.0</v>
      </c>
      <c r="O86" s="680">
        <v>10.0</v>
      </c>
      <c r="P86" s="680" t="s">
        <v>3755</v>
      </c>
      <c r="Q86" s="666"/>
      <c r="R86" s="680">
        <v>43.0</v>
      </c>
      <c r="S86" s="680">
        <v>18.0</v>
      </c>
      <c r="T86" s="693">
        <f t="shared" si="7"/>
        <v>0.4186046512</v>
      </c>
      <c r="U86" s="691">
        <v>45580.0</v>
      </c>
      <c r="V86" s="686"/>
      <c r="W86" s="680">
        <v>18.0</v>
      </c>
      <c r="X86" s="686"/>
      <c r="Y86" s="688"/>
      <c r="Z86" s="686"/>
      <c r="AA86" s="669"/>
      <c r="AB86" s="176" t="s">
        <v>3778</v>
      </c>
      <c r="AC86" s="669"/>
    </row>
    <row r="87" ht="18.0" customHeight="1">
      <c r="A87" s="680" t="s">
        <v>4595</v>
      </c>
      <c r="B87" s="680" t="s">
        <v>857</v>
      </c>
      <c r="C87" s="680">
        <v>2025.0</v>
      </c>
      <c r="D87" s="681" t="s">
        <v>3844</v>
      </c>
      <c r="E87" s="680">
        <v>1.0</v>
      </c>
      <c r="F87" s="680">
        <v>263.0</v>
      </c>
      <c r="G87" s="680" t="s">
        <v>3808</v>
      </c>
      <c r="H87" s="680" t="s">
        <v>3808</v>
      </c>
      <c r="I87" s="688"/>
      <c r="J87" s="680" t="s">
        <v>3755</v>
      </c>
      <c r="K87" s="680" t="s">
        <v>3755</v>
      </c>
      <c r="L87" s="680" t="s">
        <v>3758</v>
      </c>
      <c r="M87" s="680">
        <v>5.0</v>
      </c>
      <c r="N87" s="680">
        <v>6.0</v>
      </c>
      <c r="O87" s="680">
        <v>8.0</v>
      </c>
      <c r="P87" s="680" t="s">
        <v>3755</v>
      </c>
      <c r="Q87" s="666"/>
      <c r="R87" s="680">
        <v>63.0</v>
      </c>
      <c r="S87" s="680">
        <v>20.0</v>
      </c>
      <c r="T87" s="693">
        <f t="shared" si="7"/>
        <v>0.3174603175</v>
      </c>
      <c r="U87" s="691"/>
      <c r="V87" s="716" t="s">
        <v>4601</v>
      </c>
      <c r="W87" s="680">
        <v>17.0</v>
      </c>
      <c r="X87" s="680">
        <v>3.0</v>
      </c>
      <c r="Y87" s="680"/>
      <c r="Z87" s="680"/>
      <c r="AA87" s="669"/>
      <c r="AB87" s="176" t="s">
        <v>3778</v>
      </c>
      <c r="AC87" s="669"/>
    </row>
    <row r="88" ht="18.75" customHeight="1">
      <c r="A88" s="768" t="s">
        <v>4604</v>
      </c>
      <c r="B88" s="680" t="s">
        <v>857</v>
      </c>
      <c r="C88" s="680">
        <v>2025.0</v>
      </c>
      <c r="D88" s="681" t="s">
        <v>4019</v>
      </c>
      <c r="E88" s="680">
        <v>1.0</v>
      </c>
      <c r="F88" s="680">
        <v>280.0</v>
      </c>
      <c r="G88" s="680" t="s">
        <v>3808</v>
      </c>
      <c r="H88" s="680" t="s">
        <v>3808</v>
      </c>
      <c r="I88" s="680" t="s">
        <v>3812</v>
      </c>
      <c r="J88" s="680" t="s">
        <v>3758</v>
      </c>
      <c r="K88" s="680" t="s">
        <v>3755</v>
      </c>
      <c r="L88" s="680" t="s">
        <v>3758</v>
      </c>
      <c r="M88" s="680">
        <v>8.0</v>
      </c>
      <c r="N88" s="680">
        <v>5.0</v>
      </c>
      <c r="O88" s="680">
        <v>10.0</v>
      </c>
      <c r="P88" s="680" t="s">
        <v>3755</v>
      </c>
      <c r="Q88" s="666"/>
      <c r="R88" s="680">
        <v>50.0</v>
      </c>
      <c r="S88" s="680">
        <v>8.0</v>
      </c>
      <c r="T88" s="693">
        <f t="shared" si="7"/>
        <v>0.16</v>
      </c>
      <c r="U88" s="691">
        <v>45458.0</v>
      </c>
      <c r="V88" s="686"/>
      <c r="W88" s="686"/>
      <c r="X88" s="686"/>
      <c r="Y88" s="680">
        <v>1.0</v>
      </c>
      <c r="Z88" s="680">
        <v>2.0</v>
      </c>
      <c r="AA88" s="669"/>
      <c r="AB88" s="176"/>
      <c r="AC88" s="669"/>
    </row>
    <row r="89" ht="17.25" customHeight="1">
      <c r="A89" s="680" t="s">
        <v>4630</v>
      </c>
      <c r="B89" s="680" t="s">
        <v>857</v>
      </c>
      <c r="C89" s="680">
        <v>2025.0</v>
      </c>
      <c r="D89" s="681" t="s">
        <v>3921</v>
      </c>
      <c r="E89" s="680">
        <v>1.0</v>
      </c>
      <c r="F89" s="680">
        <v>228.0</v>
      </c>
      <c r="G89" s="680" t="s">
        <v>3808</v>
      </c>
      <c r="H89" s="680" t="s">
        <v>3808</v>
      </c>
      <c r="I89" s="680"/>
      <c r="J89" s="680" t="s">
        <v>3755</v>
      </c>
      <c r="K89" s="680" t="s">
        <v>3755</v>
      </c>
      <c r="L89" s="680" t="s">
        <v>3755</v>
      </c>
      <c r="M89" s="680">
        <v>1.0</v>
      </c>
      <c r="N89" s="680">
        <v>5.0</v>
      </c>
      <c r="O89" s="680">
        <v>10.0</v>
      </c>
      <c r="P89" s="680" t="s">
        <v>3755</v>
      </c>
      <c r="Q89" s="666"/>
      <c r="R89" s="680">
        <v>143.0</v>
      </c>
      <c r="S89" s="712">
        <v>4.0</v>
      </c>
      <c r="T89" s="693">
        <f t="shared" si="7"/>
        <v>0.02797202797</v>
      </c>
      <c r="U89" s="691">
        <v>45731.0</v>
      </c>
      <c r="V89" s="680"/>
      <c r="W89" s="680">
        <v>4.0</v>
      </c>
      <c r="X89" s="680"/>
      <c r="Y89" s="680">
        <v>6.0</v>
      </c>
      <c r="Z89" s="680"/>
      <c r="AA89" s="666"/>
      <c r="AB89" s="686"/>
      <c r="AC89" s="666"/>
    </row>
    <row r="90" ht="18.0" customHeight="1">
      <c r="A90" s="680" t="s">
        <v>4645</v>
      </c>
      <c r="B90" s="680" t="s">
        <v>857</v>
      </c>
      <c r="C90" s="680">
        <v>2025.0</v>
      </c>
      <c r="D90" s="681" t="s">
        <v>3921</v>
      </c>
      <c r="E90" s="680">
        <v>1.0</v>
      </c>
      <c r="F90" s="680">
        <v>234.0</v>
      </c>
      <c r="G90" s="680" t="s">
        <v>4651</v>
      </c>
      <c r="H90" s="680" t="s">
        <v>4651</v>
      </c>
      <c r="I90" s="680" t="s">
        <v>3879</v>
      </c>
      <c r="J90" s="680" t="s">
        <v>3755</v>
      </c>
      <c r="K90" s="680" t="s">
        <v>3755</v>
      </c>
      <c r="L90" s="680" t="s">
        <v>3758</v>
      </c>
      <c r="M90" s="680">
        <v>5.0</v>
      </c>
      <c r="N90" s="680">
        <v>3.0</v>
      </c>
      <c r="O90" s="680">
        <v>10.0</v>
      </c>
      <c r="P90" s="680" t="s">
        <v>3755</v>
      </c>
      <c r="Q90" s="666"/>
      <c r="R90" s="680">
        <v>300.0</v>
      </c>
      <c r="S90" s="680">
        <v>5.0</v>
      </c>
      <c r="T90" s="693">
        <f t="shared" si="7"/>
        <v>0.01666666667</v>
      </c>
      <c r="U90" s="691">
        <v>45337.0</v>
      </c>
      <c r="V90" s="686"/>
      <c r="W90" s="686"/>
      <c r="X90" s="686"/>
      <c r="Y90" s="680">
        <v>4.0</v>
      </c>
      <c r="Z90" s="686"/>
      <c r="AA90" s="669"/>
      <c r="AB90" s="695"/>
      <c r="AC90" s="669"/>
    </row>
    <row r="91" ht="18.0" customHeight="1">
      <c r="A91" s="680" t="s">
        <v>4661</v>
      </c>
      <c r="B91" s="680" t="s">
        <v>857</v>
      </c>
      <c r="C91" s="680">
        <v>2025.0</v>
      </c>
      <c r="D91" s="681" t="s">
        <v>4019</v>
      </c>
      <c r="E91" s="680">
        <v>1.0</v>
      </c>
      <c r="F91" s="680">
        <v>235.0</v>
      </c>
      <c r="G91" s="680" t="s">
        <v>4663</v>
      </c>
      <c r="H91" s="680" t="s">
        <v>4663</v>
      </c>
      <c r="I91" s="176" t="s">
        <v>3879</v>
      </c>
      <c r="J91" s="680" t="s">
        <v>3755</v>
      </c>
      <c r="K91" s="680" t="s">
        <v>3755</v>
      </c>
      <c r="L91" s="680" t="s">
        <v>3755</v>
      </c>
      <c r="M91" s="680">
        <v>4.0</v>
      </c>
      <c r="N91" s="680">
        <v>10.0</v>
      </c>
      <c r="O91" s="680">
        <v>10.0</v>
      </c>
      <c r="P91" s="680" t="s">
        <v>3755</v>
      </c>
      <c r="Q91" s="666"/>
      <c r="R91" s="680">
        <v>80.0</v>
      </c>
      <c r="S91" s="680">
        <v>11.0</v>
      </c>
      <c r="T91" s="693">
        <f t="shared" si="7"/>
        <v>0.1375</v>
      </c>
      <c r="U91" s="691">
        <v>45397.0</v>
      </c>
      <c r="V91" s="744"/>
      <c r="W91" s="688"/>
      <c r="X91" s="686"/>
      <c r="Y91" s="680"/>
      <c r="Z91" s="686"/>
      <c r="AA91" s="669"/>
      <c r="AB91" s="695"/>
      <c r="AC91" s="669"/>
    </row>
    <row r="92" ht="15.75" customHeight="1">
      <c r="A92" s="680" t="s">
        <v>4685</v>
      </c>
      <c r="B92" s="680" t="s">
        <v>857</v>
      </c>
      <c r="C92" s="680">
        <v>2021.0</v>
      </c>
      <c r="D92" s="687" t="s">
        <v>3829</v>
      </c>
      <c r="E92" s="680">
        <v>1.0</v>
      </c>
      <c r="F92" s="680">
        <v>238.0</v>
      </c>
      <c r="G92" s="680" t="s">
        <v>3808</v>
      </c>
      <c r="H92" s="680" t="s">
        <v>3808</v>
      </c>
      <c r="I92" s="680" t="s">
        <v>3812</v>
      </c>
      <c r="J92" s="680" t="s">
        <v>3755</v>
      </c>
      <c r="K92" s="680" t="s">
        <v>3755</v>
      </c>
      <c r="L92" s="680" t="s">
        <v>3755</v>
      </c>
      <c r="M92" s="680">
        <v>0.0</v>
      </c>
      <c r="N92" s="680">
        <v>17.0</v>
      </c>
      <c r="O92" s="680">
        <v>10.0</v>
      </c>
      <c r="P92" s="680" t="s">
        <v>3755</v>
      </c>
      <c r="Q92" s="666"/>
      <c r="R92" s="680">
        <v>214.0</v>
      </c>
      <c r="S92" s="680">
        <v>9.0</v>
      </c>
      <c r="T92" s="693">
        <f t="shared" si="7"/>
        <v>0.04205607477</v>
      </c>
      <c r="U92" s="691">
        <v>45306.0</v>
      </c>
      <c r="V92" s="688"/>
      <c r="W92" s="680">
        <v>8.0</v>
      </c>
      <c r="X92" s="686"/>
      <c r="Y92" s="680"/>
      <c r="Z92" s="686"/>
      <c r="AA92" s="669"/>
      <c r="AB92" s="176" t="s">
        <v>3841</v>
      </c>
      <c r="AC92" s="669"/>
    </row>
    <row r="93" ht="18.0" customHeight="1">
      <c r="A93" s="781" t="s">
        <v>4696</v>
      </c>
      <c r="B93" s="680" t="s">
        <v>857</v>
      </c>
      <c r="C93" s="680">
        <v>2016.0</v>
      </c>
      <c r="D93" s="687" t="s">
        <v>3829</v>
      </c>
      <c r="E93" s="680">
        <v>1.0</v>
      </c>
      <c r="F93" s="680">
        <v>240.0</v>
      </c>
      <c r="G93" s="680" t="s">
        <v>3808</v>
      </c>
      <c r="H93" s="680" t="s">
        <v>3808</v>
      </c>
      <c r="I93" s="680" t="s">
        <v>3812</v>
      </c>
      <c r="J93" s="680" t="s">
        <v>3755</v>
      </c>
      <c r="K93" s="680" t="s">
        <v>3755</v>
      </c>
      <c r="L93" s="680" t="s">
        <v>3755</v>
      </c>
      <c r="M93" s="680">
        <v>0.0</v>
      </c>
      <c r="N93" s="680">
        <v>23.0</v>
      </c>
      <c r="O93" s="680">
        <v>7.0</v>
      </c>
      <c r="P93" s="680" t="s">
        <v>3755</v>
      </c>
      <c r="Q93" s="666"/>
      <c r="R93" s="680">
        <v>25.0</v>
      </c>
      <c r="S93" s="680">
        <v>0.0</v>
      </c>
      <c r="T93" s="693">
        <f t="shared" si="7"/>
        <v>0</v>
      </c>
      <c r="U93" s="691"/>
      <c r="V93" s="785"/>
      <c r="W93" s="680"/>
      <c r="X93" s="680"/>
      <c r="Y93" s="686"/>
      <c r="Z93" s="680"/>
      <c r="AA93" s="669"/>
      <c r="AB93" s="176" t="s">
        <v>3882</v>
      </c>
      <c r="AC93" s="669"/>
    </row>
    <row r="94" ht="18.75" customHeight="1">
      <c r="A94" s="680" t="s">
        <v>4717</v>
      </c>
      <c r="B94" s="680" t="s">
        <v>857</v>
      </c>
      <c r="C94" s="680">
        <v>2025.0</v>
      </c>
      <c r="D94" s="681" t="s">
        <v>4019</v>
      </c>
      <c r="E94" s="680">
        <v>1.0</v>
      </c>
      <c r="F94" s="680">
        <v>241.0</v>
      </c>
      <c r="G94" s="680" t="s">
        <v>4651</v>
      </c>
      <c r="H94" s="680" t="s">
        <v>4651</v>
      </c>
      <c r="I94" s="688"/>
      <c r="J94" s="680" t="s">
        <v>3755</v>
      </c>
      <c r="K94" s="680" t="s">
        <v>3755</v>
      </c>
      <c r="L94" s="702" t="s">
        <v>3755</v>
      </c>
      <c r="M94" s="680">
        <v>1.0</v>
      </c>
      <c r="N94" s="680">
        <v>8.0</v>
      </c>
      <c r="O94" s="680">
        <v>10.0</v>
      </c>
      <c r="P94" s="680" t="s">
        <v>3755</v>
      </c>
      <c r="Q94" s="666"/>
      <c r="R94" s="680">
        <v>47.0</v>
      </c>
      <c r="S94" s="680">
        <v>13.0</v>
      </c>
      <c r="T94" s="693">
        <f t="shared" si="7"/>
        <v>0.2765957447</v>
      </c>
      <c r="U94" s="691">
        <v>45458.0</v>
      </c>
      <c r="V94" s="680"/>
      <c r="W94" s="680"/>
      <c r="X94" s="686"/>
      <c r="Y94" s="680"/>
      <c r="Z94" s="688"/>
      <c r="AA94" s="669"/>
      <c r="AB94" s="176"/>
      <c r="AC94" s="669"/>
    </row>
    <row r="95" ht="18.0" customHeight="1">
      <c r="A95" s="680" t="s">
        <v>4735</v>
      </c>
      <c r="B95" s="680" t="s">
        <v>3741</v>
      </c>
      <c r="C95" s="680">
        <v>2017.0</v>
      </c>
      <c r="D95" s="687" t="s">
        <v>3829</v>
      </c>
      <c r="E95" s="680">
        <v>1.0</v>
      </c>
      <c r="F95" s="680">
        <v>253.0</v>
      </c>
      <c r="G95" s="680" t="s">
        <v>3808</v>
      </c>
      <c r="H95" s="680" t="s">
        <v>3808</v>
      </c>
      <c r="I95" s="686"/>
      <c r="J95" s="688"/>
      <c r="K95" s="688"/>
      <c r="L95" s="688"/>
      <c r="M95" s="688"/>
      <c r="N95" s="680">
        <v>24.0</v>
      </c>
      <c r="O95" s="680">
        <v>10.0</v>
      </c>
      <c r="P95" s="680" t="s">
        <v>3755</v>
      </c>
      <c r="Q95" s="666"/>
      <c r="R95" s="680">
        <v>108.0</v>
      </c>
      <c r="S95" s="680">
        <v>3.0</v>
      </c>
      <c r="T95" s="693">
        <f t="shared" si="7"/>
        <v>0.02777777778</v>
      </c>
      <c r="U95" s="691">
        <v>45731.0</v>
      </c>
      <c r="V95" s="701"/>
      <c r="W95" s="680">
        <v>3.0</v>
      </c>
      <c r="X95" s="686"/>
      <c r="Y95" s="680"/>
      <c r="Z95" s="680"/>
      <c r="AA95" s="669"/>
      <c r="AB95" s="176" t="s">
        <v>4753</v>
      </c>
      <c r="AC95" s="669"/>
    </row>
    <row r="96" ht="18.0" customHeight="1">
      <c r="A96" s="680" t="s">
        <v>4756</v>
      </c>
      <c r="B96" s="680" t="s">
        <v>857</v>
      </c>
      <c r="C96" s="680">
        <v>2025.0</v>
      </c>
      <c r="D96" s="681" t="s">
        <v>3995</v>
      </c>
      <c r="E96" s="680">
        <v>1.0</v>
      </c>
      <c r="F96" s="680">
        <v>254.0</v>
      </c>
      <c r="G96" s="688"/>
      <c r="H96" s="688"/>
      <c r="I96" s="176" t="s">
        <v>3879</v>
      </c>
      <c r="J96" s="680" t="s">
        <v>3755</v>
      </c>
      <c r="K96" s="680" t="s">
        <v>3755</v>
      </c>
      <c r="L96" s="680" t="s">
        <v>3755</v>
      </c>
      <c r="M96" s="680">
        <v>3.0</v>
      </c>
      <c r="N96" s="680">
        <v>10.0</v>
      </c>
      <c r="O96" s="680">
        <v>10.0</v>
      </c>
      <c r="P96" s="680" t="s">
        <v>3755</v>
      </c>
      <c r="Q96" s="666"/>
      <c r="R96" s="680">
        <v>53.0</v>
      </c>
      <c r="S96" s="680">
        <v>10.0</v>
      </c>
      <c r="T96" s="693">
        <f t="shared" si="7"/>
        <v>0.1886792453</v>
      </c>
      <c r="U96" s="691">
        <v>45458.0</v>
      </c>
      <c r="V96" s="786"/>
      <c r="W96" s="686"/>
      <c r="X96" s="686"/>
      <c r="Y96" s="686"/>
      <c r="Z96" s="686"/>
      <c r="AA96" s="669"/>
      <c r="AB96" s="695"/>
      <c r="AC96" s="669"/>
    </row>
    <row r="97" ht="17.25" customHeight="1">
      <c r="A97" s="680" t="s">
        <v>4770</v>
      </c>
      <c r="B97" s="680" t="s">
        <v>857</v>
      </c>
      <c r="C97" s="680">
        <v>2025.0</v>
      </c>
      <c r="D97" s="681" t="s">
        <v>3844</v>
      </c>
      <c r="E97" s="680">
        <v>1.0</v>
      </c>
      <c r="F97" s="680">
        <v>252.0</v>
      </c>
      <c r="G97" s="680" t="s">
        <v>3808</v>
      </c>
      <c r="H97" s="680" t="s">
        <v>3808</v>
      </c>
      <c r="I97" s="680" t="s">
        <v>3812</v>
      </c>
      <c r="J97" s="680" t="s">
        <v>3758</v>
      </c>
      <c r="K97" s="680" t="s">
        <v>3755</v>
      </c>
      <c r="L97" s="680" t="s">
        <v>3758</v>
      </c>
      <c r="M97" s="680">
        <v>5.0</v>
      </c>
      <c r="N97" s="680">
        <v>7.0</v>
      </c>
      <c r="O97" s="680">
        <v>10.0</v>
      </c>
      <c r="P97" s="680" t="s">
        <v>3755</v>
      </c>
      <c r="Q97" s="666"/>
      <c r="R97" s="680">
        <v>95.0</v>
      </c>
      <c r="S97" s="680">
        <v>17.0</v>
      </c>
      <c r="T97" s="693">
        <f t="shared" si="7"/>
        <v>0.1789473684</v>
      </c>
      <c r="U97" s="691">
        <v>45519.0</v>
      </c>
      <c r="V97" s="686"/>
      <c r="W97" s="686"/>
      <c r="X97" s="686"/>
      <c r="Y97" s="680"/>
      <c r="Z97" s="686"/>
      <c r="AA97" s="669"/>
      <c r="AB97" s="176" t="s">
        <v>3778</v>
      </c>
      <c r="AC97" s="669"/>
    </row>
    <row r="98" ht="18.0" customHeight="1">
      <c r="A98" s="680" t="s">
        <v>4784</v>
      </c>
      <c r="B98" s="680" t="s">
        <v>857</v>
      </c>
      <c r="C98" s="680">
        <v>2022.0</v>
      </c>
      <c r="D98" s="681" t="s">
        <v>3921</v>
      </c>
      <c r="E98" s="680">
        <v>1.0</v>
      </c>
      <c r="F98" s="680">
        <v>246.0</v>
      </c>
      <c r="G98" s="680" t="s">
        <v>3808</v>
      </c>
      <c r="H98" s="680" t="s">
        <v>3808</v>
      </c>
      <c r="I98" s="688"/>
      <c r="J98" s="680" t="s">
        <v>3755</v>
      </c>
      <c r="K98" s="680" t="s">
        <v>3755</v>
      </c>
      <c r="L98" s="680" t="s">
        <v>3755</v>
      </c>
      <c r="M98" s="688"/>
      <c r="N98" s="680">
        <v>4.0</v>
      </c>
      <c r="O98" s="680">
        <v>10.0</v>
      </c>
      <c r="P98" s="680" t="s">
        <v>3758</v>
      </c>
      <c r="Q98" s="666"/>
      <c r="R98" s="680">
        <v>343.0</v>
      </c>
      <c r="S98" s="742">
        <v>8.0</v>
      </c>
      <c r="T98" s="693">
        <f>V99/R98</f>
        <v>0.02040816327</v>
      </c>
      <c r="U98" s="691"/>
      <c r="V98" s="786"/>
      <c r="W98" s="680"/>
      <c r="X98" s="686"/>
      <c r="Y98" s="680"/>
      <c r="Z98" s="686"/>
      <c r="AA98" s="669"/>
      <c r="AB98" s="176" t="s">
        <v>3778</v>
      </c>
      <c r="AC98" s="669"/>
    </row>
    <row r="99" ht="18.0" customHeight="1">
      <c r="A99" s="680" t="s">
        <v>4802</v>
      </c>
      <c r="B99" s="680" t="s">
        <v>3919</v>
      </c>
      <c r="C99" s="680">
        <v>2025.0</v>
      </c>
      <c r="D99" s="681" t="s">
        <v>4135</v>
      </c>
      <c r="E99" s="680">
        <v>1.0</v>
      </c>
      <c r="F99" s="680">
        <v>262.0</v>
      </c>
      <c r="G99" s="680" t="s">
        <v>4125</v>
      </c>
      <c r="H99" s="680">
        <v>679.0</v>
      </c>
      <c r="I99" s="680" t="s">
        <v>3879</v>
      </c>
      <c r="J99" s="680" t="s">
        <v>3755</v>
      </c>
      <c r="K99" s="680" t="s">
        <v>3755</v>
      </c>
      <c r="L99" s="680" t="s">
        <v>3758</v>
      </c>
      <c r="M99" s="680">
        <v>7.0</v>
      </c>
      <c r="N99" s="680">
        <v>5.0</v>
      </c>
      <c r="O99" s="680">
        <v>9.0</v>
      </c>
      <c r="P99" s="680" t="s">
        <v>3755</v>
      </c>
      <c r="Q99" s="666"/>
      <c r="R99" s="680">
        <v>63.0</v>
      </c>
      <c r="S99" s="712">
        <v>33.0</v>
      </c>
      <c r="T99" s="693">
        <f t="shared" ref="T99:T107" si="8">S99/R99</f>
        <v>0.5238095238</v>
      </c>
      <c r="U99" s="691">
        <v>45580.0</v>
      </c>
      <c r="V99" s="680">
        <v>7.0</v>
      </c>
      <c r="W99" s="680">
        <v>20.0</v>
      </c>
      <c r="X99" s="680">
        <v>3.0</v>
      </c>
      <c r="Y99" s="680">
        <v>2.0</v>
      </c>
      <c r="Z99" s="686"/>
      <c r="AA99" s="666"/>
      <c r="AB99" s="680" t="s">
        <v>3778</v>
      </c>
      <c r="AC99" s="666"/>
    </row>
    <row r="100" ht="18.0" customHeight="1">
      <c r="A100" s="680" t="s">
        <v>4818</v>
      </c>
      <c r="B100" s="680" t="s">
        <v>857</v>
      </c>
      <c r="C100" s="680">
        <v>2023.0</v>
      </c>
      <c r="D100" s="681" t="s">
        <v>3921</v>
      </c>
      <c r="E100" s="680">
        <v>1.0</v>
      </c>
      <c r="F100" s="680">
        <v>250.0</v>
      </c>
      <c r="G100" s="680" t="s">
        <v>3808</v>
      </c>
      <c r="H100" s="680" t="s">
        <v>3808</v>
      </c>
      <c r="I100" s="680" t="s">
        <v>3879</v>
      </c>
      <c r="J100" s="680" t="s">
        <v>3755</v>
      </c>
      <c r="K100" s="680" t="s">
        <v>3755</v>
      </c>
      <c r="L100" s="680" t="s">
        <v>3758</v>
      </c>
      <c r="M100" s="680">
        <v>2.0</v>
      </c>
      <c r="N100" s="680">
        <v>2.0</v>
      </c>
      <c r="O100" s="680">
        <v>10.0</v>
      </c>
      <c r="P100" s="680" t="s">
        <v>3755</v>
      </c>
      <c r="Q100" s="666"/>
      <c r="R100" s="680">
        <v>50.0</v>
      </c>
      <c r="S100" s="680">
        <v>0.0</v>
      </c>
      <c r="T100" s="693">
        <f t="shared" si="8"/>
        <v>0</v>
      </c>
      <c r="U100" s="696"/>
      <c r="V100" s="698"/>
      <c r="W100" s="680"/>
      <c r="X100" s="680"/>
      <c r="Y100" s="680"/>
      <c r="Z100" s="686"/>
      <c r="AA100" s="669"/>
      <c r="AB100" s="176" t="s">
        <v>3882</v>
      </c>
      <c r="AC100" s="669"/>
    </row>
    <row r="101" ht="18.0" customHeight="1">
      <c r="A101" s="680" t="s">
        <v>4828</v>
      </c>
      <c r="B101" s="680" t="s">
        <v>3919</v>
      </c>
      <c r="C101" s="680">
        <v>2025.0</v>
      </c>
      <c r="D101" s="681" t="s">
        <v>4829</v>
      </c>
      <c r="E101" s="680" t="s">
        <v>3808</v>
      </c>
      <c r="F101" s="680">
        <v>241.0</v>
      </c>
      <c r="G101" s="680" t="s">
        <v>4125</v>
      </c>
      <c r="H101" s="680">
        <v>477.0</v>
      </c>
      <c r="I101" s="680" t="s">
        <v>4834</v>
      </c>
      <c r="J101" s="680" t="s">
        <v>3755</v>
      </c>
      <c r="K101" s="680" t="s">
        <v>3755</v>
      </c>
      <c r="L101" s="680" t="s">
        <v>3755</v>
      </c>
      <c r="M101" s="680">
        <v>4.0</v>
      </c>
      <c r="N101" s="680">
        <v>4.0</v>
      </c>
      <c r="O101" s="680">
        <v>10.0</v>
      </c>
      <c r="P101" s="680" t="s">
        <v>3755</v>
      </c>
      <c r="Q101" s="666"/>
      <c r="R101" s="680">
        <v>123.0</v>
      </c>
      <c r="S101" s="680">
        <v>10.0</v>
      </c>
      <c r="T101" s="693">
        <f t="shared" si="8"/>
        <v>0.08130081301</v>
      </c>
      <c r="U101" s="691">
        <v>45853.0</v>
      </c>
      <c r="V101" s="686"/>
      <c r="W101" s="680">
        <v>10.0</v>
      </c>
      <c r="X101" s="686"/>
      <c r="Y101" s="686"/>
      <c r="Z101" s="686"/>
      <c r="AA101" s="669"/>
      <c r="AB101" s="176" t="s">
        <v>4307</v>
      </c>
      <c r="AC101" s="669"/>
    </row>
    <row r="102" ht="18.0" customHeight="1">
      <c r="A102" s="680" t="s">
        <v>4843</v>
      </c>
      <c r="B102" s="680" t="s">
        <v>857</v>
      </c>
      <c r="C102" s="680">
        <v>2025.0</v>
      </c>
      <c r="D102" s="681" t="s">
        <v>4019</v>
      </c>
      <c r="E102" s="680">
        <v>1.0</v>
      </c>
      <c r="F102" s="680">
        <v>237.0</v>
      </c>
      <c r="G102" s="680" t="s">
        <v>3808</v>
      </c>
      <c r="H102" s="680" t="s">
        <v>3808</v>
      </c>
      <c r="I102" s="680" t="s">
        <v>3893</v>
      </c>
      <c r="J102" s="680" t="s">
        <v>3755</v>
      </c>
      <c r="K102" s="680" t="s">
        <v>3755</v>
      </c>
      <c r="L102" s="680" t="s">
        <v>3758</v>
      </c>
      <c r="M102" s="680">
        <v>3.0</v>
      </c>
      <c r="N102" s="680">
        <v>1.0</v>
      </c>
      <c r="O102" s="680">
        <v>7.0</v>
      </c>
      <c r="P102" s="680" t="s">
        <v>3755</v>
      </c>
      <c r="Q102" s="666"/>
      <c r="R102" s="680">
        <v>83.0</v>
      </c>
      <c r="S102" s="680">
        <v>8.0</v>
      </c>
      <c r="T102" s="693">
        <f t="shared" si="8"/>
        <v>0.09638554217</v>
      </c>
      <c r="U102" s="691">
        <v>45458.0</v>
      </c>
      <c r="V102" s="701"/>
      <c r="W102" s="686"/>
      <c r="X102" s="686"/>
      <c r="Y102" s="688"/>
      <c r="Z102" s="688"/>
      <c r="AA102" s="669"/>
      <c r="AB102" s="695"/>
      <c r="AC102" s="669"/>
    </row>
    <row r="103" ht="18.0" customHeight="1">
      <c r="A103" s="680" t="s">
        <v>4863</v>
      </c>
      <c r="B103" s="680" t="s">
        <v>857</v>
      </c>
      <c r="C103" s="680">
        <v>2025.0</v>
      </c>
      <c r="D103" s="681" t="s">
        <v>3995</v>
      </c>
      <c r="E103" s="680">
        <v>1.0</v>
      </c>
      <c r="F103" s="680">
        <v>265.0</v>
      </c>
      <c r="G103" s="680" t="s">
        <v>3808</v>
      </c>
      <c r="H103" s="680" t="s">
        <v>3808</v>
      </c>
      <c r="I103" s="680" t="s">
        <v>3893</v>
      </c>
      <c r="J103" s="680" t="s">
        <v>3755</v>
      </c>
      <c r="K103" s="680" t="s">
        <v>3755</v>
      </c>
      <c r="L103" s="680" t="s">
        <v>3758</v>
      </c>
      <c r="M103" s="680">
        <v>3.0</v>
      </c>
      <c r="N103" s="680">
        <v>10.0</v>
      </c>
      <c r="O103" s="680">
        <v>10.0</v>
      </c>
      <c r="P103" s="680" t="s">
        <v>3755</v>
      </c>
      <c r="Q103" s="666"/>
      <c r="R103" s="680">
        <v>91.0</v>
      </c>
      <c r="S103" s="680">
        <v>1.0</v>
      </c>
      <c r="T103" s="693">
        <f t="shared" si="8"/>
        <v>0.01098901099</v>
      </c>
      <c r="U103" s="696"/>
      <c r="V103" s="686"/>
      <c r="W103" s="686"/>
      <c r="X103" s="686"/>
      <c r="Y103" s="686"/>
      <c r="Z103" s="686"/>
      <c r="AA103" s="669"/>
      <c r="AB103" s="695"/>
      <c r="AC103" s="669"/>
    </row>
    <row r="104" ht="18.0" customHeight="1">
      <c r="A104" s="133" t="s">
        <v>4867</v>
      </c>
      <c r="B104" s="700" t="s">
        <v>3741</v>
      </c>
      <c r="C104" s="133">
        <v>2023.0</v>
      </c>
      <c r="D104" s="687" t="s">
        <v>3829</v>
      </c>
      <c r="E104" s="700">
        <v>1.0</v>
      </c>
      <c r="F104" s="133">
        <v>255.0</v>
      </c>
      <c r="G104" s="700" t="s">
        <v>3808</v>
      </c>
      <c r="H104" s="700" t="s">
        <v>3808</v>
      </c>
      <c r="I104" s="700" t="s">
        <v>3812</v>
      </c>
      <c r="J104" s="700" t="s">
        <v>3755</v>
      </c>
      <c r="K104" s="700" t="s">
        <v>3755</v>
      </c>
      <c r="L104" s="700" t="s">
        <v>3758</v>
      </c>
      <c r="M104" s="700">
        <v>8.0</v>
      </c>
      <c r="N104" s="133">
        <v>7.0</v>
      </c>
      <c r="O104" s="133">
        <v>10.0</v>
      </c>
      <c r="P104" s="700" t="s">
        <v>3755</v>
      </c>
      <c r="Q104" s="794"/>
      <c r="R104" s="133">
        <v>200.0</v>
      </c>
      <c r="S104" s="795">
        <v>1.0</v>
      </c>
      <c r="T104" s="796">
        <f t="shared" si="8"/>
        <v>0.005</v>
      </c>
      <c r="U104" s="794"/>
      <c r="V104" s="794"/>
      <c r="W104" s="794"/>
      <c r="X104" s="794"/>
      <c r="Y104" s="794"/>
      <c r="Z104" s="794"/>
      <c r="AA104" s="669"/>
      <c r="AB104" s="695"/>
      <c r="AC104" s="669"/>
    </row>
    <row r="105" ht="18.0" customHeight="1">
      <c r="A105" s="680" t="s">
        <v>4875</v>
      </c>
      <c r="B105" s="680" t="s">
        <v>857</v>
      </c>
      <c r="C105" s="680">
        <v>2025.0</v>
      </c>
      <c r="D105" s="681" t="s">
        <v>4158</v>
      </c>
      <c r="E105" s="680">
        <v>2.0</v>
      </c>
      <c r="F105" s="680">
        <v>248.0</v>
      </c>
      <c r="G105" s="680" t="s">
        <v>3808</v>
      </c>
      <c r="H105" s="680" t="s">
        <v>3808</v>
      </c>
      <c r="I105" s="680" t="s">
        <v>3893</v>
      </c>
      <c r="J105" s="680" t="s">
        <v>3755</v>
      </c>
      <c r="K105" s="680" t="s">
        <v>3755</v>
      </c>
      <c r="L105" s="680" t="s">
        <v>3755</v>
      </c>
      <c r="M105" s="680">
        <v>1.0</v>
      </c>
      <c r="N105" s="680">
        <v>0.0</v>
      </c>
      <c r="O105" s="680">
        <v>10.0</v>
      </c>
      <c r="P105" s="680" t="s">
        <v>3755</v>
      </c>
      <c r="Q105" s="666"/>
      <c r="R105" s="680">
        <v>41.0</v>
      </c>
      <c r="S105" s="680">
        <v>9.0</v>
      </c>
      <c r="T105" s="693">
        <f t="shared" si="8"/>
        <v>0.2195121951</v>
      </c>
      <c r="U105" s="691">
        <v>45458.0</v>
      </c>
      <c r="V105" s="753" t="s">
        <v>4878</v>
      </c>
      <c r="W105" s="680">
        <v>9.0</v>
      </c>
      <c r="X105" s="680">
        <v>0.0</v>
      </c>
      <c r="Y105" s="680">
        <v>4.0</v>
      </c>
      <c r="Z105" s="680">
        <v>0.0</v>
      </c>
      <c r="AA105" s="669"/>
      <c r="AB105" s="176" t="s">
        <v>3841</v>
      </c>
      <c r="AC105" s="669"/>
    </row>
    <row r="106" ht="18.0" customHeight="1">
      <c r="A106" s="680" t="s">
        <v>4880</v>
      </c>
      <c r="B106" s="680" t="s">
        <v>857</v>
      </c>
      <c r="C106" s="680">
        <v>2025.0</v>
      </c>
      <c r="D106" s="681" t="s">
        <v>4143</v>
      </c>
      <c r="E106" s="680">
        <v>1.0</v>
      </c>
      <c r="F106" s="680">
        <v>259.0</v>
      </c>
      <c r="G106" s="680" t="s">
        <v>3808</v>
      </c>
      <c r="H106" s="680" t="s">
        <v>3808</v>
      </c>
      <c r="I106" s="680" t="s">
        <v>3812</v>
      </c>
      <c r="J106" s="680" t="s">
        <v>3755</v>
      </c>
      <c r="K106" s="680" t="s">
        <v>3755</v>
      </c>
      <c r="L106" s="680" t="s">
        <v>3758</v>
      </c>
      <c r="M106" s="680">
        <v>7.0</v>
      </c>
      <c r="N106" s="680">
        <v>6.0</v>
      </c>
      <c r="O106" s="680">
        <v>10.0</v>
      </c>
      <c r="P106" s="680" t="s">
        <v>3755</v>
      </c>
      <c r="Q106" s="666"/>
      <c r="R106" s="680">
        <v>41.0</v>
      </c>
      <c r="S106" s="680">
        <v>3.0</v>
      </c>
      <c r="T106" s="693">
        <f t="shared" si="8"/>
        <v>0.07317073171</v>
      </c>
      <c r="U106" s="691"/>
      <c r="V106" s="753"/>
      <c r="W106" s="680"/>
      <c r="X106" s="680"/>
      <c r="Y106" s="680"/>
      <c r="Z106" s="686"/>
      <c r="AA106" s="669"/>
      <c r="AB106" s="695"/>
      <c r="AC106" s="669"/>
    </row>
    <row r="107" ht="18.0" customHeight="1">
      <c r="A107" s="680" t="s">
        <v>4884</v>
      </c>
      <c r="B107" s="680" t="s">
        <v>857</v>
      </c>
      <c r="C107" s="680">
        <v>2025.0</v>
      </c>
      <c r="D107" s="681" t="s">
        <v>4143</v>
      </c>
      <c r="E107" s="680">
        <v>1.0</v>
      </c>
      <c r="F107" s="680">
        <v>267.0</v>
      </c>
      <c r="G107" s="680" t="s">
        <v>3808</v>
      </c>
      <c r="H107" s="680" t="s">
        <v>3808</v>
      </c>
      <c r="I107" s="680" t="s">
        <v>3812</v>
      </c>
      <c r="J107" s="680" t="s">
        <v>3758</v>
      </c>
      <c r="K107" s="680" t="s">
        <v>3755</v>
      </c>
      <c r="L107" s="680" t="s">
        <v>3755</v>
      </c>
      <c r="M107" s="680">
        <v>6.0</v>
      </c>
      <c r="N107" s="690">
        <v>15.0</v>
      </c>
      <c r="O107" s="680">
        <v>10.0</v>
      </c>
      <c r="P107" s="680" t="s">
        <v>3755</v>
      </c>
      <c r="Q107" s="666"/>
      <c r="R107" s="680">
        <v>15.0</v>
      </c>
      <c r="S107" s="680">
        <v>8.0</v>
      </c>
      <c r="T107" s="693">
        <f t="shared" si="8"/>
        <v>0.5333333333</v>
      </c>
      <c r="U107" s="691">
        <v>45519.0</v>
      </c>
      <c r="V107" s="688"/>
      <c r="W107" s="686"/>
      <c r="X107" s="686"/>
      <c r="Y107" s="686"/>
      <c r="Z107" s="686"/>
      <c r="AA107" s="669"/>
      <c r="AB107" s="695"/>
      <c r="AC107" s="669"/>
    </row>
    <row r="108" ht="18.0" customHeight="1">
      <c r="A108" s="680" t="s">
        <v>4888</v>
      </c>
      <c r="B108" s="680" t="s">
        <v>857</v>
      </c>
      <c r="C108" s="680">
        <v>2024.0</v>
      </c>
      <c r="D108" s="687" t="s">
        <v>3829</v>
      </c>
      <c r="E108" s="680">
        <v>1.0</v>
      </c>
      <c r="F108" s="680">
        <v>255.0</v>
      </c>
      <c r="G108" s="680" t="s">
        <v>3808</v>
      </c>
      <c r="H108" s="680" t="s">
        <v>3808</v>
      </c>
      <c r="I108" s="680" t="s">
        <v>3812</v>
      </c>
      <c r="J108" s="680" t="s">
        <v>3755</v>
      </c>
      <c r="K108" s="680" t="s">
        <v>3755</v>
      </c>
      <c r="L108" s="680" t="s">
        <v>3758</v>
      </c>
      <c r="M108" s="680">
        <v>5.0</v>
      </c>
      <c r="N108" s="680">
        <v>13.0</v>
      </c>
      <c r="O108" s="680">
        <v>10.0</v>
      </c>
      <c r="P108" s="680" t="s">
        <v>3755</v>
      </c>
      <c r="Q108" s="666"/>
      <c r="R108" s="680">
        <v>175.0</v>
      </c>
      <c r="S108" s="690">
        <v>14.0</v>
      </c>
      <c r="T108" s="797"/>
      <c r="U108" s="691">
        <v>45366.0</v>
      </c>
      <c r="V108" s="686"/>
      <c r="W108" s="680"/>
      <c r="X108" s="680"/>
      <c r="Y108" s="680"/>
      <c r="Z108" s="680"/>
      <c r="AA108" s="669"/>
      <c r="AB108" s="176" t="s">
        <v>3778</v>
      </c>
      <c r="AC108" s="669"/>
    </row>
    <row r="109" ht="18.0" customHeight="1">
      <c r="A109" s="680" t="s">
        <v>4890</v>
      </c>
      <c r="B109" s="680" t="s">
        <v>857</v>
      </c>
      <c r="C109" s="680">
        <v>2025.0</v>
      </c>
      <c r="D109" s="681" t="s">
        <v>3844</v>
      </c>
      <c r="E109" s="680">
        <v>1.0</v>
      </c>
      <c r="F109" s="680">
        <v>252.0</v>
      </c>
      <c r="G109" s="680" t="s">
        <v>3808</v>
      </c>
      <c r="H109" s="680" t="s">
        <v>3808</v>
      </c>
      <c r="I109" s="688"/>
      <c r="J109" s="176" t="s">
        <v>3755</v>
      </c>
      <c r="K109" s="695"/>
      <c r="L109" s="680" t="s">
        <v>3755</v>
      </c>
      <c r="M109" s="680">
        <v>2.0</v>
      </c>
      <c r="N109" s="680">
        <v>4.0</v>
      </c>
      <c r="O109" s="680">
        <v>10.0</v>
      </c>
      <c r="P109" s="680" t="s">
        <v>3755</v>
      </c>
      <c r="Q109" s="666"/>
      <c r="R109" s="680">
        <v>113.0</v>
      </c>
      <c r="S109" s="680">
        <v>15.0</v>
      </c>
      <c r="T109" s="693">
        <f t="shared" ref="T109:T150" si="9">S109/R109</f>
        <v>0.1327433628</v>
      </c>
      <c r="U109" s="691">
        <v>45458.0</v>
      </c>
      <c r="V109" s="786"/>
      <c r="W109" s="686"/>
      <c r="X109" s="686"/>
      <c r="Y109" s="686"/>
      <c r="Z109" s="686"/>
      <c r="AA109" s="669"/>
      <c r="AB109" s="176" t="s">
        <v>3778</v>
      </c>
      <c r="AC109" s="669"/>
    </row>
    <row r="110" ht="18.0" customHeight="1">
      <c r="A110" s="680" t="s">
        <v>4896</v>
      </c>
      <c r="B110" s="680" t="s">
        <v>857</v>
      </c>
      <c r="C110" s="680">
        <v>2025.0</v>
      </c>
      <c r="D110" s="681" t="s">
        <v>3844</v>
      </c>
      <c r="E110" s="680">
        <v>1.0</v>
      </c>
      <c r="F110" s="680">
        <v>251.0</v>
      </c>
      <c r="G110" s="176" t="s">
        <v>3808</v>
      </c>
      <c r="H110" s="176" t="s">
        <v>3808</v>
      </c>
      <c r="I110" s="695"/>
      <c r="J110" s="731"/>
      <c r="K110" s="731"/>
      <c r="L110" s="680" t="s">
        <v>3758</v>
      </c>
      <c r="M110" s="680">
        <v>5.0</v>
      </c>
      <c r="N110" s="680">
        <v>14.0</v>
      </c>
      <c r="O110" s="680">
        <v>10.0</v>
      </c>
      <c r="P110" s="680" t="s">
        <v>3758</v>
      </c>
      <c r="Q110" s="666"/>
      <c r="R110" s="680">
        <v>58.0</v>
      </c>
      <c r="S110" s="680">
        <v>14.0</v>
      </c>
      <c r="T110" s="693">
        <f t="shared" si="9"/>
        <v>0.2413793103</v>
      </c>
      <c r="U110" s="691">
        <v>45611.0</v>
      </c>
      <c r="V110" s="711" t="s">
        <v>4900</v>
      </c>
      <c r="W110" s="680">
        <v>14.0</v>
      </c>
      <c r="X110" s="686"/>
      <c r="Y110" s="680">
        <v>2.0</v>
      </c>
      <c r="Z110" s="686"/>
      <c r="AA110" s="669"/>
      <c r="AB110" s="176" t="s">
        <v>3778</v>
      </c>
      <c r="AC110" s="669"/>
    </row>
    <row r="111" ht="18.0" customHeight="1">
      <c r="A111" s="680" t="s">
        <v>4901</v>
      </c>
      <c r="B111" s="680" t="s">
        <v>857</v>
      </c>
      <c r="C111" s="680">
        <v>2026.0</v>
      </c>
      <c r="D111" s="681" t="s">
        <v>4353</v>
      </c>
      <c r="E111" s="680">
        <v>1.0</v>
      </c>
      <c r="F111" s="680">
        <v>246.0</v>
      </c>
      <c r="G111" s="680" t="s">
        <v>3808</v>
      </c>
      <c r="H111" s="680" t="s">
        <v>3808</v>
      </c>
      <c r="I111" s="680" t="s">
        <v>3879</v>
      </c>
      <c r="J111" s="680"/>
      <c r="K111" s="680"/>
      <c r="L111" s="680" t="s">
        <v>3755</v>
      </c>
      <c r="M111" s="680">
        <v>1.0</v>
      </c>
      <c r="N111" s="680">
        <v>11.0</v>
      </c>
      <c r="O111" s="680">
        <v>10.0</v>
      </c>
      <c r="P111" s="680" t="s">
        <v>3755</v>
      </c>
      <c r="Q111" s="666"/>
      <c r="R111" s="680">
        <v>84.0</v>
      </c>
      <c r="S111" s="680">
        <v>16.0</v>
      </c>
      <c r="T111" s="693">
        <f t="shared" si="9"/>
        <v>0.1904761905</v>
      </c>
      <c r="U111" s="691">
        <v>45458.0</v>
      </c>
      <c r="V111" s="686"/>
      <c r="W111" s="680">
        <v>4.0</v>
      </c>
      <c r="X111" s="686"/>
      <c r="Y111" s="680">
        <v>4.0</v>
      </c>
      <c r="Z111" s="686"/>
      <c r="AA111" s="666"/>
      <c r="AB111" s="686"/>
      <c r="AC111" s="666"/>
    </row>
    <row r="112" ht="18.75" customHeight="1">
      <c r="A112" s="680" t="s">
        <v>4905</v>
      </c>
      <c r="B112" s="680" t="s">
        <v>3741</v>
      </c>
      <c r="C112" s="680">
        <v>2024.0</v>
      </c>
      <c r="D112" s="687" t="s">
        <v>3829</v>
      </c>
      <c r="E112" s="680">
        <v>1.0</v>
      </c>
      <c r="F112" s="680">
        <v>272.0</v>
      </c>
      <c r="G112" s="680" t="s">
        <v>3808</v>
      </c>
      <c r="H112" s="680" t="s">
        <v>3808</v>
      </c>
      <c r="I112" s="680" t="s">
        <v>3812</v>
      </c>
      <c r="J112" s="680"/>
      <c r="K112" s="680"/>
      <c r="L112" s="680"/>
      <c r="M112" s="680"/>
      <c r="N112" s="680">
        <v>3.0</v>
      </c>
      <c r="O112" s="680">
        <v>10.0</v>
      </c>
      <c r="P112" s="680" t="s">
        <v>3755</v>
      </c>
      <c r="Q112" s="666"/>
      <c r="R112" s="680">
        <v>146.0</v>
      </c>
      <c r="S112" s="712">
        <v>10.0</v>
      </c>
      <c r="T112" s="693">
        <f t="shared" si="9"/>
        <v>0.06849315068</v>
      </c>
      <c r="U112" s="691"/>
      <c r="V112" s="686"/>
      <c r="W112" s="680"/>
      <c r="X112" s="680"/>
      <c r="Y112" s="680"/>
      <c r="Z112" s="686"/>
      <c r="AA112" s="666"/>
      <c r="AB112" s="680" t="s">
        <v>3778</v>
      </c>
      <c r="AC112" s="666"/>
    </row>
    <row r="113" ht="18.0" customHeight="1">
      <c r="A113" s="680" t="s">
        <v>4912</v>
      </c>
      <c r="B113" s="680" t="s">
        <v>857</v>
      </c>
      <c r="C113" s="680">
        <v>2020.0</v>
      </c>
      <c r="D113" s="687" t="s">
        <v>3829</v>
      </c>
      <c r="E113" s="680">
        <v>1.0</v>
      </c>
      <c r="F113" s="680">
        <v>260.0</v>
      </c>
      <c r="G113" s="680" t="s">
        <v>3808</v>
      </c>
      <c r="H113" s="680" t="s">
        <v>3808</v>
      </c>
      <c r="I113" s="176" t="s">
        <v>3879</v>
      </c>
      <c r="J113" s="688"/>
      <c r="K113" s="688"/>
      <c r="L113" s="680" t="s">
        <v>3758</v>
      </c>
      <c r="M113" s="680">
        <v>1.0</v>
      </c>
      <c r="N113" s="680">
        <v>40.0</v>
      </c>
      <c r="O113" s="680">
        <v>10.0</v>
      </c>
      <c r="P113" s="680" t="s">
        <v>3755</v>
      </c>
      <c r="Q113" s="666"/>
      <c r="R113" s="680">
        <v>200.0</v>
      </c>
      <c r="S113" s="680">
        <v>0.0</v>
      </c>
      <c r="T113" s="693">
        <f t="shared" si="9"/>
        <v>0</v>
      </c>
      <c r="U113" s="696"/>
      <c r="V113" s="686"/>
      <c r="W113" s="686"/>
      <c r="X113" s="686"/>
      <c r="Y113" s="686"/>
      <c r="Z113" s="686"/>
      <c r="AA113" s="669"/>
      <c r="AB113" s="730" t="s">
        <v>3882</v>
      </c>
      <c r="AC113" s="669"/>
    </row>
    <row r="114" ht="18.0" customHeight="1">
      <c r="A114" s="680" t="s">
        <v>4918</v>
      </c>
      <c r="B114" s="680" t="s">
        <v>857</v>
      </c>
      <c r="C114" s="680">
        <v>2025.0</v>
      </c>
      <c r="D114" s="681" t="s">
        <v>4122</v>
      </c>
      <c r="E114" s="680">
        <v>1.0</v>
      </c>
      <c r="F114" s="680">
        <v>272.0</v>
      </c>
      <c r="G114" s="680" t="s">
        <v>3808</v>
      </c>
      <c r="H114" s="680" t="s">
        <v>3808</v>
      </c>
      <c r="I114" s="680" t="s">
        <v>3812</v>
      </c>
      <c r="J114" s="680" t="s">
        <v>3758</v>
      </c>
      <c r="K114" s="680" t="s">
        <v>3755</v>
      </c>
      <c r="L114" s="680" t="s">
        <v>3758</v>
      </c>
      <c r="M114" s="680">
        <v>7.0</v>
      </c>
      <c r="N114" s="680">
        <v>136.0</v>
      </c>
      <c r="O114" s="680">
        <v>10.0</v>
      </c>
      <c r="P114" s="680" t="s">
        <v>3755</v>
      </c>
      <c r="Q114" s="666"/>
      <c r="R114" s="680">
        <v>71.0</v>
      </c>
      <c r="S114" s="680">
        <v>15.0</v>
      </c>
      <c r="T114" s="693">
        <f t="shared" si="9"/>
        <v>0.2112676056</v>
      </c>
      <c r="U114" s="691">
        <v>45519.0</v>
      </c>
      <c r="V114" s="686"/>
      <c r="W114" s="686"/>
      <c r="X114" s="686"/>
      <c r="Y114" s="686"/>
      <c r="Z114" s="686"/>
      <c r="AA114" s="669"/>
      <c r="AB114" s="176" t="s">
        <v>3778</v>
      </c>
      <c r="AC114" s="669"/>
    </row>
    <row r="115" ht="15.75" customHeight="1">
      <c r="A115" s="680" t="s">
        <v>4922</v>
      </c>
      <c r="B115" s="680" t="s">
        <v>857</v>
      </c>
      <c r="C115" s="680">
        <v>2025.0</v>
      </c>
      <c r="D115" s="681" t="s">
        <v>4143</v>
      </c>
      <c r="E115" s="680">
        <v>1.0</v>
      </c>
      <c r="F115" s="680">
        <v>247.0</v>
      </c>
      <c r="G115" s="680" t="s">
        <v>3808</v>
      </c>
      <c r="H115" s="680" t="s">
        <v>3808</v>
      </c>
      <c r="I115" s="680" t="s">
        <v>3893</v>
      </c>
      <c r="J115" s="680" t="s">
        <v>3755</v>
      </c>
      <c r="K115" s="680" t="s">
        <v>3755</v>
      </c>
      <c r="L115" s="680" t="s">
        <v>3755</v>
      </c>
      <c r="M115" s="680">
        <v>2.0</v>
      </c>
      <c r="N115" s="680">
        <v>9.0</v>
      </c>
      <c r="O115" s="680">
        <v>9.0</v>
      </c>
      <c r="P115" s="680" t="s">
        <v>3755</v>
      </c>
      <c r="Q115" s="666"/>
      <c r="R115" s="680">
        <v>95.0</v>
      </c>
      <c r="S115" s="680">
        <v>15.0</v>
      </c>
      <c r="T115" s="693">
        <f t="shared" si="9"/>
        <v>0.1578947368</v>
      </c>
      <c r="U115" s="688"/>
      <c r="V115" s="686"/>
      <c r="W115" s="686"/>
      <c r="X115" s="686"/>
      <c r="Y115" s="686"/>
      <c r="Z115" s="686"/>
      <c r="AA115" s="669"/>
      <c r="AB115" s="176" t="s">
        <v>3882</v>
      </c>
      <c r="AC115" s="669"/>
    </row>
    <row r="116" ht="14.25" customHeight="1">
      <c r="A116" s="680" t="s">
        <v>4929</v>
      </c>
      <c r="B116" s="680" t="s">
        <v>3919</v>
      </c>
      <c r="C116" s="680">
        <v>2025.0</v>
      </c>
      <c r="D116" s="681" t="s">
        <v>4143</v>
      </c>
      <c r="E116" s="680" t="s">
        <v>3808</v>
      </c>
      <c r="F116" s="680">
        <v>226.0</v>
      </c>
      <c r="G116" s="680" t="s">
        <v>4125</v>
      </c>
      <c r="H116" s="680">
        <v>468.0</v>
      </c>
      <c r="I116" s="680" t="s">
        <v>3893</v>
      </c>
      <c r="J116" s="680" t="s">
        <v>3755</v>
      </c>
      <c r="K116" s="680" t="s">
        <v>3755</v>
      </c>
      <c r="L116" s="680" t="s">
        <v>3758</v>
      </c>
      <c r="M116" s="688"/>
      <c r="N116" s="680">
        <v>3.0</v>
      </c>
      <c r="O116" s="680">
        <v>10.0</v>
      </c>
      <c r="P116" s="680" t="s">
        <v>3755</v>
      </c>
      <c r="Q116" s="666"/>
      <c r="R116" s="680">
        <v>110.0</v>
      </c>
      <c r="S116" s="680">
        <v>0.0</v>
      </c>
      <c r="T116" s="693">
        <f t="shared" si="9"/>
        <v>0</v>
      </c>
      <c r="U116" s="691"/>
      <c r="V116" s="686"/>
      <c r="W116" s="686"/>
      <c r="X116" s="686"/>
      <c r="Y116" s="686"/>
      <c r="Z116" s="686"/>
      <c r="AA116" s="669"/>
      <c r="AB116" s="176" t="s">
        <v>3882</v>
      </c>
      <c r="AC116" s="669"/>
    </row>
    <row r="117" ht="18.0" customHeight="1">
      <c r="A117" s="680" t="s">
        <v>4933</v>
      </c>
      <c r="B117" s="680" t="s">
        <v>3919</v>
      </c>
      <c r="C117" s="680">
        <v>2025.0</v>
      </c>
      <c r="D117" s="681" t="s">
        <v>4934</v>
      </c>
      <c r="E117" s="680">
        <v>1.0</v>
      </c>
      <c r="F117" s="680">
        <v>249.0</v>
      </c>
      <c r="G117" s="176" t="s">
        <v>4125</v>
      </c>
      <c r="H117" s="176">
        <v>577.0</v>
      </c>
      <c r="I117" s="680" t="s">
        <v>3879</v>
      </c>
      <c r="J117" s="176" t="s">
        <v>3755</v>
      </c>
      <c r="K117" s="176" t="s">
        <v>3755</v>
      </c>
      <c r="L117" s="680" t="s">
        <v>3755</v>
      </c>
      <c r="M117" s="680">
        <v>2.0</v>
      </c>
      <c r="N117" s="680">
        <v>23.0</v>
      </c>
      <c r="O117" s="680">
        <v>6.0</v>
      </c>
      <c r="P117" s="680" t="s">
        <v>3755</v>
      </c>
      <c r="Q117" s="666"/>
      <c r="R117" s="680">
        <v>50.0</v>
      </c>
      <c r="S117" s="680">
        <v>0.0</v>
      </c>
      <c r="T117" s="693">
        <f t="shared" si="9"/>
        <v>0</v>
      </c>
      <c r="U117" s="696"/>
      <c r="V117" s="686"/>
      <c r="W117" s="686"/>
      <c r="X117" s="686"/>
      <c r="Z117" s="686"/>
      <c r="AA117" s="669"/>
      <c r="AB117" s="176" t="s">
        <v>3882</v>
      </c>
      <c r="AC117" s="669"/>
    </row>
    <row r="118" ht="18.0" customHeight="1">
      <c r="A118" s="680" t="s">
        <v>4939</v>
      </c>
      <c r="B118" s="680" t="s">
        <v>857</v>
      </c>
      <c r="C118" s="680">
        <v>2021.0</v>
      </c>
      <c r="D118" s="681" t="s">
        <v>3921</v>
      </c>
      <c r="E118" s="680">
        <v>1.0</v>
      </c>
      <c r="F118" s="680">
        <v>265.0</v>
      </c>
      <c r="G118" s="680" t="s">
        <v>3808</v>
      </c>
      <c r="H118" s="680" t="s">
        <v>3808</v>
      </c>
      <c r="I118" s="176" t="s">
        <v>3812</v>
      </c>
      <c r="J118" s="680" t="s">
        <v>3755</v>
      </c>
      <c r="K118" s="680" t="s">
        <v>3755</v>
      </c>
      <c r="L118" s="680" t="s">
        <v>3758</v>
      </c>
      <c r="M118" s="680">
        <v>8.0</v>
      </c>
      <c r="N118" s="680">
        <v>1.0</v>
      </c>
      <c r="O118" s="680">
        <v>8.0</v>
      </c>
      <c r="P118" s="680" t="s">
        <v>3755</v>
      </c>
      <c r="Q118" s="666"/>
      <c r="R118" s="680">
        <v>43.0</v>
      </c>
      <c r="S118" s="680">
        <v>2.0</v>
      </c>
      <c r="T118" s="693">
        <f t="shared" si="9"/>
        <v>0.04651162791</v>
      </c>
      <c r="U118" s="691"/>
      <c r="V118" s="686"/>
      <c r="W118" s="680"/>
      <c r="X118" s="680"/>
      <c r="Y118" s="686"/>
      <c r="Z118" s="686"/>
      <c r="AA118" s="669"/>
      <c r="AB118" s="695"/>
      <c r="AC118" s="669"/>
    </row>
    <row r="119" ht="18.0" customHeight="1">
      <c r="A119" s="680" t="s">
        <v>354</v>
      </c>
      <c r="B119" s="680" t="s">
        <v>857</v>
      </c>
      <c r="C119" s="680">
        <v>2025.0</v>
      </c>
      <c r="D119" s="681" t="s">
        <v>4006</v>
      </c>
      <c r="E119" s="680">
        <v>1.0</v>
      </c>
      <c r="F119" s="680">
        <v>265.0</v>
      </c>
      <c r="G119" s="680" t="s">
        <v>3808</v>
      </c>
      <c r="H119" s="680" t="s">
        <v>3808</v>
      </c>
      <c r="I119" s="731"/>
      <c r="J119" s="680" t="s">
        <v>3755</v>
      </c>
      <c r="K119" s="680" t="s">
        <v>3755</v>
      </c>
      <c r="L119" s="680" t="s">
        <v>3758</v>
      </c>
      <c r="M119" s="680">
        <v>7.0</v>
      </c>
      <c r="N119" s="680">
        <v>13.0</v>
      </c>
      <c r="O119" s="680">
        <v>10.0</v>
      </c>
      <c r="P119" s="680" t="s">
        <v>3755</v>
      </c>
      <c r="Q119" s="666"/>
      <c r="R119" s="680">
        <v>39.0</v>
      </c>
      <c r="S119" s="680">
        <v>15.0</v>
      </c>
      <c r="T119" s="693">
        <f t="shared" si="9"/>
        <v>0.3846153846</v>
      </c>
      <c r="U119" s="691">
        <v>45519.0</v>
      </c>
      <c r="V119" s="688"/>
      <c r="W119" s="686"/>
      <c r="X119" s="680"/>
      <c r="Y119" s="688"/>
      <c r="Z119" s="686"/>
      <c r="AA119" s="669"/>
      <c r="AB119" s="695"/>
      <c r="AC119" s="669"/>
    </row>
    <row r="120" ht="16.5" customHeight="1">
      <c r="A120" s="680" t="s">
        <v>4940</v>
      </c>
      <c r="B120" s="680" t="s">
        <v>3741</v>
      </c>
      <c r="C120" s="680">
        <v>2022.0</v>
      </c>
      <c r="D120" s="687" t="s">
        <v>3829</v>
      </c>
      <c r="E120" s="680">
        <v>1.0</v>
      </c>
      <c r="F120" s="680">
        <v>246.0</v>
      </c>
      <c r="G120" s="680" t="s">
        <v>3808</v>
      </c>
      <c r="H120" s="680" t="s">
        <v>3808</v>
      </c>
      <c r="I120" s="176" t="s">
        <v>3812</v>
      </c>
      <c r="J120" s="680" t="s">
        <v>3755</v>
      </c>
      <c r="K120" s="680" t="s">
        <v>3755</v>
      </c>
      <c r="L120" s="680" t="s">
        <v>3758</v>
      </c>
      <c r="M120" s="680">
        <v>5.0</v>
      </c>
      <c r="N120" s="680">
        <v>120.0</v>
      </c>
      <c r="O120" s="680">
        <v>10.0</v>
      </c>
      <c r="P120" s="680" t="s">
        <v>3755</v>
      </c>
      <c r="Q120" s="666"/>
      <c r="R120" s="680">
        <v>65.0</v>
      </c>
      <c r="S120" s="680">
        <v>0.0</v>
      </c>
      <c r="T120" s="693">
        <f t="shared" si="9"/>
        <v>0</v>
      </c>
      <c r="U120" s="688"/>
      <c r="V120" s="686"/>
      <c r="W120" s="686"/>
      <c r="X120" s="686"/>
      <c r="Y120" s="686"/>
      <c r="Z120" s="686"/>
      <c r="AA120" s="669"/>
      <c r="AB120" s="176" t="s">
        <v>3882</v>
      </c>
      <c r="AC120" s="669"/>
    </row>
    <row r="121" ht="18.0" customHeight="1">
      <c r="A121" s="680" t="s">
        <v>4943</v>
      </c>
      <c r="B121" s="680" t="s">
        <v>857</v>
      </c>
      <c r="C121" s="680">
        <v>2025.0</v>
      </c>
      <c r="D121" s="681" t="s">
        <v>3995</v>
      </c>
      <c r="E121" s="680">
        <v>1.0</v>
      </c>
      <c r="F121" s="680">
        <v>260.0</v>
      </c>
      <c r="G121" s="680" t="s">
        <v>3808</v>
      </c>
      <c r="H121" s="680" t="s">
        <v>3808</v>
      </c>
      <c r="I121" s="686"/>
      <c r="J121" s="680" t="s">
        <v>3755</v>
      </c>
      <c r="K121" s="680" t="s">
        <v>3755</v>
      </c>
      <c r="L121" s="680" t="s">
        <v>3758</v>
      </c>
      <c r="M121" s="680">
        <v>2.0</v>
      </c>
      <c r="N121" s="680">
        <v>3.0</v>
      </c>
      <c r="O121" s="680">
        <v>10.0</v>
      </c>
      <c r="P121" s="680" t="s">
        <v>3755</v>
      </c>
      <c r="Q121" s="666"/>
      <c r="R121" s="680">
        <v>45.0</v>
      </c>
      <c r="S121" s="712">
        <v>13.0</v>
      </c>
      <c r="T121" s="693">
        <f t="shared" si="9"/>
        <v>0.2888888889</v>
      </c>
      <c r="U121" s="691">
        <v>45519.0</v>
      </c>
      <c r="V121" s="802" t="s">
        <v>4944</v>
      </c>
      <c r="W121" s="680">
        <v>10.0</v>
      </c>
      <c r="X121" s="680">
        <v>3.0</v>
      </c>
      <c r="Y121" s="680">
        <v>2.0</v>
      </c>
      <c r="Z121" s="680">
        <v>1.0</v>
      </c>
      <c r="AA121" s="666"/>
      <c r="AB121" s="680" t="s">
        <v>3778</v>
      </c>
      <c r="AC121" s="666"/>
    </row>
    <row r="122" ht="18.0" customHeight="1">
      <c r="A122" s="680" t="s">
        <v>4945</v>
      </c>
      <c r="B122" s="680" t="s">
        <v>857</v>
      </c>
      <c r="C122" s="680">
        <v>2025.0</v>
      </c>
      <c r="D122" s="681" t="s">
        <v>4353</v>
      </c>
      <c r="E122" s="680">
        <v>1.0</v>
      </c>
      <c r="F122" s="680">
        <v>254.0</v>
      </c>
      <c r="G122" s="680" t="s">
        <v>3808</v>
      </c>
      <c r="H122" s="680" t="s">
        <v>3808</v>
      </c>
      <c r="I122" s="680" t="s">
        <v>3879</v>
      </c>
      <c r="J122" s="680" t="s">
        <v>3755</v>
      </c>
      <c r="K122" s="680" t="s">
        <v>3755</v>
      </c>
      <c r="L122" s="680" t="s">
        <v>3755</v>
      </c>
      <c r="M122" s="680">
        <v>1.0</v>
      </c>
      <c r="N122" s="680">
        <v>2.0</v>
      </c>
      <c r="O122" s="680">
        <v>6.0</v>
      </c>
      <c r="P122" s="680" t="s">
        <v>3755</v>
      </c>
      <c r="Q122" s="666"/>
      <c r="R122" s="680">
        <v>142.0</v>
      </c>
      <c r="S122" s="680">
        <v>14.0</v>
      </c>
      <c r="T122" s="693">
        <f t="shared" si="9"/>
        <v>0.0985915493</v>
      </c>
      <c r="U122" s="691">
        <v>45397.0</v>
      </c>
      <c r="V122" s="805"/>
      <c r="W122" s="688"/>
      <c r="X122" s="688"/>
      <c r="Y122" s="688"/>
      <c r="Z122" s="688"/>
      <c r="AA122" s="669"/>
      <c r="AB122" s="695"/>
      <c r="AC122" s="669"/>
    </row>
    <row r="123" ht="18.0" customHeight="1">
      <c r="A123" s="680" t="s">
        <v>4951</v>
      </c>
      <c r="B123" s="680" t="s">
        <v>857</v>
      </c>
      <c r="C123" s="680">
        <v>2021.0</v>
      </c>
      <c r="D123" s="681" t="s">
        <v>4167</v>
      </c>
      <c r="E123" s="680">
        <v>1.0</v>
      </c>
      <c r="F123" s="680">
        <v>252.0</v>
      </c>
      <c r="G123" s="680" t="s">
        <v>3808</v>
      </c>
      <c r="H123" s="680" t="s">
        <v>3808</v>
      </c>
      <c r="I123" s="688"/>
      <c r="J123" s="680" t="s">
        <v>3755</v>
      </c>
      <c r="K123" s="680" t="s">
        <v>3755</v>
      </c>
      <c r="L123" s="680" t="s">
        <v>3755</v>
      </c>
      <c r="M123" s="680"/>
      <c r="N123" s="680">
        <v>2.0</v>
      </c>
      <c r="O123" s="680">
        <v>10.0</v>
      </c>
      <c r="P123" s="680" t="s">
        <v>3755</v>
      </c>
      <c r="Q123" s="666"/>
      <c r="R123" s="680">
        <v>291.0</v>
      </c>
      <c r="S123" s="680">
        <v>7.0</v>
      </c>
      <c r="T123" s="693">
        <f t="shared" si="9"/>
        <v>0.02405498282</v>
      </c>
      <c r="U123" s="691">
        <v>45306.0</v>
      </c>
      <c r="V123" s="680" t="s">
        <v>4956</v>
      </c>
      <c r="W123" s="680">
        <v>7.0</v>
      </c>
      <c r="X123" s="686"/>
      <c r="Y123" s="686"/>
      <c r="Z123" s="686"/>
      <c r="AA123" s="669"/>
      <c r="AB123" s="730" t="s">
        <v>3778</v>
      </c>
      <c r="AC123" s="669"/>
    </row>
    <row r="124" ht="18.0" customHeight="1">
      <c r="A124" s="680" t="s">
        <v>4959</v>
      </c>
      <c r="B124" s="680" t="s">
        <v>857</v>
      </c>
      <c r="C124" s="680">
        <v>2025.0</v>
      </c>
      <c r="D124" s="681" t="s">
        <v>4143</v>
      </c>
      <c r="E124" s="680">
        <v>1.0</v>
      </c>
      <c r="F124" s="680">
        <v>254.0</v>
      </c>
      <c r="G124" s="680" t="s">
        <v>3808</v>
      </c>
      <c r="H124" s="680" t="s">
        <v>3808</v>
      </c>
      <c r="I124" s="680" t="s">
        <v>3879</v>
      </c>
      <c r="J124" s="680" t="s">
        <v>3755</v>
      </c>
      <c r="K124" s="680" t="s">
        <v>3758</v>
      </c>
      <c r="L124" s="680" t="s">
        <v>3755</v>
      </c>
      <c r="M124" s="680">
        <v>4.0</v>
      </c>
      <c r="N124" s="680">
        <v>2.0</v>
      </c>
      <c r="O124" s="680">
        <v>10.0</v>
      </c>
      <c r="P124" s="680" t="s">
        <v>3755</v>
      </c>
      <c r="Q124" s="666"/>
      <c r="R124" s="680">
        <v>94.0</v>
      </c>
      <c r="S124" s="680">
        <v>0.0</v>
      </c>
      <c r="T124" s="693">
        <f t="shared" si="9"/>
        <v>0</v>
      </c>
      <c r="U124" s="696"/>
      <c r="V124" s="686"/>
      <c r="W124" s="686"/>
      <c r="X124" s="686"/>
      <c r="Y124" s="686"/>
      <c r="Z124" s="686"/>
      <c r="AA124" s="669"/>
      <c r="AB124" s="176" t="s">
        <v>3882</v>
      </c>
      <c r="AC124" s="669"/>
    </row>
    <row r="125" ht="18.0" customHeight="1">
      <c r="A125" s="681" t="s">
        <v>4967</v>
      </c>
      <c r="B125" s="681" t="s">
        <v>3919</v>
      </c>
      <c r="C125" s="681">
        <v>2025.0</v>
      </c>
      <c r="D125" s="681" t="s">
        <v>3844</v>
      </c>
      <c r="E125" s="681">
        <v>1.0</v>
      </c>
      <c r="F125" s="681">
        <v>248.0</v>
      </c>
      <c r="G125" s="681" t="s">
        <v>4125</v>
      </c>
      <c r="H125" s="681">
        <v>545.0</v>
      </c>
      <c r="I125" s="725" t="s">
        <v>4834</v>
      </c>
      <c r="J125" s="681" t="s">
        <v>3755</v>
      </c>
      <c r="K125" s="681" t="s">
        <v>3755</v>
      </c>
      <c r="L125" s="681" t="s">
        <v>3755</v>
      </c>
      <c r="M125" s="681">
        <v>1.0</v>
      </c>
      <c r="N125" s="681">
        <v>2.0</v>
      </c>
      <c r="O125" s="681">
        <v>10.0</v>
      </c>
      <c r="P125" s="681" t="s">
        <v>3755</v>
      </c>
      <c r="Q125" s="659"/>
      <c r="R125" s="681">
        <v>70.0</v>
      </c>
      <c r="S125" s="681">
        <v>9.0</v>
      </c>
      <c r="T125" s="693">
        <f t="shared" si="9"/>
        <v>0.1285714286</v>
      </c>
      <c r="U125" s="717"/>
      <c r="V125" s="809"/>
      <c r="W125" s="681"/>
      <c r="X125" s="724"/>
      <c r="Y125" s="724"/>
      <c r="Z125" s="724"/>
      <c r="AA125" s="661"/>
      <c r="AB125" s="755"/>
      <c r="AC125" s="661"/>
    </row>
    <row r="126" ht="18.0" customHeight="1">
      <c r="A126" s="680" t="s">
        <v>4971</v>
      </c>
      <c r="B126" s="680" t="s">
        <v>857</v>
      </c>
      <c r="C126" s="680">
        <v>2025.0</v>
      </c>
      <c r="D126" s="681" t="s">
        <v>4019</v>
      </c>
      <c r="E126" s="680">
        <v>1.0</v>
      </c>
      <c r="F126" s="680">
        <v>254.0</v>
      </c>
      <c r="G126" s="680" t="s">
        <v>3808</v>
      </c>
      <c r="H126" s="680" t="s">
        <v>3808</v>
      </c>
      <c r="I126" s="680" t="s">
        <v>4834</v>
      </c>
      <c r="J126" s="680" t="s">
        <v>3755</v>
      </c>
      <c r="K126" s="680" t="s">
        <v>3755</v>
      </c>
      <c r="L126" s="680" t="s">
        <v>3755</v>
      </c>
      <c r="M126" s="680">
        <v>2.0</v>
      </c>
      <c r="N126" s="680">
        <v>16.0</v>
      </c>
      <c r="O126" s="680">
        <v>10.0</v>
      </c>
      <c r="P126" s="680" t="s">
        <v>3755</v>
      </c>
      <c r="Q126" s="666"/>
      <c r="R126" s="680">
        <v>59.0</v>
      </c>
      <c r="S126" s="680">
        <v>14.0</v>
      </c>
      <c r="T126" s="693">
        <f t="shared" si="9"/>
        <v>0.2372881356</v>
      </c>
      <c r="U126" s="691">
        <v>45458.0</v>
      </c>
      <c r="V126" s="708" t="s">
        <v>4978</v>
      </c>
      <c r="W126" s="680">
        <v>13.0</v>
      </c>
      <c r="X126" s="680">
        <v>1.0</v>
      </c>
      <c r="Y126" s="680">
        <v>5.0</v>
      </c>
      <c r="Z126" s="680">
        <v>1.0</v>
      </c>
      <c r="AA126" s="669"/>
      <c r="AB126" s="176"/>
      <c r="AC126" s="669"/>
    </row>
    <row r="127" ht="18.0" customHeight="1">
      <c r="A127" s="680" t="s">
        <v>4980</v>
      </c>
      <c r="B127" s="680" t="s">
        <v>3919</v>
      </c>
      <c r="C127" s="680">
        <v>2025.0</v>
      </c>
      <c r="D127" s="681" t="s">
        <v>1315</v>
      </c>
      <c r="E127" s="680">
        <v>1.0</v>
      </c>
      <c r="F127" s="680">
        <v>229.0</v>
      </c>
      <c r="G127" s="680" t="s">
        <v>4125</v>
      </c>
      <c r="H127" s="680">
        <v>479.0</v>
      </c>
      <c r="I127" s="680" t="s">
        <v>3812</v>
      </c>
      <c r="J127" s="680" t="s">
        <v>3755</v>
      </c>
      <c r="K127" s="680" t="s">
        <v>3755</v>
      </c>
      <c r="L127" s="680" t="s">
        <v>3758</v>
      </c>
      <c r="M127" s="680">
        <v>3.0</v>
      </c>
      <c r="N127" s="680">
        <v>5.0</v>
      </c>
      <c r="O127" s="680">
        <v>10.0</v>
      </c>
      <c r="P127" s="680" t="s">
        <v>3755</v>
      </c>
      <c r="Q127" s="666"/>
      <c r="R127" s="680">
        <v>78.0</v>
      </c>
      <c r="S127" s="680">
        <v>2.0</v>
      </c>
      <c r="T127" s="693">
        <f t="shared" si="9"/>
        <v>0.02564102564</v>
      </c>
      <c r="U127" s="696"/>
      <c r="V127" s="686"/>
      <c r="W127" s="686"/>
      <c r="X127" s="686"/>
      <c r="Y127" s="686"/>
      <c r="Z127" s="686"/>
      <c r="AA127" s="669"/>
      <c r="AB127" s="695"/>
      <c r="AC127" s="669"/>
    </row>
    <row r="128" ht="18.0" customHeight="1">
      <c r="A128" s="680" t="s">
        <v>4985</v>
      </c>
      <c r="B128" s="680" t="s">
        <v>3919</v>
      </c>
      <c r="C128" s="680">
        <v>2025.0</v>
      </c>
      <c r="D128" s="681" t="s">
        <v>4143</v>
      </c>
      <c r="E128" s="680">
        <v>1.0</v>
      </c>
      <c r="F128" s="680">
        <v>251.0</v>
      </c>
      <c r="G128" s="680" t="s">
        <v>4125</v>
      </c>
      <c r="H128" s="680">
        <v>614.0</v>
      </c>
      <c r="I128" s="680" t="s">
        <v>3812</v>
      </c>
      <c r="J128" s="680" t="s">
        <v>3758</v>
      </c>
      <c r="K128" s="680" t="s">
        <v>3758</v>
      </c>
      <c r="L128" s="680" t="s">
        <v>3755</v>
      </c>
      <c r="M128" s="680">
        <v>3.0</v>
      </c>
      <c r="N128" s="680">
        <v>17.0</v>
      </c>
      <c r="O128" s="680">
        <v>10.0</v>
      </c>
      <c r="P128" s="680" t="s">
        <v>3755</v>
      </c>
      <c r="Q128" s="666"/>
      <c r="R128" s="680">
        <v>75.0</v>
      </c>
      <c r="S128" s="680">
        <v>16.0</v>
      </c>
      <c r="T128" s="693">
        <f t="shared" si="9"/>
        <v>0.2133333333</v>
      </c>
      <c r="U128" s="691">
        <v>45550.0</v>
      </c>
      <c r="V128" s="708" t="s">
        <v>4990</v>
      </c>
      <c r="W128" s="686"/>
      <c r="X128" s="686"/>
      <c r="Y128" s="686"/>
      <c r="Z128" s="686"/>
      <c r="AA128" s="669"/>
      <c r="AB128" s="695"/>
      <c r="AC128" s="669"/>
    </row>
    <row r="129" ht="18.0" customHeight="1">
      <c r="A129" s="680" t="s">
        <v>4993</v>
      </c>
      <c r="B129" s="680" t="s">
        <v>3741</v>
      </c>
      <c r="C129" s="680">
        <v>2023.0</v>
      </c>
      <c r="D129" s="687" t="s">
        <v>3829</v>
      </c>
      <c r="E129" s="680">
        <v>1.0</v>
      </c>
      <c r="F129" s="680">
        <v>255.0</v>
      </c>
      <c r="G129" s="680" t="s">
        <v>3808</v>
      </c>
      <c r="H129" s="680" t="s">
        <v>3808</v>
      </c>
      <c r="I129" s="680" t="s">
        <v>3812</v>
      </c>
      <c r="J129" s="680" t="s">
        <v>3755</v>
      </c>
      <c r="K129" s="680" t="s">
        <v>3755</v>
      </c>
      <c r="L129" s="680" t="s">
        <v>3758</v>
      </c>
      <c r="M129" s="680">
        <v>8.0</v>
      </c>
      <c r="N129" s="680">
        <v>7.0</v>
      </c>
      <c r="O129" s="680">
        <v>10.0</v>
      </c>
      <c r="P129" s="680" t="s">
        <v>3755</v>
      </c>
      <c r="Q129" s="666"/>
      <c r="R129" s="680">
        <v>200.0</v>
      </c>
      <c r="S129" s="690">
        <v>1.0</v>
      </c>
      <c r="T129" s="693">
        <f t="shared" si="9"/>
        <v>0.005</v>
      </c>
      <c r="U129" s="688"/>
      <c r="V129" s="688"/>
      <c r="W129" s="680">
        <v>7.0</v>
      </c>
      <c r="X129" s="686"/>
      <c r="Y129" s="688"/>
      <c r="Z129" s="686"/>
      <c r="AA129" s="669"/>
      <c r="AB129" s="695"/>
      <c r="AC129" s="669"/>
    </row>
    <row r="130" ht="18.0" customHeight="1">
      <c r="A130" s="680" t="s">
        <v>4997</v>
      </c>
      <c r="B130" s="680" t="s">
        <v>3741</v>
      </c>
      <c r="C130" s="680">
        <v>2020.0</v>
      </c>
      <c r="D130" s="687" t="s">
        <v>3829</v>
      </c>
      <c r="E130" s="680">
        <v>1.0</v>
      </c>
      <c r="F130" s="680">
        <v>246.0</v>
      </c>
      <c r="G130" s="688"/>
      <c r="H130" s="688"/>
      <c r="I130" s="680" t="s">
        <v>3812</v>
      </c>
      <c r="J130" s="680" t="s">
        <v>3755</v>
      </c>
      <c r="K130" s="680" t="s">
        <v>3755</v>
      </c>
      <c r="L130" s="680" t="s">
        <v>3755</v>
      </c>
      <c r="M130" s="680">
        <v>0.0</v>
      </c>
      <c r="N130" s="680">
        <v>25.0</v>
      </c>
      <c r="O130" s="680">
        <v>10.0</v>
      </c>
      <c r="P130" s="680" t="s">
        <v>3755</v>
      </c>
      <c r="Q130" s="666"/>
      <c r="R130" s="680">
        <v>124.0</v>
      </c>
      <c r="S130" s="680">
        <v>7.0</v>
      </c>
      <c r="T130" s="693">
        <f t="shared" si="9"/>
        <v>0.0564516129</v>
      </c>
      <c r="U130" s="691">
        <v>45672.0</v>
      </c>
      <c r="AA130" s="669"/>
      <c r="AB130" s="176" t="s">
        <v>3778</v>
      </c>
      <c r="AC130" s="669"/>
    </row>
    <row r="131" ht="18.0" customHeight="1">
      <c r="A131" s="680" t="s">
        <v>5003</v>
      </c>
      <c r="B131" s="680" t="s">
        <v>857</v>
      </c>
      <c r="C131" s="680">
        <v>2025.0</v>
      </c>
      <c r="D131" s="681" t="s">
        <v>3995</v>
      </c>
      <c r="E131" s="680">
        <v>1.0</v>
      </c>
      <c r="F131" s="680">
        <v>255.0</v>
      </c>
      <c r="G131" s="680" t="s">
        <v>3808</v>
      </c>
      <c r="H131" s="680" t="s">
        <v>3808</v>
      </c>
      <c r="I131" s="680" t="s">
        <v>3893</v>
      </c>
      <c r="J131" s="680" t="s">
        <v>3755</v>
      </c>
      <c r="K131" s="680" t="s">
        <v>3755</v>
      </c>
      <c r="L131" s="680" t="s">
        <v>3758</v>
      </c>
      <c r="M131" s="680">
        <v>4.0</v>
      </c>
      <c r="N131" s="680">
        <v>3.0</v>
      </c>
      <c r="O131" s="680">
        <v>10.0</v>
      </c>
      <c r="P131" s="680" t="s">
        <v>3755</v>
      </c>
      <c r="Q131" s="666"/>
      <c r="R131" s="680">
        <v>80.0</v>
      </c>
      <c r="S131" s="680">
        <v>0.0</v>
      </c>
      <c r="T131" s="693">
        <f t="shared" si="9"/>
        <v>0</v>
      </c>
      <c r="U131" s="696"/>
      <c r="V131" s="698"/>
      <c r="W131" s="680"/>
      <c r="X131" s="680"/>
      <c r="Y131" s="686"/>
      <c r="Z131" s="680"/>
      <c r="AA131" s="669"/>
      <c r="AB131" s="176" t="s">
        <v>3882</v>
      </c>
      <c r="AC131" s="669"/>
    </row>
    <row r="132" ht="18.0" customHeight="1">
      <c r="A132" s="680" t="s">
        <v>5007</v>
      </c>
      <c r="B132" s="680" t="s">
        <v>857</v>
      </c>
      <c r="C132" s="680">
        <v>2025.0</v>
      </c>
      <c r="D132" s="681" t="s">
        <v>3844</v>
      </c>
      <c r="E132" s="680">
        <v>1.0</v>
      </c>
      <c r="F132" s="680">
        <v>267.0</v>
      </c>
      <c r="G132" s="680" t="s">
        <v>3808</v>
      </c>
      <c r="H132" s="680" t="s">
        <v>3808</v>
      </c>
      <c r="I132" s="686"/>
      <c r="J132" s="680" t="s">
        <v>3755</v>
      </c>
      <c r="K132" s="680" t="s">
        <v>3755</v>
      </c>
      <c r="L132" s="680" t="s">
        <v>3758</v>
      </c>
      <c r="M132" s="680">
        <v>2.0</v>
      </c>
      <c r="N132" s="680">
        <v>5.0</v>
      </c>
      <c r="O132" s="680">
        <v>8.0</v>
      </c>
      <c r="P132" s="680" t="s">
        <v>3755</v>
      </c>
      <c r="Q132" s="666"/>
      <c r="R132" s="680">
        <v>34.0</v>
      </c>
      <c r="S132" s="712">
        <v>8.0</v>
      </c>
      <c r="T132" s="693">
        <f t="shared" si="9"/>
        <v>0.2352941176</v>
      </c>
      <c r="U132" s="680"/>
      <c r="V132" s="753" t="s">
        <v>5012</v>
      </c>
      <c r="W132" s="680"/>
      <c r="X132" s="686"/>
      <c r="Y132" s="686"/>
      <c r="Z132" s="686"/>
      <c r="AA132" s="666"/>
      <c r="AB132" s="686"/>
      <c r="AC132" s="666"/>
    </row>
    <row r="133" ht="18.0" customHeight="1">
      <c r="A133" s="680" t="s">
        <v>5013</v>
      </c>
      <c r="B133" s="680" t="s">
        <v>857</v>
      </c>
      <c r="C133" s="680">
        <v>2025.0</v>
      </c>
      <c r="D133" s="681" t="s">
        <v>5014</v>
      </c>
      <c r="E133" s="680">
        <v>1.0</v>
      </c>
      <c r="F133" s="680">
        <v>255.0</v>
      </c>
      <c r="G133" s="680" t="s">
        <v>3808</v>
      </c>
      <c r="H133" s="680" t="s">
        <v>3808</v>
      </c>
      <c r="I133" s="680" t="s">
        <v>3893</v>
      </c>
      <c r="J133" s="680" t="s">
        <v>3755</v>
      </c>
      <c r="K133" s="680" t="s">
        <v>3755</v>
      </c>
      <c r="L133" s="680" t="s">
        <v>3755</v>
      </c>
      <c r="M133" s="680">
        <v>3.0</v>
      </c>
      <c r="N133" s="680">
        <v>11.0</v>
      </c>
      <c r="O133" s="680">
        <v>9.0</v>
      </c>
      <c r="P133" s="680" t="s">
        <v>3755</v>
      </c>
      <c r="Q133" s="666"/>
      <c r="R133" s="680">
        <v>110.0</v>
      </c>
      <c r="S133" s="712">
        <v>19.0</v>
      </c>
      <c r="T133" s="693">
        <f t="shared" si="9"/>
        <v>0.1727272727</v>
      </c>
      <c r="U133" s="691"/>
      <c r="V133" s="753"/>
      <c r="W133" s="680">
        <v>18.0</v>
      </c>
      <c r="X133" s="686"/>
      <c r="Y133" s="686"/>
      <c r="Z133" s="686"/>
      <c r="AA133" s="666"/>
      <c r="AB133" s="680" t="s">
        <v>3778</v>
      </c>
      <c r="AC133" s="666"/>
    </row>
    <row r="134" ht="18.0" customHeight="1">
      <c r="A134" s="680" t="s">
        <v>5016</v>
      </c>
      <c r="B134" s="680" t="s">
        <v>857</v>
      </c>
      <c r="C134" s="680">
        <v>2025.0</v>
      </c>
      <c r="D134" s="681" t="s">
        <v>5017</v>
      </c>
      <c r="E134" s="680">
        <v>1.0</v>
      </c>
      <c r="F134" s="680">
        <v>230.0</v>
      </c>
      <c r="G134" s="680" t="s">
        <v>3808</v>
      </c>
      <c r="H134" s="680" t="s">
        <v>3808</v>
      </c>
      <c r="I134" s="680" t="s">
        <v>3893</v>
      </c>
      <c r="J134" s="680" t="s">
        <v>3755</v>
      </c>
      <c r="K134" s="680" t="s">
        <v>3755</v>
      </c>
      <c r="L134" s="680" t="s">
        <v>3758</v>
      </c>
      <c r="M134" s="680">
        <v>1.0</v>
      </c>
      <c r="N134" s="680">
        <v>6.0</v>
      </c>
      <c r="O134" s="680">
        <v>9.0</v>
      </c>
      <c r="P134" s="680" t="s">
        <v>3755</v>
      </c>
      <c r="Q134" s="666"/>
      <c r="R134" s="680">
        <v>77.0</v>
      </c>
      <c r="S134" s="712">
        <v>2.0</v>
      </c>
      <c r="T134" s="693">
        <f t="shared" si="9"/>
        <v>0.02597402597</v>
      </c>
      <c r="U134" s="691"/>
      <c r="V134" s="680"/>
      <c r="W134" s="680"/>
      <c r="X134" s="680"/>
      <c r="Y134" s="680"/>
      <c r="Z134" s="680"/>
      <c r="AA134" s="666"/>
      <c r="AB134" s="680"/>
      <c r="AC134" s="666"/>
    </row>
    <row r="135" ht="18.0" customHeight="1">
      <c r="A135" s="680" t="s">
        <v>5021</v>
      </c>
      <c r="B135" s="680" t="s">
        <v>857</v>
      </c>
      <c r="C135" s="680">
        <v>2025.0</v>
      </c>
      <c r="D135" s="681" t="s">
        <v>5017</v>
      </c>
      <c r="E135" s="680">
        <v>1.0</v>
      </c>
      <c r="F135" s="680">
        <v>255.0</v>
      </c>
      <c r="G135" s="680" t="s">
        <v>3808</v>
      </c>
      <c r="H135" s="680" t="s">
        <v>3808</v>
      </c>
      <c r="I135" s="680" t="s">
        <v>3879</v>
      </c>
      <c r="J135" s="680" t="s">
        <v>3755</v>
      </c>
      <c r="K135" s="680" t="s">
        <v>3755</v>
      </c>
      <c r="L135" s="680" t="s">
        <v>3758</v>
      </c>
      <c r="M135" s="680">
        <v>5.0</v>
      </c>
      <c r="N135" s="680">
        <v>4.0</v>
      </c>
      <c r="O135" s="680">
        <v>7.0</v>
      </c>
      <c r="P135" s="680" t="s">
        <v>3755</v>
      </c>
      <c r="Q135" s="666"/>
      <c r="R135" s="680">
        <v>35.0</v>
      </c>
      <c r="S135" s="680">
        <v>10.0</v>
      </c>
      <c r="T135" s="693">
        <f t="shared" si="9"/>
        <v>0.2857142857</v>
      </c>
      <c r="U135" s="691">
        <v>45488.0</v>
      </c>
      <c r="V135" s="809" t="s">
        <v>5024</v>
      </c>
      <c r="W135" s="680">
        <v>10.0</v>
      </c>
      <c r="X135" s="680">
        <v>0.0</v>
      </c>
      <c r="Y135" s="680">
        <v>4.0</v>
      </c>
      <c r="Z135" s="680">
        <v>1.0</v>
      </c>
      <c r="AA135" s="669"/>
      <c r="AB135" s="176" t="s">
        <v>3778</v>
      </c>
      <c r="AC135" s="669"/>
    </row>
    <row r="136" ht="18.0" customHeight="1">
      <c r="A136" s="680" t="s">
        <v>5027</v>
      </c>
      <c r="B136" s="680" t="s">
        <v>3741</v>
      </c>
      <c r="C136" s="680">
        <v>2021.0</v>
      </c>
      <c r="D136" s="687" t="s">
        <v>3829</v>
      </c>
      <c r="E136" s="680">
        <v>1.0</v>
      </c>
      <c r="F136" s="680">
        <v>260.0</v>
      </c>
      <c r="G136" s="680" t="s">
        <v>3808</v>
      </c>
      <c r="H136" s="680" t="s">
        <v>3808</v>
      </c>
      <c r="I136" s="680" t="s">
        <v>3812</v>
      </c>
      <c r="J136" s="680" t="s">
        <v>3755</v>
      </c>
      <c r="K136" s="680" t="s">
        <v>3755</v>
      </c>
      <c r="L136" s="688"/>
      <c r="M136" s="688"/>
      <c r="N136" s="680">
        <v>1.0</v>
      </c>
      <c r="O136" s="680">
        <v>10.0</v>
      </c>
      <c r="P136" s="680" t="s">
        <v>3755</v>
      </c>
      <c r="Q136" s="666"/>
      <c r="R136" s="680">
        <v>61.0</v>
      </c>
      <c r="S136" s="690">
        <v>4.0</v>
      </c>
      <c r="T136" s="693">
        <f t="shared" si="9"/>
        <v>0.06557377049</v>
      </c>
      <c r="U136" s="691">
        <v>45397.0</v>
      </c>
      <c r="V136" s="711" t="s">
        <v>5032</v>
      </c>
      <c r="W136" s="688"/>
      <c r="X136" s="686"/>
      <c r="Y136" s="688"/>
      <c r="Z136" s="686"/>
      <c r="AA136" s="669"/>
      <c r="AB136" s="695"/>
      <c r="AC136" s="669"/>
    </row>
    <row r="137" ht="18.0" customHeight="1">
      <c r="A137" s="680" t="s">
        <v>5033</v>
      </c>
      <c r="B137" s="680" t="s">
        <v>857</v>
      </c>
      <c r="C137" s="680">
        <v>2025.0</v>
      </c>
      <c r="D137" s="681" t="s">
        <v>4143</v>
      </c>
      <c r="E137" s="680">
        <v>1.0</v>
      </c>
      <c r="F137" s="680">
        <v>228.0</v>
      </c>
      <c r="G137" s="680" t="s">
        <v>3808</v>
      </c>
      <c r="H137" s="680" t="s">
        <v>3808</v>
      </c>
      <c r="I137" s="680" t="s">
        <v>3879</v>
      </c>
      <c r="J137" s="680" t="s">
        <v>3755</v>
      </c>
      <c r="K137" s="680" t="s">
        <v>3758</v>
      </c>
      <c r="L137" s="680" t="s">
        <v>3755</v>
      </c>
      <c r="M137" s="680">
        <v>2.0</v>
      </c>
      <c r="N137" s="680">
        <v>36.0</v>
      </c>
      <c r="O137" s="680">
        <v>10.0</v>
      </c>
      <c r="P137" s="680" t="s">
        <v>3755</v>
      </c>
      <c r="Q137" s="666"/>
      <c r="R137" s="680">
        <v>137.0</v>
      </c>
      <c r="S137" s="680">
        <v>11.0</v>
      </c>
      <c r="T137" s="693">
        <f t="shared" si="9"/>
        <v>0.0802919708</v>
      </c>
      <c r="U137" s="691">
        <v>45366.0</v>
      </c>
      <c r="V137" s="728"/>
      <c r="W137" s="680"/>
      <c r="X137" s="686"/>
      <c r="Y137" s="680"/>
      <c r="Z137" s="686"/>
      <c r="AA137" s="669"/>
      <c r="AB137" s="695"/>
      <c r="AC137" s="669"/>
    </row>
    <row r="138" ht="17.25" customHeight="1">
      <c r="A138" s="680" t="s">
        <v>5039</v>
      </c>
      <c r="B138" s="680" t="s">
        <v>857</v>
      </c>
      <c r="C138" s="680">
        <v>2023.0</v>
      </c>
      <c r="D138" s="687" t="s">
        <v>3829</v>
      </c>
      <c r="E138" s="680">
        <v>1.0</v>
      </c>
      <c r="F138" s="680">
        <v>262.0</v>
      </c>
      <c r="G138" s="680" t="s">
        <v>3808</v>
      </c>
      <c r="H138" s="680" t="s">
        <v>3808</v>
      </c>
      <c r="I138" s="680" t="s">
        <v>3893</v>
      </c>
      <c r="J138" s="680" t="s">
        <v>3755</v>
      </c>
      <c r="K138" s="702" t="s">
        <v>3755</v>
      </c>
      <c r="L138" s="680" t="s">
        <v>3755</v>
      </c>
      <c r="M138" s="680">
        <v>2.0</v>
      </c>
      <c r="N138" s="680">
        <v>11.0</v>
      </c>
      <c r="O138" s="680">
        <v>10.0</v>
      </c>
      <c r="P138" s="680" t="s">
        <v>3755</v>
      </c>
      <c r="Q138" s="666"/>
      <c r="R138" s="680">
        <v>168.0</v>
      </c>
      <c r="S138" s="690">
        <v>10.0</v>
      </c>
      <c r="T138" s="693">
        <f t="shared" si="9"/>
        <v>0.05952380952</v>
      </c>
      <c r="U138" s="691">
        <v>45823.0</v>
      </c>
      <c r="V138" s="680" t="s">
        <v>5042</v>
      </c>
      <c r="W138" s="680" t="s">
        <v>5043</v>
      </c>
      <c r="X138" s="686"/>
      <c r="Y138" s="680"/>
      <c r="Z138" s="686"/>
      <c r="AA138" s="669"/>
      <c r="AB138" s="176" t="s">
        <v>3841</v>
      </c>
      <c r="AC138" s="669"/>
    </row>
    <row r="139" ht="18.0" customHeight="1">
      <c r="A139" s="680" t="s">
        <v>5045</v>
      </c>
      <c r="B139" s="680" t="s">
        <v>857</v>
      </c>
      <c r="C139" s="680">
        <v>2025.0</v>
      </c>
      <c r="D139" s="681" t="s">
        <v>5014</v>
      </c>
      <c r="E139" s="680">
        <v>1.0</v>
      </c>
      <c r="F139" s="680">
        <v>256.0</v>
      </c>
      <c r="G139" s="680" t="s">
        <v>3808</v>
      </c>
      <c r="H139" s="680" t="s">
        <v>3808</v>
      </c>
      <c r="I139" s="688"/>
      <c r="J139" s="680" t="s">
        <v>3758</v>
      </c>
      <c r="K139" s="680" t="s">
        <v>3755</v>
      </c>
      <c r="L139" s="680" t="s">
        <v>3758</v>
      </c>
      <c r="M139" s="680">
        <v>8.0</v>
      </c>
      <c r="N139" s="680">
        <v>8.0</v>
      </c>
      <c r="O139" s="680">
        <v>10.0</v>
      </c>
      <c r="P139" s="680" t="s">
        <v>3755</v>
      </c>
      <c r="Q139" s="666"/>
      <c r="R139" s="680">
        <v>45.0</v>
      </c>
      <c r="S139" s="684">
        <v>22.0</v>
      </c>
      <c r="T139" s="693">
        <f t="shared" si="9"/>
        <v>0.4888888889</v>
      </c>
      <c r="U139" s="680" t="s">
        <v>4025</v>
      </c>
      <c r="V139" s="710"/>
      <c r="W139" s="680"/>
      <c r="X139" s="686"/>
      <c r="Y139" s="686"/>
      <c r="Z139" s="686"/>
      <c r="AA139" s="669"/>
      <c r="AB139" s="176"/>
      <c r="AC139" s="669"/>
    </row>
    <row r="140" ht="18.0" customHeight="1">
      <c r="A140" s="680" t="s">
        <v>5049</v>
      </c>
      <c r="B140" s="680" t="s">
        <v>857</v>
      </c>
      <c r="C140" s="680">
        <v>2025.0</v>
      </c>
      <c r="D140" s="681" t="s">
        <v>5050</v>
      </c>
      <c r="E140" s="680">
        <v>1.0</v>
      </c>
      <c r="F140" s="680">
        <v>253.0</v>
      </c>
      <c r="G140" s="680" t="s">
        <v>3808</v>
      </c>
      <c r="H140" s="680" t="s">
        <v>3808</v>
      </c>
      <c r="I140" s="176" t="s">
        <v>3879</v>
      </c>
      <c r="J140" s="680" t="s">
        <v>3755</v>
      </c>
      <c r="K140" s="680" t="s">
        <v>3755</v>
      </c>
      <c r="L140" s="680" t="s">
        <v>3755</v>
      </c>
      <c r="M140" s="680">
        <v>5.0</v>
      </c>
      <c r="N140" s="680">
        <v>10.0</v>
      </c>
      <c r="O140" s="680">
        <v>10.0</v>
      </c>
      <c r="P140" s="680" t="s">
        <v>3755</v>
      </c>
      <c r="Q140" s="666"/>
      <c r="R140" s="680">
        <v>127.0</v>
      </c>
      <c r="S140" s="680">
        <v>0.0</v>
      </c>
      <c r="T140" s="693">
        <f t="shared" si="9"/>
        <v>0</v>
      </c>
      <c r="U140" s="680" t="s">
        <v>3823</v>
      </c>
      <c r="V140" s="686"/>
      <c r="W140" s="680"/>
      <c r="X140" s="686"/>
      <c r="Y140" s="680"/>
      <c r="Z140" s="680"/>
      <c r="AA140" s="669"/>
      <c r="AB140" s="176" t="s">
        <v>3882</v>
      </c>
      <c r="AC140" s="669"/>
    </row>
    <row r="141" ht="18.0" customHeight="1">
      <c r="A141" s="680" t="s">
        <v>5054</v>
      </c>
      <c r="B141" s="680" t="s">
        <v>857</v>
      </c>
      <c r="C141" s="680">
        <v>2025.0</v>
      </c>
      <c r="D141" s="681" t="s">
        <v>5014</v>
      </c>
      <c r="E141" s="680">
        <v>1.0</v>
      </c>
      <c r="F141" s="680">
        <v>252.0</v>
      </c>
      <c r="G141" s="680" t="s">
        <v>3808</v>
      </c>
      <c r="H141" s="680" t="s">
        <v>3808</v>
      </c>
      <c r="I141" s="688"/>
      <c r="J141" s="680" t="s">
        <v>3755</v>
      </c>
      <c r="K141" s="680" t="s">
        <v>3755</v>
      </c>
      <c r="L141" s="680" t="s">
        <v>3755</v>
      </c>
      <c r="M141" s="680">
        <v>1.0</v>
      </c>
      <c r="N141" s="680">
        <v>32.0</v>
      </c>
      <c r="O141" s="680">
        <v>10.0</v>
      </c>
      <c r="P141" s="680" t="s">
        <v>3755</v>
      </c>
      <c r="Q141" s="666"/>
      <c r="R141" s="680">
        <v>70.0</v>
      </c>
      <c r="S141" s="680">
        <v>1.0</v>
      </c>
      <c r="T141" s="693">
        <f t="shared" si="9"/>
        <v>0.01428571429</v>
      </c>
      <c r="U141" s="680"/>
      <c r="V141" s="680"/>
      <c r="W141" s="680"/>
      <c r="X141" s="680"/>
      <c r="Y141" s="680"/>
      <c r="Z141" s="686"/>
      <c r="AA141" s="669"/>
      <c r="AB141" s="695"/>
      <c r="AC141" s="669"/>
    </row>
    <row r="142" ht="18.75" customHeight="1">
      <c r="A142" s="680" t="s">
        <v>5061</v>
      </c>
      <c r="B142" s="680" t="s">
        <v>3919</v>
      </c>
      <c r="C142" s="680">
        <v>2025.0</v>
      </c>
      <c r="D142" s="681" t="s">
        <v>3844</v>
      </c>
      <c r="E142" s="680">
        <v>1.0</v>
      </c>
      <c r="F142" s="680">
        <v>247.0</v>
      </c>
      <c r="G142" s="680" t="s">
        <v>5064</v>
      </c>
      <c r="H142" s="680">
        <v>629.0</v>
      </c>
      <c r="I142" s="680" t="s">
        <v>3893</v>
      </c>
      <c r="J142" s="680" t="s">
        <v>3755</v>
      </c>
      <c r="K142" s="680" t="s">
        <v>3755</v>
      </c>
      <c r="L142" s="680" t="s">
        <v>3755</v>
      </c>
      <c r="M142" s="680">
        <v>0.0</v>
      </c>
      <c r="N142" s="680">
        <v>3.0</v>
      </c>
      <c r="O142" s="680">
        <v>10.0</v>
      </c>
      <c r="P142" s="680" t="s">
        <v>3755</v>
      </c>
      <c r="Q142" s="666"/>
      <c r="R142" s="680">
        <v>100.0</v>
      </c>
      <c r="S142" s="680">
        <v>6.0</v>
      </c>
      <c r="T142" s="693">
        <f t="shared" si="9"/>
        <v>0.06</v>
      </c>
      <c r="U142" s="691">
        <v>45337.0</v>
      </c>
      <c r="V142" s="686"/>
      <c r="W142" s="686"/>
      <c r="X142" s="686"/>
      <c r="Y142" s="686"/>
      <c r="Z142" s="686"/>
      <c r="AA142" s="669"/>
      <c r="AB142" s="695"/>
      <c r="AC142" s="669"/>
    </row>
    <row r="143" ht="18.0" customHeight="1">
      <c r="A143" s="680" t="s">
        <v>5070</v>
      </c>
      <c r="B143" s="680" t="s">
        <v>857</v>
      </c>
      <c r="C143" s="680">
        <v>2025.0</v>
      </c>
      <c r="D143" s="681" t="s">
        <v>5072</v>
      </c>
      <c r="E143" s="680">
        <v>1.0</v>
      </c>
      <c r="F143" s="680">
        <v>223.0</v>
      </c>
      <c r="G143" s="680" t="s">
        <v>3808</v>
      </c>
      <c r="H143" s="680" t="s">
        <v>4651</v>
      </c>
      <c r="I143" s="730" t="s">
        <v>3893</v>
      </c>
      <c r="J143" s="680" t="s">
        <v>3755</v>
      </c>
      <c r="K143" s="680" t="s">
        <v>3755</v>
      </c>
      <c r="L143" s="680" t="s">
        <v>3755</v>
      </c>
      <c r="M143" s="680">
        <v>0.0</v>
      </c>
      <c r="N143" s="680">
        <v>1.0</v>
      </c>
      <c r="O143" s="680">
        <v>3.0</v>
      </c>
      <c r="P143" s="680" t="s">
        <v>3755</v>
      </c>
      <c r="Q143" s="666"/>
      <c r="R143" s="680">
        <v>60.0</v>
      </c>
      <c r="S143" s="680">
        <v>9.0</v>
      </c>
      <c r="T143" s="693">
        <f t="shared" si="9"/>
        <v>0.15</v>
      </c>
      <c r="U143" s="691">
        <v>45427.0</v>
      </c>
      <c r="V143" s="707" t="s">
        <v>5075</v>
      </c>
      <c r="W143" s="680">
        <v>9.0</v>
      </c>
      <c r="X143" s="680">
        <v>0.0</v>
      </c>
      <c r="Y143" s="680">
        <v>4.0</v>
      </c>
      <c r="Z143" s="680">
        <v>0.0</v>
      </c>
      <c r="AA143" s="669"/>
      <c r="AB143" s="176" t="s">
        <v>3778</v>
      </c>
      <c r="AC143" s="669"/>
    </row>
    <row r="144" ht="18.0" customHeight="1">
      <c r="A144" s="680" t="s">
        <v>5076</v>
      </c>
      <c r="B144" s="680" t="s">
        <v>857</v>
      </c>
      <c r="C144" s="680">
        <v>2025.0</v>
      </c>
      <c r="D144" s="681" t="s">
        <v>5017</v>
      </c>
      <c r="E144" s="680">
        <v>1.0</v>
      </c>
      <c r="F144" s="680">
        <v>255.0</v>
      </c>
      <c r="G144" s="680" t="s">
        <v>4663</v>
      </c>
      <c r="H144" s="680" t="s">
        <v>4663</v>
      </c>
      <c r="I144" s="680" t="s">
        <v>3812</v>
      </c>
      <c r="J144" s="680" t="s">
        <v>3758</v>
      </c>
      <c r="K144" s="680" t="s">
        <v>3755</v>
      </c>
      <c r="L144" s="680" t="s">
        <v>3755</v>
      </c>
      <c r="M144" s="680">
        <v>6.0</v>
      </c>
      <c r="N144" s="680">
        <v>18.0</v>
      </c>
      <c r="O144" s="680">
        <v>10.0</v>
      </c>
      <c r="P144" s="680" t="s">
        <v>3755</v>
      </c>
      <c r="Q144" s="666"/>
      <c r="R144" s="680">
        <v>61.0</v>
      </c>
      <c r="S144" s="680">
        <v>13.0</v>
      </c>
      <c r="T144" s="693">
        <f t="shared" si="9"/>
        <v>0.2131147541</v>
      </c>
      <c r="U144" s="691">
        <v>45519.0</v>
      </c>
      <c r="V144" s="707" t="s">
        <v>5082</v>
      </c>
      <c r="W144" s="680">
        <v>13.0</v>
      </c>
      <c r="X144" s="680">
        <v>1.0</v>
      </c>
      <c r="Y144" s="680">
        <v>9.0</v>
      </c>
      <c r="Z144" s="680">
        <v>0.0</v>
      </c>
      <c r="AA144" s="669"/>
      <c r="AB144" s="176" t="s">
        <v>3778</v>
      </c>
      <c r="AC144" s="669"/>
    </row>
    <row r="145" ht="18.0" customHeight="1">
      <c r="A145" s="680" t="s">
        <v>5083</v>
      </c>
      <c r="B145" s="680" t="s">
        <v>857</v>
      </c>
      <c r="C145" s="680">
        <v>2025.0</v>
      </c>
      <c r="D145" s="681" t="s">
        <v>5017</v>
      </c>
      <c r="E145" s="680">
        <v>1.0</v>
      </c>
      <c r="F145" s="680">
        <v>262.0</v>
      </c>
      <c r="G145" s="688"/>
      <c r="H145" s="688"/>
      <c r="I145" s="680" t="s">
        <v>3812</v>
      </c>
      <c r="J145" s="680" t="s">
        <v>3758</v>
      </c>
      <c r="K145" s="680" t="s">
        <v>3755</v>
      </c>
      <c r="L145" s="680" t="s">
        <v>3758</v>
      </c>
      <c r="M145" s="680">
        <v>5.0</v>
      </c>
      <c r="N145" s="680">
        <v>1.0</v>
      </c>
      <c r="O145" s="680">
        <v>9.0</v>
      </c>
      <c r="P145" s="680" t="s">
        <v>3755</v>
      </c>
      <c r="Q145" s="666"/>
      <c r="R145" s="680">
        <v>62.0</v>
      </c>
      <c r="S145" s="680">
        <v>13.0</v>
      </c>
      <c r="T145" s="693">
        <f t="shared" si="9"/>
        <v>0.2096774194</v>
      </c>
      <c r="U145" s="691">
        <v>45550.0</v>
      </c>
      <c r="V145" s="686"/>
      <c r="W145" s="686"/>
      <c r="X145" s="686"/>
      <c r="Y145" s="686"/>
      <c r="Z145" s="686"/>
      <c r="AA145" s="669"/>
      <c r="AB145" s="695"/>
      <c r="AC145" s="669"/>
    </row>
    <row r="146" ht="18.0" customHeight="1">
      <c r="A146" s="680" t="s">
        <v>792</v>
      </c>
      <c r="B146" s="680" t="s">
        <v>857</v>
      </c>
      <c r="C146" s="680">
        <v>2020.0</v>
      </c>
      <c r="D146" s="687" t="s">
        <v>3829</v>
      </c>
      <c r="E146" s="680">
        <v>1.0</v>
      </c>
      <c r="F146" s="680">
        <v>246.0</v>
      </c>
      <c r="G146" s="680" t="s">
        <v>3808</v>
      </c>
      <c r="H146" s="680" t="s">
        <v>3808</v>
      </c>
      <c r="I146" s="680" t="s">
        <v>3879</v>
      </c>
      <c r="J146" s="680" t="s">
        <v>3755</v>
      </c>
      <c r="K146" s="680" t="s">
        <v>3755</v>
      </c>
      <c r="L146" s="680" t="s">
        <v>3758</v>
      </c>
      <c r="M146" s="680">
        <v>4.0</v>
      </c>
      <c r="N146" s="680">
        <v>23.0</v>
      </c>
      <c r="O146" s="680">
        <v>10.0</v>
      </c>
      <c r="P146" s="680" t="s">
        <v>3755</v>
      </c>
      <c r="Q146" s="666"/>
      <c r="R146" s="680">
        <v>171.0</v>
      </c>
      <c r="S146" s="680">
        <v>0.0</v>
      </c>
      <c r="T146" s="693">
        <f t="shared" si="9"/>
        <v>0</v>
      </c>
      <c r="U146" s="696"/>
      <c r="V146" s="686"/>
      <c r="W146" s="686"/>
      <c r="X146" s="686"/>
      <c r="Y146" s="686"/>
      <c r="Z146" s="686"/>
      <c r="AA146" s="669"/>
      <c r="AB146" s="176" t="s">
        <v>3882</v>
      </c>
      <c r="AC146" s="669"/>
    </row>
    <row r="147" ht="18.0" customHeight="1">
      <c r="A147" s="680" t="s">
        <v>5092</v>
      </c>
      <c r="B147" s="680" t="s">
        <v>857</v>
      </c>
      <c r="C147" s="680">
        <v>2025.0</v>
      </c>
      <c r="D147" s="681" t="s">
        <v>3844</v>
      </c>
      <c r="E147" s="680">
        <v>1.0</v>
      </c>
      <c r="F147" s="680">
        <v>275.0</v>
      </c>
      <c r="G147" s="680" t="s">
        <v>4651</v>
      </c>
      <c r="H147" s="680" t="s">
        <v>4651</v>
      </c>
      <c r="I147" s="680" t="s">
        <v>3879</v>
      </c>
      <c r="J147" s="680" t="s">
        <v>3758</v>
      </c>
      <c r="K147" s="680" t="s">
        <v>3755</v>
      </c>
      <c r="L147" s="680" t="s">
        <v>3758</v>
      </c>
      <c r="M147" s="680">
        <v>4.0</v>
      </c>
      <c r="N147" s="680">
        <v>5.0</v>
      </c>
      <c r="O147" s="680">
        <v>8.0</v>
      </c>
      <c r="P147" s="680" t="s">
        <v>3758</v>
      </c>
      <c r="Q147" s="666"/>
      <c r="R147" s="680">
        <v>69.0</v>
      </c>
      <c r="S147" s="680">
        <v>11.0</v>
      </c>
      <c r="T147" s="693">
        <f t="shared" si="9"/>
        <v>0.1594202899</v>
      </c>
      <c r="U147" s="691">
        <v>45792.0</v>
      </c>
      <c r="V147" s="757" t="s">
        <v>5095</v>
      </c>
      <c r="W147" s="680">
        <v>10.0</v>
      </c>
      <c r="X147" s="680">
        <v>0.0</v>
      </c>
      <c r="Y147" s="680"/>
      <c r="Z147" s="680">
        <v>0.0</v>
      </c>
      <c r="AA147" s="669"/>
      <c r="AB147" s="176" t="s">
        <v>3778</v>
      </c>
      <c r="AC147" s="669"/>
    </row>
    <row r="148" ht="18.0" customHeight="1">
      <c r="A148" s="680" t="s">
        <v>5097</v>
      </c>
      <c r="B148" s="680" t="s">
        <v>3919</v>
      </c>
      <c r="C148" s="680">
        <v>2025.0</v>
      </c>
      <c r="D148" s="681" t="s">
        <v>4353</v>
      </c>
      <c r="E148" s="680">
        <v>1.0</v>
      </c>
      <c r="F148" s="712">
        <v>257.0</v>
      </c>
      <c r="G148" s="680" t="s">
        <v>4197</v>
      </c>
      <c r="H148" s="680">
        <v>660.0</v>
      </c>
      <c r="I148" s="176" t="s">
        <v>3812</v>
      </c>
      <c r="J148" s="176" t="s">
        <v>3758</v>
      </c>
      <c r="K148" s="176" t="s">
        <v>3758</v>
      </c>
      <c r="L148" s="680" t="s">
        <v>3758</v>
      </c>
      <c r="M148" s="680">
        <v>7.0</v>
      </c>
      <c r="N148" s="680">
        <v>3.0</v>
      </c>
      <c r="O148" s="680">
        <v>10.0</v>
      </c>
      <c r="P148" s="680" t="s">
        <v>3755</v>
      </c>
      <c r="Q148" s="666"/>
      <c r="R148" s="680">
        <v>48.0</v>
      </c>
      <c r="S148" s="680">
        <v>15.0</v>
      </c>
      <c r="T148" s="693">
        <f t="shared" si="9"/>
        <v>0.3125</v>
      </c>
      <c r="U148" s="696"/>
      <c r="V148" s="753"/>
      <c r="W148" s="680">
        <v>13.0</v>
      </c>
      <c r="X148" s="680">
        <v>2.0</v>
      </c>
      <c r="Y148" s="688"/>
      <c r="Z148" s="680"/>
      <c r="AA148" s="669"/>
      <c r="AB148" s="695"/>
      <c r="AC148" s="669"/>
    </row>
    <row r="149" ht="18.0" customHeight="1">
      <c r="A149" s="680" t="s">
        <v>5100</v>
      </c>
      <c r="B149" s="680" t="s">
        <v>857</v>
      </c>
      <c r="C149" s="680">
        <v>2025.0</v>
      </c>
      <c r="D149" s="681" t="s">
        <v>5102</v>
      </c>
      <c r="E149" s="680">
        <v>1.0</v>
      </c>
      <c r="F149" s="680">
        <v>242.0</v>
      </c>
      <c r="G149" s="680" t="s">
        <v>3808</v>
      </c>
      <c r="H149" s="680" t="s">
        <v>3808</v>
      </c>
      <c r="I149" s="686"/>
      <c r="J149" s="680" t="s">
        <v>3755</v>
      </c>
      <c r="K149" s="680" t="s">
        <v>3755</v>
      </c>
      <c r="L149" s="680" t="s">
        <v>3755</v>
      </c>
      <c r="M149" s="680">
        <v>0.0</v>
      </c>
      <c r="N149" s="680">
        <v>14.0</v>
      </c>
      <c r="O149" s="680">
        <v>10.0</v>
      </c>
      <c r="P149" s="680" t="s">
        <v>3755</v>
      </c>
      <c r="Q149" s="666"/>
      <c r="R149" s="680">
        <v>171.0</v>
      </c>
      <c r="S149" s="680">
        <v>14.0</v>
      </c>
      <c r="T149" s="693">
        <f t="shared" si="9"/>
        <v>0.08187134503</v>
      </c>
      <c r="U149" s="691">
        <v>45762.0</v>
      </c>
      <c r="V149" s="694" t="s">
        <v>5103</v>
      </c>
      <c r="W149" s="688"/>
      <c r="X149" s="688"/>
      <c r="Y149" s="688"/>
      <c r="Z149" s="688"/>
      <c r="AA149" s="669"/>
      <c r="AB149" s="695"/>
      <c r="AC149" s="669"/>
    </row>
    <row r="150" ht="18.75" customHeight="1">
      <c r="A150" s="680" t="s">
        <v>5104</v>
      </c>
      <c r="B150" s="680" t="s">
        <v>3919</v>
      </c>
      <c r="C150" s="680">
        <v>2025.0</v>
      </c>
      <c r="D150" s="681" t="s">
        <v>4143</v>
      </c>
      <c r="E150" s="680">
        <v>1.0</v>
      </c>
      <c r="F150" s="680">
        <v>260.0</v>
      </c>
      <c r="G150" s="680" t="s">
        <v>4197</v>
      </c>
      <c r="H150" s="680">
        <v>648.0</v>
      </c>
      <c r="I150" s="680" t="s">
        <v>3812</v>
      </c>
      <c r="J150" s="680" t="s">
        <v>3755</v>
      </c>
      <c r="K150" s="680" t="s">
        <v>3755</v>
      </c>
      <c r="L150" s="680" t="s">
        <v>3755</v>
      </c>
      <c r="M150" s="680">
        <v>5.0</v>
      </c>
      <c r="N150" s="680">
        <v>10.0</v>
      </c>
      <c r="O150" s="680">
        <v>10.0</v>
      </c>
      <c r="P150" s="680" t="s">
        <v>3755</v>
      </c>
      <c r="Q150" s="666"/>
      <c r="R150" s="680">
        <v>74.0</v>
      </c>
      <c r="S150" s="680">
        <v>11.0</v>
      </c>
      <c r="T150" s="693">
        <f t="shared" si="9"/>
        <v>0.1486486486</v>
      </c>
      <c r="U150" s="691">
        <v>45853.0</v>
      </c>
      <c r="V150" s="680" t="s">
        <v>5106</v>
      </c>
      <c r="W150" s="680">
        <v>10.0</v>
      </c>
      <c r="X150" s="686"/>
      <c r="Y150" s="686"/>
      <c r="Z150" s="686"/>
      <c r="AA150" s="669"/>
      <c r="AB150" s="176" t="s">
        <v>3778</v>
      </c>
      <c r="AC150" s="669"/>
    </row>
    <row r="151" ht="18.0" customHeight="1">
      <c r="A151" s="680" t="s">
        <v>5107</v>
      </c>
      <c r="B151" s="680" t="s">
        <v>3741</v>
      </c>
      <c r="C151" s="680">
        <v>2024.0</v>
      </c>
      <c r="D151" s="687" t="s">
        <v>3829</v>
      </c>
      <c r="E151" s="680">
        <v>1.0</v>
      </c>
      <c r="F151" s="680">
        <v>221.0</v>
      </c>
      <c r="G151" s="680" t="s">
        <v>4651</v>
      </c>
      <c r="H151" s="680" t="s">
        <v>4651</v>
      </c>
      <c r="I151" s="680" t="s">
        <v>3879</v>
      </c>
      <c r="J151" s="680" t="s">
        <v>3755</v>
      </c>
      <c r="K151" s="680" t="s">
        <v>3755</v>
      </c>
      <c r="L151" s="680" t="s">
        <v>3755</v>
      </c>
      <c r="M151" s="680">
        <v>0.0</v>
      </c>
      <c r="N151" s="680">
        <v>9.0</v>
      </c>
      <c r="O151" s="680">
        <v>9.0</v>
      </c>
      <c r="P151" s="680" t="s">
        <v>3755</v>
      </c>
      <c r="Q151" s="666"/>
      <c r="R151" s="680">
        <v>180.0</v>
      </c>
      <c r="S151" s="690">
        <v>1.0</v>
      </c>
      <c r="T151" s="693" t="str">
        <f>#REF!/#REF!</f>
        <v>#REF!</v>
      </c>
      <c r="U151" s="691">
        <v>45306.0</v>
      </c>
      <c r="V151" s="680" t="s">
        <v>446</v>
      </c>
      <c r="W151" s="680">
        <v>1.0</v>
      </c>
      <c r="X151" s="686"/>
      <c r="Y151" s="680">
        <v>3.0</v>
      </c>
      <c r="Z151" s="686"/>
      <c r="AA151" s="669"/>
      <c r="AB151" s="695"/>
      <c r="AC151" s="669"/>
    </row>
    <row r="152">
      <c r="A152" s="680" t="s">
        <v>5113</v>
      </c>
      <c r="B152" s="680" t="s">
        <v>857</v>
      </c>
      <c r="C152" s="680">
        <v>2025.0</v>
      </c>
      <c r="D152" s="681" t="s">
        <v>5014</v>
      </c>
      <c r="E152" s="680">
        <v>1.0</v>
      </c>
      <c r="F152" s="680">
        <v>252.0</v>
      </c>
      <c r="G152" s="680" t="s">
        <v>4651</v>
      </c>
      <c r="H152" s="680" t="s">
        <v>4651</v>
      </c>
      <c r="I152" s="680" t="s">
        <v>3879</v>
      </c>
      <c r="J152" s="680" t="s">
        <v>3755</v>
      </c>
      <c r="K152" s="680" t="s">
        <v>3755</v>
      </c>
      <c r="L152" s="680" t="s">
        <v>3758</v>
      </c>
      <c r="M152" s="680">
        <v>6.0</v>
      </c>
      <c r="N152" s="680">
        <v>1.0</v>
      </c>
      <c r="O152" s="680">
        <v>10.0</v>
      </c>
      <c r="P152" s="680" t="s">
        <v>3755</v>
      </c>
      <c r="Q152" s="666"/>
      <c r="R152" s="680">
        <v>80.0</v>
      </c>
      <c r="S152" s="680">
        <v>20.0</v>
      </c>
      <c r="T152" s="693">
        <f t="shared" ref="T152:T206" si="10">S152/R152</f>
        <v>0.25</v>
      </c>
      <c r="U152" s="691">
        <v>45550.0</v>
      </c>
      <c r="V152" s="680" t="s">
        <v>5118</v>
      </c>
      <c r="W152" s="680">
        <v>20.0</v>
      </c>
      <c r="X152" s="680">
        <v>0.0</v>
      </c>
      <c r="Y152" s="680"/>
      <c r="Z152" s="680">
        <v>1.0</v>
      </c>
      <c r="AA152" s="669"/>
      <c r="AB152" s="176" t="s">
        <v>3778</v>
      </c>
      <c r="AC152" s="669"/>
    </row>
    <row r="153" ht="18.0" customHeight="1">
      <c r="A153" s="680" t="s">
        <v>5120</v>
      </c>
      <c r="B153" s="680" t="s">
        <v>3919</v>
      </c>
      <c r="C153" s="680">
        <v>2025.0</v>
      </c>
      <c r="D153" s="681" t="s">
        <v>3844</v>
      </c>
      <c r="E153" s="680" t="s">
        <v>3808</v>
      </c>
      <c r="F153" s="680">
        <v>249.0</v>
      </c>
      <c r="G153" s="680" t="s">
        <v>4197</v>
      </c>
      <c r="H153" s="680">
        <v>659.0</v>
      </c>
      <c r="I153" s="176" t="s">
        <v>3812</v>
      </c>
      <c r="J153" s="680" t="s">
        <v>3758</v>
      </c>
      <c r="K153" s="680" t="s">
        <v>3755</v>
      </c>
      <c r="L153" s="680" t="s">
        <v>3758</v>
      </c>
      <c r="M153" s="680">
        <v>8.0</v>
      </c>
      <c r="N153" s="680">
        <v>2.0</v>
      </c>
      <c r="O153" s="680">
        <v>10.0</v>
      </c>
      <c r="P153" s="680" t="s">
        <v>3755</v>
      </c>
      <c r="Q153" s="666"/>
      <c r="R153" s="680">
        <v>62.0</v>
      </c>
      <c r="S153" s="680">
        <v>18.0</v>
      </c>
      <c r="T153" s="693">
        <f t="shared" si="10"/>
        <v>0.2903225806</v>
      </c>
      <c r="U153" s="696"/>
      <c r="V153" s="686"/>
      <c r="W153" s="680"/>
      <c r="X153" s="680"/>
      <c r="Y153" s="680"/>
      <c r="Z153" s="680"/>
      <c r="AA153" s="669"/>
      <c r="AB153" s="176"/>
      <c r="AC153" s="669"/>
    </row>
    <row r="154" ht="18.0" customHeight="1">
      <c r="A154" s="680" t="s">
        <v>5128</v>
      </c>
      <c r="B154" s="680" t="s">
        <v>857</v>
      </c>
      <c r="C154" s="680">
        <v>2022.0</v>
      </c>
      <c r="D154" s="687" t="s">
        <v>3829</v>
      </c>
      <c r="E154" s="680">
        <v>1.0</v>
      </c>
      <c r="F154" s="712">
        <v>238.0</v>
      </c>
      <c r="G154" s="680" t="s">
        <v>4651</v>
      </c>
      <c r="H154" s="680" t="s">
        <v>4651</v>
      </c>
      <c r="I154" s="176" t="s">
        <v>3812</v>
      </c>
      <c r="J154" s="680" t="s">
        <v>3755</v>
      </c>
      <c r="K154" s="680" t="s">
        <v>3755</v>
      </c>
      <c r="L154" s="680" t="s">
        <v>3755</v>
      </c>
      <c r="M154" s="680">
        <v>0.0</v>
      </c>
      <c r="N154" s="680">
        <v>48.0</v>
      </c>
      <c r="O154" s="680">
        <v>10.0</v>
      </c>
      <c r="P154" s="680" t="s">
        <v>3755</v>
      </c>
      <c r="Q154" s="666"/>
      <c r="R154" s="680">
        <v>180.0</v>
      </c>
      <c r="S154" s="690">
        <v>3.0</v>
      </c>
      <c r="T154" s="693">
        <f t="shared" si="10"/>
        <v>0.01666666667</v>
      </c>
      <c r="U154" s="691">
        <v>45337.0</v>
      </c>
      <c r="V154" s="680" t="s">
        <v>5134</v>
      </c>
      <c r="W154" s="680"/>
      <c r="X154" s="680"/>
      <c r="Y154" s="680"/>
      <c r="Z154" s="680"/>
      <c r="AA154" s="669"/>
      <c r="AB154" s="695"/>
      <c r="AC154" s="669"/>
    </row>
    <row r="155" ht="18.0" customHeight="1">
      <c r="A155" s="680" t="s">
        <v>5137</v>
      </c>
      <c r="B155" s="680" t="s">
        <v>857</v>
      </c>
      <c r="C155" s="680">
        <v>2024.0</v>
      </c>
      <c r="D155" s="687" t="s">
        <v>3829</v>
      </c>
      <c r="E155" s="680">
        <v>1.0</v>
      </c>
      <c r="F155" s="680">
        <v>257.0</v>
      </c>
      <c r="G155" s="680" t="s">
        <v>4651</v>
      </c>
      <c r="H155" s="680" t="s">
        <v>4651</v>
      </c>
      <c r="I155" s="695"/>
      <c r="J155" s="688"/>
      <c r="K155" s="688"/>
      <c r="L155" s="688"/>
      <c r="M155" s="688"/>
      <c r="N155" s="680">
        <v>6.0</v>
      </c>
      <c r="O155" s="680">
        <v>10.0</v>
      </c>
      <c r="P155" s="680" t="s">
        <v>3755</v>
      </c>
      <c r="Q155" s="666"/>
      <c r="R155" s="680">
        <v>54.0</v>
      </c>
      <c r="S155" s="690">
        <v>3.0</v>
      </c>
      <c r="T155" s="693">
        <f t="shared" si="10"/>
        <v>0.05555555556</v>
      </c>
      <c r="U155" s="691">
        <v>45337.0</v>
      </c>
      <c r="V155" s="680" t="s">
        <v>5143</v>
      </c>
      <c r="W155" s="680"/>
      <c r="X155" s="680"/>
      <c r="Y155" s="688"/>
      <c r="Z155" s="680"/>
      <c r="AA155" s="669"/>
      <c r="AB155" s="176" t="s">
        <v>3778</v>
      </c>
      <c r="AC155" s="669"/>
    </row>
    <row r="156" ht="18.0" customHeight="1">
      <c r="A156" s="680" t="s">
        <v>5145</v>
      </c>
      <c r="B156" s="680" t="s">
        <v>857</v>
      </c>
      <c r="C156" s="680">
        <v>2025.0</v>
      </c>
      <c r="D156" s="681" t="s">
        <v>4143</v>
      </c>
      <c r="E156" s="680">
        <v>1.0</v>
      </c>
      <c r="F156" s="680">
        <v>232.0</v>
      </c>
      <c r="G156" s="680" t="s">
        <v>4651</v>
      </c>
      <c r="H156" s="680" t="s">
        <v>4651</v>
      </c>
      <c r="I156" s="686"/>
      <c r="J156" s="680" t="s">
        <v>3755</v>
      </c>
      <c r="K156" s="680" t="s">
        <v>3755</v>
      </c>
      <c r="L156" s="680" t="s">
        <v>3755</v>
      </c>
      <c r="M156" s="680">
        <v>3.0</v>
      </c>
      <c r="N156" s="680">
        <v>5.0</v>
      </c>
      <c r="O156" s="680">
        <v>10.0</v>
      </c>
      <c r="P156" s="680" t="s">
        <v>3755</v>
      </c>
      <c r="Q156" s="666"/>
      <c r="R156" s="680">
        <v>141.0</v>
      </c>
      <c r="S156" s="712">
        <v>15.0</v>
      </c>
      <c r="T156" s="693">
        <f t="shared" si="10"/>
        <v>0.1063829787</v>
      </c>
      <c r="U156" s="691">
        <v>45337.0</v>
      </c>
      <c r="V156" s="680" t="s">
        <v>5150</v>
      </c>
      <c r="W156" s="680">
        <v>15.0</v>
      </c>
      <c r="X156" s="680">
        <v>0.0</v>
      </c>
      <c r="Y156" s="680">
        <v>7.0</v>
      </c>
      <c r="Z156" s="680">
        <v>1.0</v>
      </c>
      <c r="AA156" s="666"/>
      <c r="AB156" s="680" t="s">
        <v>3778</v>
      </c>
      <c r="AC156" s="666"/>
    </row>
    <row r="157" ht="18.0" customHeight="1">
      <c r="A157" s="680" t="s">
        <v>5152</v>
      </c>
      <c r="B157" s="680" t="s">
        <v>857</v>
      </c>
      <c r="C157" s="680">
        <v>2022.0</v>
      </c>
      <c r="D157" s="687" t="s">
        <v>3829</v>
      </c>
      <c r="E157" s="680">
        <v>1.0</v>
      </c>
      <c r="F157" s="680">
        <v>263.0</v>
      </c>
      <c r="G157" s="680" t="s">
        <v>4651</v>
      </c>
      <c r="H157" s="680" t="s">
        <v>4651</v>
      </c>
      <c r="I157" s="680" t="s">
        <v>3812</v>
      </c>
      <c r="J157" s="680" t="s">
        <v>3755</v>
      </c>
      <c r="K157" s="680" t="s">
        <v>3755</v>
      </c>
      <c r="L157" s="680" t="s">
        <v>3755</v>
      </c>
      <c r="M157" s="680">
        <v>2.0</v>
      </c>
      <c r="N157" s="680">
        <v>20.0</v>
      </c>
      <c r="O157" s="680">
        <v>8.0</v>
      </c>
      <c r="P157" s="680" t="s">
        <v>3755</v>
      </c>
      <c r="Q157" s="666"/>
      <c r="R157" s="680">
        <v>180.0</v>
      </c>
      <c r="S157" s="852">
        <v>14.0</v>
      </c>
      <c r="T157" s="693">
        <f t="shared" si="10"/>
        <v>0.07777777778</v>
      </c>
      <c r="U157" s="691">
        <v>45366.0</v>
      </c>
      <c r="V157" s="680"/>
      <c r="W157" s="680"/>
      <c r="X157" s="680"/>
      <c r="Y157" s="680"/>
      <c r="Z157" s="680">
        <v>1.0</v>
      </c>
      <c r="AA157" s="666"/>
      <c r="AB157" s="680"/>
      <c r="AC157" s="666"/>
    </row>
    <row r="158" ht="18.0" customHeight="1">
      <c r="A158" s="680" t="s">
        <v>5157</v>
      </c>
      <c r="B158" s="680" t="s">
        <v>857</v>
      </c>
      <c r="C158" s="680">
        <v>2025.0</v>
      </c>
      <c r="D158" s="681" t="s">
        <v>5160</v>
      </c>
      <c r="E158" s="680">
        <v>1.0</v>
      </c>
      <c r="F158" s="680">
        <v>249.0</v>
      </c>
      <c r="G158" s="680" t="s">
        <v>4651</v>
      </c>
      <c r="H158" s="680" t="s">
        <v>4651</v>
      </c>
      <c r="I158" s="680"/>
      <c r="J158" s="680" t="s">
        <v>3755</v>
      </c>
      <c r="K158" s="680" t="s">
        <v>3755</v>
      </c>
      <c r="L158" s="680" t="s">
        <v>3755</v>
      </c>
      <c r="M158" s="680">
        <v>0.0</v>
      </c>
      <c r="N158" s="680">
        <v>4.0</v>
      </c>
      <c r="O158" s="680">
        <v>10.0</v>
      </c>
      <c r="P158" s="680" t="s">
        <v>3755</v>
      </c>
      <c r="Q158" s="666"/>
      <c r="R158" s="680">
        <v>77.0</v>
      </c>
      <c r="S158" s="712">
        <v>16.0</v>
      </c>
      <c r="T158" s="693">
        <f t="shared" si="10"/>
        <v>0.2077922078</v>
      </c>
      <c r="U158" s="691">
        <v>45458.0</v>
      </c>
      <c r="V158" s="711" t="s">
        <v>5162</v>
      </c>
      <c r="W158" s="680">
        <v>15.0</v>
      </c>
      <c r="X158" s="680">
        <v>1.0</v>
      </c>
      <c r="Y158" s="680">
        <v>9.0</v>
      </c>
      <c r="Z158" s="680">
        <v>2.0</v>
      </c>
      <c r="AA158" s="666"/>
      <c r="AB158" s="680" t="s">
        <v>3778</v>
      </c>
      <c r="AC158" s="666"/>
    </row>
    <row r="159" ht="18.0" customHeight="1">
      <c r="A159" s="680" t="s">
        <v>5165</v>
      </c>
      <c r="B159" s="680" t="s">
        <v>857</v>
      </c>
      <c r="C159" s="680">
        <v>2025.0</v>
      </c>
      <c r="D159" s="681" t="s">
        <v>5167</v>
      </c>
      <c r="E159" s="680">
        <v>1.0</v>
      </c>
      <c r="F159" s="680">
        <v>258.0</v>
      </c>
      <c r="G159" s="680" t="s">
        <v>4651</v>
      </c>
      <c r="H159" s="680" t="s">
        <v>4651</v>
      </c>
      <c r="I159" s="680" t="s">
        <v>3879</v>
      </c>
      <c r="J159" s="680" t="s">
        <v>3755</v>
      </c>
      <c r="K159" s="680" t="s">
        <v>3755</v>
      </c>
      <c r="L159" s="680" t="s">
        <v>3758</v>
      </c>
      <c r="M159" s="680">
        <v>2.0</v>
      </c>
      <c r="N159" s="680">
        <v>5.0</v>
      </c>
      <c r="O159" s="680">
        <v>10.0</v>
      </c>
      <c r="P159" s="680" t="s">
        <v>3758</v>
      </c>
      <c r="Q159" s="666"/>
      <c r="R159" s="680">
        <v>85.0</v>
      </c>
      <c r="S159" s="680">
        <v>15.0</v>
      </c>
      <c r="T159" s="693">
        <f t="shared" si="10"/>
        <v>0.1764705882</v>
      </c>
      <c r="U159" s="691">
        <v>45427.0</v>
      </c>
      <c r="V159" s="708" t="s">
        <v>5170</v>
      </c>
      <c r="W159" s="680">
        <v>15.0</v>
      </c>
      <c r="X159" s="686"/>
      <c r="Y159" s="686"/>
      <c r="Z159" s="686"/>
      <c r="AA159" s="669"/>
      <c r="AB159" s="176" t="s">
        <v>3778</v>
      </c>
      <c r="AC159" s="669"/>
    </row>
    <row r="160" ht="18.0" customHeight="1">
      <c r="A160" s="680" t="s">
        <v>5172</v>
      </c>
      <c r="B160" s="680" t="s">
        <v>3919</v>
      </c>
      <c r="C160" s="680">
        <v>2025.0</v>
      </c>
      <c r="D160" s="681" t="s">
        <v>4143</v>
      </c>
      <c r="E160" s="680">
        <v>1.0</v>
      </c>
      <c r="F160" s="680">
        <v>236.0</v>
      </c>
      <c r="G160" s="680" t="s">
        <v>4197</v>
      </c>
      <c r="H160" s="680">
        <v>528.0</v>
      </c>
      <c r="I160" s="176" t="s">
        <v>3812</v>
      </c>
      <c r="J160" s="680" t="s">
        <v>3755</v>
      </c>
      <c r="K160" s="680" t="s">
        <v>3755</v>
      </c>
      <c r="L160" s="680" t="s">
        <v>3758</v>
      </c>
      <c r="M160" s="680">
        <v>6.0</v>
      </c>
      <c r="N160" s="680">
        <v>6.0</v>
      </c>
      <c r="O160" s="680">
        <v>10.0</v>
      </c>
      <c r="P160" s="680" t="s">
        <v>3755</v>
      </c>
      <c r="Q160" s="666"/>
      <c r="R160" s="680">
        <v>82.0</v>
      </c>
      <c r="S160" s="680">
        <v>14.0</v>
      </c>
      <c r="T160" s="693">
        <f t="shared" si="10"/>
        <v>0.1707317073</v>
      </c>
      <c r="U160" s="691">
        <v>45884.0</v>
      </c>
      <c r="V160" s="680" t="s">
        <v>5176</v>
      </c>
      <c r="W160" s="680">
        <v>14.0</v>
      </c>
      <c r="X160" s="686"/>
      <c r="Y160" s="686"/>
      <c r="Z160" s="686"/>
      <c r="AA160" s="669"/>
      <c r="AB160" s="695"/>
      <c r="AC160" s="669"/>
    </row>
    <row r="161" ht="16.5" customHeight="1">
      <c r="A161" s="680" t="s">
        <v>5177</v>
      </c>
      <c r="B161" s="680" t="s">
        <v>857</v>
      </c>
      <c r="C161" s="680">
        <v>2025.0</v>
      </c>
      <c r="D161" s="681" t="s">
        <v>4353</v>
      </c>
      <c r="E161" s="680">
        <v>1.0</v>
      </c>
      <c r="F161" s="680">
        <v>230.0</v>
      </c>
      <c r="G161" s="680" t="s">
        <v>4651</v>
      </c>
      <c r="H161" s="680" t="s">
        <v>4651</v>
      </c>
      <c r="I161" s="680" t="s">
        <v>3879</v>
      </c>
      <c r="J161" s="680" t="s">
        <v>3755</v>
      </c>
      <c r="K161" s="680" t="s">
        <v>3755</v>
      </c>
      <c r="L161" s="680" t="s">
        <v>3755</v>
      </c>
      <c r="M161" s="680">
        <v>0.0</v>
      </c>
      <c r="N161" s="680">
        <v>4.0</v>
      </c>
      <c r="O161" s="680">
        <v>9.0</v>
      </c>
      <c r="P161" s="680" t="s">
        <v>3755</v>
      </c>
      <c r="Q161" s="666"/>
      <c r="R161" s="680">
        <v>100.0</v>
      </c>
      <c r="S161" s="680">
        <v>0.0</v>
      </c>
      <c r="T161" s="693">
        <f t="shared" si="10"/>
        <v>0</v>
      </c>
      <c r="U161" s="688"/>
      <c r="V161" s="686"/>
      <c r="W161" s="686"/>
      <c r="X161" s="686"/>
      <c r="Y161" s="686"/>
      <c r="Z161" s="686"/>
      <c r="AA161" s="669"/>
      <c r="AB161" s="176" t="s">
        <v>3882</v>
      </c>
      <c r="AC161" s="669"/>
    </row>
    <row r="162" ht="17.25" customHeight="1">
      <c r="A162" s="680" t="s">
        <v>5180</v>
      </c>
      <c r="B162" s="680" t="s">
        <v>857</v>
      </c>
      <c r="C162" s="680">
        <v>2025.0</v>
      </c>
      <c r="D162" s="681" t="s">
        <v>4353</v>
      </c>
      <c r="E162" s="680">
        <v>1.0</v>
      </c>
      <c r="F162" s="680">
        <v>250.0</v>
      </c>
      <c r="G162" s="680" t="s">
        <v>4651</v>
      </c>
      <c r="H162" s="680" t="s">
        <v>4651</v>
      </c>
      <c r="I162" s="688"/>
      <c r="J162" s="688"/>
      <c r="K162" s="680" t="s">
        <v>3755</v>
      </c>
      <c r="L162" s="680" t="s">
        <v>3758</v>
      </c>
      <c r="M162" s="680">
        <v>6.0</v>
      </c>
      <c r="N162" s="680">
        <v>23.0</v>
      </c>
      <c r="O162" s="680">
        <v>9.0</v>
      </c>
      <c r="P162" s="680" t="s">
        <v>3755</v>
      </c>
      <c r="Q162" s="666"/>
      <c r="R162" s="680">
        <v>53.0</v>
      </c>
      <c r="S162" s="680">
        <v>12.0</v>
      </c>
      <c r="T162" s="693">
        <f t="shared" si="10"/>
        <v>0.2264150943</v>
      </c>
      <c r="U162" s="691">
        <v>45550.0</v>
      </c>
      <c r="V162" s="688"/>
      <c r="W162" s="688"/>
      <c r="X162" s="688"/>
      <c r="Y162" s="680">
        <v>1.0</v>
      </c>
      <c r="Z162" s="688"/>
      <c r="AA162" s="669"/>
      <c r="AB162" s="695"/>
      <c r="AC162" s="669"/>
    </row>
    <row r="163" ht="18.0" customHeight="1">
      <c r="A163" s="680" t="s">
        <v>5182</v>
      </c>
      <c r="B163" s="680" t="s">
        <v>857</v>
      </c>
      <c r="C163" s="680">
        <v>2025.0</v>
      </c>
      <c r="D163" s="681" t="s">
        <v>4158</v>
      </c>
      <c r="E163" s="680">
        <v>1.0</v>
      </c>
      <c r="F163" s="680">
        <v>253.0</v>
      </c>
      <c r="G163" s="680" t="s">
        <v>4651</v>
      </c>
      <c r="H163" s="680" t="s">
        <v>4651</v>
      </c>
      <c r="I163" s="688"/>
      <c r="J163" s="680" t="s">
        <v>3755</v>
      </c>
      <c r="K163" s="680" t="s">
        <v>3755</v>
      </c>
      <c r="L163" s="680" t="s">
        <v>3755</v>
      </c>
      <c r="M163" s="680">
        <v>4.0</v>
      </c>
      <c r="N163" s="680">
        <v>16.0</v>
      </c>
      <c r="O163" s="680">
        <v>10.0</v>
      </c>
      <c r="P163" s="680" t="s">
        <v>3755</v>
      </c>
      <c r="Q163" s="666"/>
      <c r="R163" s="680">
        <v>93.0</v>
      </c>
      <c r="S163" s="680">
        <v>13.0</v>
      </c>
      <c r="T163" s="693">
        <f t="shared" si="10"/>
        <v>0.1397849462</v>
      </c>
      <c r="U163" s="691">
        <v>45366.0</v>
      </c>
      <c r="V163" s="785"/>
      <c r="W163" s="686"/>
      <c r="X163" s="686"/>
      <c r="Y163" s="686"/>
      <c r="Z163" s="686"/>
      <c r="AA163" s="669"/>
      <c r="AB163" s="176" t="s">
        <v>3778</v>
      </c>
      <c r="AC163" s="669"/>
    </row>
    <row r="164" ht="18.75" customHeight="1">
      <c r="A164" s="680" t="s">
        <v>5189</v>
      </c>
      <c r="B164" s="680" t="s">
        <v>857</v>
      </c>
      <c r="C164" s="680">
        <v>2025.0</v>
      </c>
      <c r="D164" s="681" t="s">
        <v>5167</v>
      </c>
      <c r="E164" s="680">
        <v>3.0</v>
      </c>
      <c r="F164" s="680">
        <v>233.0</v>
      </c>
      <c r="G164" s="680" t="s">
        <v>4651</v>
      </c>
      <c r="H164" s="680" t="s">
        <v>4651</v>
      </c>
      <c r="I164" s="680" t="s">
        <v>4834</v>
      </c>
      <c r="J164" s="680" t="s">
        <v>3755</v>
      </c>
      <c r="K164" s="680" t="s">
        <v>3755</v>
      </c>
      <c r="L164" s="680" t="s">
        <v>3758</v>
      </c>
      <c r="M164" s="680">
        <v>4.0</v>
      </c>
      <c r="N164" s="680">
        <v>0.0</v>
      </c>
      <c r="O164" s="680">
        <v>5.0</v>
      </c>
      <c r="P164" s="680" t="s">
        <v>3755</v>
      </c>
      <c r="Q164" s="666"/>
      <c r="R164" s="680">
        <v>52.0</v>
      </c>
      <c r="S164" s="680">
        <v>0.0</v>
      </c>
      <c r="T164" s="693">
        <f t="shared" si="10"/>
        <v>0</v>
      </c>
      <c r="U164" s="688"/>
      <c r="V164" s="686"/>
      <c r="W164" s="686"/>
      <c r="X164" s="686"/>
      <c r="Y164" s="686"/>
      <c r="Z164" s="686"/>
      <c r="AA164" s="669"/>
      <c r="AB164" s="176" t="s">
        <v>3882</v>
      </c>
      <c r="AC164" s="669"/>
    </row>
    <row r="165" ht="18.0" customHeight="1">
      <c r="A165" s="680" t="s">
        <v>5191</v>
      </c>
      <c r="B165" s="680" t="s">
        <v>857</v>
      </c>
      <c r="C165" s="680">
        <v>2024.0</v>
      </c>
      <c r="D165" s="687" t="s">
        <v>3829</v>
      </c>
      <c r="E165" s="680">
        <v>1.0</v>
      </c>
      <c r="F165" s="680">
        <v>242.0</v>
      </c>
      <c r="G165" s="680" t="s">
        <v>4651</v>
      </c>
      <c r="H165" s="680" t="s">
        <v>4651</v>
      </c>
      <c r="I165" s="176" t="s">
        <v>3879</v>
      </c>
      <c r="J165" s="680" t="s">
        <v>3755</v>
      </c>
      <c r="K165" s="680" t="s">
        <v>3755</v>
      </c>
      <c r="L165" s="680" t="s">
        <v>3755</v>
      </c>
      <c r="M165" s="680">
        <v>0.0</v>
      </c>
      <c r="N165" s="680">
        <v>1.0</v>
      </c>
      <c r="O165" s="680">
        <v>10.0</v>
      </c>
      <c r="P165" s="680" t="s">
        <v>3755</v>
      </c>
      <c r="Q165" s="666"/>
      <c r="R165" s="680">
        <v>113.0</v>
      </c>
      <c r="S165" s="680">
        <v>0.0</v>
      </c>
      <c r="T165" s="693">
        <f t="shared" si="10"/>
        <v>0</v>
      </c>
      <c r="U165" s="691"/>
      <c r="V165" s="707"/>
      <c r="W165" s="688"/>
      <c r="X165" s="686"/>
      <c r="Y165" s="686"/>
      <c r="Z165" s="686"/>
      <c r="AA165" s="669"/>
      <c r="AB165" s="176" t="s">
        <v>3882</v>
      </c>
      <c r="AC165" s="669"/>
    </row>
    <row r="166" ht="18.0" customHeight="1">
      <c r="A166" s="680" t="s">
        <v>4980</v>
      </c>
      <c r="B166" s="680" t="s">
        <v>3919</v>
      </c>
      <c r="C166" s="680">
        <v>2024.0</v>
      </c>
      <c r="D166" s="681" t="s">
        <v>4143</v>
      </c>
      <c r="E166" s="680">
        <v>1.0</v>
      </c>
      <c r="F166" s="680">
        <v>235.0</v>
      </c>
      <c r="G166" s="680" t="s">
        <v>4197</v>
      </c>
      <c r="H166" s="680">
        <v>494.0</v>
      </c>
      <c r="I166" s="680" t="s">
        <v>3893</v>
      </c>
      <c r="J166" s="680" t="s">
        <v>3755</v>
      </c>
      <c r="K166" s="680" t="s">
        <v>3755</v>
      </c>
      <c r="L166" s="680" t="s">
        <v>3755</v>
      </c>
      <c r="M166" s="680">
        <v>2.0</v>
      </c>
      <c r="N166" s="680">
        <v>26.0</v>
      </c>
      <c r="O166" s="680">
        <v>9.0</v>
      </c>
      <c r="P166" s="680" t="s">
        <v>3755</v>
      </c>
      <c r="Q166" s="666"/>
      <c r="R166" s="680">
        <v>160.0</v>
      </c>
      <c r="S166" s="680">
        <v>14.0</v>
      </c>
      <c r="T166" s="693">
        <f t="shared" si="10"/>
        <v>0.0875</v>
      </c>
      <c r="U166" s="691">
        <v>45427.0</v>
      </c>
      <c r="V166" s="708" t="s">
        <v>5203</v>
      </c>
      <c r="W166" s="686"/>
      <c r="X166" s="686"/>
      <c r="Y166" s="680"/>
      <c r="Z166" s="686"/>
      <c r="AA166" s="669"/>
      <c r="AB166" s="176"/>
      <c r="AC166" s="669"/>
    </row>
    <row r="167" ht="18.0" customHeight="1">
      <c r="A167" s="680" t="s">
        <v>5204</v>
      </c>
      <c r="B167" s="680" t="s">
        <v>857</v>
      </c>
      <c r="C167" s="680">
        <v>2025.0</v>
      </c>
      <c r="D167" s="681" t="s">
        <v>4143</v>
      </c>
      <c r="E167" s="680">
        <v>1.0</v>
      </c>
      <c r="F167" s="680">
        <v>268.0</v>
      </c>
      <c r="G167" s="680" t="s">
        <v>4651</v>
      </c>
      <c r="H167" s="680" t="s">
        <v>4651</v>
      </c>
      <c r="I167" s="680" t="s">
        <v>3812</v>
      </c>
      <c r="J167" s="680" t="s">
        <v>3758</v>
      </c>
      <c r="K167" s="680" t="s">
        <v>3758</v>
      </c>
      <c r="L167" s="680" t="s">
        <v>3758</v>
      </c>
      <c r="M167" s="680">
        <v>4.0</v>
      </c>
      <c r="N167" s="680">
        <v>3.0</v>
      </c>
      <c r="O167" s="680">
        <v>10.0</v>
      </c>
      <c r="P167" s="680" t="s">
        <v>3755</v>
      </c>
      <c r="Q167" s="666"/>
      <c r="R167" s="680">
        <v>78.0</v>
      </c>
      <c r="S167" s="680">
        <v>16.0</v>
      </c>
      <c r="T167" s="693">
        <f t="shared" si="10"/>
        <v>0.2051282051</v>
      </c>
      <c r="U167" s="691">
        <v>45550.0</v>
      </c>
      <c r="V167" s="686"/>
      <c r="W167" s="686"/>
      <c r="Y167" s="686"/>
      <c r="Z167" s="686"/>
      <c r="AA167" s="669"/>
      <c r="AB167" s="695"/>
      <c r="AC167" s="669"/>
    </row>
    <row r="168" ht="18.0" customHeight="1">
      <c r="A168" s="680" t="s">
        <v>5211</v>
      </c>
      <c r="B168" s="680" t="s">
        <v>857</v>
      </c>
      <c r="C168" s="680">
        <v>2025.0</v>
      </c>
      <c r="D168" s="681" t="s">
        <v>5214</v>
      </c>
      <c r="E168" s="680">
        <v>1.0</v>
      </c>
      <c r="F168" s="680">
        <v>253.0</v>
      </c>
      <c r="G168" s="680" t="s">
        <v>4651</v>
      </c>
      <c r="H168" s="680" t="s">
        <v>4651</v>
      </c>
      <c r="I168" s="680" t="s">
        <v>3879</v>
      </c>
      <c r="J168" s="680" t="s">
        <v>3755</v>
      </c>
      <c r="K168" s="680" t="s">
        <v>3755</v>
      </c>
      <c r="L168" s="680" t="s">
        <v>3758</v>
      </c>
      <c r="M168" s="680">
        <v>3.0</v>
      </c>
      <c r="N168" s="680">
        <v>1.0</v>
      </c>
      <c r="O168" s="680">
        <v>8.0</v>
      </c>
      <c r="P168" s="680" t="s">
        <v>3755</v>
      </c>
      <c r="Q168" s="666"/>
      <c r="R168" s="680">
        <v>120.0</v>
      </c>
      <c r="S168" s="680">
        <v>12.0</v>
      </c>
      <c r="T168" s="693">
        <f t="shared" si="10"/>
        <v>0.1</v>
      </c>
      <c r="U168" s="691">
        <v>45366.0</v>
      </c>
      <c r="V168" s="753" t="s">
        <v>5219</v>
      </c>
      <c r="W168" s="680"/>
      <c r="X168" s="686"/>
      <c r="Y168" s="680">
        <v>3.0</v>
      </c>
      <c r="Z168" s="680">
        <v>1.0</v>
      </c>
      <c r="AA168" s="669"/>
      <c r="AB168" s="695"/>
      <c r="AC168" s="669"/>
    </row>
    <row r="169" ht="18.0" customHeight="1">
      <c r="A169" s="680" t="s">
        <v>5220</v>
      </c>
      <c r="B169" s="680" t="s">
        <v>3919</v>
      </c>
      <c r="C169" s="680">
        <v>2025.0</v>
      </c>
      <c r="D169" s="681" t="s">
        <v>4135</v>
      </c>
      <c r="E169" s="680">
        <v>1.0</v>
      </c>
      <c r="F169" s="680">
        <v>257.0</v>
      </c>
      <c r="G169" s="680" t="s">
        <v>4197</v>
      </c>
      <c r="H169" s="680">
        <v>571.0</v>
      </c>
      <c r="I169" s="680" t="s">
        <v>3812</v>
      </c>
      <c r="J169" s="680" t="s">
        <v>3755</v>
      </c>
      <c r="K169" s="680" t="s">
        <v>3755</v>
      </c>
      <c r="L169" s="680" t="s">
        <v>3755</v>
      </c>
      <c r="M169" s="680">
        <v>4.0</v>
      </c>
      <c r="N169" s="680">
        <v>1.0</v>
      </c>
      <c r="O169" s="680">
        <v>10.0</v>
      </c>
      <c r="P169" s="680" t="s">
        <v>3755</v>
      </c>
      <c r="Q169" s="666"/>
      <c r="R169" s="680">
        <v>170.0</v>
      </c>
      <c r="S169" s="680">
        <v>1.0</v>
      </c>
      <c r="T169" s="693">
        <f t="shared" si="10"/>
        <v>0.005882352941</v>
      </c>
      <c r="U169" s="691"/>
      <c r="V169" s="688"/>
      <c r="W169" s="680"/>
      <c r="X169" s="680"/>
      <c r="Y169" s="680"/>
      <c r="Z169" s="680"/>
      <c r="AA169" s="669"/>
      <c r="AB169" s="695"/>
      <c r="AC169" s="669"/>
    </row>
    <row r="170" ht="20.25" customHeight="1">
      <c r="A170" s="680" t="s">
        <v>5228</v>
      </c>
      <c r="B170" s="680" t="s">
        <v>3741</v>
      </c>
      <c r="C170" s="680">
        <v>2018.0</v>
      </c>
      <c r="D170" s="687" t="s">
        <v>3829</v>
      </c>
      <c r="E170" s="680">
        <v>1.0</v>
      </c>
      <c r="F170" s="680">
        <v>237.0</v>
      </c>
      <c r="G170" s="680" t="s">
        <v>4651</v>
      </c>
      <c r="H170" s="680" t="s">
        <v>4651</v>
      </c>
      <c r="I170" s="176" t="s">
        <v>3879</v>
      </c>
      <c r="J170" s="680" t="s">
        <v>3755</v>
      </c>
      <c r="K170" s="680" t="s">
        <v>3755</v>
      </c>
      <c r="L170" s="680" t="s">
        <v>3755</v>
      </c>
      <c r="M170" s="680">
        <v>0.0</v>
      </c>
      <c r="N170" s="680">
        <v>2.0</v>
      </c>
      <c r="O170" s="680">
        <v>9.0</v>
      </c>
      <c r="P170" s="680" t="s">
        <v>3755</v>
      </c>
      <c r="Q170" s="666"/>
      <c r="R170" s="680">
        <v>129.0</v>
      </c>
      <c r="S170" s="680">
        <v>0.0</v>
      </c>
      <c r="T170" s="693">
        <f t="shared" si="10"/>
        <v>0</v>
      </c>
      <c r="U170" s="680" t="s">
        <v>5233</v>
      </c>
      <c r="V170" s="686"/>
      <c r="W170" s="686"/>
      <c r="X170" s="686"/>
      <c r="Y170" s="686"/>
      <c r="Z170" s="686"/>
      <c r="AA170" s="669"/>
      <c r="AB170" s="176" t="s">
        <v>3882</v>
      </c>
      <c r="AC170" s="669"/>
    </row>
    <row r="171" ht="18.0" customHeight="1">
      <c r="A171" s="680" t="s">
        <v>5235</v>
      </c>
      <c r="B171" s="680" t="s">
        <v>857</v>
      </c>
      <c r="C171" s="680">
        <v>2024.0</v>
      </c>
      <c r="D171" s="681" t="s">
        <v>3921</v>
      </c>
      <c r="E171" s="680">
        <v>1.0</v>
      </c>
      <c r="F171" s="680">
        <v>242.0</v>
      </c>
      <c r="G171" s="176" t="s">
        <v>4651</v>
      </c>
      <c r="H171" s="176" t="s">
        <v>4651</v>
      </c>
      <c r="I171" s="680" t="s">
        <v>3879</v>
      </c>
      <c r="J171" s="680" t="s">
        <v>3755</v>
      </c>
      <c r="K171" s="680" t="s">
        <v>3755</v>
      </c>
      <c r="L171" s="680" t="s">
        <v>3758</v>
      </c>
      <c r="M171" s="680">
        <v>7.0</v>
      </c>
      <c r="N171" s="680">
        <v>6.0</v>
      </c>
      <c r="O171" s="680">
        <v>10.0</v>
      </c>
      <c r="P171" s="680" t="s">
        <v>3755</v>
      </c>
      <c r="Q171" s="666"/>
      <c r="R171" s="680">
        <v>89.0</v>
      </c>
      <c r="S171" s="680">
        <v>0.0</v>
      </c>
      <c r="T171" s="693">
        <f t="shared" si="10"/>
        <v>0</v>
      </c>
      <c r="U171" s="696"/>
      <c r="V171" s="686"/>
      <c r="W171" s="686"/>
      <c r="X171" s="686"/>
      <c r="Y171" s="688"/>
      <c r="Z171" s="686"/>
      <c r="AA171" s="669"/>
      <c r="AB171" s="176" t="s">
        <v>3882</v>
      </c>
      <c r="AC171" s="669"/>
    </row>
    <row r="172" ht="18.0" customHeight="1">
      <c r="A172" s="680" t="s">
        <v>5239</v>
      </c>
      <c r="B172" s="680" t="s">
        <v>3919</v>
      </c>
      <c r="C172" s="680">
        <v>2025.0</v>
      </c>
      <c r="D172" s="681" t="s">
        <v>4122</v>
      </c>
      <c r="E172" s="680">
        <v>1.0</v>
      </c>
      <c r="F172" s="680">
        <v>262.0</v>
      </c>
      <c r="G172" s="680" t="s">
        <v>4197</v>
      </c>
      <c r="H172" s="680">
        <v>739.0</v>
      </c>
      <c r="I172" s="176" t="s">
        <v>3812</v>
      </c>
      <c r="J172" s="680" t="s">
        <v>3755</v>
      </c>
      <c r="K172" s="680" t="s">
        <v>3755</v>
      </c>
      <c r="L172" s="680" t="s">
        <v>3758</v>
      </c>
      <c r="M172" s="680">
        <v>6.0</v>
      </c>
      <c r="N172" s="680">
        <v>2.0</v>
      </c>
      <c r="O172" s="680">
        <v>10.0</v>
      </c>
      <c r="P172" s="680" t="s">
        <v>3755</v>
      </c>
      <c r="Q172" s="666"/>
      <c r="R172" s="680">
        <v>119.0</v>
      </c>
      <c r="S172" s="684">
        <v>22.0</v>
      </c>
      <c r="T172" s="693">
        <f t="shared" si="10"/>
        <v>0.1848739496</v>
      </c>
      <c r="U172" s="691">
        <v>45519.0</v>
      </c>
      <c r="V172" s="686"/>
      <c r="W172" s="688"/>
      <c r="X172" s="686"/>
      <c r="Y172" s="686"/>
      <c r="Z172" s="686"/>
      <c r="AA172" s="669"/>
      <c r="AB172" s="695"/>
      <c r="AC172" s="669"/>
    </row>
    <row r="173" ht="18.0" customHeight="1">
      <c r="A173" s="680" t="s">
        <v>5247</v>
      </c>
      <c r="B173" s="680" t="s">
        <v>857</v>
      </c>
      <c r="C173" s="680">
        <v>2025.0</v>
      </c>
      <c r="D173" s="681" t="s">
        <v>5167</v>
      </c>
      <c r="E173" s="680">
        <v>1.0</v>
      </c>
      <c r="F173" s="680">
        <v>256.0</v>
      </c>
      <c r="G173" s="680" t="s">
        <v>4651</v>
      </c>
      <c r="H173" s="680" t="s">
        <v>4651</v>
      </c>
      <c r="I173" s="680" t="s">
        <v>3812</v>
      </c>
      <c r="J173" s="680" t="s">
        <v>3755</v>
      </c>
      <c r="K173" s="680" t="s">
        <v>3755</v>
      </c>
      <c r="L173" s="680" t="s">
        <v>3758</v>
      </c>
      <c r="M173" s="680">
        <v>4.0</v>
      </c>
      <c r="N173" s="680">
        <v>6.0</v>
      </c>
      <c r="O173" s="680">
        <v>8.0</v>
      </c>
      <c r="P173" s="680" t="s">
        <v>3758</v>
      </c>
      <c r="Q173" s="666"/>
      <c r="R173" s="680">
        <v>70.0</v>
      </c>
      <c r="S173" s="680">
        <v>17.0</v>
      </c>
      <c r="T173" s="693">
        <f t="shared" si="10"/>
        <v>0.2428571429</v>
      </c>
      <c r="U173" s="691">
        <v>45366.0</v>
      </c>
      <c r="V173" s="711" t="s">
        <v>5255</v>
      </c>
      <c r="W173" s="686"/>
      <c r="X173" s="686"/>
      <c r="Y173" s="686"/>
      <c r="Z173" s="686"/>
      <c r="AA173" s="669"/>
      <c r="AB173" s="695"/>
      <c r="AC173" s="669"/>
    </row>
    <row r="174" ht="18.0" customHeight="1">
      <c r="A174" s="680" t="s">
        <v>5257</v>
      </c>
      <c r="B174" s="680" t="s">
        <v>857</v>
      </c>
      <c r="C174" s="680">
        <v>2025.0</v>
      </c>
      <c r="D174" s="681" t="s">
        <v>3844</v>
      </c>
      <c r="E174" s="680">
        <v>1.0</v>
      </c>
      <c r="F174" s="680">
        <v>245.0</v>
      </c>
      <c r="G174" s="176" t="s">
        <v>4651</v>
      </c>
      <c r="H174" s="176" t="s">
        <v>4651</v>
      </c>
      <c r="I174" s="176" t="s">
        <v>4834</v>
      </c>
      <c r="J174" s="680" t="s">
        <v>3755</v>
      </c>
      <c r="K174" s="680" t="s">
        <v>3755</v>
      </c>
      <c r="L174" s="680" t="s">
        <v>3755</v>
      </c>
      <c r="M174" s="680">
        <v>0.0</v>
      </c>
      <c r="N174" s="680">
        <v>3.0</v>
      </c>
      <c r="O174" s="680">
        <v>10.0</v>
      </c>
      <c r="P174" s="680" t="s">
        <v>3755</v>
      </c>
      <c r="Q174" s="666"/>
      <c r="R174" s="680">
        <v>103.0</v>
      </c>
      <c r="S174" s="680">
        <v>0.0</v>
      </c>
      <c r="T174" s="693">
        <f t="shared" si="10"/>
        <v>0</v>
      </c>
      <c r="U174" s="688"/>
      <c r="V174" s="686"/>
      <c r="W174" s="686"/>
      <c r="X174" s="686"/>
      <c r="Y174" s="686"/>
      <c r="Z174" s="686"/>
      <c r="AA174" s="669"/>
      <c r="AB174" s="176" t="s">
        <v>3882</v>
      </c>
      <c r="AC174" s="669"/>
    </row>
    <row r="175" ht="18.0" customHeight="1">
      <c r="A175" s="680" t="s">
        <v>5262</v>
      </c>
      <c r="B175" s="680" t="s">
        <v>857</v>
      </c>
      <c r="C175" s="680">
        <v>2025.0</v>
      </c>
      <c r="D175" s="681" t="s">
        <v>3804</v>
      </c>
      <c r="E175" s="680">
        <v>1.0</v>
      </c>
      <c r="F175" s="680">
        <v>249.0</v>
      </c>
      <c r="G175" s="680" t="s">
        <v>3808</v>
      </c>
      <c r="H175" s="680" t="s">
        <v>3808</v>
      </c>
      <c r="I175" s="680" t="s">
        <v>3812</v>
      </c>
      <c r="J175" s="680" t="s">
        <v>3758</v>
      </c>
      <c r="K175" s="680" t="s">
        <v>3758</v>
      </c>
      <c r="L175" s="680" t="s">
        <v>3758</v>
      </c>
      <c r="M175" s="680" t="s">
        <v>5266</v>
      </c>
      <c r="N175" s="680">
        <v>3.0</v>
      </c>
      <c r="O175" s="680">
        <v>10.0</v>
      </c>
      <c r="P175" s="680" t="s">
        <v>3755</v>
      </c>
      <c r="Q175" s="666"/>
      <c r="R175" s="680">
        <v>89.0</v>
      </c>
      <c r="S175" s="684">
        <v>23.0</v>
      </c>
      <c r="T175" s="693">
        <f t="shared" si="10"/>
        <v>0.2584269663</v>
      </c>
      <c r="U175" s="691">
        <v>45611.0</v>
      </c>
      <c r="V175" s="716"/>
      <c r="W175" s="686"/>
      <c r="X175" s="686"/>
      <c r="Y175" s="680"/>
      <c r="Z175" s="680"/>
      <c r="AA175" s="666"/>
      <c r="AB175" s="680" t="s">
        <v>3778</v>
      </c>
      <c r="AC175" s="666"/>
    </row>
    <row r="176" ht="18.0" customHeight="1">
      <c r="A176" s="680" t="s">
        <v>5269</v>
      </c>
      <c r="B176" s="680" t="s">
        <v>3919</v>
      </c>
      <c r="C176" s="680">
        <v>2025.0</v>
      </c>
      <c r="D176" s="681" t="s">
        <v>4143</v>
      </c>
      <c r="E176" s="680">
        <v>1.0</v>
      </c>
      <c r="F176" s="680" t="s">
        <v>5270</v>
      </c>
      <c r="G176" s="680" t="s">
        <v>5271</v>
      </c>
      <c r="H176" s="680" t="s">
        <v>5272</v>
      </c>
      <c r="I176" s="680" t="s">
        <v>3893</v>
      </c>
      <c r="J176" s="680" t="s">
        <v>3755</v>
      </c>
      <c r="K176" s="680" t="s">
        <v>3755</v>
      </c>
      <c r="L176" s="680" t="s">
        <v>3755</v>
      </c>
      <c r="M176" s="680">
        <v>4.0</v>
      </c>
      <c r="N176" s="680">
        <v>1.0</v>
      </c>
      <c r="O176" s="680">
        <v>9.0</v>
      </c>
      <c r="P176" s="680" t="s">
        <v>3755</v>
      </c>
      <c r="Q176" s="666"/>
      <c r="R176" s="680">
        <v>26.0</v>
      </c>
      <c r="S176" s="680">
        <v>9.0</v>
      </c>
      <c r="T176" s="693">
        <f t="shared" si="10"/>
        <v>0.3461538462</v>
      </c>
      <c r="U176" s="691"/>
      <c r="V176" s="701"/>
      <c r="W176" s="680"/>
      <c r="X176" s="686"/>
      <c r="Y176" s="680"/>
      <c r="Z176" s="686"/>
      <c r="AA176" s="666"/>
      <c r="AB176" s="686"/>
      <c r="AC176" s="666"/>
    </row>
    <row r="177" ht="18.0" customHeight="1">
      <c r="A177" s="680" t="s">
        <v>5275</v>
      </c>
      <c r="B177" s="680" t="s">
        <v>3741</v>
      </c>
      <c r="C177" s="680">
        <v>2023.0</v>
      </c>
      <c r="D177" s="687" t="s">
        <v>3829</v>
      </c>
      <c r="E177" s="680">
        <v>1.0</v>
      </c>
      <c r="F177" s="680">
        <v>246.0</v>
      </c>
      <c r="G177" s="680" t="s">
        <v>3808</v>
      </c>
      <c r="H177" s="680" t="s">
        <v>3808</v>
      </c>
      <c r="I177" s="688"/>
      <c r="J177" s="688"/>
      <c r="K177" s="688"/>
      <c r="L177" s="688"/>
      <c r="M177" s="688"/>
      <c r="N177" s="688"/>
      <c r="O177" s="680">
        <v>10.0</v>
      </c>
      <c r="P177" s="680" t="s">
        <v>3755</v>
      </c>
      <c r="Q177" s="666"/>
      <c r="R177" s="680">
        <v>192.0</v>
      </c>
      <c r="S177" s="680">
        <v>3.0</v>
      </c>
      <c r="T177" s="693">
        <f t="shared" si="10"/>
        <v>0.015625</v>
      </c>
      <c r="U177" s="688"/>
      <c r="V177" s="680"/>
      <c r="W177" s="686"/>
      <c r="X177" s="686"/>
      <c r="Y177" s="686"/>
      <c r="Z177" s="686"/>
      <c r="AA177" s="669"/>
      <c r="AB177" s="176" t="s">
        <v>3841</v>
      </c>
      <c r="AC177" s="669"/>
    </row>
    <row r="178" ht="18.0" customHeight="1">
      <c r="A178" s="680" t="s">
        <v>5278</v>
      </c>
      <c r="B178" s="680" t="s">
        <v>857</v>
      </c>
      <c r="C178" s="680">
        <v>2025.0</v>
      </c>
      <c r="D178" s="681" t="s">
        <v>4122</v>
      </c>
      <c r="E178" s="680">
        <v>1.0</v>
      </c>
      <c r="F178" s="680">
        <v>258.0</v>
      </c>
      <c r="G178" s="680" t="s">
        <v>3808</v>
      </c>
      <c r="H178" s="680" t="s">
        <v>3808</v>
      </c>
      <c r="I178" s="680" t="s">
        <v>3812</v>
      </c>
      <c r="J178" s="680" t="s">
        <v>3758</v>
      </c>
      <c r="K178" s="680" t="s">
        <v>3758</v>
      </c>
      <c r="L178" s="680" t="s">
        <v>3758</v>
      </c>
      <c r="M178" s="680">
        <v>4.0</v>
      </c>
      <c r="N178" s="680">
        <v>2.0</v>
      </c>
      <c r="O178" s="680">
        <v>10.0</v>
      </c>
      <c r="P178" s="680" t="s">
        <v>3755</v>
      </c>
      <c r="Q178" s="666"/>
      <c r="R178" s="680">
        <v>85.0</v>
      </c>
      <c r="S178" s="680">
        <v>2.0</v>
      </c>
      <c r="T178" s="693">
        <f t="shared" si="10"/>
        <v>0.02352941176</v>
      </c>
      <c r="U178" s="691">
        <v>45306.0</v>
      </c>
      <c r="V178" s="686"/>
      <c r="W178" s="686"/>
      <c r="X178" s="686"/>
      <c r="Y178" s="686"/>
      <c r="Z178" s="686"/>
      <c r="AA178" s="669"/>
      <c r="AB178" s="695"/>
      <c r="AC178" s="669"/>
    </row>
    <row r="179" ht="18.0" customHeight="1">
      <c r="A179" s="680" t="s">
        <v>5283</v>
      </c>
      <c r="B179" s="680" t="s">
        <v>857</v>
      </c>
      <c r="C179" s="680">
        <v>2025.0</v>
      </c>
      <c r="D179" s="681" t="s">
        <v>5284</v>
      </c>
      <c r="E179" s="680">
        <v>1.0</v>
      </c>
      <c r="F179" s="680">
        <v>237.0</v>
      </c>
      <c r="G179" s="176" t="s">
        <v>4663</v>
      </c>
      <c r="H179" s="176" t="s">
        <v>4663</v>
      </c>
      <c r="I179" s="731"/>
      <c r="J179" s="176" t="s">
        <v>3755</v>
      </c>
      <c r="K179" s="731"/>
      <c r="L179" s="680" t="s">
        <v>3755</v>
      </c>
      <c r="M179" s="680">
        <v>2.0</v>
      </c>
      <c r="N179" s="680">
        <v>4.0</v>
      </c>
      <c r="O179" s="680">
        <v>10.0</v>
      </c>
      <c r="P179" s="680" t="s">
        <v>3755</v>
      </c>
      <c r="Q179" s="666"/>
      <c r="R179" s="680">
        <v>230.0</v>
      </c>
      <c r="S179" s="680">
        <v>2.0</v>
      </c>
      <c r="T179" s="693">
        <f t="shared" si="10"/>
        <v>0.008695652174</v>
      </c>
      <c r="U179" s="680" t="s">
        <v>5233</v>
      </c>
      <c r="V179" s="686"/>
      <c r="W179" s="686"/>
      <c r="X179" s="686"/>
      <c r="Y179" s="686"/>
      <c r="Z179" s="686"/>
      <c r="AA179" s="669"/>
      <c r="AB179" s="176"/>
      <c r="AC179" s="669"/>
    </row>
    <row r="180" ht="18.0" customHeight="1">
      <c r="A180" s="680" t="s">
        <v>5290</v>
      </c>
      <c r="B180" s="680" t="s">
        <v>857</v>
      </c>
      <c r="C180" s="680">
        <v>2025.0</v>
      </c>
      <c r="D180" s="681" t="s">
        <v>5102</v>
      </c>
      <c r="E180" s="680">
        <v>2.0</v>
      </c>
      <c r="F180" s="680">
        <v>261.0</v>
      </c>
      <c r="G180" s="680" t="s">
        <v>3808</v>
      </c>
      <c r="H180" s="680" t="s">
        <v>3808</v>
      </c>
      <c r="I180" s="688"/>
      <c r="J180" s="680" t="s">
        <v>3755</v>
      </c>
      <c r="K180" s="680" t="s">
        <v>3755</v>
      </c>
      <c r="L180" s="680" t="s">
        <v>3758</v>
      </c>
      <c r="M180" s="680">
        <v>4.0</v>
      </c>
      <c r="N180" s="680">
        <v>12.0</v>
      </c>
      <c r="O180" s="680">
        <v>10.0</v>
      </c>
      <c r="P180" s="680" t="s">
        <v>3755</v>
      </c>
      <c r="Q180" s="666"/>
      <c r="R180" s="680">
        <v>81.0</v>
      </c>
      <c r="S180" s="680">
        <v>12.0</v>
      </c>
      <c r="T180" s="693">
        <f t="shared" si="10"/>
        <v>0.1481481481</v>
      </c>
      <c r="U180" s="691">
        <v>45458.0</v>
      </c>
      <c r="V180" s="707" t="s">
        <v>5295</v>
      </c>
      <c r="W180" s="686"/>
      <c r="X180" s="686"/>
      <c r="Y180" s="680">
        <v>4.0</v>
      </c>
      <c r="Z180" s="686"/>
      <c r="AA180" s="669"/>
      <c r="AB180" s="695"/>
      <c r="AC180" s="669"/>
    </row>
    <row r="181" ht="18.0" customHeight="1">
      <c r="A181" s="680" t="s">
        <v>5296</v>
      </c>
      <c r="B181" s="680" t="s">
        <v>857</v>
      </c>
      <c r="C181" s="680">
        <v>2024.0</v>
      </c>
      <c r="D181" s="681" t="s">
        <v>3844</v>
      </c>
      <c r="E181" s="680">
        <v>1.0</v>
      </c>
      <c r="F181" s="680">
        <v>263.0</v>
      </c>
      <c r="G181" s="688"/>
      <c r="H181" s="688"/>
      <c r="I181" s="176" t="s">
        <v>3812</v>
      </c>
      <c r="J181" s="176" t="s">
        <v>3755</v>
      </c>
      <c r="K181" s="176" t="s">
        <v>3755</v>
      </c>
      <c r="L181" s="680" t="s">
        <v>3758</v>
      </c>
      <c r="M181" s="680">
        <v>5.0</v>
      </c>
      <c r="N181" s="680">
        <v>3.0</v>
      </c>
      <c r="O181" s="680">
        <v>6.0</v>
      </c>
      <c r="P181" s="680" t="s">
        <v>3755</v>
      </c>
      <c r="Q181" s="666"/>
      <c r="R181" s="680">
        <v>52.0</v>
      </c>
      <c r="S181" s="680">
        <v>3.0</v>
      </c>
      <c r="T181" s="693">
        <f t="shared" si="10"/>
        <v>0.05769230769</v>
      </c>
      <c r="U181" s="691">
        <v>45337.0</v>
      </c>
      <c r="V181" s="688"/>
      <c r="W181" s="686"/>
      <c r="X181" s="686"/>
      <c r="Y181" s="688"/>
      <c r="Z181" s="686"/>
      <c r="AA181" s="669"/>
      <c r="AB181" s="695"/>
      <c r="AC181" s="669"/>
    </row>
    <row r="182" ht="18.0" customHeight="1">
      <c r="A182" s="680" t="s">
        <v>5299</v>
      </c>
      <c r="B182" s="680" t="s">
        <v>857</v>
      </c>
      <c r="C182" s="680">
        <v>2025.0</v>
      </c>
      <c r="D182" s="681" t="s">
        <v>3804</v>
      </c>
      <c r="E182" s="680">
        <v>1.0</v>
      </c>
      <c r="F182" s="680">
        <v>262.0</v>
      </c>
      <c r="G182" s="680" t="s">
        <v>4651</v>
      </c>
      <c r="H182" s="680" t="s">
        <v>4651</v>
      </c>
      <c r="I182" s="686"/>
      <c r="J182" s="680" t="s">
        <v>3755</v>
      </c>
      <c r="K182" s="680" t="s">
        <v>3755</v>
      </c>
      <c r="L182" s="680" t="s">
        <v>3758</v>
      </c>
      <c r="M182" s="680">
        <v>3.0</v>
      </c>
      <c r="N182" s="680">
        <v>16.0</v>
      </c>
      <c r="O182" s="680">
        <v>10.0</v>
      </c>
      <c r="P182" s="680" t="s">
        <v>3755</v>
      </c>
      <c r="Q182" s="666"/>
      <c r="R182" s="680">
        <v>73.0</v>
      </c>
      <c r="S182" s="680">
        <v>3.0</v>
      </c>
      <c r="T182" s="693">
        <f t="shared" si="10"/>
        <v>0.04109589041</v>
      </c>
      <c r="U182" s="691">
        <v>45337.0</v>
      </c>
      <c r="V182" s="686"/>
      <c r="W182" s="686"/>
      <c r="X182" s="686"/>
      <c r="Y182" s="686"/>
      <c r="Z182" s="686"/>
      <c r="AA182" s="669"/>
      <c r="AB182" s="695"/>
      <c r="AC182" s="669"/>
    </row>
    <row r="183" ht="18.0" customHeight="1">
      <c r="A183" s="680" t="s">
        <v>5305</v>
      </c>
      <c r="B183" s="680" t="s">
        <v>857</v>
      </c>
      <c r="C183" s="680">
        <v>2025.0</v>
      </c>
      <c r="D183" s="681" t="s">
        <v>3921</v>
      </c>
      <c r="E183" s="680">
        <v>1.0</v>
      </c>
      <c r="F183" s="680">
        <v>228.0</v>
      </c>
      <c r="G183" s="688"/>
      <c r="H183" s="688"/>
      <c r="I183" s="688"/>
      <c r="J183" s="680" t="s">
        <v>3755</v>
      </c>
      <c r="K183" s="680" t="s">
        <v>3755</v>
      </c>
      <c r="L183" s="680" t="s">
        <v>3755</v>
      </c>
      <c r="M183" s="680">
        <v>1.0</v>
      </c>
      <c r="N183" s="680">
        <v>0.0</v>
      </c>
      <c r="O183" s="680">
        <v>10.0</v>
      </c>
      <c r="P183" s="680" t="s">
        <v>3755</v>
      </c>
      <c r="Q183" s="666"/>
      <c r="R183" s="680">
        <v>147.0</v>
      </c>
      <c r="S183" s="680">
        <v>0.0</v>
      </c>
      <c r="T183" s="693">
        <f t="shared" si="10"/>
        <v>0</v>
      </c>
      <c r="U183" s="691"/>
      <c r="V183" s="680"/>
      <c r="W183" s="686"/>
      <c r="X183" s="686"/>
      <c r="Y183" s="680"/>
      <c r="Z183" s="686"/>
      <c r="AA183" s="669"/>
      <c r="AB183" s="176" t="s">
        <v>3882</v>
      </c>
      <c r="AC183" s="669"/>
    </row>
    <row r="184" ht="18.0" customHeight="1">
      <c r="A184" s="680" t="s">
        <v>5306</v>
      </c>
      <c r="B184" s="680" t="s">
        <v>857</v>
      </c>
      <c r="C184" s="680">
        <v>2025.0</v>
      </c>
      <c r="D184" s="681" t="s">
        <v>3804</v>
      </c>
      <c r="E184" s="680">
        <v>1.0</v>
      </c>
      <c r="F184" s="680">
        <v>259.0</v>
      </c>
      <c r="G184" s="680" t="s">
        <v>3808</v>
      </c>
      <c r="H184" s="680" t="s">
        <v>3808</v>
      </c>
      <c r="I184" s="176" t="s">
        <v>3812</v>
      </c>
      <c r="J184" s="680" t="s">
        <v>3755</v>
      </c>
      <c r="K184" s="680" t="s">
        <v>3755</v>
      </c>
      <c r="L184" s="680" t="s">
        <v>3758</v>
      </c>
      <c r="M184" s="680">
        <v>8.0</v>
      </c>
      <c r="N184" s="680">
        <v>15.0</v>
      </c>
      <c r="O184" s="680">
        <v>10.0</v>
      </c>
      <c r="P184" s="680" t="s">
        <v>3755</v>
      </c>
      <c r="Q184" s="666"/>
      <c r="R184" s="680">
        <v>78.0</v>
      </c>
      <c r="S184" s="680">
        <v>16.0</v>
      </c>
      <c r="T184" s="693">
        <f t="shared" si="10"/>
        <v>0.2051282051</v>
      </c>
      <c r="U184" s="691">
        <v>45550.0</v>
      </c>
      <c r="V184" s="785"/>
      <c r="W184" s="686"/>
      <c r="X184" s="686"/>
      <c r="Y184" s="686"/>
      <c r="Z184" s="686"/>
      <c r="AA184" s="669"/>
      <c r="AB184" s="695"/>
      <c r="AC184" s="669"/>
    </row>
    <row r="185" ht="18.0" customHeight="1">
      <c r="A185" s="680" t="s">
        <v>5309</v>
      </c>
      <c r="B185" s="680" t="s">
        <v>857</v>
      </c>
      <c r="C185" s="680">
        <v>2024.0</v>
      </c>
      <c r="D185" s="681" t="s">
        <v>3921</v>
      </c>
      <c r="E185" s="680">
        <v>1.0</v>
      </c>
      <c r="F185" s="680">
        <v>217.0</v>
      </c>
      <c r="G185" s="688"/>
      <c r="H185" s="688"/>
      <c r="I185" s="680" t="s">
        <v>4834</v>
      </c>
      <c r="J185" s="688"/>
      <c r="K185" s="680" t="s">
        <v>3755</v>
      </c>
      <c r="L185" s="680" t="s">
        <v>3755</v>
      </c>
      <c r="M185" s="680">
        <v>3.0</v>
      </c>
      <c r="N185" s="680">
        <v>1.0</v>
      </c>
      <c r="O185" s="680">
        <v>10.0</v>
      </c>
      <c r="P185" s="680" t="s">
        <v>3755</v>
      </c>
      <c r="Q185" s="666"/>
      <c r="R185" s="680">
        <v>105.0</v>
      </c>
      <c r="S185" s="680">
        <v>0.0</v>
      </c>
      <c r="T185" s="693">
        <f t="shared" si="10"/>
        <v>0</v>
      </c>
      <c r="U185" s="688"/>
      <c r="V185" s="686"/>
      <c r="W185" s="686"/>
      <c r="X185" s="686"/>
      <c r="Y185" s="686"/>
      <c r="Z185" s="686"/>
      <c r="AA185" s="669"/>
      <c r="AB185" s="176" t="s">
        <v>3882</v>
      </c>
      <c r="AC185" s="669"/>
    </row>
    <row r="186" ht="18.0" customHeight="1">
      <c r="A186" s="680" t="s">
        <v>5316</v>
      </c>
      <c r="B186" s="680" t="s">
        <v>857</v>
      </c>
      <c r="C186" s="680">
        <v>2022.0</v>
      </c>
      <c r="D186" s="681" t="s">
        <v>3921</v>
      </c>
      <c r="E186" s="680">
        <v>1.0</v>
      </c>
      <c r="F186" s="680">
        <v>210.0</v>
      </c>
      <c r="G186" s="680" t="s">
        <v>4651</v>
      </c>
      <c r="H186" s="680" t="s">
        <v>4651</v>
      </c>
      <c r="I186" s="688"/>
      <c r="J186" s="680" t="s">
        <v>3755</v>
      </c>
      <c r="K186" s="680" t="s">
        <v>3755</v>
      </c>
      <c r="L186" s="680" t="s">
        <v>3758</v>
      </c>
      <c r="M186" s="680">
        <v>1.0</v>
      </c>
      <c r="N186" s="680">
        <v>1.0</v>
      </c>
      <c r="O186" s="680">
        <v>3.0</v>
      </c>
      <c r="P186" s="680" t="s">
        <v>3755</v>
      </c>
      <c r="Q186" s="666"/>
      <c r="R186" s="680">
        <v>75.0</v>
      </c>
      <c r="S186" s="680">
        <v>1.0</v>
      </c>
      <c r="T186" s="693">
        <f t="shared" si="10"/>
        <v>0.01333333333</v>
      </c>
      <c r="U186" s="680" t="s">
        <v>5233</v>
      </c>
      <c r="V186" s="688"/>
      <c r="W186" s="680"/>
      <c r="X186" s="688"/>
      <c r="Y186" s="680">
        <v>1.0</v>
      </c>
      <c r="Z186" s="680"/>
      <c r="AA186" s="669"/>
      <c r="AB186" s="695"/>
      <c r="AC186" s="669"/>
    </row>
    <row r="187" ht="18.0" customHeight="1">
      <c r="A187" s="680" t="s">
        <v>5322</v>
      </c>
      <c r="B187" s="680" t="s">
        <v>857</v>
      </c>
      <c r="C187" s="680">
        <v>2025.0</v>
      </c>
      <c r="D187" s="681" t="s">
        <v>4019</v>
      </c>
      <c r="E187" s="680">
        <v>1.0</v>
      </c>
      <c r="F187" s="680">
        <v>252.0</v>
      </c>
      <c r="G187" s="680" t="s">
        <v>4651</v>
      </c>
      <c r="H187" s="680" t="s">
        <v>4651</v>
      </c>
      <c r="I187" s="680" t="s">
        <v>3879</v>
      </c>
      <c r="J187" s="680" t="s">
        <v>3755</v>
      </c>
      <c r="K187" s="680" t="s">
        <v>3755</v>
      </c>
      <c r="L187" s="680" t="s">
        <v>3758</v>
      </c>
      <c r="M187" s="680">
        <v>2.0</v>
      </c>
      <c r="N187" s="680">
        <v>2.0</v>
      </c>
      <c r="O187" s="680">
        <v>10.0</v>
      </c>
      <c r="P187" s="680" t="s">
        <v>3755</v>
      </c>
      <c r="Q187" s="666"/>
      <c r="R187" s="680">
        <v>41.0</v>
      </c>
      <c r="S187" s="857">
        <v>21.0</v>
      </c>
      <c r="T187" s="693">
        <f t="shared" si="10"/>
        <v>0.512195122</v>
      </c>
      <c r="U187" s="680" t="s">
        <v>5326</v>
      </c>
      <c r="V187" s="707"/>
      <c r="W187" s="680"/>
      <c r="X187" s="680"/>
      <c r="Y187" s="680"/>
      <c r="Z187" s="686"/>
      <c r="AA187" s="669"/>
      <c r="AB187" s="176" t="s">
        <v>3778</v>
      </c>
      <c r="AC187" s="669"/>
    </row>
    <row r="188" ht="18.0" customHeight="1">
      <c r="A188" s="680" t="s">
        <v>5327</v>
      </c>
      <c r="B188" s="680" t="s">
        <v>857</v>
      </c>
      <c r="C188" s="680">
        <v>2025.0</v>
      </c>
      <c r="D188" s="681" t="s">
        <v>3844</v>
      </c>
      <c r="E188" s="680">
        <v>1.0</v>
      </c>
      <c r="F188" s="680">
        <v>245.0</v>
      </c>
      <c r="G188" s="680" t="s">
        <v>4651</v>
      </c>
      <c r="H188" s="680" t="s">
        <v>4651</v>
      </c>
      <c r="I188" s="680" t="s">
        <v>3812</v>
      </c>
      <c r="J188" s="680" t="s">
        <v>3758</v>
      </c>
      <c r="K188" s="680" t="s">
        <v>3755</v>
      </c>
      <c r="L188" s="680" t="s">
        <v>3755</v>
      </c>
      <c r="M188" s="680">
        <v>2.0</v>
      </c>
      <c r="N188" s="680">
        <v>5.0</v>
      </c>
      <c r="O188" s="680">
        <v>10.0</v>
      </c>
      <c r="P188" s="680" t="s">
        <v>3755</v>
      </c>
      <c r="Q188" s="666"/>
      <c r="R188" s="680">
        <v>51.0</v>
      </c>
      <c r="S188" s="680">
        <v>15.0</v>
      </c>
      <c r="T188" s="693">
        <f t="shared" si="10"/>
        <v>0.2941176471</v>
      </c>
      <c r="U188" s="691">
        <v>45580.0</v>
      </c>
      <c r="V188" s="686"/>
      <c r="W188" s="686"/>
      <c r="X188" s="686"/>
      <c r="Y188" s="686"/>
      <c r="Z188" s="686"/>
      <c r="AA188" s="669"/>
      <c r="AB188" s="176" t="s">
        <v>3778</v>
      </c>
      <c r="AC188" s="669"/>
    </row>
    <row r="189" ht="17.25" customHeight="1">
      <c r="A189" s="680" t="s">
        <v>5332</v>
      </c>
      <c r="B189" s="680" t="s">
        <v>3919</v>
      </c>
      <c r="C189" s="680">
        <v>2025.0</v>
      </c>
      <c r="D189" s="681" t="s">
        <v>3844</v>
      </c>
      <c r="E189" s="680">
        <v>1.0</v>
      </c>
      <c r="F189" s="680">
        <v>240.0</v>
      </c>
      <c r="G189" s="680" t="s">
        <v>5271</v>
      </c>
      <c r="H189" s="680">
        <v>563.0</v>
      </c>
      <c r="I189" s="680" t="s">
        <v>3879</v>
      </c>
      <c r="J189" s="680" t="s">
        <v>3758</v>
      </c>
      <c r="K189" s="680" t="s">
        <v>3755</v>
      </c>
      <c r="L189" s="680" t="s">
        <v>3758</v>
      </c>
      <c r="M189" s="680">
        <v>5.0</v>
      </c>
      <c r="N189" s="680">
        <v>0.0</v>
      </c>
      <c r="O189" s="680">
        <v>10.0</v>
      </c>
      <c r="P189" s="680" t="s">
        <v>3755</v>
      </c>
      <c r="Q189" s="666"/>
      <c r="R189" s="680">
        <v>45.0</v>
      </c>
      <c r="S189" s="680">
        <v>3.0</v>
      </c>
      <c r="T189" s="693">
        <f t="shared" si="10"/>
        <v>0.06666666667</v>
      </c>
      <c r="U189" s="691"/>
      <c r="V189" s="686"/>
      <c r="W189" s="680"/>
      <c r="X189" s="686"/>
      <c r="Y189" s="686"/>
      <c r="Z189" s="686"/>
      <c r="AA189" s="669"/>
      <c r="AB189" s="176"/>
      <c r="AC189" s="669"/>
    </row>
    <row r="190" ht="18.0" customHeight="1">
      <c r="A190" s="680" t="s">
        <v>5339</v>
      </c>
      <c r="B190" s="680" t="s">
        <v>857</v>
      </c>
      <c r="C190" s="680">
        <v>2025.0</v>
      </c>
      <c r="G190" s="680" t="s">
        <v>5271</v>
      </c>
      <c r="H190" s="686"/>
      <c r="I190" s="680" t="s">
        <v>3879</v>
      </c>
      <c r="J190" s="176" t="s">
        <v>3755</v>
      </c>
      <c r="K190" s="176" t="s">
        <v>3755</v>
      </c>
      <c r="L190" s="680" t="s">
        <v>3755</v>
      </c>
      <c r="M190" s="680">
        <v>2.0</v>
      </c>
      <c r="N190" s="680">
        <v>15.0</v>
      </c>
      <c r="O190" s="680">
        <v>10.0</v>
      </c>
      <c r="P190" s="680" t="s">
        <v>3755</v>
      </c>
      <c r="Q190" s="666"/>
      <c r="R190" s="680">
        <v>187.0</v>
      </c>
      <c r="S190" s="680">
        <v>4.0</v>
      </c>
      <c r="T190" s="693">
        <f t="shared" si="10"/>
        <v>0.02139037433</v>
      </c>
      <c r="U190" s="688"/>
      <c r="V190" s="711" t="s">
        <v>5343</v>
      </c>
      <c r="W190" s="680">
        <v>1.0</v>
      </c>
      <c r="X190" s="686"/>
      <c r="Y190" s="681" t="s">
        <v>5344</v>
      </c>
      <c r="Z190" s="680">
        <v>1.0</v>
      </c>
      <c r="AA190" s="680">
        <v>241.0</v>
      </c>
      <c r="AB190" s="695"/>
      <c r="AC190" s="669"/>
    </row>
    <row r="191" ht="18.0" customHeight="1">
      <c r="A191" s="680" t="s">
        <v>5104</v>
      </c>
      <c r="B191" s="680" t="s">
        <v>857</v>
      </c>
      <c r="C191" s="680">
        <v>2023.0</v>
      </c>
      <c r="G191" s="688"/>
      <c r="H191" s="688"/>
      <c r="I191" s="680" t="s">
        <v>3893</v>
      </c>
      <c r="J191" s="680" t="s">
        <v>3755</v>
      </c>
      <c r="K191" s="680" t="s">
        <v>3755</v>
      </c>
      <c r="L191" s="680" t="s">
        <v>3758</v>
      </c>
      <c r="M191" s="680">
        <v>3.0</v>
      </c>
      <c r="N191" s="680">
        <v>13.0</v>
      </c>
      <c r="O191" s="680">
        <v>10.0</v>
      </c>
      <c r="P191" s="680" t="s">
        <v>3755</v>
      </c>
      <c r="Q191" s="666"/>
      <c r="R191" s="680">
        <v>64.0</v>
      </c>
      <c r="S191" s="690">
        <v>1.0</v>
      </c>
      <c r="T191" s="693">
        <f t="shared" si="10"/>
        <v>0.015625</v>
      </c>
      <c r="U191" s="691">
        <v>45306.0</v>
      </c>
      <c r="V191" s="680" t="s">
        <v>5348</v>
      </c>
      <c r="W191" s="686"/>
      <c r="X191" s="686"/>
      <c r="Y191" s="681"/>
      <c r="Z191" s="680">
        <v>2.0</v>
      </c>
      <c r="AA191" s="680">
        <v>241.0</v>
      </c>
      <c r="AB191" s="695"/>
      <c r="AC191" s="669"/>
    </row>
    <row r="192" ht="18.0" customHeight="1">
      <c r="A192" s="680" t="s">
        <v>5349</v>
      </c>
      <c r="B192" s="680" t="s">
        <v>857</v>
      </c>
      <c r="C192" s="680">
        <v>2025.0</v>
      </c>
      <c r="D192" s="681" t="s">
        <v>3995</v>
      </c>
      <c r="E192" s="680">
        <v>1.0</v>
      </c>
      <c r="F192" s="680">
        <v>258.0</v>
      </c>
      <c r="G192" s="680" t="s">
        <v>3808</v>
      </c>
      <c r="H192" s="680" t="s">
        <v>3808</v>
      </c>
      <c r="I192" s="686"/>
      <c r="J192" s="680" t="s">
        <v>3755</v>
      </c>
      <c r="K192" s="680" t="s">
        <v>3755</v>
      </c>
      <c r="L192" s="680" t="s">
        <v>3758</v>
      </c>
      <c r="M192" s="680">
        <v>2.0</v>
      </c>
      <c r="N192" s="680">
        <v>5.0</v>
      </c>
      <c r="O192" s="680">
        <v>9.0</v>
      </c>
      <c r="P192" s="680" t="s">
        <v>3755</v>
      </c>
      <c r="Q192" s="666"/>
      <c r="R192" s="680">
        <v>62.0</v>
      </c>
      <c r="S192" s="680">
        <v>9.0</v>
      </c>
      <c r="T192" s="693">
        <f t="shared" si="10"/>
        <v>0.1451612903</v>
      </c>
      <c r="U192" s="691">
        <v>45458.0</v>
      </c>
      <c r="V192" s="686"/>
      <c r="W192" s="686"/>
      <c r="X192" s="686"/>
      <c r="Y192" s="686"/>
      <c r="Z192" s="686"/>
      <c r="AA192" s="669"/>
      <c r="AB192" s="695"/>
      <c r="AC192" s="669"/>
    </row>
    <row r="193" ht="18.0" customHeight="1">
      <c r="A193" s="680" t="s">
        <v>5356</v>
      </c>
      <c r="B193" s="680" t="s">
        <v>857</v>
      </c>
      <c r="C193" s="680">
        <v>2025.0</v>
      </c>
      <c r="D193" s="681" t="s">
        <v>4135</v>
      </c>
      <c r="E193" s="680">
        <v>1.0</v>
      </c>
      <c r="F193" s="680">
        <v>236.0</v>
      </c>
      <c r="G193" s="680" t="s">
        <v>3808</v>
      </c>
      <c r="H193" s="680" t="s">
        <v>3808</v>
      </c>
      <c r="I193" s="176" t="s">
        <v>4834</v>
      </c>
      <c r="J193" s="176" t="s">
        <v>3755</v>
      </c>
      <c r="K193" s="176" t="s">
        <v>3755</v>
      </c>
      <c r="L193" s="680" t="s">
        <v>3755</v>
      </c>
      <c r="M193" s="680">
        <v>5.0</v>
      </c>
      <c r="N193" s="680">
        <v>23.0</v>
      </c>
      <c r="O193" s="680">
        <v>10.0</v>
      </c>
      <c r="P193" s="680" t="s">
        <v>3755</v>
      </c>
      <c r="Q193" s="666"/>
      <c r="R193" s="680">
        <v>79.0</v>
      </c>
      <c r="S193" s="680">
        <v>9.0</v>
      </c>
      <c r="T193" s="693">
        <f t="shared" si="10"/>
        <v>0.1139240506</v>
      </c>
      <c r="U193" s="691">
        <v>45458.0</v>
      </c>
      <c r="V193" s="707" t="s">
        <v>5359</v>
      </c>
      <c r="W193" s="689"/>
      <c r="X193" s="686"/>
      <c r="Y193" s="680">
        <v>3.0</v>
      </c>
      <c r="Z193" s="686"/>
      <c r="AA193" s="669"/>
      <c r="AB193" s="695"/>
      <c r="AC193" s="669"/>
    </row>
    <row r="194" ht="18.0" customHeight="1">
      <c r="A194" s="680" t="s">
        <v>5360</v>
      </c>
      <c r="B194" s="680" t="s">
        <v>857</v>
      </c>
      <c r="C194" s="680">
        <v>2025.0</v>
      </c>
      <c r="D194" s="681" t="s">
        <v>3804</v>
      </c>
      <c r="E194" s="680">
        <v>1.0</v>
      </c>
      <c r="F194" s="680">
        <v>272.0</v>
      </c>
      <c r="G194" s="680" t="s">
        <v>3808</v>
      </c>
      <c r="H194" s="680" t="s">
        <v>3808</v>
      </c>
      <c r="I194" s="680" t="s">
        <v>3879</v>
      </c>
      <c r="J194" s="680" t="s">
        <v>3755</v>
      </c>
      <c r="K194" s="680" t="s">
        <v>3755</v>
      </c>
      <c r="L194" s="680" t="s">
        <v>3758</v>
      </c>
      <c r="M194" s="680">
        <v>6.0</v>
      </c>
      <c r="N194" s="680">
        <v>11.0</v>
      </c>
      <c r="O194" s="680">
        <v>10.0</v>
      </c>
      <c r="P194" s="680" t="s">
        <v>3758</v>
      </c>
      <c r="Q194" s="666"/>
      <c r="R194" s="680">
        <v>98.0</v>
      </c>
      <c r="S194" s="680">
        <v>19.0</v>
      </c>
      <c r="T194" s="693">
        <f t="shared" si="10"/>
        <v>0.193877551</v>
      </c>
      <c r="U194" s="691">
        <v>45488.0</v>
      </c>
      <c r="V194" s="686"/>
      <c r="W194" s="686"/>
      <c r="X194" s="686"/>
      <c r="Y194" s="680"/>
      <c r="Z194" s="686"/>
      <c r="AA194" s="669"/>
      <c r="AB194" s="176" t="s">
        <v>3778</v>
      </c>
      <c r="AC194" s="669"/>
    </row>
    <row r="195" ht="18.0" customHeight="1">
      <c r="A195" s="680" t="s">
        <v>5365</v>
      </c>
      <c r="B195" s="680" t="s">
        <v>857</v>
      </c>
      <c r="C195" s="680">
        <v>2025.0</v>
      </c>
      <c r="D195" s="681" t="s">
        <v>3844</v>
      </c>
      <c r="E195" s="680">
        <v>1.0</v>
      </c>
      <c r="F195" s="680">
        <v>262.0</v>
      </c>
      <c r="G195" s="176" t="s">
        <v>3808</v>
      </c>
      <c r="H195" s="176" t="s">
        <v>3808</v>
      </c>
      <c r="I195" s="688"/>
      <c r="J195" s="680" t="s">
        <v>3755</v>
      </c>
      <c r="K195" s="680" t="s">
        <v>3755</v>
      </c>
      <c r="L195" s="680" t="s">
        <v>3755</v>
      </c>
      <c r="M195" s="680">
        <v>5.0</v>
      </c>
      <c r="N195" s="680">
        <v>8.0</v>
      </c>
      <c r="O195" s="680">
        <v>9.0</v>
      </c>
      <c r="P195" s="680" t="s">
        <v>3755</v>
      </c>
      <c r="Q195" s="666"/>
      <c r="R195" s="680">
        <v>68.0</v>
      </c>
      <c r="S195" s="680">
        <v>2.0</v>
      </c>
      <c r="T195" s="693">
        <f t="shared" si="10"/>
        <v>0.02941176471</v>
      </c>
      <c r="U195" s="686"/>
      <c r="V195" s="686"/>
      <c r="W195" s="686"/>
      <c r="X195" s="686"/>
      <c r="Y195" s="686"/>
      <c r="Z195" s="686"/>
      <c r="AA195" s="669"/>
      <c r="AB195" s="695"/>
      <c r="AC195" s="669"/>
    </row>
    <row r="196" ht="18.0" customHeight="1">
      <c r="A196" s="680" t="s">
        <v>5372</v>
      </c>
      <c r="B196" s="680" t="s">
        <v>857</v>
      </c>
      <c r="C196" s="680">
        <v>2025.0</v>
      </c>
      <c r="D196" s="687" t="s">
        <v>3829</v>
      </c>
      <c r="E196" s="680">
        <v>1.0</v>
      </c>
      <c r="F196" s="680">
        <v>255.0</v>
      </c>
      <c r="G196" s="680" t="s">
        <v>3808</v>
      </c>
      <c r="H196" s="680" t="s">
        <v>3808</v>
      </c>
      <c r="I196" s="176" t="s">
        <v>3812</v>
      </c>
      <c r="J196" s="680" t="s">
        <v>3755</v>
      </c>
      <c r="K196" s="176" t="s">
        <v>3755</v>
      </c>
      <c r="L196" s="680" t="s">
        <v>3758</v>
      </c>
      <c r="M196" s="680">
        <v>5.0</v>
      </c>
      <c r="N196" s="680">
        <v>2.0</v>
      </c>
      <c r="O196" s="680">
        <v>10.0</v>
      </c>
      <c r="P196" s="680" t="s">
        <v>3755</v>
      </c>
      <c r="Q196" s="666"/>
      <c r="R196" s="680">
        <v>93.0</v>
      </c>
      <c r="S196" s="690">
        <v>4.0</v>
      </c>
      <c r="T196" s="693">
        <f t="shared" si="10"/>
        <v>0.04301075269</v>
      </c>
      <c r="U196" s="680" t="s">
        <v>5233</v>
      </c>
      <c r="V196" s="680" t="s">
        <v>5384</v>
      </c>
      <c r="W196" s="688"/>
      <c r="X196" s="686"/>
      <c r="Y196" s="686"/>
      <c r="Z196" s="688"/>
      <c r="AA196" s="669"/>
      <c r="AB196" s="695"/>
      <c r="AC196" s="669"/>
    </row>
    <row r="197" ht="18.0" customHeight="1">
      <c r="A197" s="680" t="s">
        <v>5388</v>
      </c>
      <c r="B197" s="680" t="s">
        <v>3741</v>
      </c>
      <c r="C197" s="680">
        <v>2019.0</v>
      </c>
      <c r="D197" s="687" t="s">
        <v>3829</v>
      </c>
      <c r="E197" s="680">
        <v>1.0</v>
      </c>
      <c r="F197" s="680">
        <v>256.0</v>
      </c>
      <c r="G197" s="688"/>
      <c r="H197" s="688"/>
      <c r="I197" s="176" t="s">
        <v>3812</v>
      </c>
      <c r="J197" s="680" t="s">
        <v>3755</v>
      </c>
      <c r="K197" s="680" t="s">
        <v>3755</v>
      </c>
      <c r="L197" s="680" t="s">
        <v>3755</v>
      </c>
      <c r="M197" s="680">
        <v>5.0</v>
      </c>
      <c r="N197" s="680">
        <v>14.0</v>
      </c>
      <c r="O197" s="680">
        <v>10.0</v>
      </c>
      <c r="P197" s="680" t="s">
        <v>3755</v>
      </c>
      <c r="Q197" s="666"/>
      <c r="R197" s="680">
        <v>252.0</v>
      </c>
      <c r="S197" s="690">
        <v>2.0</v>
      </c>
      <c r="T197" s="693">
        <f t="shared" si="10"/>
        <v>0.007936507937</v>
      </c>
      <c r="U197" s="691">
        <v>45306.0</v>
      </c>
      <c r="V197" s="680" t="s">
        <v>5390</v>
      </c>
      <c r="W197" s="680">
        <v>2.0</v>
      </c>
      <c r="X197" s="688"/>
      <c r="Y197" s="688"/>
      <c r="Z197" s="688"/>
      <c r="AA197" s="669"/>
      <c r="AB197" s="695"/>
      <c r="AC197" s="669"/>
    </row>
    <row r="198" ht="18.0" customHeight="1">
      <c r="A198" s="680" t="s">
        <v>5391</v>
      </c>
      <c r="B198" s="176" t="s">
        <v>857</v>
      </c>
      <c r="C198" s="176">
        <v>2024.0</v>
      </c>
      <c r="D198" s="176" t="s">
        <v>5393</v>
      </c>
      <c r="E198" s="176">
        <v>1.0</v>
      </c>
      <c r="F198" s="680">
        <v>232.0</v>
      </c>
      <c r="G198" s="176" t="s">
        <v>5396</v>
      </c>
      <c r="H198" s="176" t="s">
        <v>5396</v>
      </c>
      <c r="I198" s="176" t="s">
        <v>3893</v>
      </c>
      <c r="J198" s="176" t="s">
        <v>3755</v>
      </c>
      <c r="K198" s="176" t="s">
        <v>3755</v>
      </c>
      <c r="L198" s="680" t="s">
        <v>3755</v>
      </c>
      <c r="M198" s="680">
        <v>0.0</v>
      </c>
      <c r="N198" s="680">
        <v>1.0</v>
      </c>
      <c r="O198" s="680">
        <v>9.0</v>
      </c>
      <c r="P198" s="680" t="s">
        <v>3755</v>
      </c>
      <c r="Q198" s="666"/>
      <c r="R198" s="680">
        <v>16.0</v>
      </c>
      <c r="S198" s="712">
        <v>0.0</v>
      </c>
      <c r="T198" s="693">
        <f t="shared" si="10"/>
        <v>0</v>
      </c>
      <c r="U198" s="691"/>
      <c r="V198" s="753"/>
      <c r="W198" s="680"/>
      <c r="X198" s="680"/>
      <c r="Y198" s="680"/>
      <c r="Z198" s="680"/>
      <c r="AA198" s="669"/>
      <c r="AB198" s="176" t="s">
        <v>3882</v>
      </c>
      <c r="AC198" s="669"/>
    </row>
    <row r="199" ht="18.0" customHeight="1">
      <c r="A199" s="680" t="s">
        <v>5401</v>
      </c>
      <c r="B199" s="680" t="s">
        <v>857</v>
      </c>
      <c r="C199" s="680">
        <v>2024.0</v>
      </c>
      <c r="D199" s="681" t="s">
        <v>3921</v>
      </c>
      <c r="E199" s="680">
        <v>1.0</v>
      </c>
      <c r="F199" s="680">
        <v>243.0</v>
      </c>
      <c r="G199" s="680" t="s">
        <v>5402</v>
      </c>
      <c r="H199" s="680" t="s">
        <v>5402</v>
      </c>
      <c r="I199" s="680" t="s">
        <v>3812</v>
      </c>
      <c r="J199" s="680" t="s">
        <v>3755</v>
      </c>
      <c r="K199" s="680" t="s">
        <v>3755</v>
      </c>
      <c r="L199" s="680" t="s">
        <v>3758</v>
      </c>
      <c r="M199" s="680">
        <v>5.0</v>
      </c>
      <c r="N199" s="680">
        <v>4.0</v>
      </c>
      <c r="O199" s="680">
        <v>10.0</v>
      </c>
      <c r="P199" s="680" t="s">
        <v>3755</v>
      </c>
      <c r="Q199" s="666"/>
      <c r="R199" s="690">
        <v>158.0</v>
      </c>
      <c r="S199" s="680">
        <v>4.0</v>
      </c>
      <c r="T199" s="693">
        <f t="shared" si="10"/>
        <v>0.0253164557</v>
      </c>
      <c r="U199" s="688"/>
      <c r="V199" s="680" t="s">
        <v>5406</v>
      </c>
      <c r="W199" s="680">
        <v>2.0</v>
      </c>
      <c r="X199" s="686"/>
      <c r="Y199" s="688"/>
      <c r="Z199" s="686"/>
      <c r="AA199" s="669"/>
      <c r="AB199" s="695"/>
      <c r="AC199" s="669"/>
    </row>
    <row r="200" ht="14.25" customHeight="1">
      <c r="A200" s="680" t="s">
        <v>5407</v>
      </c>
      <c r="B200" s="680" t="s">
        <v>857</v>
      </c>
      <c r="C200" s="680">
        <v>2018.0</v>
      </c>
      <c r="D200" s="687" t="s">
        <v>3829</v>
      </c>
      <c r="E200" s="680">
        <v>1.0</v>
      </c>
      <c r="F200" s="680">
        <v>257.0</v>
      </c>
      <c r="G200" s="680" t="s">
        <v>3808</v>
      </c>
      <c r="H200" s="680" t="s">
        <v>3808</v>
      </c>
      <c r="I200" s="680" t="s">
        <v>3812</v>
      </c>
      <c r="J200" s="680" t="s">
        <v>3755</v>
      </c>
      <c r="K200" s="680" t="s">
        <v>3755</v>
      </c>
      <c r="L200" s="680" t="s">
        <v>3755</v>
      </c>
      <c r="M200" s="680">
        <v>7.0</v>
      </c>
      <c r="N200" s="680">
        <v>13.0</v>
      </c>
      <c r="O200" s="680">
        <v>10.0</v>
      </c>
      <c r="P200" s="680" t="s">
        <v>3755</v>
      </c>
      <c r="Q200" s="666"/>
      <c r="R200" s="680">
        <v>275.0</v>
      </c>
      <c r="S200" s="690">
        <v>16.0</v>
      </c>
      <c r="T200" s="693">
        <f t="shared" si="10"/>
        <v>0.05818181818</v>
      </c>
      <c r="U200" s="696"/>
      <c r="V200" s="860" t="s">
        <v>5410</v>
      </c>
      <c r="W200" s="686"/>
      <c r="X200" s="688"/>
      <c r="Y200" s="680"/>
      <c r="Z200" s="688"/>
      <c r="AA200" s="669"/>
      <c r="AB200" s="176" t="s">
        <v>3778</v>
      </c>
      <c r="AC200" s="669"/>
    </row>
    <row r="201" ht="18.0" customHeight="1">
      <c r="A201" s="680" t="s">
        <v>5416</v>
      </c>
      <c r="B201" s="670" t="s">
        <v>857</v>
      </c>
      <c r="C201" s="680">
        <v>2025.0</v>
      </c>
      <c r="D201" s="681" t="s">
        <v>3844</v>
      </c>
      <c r="E201" s="680">
        <v>1.0</v>
      </c>
      <c r="F201" s="680">
        <v>243.0</v>
      </c>
      <c r="G201" s="680" t="s">
        <v>3808</v>
      </c>
      <c r="H201" s="680" t="s">
        <v>3808</v>
      </c>
      <c r="I201" s="680" t="s">
        <v>4834</v>
      </c>
      <c r="J201" s="680" t="s">
        <v>3755</v>
      </c>
      <c r="K201" s="680" t="s">
        <v>3755</v>
      </c>
      <c r="L201" s="680" t="s">
        <v>3755</v>
      </c>
      <c r="M201" s="680">
        <v>0.0</v>
      </c>
      <c r="N201" s="680">
        <v>2.0</v>
      </c>
      <c r="O201" s="680">
        <v>10.0</v>
      </c>
      <c r="P201" s="680" t="s">
        <v>3755</v>
      </c>
      <c r="Q201" s="666"/>
      <c r="R201" s="680">
        <v>91.0</v>
      </c>
      <c r="S201" s="680">
        <v>8.0</v>
      </c>
      <c r="T201" s="693">
        <f t="shared" si="10"/>
        <v>0.08791208791</v>
      </c>
      <c r="U201" s="691">
        <v>45458.0</v>
      </c>
      <c r="V201" s="711" t="s">
        <v>5422</v>
      </c>
      <c r="W201" s="686"/>
      <c r="X201" s="686"/>
      <c r="Y201" s="686"/>
      <c r="Z201" s="686"/>
      <c r="AA201" s="666"/>
      <c r="AB201" s="686"/>
      <c r="AC201" s="666"/>
    </row>
    <row r="202" ht="18.0" customHeight="1">
      <c r="A202" s="680" t="s">
        <v>5425</v>
      </c>
      <c r="B202" s="680" t="s">
        <v>857</v>
      </c>
      <c r="C202" s="680">
        <v>2022.0</v>
      </c>
      <c r="D202" s="687" t="s">
        <v>3829</v>
      </c>
      <c r="E202" s="680">
        <v>1.0</v>
      </c>
      <c r="F202" s="680">
        <v>259.0</v>
      </c>
      <c r="G202" s="680" t="s">
        <v>3808</v>
      </c>
      <c r="H202" s="680" t="s">
        <v>3808</v>
      </c>
      <c r="I202" s="176" t="s">
        <v>3812</v>
      </c>
      <c r="J202" s="680" t="s">
        <v>3755</v>
      </c>
      <c r="K202" s="680" t="s">
        <v>3755</v>
      </c>
      <c r="L202" s="680" t="s">
        <v>3755</v>
      </c>
      <c r="M202" s="686"/>
      <c r="N202" s="680">
        <v>77.0</v>
      </c>
      <c r="O202" s="680">
        <v>10.0</v>
      </c>
      <c r="P202" s="680" t="s">
        <v>3755</v>
      </c>
      <c r="Q202" s="666"/>
      <c r="R202" s="680">
        <v>140.0</v>
      </c>
      <c r="S202" s="680">
        <v>0.0</v>
      </c>
      <c r="T202" s="693">
        <f t="shared" si="10"/>
        <v>0</v>
      </c>
      <c r="U202" s="691"/>
      <c r="V202" s="686"/>
      <c r="W202" s="680"/>
      <c r="X202" s="680"/>
      <c r="Y202" s="686"/>
      <c r="Z202" s="686"/>
      <c r="AA202" s="669"/>
      <c r="AB202" s="176" t="s">
        <v>3882</v>
      </c>
      <c r="AC202" s="669"/>
    </row>
    <row r="203" ht="18.0" customHeight="1">
      <c r="A203" s="680" t="s">
        <v>5433</v>
      </c>
      <c r="B203" s="680" t="s">
        <v>857</v>
      </c>
      <c r="C203" s="680">
        <v>2025.0</v>
      </c>
      <c r="D203" s="681" t="s">
        <v>4143</v>
      </c>
      <c r="E203" s="680">
        <v>1.0</v>
      </c>
      <c r="F203" s="680">
        <v>276.0</v>
      </c>
      <c r="G203" s="680" t="s">
        <v>3808</v>
      </c>
      <c r="H203" s="680" t="s">
        <v>4651</v>
      </c>
      <c r="I203" s="680" t="s">
        <v>3812</v>
      </c>
      <c r="J203" s="680" t="s">
        <v>3758</v>
      </c>
      <c r="K203" s="680" t="s">
        <v>3758</v>
      </c>
      <c r="L203" s="680" t="s">
        <v>3758</v>
      </c>
      <c r="M203" s="680">
        <v>8.0</v>
      </c>
      <c r="N203" s="680">
        <v>52.0</v>
      </c>
      <c r="O203" s="680">
        <v>10.0</v>
      </c>
      <c r="P203" s="680" t="s">
        <v>3755</v>
      </c>
      <c r="Q203" s="666"/>
      <c r="R203" s="680">
        <v>10.0</v>
      </c>
      <c r="S203" s="680">
        <v>5.0</v>
      </c>
      <c r="T203" s="693">
        <f t="shared" si="10"/>
        <v>0.5</v>
      </c>
      <c r="U203" s="688"/>
      <c r="V203" s="686"/>
      <c r="W203" s="686"/>
      <c r="X203" s="686"/>
      <c r="Y203" s="686"/>
      <c r="Z203" s="686"/>
      <c r="AA203" s="669"/>
      <c r="AB203" s="695"/>
      <c r="AC203" s="669"/>
    </row>
    <row r="204" ht="18.0" customHeight="1">
      <c r="A204" s="680" t="s">
        <v>5440</v>
      </c>
      <c r="B204" s="680" t="s">
        <v>857</v>
      </c>
      <c r="C204" s="680">
        <v>2025.0</v>
      </c>
      <c r="D204" s="681" t="s">
        <v>3844</v>
      </c>
      <c r="E204" s="680">
        <v>1.0</v>
      </c>
      <c r="F204" s="680">
        <v>258.0</v>
      </c>
      <c r="G204" s="680" t="s">
        <v>5402</v>
      </c>
      <c r="H204" s="680" t="s">
        <v>5402</v>
      </c>
      <c r="I204" s="680" t="s">
        <v>3893</v>
      </c>
      <c r="J204" s="680" t="s">
        <v>3755</v>
      </c>
      <c r="K204" s="680" t="s">
        <v>3755</v>
      </c>
      <c r="L204" s="680" t="s">
        <v>3755</v>
      </c>
      <c r="M204" s="680">
        <v>1.0</v>
      </c>
      <c r="N204" s="680">
        <v>18.0</v>
      </c>
      <c r="O204" s="680">
        <v>10.0</v>
      </c>
      <c r="P204" s="680" t="s">
        <v>3755</v>
      </c>
      <c r="Q204" s="666"/>
      <c r="R204" s="680">
        <v>64.0</v>
      </c>
      <c r="S204" s="680">
        <v>15.0</v>
      </c>
      <c r="T204" s="693">
        <f t="shared" si="10"/>
        <v>0.234375</v>
      </c>
      <c r="U204" s="691">
        <v>45458.0</v>
      </c>
      <c r="V204" s="688"/>
      <c r="W204" s="688"/>
      <c r="X204" s="680"/>
      <c r="Y204" s="680">
        <v>2.0</v>
      </c>
      <c r="Z204" s="688"/>
      <c r="AA204" s="669"/>
      <c r="AB204" s="695"/>
      <c r="AC204" s="669"/>
    </row>
    <row r="205" ht="18.0" customHeight="1">
      <c r="A205" s="680" t="s">
        <v>5449</v>
      </c>
      <c r="B205" s="680" t="s">
        <v>3919</v>
      </c>
      <c r="C205" s="680">
        <v>2025.0</v>
      </c>
      <c r="D205" s="681" t="s">
        <v>4135</v>
      </c>
      <c r="E205" s="680">
        <v>1.0</v>
      </c>
      <c r="F205" s="680">
        <v>248.0</v>
      </c>
      <c r="G205" s="680" t="s">
        <v>4197</v>
      </c>
      <c r="H205" s="680">
        <v>532.0</v>
      </c>
      <c r="I205" s="176" t="s">
        <v>3893</v>
      </c>
      <c r="J205" s="680" t="s">
        <v>3755</v>
      </c>
      <c r="K205" s="680" t="s">
        <v>3755</v>
      </c>
      <c r="L205" s="680" t="s">
        <v>3758</v>
      </c>
      <c r="M205" s="680">
        <v>6.0</v>
      </c>
      <c r="N205" s="680">
        <v>1.0</v>
      </c>
      <c r="O205" s="680">
        <v>10.0</v>
      </c>
      <c r="P205" s="680" t="s">
        <v>3755</v>
      </c>
      <c r="Q205" s="666"/>
      <c r="R205" s="680">
        <v>115.0</v>
      </c>
      <c r="S205" s="680">
        <v>9.0</v>
      </c>
      <c r="T205" s="693">
        <f t="shared" si="10"/>
        <v>0.07826086957</v>
      </c>
      <c r="U205" s="691">
        <v>45366.0</v>
      </c>
      <c r="V205" s="686"/>
      <c r="W205" s="686"/>
      <c r="X205" s="686"/>
      <c r="Y205" s="688"/>
      <c r="Z205" s="688"/>
      <c r="AA205" s="669"/>
      <c r="AB205" s="695"/>
      <c r="AC205" s="669"/>
    </row>
    <row r="206" ht="18.0" customHeight="1">
      <c r="A206" s="680" t="s">
        <v>5455</v>
      </c>
      <c r="B206" s="680" t="s">
        <v>3919</v>
      </c>
      <c r="C206" s="680">
        <v>2025.0</v>
      </c>
      <c r="D206" s="681" t="s">
        <v>5456</v>
      </c>
      <c r="E206" s="680">
        <v>1.0</v>
      </c>
      <c r="F206" s="680">
        <v>276.0</v>
      </c>
      <c r="G206" s="680" t="s">
        <v>5271</v>
      </c>
      <c r="H206" s="680">
        <v>735.0</v>
      </c>
      <c r="I206" s="680" t="s">
        <v>3812</v>
      </c>
      <c r="J206" s="680" t="s">
        <v>3755</v>
      </c>
      <c r="K206" s="680" t="s">
        <v>3755</v>
      </c>
      <c r="L206" s="680" t="s">
        <v>3758</v>
      </c>
      <c r="M206" s="680">
        <v>6.0</v>
      </c>
      <c r="N206" s="680">
        <v>3.0</v>
      </c>
      <c r="O206" s="680">
        <v>9.0</v>
      </c>
      <c r="P206" s="680" t="s">
        <v>3755</v>
      </c>
      <c r="Q206" s="666"/>
      <c r="R206" s="680">
        <v>35.0</v>
      </c>
      <c r="S206" s="680">
        <v>15.0</v>
      </c>
      <c r="T206" s="693">
        <f t="shared" si="10"/>
        <v>0.4285714286</v>
      </c>
      <c r="U206" s="691"/>
      <c r="V206" s="711" t="s">
        <v>5459</v>
      </c>
      <c r="W206" s="686"/>
      <c r="X206" s="686"/>
      <c r="Y206" s="686"/>
      <c r="Z206" s="686"/>
      <c r="AA206" s="669"/>
      <c r="AB206" s="695"/>
      <c r="AC206" s="669"/>
    </row>
    <row r="207" ht="18.0" customHeight="1">
      <c r="A207" s="680" t="s">
        <v>5463</v>
      </c>
      <c r="B207" s="680" t="s">
        <v>3741</v>
      </c>
      <c r="C207" s="680">
        <v>2024.0</v>
      </c>
      <c r="D207" s="687" t="s">
        <v>3829</v>
      </c>
      <c r="E207" s="680">
        <v>1.0</v>
      </c>
      <c r="F207" s="680">
        <v>267.0</v>
      </c>
      <c r="G207" s="688"/>
      <c r="H207" s="688"/>
      <c r="I207" s="731"/>
      <c r="J207" s="688"/>
      <c r="K207" s="688"/>
      <c r="L207" s="688"/>
      <c r="M207" s="688"/>
      <c r="N207" s="680">
        <v>18.0</v>
      </c>
      <c r="O207" s="680">
        <v>10.0</v>
      </c>
      <c r="P207" s="680" t="s">
        <v>3755</v>
      </c>
      <c r="Q207" s="666"/>
      <c r="R207" s="680">
        <v>137.0</v>
      </c>
      <c r="S207" s="680">
        <v>0.0</v>
      </c>
      <c r="T207" s="693">
        <f>S207/S206</f>
        <v>0</v>
      </c>
      <c r="U207" s="696"/>
      <c r="V207" s="686"/>
      <c r="W207" s="686"/>
      <c r="X207" s="686"/>
      <c r="Y207" s="686"/>
      <c r="Z207" s="686"/>
      <c r="AA207" s="669"/>
      <c r="AB207" s="176" t="s">
        <v>3882</v>
      </c>
      <c r="AC207" s="669"/>
    </row>
    <row r="208" ht="18.0" customHeight="1">
      <c r="A208" s="680" t="s">
        <v>5473</v>
      </c>
      <c r="B208" s="680" t="s">
        <v>857</v>
      </c>
      <c r="C208" s="680">
        <v>2023.0</v>
      </c>
      <c r="D208" s="687" t="s">
        <v>3829</v>
      </c>
      <c r="E208" s="680">
        <v>1.0</v>
      </c>
      <c r="F208" s="680">
        <v>257.0</v>
      </c>
      <c r="G208" s="680" t="s">
        <v>3808</v>
      </c>
      <c r="H208" s="680" t="s">
        <v>3808</v>
      </c>
      <c r="I208" s="680" t="s">
        <v>3812</v>
      </c>
      <c r="J208" s="176" t="s">
        <v>3755</v>
      </c>
      <c r="K208" s="680" t="s">
        <v>3755</v>
      </c>
      <c r="L208" s="680" t="s">
        <v>3758</v>
      </c>
      <c r="M208" s="680">
        <v>6.0</v>
      </c>
      <c r="N208" s="680">
        <v>0.0</v>
      </c>
      <c r="O208" s="680">
        <v>10.0</v>
      </c>
      <c r="P208" s="680" t="s">
        <v>3755</v>
      </c>
      <c r="Q208" s="666"/>
      <c r="R208" s="680">
        <v>39.0</v>
      </c>
      <c r="S208" s="688"/>
      <c r="T208" s="693">
        <f t="shared" ref="T208:T214" si="11">S208/R208</f>
        <v>0</v>
      </c>
      <c r="U208" s="696"/>
      <c r="V208" s="786"/>
      <c r="W208" s="686"/>
      <c r="X208" s="686"/>
      <c r="Y208" s="686"/>
      <c r="Z208" s="686"/>
      <c r="AA208" s="669"/>
      <c r="AB208" s="695"/>
      <c r="AC208" s="669"/>
    </row>
    <row r="209" ht="18.0" customHeight="1">
      <c r="A209" s="680" t="s">
        <v>5478</v>
      </c>
      <c r="B209" s="680" t="s">
        <v>857</v>
      </c>
      <c r="C209" s="680">
        <v>2024.0</v>
      </c>
      <c r="D209" s="681" t="s">
        <v>4167</v>
      </c>
      <c r="E209" s="680">
        <v>1.0</v>
      </c>
      <c r="F209" s="680">
        <v>250.0</v>
      </c>
      <c r="G209" s="680" t="s">
        <v>3808</v>
      </c>
      <c r="H209" s="680" t="s">
        <v>3808</v>
      </c>
      <c r="I209" s="176" t="s">
        <v>3812</v>
      </c>
      <c r="J209" s="680" t="s">
        <v>3755</v>
      </c>
      <c r="K209" s="680" t="s">
        <v>3755</v>
      </c>
      <c r="L209" s="680" t="s">
        <v>3755</v>
      </c>
      <c r="M209" s="688"/>
      <c r="N209" s="680">
        <v>32.0</v>
      </c>
      <c r="O209" s="680">
        <v>10.0</v>
      </c>
      <c r="P209" s="680" t="s">
        <v>3755</v>
      </c>
      <c r="Q209" s="666"/>
      <c r="R209" s="680">
        <v>170.0</v>
      </c>
      <c r="S209" s="680">
        <v>6.0</v>
      </c>
      <c r="T209" s="693">
        <f t="shared" si="11"/>
        <v>0.03529411765</v>
      </c>
      <c r="U209" s="691">
        <v>45792.0</v>
      </c>
      <c r="V209" s="680" t="s">
        <v>1291</v>
      </c>
      <c r="W209" s="686"/>
      <c r="X209" s="686"/>
      <c r="Y209" s="688"/>
      <c r="Z209" s="688"/>
      <c r="AA209" s="669"/>
      <c r="AB209" s="695"/>
      <c r="AC209" s="669"/>
    </row>
    <row r="210" ht="18.0" customHeight="1">
      <c r="A210" s="680" t="s">
        <v>5484</v>
      </c>
      <c r="B210" s="680" t="s">
        <v>857</v>
      </c>
      <c r="C210" s="680">
        <v>2025.0</v>
      </c>
      <c r="D210" s="681" t="s">
        <v>4135</v>
      </c>
      <c r="E210" s="680">
        <v>1.0</v>
      </c>
      <c r="F210" s="680">
        <v>267.0</v>
      </c>
      <c r="G210" s="680" t="s">
        <v>3808</v>
      </c>
      <c r="H210" s="680" t="s">
        <v>3808</v>
      </c>
      <c r="I210" s="680" t="s">
        <v>3812</v>
      </c>
      <c r="J210" s="680" t="s">
        <v>3755</v>
      </c>
      <c r="K210" s="680" t="s">
        <v>3755</v>
      </c>
      <c r="L210" s="680" t="s">
        <v>3758</v>
      </c>
      <c r="M210" s="680">
        <v>6.0</v>
      </c>
      <c r="N210" s="680">
        <v>0.0</v>
      </c>
      <c r="O210" s="680">
        <v>10.0</v>
      </c>
      <c r="P210" s="680" t="s">
        <v>3755</v>
      </c>
      <c r="Q210" s="666"/>
      <c r="R210" s="680">
        <v>50.0</v>
      </c>
      <c r="S210" s="680">
        <v>0.0</v>
      </c>
      <c r="T210" s="693">
        <f t="shared" si="11"/>
        <v>0</v>
      </c>
      <c r="U210" s="691"/>
      <c r="V210" s="698"/>
      <c r="W210" s="680"/>
      <c r="X210" s="680"/>
      <c r="Y210" s="680"/>
      <c r="Z210" s="680"/>
      <c r="AA210" s="669"/>
      <c r="AB210" s="176" t="s">
        <v>3882</v>
      </c>
      <c r="AC210" s="669"/>
    </row>
    <row r="211" ht="17.25" customHeight="1">
      <c r="A211" s="680" t="s">
        <v>5490</v>
      </c>
      <c r="B211" s="680" t="s">
        <v>857</v>
      </c>
      <c r="C211" s="680">
        <v>2025.0</v>
      </c>
      <c r="D211" s="681" t="s">
        <v>3844</v>
      </c>
      <c r="E211" s="680">
        <v>1.0</v>
      </c>
      <c r="F211" s="680">
        <v>260.0</v>
      </c>
      <c r="G211" s="680" t="s">
        <v>3808</v>
      </c>
      <c r="H211" s="176" t="s">
        <v>3808</v>
      </c>
      <c r="I211" s="680" t="s">
        <v>3812</v>
      </c>
      <c r="J211" s="680" t="s">
        <v>3755</v>
      </c>
      <c r="K211" s="680" t="s">
        <v>3755</v>
      </c>
      <c r="L211" s="680" t="s">
        <v>3758</v>
      </c>
      <c r="M211" s="680">
        <v>4.0</v>
      </c>
      <c r="N211" s="680">
        <v>3.0</v>
      </c>
      <c r="O211" s="680">
        <v>10.0</v>
      </c>
      <c r="P211" s="680" t="s">
        <v>3755</v>
      </c>
      <c r="Q211" s="666"/>
      <c r="R211" s="680">
        <v>76.0</v>
      </c>
      <c r="S211" s="680">
        <v>12.0</v>
      </c>
      <c r="T211" s="693">
        <f t="shared" si="11"/>
        <v>0.1578947368</v>
      </c>
      <c r="U211" s="691">
        <v>45458.0</v>
      </c>
      <c r="V211" s="686"/>
      <c r="W211" s="680">
        <v>11.0</v>
      </c>
      <c r="X211" s="680">
        <v>1.0</v>
      </c>
      <c r="Y211" s="686"/>
      <c r="Z211" s="686"/>
      <c r="AA211" s="669"/>
      <c r="AB211" s="176" t="s">
        <v>3778</v>
      </c>
      <c r="AC211" s="669"/>
    </row>
    <row r="212" ht="18.0" customHeight="1">
      <c r="A212" s="680" t="s">
        <v>5494</v>
      </c>
      <c r="B212" s="680" t="s">
        <v>857</v>
      </c>
      <c r="C212" s="680">
        <v>2025.0</v>
      </c>
      <c r="D212" s="681" t="s">
        <v>4122</v>
      </c>
      <c r="E212" s="680">
        <v>1.0</v>
      </c>
      <c r="F212" s="680">
        <v>272.0</v>
      </c>
      <c r="G212" s="680" t="s">
        <v>3808</v>
      </c>
      <c r="H212" s="680" t="s">
        <v>3808</v>
      </c>
      <c r="I212" s="731"/>
      <c r="J212" s="688"/>
      <c r="K212" s="688"/>
      <c r="L212" s="688"/>
      <c r="M212" s="688"/>
      <c r="N212" s="680">
        <v>21.0</v>
      </c>
      <c r="O212" s="680">
        <v>10.0</v>
      </c>
      <c r="P212" s="680" t="s">
        <v>3755</v>
      </c>
      <c r="Q212" s="666"/>
      <c r="R212" s="680">
        <v>45.0</v>
      </c>
      <c r="S212" s="680">
        <v>16.0</v>
      </c>
      <c r="T212" s="693">
        <f t="shared" si="11"/>
        <v>0.3555555556</v>
      </c>
      <c r="U212" s="691">
        <v>45611.0</v>
      </c>
      <c r="V212" s="711" t="s">
        <v>5497</v>
      </c>
      <c r="W212" s="680"/>
      <c r="X212" s="686"/>
      <c r="Y212" s="680"/>
      <c r="Z212" s="686"/>
      <c r="AA212" s="669"/>
      <c r="AB212" s="176" t="s">
        <v>3778</v>
      </c>
      <c r="AC212" s="669"/>
    </row>
    <row r="213" ht="18.0" customHeight="1">
      <c r="A213" s="680" t="s">
        <v>5498</v>
      </c>
      <c r="B213" s="680" t="s">
        <v>857</v>
      </c>
      <c r="C213" s="680">
        <v>2025.0</v>
      </c>
      <c r="D213" s="681" t="s">
        <v>5160</v>
      </c>
      <c r="E213" s="680">
        <v>1.0</v>
      </c>
      <c r="F213" s="680">
        <v>250.0</v>
      </c>
      <c r="G213" s="680" t="s">
        <v>3808</v>
      </c>
      <c r="H213" s="680" t="s">
        <v>3808</v>
      </c>
      <c r="I213" s="680" t="s">
        <v>3812</v>
      </c>
      <c r="J213" s="680" t="s">
        <v>3758</v>
      </c>
      <c r="K213" s="680" t="s">
        <v>3758</v>
      </c>
      <c r="L213" s="680" t="s">
        <v>3758</v>
      </c>
      <c r="M213" s="680">
        <v>3.0</v>
      </c>
      <c r="N213" s="680">
        <v>1.0</v>
      </c>
      <c r="O213" s="680">
        <v>4.0</v>
      </c>
      <c r="P213" s="680" t="s">
        <v>3755</v>
      </c>
      <c r="Q213" s="666"/>
      <c r="R213" s="680">
        <v>173.0</v>
      </c>
      <c r="S213" s="680">
        <v>4.0</v>
      </c>
      <c r="T213" s="693">
        <f t="shared" si="11"/>
        <v>0.02312138728</v>
      </c>
      <c r="U213" s="696"/>
      <c r="V213" s="680" t="s">
        <v>5505</v>
      </c>
      <c r="W213" s="688"/>
      <c r="X213" s="688"/>
      <c r="Y213" s="688"/>
      <c r="Z213" s="688"/>
      <c r="AA213" s="669"/>
      <c r="AB213" s="695"/>
      <c r="AC213" s="669"/>
    </row>
    <row r="214" ht="18.0" customHeight="1">
      <c r="A214" s="680" t="s">
        <v>5506</v>
      </c>
      <c r="B214" s="680" t="s">
        <v>3919</v>
      </c>
      <c r="C214" s="680">
        <v>2025.0</v>
      </c>
      <c r="D214" s="681" t="s">
        <v>3844</v>
      </c>
      <c r="E214" s="680">
        <v>1.0</v>
      </c>
      <c r="F214" s="680">
        <v>246.0</v>
      </c>
      <c r="G214" s="688"/>
      <c r="H214" s="680">
        <v>564.0</v>
      </c>
      <c r="I214" s="680" t="s">
        <v>4834</v>
      </c>
      <c r="J214" s="680" t="s">
        <v>3755</v>
      </c>
      <c r="K214" s="680" t="s">
        <v>3755</v>
      </c>
      <c r="L214" s="680" t="s">
        <v>3758</v>
      </c>
      <c r="M214" s="680">
        <v>6.0</v>
      </c>
      <c r="N214" s="680">
        <v>4.0</v>
      </c>
      <c r="O214" s="680">
        <v>10.0</v>
      </c>
      <c r="P214" s="680" t="s">
        <v>3758</v>
      </c>
      <c r="Q214" s="666"/>
      <c r="R214" s="680">
        <v>90.0</v>
      </c>
      <c r="S214" s="680">
        <v>1.0</v>
      </c>
      <c r="T214" s="693">
        <f t="shared" si="11"/>
        <v>0.01111111111</v>
      </c>
      <c r="U214" s="691"/>
      <c r="V214" s="686"/>
      <c r="W214" s="686"/>
      <c r="X214" s="686"/>
      <c r="Y214" s="680"/>
      <c r="Z214" s="680"/>
      <c r="AA214" s="669"/>
      <c r="AB214" s="695"/>
      <c r="AC214" s="669"/>
    </row>
    <row r="215" ht="18.0" customHeight="1">
      <c r="A215" s="680" t="s">
        <v>5510</v>
      </c>
      <c r="B215" s="680" t="s">
        <v>857</v>
      </c>
      <c r="C215" s="680">
        <v>2024.0</v>
      </c>
      <c r="D215" s="681" t="s">
        <v>4143</v>
      </c>
      <c r="E215" s="680">
        <v>1.0</v>
      </c>
      <c r="F215" s="680">
        <v>262.0</v>
      </c>
      <c r="G215" s="688"/>
      <c r="H215" s="688"/>
      <c r="I215" s="688"/>
      <c r="J215" s="688"/>
      <c r="K215" s="688"/>
      <c r="L215" s="686"/>
      <c r="M215" s="686"/>
      <c r="N215" s="688"/>
      <c r="O215" s="688"/>
      <c r="P215" s="688"/>
      <c r="Q215" s="666"/>
      <c r="R215" s="680" t="s">
        <v>3868</v>
      </c>
      <c r="S215" s="680" t="s">
        <v>3868</v>
      </c>
      <c r="T215" s="680" t="s">
        <v>3870</v>
      </c>
      <c r="U215" s="688"/>
      <c r="V215" s="686"/>
      <c r="W215" s="686"/>
      <c r="X215" s="686"/>
      <c r="Y215" s="686"/>
      <c r="Z215" s="686"/>
      <c r="AA215" s="669"/>
      <c r="AB215" s="176"/>
      <c r="AC215" s="669"/>
    </row>
    <row r="216" ht="18.0" customHeight="1">
      <c r="A216" s="680" t="s">
        <v>5514</v>
      </c>
      <c r="B216" s="680" t="s">
        <v>857</v>
      </c>
      <c r="C216" s="680">
        <v>2025.0</v>
      </c>
      <c r="D216" s="681" t="s">
        <v>3995</v>
      </c>
      <c r="E216" s="680">
        <v>1.0</v>
      </c>
      <c r="F216" s="680">
        <v>263.0</v>
      </c>
      <c r="G216" s="680" t="s">
        <v>4651</v>
      </c>
      <c r="H216" s="680" t="s">
        <v>4651</v>
      </c>
      <c r="I216" s="680" t="s">
        <v>3812</v>
      </c>
      <c r="J216" s="680" t="s">
        <v>3755</v>
      </c>
      <c r="K216" s="680" t="s">
        <v>3755</v>
      </c>
      <c r="L216" s="680" t="s">
        <v>3758</v>
      </c>
      <c r="M216" s="680">
        <v>6.0</v>
      </c>
      <c r="N216" s="680">
        <v>23.0</v>
      </c>
      <c r="O216" s="680">
        <v>9.0</v>
      </c>
      <c r="P216" s="680" t="s">
        <v>3755</v>
      </c>
      <c r="Q216" s="666"/>
      <c r="R216" s="680">
        <v>80.0</v>
      </c>
      <c r="S216" s="680">
        <v>23.0</v>
      </c>
      <c r="T216" s="693">
        <f t="shared" ref="T216:T233" si="12">S216/R216</f>
        <v>0.2875</v>
      </c>
      <c r="U216" s="691">
        <v>45884.0</v>
      </c>
      <c r="V216" s="747" t="s">
        <v>5519</v>
      </c>
      <c r="W216" s="680">
        <v>16.0</v>
      </c>
      <c r="X216" s="680">
        <v>3.0</v>
      </c>
      <c r="Y216" s="680"/>
      <c r="Z216" s="686"/>
      <c r="AA216" s="669"/>
      <c r="AB216" s="176" t="s">
        <v>3778</v>
      </c>
      <c r="AC216" s="669"/>
    </row>
    <row r="217" ht="18.0" customHeight="1">
      <c r="A217" s="680" t="s">
        <v>5520</v>
      </c>
      <c r="B217" s="680" t="s">
        <v>857</v>
      </c>
      <c r="C217" s="680">
        <v>2025.0</v>
      </c>
      <c r="D217" s="681" t="s">
        <v>3844</v>
      </c>
      <c r="E217" s="680">
        <v>1.0</v>
      </c>
      <c r="F217" s="680">
        <v>248.0</v>
      </c>
      <c r="G217" s="688"/>
      <c r="H217" s="688"/>
      <c r="I217" s="680" t="s">
        <v>3879</v>
      </c>
      <c r="J217" s="680" t="s">
        <v>3755</v>
      </c>
      <c r="K217" s="680" t="s">
        <v>3755</v>
      </c>
      <c r="L217" s="680" t="s">
        <v>3758</v>
      </c>
      <c r="M217" s="680">
        <v>5.0</v>
      </c>
      <c r="N217" s="680">
        <v>16.0</v>
      </c>
      <c r="O217" s="680">
        <v>10.0</v>
      </c>
      <c r="P217" s="680" t="s">
        <v>3755</v>
      </c>
      <c r="Q217" s="666"/>
      <c r="R217" s="680">
        <v>104.0</v>
      </c>
      <c r="S217" s="684">
        <v>25.0</v>
      </c>
      <c r="T217" s="693">
        <f t="shared" si="12"/>
        <v>0.2403846154</v>
      </c>
      <c r="U217" s="691">
        <v>45611.0</v>
      </c>
      <c r="V217" s="686"/>
      <c r="W217" s="680">
        <v>20.0</v>
      </c>
      <c r="X217" s="680">
        <v>5.0</v>
      </c>
      <c r="Y217" s="686"/>
      <c r="Z217" s="686"/>
      <c r="AA217" s="669"/>
      <c r="AB217" s="176" t="s">
        <v>3778</v>
      </c>
      <c r="AC217" s="669"/>
    </row>
    <row r="218" ht="18.0" customHeight="1">
      <c r="A218" s="742" t="s">
        <v>5524</v>
      </c>
      <c r="B218" s="680" t="s">
        <v>857</v>
      </c>
      <c r="C218" s="680">
        <v>2022.0</v>
      </c>
      <c r="D218" s="687" t="s">
        <v>3829</v>
      </c>
      <c r="E218" s="680">
        <v>1.0</v>
      </c>
      <c r="F218" s="680">
        <v>269.0</v>
      </c>
      <c r="G218" s="680" t="s">
        <v>3808</v>
      </c>
      <c r="H218" s="680" t="s">
        <v>3808</v>
      </c>
      <c r="I218" s="680" t="s">
        <v>3812</v>
      </c>
      <c r="J218" s="680" t="s">
        <v>3755</v>
      </c>
      <c r="K218" s="680" t="s">
        <v>3755</v>
      </c>
      <c r="L218" s="680" t="s">
        <v>3758</v>
      </c>
      <c r="M218" s="680">
        <v>2.0</v>
      </c>
      <c r="N218" s="680">
        <v>14.0</v>
      </c>
      <c r="O218" s="680">
        <v>10.0</v>
      </c>
      <c r="P218" s="680" t="s">
        <v>3755</v>
      </c>
      <c r="Q218" s="666"/>
      <c r="R218" s="680">
        <v>200.0</v>
      </c>
      <c r="S218" s="690">
        <v>11.0</v>
      </c>
      <c r="T218" s="693">
        <f t="shared" si="12"/>
        <v>0.055</v>
      </c>
      <c r="U218" s="691">
        <v>45427.0</v>
      </c>
      <c r="V218" s="686"/>
      <c r="W218" s="686"/>
      <c r="X218" s="686"/>
      <c r="Y218" s="686"/>
      <c r="Z218" s="686"/>
      <c r="AA218" s="669"/>
      <c r="AB218" s="695"/>
      <c r="AC218" s="669"/>
    </row>
    <row r="219" ht="18.0" customHeight="1">
      <c r="A219" s="680" t="s">
        <v>5526</v>
      </c>
      <c r="B219" s="680" t="s">
        <v>3741</v>
      </c>
      <c r="C219" s="680">
        <v>2022.0</v>
      </c>
      <c r="D219" s="687" t="s">
        <v>3829</v>
      </c>
      <c r="E219" s="688"/>
      <c r="F219" s="680">
        <v>254.0</v>
      </c>
      <c r="G219" s="686"/>
      <c r="H219" s="686"/>
      <c r="I219" s="680" t="s">
        <v>3812</v>
      </c>
      <c r="J219" s="688"/>
      <c r="K219" s="688"/>
      <c r="L219" s="688"/>
      <c r="M219" s="686"/>
      <c r="N219" s="680">
        <v>21.0</v>
      </c>
      <c r="O219" s="680">
        <v>10.0</v>
      </c>
      <c r="P219" s="688"/>
      <c r="Q219" s="666"/>
      <c r="R219" s="680">
        <v>120.0</v>
      </c>
      <c r="S219" s="680">
        <v>0.0</v>
      </c>
      <c r="T219" s="693">
        <f t="shared" si="12"/>
        <v>0</v>
      </c>
      <c r="U219" s="688"/>
      <c r="V219" s="686"/>
      <c r="W219" s="686"/>
      <c r="X219" s="686"/>
      <c r="Y219" s="686"/>
      <c r="Z219" s="686"/>
      <c r="AA219" s="669"/>
      <c r="AB219" s="176" t="s">
        <v>3882</v>
      </c>
      <c r="AC219" s="669"/>
    </row>
    <row r="220" ht="18.0" customHeight="1">
      <c r="A220" s="680" t="s">
        <v>5530</v>
      </c>
      <c r="B220" s="680" t="s">
        <v>857</v>
      </c>
      <c r="C220" s="680">
        <v>2025.0</v>
      </c>
      <c r="D220" s="681" t="s">
        <v>5017</v>
      </c>
      <c r="E220" s="680">
        <v>1.0</v>
      </c>
      <c r="F220" s="680">
        <v>252.0</v>
      </c>
      <c r="G220" s="680" t="s">
        <v>3808</v>
      </c>
      <c r="H220" s="680" t="s">
        <v>3808</v>
      </c>
      <c r="I220" s="680" t="s">
        <v>3879</v>
      </c>
      <c r="J220" s="680" t="s">
        <v>3755</v>
      </c>
      <c r="K220" s="680" t="s">
        <v>3755</v>
      </c>
      <c r="L220" s="680" t="s">
        <v>3758</v>
      </c>
      <c r="M220" s="680">
        <v>3.0</v>
      </c>
      <c r="N220" s="680">
        <v>0.0</v>
      </c>
      <c r="O220" s="680">
        <v>10.0</v>
      </c>
      <c r="P220" s="680" t="s">
        <v>3755</v>
      </c>
      <c r="Q220" s="666"/>
      <c r="R220" s="680">
        <v>87.0</v>
      </c>
      <c r="S220" s="712">
        <v>18.0</v>
      </c>
      <c r="T220" s="693">
        <f t="shared" si="12"/>
        <v>0.2068965517</v>
      </c>
      <c r="U220" s="691">
        <v>45884.0</v>
      </c>
      <c r="V220" s="707" t="s">
        <v>5536</v>
      </c>
      <c r="W220" s="680">
        <v>17.0</v>
      </c>
      <c r="X220" s="680"/>
      <c r="Y220" s="680">
        <v>2.0</v>
      </c>
      <c r="Z220" s="686"/>
      <c r="AA220" s="669"/>
      <c r="AB220" s="695"/>
      <c r="AC220" s="669"/>
    </row>
    <row r="221" ht="18.0" customHeight="1">
      <c r="A221" s="680" t="s">
        <v>5540</v>
      </c>
      <c r="B221" s="680" t="s">
        <v>857</v>
      </c>
      <c r="C221" s="680">
        <v>2025.0</v>
      </c>
      <c r="D221" s="681" t="s">
        <v>4158</v>
      </c>
      <c r="E221" s="680">
        <v>1.0</v>
      </c>
      <c r="F221" s="680">
        <v>260.0</v>
      </c>
      <c r="G221" s="680" t="s">
        <v>4651</v>
      </c>
      <c r="H221" s="680" t="s">
        <v>4651</v>
      </c>
      <c r="I221" s="680" t="s">
        <v>3812</v>
      </c>
      <c r="J221" s="680" t="s">
        <v>3758</v>
      </c>
      <c r="K221" s="680" t="s">
        <v>3755</v>
      </c>
      <c r="L221" s="680" t="s">
        <v>3758</v>
      </c>
      <c r="M221" s="680">
        <v>5.0</v>
      </c>
      <c r="N221" s="680">
        <v>2.0</v>
      </c>
      <c r="O221" s="680">
        <v>9.0</v>
      </c>
      <c r="P221" s="680" t="s">
        <v>3755</v>
      </c>
      <c r="Q221" s="666"/>
      <c r="R221" s="680">
        <v>81.0</v>
      </c>
      <c r="S221" s="712">
        <v>15.0</v>
      </c>
      <c r="T221" s="693">
        <f t="shared" si="12"/>
        <v>0.1851851852</v>
      </c>
      <c r="U221" s="691">
        <v>45458.0</v>
      </c>
      <c r="V221" s="680"/>
      <c r="W221" s="680">
        <v>2.0</v>
      </c>
      <c r="X221" s="680"/>
      <c r="Y221" s="680"/>
      <c r="Z221" s="680"/>
      <c r="AA221" s="666"/>
      <c r="AB221" s="686"/>
      <c r="AC221" s="666"/>
    </row>
    <row r="222" ht="18.0" customHeight="1">
      <c r="A222" s="680" t="s">
        <v>5544</v>
      </c>
      <c r="B222" s="680" t="s">
        <v>857</v>
      </c>
      <c r="C222" s="680">
        <v>2024.0</v>
      </c>
      <c r="D222" s="681" t="s">
        <v>4019</v>
      </c>
      <c r="E222" s="680">
        <v>1.0</v>
      </c>
      <c r="F222" s="680">
        <v>243.0</v>
      </c>
      <c r="G222" s="680" t="s">
        <v>3808</v>
      </c>
      <c r="H222" s="176" t="s">
        <v>4663</v>
      </c>
      <c r="I222" s="686"/>
      <c r="J222" s="688"/>
      <c r="K222" s="688"/>
      <c r="L222" s="688"/>
      <c r="M222" s="688"/>
      <c r="N222" s="688"/>
      <c r="O222" s="680">
        <v>10.0</v>
      </c>
      <c r="P222" s="680" t="s">
        <v>3755</v>
      </c>
      <c r="Q222" s="666"/>
      <c r="R222" s="680">
        <v>60.0</v>
      </c>
      <c r="S222" s="680">
        <v>5.0</v>
      </c>
      <c r="T222" s="693">
        <f t="shared" si="12"/>
        <v>0.08333333333</v>
      </c>
      <c r="U222" s="691">
        <v>45427.0</v>
      </c>
      <c r="V222" s="680"/>
      <c r="W222" s="680">
        <v>1.0</v>
      </c>
      <c r="X222" s="688"/>
      <c r="Y222" s="680"/>
      <c r="Z222" s="688"/>
      <c r="AA222" s="669"/>
      <c r="AB222" s="695"/>
      <c r="AC222" s="669"/>
    </row>
    <row r="223" ht="18.0" customHeight="1">
      <c r="A223" s="680" t="s">
        <v>5548</v>
      </c>
      <c r="B223" s="680" t="s">
        <v>3919</v>
      </c>
      <c r="C223" s="680">
        <v>2025.0</v>
      </c>
      <c r="D223" s="681" t="s">
        <v>3844</v>
      </c>
      <c r="E223" s="680">
        <v>1.0</v>
      </c>
      <c r="F223" s="680">
        <v>253.0</v>
      </c>
      <c r="G223" s="680" t="s">
        <v>4197</v>
      </c>
      <c r="H223" s="680">
        <v>586.0</v>
      </c>
      <c r="I223" s="176" t="s">
        <v>3879</v>
      </c>
      <c r="J223" s="680" t="s">
        <v>3755</v>
      </c>
      <c r="K223" s="680" t="s">
        <v>3755</v>
      </c>
      <c r="L223" s="680" t="s">
        <v>3758</v>
      </c>
      <c r="M223" s="680">
        <v>2.0</v>
      </c>
      <c r="N223" s="680">
        <v>0.0</v>
      </c>
      <c r="O223" s="680">
        <v>1.0</v>
      </c>
      <c r="P223" s="680" t="s">
        <v>3755</v>
      </c>
      <c r="Q223" s="666"/>
      <c r="R223" s="680">
        <v>32.0</v>
      </c>
      <c r="S223" s="680">
        <v>5.0</v>
      </c>
      <c r="T223" s="693">
        <f t="shared" si="12"/>
        <v>0.15625</v>
      </c>
      <c r="U223" s="691">
        <v>45427.0</v>
      </c>
      <c r="V223" s="680" t="s">
        <v>1157</v>
      </c>
      <c r="W223" s="680"/>
      <c r="X223" s="680"/>
      <c r="Y223" s="686"/>
      <c r="Z223" s="680"/>
      <c r="AA223" s="669"/>
      <c r="AB223" s="176"/>
      <c r="AC223" s="669"/>
    </row>
    <row r="224" ht="18.0" customHeight="1">
      <c r="A224" s="680" t="s">
        <v>5552</v>
      </c>
      <c r="B224" s="680" t="s">
        <v>857</v>
      </c>
      <c r="C224" s="680">
        <v>2025.0</v>
      </c>
      <c r="D224" s="681" t="s">
        <v>5160</v>
      </c>
      <c r="E224" s="680">
        <v>1.0</v>
      </c>
      <c r="F224" s="680">
        <v>255.0</v>
      </c>
      <c r="G224" s="680" t="s">
        <v>3808</v>
      </c>
      <c r="H224" s="680" t="s">
        <v>3808</v>
      </c>
      <c r="I224" s="688"/>
      <c r="J224" s="680" t="s">
        <v>3755</v>
      </c>
      <c r="K224" s="680" t="s">
        <v>3755</v>
      </c>
      <c r="L224" s="688"/>
      <c r="M224" s="688"/>
      <c r="N224" s="680">
        <v>0.0</v>
      </c>
      <c r="O224" s="680">
        <v>10.0</v>
      </c>
      <c r="P224" s="680" t="s">
        <v>3755</v>
      </c>
      <c r="Q224" s="666"/>
      <c r="R224" s="690">
        <v>44.0</v>
      </c>
      <c r="S224" s="680">
        <v>19.0</v>
      </c>
      <c r="T224" s="685">
        <f t="shared" si="12"/>
        <v>0.4318181818</v>
      </c>
      <c r="U224" s="691">
        <v>45580.0</v>
      </c>
      <c r="V224" s="698" t="s">
        <v>5555</v>
      </c>
      <c r="W224" s="680">
        <v>15.0</v>
      </c>
      <c r="X224" s="680">
        <v>2.0</v>
      </c>
      <c r="Y224" s="688"/>
      <c r="Z224" s="686"/>
      <c r="AA224" s="669"/>
      <c r="AB224" s="176" t="s">
        <v>3778</v>
      </c>
      <c r="AC224" s="669"/>
    </row>
    <row r="225" ht="18.0" customHeight="1">
      <c r="A225" s="680" t="s">
        <v>5557</v>
      </c>
      <c r="B225" s="680" t="s">
        <v>3741</v>
      </c>
      <c r="C225" s="680">
        <v>2023.0</v>
      </c>
      <c r="D225" s="681" t="s">
        <v>5558</v>
      </c>
      <c r="E225" s="680">
        <v>1.0</v>
      </c>
      <c r="F225" s="680">
        <v>268.0</v>
      </c>
      <c r="G225" s="731"/>
      <c r="H225" s="731"/>
      <c r="I225" s="680" t="s">
        <v>3812</v>
      </c>
      <c r="J225" s="688"/>
      <c r="K225" s="688"/>
      <c r="L225" s="688"/>
      <c r="M225" s="688"/>
      <c r="N225" s="680">
        <v>6.0</v>
      </c>
      <c r="O225" s="680">
        <v>10.0</v>
      </c>
      <c r="P225" s="680" t="s">
        <v>3755</v>
      </c>
      <c r="Q225" s="666"/>
      <c r="R225" s="680">
        <v>183.0</v>
      </c>
      <c r="S225" s="680">
        <v>0.0</v>
      </c>
      <c r="T225" s="685">
        <f t="shared" si="12"/>
        <v>0</v>
      </c>
      <c r="U225" s="680"/>
      <c r="V225" s="680"/>
      <c r="W225" s="680"/>
      <c r="X225" s="686"/>
      <c r="Y225" s="680"/>
      <c r="Z225" s="686"/>
      <c r="AA225" s="669"/>
      <c r="AB225" s="176" t="s">
        <v>3882</v>
      </c>
      <c r="AC225" s="669"/>
    </row>
    <row r="226" ht="18.75" customHeight="1">
      <c r="A226" s="680" t="s">
        <v>5563</v>
      </c>
      <c r="B226" s="680" t="s">
        <v>857</v>
      </c>
      <c r="C226" s="680">
        <v>2025.0</v>
      </c>
      <c r="D226" s="681" t="s">
        <v>4167</v>
      </c>
      <c r="E226" s="680">
        <v>1.0</v>
      </c>
      <c r="F226" s="680">
        <v>240.0</v>
      </c>
      <c r="G226" s="680" t="s">
        <v>4651</v>
      </c>
      <c r="H226" s="680" t="s">
        <v>4651</v>
      </c>
      <c r="I226" s="680" t="s">
        <v>3812</v>
      </c>
      <c r="J226" s="680" t="s">
        <v>3755</v>
      </c>
      <c r="K226" s="688"/>
      <c r="L226" s="680" t="s">
        <v>3758</v>
      </c>
      <c r="M226" s="680">
        <v>5.0</v>
      </c>
      <c r="N226" s="680">
        <v>2.0</v>
      </c>
      <c r="O226" s="680">
        <v>9.0</v>
      </c>
      <c r="P226" s="680" t="s">
        <v>3755</v>
      </c>
      <c r="Q226" s="666"/>
      <c r="R226" s="680">
        <v>110.0</v>
      </c>
      <c r="S226" s="680">
        <v>0.0</v>
      </c>
      <c r="T226" s="685">
        <f t="shared" si="12"/>
        <v>0</v>
      </c>
      <c r="U226" s="688"/>
      <c r="V226" s="686"/>
      <c r="W226" s="686"/>
      <c r="X226" s="686"/>
      <c r="Y226" s="686"/>
      <c r="Z226" s="686"/>
      <c r="AA226" s="669"/>
      <c r="AB226" s="176" t="s">
        <v>3882</v>
      </c>
      <c r="AC226" s="669"/>
    </row>
    <row r="227" ht="18.0" customHeight="1">
      <c r="A227" s="680" t="s">
        <v>5567</v>
      </c>
      <c r="B227" s="680" t="s">
        <v>5558</v>
      </c>
      <c r="C227" s="680">
        <v>2021.0</v>
      </c>
      <c r="D227" s="687" t="s">
        <v>3829</v>
      </c>
      <c r="E227" s="680">
        <v>1.0</v>
      </c>
      <c r="F227" s="680">
        <v>268.0</v>
      </c>
      <c r="G227" s="688"/>
      <c r="H227" s="688"/>
      <c r="I227" s="688"/>
      <c r="J227" s="688"/>
      <c r="K227" s="731"/>
      <c r="L227" s="680" t="s">
        <v>3758</v>
      </c>
      <c r="M227" s="688"/>
      <c r="N227" s="680">
        <v>30.0</v>
      </c>
      <c r="O227" s="680">
        <v>10.0</v>
      </c>
      <c r="P227" s="680" t="s">
        <v>3755</v>
      </c>
      <c r="Q227" s="666"/>
      <c r="R227" s="680">
        <v>180.0</v>
      </c>
      <c r="S227" s="690">
        <v>7.0</v>
      </c>
      <c r="T227" s="685">
        <f t="shared" si="12"/>
        <v>0.03888888889</v>
      </c>
      <c r="U227" s="688"/>
      <c r="V227" s="686"/>
      <c r="W227" s="686"/>
      <c r="X227" s="686"/>
      <c r="Y227" s="686"/>
      <c r="Z227" s="686"/>
      <c r="AA227" s="669"/>
      <c r="AB227" s="695"/>
      <c r="AC227" s="669"/>
    </row>
    <row r="228" ht="18.0" customHeight="1">
      <c r="A228" s="680" t="s">
        <v>5568</v>
      </c>
      <c r="B228" s="680" t="s">
        <v>857</v>
      </c>
      <c r="C228" s="680">
        <v>2024.0</v>
      </c>
      <c r="D228" s="681" t="s">
        <v>5569</v>
      </c>
      <c r="E228" s="680">
        <v>1.0</v>
      </c>
      <c r="F228" s="680">
        <v>240.0</v>
      </c>
      <c r="G228" s="680" t="s">
        <v>4651</v>
      </c>
      <c r="H228" s="680" t="s">
        <v>4651</v>
      </c>
      <c r="I228" s="176" t="s">
        <v>3812</v>
      </c>
      <c r="J228" s="680" t="s">
        <v>3755</v>
      </c>
      <c r="K228" s="680" t="s">
        <v>3755</v>
      </c>
      <c r="L228" s="680" t="s">
        <v>3758</v>
      </c>
      <c r="M228" s="680">
        <v>8.0</v>
      </c>
      <c r="N228" s="680">
        <v>15.0</v>
      </c>
      <c r="O228" s="680">
        <v>10.0</v>
      </c>
      <c r="P228" s="680" t="s">
        <v>3755</v>
      </c>
      <c r="Q228" s="666"/>
      <c r="R228" s="680">
        <v>78.0</v>
      </c>
      <c r="S228" s="684">
        <v>34.0</v>
      </c>
      <c r="T228" s="685">
        <f t="shared" si="12"/>
        <v>0.4358974359</v>
      </c>
      <c r="U228" s="691">
        <v>45550.0</v>
      </c>
      <c r="V228" s="744"/>
      <c r="W228" s="680">
        <v>10.0</v>
      </c>
      <c r="X228" s="680">
        <v>7.0</v>
      </c>
      <c r="Y228" s="680">
        <v>4.0</v>
      </c>
      <c r="Z228" s="680">
        <v>1.0</v>
      </c>
      <c r="AA228" s="669"/>
      <c r="AB228" s="176" t="s">
        <v>3778</v>
      </c>
      <c r="AC228" s="669"/>
    </row>
    <row r="229" ht="18.0" customHeight="1">
      <c r="A229" s="680" t="s">
        <v>5570</v>
      </c>
      <c r="B229" s="680" t="s">
        <v>857</v>
      </c>
      <c r="C229" s="680">
        <v>2025.0</v>
      </c>
      <c r="D229" s="681" t="s">
        <v>3844</v>
      </c>
      <c r="E229" s="680">
        <v>1.0</v>
      </c>
      <c r="F229" s="680">
        <v>263.0</v>
      </c>
      <c r="G229" s="680" t="s">
        <v>4651</v>
      </c>
      <c r="H229" s="680" t="s">
        <v>4651</v>
      </c>
      <c r="I229" s="680" t="s">
        <v>3812</v>
      </c>
      <c r="J229" s="680" t="s">
        <v>3758</v>
      </c>
      <c r="K229" s="680" t="s">
        <v>3755</v>
      </c>
      <c r="L229" s="680" t="s">
        <v>3758</v>
      </c>
      <c r="M229" s="680">
        <v>6.0</v>
      </c>
      <c r="N229" s="680">
        <v>12.0</v>
      </c>
      <c r="O229" s="680">
        <v>10.0</v>
      </c>
      <c r="P229" s="680" t="s">
        <v>3755</v>
      </c>
      <c r="Q229" s="666"/>
      <c r="R229" s="680">
        <v>65.0</v>
      </c>
      <c r="S229" s="680">
        <v>15.0</v>
      </c>
      <c r="T229" s="685">
        <f t="shared" si="12"/>
        <v>0.2307692308</v>
      </c>
      <c r="U229" s="691">
        <v>45823.0</v>
      </c>
      <c r="V229" s="744"/>
      <c r="W229" s="680">
        <v>15.0</v>
      </c>
      <c r="X229" s="680">
        <v>0.0</v>
      </c>
      <c r="Y229" s="680">
        <v>6.0</v>
      </c>
      <c r="Z229" s="680">
        <v>1.0</v>
      </c>
      <c r="AA229" s="669"/>
      <c r="AB229" s="695"/>
      <c r="AC229" s="669"/>
    </row>
    <row r="230" ht="18.0" customHeight="1">
      <c r="A230" s="680"/>
      <c r="B230" s="176" t="s">
        <v>857</v>
      </c>
      <c r="C230" s="176" t="s">
        <v>3868</v>
      </c>
      <c r="D230" s="687" t="s">
        <v>3829</v>
      </c>
      <c r="E230" s="176">
        <v>1.0</v>
      </c>
      <c r="F230" s="680">
        <v>251.0</v>
      </c>
      <c r="G230" s="680" t="s">
        <v>3808</v>
      </c>
      <c r="H230" s="680" t="s">
        <v>3808</v>
      </c>
      <c r="I230" s="861" t="s">
        <v>3812</v>
      </c>
      <c r="J230" s="680" t="s">
        <v>3755</v>
      </c>
      <c r="K230" s="680" t="s">
        <v>3755</v>
      </c>
      <c r="L230" s="680" t="s">
        <v>3755</v>
      </c>
      <c r="M230" s="680">
        <v>0.0</v>
      </c>
      <c r="N230" s="680">
        <v>6.0</v>
      </c>
      <c r="O230" s="680">
        <v>10.0</v>
      </c>
      <c r="P230" s="680" t="s">
        <v>3755</v>
      </c>
      <c r="Q230" s="666"/>
      <c r="R230" s="680">
        <v>56.0</v>
      </c>
      <c r="S230" s="690">
        <v>3.0</v>
      </c>
      <c r="T230" s="685">
        <f t="shared" si="12"/>
        <v>0.05357142857</v>
      </c>
      <c r="U230" s="691">
        <v>45337.0</v>
      </c>
      <c r="V230" s="680" t="s">
        <v>1157</v>
      </c>
      <c r="W230" s="680"/>
      <c r="X230" s="680"/>
      <c r="Y230" s="686"/>
      <c r="Z230" s="680"/>
      <c r="AA230" s="669"/>
      <c r="AB230" s="695"/>
      <c r="AC230" s="669"/>
    </row>
    <row r="231" ht="18.0" customHeight="1">
      <c r="A231" s="680" t="s">
        <v>5572</v>
      </c>
      <c r="B231" s="680" t="s">
        <v>857</v>
      </c>
      <c r="C231" s="680">
        <v>2025.0</v>
      </c>
      <c r="D231" s="681" t="s">
        <v>4135</v>
      </c>
      <c r="E231" s="680">
        <v>1.0</v>
      </c>
      <c r="F231" s="680">
        <v>274.0</v>
      </c>
      <c r="G231" s="680" t="s">
        <v>3808</v>
      </c>
      <c r="H231" s="680" t="s">
        <v>3808</v>
      </c>
      <c r="I231" s="680" t="s">
        <v>3812</v>
      </c>
      <c r="J231" s="680" t="s">
        <v>3755</v>
      </c>
      <c r="K231" s="680" t="s">
        <v>3755</v>
      </c>
      <c r="L231" s="680" t="s">
        <v>3758</v>
      </c>
      <c r="M231" s="680">
        <v>6.0</v>
      </c>
      <c r="N231" s="680">
        <v>25.0</v>
      </c>
      <c r="O231" s="680">
        <v>9.0</v>
      </c>
      <c r="P231" s="680" t="s">
        <v>3755</v>
      </c>
      <c r="Q231" s="666"/>
      <c r="R231" s="680">
        <v>46.0</v>
      </c>
      <c r="S231" s="680">
        <v>15.0</v>
      </c>
      <c r="T231" s="685">
        <f t="shared" si="12"/>
        <v>0.3260869565</v>
      </c>
      <c r="U231" s="691">
        <v>45306.0</v>
      </c>
      <c r="V231" s="680"/>
      <c r="W231" s="680"/>
      <c r="X231" s="686"/>
      <c r="Y231" s="680"/>
      <c r="Z231" s="686"/>
      <c r="AA231" s="669"/>
      <c r="AB231" s="176"/>
      <c r="AC231" s="669"/>
    </row>
    <row r="232" ht="18.0" customHeight="1">
      <c r="A232" s="680" t="s">
        <v>5573</v>
      </c>
      <c r="B232" s="680" t="s">
        <v>3919</v>
      </c>
      <c r="C232" s="680">
        <v>2025.0</v>
      </c>
      <c r="D232" s="681" t="s">
        <v>4158</v>
      </c>
      <c r="E232" s="680">
        <v>1.0</v>
      </c>
      <c r="F232" s="680">
        <v>254.0</v>
      </c>
      <c r="G232" s="176" t="s">
        <v>4197</v>
      </c>
      <c r="H232" s="176">
        <v>587.0</v>
      </c>
      <c r="I232" s="680" t="s">
        <v>4834</v>
      </c>
      <c r="J232" s="680" t="s">
        <v>3755</v>
      </c>
      <c r="K232" s="680" t="s">
        <v>3755</v>
      </c>
      <c r="L232" s="680" t="s">
        <v>3755</v>
      </c>
      <c r="M232" s="680">
        <v>5.0</v>
      </c>
      <c r="N232" s="680">
        <v>21.0</v>
      </c>
      <c r="O232" s="680">
        <v>10.0</v>
      </c>
      <c r="P232" s="680" t="s">
        <v>3755</v>
      </c>
      <c r="Q232" s="666"/>
      <c r="R232" s="680">
        <v>18.0</v>
      </c>
      <c r="S232" s="680">
        <v>2.0</v>
      </c>
      <c r="T232" s="862">
        <f t="shared" si="12"/>
        <v>0.1111111111</v>
      </c>
      <c r="U232" s="691">
        <v>45335.0</v>
      </c>
      <c r="V232" s="680" t="s">
        <v>5575</v>
      </c>
      <c r="W232" s="688"/>
      <c r="X232" s="688"/>
      <c r="Y232" s="688"/>
      <c r="Z232" s="688"/>
      <c r="AA232" s="669"/>
      <c r="AB232" s="695"/>
      <c r="AC232" s="669"/>
    </row>
    <row r="233" ht="18.0" customHeight="1">
      <c r="A233" s="681" t="s">
        <v>5576</v>
      </c>
      <c r="B233" s="681" t="s">
        <v>857</v>
      </c>
      <c r="C233" s="681">
        <v>2025.0</v>
      </c>
      <c r="D233" s="681" t="s">
        <v>3844</v>
      </c>
      <c r="E233" s="681">
        <v>1.0</v>
      </c>
      <c r="F233" s="681">
        <v>263.0</v>
      </c>
      <c r="G233" s="681" t="s">
        <v>3808</v>
      </c>
      <c r="H233" s="681" t="s">
        <v>4663</v>
      </c>
      <c r="I233" s="725" t="s">
        <v>3812</v>
      </c>
      <c r="J233" s="681" t="s">
        <v>3758</v>
      </c>
      <c r="K233" s="681" t="s">
        <v>3755</v>
      </c>
      <c r="L233" s="681" t="s">
        <v>3758</v>
      </c>
      <c r="M233" s="681">
        <v>8.0</v>
      </c>
      <c r="N233" s="681">
        <v>26.0</v>
      </c>
      <c r="O233" s="681">
        <v>10.0</v>
      </c>
      <c r="P233" s="681" t="s">
        <v>3755</v>
      </c>
      <c r="Q233" s="659"/>
      <c r="R233" s="680">
        <v>39.0</v>
      </c>
      <c r="S233" s="680">
        <v>9.0</v>
      </c>
      <c r="T233" s="862">
        <f t="shared" si="12"/>
        <v>0.2307692308</v>
      </c>
      <c r="U233" s="691">
        <v>45366.0</v>
      </c>
      <c r="V233" s="716" t="s">
        <v>5578</v>
      </c>
      <c r="W233" s="680">
        <v>2.0</v>
      </c>
      <c r="X233" s="680"/>
      <c r="Y233" s="680"/>
      <c r="Z233" s="680"/>
      <c r="AA233" s="661"/>
      <c r="AB233" s="725"/>
      <c r="AC233" s="661"/>
    </row>
    <row r="234" ht="18.0" customHeight="1">
      <c r="A234" s="680" t="s">
        <v>5580</v>
      </c>
      <c r="B234" s="680" t="s">
        <v>857</v>
      </c>
      <c r="C234" s="680">
        <v>2025.0</v>
      </c>
      <c r="D234" s="681" t="s">
        <v>5393</v>
      </c>
      <c r="E234" s="680">
        <v>1.0</v>
      </c>
      <c r="F234" s="680">
        <v>272.0</v>
      </c>
      <c r="G234" s="680" t="s">
        <v>4651</v>
      </c>
      <c r="H234" s="680" t="s">
        <v>4651</v>
      </c>
      <c r="I234" s="680" t="s">
        <v>3812</v>
      </c>
      <c r="J234" s="680" t="s">
        <v>3758</v>
      </c>
      <c r="K234" s="688"/>
      <c r="L234" s="688"/>
      <c r="M234" s="688"/>
      <c r="N234" s="688"/>
      <c r="O234" s="688"/>
      <c r="P234" s="688"/>
      <c r="Q234" s="666"/>
      <c r="R234" s="680" t="s">
        <v>3868</v>
      </c>
      <c r="S234" s="680" t="s">
        <v>3868</v>
      </c>
      <c r="T234" s="680" t="s">
        <v>3870</v>
      </c>
      <c r="U234" s="691"/>
      <c r="V234" s="680"/>
      <c r="W234" s="680"/>
      <c r="X234" s="680"/>
      <c r="Y234" s="680"/>
      <c r="Z234" s="686"/>
      <c r="AA234" s="669"/>
      <c r="AB234" s="176"/>
      <c r="AC234" s="669"/>
    </row>
    <row r="235" ht="18.0" customHeight="1">
      <c r="A235" s="680" t="s">
        <v>5583</v>
      </c>
      <c r="B235" s="680" t="s">
        <v>3919</v>
      </c>
      <c r="C235" s="680">
        <v>2025.0</v>
      </c>
      <c r="D235" s="681" t="s">
        <v>3844</v>
      </c>
      <c r="E235" s="680">
        <v>1.0</v>
      </c>
      <c r="F235" s="680">
        <v>234.0</v>
      </c>
      <c r="G235" s="680" t="s">
        <v>4197</v>
      </c>
      <c r="H235" s="680">
        <v>492.0</v>
      </c>
      <c r="I235" s="680" t="s">
        <v>3893</v>
      </c>
      <c r="J235" s="680" t="s">
        <v>3758</v>
      </c>
      <c r="K235" s="680" t="s">
        <v>3755</v>
      </c>
      <c r="L235" s="680" t="s">
        <v>3755</v>
      </c>
      <c r="M235" s="680">
        <v>0.0</v>
      </c>
      <c r="N235" s="680">
        <v>20.0</v>
      </c>
      <c r="O235" s="680">
        <v>10.0</v>
      </c>
      <c r="P235" s="688"/>
      <c r="Q235" s="666"/>
      <c r="R235" s="680">
        <v>273.0</v>
      </c>
      <c r="S235" s="680">
        <v>0.0</v>
      </c>
      <c r="T235" s="862">
        <f t="shared" ref="T235:T252" si="13">S235/R235</f>
        <v>0</v>
      </c>
      <c r="U235" s="691"/>
      <c r="V235" s="686"/>
      <c r="W235" s="688"/>
      <c r="X235" s="686"/>
      <c r="Y235" s="688"/>
      <c r="Z235" s="688"/>
      <c r="AA235" s="669"/>
      <c r="AB235" s="176" t="s">
        <v>3882</v>
      </c>
      <c r="AC235" s="669"/>
    </row>
    <row r="236" ht="18.0" customHeight="1">
      <c r="A236" s="680" t="s">
        <v>5586</v>
      </c>
      <c r="B236" s="680" t="s">
        <v>857</v>
      </c>
      <c r="C236" s="680">
        <v>2025.0</v>
      </c>
      <c r="D236" s="681" t="s">
        <v>5587</v>
      </c>
      <c r="E236" s="680">
        <v>1.0</v>
      </c>
      <c r="F236" s="680">
        <v>245.0</v>
      </c>
      <c r="G236" s="176" t="s">
        <v>4651</v>
      </c>
      <c r="H236" s="176" t="s">
        <v>4651</v>
      </c>
      <c r="I236" s="680" t="s">
        <v>3893</v>
      </c>
      <c r="J236" s="680" t="s">
        <v>3755</v>
      </c>
      <c r="K236" s="680" t="s">
        <v>3758</v>
      </c>
      <c r="L236" s="680" t="s">
        <v>3758</v>
      </c>
      <c r="M236" s="680">
        <v>3.0</v>
      </c>
      <c r="N236" s="680">
        <v>34.0</v>
      </c>
      <c r="O236" s="680">
        <v>10.0</v>
      </c>
      <c r="P236" s="680" t="s">
        <v>3755</v>
      </c>
      <c r="Q236" s="666"/>
      <c r="R236" s="680">
        <v>55.0</v>
      </c>
      <c r="S236" s="680">
        <v>1.0</v>
      </c>
      <c r="T236" s="862">
        <f t="shared" si="13"/>
        <v>0.01818181818</v>
      </c>
      <c r="U236" s="680" t="s">
        <v>5233</v>
      </c>
      <c r="V236" s="680" t="s">
        <v>446</v>
      </c>
      <c r="W236" s="680"/>
      <c r="X236" s="686"/>
      <c r="Y236" s="686"/>
      <c r="Z236" s="686"/>
      <c r="AA236" s="669"/>
      <c r="AB236" s="176"/>
      <c r="AC236" s="669"/>
    </row>
    <row r="237" ht="18.0" customHeight="1">
      <c r="A237" s="680" t="s">
        <v>5592</v>
      </c>
      <c r="B237" s="680" t="s">
        <v>857</v>
      </c>
      <c r="C237" s="680">
        <v>2025.0</v>
      </c>
      <c r="D237" s="681" t="s">
        <v>3804</v>
      </c>
      <c r="E237" s="680">
        <v>1.0</v>
      </c>
      <c r="F237" s="680">
        <v>269.0</v>
      </c>
      <c r="G237" s="680" t="s">
        <v>4651</v>
      </c>
      <c r="H237" s="680" t="s">
        <v>4651</v>
      </c>
      <c r="I237" s="680" t="s">
        <v>3812</v>
      </c>
      <c r="J237" s="680" t="s">
        <v>3758</v>
      </c>
      <c r="K237" s="680" t="s">
        <v>3758</v>
      </c>
      <c r="L237" s="680" t="s">
        <v>3758</v>
      </c>
      <c r="M237" s="680">
        <v>6.0</v>
      </c>
      <c r="N237" s="680">
        <v>27.0</v>
      </c>
      <c r="O237" s="680">
        <v>10.0</v>
      </c>
      <c r="P237" s="680" t="s">
        <v>3755</v>
      </c>
      <c r="Q237" s="666"/>
      <c r="R237" s="680">
        <v>36.0</v>
      </c>
      <c r="S237" s="680">
        <v>15.0</v>
      </c>
      <c r="T237" s="862">
        <f t="shared" si="13"/>
        <v>0.4166666667</v>
      </c>
      <c r="U237" s="691">
        <v>45976.0</v>
      </c>
      <c r="V237" s="680"/>
      <c r="W237" s="680">
        <v>13.0</v>
      </c>
      <c r="X237" s="680">
        <v>2.0</v>
      </c>
      <c r="Y237" s="680"/>
      <c r="Z237" s="686"/>
      <c r="AA237" s="669"/>
      <c r="AB237" s="176" t="s">
        <v>3778</v>
      </c>
      <c r="AC237" s="669"/>
    </row>
    <row r="238" ht="18.0" customHeight="1">
      <c r="A238" s="680" t="s">
        <v>5596</v>
      </c>
      <c r="B238" s="680" t="s">
        <v>857</v>
      </c>
      <c r="C238" s="680">
        <v>2025.0</v>
      </c>
      <c r="D238" s="687" t="s">
        <v>3829</v>
      </c>
      <c r="E238" s="680">
        <v>1.0</v>
      </c>
      <c r="F238" s="680">
        <v>243.0</v>
      </c>
      <c r="G238" s="864" t="s">
        <v>3808</v>
      </c>
      <c r="H238" s="176" t="s">
        <v>3808</v>
      </c>
      <c r="I238" s="680" t="s">
        <v>3812</v>
      </c>
      <c r="J238" s="680" t="s">
        <v>3755</v>
      </c>
      <c r="K238" s="680" t="s">
        <v>3755</v>
      </c>
      <c r="L238" s="680" t="s">
        <v>3755</v>
      </c>
      <c r="M238" s="680">
        <v>4.0</v>
      </c>
      <c r="N238" s="680">
        <v>29.0</v>
      </c>
      <c r="O238" s="680">
        <v>10.0</v>
      </c>
      <c r="P238" s="680" t="s">
        <v>3755</v>
      </c>
      <c r="Q238" s="666"/>
      <c r="R238" s="680">
        <v>200.0</v>
      </c>
      <c r="S238" s="680">
        <v>0.0</v>
      </c>
      <c r="T238" s="862">
        <f t="shared" si="13"/>
        <v>0</v>
      </c>
      <c r="U238" s="680"/>
      <c r="V238" s="686"/>
      <c r="W238" s="686"/>
      <c r="X238" s="686"/>
      <c r="Y238" s="688"/>
      <c r="Z238" s="686"/>
      <c r="AA238" s="669"/>
      <c r="AB238" s="176" t="s">
        <v>3882</v>
      </c>
      <c r="AC238" s="669"/>
    </row>
    <row r="239" ht="18.0" customHeight="1">
      <c r="A239" s="680" t="s">
        <v>5604</v>
      </c>
      <c r="B239" s="680" t="s">
        <v>857</v>
      </c>
      <c r="C239" s="680">
        <v>2025.0</v>
      </c>
      <c r="D239" s="681" t="s">
        <v>3844</v>
      </c>
      <c r="E239" s="680">
        <v>1.0</v>
      </c>
      <c r="F239" s="680">
        <v>254.0</v>
      </c>
      <c r="G239" s="680" t="s">
        <v>3808</v>
      </c>
      <c r="H239" s="176" t="s">
        <v>3808</v>
      </c>
      <c r="I239" s="176"/>
      <c r="J239" s="680" t="s">
        <v>3758</v>
      </c>
      <c r="K239" s="680" t="s">
        <v>3755</v>
      </c>
      <c r="L239" s="680" t="s">
        <v>3758</v>
      </c>
      <c r="M239" s="680">
        <v>7.0</v>
      </c>
      <c r="N239" s="680">
        <v>4.0</v>
      </c>
      <c r="O239" s="680">
        <v>10.0</v>
      </c>
      <c r="P239" s="680" t="s">
        <v>3755</v>
      </c>
      <c r="Q239" s="666"/>
      <c r="R239" s="680">
        <v>67.0</v>
      </c>
      <c r="S239" s="680">
        <v>20.0</v>
      </c>
      <c r="T239" s="862">
        <f t="shared" si="13"/>
        <v>0.2985074627</v>
      </c>
      <c r="U239" s="691">
        <v>45641.0</v>
      </c>
      <c r="V239" s="686"/>
      <c r="W239" s="680">
        <v>6.0</v>
      </c>
      <c r="X239" s="680">
        <v>3.0</v>
      </c>
      <c r="Y239" s="680"/>
      <c r="Z239" s="686"/>
      <c r="AA239" s="669"/>
      <c r="AB239" s="176"/>
      <c r="AC239" s="669"/>
    </row>
    <row r="240" ht="18.0" customHeight="1">
      <c r="A240" s="680" t="s">
        <v>5608</v>
      </c>
      <c r="B240" s="680" t="s">
        <v>857</v>
      </c>
      <c r="C240" s="680">
        <v>2025.0</v>
      </c>
      <c r="D240" s="681" t="s">
        <v>4167</v>
      </c>
      <c r="E240" s="680">
        <v>1.0</v>
      </c>
      <c r="F240" s="680">
        <v>223.0</v>
      </c>
      <c r="G240" s="680" t="s">
        <v>3808</v>
      </c>
      <c r="H240" s="176" t="s">
        <v>3808</v>
      </c>
      <c r="I240" s="176" t="s">
        <v>3812</v>
      </c>
      <c r="J240" s="688"/>
      <c r="K240" s="688"/>
      <c r="L240" s="680" t="s">
        <v>3758</v>
      </c>
      <c r="M240" s="680">
        <v>8.0</v>
      </c>
      <c r="N240" s="680">
        <v>15.0</v>
      </c>
      <c r="O240" s="680">
        <v>10.0</v>
      </c>
      <c r="P240" s="680" t="s">
        <v>3755</v>
      </c>
      <c r="Q240" s="666"/>
      <c r="R240" s="680">
        <v>99.0</v>
      </c>
      <c r="S240" s="680">
        <v>5.0</v>
      </c>
      <c r="T240" s="862">
        <f t="shared" si="13"/>
        <v>0.05050505051</v>
      </c>
      <c r="U240" s="680" t="s">
        <v>5233</v>
      </c>
      <c r="V240" s="686"/>
      <c r="W240" s="686"/>
      <c r="X240" s="686"/>
      <c r="Y240" s="686"/>
      <c r="Z240" s="686"/>
      <c r="AA240" s="669"/>
      <c r="AB240" s="695"/>
      <c r="AC240" s="669"/>
    </row>
    <row r="241" ht="18.0" customHeight="1">
      <c r="A241" s="680" t="s">
        <v>5613</v>
      </c>
      <c r="B241" s="680" t="s">
        <v>857</v>
      </c>
      <c r="C241" s="680">
        <v>2022.0</v>
      </c>
      <c r="D241" s="687" t="s">
        <v>3829</v>
      </c>
      <c r="E241" s="680">
        <v>1.0</v>
      </c>
      <c r="F241" s="680">
        <v>228.0</v>
      </c>
      <c r="G241" s="680" t="s">
        <v>3808</v>
      </c>
      <c r="H241" s="680" t="s">
        <v>3808</v>
      </c>
      <c r="I241" s="680" t="s">
        <v>3812</v>
      </c>
      <c r="J241" s="680" t="s">
        <v>3755</v>
      </c>
      <c r="K241" s="680" t="s">
        <v>3755</v>
      </c>
      <c r="L241" s="680" t="s">
        <v>3758</v>
      </c>
      <c r="M241" s="680">
        <v>5.0</v>
      </c>
      <c r="N241" s="680">
        <v>45.0</v>
      </c>
      <c r="O241" s="680">
        <v>10.0</v>
      </c>
      <c r="P241" s="680" t="s">
        <v>3755</v>
      </c>
      <c r="Q241" s="666"/>
      <c r="R241" s="680">
        <v>141.0</v>
      </c>
      <c r="S241" s="690">
        <v>2.0</v>
      </c>
      <c r="T241" s="862">
        <f t="shared" si="13"/>
        <v>0.01418439716</v>
      </c>
      <c r="U241" s="688"/>
      <c r="V241" s="686"/>
      <c r="W241" s="686"/>
      <c r="X241" s="686"/>
      <c r="Y241" s="686"/>
      <c r="Z241" s="686"/>
      <c r="AA241" s="669"/>
      <c r="AB241" s="176" t="s">
        <v>3841</v>
      </c>
      <c r="AC241" s="669"/>
    </row>
    <row r="242" ht="18.0" customHeight="1">
      <c r="A242" s="680" t="s">
        <v>5617</v>
      </c>
      <c r="B242" s="680" t="s">
        <v>857</v>
      </c>
      <c r="C242" s="680">
        <v>2025.0</v>
      </c>
      <c r="D242" s="681" t="s">
        <v>5344</v>
      </c>
      <c r="E242" s="680">
        <v>1.0</v>
      </c>
      <c r="F242" s="680">
        <v>263.0</v>
      </c>
      <c r="G242" s="680" t="s">
        <v>3808</v>
      </c>
      <c r="H242" s="680" t="s">
        <v>3808</v>
      </c>
      <c r="I242" s="176" t="s">
        <v>3812</v>
      </c>
      <c r="J242" s="176" t="s">
        <v>3755</v>
      </c>
      <c r="K242" s="176" t="s">
        <v>3755</v>
      </c>
      <c r="L242" s="680" t="s">
        <v>3758</v>
      </c>
      <c r="M242" s="680">
        <v>7.0</v>
      </c>
      <c r="N242" s="680">
        <v>1.0</v>
      </c>
      <c r="O242" s="680">
        <v>10.0</v>
      </c>
      <c r="P242" s="680" t="s">
        <v>3755</v>
      </c>
      <c r="Q242" s="666"/>
      <c r="R242" s="680">
        <v>50.0</v>
      </c>
      <c r="S242" s="680">
        <v>12.0</v>
      </c>
      <c r="T242" s="862">
        <f t="shared" si="13"/>
        <v>0.24</v>
      </c>
      <c r="U242" s="680">
        <v>6.0</v>
      </c>
      <c r="V242" s="711" t="s">
        <v>5622</v>
      </c>
      <c r="W242" s="680">
        <v>12.0</v>
      </c>
      <c r="X242" s="686"/>
      <c r="Y242" s="680">
        <v>3.0</v>
      </c>
      <c r="Z242" s="680">
        <v>0.0</v>
      </c>
      <c r="AA242" s="669"/>
      <c r="AB242" s="695"/>
      <c r="AC242" s="669"/>
    </row>
    <row r="243" ht="18.0" customHeight="1">
      <c r="A243" s="681" t="s">
        <v>5625</v>
      </c>
      <c r="B243" s="681" t="s">
        <v>3919</v>
      </c>
      <c r="C243" s="681">
        <v>2025.0</v>
      </c>
      <c r="D243" s="681" t="s">
        <v>4019</v>
      </c>
      <c r="E243" s="681">
        <v>1.0</v>
      </c>
      <c r="F243" s="681">
        <v>252.0</v>
      </c>
      <c r="G243" s="681" t="s">
        <v>4197</v>
      </c>
      <c r="H243" s="681">
        <v>612.0</v>
      </c>
      <c r="I243" s="865"/>
      <c r="J243" s="681" t="s">
        <v>3758</v>
      </c>
      <c r="K243" s="725" t="s">
        <v>3755</v>
      </c>
      <c r="L243" s="681" t="s">
        <v>3755</v>
      </c>
      <c r="M243" s="681">
        <v>2.0</v>
      </c>
      <c r="N243" s="681">
        <v>6.0</v>
      </c>
      <c r="O243" s="681">
        <v>9.0</v>
      </c>
      <c r="P243" s="681" t="s">
        <v>3755</v>
      </c>
      <c r="Q243" s="659"/>
      <c r="R243" s="681">
        <v>233.0</v>
      </c>
      <c r="S243" s="866">
        <v>19.0</v>
      </c>
      <c r="T243" s="862">
        <f t="shared" si="13"/>
        <v>0.08154506438</v>
      </c>
      <c r="U243" s="717">
        <v>45488.0</v>
      </c>
      <c r="V243" s="867" t="s">
        <v>5631</v>
      </c>
      <c r="W243" s="724"/>
      <c r="X243" s="724"/>
      <c r="Y243" s="724"/>
      <c r="Z243" s="724"/>
      <c r="AA243" s="661"/>
      <c r="AB243" s="725"/>
      <c r="AC243" s="661"/>
    </row>
    <row r="244" ht="18.0" customHeight="1">
      <c r="A244" s="680" t="s">
        <v>5635</v>
      </c>
      <c r="B244" s="680" t="s">
        <v>857</v>
      </c>
      <c r="C244" s="680">
        <v>2025.0</v>
      </c>
      <c r="D244" s="681" t="s">
        <v>4143</v>
      </c>
      <c r="E244" s="680">
        <v>1.0</v>
      </c>
      <c r="F244" s="680">
        <v>249.0</v>
      </c>
      <c r="G244" s="680" t="s">
        <v>3808</v>
      </c>
      <c r="H244" s="680" t="s">
        <v>3808</v>
      </c>
      <c r="I244" s="680" t="s">
        <v>3893</v>
      </c>
      <c r="J244" s="680" t="s">
        <v>3755</v>
      </c>
      <c r="K244" s="680" t="s">
        <v>3755</v>
      </c>
      <c r="L244" s="680" t="s">
        <v>3755</v>
      </c>
      <c r="M244" s="680">
        <v>0.0</v>
      </c>
      <c r="N244" s="680">
        <v>15.0</v>
      </c>
      <c r="O244" s="680">
        <v>10.0</v>
      </c>
      <c r="P244" s="680" t="s">
        <v>3755</v>
      </c>
      <c r="Q244" s="666"/>
      <c r="R244" s="680">
        <v>32.0</v>
      </c>
      <c r="S244" s="680">
        <v>2.0</v>
      </c>
      <c r="T244" s="862">
        <f t="shared" si="13"/>
        <v>0.0625</v>
      </c>
      <c r="U244" s="691">
        <v>45306.0</v>
      </c>
      <c r="V244" s="680"/>
      <c r="W244" s="686"/>
      <c r="X244" s="686"/>
      <c r="Y244" s="686"/>
      <c r="Z244" s="686"/>
      <c r="AA244" s="669"/>
      <c r="AB244" s="695"/>
      <c r="AC244" s="669"/>
    </row>
    <row r="245" ht="18.0" customHeight="1">
      <c r="A245" s="680" t="s">
        <v>5641</v>
      </c>
      <c r="B245" s="680" t="s">
        <v>3741</v>
      </c>
      <c r="C245" s="680">
        <v>2021.0</v>
      </c>
      <c r="D245" s="687" t="s">
        <v>3829</v>
      </c>
      <c r="E245" s="680">
        <v>1.0</v>
      </c>
      <c r="F245" s="680">
        <v>259.0</v>
      </c>
      <c r="G245" s="680" t="s">
        <v>3808</v>
      </c>
      <c r="H245" s="680" t="s">
        <v>4651</v>
      </c>
      <c r="I245" s="680" t="s">
        <v>3812</v>
      </c>
      <c r="J245" s="680" t="s">
        <v>3755</v>
      </c>
      <c r="K245" s="680" t="s">
        <v>3755</v>
      </c>
      <c r="L245" s="680" t="s">
        <v>3758</v>
      </c>
      <c r="M245" s="680">
        <v>3.0</v>
      </c>
      <c r="N245" s="680">
        <v>14.0</v>
      </c>
      <c r="O245" s="680">
        <v>10.0</v>
      </c>
      <c r="P245" s="680" t="s">
        <v>3755</v>
      </c>
      <c r="Q245" s="666"/>
      <c r="R245" s="680">
        <v>104.0</v>
      </c>
      <c r="S245" s="690">
        <v>4.0</v>
      </c>
      <c r="T245" s="862">
        <f t="shared" si="13"/>
        <v>0.03846153846</v>
      </c>
      <c r="U245" s="691">
        <v>45762.0</v>
      </c>
      <c r="V245" s="680" t="s">
        <v>5644</v>
      </c>
      <c r="W245" s="686"/>
      <c r="X245" s="686"/>
      <c r="Y245" s="686"/>
      <c r="Z245" s="688"/>
      <c r="AA245" s="669"/>
      <c r="AB245" s="695"/>
      <c r="AC245" s="669"/>
    </row>
    <row r="246" ht="18.0" customHeight="1">
      <c r="A246" s="680" t="s">
        <v>5645</v>
      </c>
      <c r="B246" s="680" t="s">
        <v>857</v>
      </c>
      <c r="C246" s="680">
        <v>2025.0</v>
      </c>
      <c r="D246" s="681" t="s">
        <v>4143</v>
      </c>
      <c r="E246" s="680">
        <v>1.0</v>
      </c>
      <c r="F246" s="680">
        <v>266.0</v>
      </c>
      <c r="G246" s="680" t="s">
        <v>4651</v>
      </c>
      <c r="H246" s="680" t="s">
        <v>4651</v>
      </c>
      <c r="I246" s="680" t="s">
        <v>3879</v>
      </c>
      <c r="J246" s="176" t="s">
        <v>3755</v>
      </c>
      <c r="K246" s="176" t="s">
        <v>3755</v>
      </c>
      <c r="L246" s="680" t="s">
        <v>3755</v>
      </c>
      <c r="M246" s="680">
        <v>4.0</v>
      </c>
      <c r="N246" s="680">
        <v>8.0</v>
      </c>
      <c r="O246" s="680">
        <v>8.0</v>
      </c>
      <c r="P246" s="680" t="s">
        <v>3755</v>
      </c>
      <c r="Q246" s="666"/>
      <c r="R246" s="680">
        <v>49.0</v>
      </c>
      <c r="S246" s="680">
        <v>8.0</v>
      </c>
      <c r="T246" s="862">
        <f t="shared" si="13"/>
        <v>0.1632653061</v>
      </c>
      <c r="U246" s="691">
        <v>45366.0</v>
      </c>
      <c r="V246" s="680" t="s">
        <v>5647</v>
      </c>
      <c r="W246" s="680">
        <v>8.0</v>
      </c>
      <c r="X246" s="686"/>
      <c r="Y246" s="686"/>
      <c r="Z246" s="686"/>
      <c r="AA246" s="669"/>
      <c r="AB246" s="695"/>
      <c r="AC246" s="669"/>
    </row>
    <row r="247" ht="18.0" customHeight="1">
      <c r="A247" s="680" t="s">
        <v>5648</v>
      </c>
      <c r="B247" s="680" t="s">
        <v>857</v>
      </c>
      <c r="C247" s="680">
        <v>2024.0</v>
      </c>
      <c r="D247" s="681" t="s">
        <v>3995</v>
      </c>
      <c r="E247" s="680">
        <v>1.0</v>
      </c>
      <c r="F247" s="680">
        <v>249.0</v>
      </c>
      <c r="G247" s="688"/>
      <c r="H247" s="688"/>
      <c r="I247" s="680" t="s">
        <v>3879</v>
      </c>
      <c r="J247" s="680" t="s">
        <v>3755</v>
      </c>
      <c r="K247" s="680" t="s">
        <v>3755</v>
      </c>
      <c r="L247" s="680" t="s">
        <v>3758</v>
      </c>
      <c r="M247" s="680">
        <v>4.0</v>
      </c>
      <c r="N247" s="680">
        <v>4.0</v>
      </c>
      <c r="O247" s="680">
        <v>7.0</v>
      </c>
      <c r="P247" s="680" t="s">
        <v>3755</v>
      </c>
      <c r="Q247" s="666"/>
      <c r="R247" s="680">
        <v>130.0</v>
      </c>
      <c r="S247" s="680">
        <v>5.0</v>
      </c>
      <c r="T247" s="693">
        <f t="shared" si="13"/>
        <v>0.03846153846</v>
      </c>
      <c r="U247" s="691">
        <v>45337.0</v>
      </c>
      <c r="V247" s="688"/>
      <c r="W247" s="686"/>
      <c r="X247" s="686"/>
      <c r="Y247" s="686"/>
      <c r="Z247" s="680">
        <v>1.0</v>
      </c>
      <c r="AA247" s="669"/>
      <c r="AB247" s="695"/>
      <c r="AC247" s="669"/>
    </row>
    <row r="248" ht="18.0" customHeight="1">
      <c r="A248" s="680" t="s">
        <v>5654</v>
      </c>
      <c r="B248" s="680" t="s">
        <v>857</v>
      </c>
      <c r="C248" s="680">
        <v>2025.0</v>
      </c>
      <c r="D248" s="681" t="s">
        <v>4019</v>
      </c>
      <c r="E248" s="680">
        <v>1.0</v>
      </c>
      <c r="F248" s="680">
        <v>275.0</v>
      </c>
      <c r="G248" s="680" t="s">
        <v>4651</v>
      </c>
      <c r="H248" s="680" t="s">
        <v>4651</v>
      </c>
      <c r="I248" s="176" t="s">
        <v>3812</v>
      </c>
      <c r="J248" s="680" t="s">
        <v>3758</v>
      </c>
      <c r="K248" s="680" t="s">
        <v>3755</v>
      </c>
      <c r="L248" s="680" t="s">
        <v>3758</v>
      </c>
      <c r="M248" s="680">
        <v>8.0</v>
      </c>
      <c r="N248" s="680">
        <v>10.0</v>
      </c>
      <c r="O248" s="680">
        <v>10.0</v>
      </c>
      <c r="P248" s="680" t="s">
        <v>3755</v>
      </c>
      <c r="Q248" s="666"/>
      <c r="R248" s="680">
        <v>53.0</v>
      </c>
      <c r="S248" s="680">
        <v>17.0</v>
      </c>
      <c r="T248" s="685">
        <f t="shared" si="13"/>
        <v>0.320754717</v>
      </c>
      <c r="U248" s="691">
        <v>45611.0</v>
      </c>
      <c r="V248" s="686"/>
      <c r="W248" s="680">
        <v>2.0</v>
      </c>
      <c r="X248" s="686"/>
      <c r="Y248" s="680">
        <v>2.0</v>
      </c>
      <c r="Z248" s="686"/>
      <c r="AA248" s="669"/>
      <c r="AB248" s="695"/>
      <c r="AC248" s="669"/>
    </row>
    <row r="249" ht="18.0" customHeight="1">
      <c r="A249" s="680" t="s">
        <v>5656</v>
      </c>
      <c r="B249" s="680" t="s">
        <v>857</v>
      </c>
      <c r="C249" s="680">
        <v>2025.0</v>
      </c>
      <c r="D249" s="681" t="s">
        <v>4122</v>
      </c>
      <c r="E249" s="680">
        <v>1.0</v>
      </c>
      <c r="F249" s="680">
        <v>242.0</v>
      </c>
      <c r="G249" s="680" t="s">
        <v>3808</v>
      </c>
      <c r="H249" s="680" t="s">
        <v>3808</v>
      </c>
      <c r="I249" s="688"/>
      <c r="J249" s="688"/>
      <c r="K249" s="688"/>
      <c r="L249" s="680" t="s">
        <v>3758</v>
      </c>
      <c r="M249" s="680">
        <v>8.0</v>
      </c>
      <c r="N249" s="680">
        <v>15.0</v>
      </c>
      <c r="O249" s="680">
        <v>10.0</v>
      </c>
      <c r="P249" s="680" t="s">
        <v>3755</v>
      </c>
      <c r="Q249" s="666"/>
      <c r="R249" s="680">
        <v>50.0</v>
      </c>
      <c r="S249" s="680">
        <v>14.0</v>
      </c>
      <c r="T249" s="685">
        <f t="shared" si="13"/>
        <v>0.28</v>
      </c>
      <c r="U249" s="691">
        <v>45550.0</v>
      </c>
      <c r="V249" s="680"/>
      <c r="W249" s="680">
        <v>1.0</v>
      </c>
      <c r="X249" s="686"/>
      <c r="Y249" s="688"/>
      <c r="Z249" s="686"/>
      <c r="AA249" s="669"/>
      <c r="AB249" s="695"/>
      <c r="AC249" s="669"/>
    </row>
    <row r="250" ht="18.0" customHeight="1">
      <c r="A250" s="680" t="s">
        <v>5659</v>
      </c>
      <c r="B250" s="680" t="s">
        <v>3741</v>
      </c>
      <c r="C250" s="680">
        <v>2010.0</v>
      </c>
      <c r="D250" s="687" t="s">
        <v>3829</v>
      </c>
      <c r="E250" s="680">
        <v>1.0</v>
      </c>
      <c r="F250" s="680">
        <v>226.0</v>
      </c>
      <c r="G250" s="176" t="s">
        <v>5402</v>
      </c>
      <c r="H250" s="176" t="s">
        <v>5402</v>
      </c>
      <c r="I250" s="680" t="s">
        <v>3812</v>
      </c>
      <c r="J250" s="680" t="s">
        <v>3755</v>
      </c>
      <c r="K250" s="680" t="s">
        <v>3755</v>
      </c>
      <c r="L250" s="680" t="s">
        <v>3758</v>
      </c>
      <c r="M250" s="680">
        <v>0.0</v>
      </c>
      <c r="N250" s="680">
        <v>19.0</v>
      </c>
      <c r="O250" s="680">
        <v>10.0</v>
      </c>
      <c r="P250" s="680" t="s">
        <v>3755</v>
      </c>
      <c r="Q250" s="666"/>
      <c r="R250" s="680">
        <v>136.0</v>
      </c>
      <c r="S250" s="680">
        <v>0.0</v>
      </c>
      <c r="T250" s="685">
        <f t="shared" si="13"/>
        <v>0</v>
      </c>
      <c r="U250" s="688"/>
      <c r="V250" s="686"/>
      <c r="W250" s="686"/>
      <c r="X250" s="686"/>
      <c r="Y250" s="686"/>
      <c r="Z250" s="686"/>
      <c r="AA250" s="669"/>
      <c r="AB250" s="176" t="s">
        <v>3882</v>
      </c>
      <c r="AC250" s="669"/>
    </row>
    <row r="251" ht="18.0" customHeight="1">
      <c r="A251" s="680" t="s">
        <v>5665</v>
      </c>
      <c r="B251" s="680" t="s">
        <v>857</v>
      </c>
      <c r="C251" s="680">
        <v>2025.0</v>
      </c>
      <c r="D251" s="681" t="s">
        <v>4122</v>
      </c>
      <c r="E251" s="680">
        <v>1.0</v>
      </c>
      <c r="F251" s="680">
        <v>246.0</v>
      </c>
      <c r="G251" s="680" t="s">
        <v>4651</v>
      </c>
      <c r="H251" s="680" t="s">
        <v>4651</v>
      </c>
      <c r="I251" s="176" t="s">
        <v>3893</v>
      </c>
      <c r="J251" s="680" t="s">
        <v>3755</v>
      </c>
      <c r="K251" s="680" t="s">
        <v>3755</v>
      </c>
      <c r="L251" s="680" t="s">
        <v>3758</v>
      </c>
      <c r="M251" s="680">
        <v>1.0</v>
      </c>
      <c r="N251" s="680">
        <v>1.0</v>
      </c>
      <c r="O251" s="680">
        <v>10.0</v>
      </c>
      <c r="P251" s="680" t="s">
        <v>3755</v>
      </c>
      <c r="Q251" s="666"/>
      <c r="R251" s="680">
        <v>69.0</v>
      </c>
      <c r="S251" s="680">
        <v>18.0</v>
      </c>
      <c r="T251" s="685">
        <f t="shared" si="13"/>
        <v>0.2608695652</v>
      </c>
      <c r="U251" s="691">
        <v>45856.0</v>
      </c>
      <c r="V251" s="711" t="s">
        <v>5670</v>
      </c>
      <c r="W251" s="680">
        <v>15.0</v>
      </c>
      <c r="X251" s="680">
        <v>3.0</v>
      </c>
      <c r="Y251" s="680"/>
      <c r="Z251" s="680"/>
      <c r="AA251" s="669"/>
      <c r="AB251" s="176" t="s">
        <v>3778</v>
      </c>
      <c r="AC251" s="669"/>
    </row>
    <row r="252" ht="18.0" customHeight="1">
      <c r="A252" s="680">
        <v>93.0</v>
      </c>
      <c r="B252" s="680" t="s">
        <v>857</v>
      </c>
      <c r="C252" s="680">
        <v>2025.0</v>
      </c>
      <c r="D252" s="681" t="s">
        <v>5014</v>
      </c>
      <c r="E252" s="680">
        <v>1.0</v>
      </c>
      <c r="F252" s="680">
        <v>259.0</v>
      </c>
      <c r="G252" s="680" t="s">
        <v>4663</v>
      </c>
      <c r="H252" s="680" t="s">
        <v>4651</v>
      </c>
      <c r="I252" s="176" t="s">
        <v>3812</v>
      </c>
      <c r="J252" s="680" t="s">
        <v>3755</v>
      </c>
      <c r="K252" s="680" t="s">
        <v>3755</v>
      </c>
      <c r="L252" s="680" t="s">
        <v>3758</v>
      </c>
      <c r="M252" s="680">
        <v>5.0</v>
      </c>
      <c r="N252" s="680">
        <v>5.0</v>
      </c>
      <c r="O252" s="680">
        <v>10.0</v>
      </c>
      <c r="P252" s="680" t="s">
        <v>3755</v>
      </c>
      <c r="Q252" s="666"/>
      <c r="R252" s="680">
        <v>52.0</v>
      </c>
      <c r="S252" s="680">
        <v>24.0</v>
      </c>
      <c r="T252" s="685">
        <f t="shared" si="13"/>
        <v>0.4615384615</v>
      </c>
      <c r="U252" s="691">
        <v>45641.0</v>
      </c>
      <c r="V252" s="680" t="s">
        <v>5676</v>
      </c>
      <c r="W252" s="680">
        <v>21.0</v>
      </c>
      <c r="X252" s="680">
        <v>3.0</v>
      </c>
      <c r="Y252" s="688"/>
      <c r="Z252" s="686"/>
      <c r="AA252" s="669"/>
      <c r="AB252" s="176" t="s">
        <v>3778</v>
      </c>
      <c r="AC252" s="669"/>
    </row>
    <row r="253" ht="18.0" customHeight="1">
      <c r="A253" s="700" t="s">
        <v>5677</v>
      </c>
      <c r="B253" s="700" t="s">
        <v>857</v>
      </c>
      <c r="C253" s="700">
        <v>2025.0</v>
      </c>
      <c r="D253" s="700" t="s">
        <v>3921</v>
      </c>
      <c r="E253" s="700">
        <v>1.0</v>
      </c>
      <c r="F253" s="700">
        <v>240.0</v>
      </c>
      <c r="G253" s="700" t="s">
        <v>3808</v>
      </c>
      <c r="H253" s="700" t="s">
        <v>3808</v>
      </c>
      <c r="I253" s="700" t="s">
        <v>3812</v>
      </c>
      <c r="J253" s="700" t="s">
        <v>3755</v>
      </c>
      <c r="K253" s="700" t="s">
        <v>3755</v>
      </c>
      <c r="L253" s="700" t="s">
        <v>3758</v>
      </c>
      <c r="M253" s="700">
        <v>6.0</v>
      </c>
      <c r="N253" s="700">
        <v>2.0</v>
      </c>
      <c r="O253" s="700">
        <v>10.0</v>
      </c>
      <c r="P253" s="868"/>
      <c r="Q253" s="869"/>
      <c r="R253" s="700">
        <v>73.0</v>
      </c>
      <c r="S253" s="133">
        <v>0.0</v>
      </c>
      <c r="T253" s="870">
        <v>0.0412</v>
      </c>
      <c r="U253" s="700" t="s">
        <v>1</v>
      </c>
      <c r="V253" s="700" t="s">
        <v>5680</v>
      </c>
      <c r="W253" s="700" t="s">
        <v>758</v>
      </c>
      <c r="X253" s="871"/>
      <c r="Y253" s="871"/>
      <c r="Z253" s="871"/>
      <c r="AA253" s="869"/>
      <c r="AB253" s="700" t="s">
        <v>3882</v>
      </c>
      <c r="AC253" s="869"/>
    </row>
    <row r="254" ht="18.0" customHeight="1">
      <c r="A254" s="680" t="s">
        <v>5681</v>
      </c>
      <c r="B254" s="680" t="s">
        <v>857</v>
      </c>
      <c r="C254" s="680">
        <v>2025.0</v>
      </c>
      <c r="D254" s="725" t="s">
        <v>5682</v>
      </c>
      <c r="E254" s="680">
        <v>1.0</v>
      </c>
      <c r="F254" s="680">
        <v>255.0</v>
      </c>
      <c r="G254" s="680" t="s">
        <v>4663</v>
      </c>
      <c r="H254" s="680" t="s">
        <v>4663</v>
      </c>
      <c r="I254" s="731"/>
      <c r="J254" s="731"/>
      <c r="K254" s="731"/>
      <c r="L254" s="688"/>
      <c r="M254" s="688"/>
      <c r="N254" s="680">
        <v>8.0</v>
      </c>
      <c r="O254" s="680">
        <v>10.0</v>
      </c>
      <c r="P254" s="680" t="s">
        <v>3755</v>
      </c>
      <c r="Q254" s="666"/>
      <c r="R254" s="680">
        <v>55.0</v>
      </c>
      <c r="S254" s="680">
        <v>3.0</v>
      </c>
      <c r="T254" s="693" t="str">
        <f>#REF!/R254</f>
        <v>#REF!</v>
      </c>
      <c r="U254" s="691">
        <v>45427.0</v>
      </c>
      <c r="V254" s="711" t="s">
        <v>5689</v>
      </c>
      <c r="W254" s="680">
        <v>9.0</v>
      </c>
      <c r="X254" s="680">
        <v>1.0</v>
      </c>
      <c r="Y254" s="680">
        <v>1.0</v>
      </c>
      <c r="Z254" s="686"/>
      <c r="AA254" s="669"/>
      <c r="AB254" s="695"/>
      <c r="AC254" s="669"/>
    </row>
    <row r="255" ht="18.0" customHeight="1">
      <c r="A255" s="680" t="s">
        <v>5692</v>
      </c>
      <c r="B255" s="680" t="s">
        <v>857</v>
      </c>
      <c r="C255" s="680">
        <v>2025.0</v>
      </c>
      <c r="D255" s="681" t="s">
        <v>4135</v>
      </c>
      <c r="E255" s="680">
        <v>1.0</v>
      </c>
      <c r="F255" s="680">
        <v>268.0</v>
      </c>
      <c r="G255" s="680" t="s">
        <v>4663</v>
      </c>
      <c r="H255" s="680" t="s">
        <v>4663</v>
      </c>
      <c r="I255" s="176" t="s">
        <v>3812</v>
      </c>
      <c r="J255" s="688"/>
      <c r="K255" s="731"/>
      <c r="L255" s="688"/>
      <c r="M255" s="680">
        <v>5.0</v>
      </c>
      <c r="N255" s="680">
        <v>6.0</v>
      </c>
      <c r="O255" s="680">
        <v>10.0</v>
      </c>
      <c r="P255" s="680" t="s">
        <v>3755</v>
      </c>
      <c r="Q255" s="666"/>
      <c r="R255" s="680">
        <v>20.0</v>
      </c>
      <c r="S255" s="680">
        <v>11.0</v>
      </c>
      <c r="T255" s="693">
        <f t="shared" ref="T255:T256" si="14">S255/R255</f>
        <v>0.55</v>
      </c>
      <c r="U255" s="691">
        <v>45580.0</v>
      </c>
      <c r="V255" s="711" t="s">
        <v>5695</v>
      </c>
      <c r="W255" s="686"/>
      <c r="X255" s="686"/>
      <c r="Y255" s="686"/>
      <c r="Z255" s="686"/>
      <c r="AA255" s="669"/>
      <c r="AB255" s="695"/>
      <c r="AC255" s="669"/>
    </row>
    <row r="256" ht="18.0" customHeight="1">
      <c r="A256" s="680" t="s">
        <v>5696</v>
      </c>
      <c r="B256" s="680" t="s">
        <v>857</v>
      </c>
      <c r="C256" s="680">
        <v>2025.0</v>
      </c>
      <c r="D256" s="681" t="s">
        <v>4143</v>
      </c>
      <c r="E256" s="680">
        <v>1.0</v>
      </c>
      <c r="F256" s="680">
        <v>269.0</v>
      </c>
      <c r="G256" s="680" t="s">
        <v>4651</v>
      </c>
      <c r="H256" s="680" t="s">
        <v>4651</v>
      </c>
      <c r="I256" s="176" t="s">
        <v>3812</v>
      </c>
      <c r="J256" s="176" t="s">
        <v>3758</v>
      </c>
      <c r="K256" s="680" t="s">
        <v>3755</v>
      </c>
      <c r="L256" s="680" t="s">
        <v>3758</v>
      </c>
      <c r="M256" s="688"/>
      <c r="N256" s="680">
        <v>4.0</v>
      </c>
      <c r="O256" s="680">
        <v>10.0</v>
      </c>
      <c r="P256" s="680" t="s">
        <v>3755</v>
      </c>
      <c r="Q256" s="666"/>
      <c r="R256" s="680">
        <v>45.0</v>
      </c>
      <c r="S256" s="680">
        <v>12.0</v>
      </c>
      <c r="T256" s="693">
        <f t="shared" si="14"/>
        <v>0.2666666667</v>
      </c>
      <c r="U256" s="691">
        <v>45519.0</v>
      </c>
      <c r="V256" s="686"/>
      <c r="W256" s="686"/>
      <c r="X256" s="686"/>
      <c r="Y256" s="686"/>
      <c r="Z256" s="686"/>
      <c r="AA256" s="669"/>
      <c r="AB256" s="695"/>
      <c r="AC256" s="669"/>
    </row>
    <row r="257" ht="18.0" customHeight="1">
      <c r="A257" s="688"/>
      <c r="B257" s="688"/>
      <c r="C257" s="688"/>
      <c r="D257" s="865"/>
      <c r="E257" s="688"/>
      <c r="F257" s="688"/>
      <c r="G257" s="688"/>
      <c r="H257" s="688"/>
      <c r="I257" s="688"/>
      <c r="J257" s="688"/>
      <c r="K257" s="688"/>
      <c r="L257" s="688"/>
      <c r="M257" s="688"/>
      <c r="N257" s="688"/>
      <c r="O257" s="688"/>
      <c r="P257" s="688"/>
      <c r="Q257" s="666"/>
      <c r="R257" s="688"/>
      <c r="S257" s="680"/>
      <c r="T257" s="693"/>
      <c r="U257" s="680"/>
      <c r="V257" s="872"/>
      <c r="W257" s="680"/>
      <c r="X257" s="680"/>
      <c r="Y257" s="680"/>
      <c r="Z257" s="680"/>
      <c r="AA257" s="669"/>
      <c r="AB257" s="695"/>
      <c r="AC257" s="669"/>
    </row>
    <row r="258" ht="18.0" customHeight="1">
      <c r="A258" s="700" t="s">
        <v>5708</v>
      </c>
      <c r="B258" s="873" t="s">
        <v>857</v>
      </c>
      <c r="C258" s="873">
        <v>2025.0</v>
      </c>
      <c r="D258" s="873" t="s">
        <v>4143</v>
      </c>
      <c r="E258" s="873">
        <v>1.0</v>
      </c>
      <c r="F258" s="873">
        <v>234.0</v>
      </c>
      <c r="G258" s="873" t="s">
        <v>4651</v>
      </c>
      <c r="H258" s="873" t="s">
        <v>4651</v>
      </c>
      <c r="I258" s="873" t="s">
        <v>3812</v>
      </c>
      <c r="J258" s="873" t="s">
        <v>3758</v>
      </c>
      <c r="K258" s="873" t="s">
        <v>3758</v>
      </c>
      <c r="L258" s="873" t="s">
        <v>3758</v>
      </c>
      <c r="M258" s="873">
        <v>6.0</v>
      </c>
      <c r="N258" s="873">
        <v>8.0</v>
      </c>
      <c r="O258" s="873">
        <v>10.0</v>
      </c>
      <c r="P258" s="873" t="s">
        <v>3755</v>
      </c>
      <c r="Q258" s="874"/>
      <c r="R258" s="690">
        <v>48.0</v>
      </c>
      <c r="S258" s="680">
        <v>13.0</v>
      </c>
      <c r="T258" s="875">
        <v>0.27</v>
      </c>
      <c r="U258" s="876">
        <v>45488.0</v>
      </c>
      <c r="V258" s="877" t="s">
        <v>5715</v>
      </c>
      <c r="W258" s="690">
        <v>12.0</v>
      </c>
      <c r="X258" s="690">
        <v>1.0</v>
      </c>
      <c r="Y258" s="690">
        <v>2.0</v>
      </c>
      <c r="Z258" s="690">
        <v>1.0</v>
      </c>
      <c r="AA258" s="878"/>
      <c r="AB258" s="879"/>
      <c r="AC258" s="878"/>
    </row>
    <row r="259" ht="18.0" customHeight="1">
      <c r="A259" s="700" t="s">
        <v>5718</v>
      </c>
      <c r="B259" s="700" t="s">
        <v>857</v>
      </c>
      <c r="C259" s="700">
        <v>2025.0</v>
      </c>
      <c r="D259" s="700" t="s">
        <v>4006</v>
      </c>
      <c r="E259" s="700">
        <v>2.0</v>
      </c>
      <c r="F259" s="700">
        <v>232.0</v>
      </c>
      <c r="G259" s="700" t="s">
        <v>4651</v>
      </c>
      <c r="H259" s="700" t="s">
        <v>4651</v>
      </c>
      <c r="I259" s="700" t="s">
        <v>3812</v>
      </c>
      <c r="J259" s="700" t="s">
        <v>3758</v>
      </c>
      <c r="K259" s="700" t="s">
        <v>3755</v>
      </c>
      <c r="L259" s="700" t="s">
        <v>3758</v>
      </c>
      <c r="M259" s="700">
        <v>4.0</v>
      </c>
      <c r="N259" s="700">
        <v>12.0</v>
      </c>
      <c r="O259" s="700">
        <v>10.0</v>
      </c>
      <c r="P259" s="700" t="s">
        <v>3755</v>
      </c>
      <c r="Q259" s="666"/>
      <c r="R259" s="680">
        <v>35.0</v>
      </c>
      <c r="S259" s="680">
        <v>3.0</v>
      </c>
      <c r="T259" s="875"/>
      <c r="U259" s="691">
        <v>45337.0</v>
      </c>
      <c r="V259" s="680" t="s">
        <v>5724</v>
      </c>
      <c r="W259" s="686"/>
      <c r="X259" s="686"/>
      <c r="Y259" s="686"/>
      <c r="Z259" s="686"/>
      <c r="AA259" s="669"/>
      <c r="AB259" s="695"/>
      <c r="AC259" s="669"/>
    </row>
    <row r="260" ht="17.25" customHeight="1">
      <c r="A260" s="700" t="s">
        <v>5725</v>
      </c>
      <c r="B260" s="873" t="s">
        <v>857</v>
      </c>
      <c r="C260" s="873">
        <v>2025.0</v>
      </c>
      <c r="D260" s="873" t="s">
        <v>5726</v>
      </c>
      <c r="E260" s="873">
        <v>1.0</v>
      </c>
      <c r="F260" s="880">
        <v>239.0</v>
      </c>
      <c r="G260" s="873" t="s">
        <v>4651</v>
      </c>
      <c r="H260" s="873" t="s">
        <v>4651</v>
      </c>
      <c r="I260" s="873" t="s">
        <v>3893</v>
      </c>
      <c r="J260" s="873" t="s">
        <v>3755</v>
      </c>
      <c r="K260" s="873" t="s">
        <v>3755</v>
      </c>
      <c r="L260" s="873" t="s">
        <v>3758</v>
      </c>
      <c r="M260" s="873">
        <v>3.0</v>
      </c>
      <c r="N260" s="873">
        <v>7.0</v>
      </c>
      <c r="O260" s="873">
        <v>10.0</v>
      </c>
      <c r="P260" s="873" t="s">
        <v>3755</v>
      </c>
      <c r="Q260" s="874"/>
      <c r="R260" s="690">
        <v>177.0</v>
      </c>
      <c r="S260" s="702">
        <v>10.0</v>
      </c>
      <c r="T260" s="881">
        <f t="shared" ref="T260:T262" si="15">S260/R260</f>
        <v>0.05649717514</v>
      </c>
      <c r="U260" s="876">
        <v>45397.0</v>
      </c>
      <c r="V260" s="882" t="s">
        <v>5731</v>
      </c>
      <c r="W260" s="883">
        <v>1.0</v>
      </c>
      <c r="X260" s="883">
        <v>0.0</v>
      </c>
      <c r="Y260" s="883">
        <v>2.0</v>
      </c>
      <c r="Z260" s="883">
        <v>0.0</v>
      </c>
      <c r="AA260" s="878"/>
      <c r="AB260" s="884" t="s">
        <v>3778</v>
      </c>
      <c r="AC260" s="878"/>
    </row>
    <row r="261" ht="18.0" customHeight="1">
      <c r="A261" s="700" t="s">
        <v>5732</v>
      </c>
      <c r="B261" s="700" t="s">
        <v>857</v>
      </c>
      <c r="C261" s="700">
        <v>2021.0</v>
      </c>
      <c r="D261" s="687" t="s">
        <v>3829</v>
      </c>
      <c r="E261" s="700">
        <v>1.0</v>
      </c>
      <c r="F261" s="700">
        <v>232.0</v>
      </c>
      <c r="G261" s="700" t="s">
        <v>4651</v>
      </c>
      <c r="H261" s="700" t="s">
        <v>4651</v>
      </c>
      <c r="I261" s="700" t="s">
        <v>3812</v>
      </c>
      <c r="J261" s="700" t="s">
        <v>3755</v>
      </c>
      <c r="K261" s="700" t="s">
        <v>3755</v>
      </c>
      <c r="L261" s="700" t="s">
        <v>3758</v>
      </c>
      <c r="M261" s="700">
        <v>0.0</v>
      </c>
      <c r="N261" s="700">
        <v>30.0</v>
      </c>
      <c r="O261" s="700">
        <v>10.0</v>
      </c>
      <c r="P261" s="700" t="s">
        <v>3755</v>
      </c>
      <c r="Q261" s="666"/>
      <c r="R261" s="680">
        <v>112.0</v>
      </c>
      <c r="S261" s="690">
        <v>8.0</v>
      </c>
      <c r="T261" s="693">
        <f t="shared" si="15"/>
        <v>0.07142857143</v>
      </c>
      <c r="U261" s="691">
        <v>45458.0</v>
      </c>
      <c r="V261" s="680" t="s">
        <v>5733</v>
      </c>
      <c r="W261" s="680">
        <v>8.0</v>
      </c>
      <c r="X261" s="686"/>
      <c r="Y261" s="680">
        <v>7.0</v>
      </c>
      <c r="Z261" s="686"/>
      <c r="AA261" s="666"/>
      <c r="AB261" s="680" t="s">
        <v>3841</v>
      </c>
      <c r="AC261" s="666"/>
    </row>
    <row r="262" ht="18.0" customHeight="1">
      <c r="A262" s="700" t="s">
        <v>5734</v>
      </c>
      <c r="B262" s="700" t="s">
        <v>857</v>
      </c>
      <c r="C262" s="700">
        <v>2025.0</v>
      </c>
      <c r="D262" s="700" t="s">
        <v>5737</v>
      </c>
      <c r="E262" s="700">
        <v>1.0</v>
      </c>
      <c r="F262" s="700">
        <v>262.0</v>
      </c>
      <c r="G262" s="700" t="s">
        <v>4651</v>
      </c>
      <c r="H262" s="700" t="s">
        <v>4651</v>
      </c>
      <c r="I262" s="700"/>
      <c r="J262" s="700" t="s">
        <v>3755</v>
      </c>
      <c r="K262" s="700" t="s">
        <v>3758</v>
      </c>
      <c r="L262" s="700" t="s">
        <v>3758</v>
      </c>
      <c r="M262" s="700">
        <v>3.0</v>
      </c>
      <c r="N262" s="700">
        <v>2.0</v>
      </c>
      <c r="O262" s="700">
        <v>10.0</v>
      </c>
      <c r="P262" s="700" t="s">
        <v>3755</v>
      </c>
      <c r="Q262" s="666"/>
      <c r="R262" s="680">
        <v>65.0</v>
      </c>
      <c r="S262" s="680">
        <v>16.0</v>
      </c>
      <c r="T262" s="685">
        <f t="shared" si="15"/>
        <v>0.2461538462</v>
      </c>
      <c r="U262" s="691">
        <v>45854.0</v>
      </c>
      <c r="V262" s="711" t="s">
        <v>5738</v>
      </c>
      <c r="W262" s="680">
        <v>15.0</v>
      </c>
      <c r="X262" s="680"/>
      <c r="Y262" s="680">
        <v>5.0</v>
      </c>
      <c r="Z262" s="680"/>
      <c r="AA262" s="666"/>
      <c r="AB262" s="680"/>
      <c r="AC262" s="666"/>
    </row>
    <row r="263" ht="18.0" customHeight="1">
      <c r="A263" s="700" t="s">
        <v>5739</v>
      </c>
      <c r="B263" s="700" t="s">
        <v>3919</v>
      </c>
      <c r="C263" s="700">
        <v>2024.0</v>
      </c>
      <c r="D263" s="700" t="s">
        <v>4143</v>
      </c>
      <c r="E263" s="700" t="s">
        <v>3808</v>
      </c>
      <c r="F263" s="700">
        <v>238.0</v>
      </c>
      <c r="G263" s="700" t="s">
        <v>4651</v>
      </c>
      <c r="H263" s="700">
        <v>565.0</v>
      </c>
      <c r="I263" s="700" t="s">
        <v>3893</v>
      </c>
      <c r="J263" s="700" t="s">
        <v>3758</v>
      </c>
      <c r="K263" s="700" t="s">
        <v>3755</v>
      </c>
      <c r="L263" s="700" t="s">
        <v>3758</v>
      </c>
      <c r="M263" s="700">
        <v>4.0</v>
      </c>
      <c r="N263" s="700">
        <v>6.0</v>
      </c>
      <c r="O263" s="700">
        <v>9.0</v>
      </c>
      <c r="P263" s="700" t="s">
        <v>3755</v>
      </c>
      <c r="Q263" s="666"/>
      <c r="R263" s="680">
        <v>100.0</v>
      </c>
      <c r="S263" s="680">
        <v>9.0</v>
      </c>
      <c r="T263" s="693">
        <f>9/100</f>
        <v>0.09</v>
      </c>
      <c r="U263" s="691">
        <v>45366.0</v>
      </c>
      <c r="V263" s="686"/>
      <c r="W263" s="680">
        <v>9.0</v>
      </c>
      <c r="X263" s="686"/>
      <c r="Y263" s="686"/>
      <c r="Z263" s="686"/>
      <c r="AA263" s="669"/>
      <c r="AB263" s="695"/>
      <c r="AC263" s="669"/>
    </row>
    <row r="264" ht="18.0" customHeight="1">
      <c r="A264" s="700" t="s">
        <v>5744</v>
      </c>
      <c r="B264" s="700" t="s">
        <v>857</v>
      </c>
      <c r="C264" s="700">
        <v>2025.0</v>
      </c>
      <c r="D264" s="700" t="s">
        <v>5746</v>
      </c>
      <c r="E264" s="700">
        <v>1.0</v>
      </c>
      <c r="F264" s="700">
        <v>260.0</v>
      </c>
      <c r="G264" s="700" t="s">
        <v>4651</v>
      </c>
      <c r="H264" s="700" t="s">
        <v>4651</v>
      </c>
      <c r="I264" s="700" t="s">
        <v>3812</v>
      </c>
      <c r="J264" s="700" t="s">
        <v>3755</v>
      </c>
      <c r="K264" s="700" t="s">
        <v>3755</v>
      </c>
      <c r="L264" s="700" t="s">
        <v>3758</v>
      </c>
      <c r="M264" s="700">
        <v>8.0</v>
      </c>
      <c r="N264" s="700">
        <v>4.0</v>
      </c>
      <c r="O264" s="700">
        <v>10.0</v>
      </c>
      <c r="P264" s="700" t="s">
        <v>3755</v>
      </c>
      <c r="Q264" s="666"/>
      <c r="R264" s="680">
        <v>70.0</v>
      </c>
      <c r="S264" s="680">
        <v>19.0</v>
      </c>
      <c r="T264" s="693">
        <f>20/70</f>
        <v>0.2857142857</v>
      </c>
      <c r="U264" s="691">
        <v>45611.0</v>
      </c>
      <c r="V264" s="686"/>
      <c r="W264" s="688"/>
      <c r="X264" s="688"/>
      <c r="Y264" s="688"/>
      <c r="Z264" s="688"/>
      <c r="AA264" s="669"/>
      <c r="AB264" s="695"/>
      <c r="AC264" s="669"/>
    </row>
    <row r="265" ht="18.0" customHeight="1">
      <c r="A265" s="700" t="s">
        <v>5751</v>
      </c>
      <c r="B265" s="700" t="s">
        <v>857</v>
      </c>
      <c r="C265" s="700">
        <v>2019.0</v>
      </c>
      <c r="D265" s="687" t="s">
        <v>3829</v>
      </c>
      <c r="E265" s="700">
        <v>1.0</v>
      </c>
      <c r="F265" s="700">
        <v>255.0</v>
      </c>
      <c r="G265" s="700" t="s">
        <v>4651</v>
      </c>
      <c r="H265" s="700" t="s">
        <v>4651</v>
      </c>
      <c r="I265" s="700" t="s">
        <v>3812</v>
      </c>
      <c r="J265" s="700" t="s">
        <v>3755</v>
      </c>
      <c r="K265" s="700" t="s">
        <v>3755</v>
      </c>
      <c r="L265" s="700" t="s">
        <v>3758</v>
      </c>
      <c r="M265" s="700">
        <v>4.0</v>
      </c>
      <c r="N265" s="700">
        <v>11.0</v>
      </c>
      <c r="O265" s="700">
        <v>10.0</v>
      </c>
      <c r="P265" s="700" t="s">
        <v>3758</v>
      </c>
      <c r="Q265" s="666"/>
      <c r="R265" s="680">
        <v>88.0</v>
      </c>
      <c r="S265" s="680">
        <v>0.0</v>
      </c>
      <c r="T265" s="693">
        <f t="shared" ref="T265:T295" si="16">S265/R265</f>
        <v>0</v>
      </c>
      <c r="U265" s="680" t="s">
        <v>5233</v>
      </c>
      <c r="V265" s="686"/>
      <c r="W265" s="686"/>
      <c r="X265" s="686"/>
      <c r="Y265" s="686"/>
      <c r="Z265" s="686"/>
      <c r="AA265" s="669"/>
      <c r="AB265" s="176" t="s">
        <v>3882</v>
      </c>
      <c r="AC265" s="669"/>
    </row>
    <row r="266" ht="15.75" customHeight="1">
      <c r="A266" s="700" t="s">
        <v>5755</v>
      </c>
      <c r="B266" s="700" t="s">
        <v>857</v>
      </c>
      <c r="C266" s="700">
        <v>2025.0</v>
      </c>
      <c r="D266" s="700" t="s">
        <v>4019</v>
      </c>
      <c r="E266" s="700">
        <v>1.0</v>
      </c>
      <c r="F266" s="700">
        <v>244.0</v>
      </c>
      <c r="G266" s="700" t="s">
        <v>4651</v>
      </c>
      <c r="H266" s="700" t="s">
        <v>4651</v>
      </c>
      <c r="I266" s="700" t="s">
        <v>3879</v>
      </c>
      <c r="J266" s="700" t="s">
        <v>3755</v>
      </c>
      <c r="K266" s="700" t="s">
        <v>3758</v>
      </c>
      <c r="L266" s="700" t="s">
        <v>3755</v>
      </c>
      <c r="M266" s="700">
        <v>2.0</v>
      </c>
      <c r="N266" s="700">
        <v>5.0</v>
      </c>
      <c r="O266" s="700">
        <v>10.0</v>
      </c>
      <c r="P266" s="700" t="s">
        <v>3755</v>
      </c>
      <c r="Q266" s="666"/>
      <c r="R266" s="680">
        <v>88.0</v>
      </c>
      <c r="S266" s="680">
        <v>12.0</v>
      </c>
      <c r="T266" s="693">
        <f t="shared" si="16"/>
        <v>0.1363636364</v>
      </c>
      <c r="U266" s="691">
        <v>45488.0</v>
      </c>
      <c r="V266" s="680" t="s">
        <v>5763</v>
      </c>
      <c r="W266" s="680">
        <v>1.0</v>
      </c>
      <c r="X266" s="686"/>
      <c r="Y266" s="686"/>
      <c r="Z266" s="686"/>
      <c r="AA266" s="669"/>
      <c r="AB266" s="695"/>
      <c r="AC266" s="669"/>
    </row>
    <row r="267" ht="18.0" customHeight="1">
      <c r="A267" s="700" t="s">
        <v>5764</v>
      </c>
      <c r="B267" s="700" t="s">
        <v>857</v>
      </c>
      <c r="C267" s="700">
        <v>2025.0</v>
      </c>
      <c r="D267" s="700" t="s">
        <v>3844</v>
      </c>
      <c r="E267" s="700">
        <v>1.0</v>
      </c>
      <c r="F267" s="700">
        <v>259.0</v>
      </c>
      <c r="G267" s="700" t="s">
        <v>4651</v>
      </c>
      <c r="H267" s="700" t="s">
        <v>4651</v>
      </c>
      <c r="I267" s="700" t="s">
        <v>3812</v>
      </c>
      <c r="J267" s="700" t="s">
        <v>3755</v>
      </c>
      <c r="K267" s="700" t="s">
        <v>3755</v>
      </c>
      <c r="L267" s="700" t="s">
        <v>3758</v>
      </c>
      <c r="M267" s="700">
        <v>6.0</v>
      </c>
      <c r="N267" s="700">
        <v>10.0</v>
      </c>
      <c r="O267" s="700">
        <v>10.0</v>
      </c>
      <c r="P267" s="700" t="s">
        <v>3755</v>
      </c>
      <c r="Q267" s="666"/>
      <c r="R267" s="680">
        <v>39.0</v>
      </c>
      <c r="S267" s="680">
        <v>16.0</v>
      </c>
      <c r="T267" s="693">
        <f t="shared" si="16"/>
        <v>0.4102564103</v>
      </c>
      <c r="U267" s="691">
        <v>45580.0</v>
      </c>
      <c r="V267" s="680" t="s">
        <v>5772</v>
      </c>
      <c r="W267" s="680">
        <v>16.0</v>
      </c>
      <c r="X267" s="686"/>
      <c r="Y267" s="686"/>
      <c r="Z267" s="688"/>
      <c r="AA267" s="669"/>
      <c r="AB267" s="695"/>
      <c r="AC267" s="669"/>
    </row>
    <row r="268" ht="18.0" customHeight="1">
      <c r="A268" s="700" t="s">
        <v>5777</v>
      </c>
      <c r="B268" s="700" t="s">
        <v>857</v>
      </c>
      <c r="C268" s="700">
        <v>2025.0</v>
      </c>
      <c r="D268" s="700" t="s">
        <v>3844</v>
      </c>
      <c r="E268" s="700">
        <v>1.0</v>
      </c>
      <c r="F268" s="700">
        <v>254.0</v>
      </c>
      <c r="G268" s="700" t="s">
        <v>4651</v>
      </c>
      <c r="H268" s="700" t="s">
        <v>4651</v>
      </c>
      <c r="I268" s="868"/>
      <c r="J268" s="700" t="s">
        <v>3755</v>
      </c>
      <c r="K268" s="700" t="s">
        <v>3755</v>
      </c>
      <c r="L268" s="700" t="s">
        <v>3755</v>
      </c>
      <c r="M268" s="700">
        <v>3.0</v>
      </c>
      <c r="N268" s="700">
        <v>34.0</v>
      </c>
      <c r="O268" s="700">
        <v>10.0</v>
      </c>
      <c r="P268" s="700" t="s">
        <v>3755</v>
      </c>
      <c r="Q268" s="666"/>
      <c r="R268" s="680">
        <v>46.0</v>
      </c>
      <c r="S268" s="680">
        <v>11.0</v>
      </c>
      <c r="T268" s="693">
        <f t="shared" si="16"/>
        <v>0.2391304348</v>
      </c>
      <c r="U268" s="691">
        <v>45397.0</v>
      </c>
      <c r="V268" s="686"/>
      <c r="W268" s="686"/>
      <c r="X268" s="686"/>
      <c r="Y268" s="686"/>
      <c r="Z268" s="686"/>
      <c r="AA268" s="669"/>
      <c r="AB268" s="695"/>
      <c r="AC268" s="669"/>
    </row>
    <row r="269" ht="18.0" customHeight="1">
      <c r="A269" s="700" t="s">
        <v>5783</v>
      </c>
      <c r="B269" s="700" t="s">
        <v>857</v>
      </c>
      <c r="C269" s="700">
        <v>2025.0</v>
      </c>
      <c r="D269" s="700" t="s">
        <v>4135</v>
      </c>
      <c r="E269" s="700">
        <v>1.0</v>
      </c>
      <c r="F269" s="700">
        <v>256.0</v>
      </c>
      <c r="G269" s="700" t="s">
        <v>4651</v>
      </c>
      <c r="H269" s="700" t="s">
        <v>4651</v>
      </c>
      <c r="I269" s="700" t="s">
        <v>4834</v>
      </c>
      <c r="J269" s="868"/>
      <c r="K269" s="871"/>
      <c r="L269" s="700" t="s">
        <v>3755</v>
      </c>
      <c r="M269" s="700">
        <v>0.0</v>
      </c>
      <c r="N269" s="700">
        <v>3.0</v>
      </c>
      <c r="O269" s="700">
        <v>10.0</v>
      </c>
      <c r="P269" s="700" t="s">
        <v>3755</v>
      </c>
      <c r="Q269" s="666"/>
      <c r="R269" s="680">
        <v>32.0</v>
      </c>
      <c r="S269" s="712">
        <v>10.0</v>
      </c>
      <c r="T269" s="693">
        <f t="shared" si="16"/>
        <v>0.3125</v>
      </c>
      <c r="U269" s="691">
        <v>45427.0</v>
      </c>
      <c r="V269" s="711" t="s">
        <v>5788</v>
      </c>
      <c r="W269" s="680">
        <v>10.0</v>
      </c>
      <c r="X269" s="686"/>
      <c r="Y269" s="680">
        <v>1.0</v>
      </c>
      <c r="Z269" s="686"/>
      <c r="AA269" s="669"/>
      <c r="AB269" s="176" t="s">
        <v>4307</v>
      </c>
      <c r="AC269" s="669"/>
    </row>
    <row r="270" ht="18.0" customHeight="1">
      <c r="A270" s="700" t="s">
        <v>5792</v>
      </c>
      <c r="B270" s="700" t="s">
        <v>3919</v>
      </c>
      <c r="C270" s="700">
        <v>2025.0</v>
      </c>
      <c r="D270" s="700" t="s">
        <v>5682</v>
      </c>
      <c r="E270" s="700" t="s">
        <v>3808</v>
      </c>
      <c r="F270" s="700">
        <v>227.0</v>
      </c>
      <c r="G270" s="700" t="s">
        <v>4125</v>
      </c>
      <c r="H270" s="700">
        <v>450.0</v>
      </c>
      <c r="I270" s="700" t="s">
        <v>4834</v>
      </c>
      <c r="J270" s="700" t="s">
        <v>3755</v>
      </c>
      <c r="K270" s="700" t="s">
        <v>3755</v>
      </c>
      <c r="L270" s="700" t="s">
        <v>3755</v>
      </c>
      <c r="M270" s="700">
        <v>2.0</v>
      </c>
      <c r="N270" s="700">
        <v>1.0</v>
      </c>
      <c r="O270" s="700">
        <v>10.0</v>
      </c>
      <c r="P270" s="700" t="s">
        <v>3755</v>
      </c>
      <c r="Q270" s="666"/>
      <c r="R270" s="680">
        <v>67.0</v>
      </c>
      <c r="S270" s="680">
        <v>4.0</v>
      </c>
      <c r="T270" s="693">
        <f t="shared" si="16"/>
        <v>0.05970149254</v>
      </c>
      <c r="U270" s="680">
        <v>3.0</v>
      </c>
      <c r="V270" s="686"/>
      <c r="W270" s="686"/>
      <c r="X270" s="686"/>
      <c r="Y270" s="686"/>
      <c r="Z270" s="686"/>
      <c r="AA270" s="669"/>
      <c r="AB270" s="176" t="s">
        <v>3778</v>
      </c>
      <c r="AC270" s="669"/>
    </row>
    <row r="271" ht="18.0" customHeight="1">
      <c r="A271" s="700" t="s">
        <v>5798</v>
      </c>
      <c r="B271" s="700" t="s">
        <v>857</v>
      </c>
      <c r="C271" s="700">
        <v>2025.0</v>
      </c>
      <c r="D271" s="700" t="s">
        <v>5800</v>
      </c>
      <c r="E271" s="700">
        <v>1.0</v>
      </c>
      <c r="F271" s="700">
        <v>247.0</v>
      </c>
      <c r="G271" s="700" t="s">
        <v>4651</v>
      </c>
      <c r="H271" s="700" t="s">
        <v>4651</v>
      </c>
      <c r="I271" s="700" t="s">
        <v>3893</v>
      </c>
      <c r="J271" s="700" t="s">
        <v>3755</v>
      </c>
      <c r="K271" s="700" t="s">
        <v>3755</v>
      </c>
      <c r="L271" s="700" t="s">
        <v>3758</v>
      </c>
      <c r="M271" s="700">
        <v>3.0</v>
      </c>
      <c r="N271" s="700">
        <v>26.0</v>
      </c>
      <c r="O271" s="700">
        <v>10.0</v>
      </c>
      <c r="P271" s="700" t="s">
        <v>3755</v>
      </c>
      <c r="Q271" s="666"/>
      <c r="R271" s="680">
        <v>49.0</v>
      </c>
      <c r="S271" s="680">
        <v>12.0</v>
      </c>
      <c r="T271" s="693">
        <f t="shared" si="16"/>
        <v>0.2448979592</v>
      </c>
      <c r="U271" s="691">
        <v>45550.0</v>
      </c>
      <c r="V271" s="716"/>
      <c r="W271" s="680">
        <v>12.0</v>
      </c>
      <c r="X271" s="680">
        <v>0.0</v>
      </c>
      <c r="Y271" s="680">
        <v>1.0</v>
      </c>
      <c r="Z271" s="680"/>
      <c r="AA271" s="669"/>
      <c r="AB271" s="695"/>
      <c r="AC271" s="669"/>
    </row>
    <row r="272" ht="18.0" customHeight="1">
      <c r="A272" s="700" t="s">
        <v>5808</v>
      </c>
      <c r="B272" s="700" t="s">
        <v>857</v>
      </c>
      <c r="C272" s="700">
        <v>2025.0</v>
      </c>
      <c r="D272" s="700" t="s">
        <v>3844</v>
      </c>
      <c r="E272" s="700">
        <v>1.0</v>
      </c>
      <c r="F272" s="700">
        <v>223.0</v>
      </c>
      <c r="G272" s="700" t="s">
        <v>4651</v>
      </c>
      <c r="H272" s="700" t="s">
        <v>4651</v>
      </c>
      <c r="I272" s="700"/>
      <c r="J272" s="700" t="s">
        <v>3755</v>
      </c>
      <c r="K272" s="700" t="s">
        <v>3755</v>
      </c>
      <c r="L272" s="700" t="s">
        <v>3758</v>
      </c>
      <c r="M272" s="700">
        <v>2.0</v>
      </c>
      <c r="N272" s="700">
        <v>1.0</v>
      </c>
      <c r="O272" s="700">
        <v>10.0</v>
      </c>
      <c r="P272" s="700" t="s">
        <v>3755</v>
      </c>
      <c r="Q272" s="666"/>
      <c r="R272" s="712">
        <v>96.0</v>
      </c>
      <c r="S272" s="712">
        <v>5.0</v>
      </c>
      <c r="T272" s="693">
        <f t="shared" si="16"/>
        <v>0.05208333333</v>
      </c>
      <c r="U272" s="691">
        <v>45397.0</v>
      </c>
      <c r="V272" s="680" t="s">
        <v>5811</v>
      </c>
      <c r="W272" s="680">
        <v>5.0</v>
      </c>
      <c r="X272" s="680">
        <v>0.0</v>
      </c>
      <c r="Y272" s="680">
        <v>1.0</v>
      </c>
      <c r="Z272" s="680">
        <v>0.0</v>
      </c>
      <c r="AA272" s="669"/>
      <c r="AB272" s="176" t="s">
        <v>3778</v>
      </c>
      <c r="AC272" s="669"/>
    </row>
    <row r="273">
      <c r="A273" s="700" t="s">
        <v>5813</v>
      </c>
      <c r="B273" s="700" t="s">
        <v>857</v>
      </c>
      <c r="C273" s="700">
        <v>2024.0</v>
      </c>
      <c r="D273" s="700" t="s">
        <v>3921</v>
      </c>
      <c r="E273" s="700">
        <v>1.0</v>
      </c>
      <c r="F273" s="700">
        <v>225.0</v>
      </c>
      <c r="G273" s="700" t="s">
        <v>3808</v>
      </c>
      <c r="H273" s="700" t="s">
        <v>3808</v>
      </c>
      <c r="I273" s="871"/>
      <c r="J273" s="868"/>
      <c r="K273" s="868"/>
      <c r="L273" s="700" t="s">
        <v>3755</v>
      </c>
      <c r="M273" s="700">
        <v>1.0</v>
      </c>
      <c r="N273" s="700">
        <v>3.0</v>
      </c>
      <c r="O273" s="700">
        <v>3.0</v>
      </c>
      <c r="P273" s="700" t="s">
        <v>3755</v>
      </c>
      <c r="Q273" s="666"/>
      <c r="R273" s="712">
        <v>96.0</v>
      </c>
      <c r="S273" s="680">
        <v>0.0</v>
      </c>
      <c r="T273" s="693">
        <f t="shared" si="16"/>
        <v>0</v>
      </c>
      <c r="U273" s="680" t="s">
        <v>5822</v>
      </c>
      <c r="V273" s="688"/>
      <c r="W273" s="686"/>
      <c r="X273" s="686"/>
      <c r="Y273" s="688"/>
      <c r="Z273" s="686"/>
      <c r="AA273" s="669"/>
      <c r="AB273" s="176" t="s">
        <v>3882</v>
      </c>
      <c r="AC273" s="669"/>
    </row>
    <row r="274" ht="18.0" customHeight="1">
      <c r="A274" s="700" t="s">
        <v>5825</v>
      </c>
      <c r="B274" s="700" t="s">
        <v>857</v>
      </c>
      <c r="C274" s="700">
        <v>2023.0</v>
      </c>
      <c r="D274" s="687" t="s">
        <v>3829</v>
      </c>
      <c r="E274" s="700">
        <v>1.0</v>
      </c>
      <c r="F274" s="700">
        <v>260.0</v>
      </c>
      <c r="G274" s="700" t="s">
        <v>3808</v>
      </c>
      <c r="H274" s="873" t="s">
        <v>3808</v>
      </c>
      <c r="I274" s="700" t="s">
        <v>3812</v>
      </c>
      <c r="J274" s="868"/>
      <c r="K274" s="868"/>
      <c r="L274" s="700" t="s">
        <v>3758</v>
      </c>
      <c r="M274" s="868"/>
      <c r="N274" s="700">
        <v>42.0</v>
      </c>
      <c r="O274" s="700">
        <v>10.0</v>
      </c>
      <c r="P274" s="700" t="s">
        <v>3755</v>
      </c>
      <c r="Q274" s="666"/>
      <c r="R274" s="680">
        <v>63.0</v>
      </c>
      <c r="S274" s="690">
        <v>8.0</v>
      </c>
      <c r="T274" s="693">
        <f t="shared" si="16"/>
        <v>0.126984127</v>
      </c>
      <c r="U274" s="691">
        <v>45823.0</v>
      </c>
      <c r="V274" s="680" t="s">
        <v>5830</v>
      </c>
      <c r="W274" s="680">
        <v>7.0</v>
      </c>
      <c r="X274" s="680">
        <v>1.0</v>
      </c>
      <c r="Y274" s="680">
        <v>5.0</v>
      </c>
      <c r="Z274" s="680">
        <v>0.0</v>
      </c>
      <c r="AA274" s="669"/>
      <c r="AB274" s="176" t="s">
        <v>3841</v>
      </c>
      <c r="AC274" s="669"/>
    </row>
    <row r="275" ht="18.0" customHeight="1">
      <c r="A275" s="700" t="s">
        <v>5833</v>
      </c>
      <c r="B275" s="700" t="s">
        <v>857</v>
      </c>
      <c r="C275" s="700">
        <v>2019.0</v>
      </c>
      <c r="D275" s="687" t="s">
        <v>3829</v>
      </c>
      <c r="E275" s="700">
        <v>1.0</v>
      </c>
      <c r="F275" s="700">
        <v>236.0</v>
      </c>
      <c r="G275" s="700" t="s">
        <v>4651</v>
      </c>
      <c r="H275" s="700" t="s">
        <v>4651</v>
      </c>
      <c r="I275" s="700" t="s">
        <v>3812</v>
      </c>
      <c r="J275" s="868"/>
      <c r="K275" s="868"/>
      <c r="L275" s="868"/>
      <c r="M275" s="868"/>
      <c r="N275" s="700">
        <v>26.0</v>
      </c>
      <c r="O275" s="700">
        <v>10.0</v>
      </c>
      <c r="P275" s="700" t="s">
        <v>3755</v>
      </c>
      <c r="Q275" s="666"/>
      <c r="R275" s="680">
        <v>202.0</v>
      </c>
      <c r="S275" s="894">
        <v>1.0</v>
      </c>
      <c r="T275" s="693">
        <f t="shared" si="16"/>
        <v>0.00495049505</v>
      </c>
      <c r="U275" s="691">
        <v>45306.0</v>
      </c>
      <c r="V275" s="895"/>
      <c r="W275" s="686"/>
      <c r="X275" s="686"/>
      <c r="Y275" s="686"/>
      <c r="Z275" s="686"/>
      <c r="AA275" s="669"/>
      <c r="AB275" s="695"/>
      <c r="AC275" s="669"/>
    </row>
    <row r="276" ht="18.0" customHeight="1">
      <c r="A276" s="700" t="s">
        <v>5844</v>
      </c>
      <c r="B276" s="700" t="s">
        <v>3919</v>
      </c>
      <c r="C276" s="700">
        <v>2025.0</v>
      </c>
      <c r="D276" s="868"/>
      <c r="E276" s="700">
        <v>1.0</v>
      </c>
      <c r="F276" s="700">
        <v>250.0</v>
      </c>
      <c r="G276" s="700" t="s">
        <v>4125</v>
      </c>
      <c r="H276" s="700">
        <v>541.0</v>
      </c>
      <c r="I276" s="700" t="s">
        <v>3879</v>
      </c>
      <c r="J276" s="868"/>
      <c r="K276" s="868"/>
      <c r="L276" s="700" t="s">
        <v>3755</v>
      </c>
      <c r="M276" s="700">
        <v>3.0</v>
      </c>
      <c r="N276" s="700">
        <v>20.0</v>
      </c>
      <c r="O276" s="700">
        <v>10.0</v>
      </c>
      <c r="P276" s="700" t="s">
        <v>3755</v>
      </c>
      <c r="Q276" s="666"/>
      <c r="R276" s="680">
        <v>97.0</v>
      </c>
      <c r="S276" s="680">
        <v>9.0</v>
      </c>
      <c r="T276" s="693">
        <f t="shared" si="16"/>
        <v>0.09278350515</v>
      </c>
      <c r="U276" s="691">
        <v>45366.0</v>
      </c>
      <c r="V276" s="680" t="s">
        <v>5861</v>
      </c>
      <c r="W276" s="686"/>
      <c r="X276" s="686"/>
      <c r="Y276" s="680">
        <v>1.0</v>
      </c>
      <c r="Z276" s="686"/>
      <c r="AA276" s="669"/>
      <c r="AB276" s="695"/>
      <c r="AC276" s="669"/>
    </row>
    <row r="277" ht="18.0" customHeight="1">
      <c r="A277" s="700" t="s">
        <v>5863</v>
      </c>
      <c r="B277" s="700" t="s">
        <v>857</v>
      </c>
      <c r="C277" s="700">
        <v>2025.0</v>
      </c>
      <c r="D277" s="700" t="s">
        <v>3844</v>
      </c>
      <c r="E277" s="700">
        <v>1.0</v>
      </c>
      <c r="F277" s="700">
        <v>241.0</v>
      </c>
      <c r="G277" s="700" t="s">
        <v>4651</v>
      </c>
      <c r="H277" s="873" t="s">
        <v>4651</v>
      </c>
      <c r="I277" s="700" t="s">
        <v>3879</v>
      </c>
      <c r="J277" s="700" t="s">
        <v>3755</v>
      </c>
      <c r="K277" s="700" t="s">
        <v>3758</v>
      </c>
      <c r="L277" s="700" t="s">
        <v>3755</v>
      </c>
      <c r="M277" s="700">
        <v>4.0</v>
      </c>
      <c r="N277" s="700">
        <v>17.0</v>
      </c>
      <c r="O277" s="700">
        <v>10.0</v>
      </c>
      <c r="P277" s="700" t="s">
        <v>3755</v>
      </c>
      <c r="Q277" s="666"/>
      <c r="R277" s="680">
        <v>55.0</v>
      </c>
      <c r="S277" s="680">
        <v>5.0</v>
      </c>
      <c r="T277" s="862">
        <f t="shared" si="16"/>
        <v>0.09090909091</v>
      </c>
      <c r="U277" s="691">
        <v>45366.0</v>
      </c>
      <c r="V277" s="680" t="s">
        <v>5873</v>
      </c>
      <c r="W277" s="680">
        <v>5.0</v>
      </c>
      <c r="X277" s="680"/>
      <c r="Y277" s="680"/>
      <c r="Z277" s="686"/>
      <c r="AA277" s="669"/>
      <c r="AB277" s="176" t="s">
        <v>3778</v>
      </c>
      <c r="AC277" s="669"/>
    </row>
    <row r="278" ht="18.0" customHeight="1">
      <c r="A278" s="700" t="s">
        <v>5876</v>
      </c>
      <c r="B278" s="700" t="s">
        <v>857</v>
      </c>
      <c r="C278" s="700">
        <v>2025.0</v>
      </c>
      <c r="D278" s="700" t="s">
        <v>4122</v>
      </c>
      <c r="E278" s="700">
        <v>1.0</v>
      </c>
      <c r="F278" s="700">
        <v>265.0</v>
      </c>
      <c r="G278" s="700" t="s">
        <v>4651</v>
      </c>
      <c r="H278" s="700" t="s">
        <v>4651</v>
      </c>
      <c r="I278" s="871"/>
      <c r="J278" s="868"/>
      <c r="K278" s="871"/>
      <c r="L278" s="700" t="s">
        <v>3758</v>
      </c>
      <c r="M278" s="700">
        <v>8.0</v>
      </c>
      <c r="N278" s="700">
        <v>1.0</v>
      </c>
      <c r="O278" s="700">
        <v>7.0</v>
      </c>
      <c r="P278" s="700" t="s">
        <v>3755</v>
      </c>
      <c r="Q278" s="666"/>
      <c r="R278" s="680">
        <v>38.0</v>
      </c>
      <c r="S278" s="680">
        <v>10.0</v>
      </c>
      <c r="T278" s="862">
        <f t="shared" si="16"/>
        <v>0.2631578947</v>
      </c>
      <c r="U278" s="691">
        <v>45519.0</v>
      </c>
      <c r="V278" s="707" t="s">
        <v>5882</v>
      </c>
      <c r="W278" s="680">
        <v>10.0</v>
      </c>
      <c r="X278" s="680"/>
      <c r="Y278" s="680">
        <v>3.0</v>
      </c>
      <c r="Z278" s="686"/>
      <c r="AA278" s="669"/>
      <c r="AB278" s="176" t="s">
        <v>3778</v>
      </c>
      <c r="AC278" s="669"/>
    </row>
    <row r="279" ht="18.0" customHeight="1">
      <c r="A279" s="700" t="s">
        <v>5883</v>
      </c>
      <c r="B279" s="700" t="s">
        <v>857</v>
      </c>
      <c r="C279" s="700">
        <v>2025.0</v>
      </c>
      <c r="D279" s="700" t="s">
        <v>3844</v>
      </c>
      <c r="E279" s="700">
        <v>1.0</v>
      </c>
      <c r="F279" s="700">
        <v>233.0</v>
      </c>
      <c r="G279" s="700" t="s">
        <v>3808</v>
      </c>
      <c r="H279" s="700" t="s">
        <v>3808</v>
      </c>
      <c r="I279" s="700" t="s">
        <v>3893</v>
      </c>
      <c r="J279" s="700" t="s">
        <v>3755</v>
      </c>
      <c r="K279" s="700" t="s">
        <v>3758</v>
      </c>
      <c r="L279" s="700" t="s">
        <v>3755</v>
      </c>
      <c r="M279" s="700">
        <v>2.0</v>
      </c>
      <c r="N279" s="868"/>
      <c r="O279" s="868"/>
      <c r="P279" s="700" t="s">
        <v>3755</v>
      </c>
      <c r="Q279" s="666"/>
      <c r="R279" s="680">
        <v>138.0</v>
      </c>
      <c r="S279" s="680">
        <v>8.0</v>
      </c>
      <c r="T279" s="862">
        <f t="shared" si="16"/>
        <v>0.05797101449</v>
      </c>
      <c r="U279" s="696"/>
      <c r="V279" s="686"/>
      <c r="W279" s="686"/>
      <c r="X279" s="686"/>
      <c r="Y279" s="688"/>
      <c r="Z279" s="686"/>
      <c r="AA279" s="669"/>
      <c r="AB279" s="695"/>
      <c r="AC279" s="669"/>
    </row>
    <row r="280" ht="18.0" customHeight="1">
      <c r="A280" s="700" t="s">
        <v>5887</v>
      </c>
      <c r="B280" s="700" t="s">
        <v>857</v>
      </c>
      <c r="C280" s="700">
        <v>2025.0</v>
      </c>
      <c r="D280" s="700" t="s">
        <v>3844</v>
      </c>
      <c r="E280" s="700">
        <v>1.0</v>
      </c>
      <c r="F280" s="700">
        <v>249.0</v>
      </c>
      <c r="G280" s="700" t="s">
        <v>3808</v>
      </c>
      <c r="H280" s="700" t="s">
        <v>3808</v>
      </c>
      <c r="I280" s="700" t="s">
        <v>3893</v>
      </c>
      <c r="J280" s="700" t="s">
        <v>3755</v>
      </c>
      <c r="K280" s="700" t="s">
        <v>3755</v>
      </c>
      <c r="L280" s="700" t="s">
        <v>3755</v>
      </c>
      <c r="M280" s="700">
        <v>1.0</v>
      </c>
      <c r="N280" s="700">
        <v>2.0</v>
      </c>
      <c r="O280" s="700">
        <v>10.0</v>
      </c>
      <c r="P280" s="700" t="s">
        <v>3755</v>
      </c>
      <c r="Q280" s="666"/>
      <c r="R280" s="680">
        <v>103.0</v>
      </c>
      <c r="S280" s="680">
        <v>12.0</v>
      </c>
      <c r="T280" s="862">
        <f t="shared" si="16"/>
        <v>0.1165048544</v>
      </c>
      <c r="U280" s="691">
        <v>45427.0</v>
      </c>
      <c r="V280" s="688"/>
      <c r="W280" s="680"/>
      <c r="X280" s="686"/>
      <c r="Y280" s="680">
        <v>2.0</v>
      </c>
      <c r="Z280" s="680"/>
      <c r="AA280" s="669"/>
      <c r="AB280" s="695"/>
      <c r="AC280" s="669"/>
    </row>
    <row r="281" ht="18.75" customHeight="1">
      <c r="A281" s="700" t="s">
        <v>5894</v>
      </c>
      <c r="B281" s="700" t="s">
        <v>857</v>
      </c>
      <c r="C281" s="700">
        <v>2022.0</v>
      </c>
      <c r="D281" s="687" t="s">
        <v>3829</v>
      </c>
      <c r="E281" s="700">
        <v>1.0</v>
      </c>
      <c r="F281" s="700">
        <v>247.0</v>
      </c>
      <c r="G281" s="700" t="s">
        <v>3808</v>
      </c>
      <c r="H281" s="700" t="s">
        <v>3808</v>
      </c>
      <c r="I281" s="700"/>
      <c r="J281" s="700"/>
      <c r="K281" s="700"/>
      <c r="L281" s="700"/>
      <c r="M281" s="700"/>
      <c r="N281" s="700">
        <v>39.0</v>
      </c>
      <c r="O281" s="700">
        <v>10.0</v>
      </c>
      <c r="P281" s="700" t="s">
        <v>3755</v>
      </c>
      <c r="Q281" s="666"/>
      <c r="R281" s="680">
        <v>161.0</v>
      </c>
      <c r="S281" s="690">
        <v>6.0</v>
      </c>
      <c r="T281" s="862">
        <f t="shared" si="16"/>
        <v>0.03726708075</v>
      </c>
      <c r="U281" s="691"/>
      <c r="V281" s="680"/>
      <c r="W281" s="680"/>
      <c r="X281" s="686"/>
      <c r="Y281" s="686"/>
      <c r="Z281" s="686"/>
      <c r="AA281" s="666"/>
      <c r="AB281" s="686"/>
      <c r="AC281" s="666"/>
    </row>
    <row r="282" ht="18.0" customHeight="1">
      <c r="A282" s="700" t="s">
        <v>5895</v>
      </c>
      <c r="B282" s="700" t="s">
        <v>857</v>
      </c>
      <c r="C282" s="700">
        <v>2019.0</v>
      </c>
      <c r="D282" s="687" t="s">
        <v>3829</v>
      </c>
      <c r="E282" s="700">
        <v>1.0</v>
      </c>
      <c r="F282" s="700">
        <v>261.0</v>
      </c>
      <c r="G282" s="897" t="s">
        <v>3808</v>
      </c>
      <c r="H282" s="897" t="s">
        <v>3808</v>
      </c>
      <c r="I282" s="871"/>
      <c r="J282" s="868"/>
      <c r="K282" s="871"/>
      <c r="L282" s="871"/>
      <c r="M282" s="871"/>
      <c r="N282" s="700">
        <v>7.0</v>
      </c>
      <c r="O282" s="700">
        <v>10.0</v>
      </c>
      <c r="P282" s="700" t="s">
        <v>3755</v>
      </c>
      <c r="Q282" s="666"/>
      <c r="R282" s="680">
        <v>30.0</v>
      </c>
      <c r="S282" s="690">
        <v>1.0</v>
      </c>
      <c r="T282" s="862">
        <f t="shared" si="16"/>
        <v>0.03333333333</v>
      </c>
      <c r="U282" s="680">
        <v>1.0</v>
      </c>
      <c r="V282" s="680" t="s">
        <v>446</v>
      </c>
      <c r="W282" s="686"/>
      <c r="X282" s="686"/>
      <c r="Y282" s="686"/>
      <c r="Z282" s="686"/>
      <c r="AA282" s="669"/>
      <c r="AB282" s="176"/>
      <c r="AC282" s="669"/>
    </row>
    <row r="283" ht="18.0" customHeight="1">
      <c r="A283" s="700" t="s">
        <v>5896</v>
      </c>
      <c r="B283" s="700" t="s">
        <v>857</v>
      </c>
      <c r="C283" s="700">
        <v>2025.0</v>
      </c>
      <c r="D283" s="700" t="s">
        <v>3844</v>
      </c>
      <c r="E283" s="700">
        <v>1.0</v>
      </c>
      <c r="F283" s="700">
        <v>247.0</v>
      </c>
      <c r="G283" s="897" t="s">
        <v>3808</v>
      </c>
      <c r="H283" s="897" t="s">
        <v>3808</v>
      </c>
      <c r="I283" s="700" t="s">
        <v>3879</v>
      </c>
      <c r="J283" s="700" t="s">
        <v>3758</v>
      </c>
      <c r="K283" s="700" t="s">
        <v>3758</v>
      </c>
      <c r="L283" s="700" t="s">
        <v>3758</v>
      </c>
      <c r="M283" s="700">
        <v>3.0</v>
      </c>
      <c r="N283" s="700">
        <v>1.0</v>
      </c>
      <c r="O283" s="700">
        <v>10.0</v>
      </c>
      <c r="P283" s="700" t="s">
        <v>3755</v>
      </c>
      <c r="Q283" s="666"/>
      <c r="R283" s="680">
        <v>77.0</v>
      </c>
      <c r="S283" s="684">
        <v>24.0</v>
      </c>
      <c r="T283" s="862">
        <f t="shared" si="16"/>
        <v>0.3116883117</v>
      </c>
      <c r="U283" s="691">
        <v>45611.0</v>
      </c>
      <c r="V283" s="711" t="s">
        <v>5900</v>
      </c>
      <c r="W283" s="686"/>
      <c r="X283" s="686"/>
      <c r="Y283" s="686"/>
      <c r="Z283" s="686"/>
      <c r="AA283" s="669"/>
      <c r="AC283" s="669"/>
    </row>
    <row r="284" ht="18.0" customHeight="1">
      <c r="A284" s="700" t="s">
        <v>5901</v>
      </c>
      <c r="B284" s="700" t="s">
        <v>857</v>
      </c>
      <c r="C284" s="700">
        <v>2024.0</v>
      </c>
      <c r="D284" s="700" t="s">
        <v>3844</v>
      </c>
      <c r="E284" s="700">
        <v>1.0</v>
      </c>
      <c r="F284" s="700">
        <v>236.0</v>
      </c>
      <c r="G284" s="700" t="s">
        <v>3808</v>
      </c>
      <c r="H284" s="700" t="s">
        <v>3808</v>
      </c>
      <c r="I284" s="700" t="s">
        <v>4834</v>
      </c>
      <c r="J284" s="700" t="s">
        <v>3755</v>
      </c>
      <c r="K284" s="700" t="s">
        <v>3755</v>
      </c>
      <c r="L284" s="700" t="s">
        <v>3755</v>
      </c>
      <c r="M284" s="700">
        <v>0.0</v>
      </c>
      <c r="N284" s="700">
        <v>2.0</v>
      </c>
      <c r="O284" s="700">
        <v>10.0</v>
      </c>
      <c r="P284" s="700" t="s">
        <v>3755</v>
      </c>
      <c r="Q284" s="666"/>
      <c r="R284" s="680">
        <v>101.0</v>
      </c>
      <c r="S284" s="680">
        <v>2.0</v>
      </c>
      <c r="T284" s="862">
        <f t="shared" si="16"/>
        <v>0.0198019802</v>
      </c>
      <c r="U284" s="680" t="s">
        <v>5906</v>
      </c>
      <c r="V284" s="680" t="s">
        <v>1483</v>
      </c>
      <c r="W284" s="680">
        <v>1.0</v>
      </c>
      <c r="X284" s="686"/>
      <c r="Y284" s="680">
        <v>2.0</v>
      </c>
      <c r="Z284" s="686"/>
      <c r="AA284" s="666"/>
      <c r="AB284" s="686"/>
      <c r="AC284" s="666"/>
    </row>
    <row r="285" ht="18.0" customHeight="1">
      <c r="A285" s="700" t="s">
        <v>5907</v>
      </c>
      <c r="B285" s="700" t="s">
        <v>3919</v>
      </c>
      <c r="C285" s="700">
        <v>2025.0</v>
      </c>
      <c r="D285" s="700" t="s">
        <v>4135</v>
      </c>
      <c r="E285" s="700">
        <v>1.0</v>
      </c>
      <c r="F285" s="700">
        <v>252.0</v>
      </c>
      <c r="G285" s="700" t="s">
        <v>4197</v>
      </c>
      <c r="H285" s="700">
        <v>590.0</v>
      </c>
      <c r="I285" s="700" t="s">
        <v>3812</v>
      </c>
      <c r="J285" s="700" t="s">
        <v>3755</v>
      </c>
      <c r="K285" s="700" t="s">
        <v>3755</v>
      </c>
      <c r="L285" s="700" t="s">
        <v>3758</v>
      </c>
      <c r="M285" s="700">
        <v>4.0</v>
      </c>
      <c r="N285" s="700">
        <v>22.0</v>
      </c>
      <c r="O285" s="700">
        <v>10.0</v>
      </c>
      <c r="P285" s="700" t="s">
        <v>3755</v>
      </c>
      <c r="Q285" s="666"/>
      <c r="R285" s="680">
        <v>107.0</v>
      </c>
      <c r="S285" s="680">
        <v>17.0</v>
      </c>
      <c r="T285" s="862">
        <f t="shared" si="16"/>
        <v>0.1588785047</v>
      </c>
      <c r="U285" s="691">
        <v>45427.0</v>
      </c>
      <c r="V285" s="711" t="s">
        <v>5913</v>
      </c>
      <c r="W285" s="680">
        <v>7.0</v>
      </c>
      <c r="X285" s="680">
        <v>2.0</v>
      </c>
      <c r="Y285" s="680">
        <v>3.0</v>
      </c>
      <c r="Z285" s="686"/>
      <c r="AA285" s="669"/>
      <c r="AB285" s="695"/>
      <c r="AC285" s="669"/>
    </row>
    <row r="286" ht="18.0" customHeight="1">
      <c r="A286" s="700" t="s">
        <v>5914</v>
      </c>
      <c r="B286" s="700" t="s">
        <v>857</v>
      </c>
      <c r="C286" s="700">
        <v>2025.0</v>
      </c>
      <c r="D286" s="700" t="s">
        <v>5915</v>
      </c>
      <c r="E286" s="700">
        <v>1.0</v>
      </c>
      <c r="F286" s="700">
        <v>259.0</v>
      </c>
      <c r="G286" s="700"/>
      <c r="H286" s="700"/>
      <c r="I286" s="700" t="s">
        <v>3812</v>
      </c>
      <c r="J286" s="700" t="s">
        <v>3758</v>
      </c>
      <c r="K286" s="700" t="s">
        <v>3755</v>
      </c>
      <c r="L286" s="700" t="s">
        <v>3758</v>
      </c>
      <c r="M286" s="700">
        <v>3.0</v>
      </c>
      <c r="N286" s="700">
        <v>7.0</v>
      </c>
      <c r="O286" s="700">
        <v>10.0</v>
      </c>
      <c r="P286" s="700" t="s">
        <v>3755</v>
      </c>
      <c r="Q286" s="666"/>
      <c r="R286" s="680">
        <v>69.0</v>
      </c>
      <c r="S286" s="712">
        <v>9.0</v>
      </c>
      <c r="T286" s="862">
        <f t="shared" si="16"/>
        <v>0.1304347826</v>
      </c>
      <c r="U286" s="680"/>
      <c r="V286" s="680"/>
      <c r="W286" s="686"/>
      <c r="X286" s="686"/>
      <c r="Y286" s="680"/>
      <c r="Z286" s="680"/>
      <c r="AA286" s="666"/>
      <c r="AB286" s="686"/>
      <c r="AC286" s="666"/>
    </row>
    <row r="287" ht="18.0" customHeight="1">
      <c r="A287" s="700" t="s">
        <v>5916</v>
      </c>
      <c r="B287" s="700" t="s">
        <v>857</v>
      </c>
      <c r="C287" s="700">
        <v>2025.0</v>
      </c>
      <c r="D287" s="700" t="s">
        <v>4353</v>
      </c>
      <c r="E287" s="700">
        <v>1.0</v>
      </c>
      <c r="F287" s="700">
        <v>254.0</v>
      </c>
      <c r="G287" s="700" t="s">
        <v>3808</v>
      </c>
      <c r="H287" s="700" t="s">
        <v>3808</v>
      </c>
      <c r="I287" s="871"/>
      <c r="J287" s="700" t="s">
        <v>3755</v>
      </c>
      <c r="K287" s="700" t="s">
        <v>3755</v>
      </c>
      <c r="L287" s="700" t="s">
        <v>3758</v>
      </c>
      <c r="M287" s="700">
        <v>2.0</v>
      </c>
      <c r="N287" s="700">
        <v>2.0</v>
      </c>
      <c r="O287" s="700">
        <v>10.0</v>
      </c>
      <c r="P287" s="700" t="s">
        <v>3755</v>
      </c>
      <c r="Q287" s="666"/>
      <c r="R287" s="680">
        <v>74.0</v>
      </c>
      <c r="S287" s="680">
        <v>9.0</v>
      </c>
      <c r="T287" s="862">
        <f t="shared" si="16"/>
        <v>0.1216216216</v>
      </c>
      <c r="U287" s="691">
        <v>45427.0</v>
      </c>
      <c r="V287" s="753" t="s">
        <v>5917</v>
      </c>
      <c r="W287" s="680">
        <v>9.0</v>
      </c>
      <c r="X287" s="686"/>
      <c r="Y287" s="680">
        <v>2.0</v>
      </c>
      <c r="Z287" s="688"/>
      <c r="AA287" s="669"/>
      <c r="AB287" s="176" t="s">
        <v>3778</v>
      </c>
      <c r="AC287" s="669"/>
    </row>
    <row r="288" ht="18.0" customHeight="1">
      <c r="A288" s="700" t="s">
        <v>5918</v>
      </c>
      <c r="B288" s="700" t="s">
        <v>3919</v>
      </c>
      <c r="C288" s="700">
        <v>2025.0</v>
      </c>
      <c r="D288" s="700" t="s">
        <v>4143</v>
      </c>
      <c r="E288" s="700">
        <v>1.0</v>
      </c>
      <c r="F288" s="700">
        <v>261.0</v>
      </c>
      <c r="G288" s="700" t="s">
        <v>3808</v>
      </c>
      <c r="H288" s="700">
        <v>707.0</v>
      </c>
      <c r="I288" s="700" t="s">
        <v>3812</v>
      </c>
      <c r="J288" s="700" t="s">
        <v>3755</v>
      </c>
      <c r="K288" s="700" t="s">
        <v>3755</v>
      </c>
      <c r="L288" s="700" t="s">
        <v>3758</v>
      </c>
      <c r="M288" s="700">
        <v>3.0</v>
      </c>
      <c r="N288" s="700">
        <v>8.0</v>
      </c>
      <c r="O288" s="700">
        <v>10.0</v>
      </c>
      <c r="P288" s="700" t="s">
        <v>3755</v>
      </c>
      <c r="Q288" s="666"/>
      <c r="R288" s="680">
        <v>130.0</v>
      </c>
      <c r="S288" s="680">
        <v>17.0</v>
      </c>
      <c r="T288" s="862">
        <f t="shared" si="16"/>
        <v>0.1307692308</v>
      </c>
      <c r="U288" s="691">
        <v>45488.0</v>
      </c>
      <c r="V288" s="898"/>
      <c r="W288" s="680">
        <v>16.0</v>
      </c>
      <c r="X288" s="686"/>
      <c r="Y288" s="680">
        <v>2.0</v>
      </c>
      <c r="Z288" s="686"/>
      <c r="AA288" s="669"/>
      <c r="AB288" s="176" t="s">
        <v>3778</v>
      </c>
      <c r="AC288" s="669"/>
    </row>
    <row r="289" ht="18.0" customHeight="1">
      <c r="A289" s="700" t="s">
        <v>5920</v>
      </c>
      <c r="B289" s="700" t="s">
        <v>857</v>
      </c>
      <c r="C289" s="700">
        <v>2025.0</v>
      </c>
      <c r="D289" s="700" t="s">
        <v>4019</v>
      </c>
      <c r="E289" s="700">
        <v>1.0</v>
      </c>
      <c r="F289" s="700">
        <v>251.0</v>
      </c>
      <c r="G289" s="700" t="s">
        <v>3808</v>
      </c>
      <c r="H289" s="700" t="s">
        <v>3808</v>
      </c>
      <c r="I289" s="868"/>
      <c r="J289" s="700" t="s">
        <v>3755</v>
      </c>
      <c r="K289" s="700" t="s">
        <v>3755</v>
      </c>
      <c r="L289" s="700" t="s">
        <v>3758</v>
      </c>
      <c r="M289" s="700">
        <v>2.0</v>
      </c>
      <c r="N289" s="700">
        <v>6.0</v>
      </c>
      <c r="O289" s="700">
        <v>10.0</v>
      </c>
      <c r="P289" s="700" t="s">
        <v>3755</v>
      </c>
      <c r="Q289" s="666"/>
      <c r="R289" s="680">
        <v>62.0</v>
      </c>
      <c r="S289" s="680">
        <v>15.0</v>
      </c>
      <c r="T289" s="862">
        <f t="shared" si="16"/>
        <v>0.2419354839</v>
      </c>
      <c r="U289" s="691">
        <v>45397.0</v>
      </c>
      <c r="V289" s="680"/>
      <c r="W289" s="680">
        <v>15.0</v>
      </c>
      <c r="X289" s="680"/>
      <c r="Y289" s="680">
        <v>3.0</v>
      </c>
      <c r="Z289" s="680">
        <v>1.0</v>
      </c>
      <c r="AA289" s="669"/>
      <c r="AB289" s="176" t="s">
        <v>3778</v>
      </c>
      <c r="AC289" s="669"/>
    </row>
    <row r="290" ht="18.0" customHeight="1">
      <c r="A290" s="700" t="s">
        <v>5923</v>
      </c>
      <c r="B290" s="700" t="s">
        <v>3919</v>
      </c>
      <c r="C290" s="700">
        <v>2025.0</v>
      </c>
      <c r="D290" s="700" t="s">
        <v>4019</v>
      </c>
      <c r="E290" s="700">
        <v>1.0</v>
      </c>
      <c r="F290" s="700">
        <v>233.0</v>
      </c>
      <c r="G290" s="700" t="s">
        <v>4125</v>
      </c>
      <c r="H290" s="700">
        <v>618.0</v>
      </c>
      <c r="I290" s="700" t="s">
        <v>3879</v>
      </c>
      <c r="J290" s="700" t="s">
        <v>3755</v>
      </c>
      <c r="K290" s="700" t="s">
        <v>3758</v>
      </c>
      <c r="L290" s="700" t="s">
        <v>3758</v>
      </c>
      <c r="M290" s="700">
        <v>5.0</v>
      </c>
      <c r="N290" s="700" t="s">
        <v>5925</v>
      </c>
      <c r="O290" s="700">
        <v>10.0</v>
      </c>
      <c r="P290" s="700" t="s">
        <v>3755</v>
      </c>
      <c r="Q290" s="666"/>
      <c r="R290" s="680">
        <v>90.0</v>
      </c>
      <c r="S290" s="680">
        <v>15.0</v>
      </c>
      <c r="T290" s="862">
        <f t="shared" si="16"/>
        <v>0.1666666667</v>
      </c>
      <c r="U290" s="691">
        <v>45427.0</v>
      </c>
      <c r="V290" s="757" t="s">
        <v>5927</v>
      </c>
      <c r="W290" s="680">
        <v>5.0</v>
      </c>
      <c r="X290" s="680">
        <v>0.0</v>
      </c>
      <c r="Y290" s="680">
        <v>3.0</v>
      </c>
      <c r="Z290" s="680">
        <v>1.0</v>
      </c>
      <c r="AA290" s="669"/>
      <c r="AB290" s="695"/>
      <c r="AC290" s="669"/>
    </row>
    <row r="291" ht="18.0" customHeight="1">
      <c r="A291" s="700" t="s">
        <v>5928</v>
      </c>
      <c r="B291" s="700" t="s">
        <v>857</v>
      </c>
      <c r="C291" s="700">
        <v>2025.0</v>
      </c>
      <c r="D291" s="700" t="s">
        <v>4135</v>
      </c>
      <c r="E291" s="700">
        <v>1.0</v>
      </c>
      <c r="F291" s="700">
        <v>233.0</v>
      </c>
      <c r="G291" s="700" t="s">
        <v>3808</v>
      </c>
      <c r="H291" s="700" t="s">
        <v>3808</v>
      </c>
      <c r="I291" s="700" t="s">
        <v>4834</v>
      </c>
      <c r="J291" s="700" t="s">
        <v>3755</v>
      </c>
      <c r="K291" s="700" t="s">
        <v>3755</v>
      </c>
      <c r="L291" s="700" t="s">
        <v>3755</v>
      </c>
      <c r="M291" s="700">
        <v>2.0</v>
      </c>
      <c r="N291" s="700">
        <v>1.0</v>
      </c>
      <c r="O291" s="700">
        <v>10.0</v>
      </c>
      <c r="P291" s="700" t="s">
        <v>3755</v>
      </c>
      <c r="Q291" s="666"/>
      <c r="R291" s="680">
        <v>74.0</v>
      </c>
      <c r="S291" s="680">
        <v>9.0</v>
      </c>
      <c r="T291" s="862">
        <f t="shared" si="16"/>
        <v>0.1216216216</v>
      </c>
      <c r="U291" s="691">
        <v>45366.0</v>
      </c>
      <c r="V291" s="680" t="s">
        <v>5933</v>
      </c>
      <c r="W291" s="680">
        <v>9.0</v>
      </c>
      <c r="X291" s="686"/>
      <c r="Y291" s="680">
        <v>3.0</v>
      </c>
      <c r="Z291" s="686"/>
      <c r="AA291" s="666"/>
      <c r="AB291" s="680" t="s">
        <v>3778</v>
      </c>
      <c r="AC291" s="666"/>
    </row>
    <row r="292" ht="18.0" customHeight="1">
      <c r="A292" s="700">
        <v>95.0</v>
      </c>
      <c r="B292" s="700" t="s">
        <v>857</v>
      </c>
      <c r="C292" s="700">
        <v>2025.0</v>
      </c>
      <c r="D292" s="700" t="s">
        <v>3844</v>
      </c>
      <c r="E292" s="700">
        <v>1.0</v>
      </c>
      <c r="F292" s="700">
        <v>258.0</v>
      </c>
      <c r="G292" s="868"/>
      <c r="H292" s="868"/>
      <c r="I292" s="871"/>
      <c r="J292" s="868"/>
      <c r="K292" s="868"/>
      <c r="L292" s="700" t="s">
        <v>3758</v>
      </c>
      <c r="M292" s="700">
        <v>3.0</v>
      </c>
      <c r="N292" s="868"/>
      <c r="O292" s="868"/>
      <c r="P292" s="700" t="s">
        <v>3755</v>
      </c>
      <c r="Q292" s="666"/>
      <c r="R292" s="680">
        <v>60.0</v>
      </c>
      <c r="S292" s="680">
        <v>10.0</v>
      </c>
      <c r="T292" s="862">
        <f t="shared" si="16"/>
        <v>0.1666666667</v>
      </c>
      <c r="U292" s="691"/>
      <c r="V292" s="686"/>
      <c r="W292" s="686"/>
      <c r="X292" s="686"/>
      <c r="Y292" s="686"/>
      <c r="Z292" s="686"/>
      <c r="AA292" s="669"/>
      <c r="AB292" s="695"/>
      <c r="AC292" s="669"/>
    </row>
    <row r="293" ht="18.0" customHeight="1">
      <c r="A293" s="700" t="s">
        <v>5941</v>
      </c>
      <c r="B293" s="700" t="s">
        <v>3919</v>
      </c>
      <c r="C293" s="700">
        <v>2025.0</v>
      </c>
      <c r="D293" s="700" t="s">
        <v>4019</v>
      </c>
      <c r="E293" s="700">
        <v>1.0</v>
      </c>
      <c r="F293" s="700">
        <v>254.0</v>
      </c>
      <c r="G293" s="700" t="s">
        <v>4125</v>
      </c>
      <c r="H293" s="700">
        <v>690.0</v>
      </c>
      <c r="I293" s="700" t="s">
        <v>3812</v>
      </c>
      <c r="J293" s="700" t="s">
        <v>3755</v>
      </c>
      <c r="K293" s="700" t="s">
        <v>3755</v>
      </c>
      <c r="L293" s="700" t="s">
        <v>3758</v>
      </c>
      <c r="M293" s="700">
        <v>6.0</v>
      </c>
      <c r="N293" s="700">
        <v>1.0</v>
      </c>
      <c r="O293" s="700">
        <v>10.0</v>
      </c>
      <c r="P293" s="700" t="s">
        <v>3755</v>
      </c>
      <c r="Q293" s="666"/>
      <c r="R293" s="680">
        <v>137.0</v>
      </c>
      <c r="S293" s="680">
        <v>4.0</v>
      </c>
      <c r="T293" s="862">
        <f t="shared" si="16"/>
        <v>0.02919708029</v>
      </c>
      <c r="U293" s="680" t="s">
        <v>5233</v>
      </c>
      <c r="V293" s="680" t="s">
        <v>5946</v>
      </c>
      <c r="W293" s="680">
        <v>0.0</v>
      </c>
      <c r="X293" s="680">
        <v>0.0</v>
      </c>
      <c r="Y293" s="680">
        <v>2.0</v>
      </c>
      <c r="Z293" s="680">
        <v>0.0</v>
      </c>
      <c r="AA293" s="666"/>
      <c r="AB293" s="686"/>
      <c r="AC293" s="666"/>
    </row>
    <row r="294" ht="18.0" customHeight="1">
      <c r="A294" s="700" t="s">
        <v>5949</v>
      </c>
      <c r="B294" s="700" t="s">
        <v>857</v>
      </c>
      <c r="C294" s="700">
        <v>2025.0</v>
      </c>
      <c r="D294" s="700" t="s">
        <v>3844</v>
      </c>
      <c r="E294" s="700">
        <v>1.0</v>
      </c>
      <c r="F294" s="700">
        <v>240.0</v>
      </c>
      <c r="G294" s="871"/>
      <c r="H294" s="871"/>
      <c r="I294" s="700" t="s">
        <v>3893</v>
      </c>
      <c r="J294" s="700" t="s">
        <v>3755</v>
      </c>
      <c r="K294" s="700" t="s">
        <v>3755</v>
      </c>
      <c r="L294" s="700" t="s">
        <v>3755</v>
      </c>
      <c r="M294" s="700">
        <v>2.0</v>
      </c>
      <c r="N294" s="700">
        <v>1.0</v>
      </c>
      <c r="O294" s="700">
        <v>10.0</v>
      </c>
      <c r="P294" s="700" t="s">
        <v>3755</v>
      </c>
      <c r="Q294" s="666"/>
      <c r="R294" s="680">
        <v>65.0</v>
      </c>
      <c r="S294" s="680">
        <v>10.0</v>
      </c>
      <c r="T294" s="862">
        <f t="shared" si="16"/>
        <v>0.1538461538</v>
      </c>
      <c r="U294" s="691">
        <v>45488.0</v>
      </c>
      <c r="V294" s="680" t="s">
        <v>5951</v>
      </c>
      <c r="W294" s="680">
        <v>0.0</v>
      </c>
      <c r="X294" s="680">
        <v>0.0</v>
      </c>
      <c r="Y294" s="680">
        <v>0.0</v>
      </c>
      <c r="Z294" s="680">
        <v>0.0</v>
      </c>
      <c r="AA294" s="669"/>
      <c r="AB294" s="176" t="s">
        <v>3778</v>
      </c>
      <c r="AC294" s="669"/>
    </row>
    <row r="295" ht="18.0" customHeight="1">
      <c r="A295" s="700" t="s">
        <v>5952</v>
      </c>
      <c r="B295" s="700" t="s">
        <v>857</v>
      </c>
      <c r="C295" s="700">
        <v>2025.0</v>
      </c>
      <c r="D295" s="700" t="s">
        <v>4135</v>
      </c>
      <c r="E295" s="700">
        <v>1.0</v>
      </c>
      <c r="F295" s="700">
        <v>270.0</v>
      </c>
      <c r="G295" s="868"/>
      <c r="H295" s="868"/>
      <c r="I295" s="700" t="s">
        <v>3812</v>
      </c>
      <c r="J295" s="700" t="s">
        <v>3755</v>
      </c>
      <c r="K295" s="700" t="s">
        <v>3755</v>
      </c>
      <c r="L295" s="700" t="s">
        <v>3758</v>
      </c>
      <c r="M295" s="700">
        <v>4.0</v>
      </c>
      <c r="N295" s="700">
        <v>21.0</v>
      </c>
      <c r="O295" s="700">
        <v>10.0</v>
      </c>
      <c r="P295" s="700" t="s">
        <v>3755</v>
      </c>
      <c r="Q295" s="666"/>
      <c r="R295" s="680">
        <v>81.0</v>
      </c>
      <c r="S295" s="680">
        <v>17.0</v>
      </c>
      <c r="T295" s="862">
        <f t="shared" si="16"/>
        <v>0.2098765432</v>
      </c>
      <c r="U295" s="691">
        <v>45580.0</v>
      </c>
      <c r="V295" s="711" t="s">
        <v>5953</v>
      </c>
      <c r="W295" s="680">
        <v>16.0</v>
      </c>
      <c r="X295" s="680">
        <v>1.0</v>
      </c>
      <c r="Y295" s="680">
        <v>64.0</v>
      </c>
      <c r="Z295" s="686"/>
      <c r="AA295" s="669"/>
      <c r="AB295" s="176" t="s">
        <v>3778</v>
      </c>
      <c r="AC295" s="669"/>
    </row>
    <row r="296" ht="18.0" customHeight="1">
      <c r="A296" s="700" t="s">
        <v>5954</v>
      </c>
      <c r="B296" s="700" t="s">
        <v>3919</v>
      </c>
      <c r="C296" s="700">
        <v>2025.0</v>
      </c>
      <c r="D296" s="700" t="s">
        <v>4143</v>
      </c>
      <c r="E296" s="700" t="s">
        <v>3808</v>
      </c>
      <c r="F296" s="871"/>
      <c r="G296" s="700" t="s">
        <v>4125</v>
      </c>
      <c r="H296" s="700">
        <v>521.0</v>
      </c>
      <c r="I296" s="700" t="s">
        <v>3893</v>
      </c>
      <c r="J296" s="700" t="s">
        <v>3758</v>
      </c>
      <c r="K296" s="700" t="s">
        <v>3755</v>
      </c>
      <c r="L296" s="700" t="s">
        <v>3755</v>
      </c>
      <c r="M296" s="700">
        <v>0.0</v>
      </c>
      <c r="N296" s="700">
        <v>3.0</v>
      </c>
      <c r="O296" s="700">
        <v>7.0</v>
      </c>
      <c r="P296" s="700" t="s">
        <v>3755</v>
      </c>
      <c r="Q296" s="666"/>
      <c r="R296" s="680">
        <v>51.0</v>
      </c>
      <c r="S296" s="680">
        <v>3.0</v>
      </c>
      <c r="T296" s="862"/>
      <c r="U296" s="691">
        <v>45306.0</v>
      </c>
      <c r="V296" s="757" t="s">
        <v>5955</v>
      </c>
      <c r="W296" s="680">
        <v>3.0</v>
      </c>
      <c r="X296" s="686"/>
      <c r="Y296" s="680"/>
      <c r="Z296" s="680"/>
      <c r="AA296" s="669"/>
      <c r="AB296" s="695"/>
      <c r="AC296" s="669"/>
    </row>
    <row r="297" ht="18.0" customHeight="1">
      <c r="A297" s="700" t="s">
        <v>5956</v>
      </c>
      <c r="B297" s="700" t="s">
        <v>857</v>
      </c>
      <c r="C297" s="700">
        <v>2025.0</v>
      </c>
      <c r="D297" s="700" t="s">
        <v>3995</v>
      </c>
      <c r="E297" s="700">
        <v>1.0</v>
      </c>
      <c r="F297" s="700">
        <v>267.0</v>
      </c>
      <c r="G297" s="700" t="s">
        <v>3808</v>
      </c>
      <c r="H297" s="700" t="s">
        <v>3808</v>
      </c>
      <c r="I297" s="868"/>
      <c r="J297" s="700" t="s">
        <v>3755</v>
      </c>
      <c r="K297" s="700" t="s">
        <v>3755</v>
      </c>
      <c r="L297" s="700" t="s">
        <v>3758</v>
      </c>
      <c r="M297" s="700">
        <v>4.0</v>
      </c>
      <c r="N297" s="700">
        <v>10.0</v>
      </c>
      <c r="O297" s="700">
        <v>10.0</v>
      </c>
      <c r="P297" s="700" t="s">
        <v>3755</v>
      </c>
      <c r="Q297" s="666"/>
      <c r="R297" s="680">
        <v>34.0</v>
      </c>
      <c r="S297" s="680">
        <v>12.0</v>
      </c>
      <c r="T297" s="693">
        <f>S297/R297</f>
        <v>0.3529411765</v>
      </c>
      <c r="U297" s="691">
        <v>45519.0</v>
      </c>
      <c r="V297" s="711" t="s">
        <v>5965</v>
      </c>
      <c r="W297" s="686"/>
      <c r="X297" s="686"/>
      <c r="Y297" s="686"/>
      <c r="Z297" s="686"/>
      <c r="AA297" s="669"/>
      <c r="AB297" s="695"/>
      <c r="AC297" s="669"/>
    </row>
    <row r="298" ht="18.0" customHeight="1">
      <c r="A298" s="700" t="s">
        <v>5966</v>
      </c>
      <c r="B298" s="700" t="s">
        <v>857</v>
      </c>
      <c r="C298" s="700">
        <v>2025.0</v>
      </c>
      <c r="D298" s="700" t="s">
        <v>5967</v>
      </c>
      <c r="E298" s="700">
        <v>1.0</v>
      </c>
      <c r="F298" s="700">
        <v>245.0</v>
      </c>
      <c r="G298" s="700" t="s">
        <v>3808</v>
      </c>
      <c r="H298" s="700" t="s">
        <v>4663</v>
      </c>
      <c r="I298" s="700" t="s">
        <v>3879</v>
      </c>
      <c r="J298" s="700" t="s">
        <v>3755</v>
      </c>
      <c r="K298" s="700" t="s">
        <v>3755</v>
      </c>
      <c r="L298" s="700" t="s">
        <v>3755</v>
      </c>
      <c r="M298" s="700">
        <v>2.0</v>
      </c>
      <c r="N298" s="700">
        <v>2.0</v>
      </c>
      <c r="O298" s="700">
        <v>10.0</v>
      </c>
      <c r="P298" s="700" t="s">
        <v>3755</v>
      </c>
      <c r="Q298" s="666"/>
      <c r="R298" s="680">
        <v>79.0</v>
      </c>
      <c r="S298" s="680">
        <v>10.0</v>
      </c>
      <c r="T298" s="862">
        <v>0.0878</v>
      </c>
      <c r="U298" s="691">
        <v>45427.0</v>
      </c>
      <c r="V298" s="711" t="s">
        <v>5968</v>
      </c>
      <c r="W298" s="680">
        <v>0.0</v>
      </c>
      <c r="X298" s="680">
        <v>0.0</v>
      </c>
      <c r="Y298" s="686"/>
      <c r="Z298" s="680">
        <v>0.0</v>
      </c>
      <c r="AA298" s="669"/>
      <c r="AB298" s="695"/>
      <c r="AC298" s="669"/>
    </row>
    <row r="299" ht="18.0" customHeight="1">
      <c r="A299" s="700" t="s">
        <v>5969</v>
      </c>
      <c r="B299" s="700" t="s">
        <v>857</v>
      </c>
      <c r="C299" s="700">
        <v>2025.0</v>
      </c>
      <c r="D299" s="700" t="s">
        <v>4353</v>
      </c>
      <c r="E299" s="700">
        <v>1.0</v>
      </c>
      <c r="F299" s="700">
        <v>256.0</v>
      </c>
      <c r="G299" s="700" t="s">
        <v>4651</v>
      </c>
      <c r="H299" s="700" t="s">
        <v>4651</v>
      </c>
      <c r="I299" s="700" t="s">
        <v>3879</v>
      </c>
      <c r="J299" s="700" t="s">
        <v>3755</v>
      </c>
      <c r="K299" s="700" t="s">
        <v>3755</v>
      </c>
      <c r="L299" s="700" t="s">
        <v>3758</v>
      </c>
      <c r="M299" s="700">
        <v>1.0</v>
      </c>
      <c r="N299" s="700">
        <v>3.0</v>
      </c>
      <c r="O299" s="700">
        <v>10.0</v>
      </c>
      <c r="P299" s="700" t="s">
        <v>3755</v>
      </c>
      <c r="Q299" s="666"/>
      <c r="R299" s="680">
        <v>69.0</v>
      </c>
      <c r="S299" s="680">
        <v>15.0</v>
      </c>
      <c r="T299" s="693">
        <f t="shared" ref="T299:T302" si="17">S299/R299</f>
        <v>0.2173913043</v>
      </c>
      <c r="U299" s="691">
        <v>45488.0</v>
      </c>
      <c r="V299" s="680" t="s">
        <v>5974</v>
      </c>
      <c r="W299" s="680">
        <v>2.0</v>
      </c>
      <c r="X299" s="680">
        <v>0.0</v>
      </c>
      <c r="Y299" s="680">
        <v>3.0</v>
      </c>
      <c r="Z299" s="680">
        <v>0.0</v>
      </c>
      <c r="AA299" s="669"/>
      <c r="AB299" s="695"/>
      <c r="AC299" s="669"/>
    </row>
    <row r="300" ht="18.0" customHeight="1">
      <c r="A300" s="700" t="s">
        <v>5976</v>
      </c>
      <c r="B300" s="700" t="s">
        <v>857</v>
      </c>
      <c r="C300" s="700">
        <v>2024.0</v>
      </c>
      <c r="D300" s="700" t="s">
        <v>4353</v>
      </c>
      <c r="E300" s="700">
        <v>1.0</v>
      </c>
      <c r="F300" s="700">
        <v>260.0</v>
      </c>
      <c r="G300" s="700" t="s">
        <v>4651</v>
      </c>
      <c r="H300" s="700" t="s">
        <v>4651</v>
      </c>
      <c r="I300" s="700" t="s">
        <v>3812</v>
      </c>
      <c r="J300" s="700" t="s">
        <v>3758</v>
      </c>
      <c r="K300" s="700" t="s">
        <v>3755</v>
      </c>
      <c r="L300" s="700" t="s">
        <v>3758</v>
      </c>
      <c r="M300" s="700">
        <v>4.0</v>
      </c>
      <c r="N300" s="700">
        <v>3.0</v>
      </c>
      <c r="O300" s="700">
        <v>10.0</v>
      </c>
      <c r="P300" s="700" t="s">
        <v>3755</v>
      </c>
      <c r="Q300" s="666"/>
      <c r="R300" s="680">
        <v>300.0</v>
      </c>
      <c r="S300" s="684">
        <v>24.0</v>
      </c>
      <c r="T300" s="693">
        <f t="shared" si="17"/>
        <v>0.08</v>
      </c>
      <c r="U300" s="691">
        <v>45488.0</v>
      </c>
      <c r="V300" s="686"/>
      <c r="W300" s="680">
        <v>1.0</v>
      </c>
      <c r="X300" s="680">
        <v>1.0</v>
      </c>
      <c r="Y300" s="686"/>
      <c r="Z300" s="680">
        <v>1.0</v>
      </c>
      <c r="AA300" s="669"/>
      <c r="AB300" s="176"/>
      <c r="AC300" s="669"/>
    </row>
    <row r="301" ht="18.0" customHeight="1">
      <c r="A301" s="700" t="s">
        <v>5982</v>
      </c>
      <c r="B301" s="700" t="s">
        <v>857</v>
      </c>
      <c r="C301" s="700">
        <v>2025.0</v>
      </c>
      <c r="D301" s="700" t="s">
        <v>3844</v>
      </c>
      <c r="E301" s="700">
        <v>1.0</v>
      </c>
      <c r="F301" s="700">
        <v>241.0</v>
      </c>
      <c r="G301" s="868"/>
      <c r="H301" s="868"/>
      <c r="I301" s="700" t="s">
        <v>3893</v>
      </c>
      <c r="J301" s="700" t="s">
        <v>3755</v>
      </c>
      <c r="K301" s="700" t="s">
        <v>3755</v>
      </c>
      <c r="L301" s="700" t="s">
        <v>3755</v>
      </c>
      <c r="M301" s="700">
        <v>1.0</v>
      </c>
      <c r="N301" s="700">
        <v>0.0</v>
      </c>
      <c r="O301" s="700">
        <v>8.0</v>
      </c>
      <c r="P301" s="700" t="s">
        <v>3755</v>
      </c>
      <c r="Q301" s="666"/>
      <c r="R301" s="680">
        <v>73.0</v>
      </c>
      <c r="S301" s="680">
        <v>6.0</v>
      </c>
      <c r="T301" s="693">
        <f t="shared" si="17"/>
        <v>0.08219178082</v>
      </c>
      <c r="U301" s="691">
        <v>45366.0</v>
      </c>
      <c r="V301" s="680" t="s">
        <v>5986</v>
      </c>
      <c r="W301" s="680">
        <v>6.0</v>
      </c>
      <c r="X301" s="680">
        <v>0.0</v>
      </c>
      <c r="Y301" s="680">
        <v>1.0</v>
      </c>
      <c r="Z301" s="680">
        <v>1.0</v>
      </c>
      <c r="AA301" s="669"/>
      <c r="AB301" s="695"/>
      <c r="AC301" s="669"/>
    </row>
    <row r="302" ht="18.0" customHeight="1">
      <c r="A302" s="700" t="s">
        <v>5987</v>
      </c>
      <c r="B302" s="700" t="s">
        <v>857</v>
      </c>
      <c r="C302" s="700">
        <v>2025.0</v>
      </c>
      <c r="D302" s="700" t="s">
        <v>3844</v>
      </c>
      <c r="E302" s="700">
        <v>1.0</v>
      </c>
      <c r="F302" s="700">
        <v>278.0</v>
      </c>
      <c r="G302" s="868"/>
      <c r="H302" s="868"/>
      <c r="I302" s="700" t="s">
        <v>3812</v>
      </c>
      <c r="J302" s="700" t="s">
        <v>3755</v>
      </c>
      <c r="K302" s="700" t="s">
        <v>3755</v>
      </c>
      <c r="L302" s="700" t="s">
        <v>3758</v>
      </c>
      <c r="M302" s="700">
        <v>6.0</v>
      </c>
      <c r="N302" s="700">
        <v>7.0</v>
      </c>
      <c r="O302" s="700">
        <v>10.0</v>
      </c>
      <c r="P302" s="700" t="s">
        <v>3755</v>
      </c>
      <c r="Q302" s="666"/>
      <c r="R302" s="680">
        <v>57.0</v>
      </c>
      <c r="S302" s="684">
        <v>22.0</v>
      </c>
      <c r="T302" s="693">
        <f t="shared" si="17"/>
        <v>0.3859649123</v>
      </c>
      <c r="U302" s="680" t="s">
        <v>4025</v>
      </c>
      <c r="V302" s="680" t="s">
        <v>5993</v>
      </c>
      <c r="W302" s="680">
        <v>17.0</v>
      </c>
      <c r="X302" s="680">
        <v>2.0</v>
      </c>
      <c r="Y302" s="688"/>
      <c r="Z302" s="680">
        <v>1.0</v>
      </c>
      <c r="AA302" s="669"/>
      <c r="AB302" s="176"/>
      <c r="AC302" s="902" t="s">
        <v>5994</v>
      </c>
    </row>
    <row r="303" ht="18.0" customHeight="1">
      <c r="A303" s="700">
        <v>4.0</v>
      </c>
      <c r="B303" s="700"/>
      <c r="C303" s="700">
        <v>2025.0</v>
      </c>
      <c r="D303" s="700" t="s">
        <v>4135</v>
      </c>
      <c r="E303" s="700">
        <v>1.0</v>
      </c>
      <c r="F303" s="700">
        <v>247.0</v>
      </c>
      <c r="G303" s="700" t="s">
        <v>4651</v>
      </c>
      <c r="H303" s="700" t="s">
        <v>4651</v>
      </c>
      <c r="I303" s="700"/>
      <c r="J303" s="700"/>
      <c r="K303" s="700"/>
      <c r="L303" s="700" t="s">
        <v>3755</v>
      </c>
      <c r="M303" s="700">
        <v>0.0</v>
      </c>
      <c r="N303" s="700">
        <v>12.0</v>
      </c>
      <c r="O303" s="700">
        <v>8.0</v>
      </c>
      <c r="P303" s="700" t="s">
        <v>3755</v>
      </c>
      <c r="Q303" s="666"/>
      <c r="R303" s="680">
        <v>28.0</v>
      </c>
      <c r="S303" s="680">
        <v>7.0</v>
      </c>
      <c r="T303" s="903">
        <v>0.25</v>
      </c>
      <c r="U303" s="691">
        <v>45427.0</v>
      </c>
      <c r="V303" s="680" t="s">
        <v>6003</v>
      </c>
      <c r="W303" s="680">
        <v>7.0</v>
      </c>
      <c r="X303" s="680">
        <v>0.0</v>
      </c>
      <c r="Y303" s="680">
        <v>4.0</v>
      </c>
      <c r="Z303" s="680">
        <v>0.0</v>
      </c>
      <c r="AA303" s="669"/>
      <c r="AB303" s="176"/>
      <c r="AC303" s="669"/>
    </row>
    <row r="304" ht="18.0" customHeight="1">
      <c r="A304" s="700" t="s">
        <v>6004</v>
      </c>
      <c r="B304" s="700" t="s">
        <v>857</v>
      </c>
      <c r="C304" s="700">
        <v>2021.0</v>
      </c>
      <c r="D304" s="687" t="s">
        <v>3829</v>
      </c>
      <c r="E304" s="700">
        <v>1.0</v>
      </c>
      <c r="F304" s="700">
        <v>250.0</v>
      </c>
      <c r="G304" s="700" t="s">
        <v>4651</v>
      </c>
      <c r="H304" s="700" t="s">
        <v>4651</v>
      </c>
      <c r="I304" s="700" t="s">
        <v>3812</v>
      </c>
      <c r="J304" s="700"/>
      <c r="K304" s="700"/>
      <c r="L304" s="700"/>
      <c r="M304" s="700"/>
      <c r="N304" s="700">
        <v>7.0</v>
      </c>
      <c r="O304" s="700">
        <v>10.0</v>
      </c>
      <c r="P304" s="700" t="s">
        <v>3755</v>
      </c>
      <c r="Q304" s="666"/>
      <c r="R304" s="680">
        <v>85.0</v>
      </c>
      <c r="S304" s="690">
        <v>4.0</v>
      </c>
      <c r="T304" s="685"/>
      <c r="U304" s="691">
        <v>45366.0</v>
      </c>
      <c r="V304" s="680" t="s">
        <v>6007</v>
      </c>
      <c r="W304" s="680">
        <v>1.0</v>
      </c>
      <c r="X304" s="680">
        <v>0.0</v>
      </c>
      <c r="Y304" s="680">
        <v>1.0</v>
      </c>
      <c r="Z304" s="686"/>
      <c r="AA304" s="669"/>
      <c r="AB304" s="176"/>
      <c r="AC304" s="669"/>
    </row>
    <row r="305" ht="18.0" customHeight="1">
      <c r="A305" s="700" t="s">
        <v>6009</v>
      </c>
      <c r="B305" s="700" t="s">
        <v>857</v>
      </c>
      <c r="C305" s="700">
        <v>2025.0</v>
      </c>
      <c r="D305" s="700" t="s">
        <v>4135</v>
      </c>
      <c r="E305" s="700">
        <v>1.0</v>
      </c>
      <c r="F305" s="700">
        <v>262.0</v>
      </c>
      <c r="G305" s="794"/>
      <c r="H305" s="871"/>
      <c r="I305" s="700"/>
      <c r="J305" s="700" t="s">
        <v>3755</v>
      </c>
      <c r="K305" s="700" t="s">
        <v>3755</v>
      </c>
      <c r="L305" s="700" t="s">
        <v>3758</v>
      </c>
      <c r="M305" s="700"/>
      <c r="N305" s="700">
        <v>25.0</v>
      </c>
      <c r="O305" s="700">
        <v>9.0</v>
      </c>
      <c r="P305" s="700" t="s">
        <v>3755</v>
      </c>
      <c r="Q305" s="666"/>
      <c r="R305" s="680">
        <v>42.0</v>
      </c>
      <c r="S305" s="684">
        <v>23.0</v>
      </c>
      <c r="T305" s="685">
        <f t="shared" ref="T305:T344" si="18">S305/R305</f>
        <v>0.5476190476</v>
      </c>
      <c r="U305" s="691">
        <v>45580.0</v>
      </c>
      <c r="V305" s="680" t="s">
        <v>6014</v>
      </c>
      <c r="W305" s="680"/>
      <c r="X305" s="680">
        <v>3.0</v>
      </c>
      <c r="Y305" s="680"/>
      <c r="Z305" s="680">
        <v>1.0</v>
      </c>
      <c r="AA305" s="669"/>
      <c r="AB305" s="176"/>
      <c r="AC305" s="669"/>
    </row>
    <row r="306" ht="18.0" customHeight="1">
      <c r="A306" s="700" t="s">
        <v>6017</v>
      </c>
      <c r="B306" s="700" t="s">
        <v>857</v>
      </c>
      <c r="C306" s="700">
        <v>2025.0</v>
      </c>
      <c r="D306" s="700" t="s">
        <v>4135</v>
      </c>
      <c r="E306" s="700">
        <v>1.0</v>
      </c>
      <c r="F306" s="700">
        <v>246.0</v>
      </c>
      <c r="G306" s="700" t="s">
        <v>4651</v>
      </c>
      <c r="H306" s="700" t="s">
        <v>4651</v>
      </c>
      <c r="I306" s="700"/>
      <c r="J306" s="700" t="s">
        <v>3755</v>
      </c>
      <c r="K306" s="700" t="s">
        <v>3755</v>
      </c>
      <c r="L306" s="700" t="s">
        <v>3755</v>
      </c>
      <c r="M306" s="700">
        <v>3.0</v>
      </c>
      <c r="N306" s="700">
        <v>6.0</v>
      </c>
      <c r="O306" s="700">
        <v>10.0</v>
      </c>
      <c r="P306" s="700" t="s">
        <v>3755</v>
      </c>
      <c r="Q306" s="666"/>
      <c r="R306" s="680">
        <v>99.0</v>
      </c>
      <c r="S306" s="684">
        <v>27.0</v>
      </c>
      <c r="T306" s="685">
        <f t="shared" si="18"/>
        <v>0.2727272727</v>
      </c>
      <c r="U306" s="691">
        <v>45641.0</v>
      </c>
      <c r="V306" s="680" t="s">
        <v>6022</v>
      </c>
      <c r="W306" s="680">
        <v>8.0</v>
      </c>
      <c r="X306" s="680">
        <v>5.0</v>
      </c>
      <c r="Y306" s="686"/>
      <c r="Z306" s="686"/>
      <c r="AA306" s="669"/>
      <c r="AB306" s="176"/>
      <c r="AC306" s="669"/>
    </row>
    <row r="307" ht="18.75" customHeight="1">
      <c r="A307" s="700" t="s">
        <v>6023</v>
      </c>
      <c r="B307" s="700" t="s">
        <v>857</v>
      </c>
      <c r="C307" s="700">
        <v>2020.0</v>
      </c>
      <c r="D307" s="687" t="s">
        <v>3829</v>
      </c>
      <c r="E307" s="700">
        <v>1.0</v>
      </c>
      <c r="F307" s="700">
        <v>240.0</v>
      </c>
      <c r="G307" s="700" t="s">
        <v>4651</v>
      </c>
      <c r="H307" s="700" t="s">
        <v>4651</v>
      </c>
      <c r="I307" s="871"/>
      <c r="J307" s="700"/>
      <c r="K307" s="871"/>
      <c r="L307" s="700"/>
      <c r="M307" s="700"/>
      <c r="N307" s="700">
        <v>11.0</v>
      </c>
      <c r="O307" s="700">
        <v>12.0</v>
      </c>
      <c r="P307" s="700" t="s">
        <v>3755</v>
      </c>
      <c r="Q307" s="666"/>
      <c r="R307" s="680">
        <v>340.0</v>
      </c>
      <c r="S307" s="690">
        <v>10.0</v>
      </c>
      <c r="T307" s="685">
        <f t="shared" si="18"/>
        <v>0.02941176471</v>
      </c>
      <c r="U307" s="691">
        <v>45366.0</v>
      </c>
      <c r="V307" s="680" t="s">
        <v>6029</v>
      </c>
      <c r="W307" s="680">
        <v>10.0</v>
      </c>
      <c r="X307" s="680">
        <v>0.0</v>
      </c>
      <c r="Y307" s="686"/>
      <c r="Z307" s="686"/>
      <c r="AA307" s="669"/>
      <c r="AB307" s="176" t="s">
        <v>3778</v>
      </c>
      <c r="AC307" s="669"/>
    </row>
    <row r="308" ht="18.0" customHeight="1">
      <c r="A308" s="700" t="s">
        <v>6031</v>
      </c>
      <c r="B308" s="700" t="s">
        <v>857</v>
      </c>
      <c r="C308" s="700">
        <v>2020.0</v>
      </c>
      <c r="D308" s="700" t="s">
        <v>4167</v>
      </c>
      <c r="E308" s="700">
        <v>1.0</v>
      </c>
      <c r="F308" s="700">
        <v>258.0</v>
      </c>
      <c r="G308" s="700" t="s">
        <v>4651</v>
      </c>
      <c r="H308" s="700" t="s">
        <v>4651</v>
      </c>
      <c r="I308" s="700"/>
      <c r="J308" s="868"/>
      <c r="K308" s="871"/>
      <c r="L308" s="700"/>
      <c r="M308" s="700"/>
      <c r="N308" s="700">
        <v>3.0</v>
      </c>
      <c r="O308" s="700">
        <v>10.0</v>
      </c>
      <c r="P308" s="700" t="s">
        <v>3755</v>
      </c>
      <c r="Q308" s="666"/>
      <c r="R308" s="680">
        <v>116.0</v>
      </c>
      <c r="S308" s="680">
        <v>10.0</v>
      </c>
      <c r="T308" s="685">
        <f t="shared" si="18"/>
        <v>0.08620689655</v>
      </c>
      <c r="U308" s="691"/>
      <c r="V308" s="680" t="s">
        <v>6034</v>
      </c>
      <c r="W308" s="680"/>
      <c r="X308" s="680"/>
      <c r="Y308" s="686"/>
      <c r="Z308" s="686"/>
      <c r="AA308" s="669"/>
      <c r="AB308" s="176"/>
      <c r="AC308" s="669"/>
    </row>
    <row r="309" ht="18.0" customHeight="1">
      <c r="A309" s="700" t="s">
        <v>6035</v>
      </c>
      <c r="B309" s="700" t="s">
        <v>3919</v>
      </c>
      <c r="C309" s="700">
        <v>2025.0</v>
      </c>
      <c r="D309" s="700" t="s">
        <v>4143</v>
      </c>
      <c r="E309" s="700">
        <v>1.0</v>
      </c>
      <c r="F309" s="700">
        <v>248.0</v>
      </c>
      <c r="G309" s="700" t="s">
        <v>5271</v>
      </c>
      <c r="H309" s="700" t="s">
        <v>4651</v>
      </c>
      <c r="I309" s="700" t="s">
        <v>3879</v>
      </c>
      <c r="J309" s="700" t="s">
        <v>3755</v>
      </c>
      <c r="K309" s="700" t="s">
        <v>3755</v>
      </c>
      <c r="L309" s="700" t="s">
        <v>3755</v>
      </c>
      <c r="M309" s="700">
        <v>8.0</v>
      </c>
      <c r="N309" s="700">
        <v>7.0</v>
      </c>
      <c r="O309" s="700">
        <v>10.0</v>
      </c>
      <c r="P309" s="700" t="s">
        <v>3758</v>
      </c>
      <c r="Q309" s="666"/>
      <c r="R309" s="680">
        <v>91.0</v>
      </c>
      <c r="S309" s="684">
        <v>34.0</v>
      </c>
      <c r="T309" s="685">
        <f t="shared" si="18"/>
        <v>0.3736263736</v>
      </c>
      <c r="U309" s="691">
        <v>45580.0</v>
      </c>
      <c r="V309" s="680" t="s">
        <v>6040</v>
      </c>
      <c r="W309" s="680">
        <v>20.0</v>
      </c>
      <c r="X309" s="680">
        <v>8.0</v>
      </c>
      <c r="Y309" s="686"/>
      <c r="Z309" s="680">
        <v>2.0</v>
      </c>
      <c r="AA309" s="669"/>
      <c r="AB309" s="176"/>
      <c r="AC309" s="669"/>
    </row>
    <row r="310" ht="18.0" customHeight="1">
      <c r="A310" s="700" t="s">
        <v>6043</v>
      </c>
      <c r="B310" s="700" t="s">
        <v>857</v>
      </c>
      <c r="C310" s="700">
        <v>2025.0</v>
      </c>
      <c r="D310" s="700" t="s">
        <v>5072</v>
      </c>
      <c r="E310" s="700">
        <v>1.0</v>
      </c>
      <c r="F310" s="700">
        <v>250.0</v>
      </c>
      <c r="G310" s="871"/>
      <c r="H310" s="871"/>
      <c r="I310" s="700" t="s">
        <v>3812</v>
      </c>
      <c r="J310" s="700" t="s">
        <v>3758</v>
      </c>
      <c r="K310" s="700" t="s">
        <v>3755</v>
      </c>
      <c r="L310" s="700" t="s">
        <v>3755</v>
      </c>
      <c r="M310" s="700">
        <v>1.0</v>
      </c>
      <c r="N310" s="700">
        <v>3.0</v>
      </c>
      <c r="O310" s="700">
        <v>10.0</v>
      </c>
      <c r="P310" s="700" t="s">
        <v>3755</v>
      </c>
      <c r="Q310" s="666"/>
      <c r="R310" s="680">
        <v>33.0</v>
      </c>
      <c r="S310" s="680">
        <v>12.0</v>
      </c>
      <c r="T310" s="685">
        <f t="shared" si="18"/>
        <v>0.3636363636</v>
      </c>
      <c r="U310" s="691">
        <v>45519.0</v>
      </c>
      <c r="V310" s="686"/>
      <c r="W310" s="680">
        <v>12.0</v>
      </c>
      <c r="X310" s="680">
        <v>0.0</v>
      </c>
      <c r="Y310" s="680">
        <v>4.0</v>
      </c>
      <c r="Z310" s="680">
        <v>0.0</v>
      </c>
      <c r="AA310" s="669"/>
      <c r="AB310" s="176" t="s">
        <v>3778</v>
      </c>
      <c r="AC310" s="669"/>
    </row>
    <row r="311" ht="18.0" customHeight="1">
      <c r="A311" s="700" t="s">
        <v>6046</v>
      </c>
      <c r="B311" s="700" t="s">
        <v>857</v>
      </c>
      <c r="C311" s="700">
        <v>2024.0</v>
      </c>
      <c r="D311" s="700" t="s">
        <v>4167</v>
      </c>
      <c r="E311" s="700">
        <v>2.0</v>
      </c>
      <c r="F311" s="700">
        <v>229.0</v>
      </c>
      <c r="G311" s="700" t="s">
        <v>3808</v>
      </c>
      <c r="H311" s="700" t="s">
        <v>3808</v>
      </c>
      <c r="I311" s="871"/>
      <c r="J311" s="700" t="s">
        <v>3755</v>
      </c>
      <c r="K311" s="700" t="s">
        <v>3758</v>
      </c>
      <c r="L311" s="700" t="s">
        <v>3755</v>
      </c>
      <c r="M311" s="700">
        <v>0.0</v>
      </c>
      <c r="N311" s="700">
        <v>3.0</v>
      </c>
      <c r="O311" s="700">
        <v>10.0</v>
      </c>
      <c r="P311" s="700" t="s">
        <v>3755</v>
      </c>
      <c r="Q311" s="666"/>
      <c r="R311" s="680">
        <v>185.0</v>
      </c>
      <c r="S311" s="680">
        <v>5.0</v>
      </c>
      <c r="T311" s="685">
        <f t="shared" si="18"/>
        <v>0.02702702703</v>
      </c>
      <c r="U311" s="691">
        <v>45306.0</v>
      </c>
      <c r="V311" s="680" t="s">
        <v>6052</v>
      </c>
      <c r="W311" s="686"/>
      <c r="X311" s="680">
        <v>0.0</v>
      </c>
      <c r="Y311" s="686"/>
      <c r="Z311" s="686"/>
      <c r="AA311" s="669"/>
      <c r="AB311" s="695"/>
      <c r="AC311" s="669"/>
    </row>
    <row r="312" ht="18.0" customHeight="1">
      <c r="A312" s="700" t="s">
        <v>6055</v>
      </c>
      <c r="B312" s="700" t="s">
        <v>857</v>
      </c>
      <c r="C312" s="700">
        <v>2025.0</v>
      </c>
      <c r="D312" s="700" t="s">
        <v>6056</v>
      </c>
      <c r="E312" s="871"/>
      <c r="F312" s="700">
        <v>270.0</v>
      </c>
      <c r="G312" s="700" t="s">
        <v>4651</v>
      </c>
      <c r="H312" s="700" t="s">
        <v>4651</v>
      </c>
      <c r="I312" s="700" t="s">
        <v>3812</v>
      </c>
      <c r="J312" s="700" t="s">
        <v>3758</v>
      </c>
      <c r="K312" s="700" t="s">
        <v>3755</v>
      </c>
      <c r="L312" s="700" t="s">
        <v>3758</v>
      </c>
      <c r="M312" s="700">
        <v>5.0</v>
      </c>
      <c r="N312" s="700">
        <v>2.0</v>
      </c>
      <c r="O312" s="700">
        <v>9.0</v>
      </c>
      <c r="P312" s="700" t="s">
        <v>3758</v>
      </c>
      <c r="Q312" s="666"/>
      <c r="R312" s="680">
        <v>83.0</v>
      </c>
      <c r="S312" s="684">
        <v>24.0</v>
      </c>
      <c r="T312" s="685">
        <f t="shared" si="18"/>
        <v>0.2891566265</v>
      </c>
      <c r="U312" s="691">
        <v>45641.0</v>
      </c>
      <c r="V312" s="686"/>
      <c r="W312" s="686"/>
      <c r="X312" s="686"/>
      <c r="Y312" s="686"/>
      <c r="Z312" s="686"/>
      <c r="AA312" s="669"/>
      <c r="AB312" s="695"/>
      <c r="AC312" s="669"/>
    </row>
    <row r="313" ht="18.0" customHeight="1">
      <c r="A313" s="700" t="s">
        <v>6059</v>
      </c>
      <c r="B313" s="700" t="s">
        <v>857</v>
      </c>
      <c r="C313" s="700">
        <v>2025.0</v>
      </c>
      <c r="D313" s="700" t="s">
        <v>4135</v>
      </c>
      <c r="E313" s="700">
        <v>1.0</v>
      </c>
      <c r="F313" s="700">
        <v>244.0</v>
      </c>
      <c r="G313" s="700" t="s">
        <v>4651</v>
      </c>
      <c r="H313" s="700" t="s">
        <v>4651</v>
      </c>
      <c r="I313" s="871"/>
      <c r="J313" s="700" t="s">
        <v>3755</v>
      </c>
      <c r="K313" s="700" t="s">
        <v>3755</v>
      </c>
      <c r="L313" s="700" t="s">
        <v>3758</v>
      </c>
      <c r="M313" s="700">
        <v>3.0</v>
      </c>
      <c r="N313" s="700">
        <v>7.0</v>
      </c>
      <c r="O313" s="700">
        <v>10.0</v>
      </c>
      <c r="P313" s="700" t="s">
        <v>3755</v>
      </c>
      <c r="Q313" s="666"/>
      <c r="R313" s="680">
        <v>37.0</v>
      </c>
      <c r="S313" s="680">
        <v>8.0</v>
      </c>
      <c r="T313" s="685">
        <f t="shared" si="18"/>
        <v>0.2162162162</v>
      </c>
      <c r="U313" s="688"/>
      <c r="V313" s="686"/>
      <c r="W313" s="686"/>
      <c r="X313" s="686"/>
      <c r="Y313" s="686"/>
      <c r="Z313" s="686"/>
      <c r="AA313" s="669"/>
      <c r="AB313" s="695"/>
      <c r="AC313" s="669"/>
    </row>
    <row r="314" ht="18.0" customHeight="1">
      <c r="A314" s="700" t="s">
        <v>6061</v>
      </c>
      <c r="B314" s="700" t="s">
        <v>3919</v>
      </c>
      <c r="C314" s="700">
        <v>2025.0</v>
      </c>
      <c r="D314" s="700" t="s">
        <v>4143</v>
      </c>
      <c r="E314" s="700">
        <v>1.0</v>
      </c>
      <c r="F314" s="700">
        <v>250.0</v>
      </c>
      <c r="G314" s="700" t="s">
        <v>5271</v>
      </c>
      <c r="H314" s="700">
        <v>500.0</v>
      </c>
      <c r="I314" s="700" t="s">
        <v>3879</v>
      </c>
      <c r="J314" s="700" t="s">
        <v>3758</v>
      </c>
      <c r="K314" s="700" t="s">
        <v>3755</v>
      </c>
      <c r="L314" s="871"/>
      <c r="M314" s="871"/>
      <c r="N314" s="700">
        <v>8.0</v>
      </c>
      <c r="O314" s="700">
        <v>10.0</v>
      </c>
      <c r="P314" s="700" t="s">
        <v>3755</v>
      </c>
      <c r="Q314" s="666"/>
      <c r="R314" s="680">
        <v>102.0</v>
      </c>
      <c r="S314" s="680">
        <v>13.0</v>
      </c>
      <c r="T314" s="685">
        <f t="shared" si="18"/>
        <v>0.1274509804</v>
      </c>
      <c r="U314" s="691">
        <v>45488.0</v>
      </c>
      <c r="V314" s="686"/>
      <c r="W314" s="686"/>
      <c r="X314" s="686"/>
      <c r="Y314" s="686"/>
      <c r="Z314" s="686"/>
      <c r="AA314" s="669"/>
      <c r="AB314" s="695"/>
      <c r="AC314" s="669"/>
    </row>
    <row r="315" ht="19.5" customHeight="1">
      <c r="A315" s="700" t="s">
        <v>6067</v>
      </c>
      <c r="B315" s="700" t="s">
        <v>857</v>
      </c>
      <c r="C315" s="700">
        <v>2020.0</v>
      </c>
      <c r="D315" s="687" t="s">
        <v>3829</v>
      </c>
      <c r="E315" s="700">
        <v>1.0</v>
      </c>
      <c r="F315" s="700">
        <v>231.0</v>
      </c>
      <c r="G315" s="700" t="s">
        <v>4651</v>
      </c>
      <c r="H315" s="700" t="s">
        <v>4651</v>
      </c>
      <c r="I315" s="871"/>
      <c r="J315" s="700" t="s">
        <v>3755</v>
      </c>
      <c r="K315" s="700" t="s">
        <v>3755</v>
      </c>
      <c r="L315" s="700" t="s">
        <v>3755</v>
      </c>
      <c r="M315" s="700">
        <v>1.0</v>
      </c>
      <c r="N315" s="700">
        <v>0.0</v>
      </c>
      <c r="O315" s="700">
        <v>5.0</v>
      </c>
      <c r="P315" s="700" t="s">
        <v>3755</v>
      </c>
      <c r="Q315" s="666"/>
      <c r="R315" s="680">
        <v>135.0</v>
      </c>
      <c r="S315" s="680">
        <v>0.0</v>
      </c>
      <c r="T315" s="685">
        <f t="shared" si="18"/>
        <v>0</v>
      </c>
      <c r="U315" s="688"/>
      <c r="V315" s="686"/>
      <c r="W315" s="686"/>
      <c r="X315" s="686"/>
      <c r="Y315" s="686"/>
      <c r="Z315" s="686"/>
      <c r="AA315" s="669"/>
      <c r="AB315" s="176" t="s">
        <v>3882</v>
      </c>
      <c r="AC315" s="669"/>
    </row>
    <row r="316" ht="18.0" customHeight="1">
      <c r="A316" s="700" t="s">
        <v>6073</v>
      </c>
      <c r="B316" s="700" t="s">
        <v>857</v>
      </c>
      <c r="C316" s="700">
        <v>2025.0</v>
      </c>
      <c r="D316" s="700" t="s">
        <v>6075</v>
      </c>
      <c r="E316" s="700">
        <v>1.0</v>
      </c>
      <c r="F316" s="700">
        <v>265.0</v>
      </c>
      <c r="G316" s="700" t="s">
        <v>4651</v>
      </c>
      <c r="H316" s="700" t="s">
        <v>4651</v>
      </c>
      <c r="I316" s="700" t="s">
        <v>3879</v>
      </c>
      <c r="J316" s="700" t="s">
        <v>3755</v>
      </c>
      <c r="K316" s="700" t="s">
        <v>3755</v>
      </c>
      <c r="L316" s="700" t="s">
        <v>3758</v>
      </c>
      <c r="M316" s="700">
        <v>3.0</v>
      </c>
      <c r="N316" s="700">
        <v>11.0</v>
      </c>
      <c r="O316" s="700">
        <v>9.0</v>
      </c>
      <c r="P316" s="700" t="s">
        <v>3755</v>
      </c>
      <c r="Q316" s="666"/>
      <c r="R316" s="680">
        <v>97.0</v>
      </c>
      <c r="S316" s="684">
        <v>34.0</v>
      </c>
      <c r="T316" s="685">
        <f t="shared" si="18"/>
        <v>0.3505154639</v>
      </c>
      <c r="U316" s="688"/>
      <c r="V316" s="686"/>
      <c r="W316" s="686"/>
      <c r="X316" s="686"/>
      <c r="Y316" s="686"/>
      <c r="Z316" s="686"/>
      <c r="AA316" s="669"/>
      <c r="AB316" s="176" t="s">
        <v>3778</v>
      </c>
      <c r="AC316" s="669"/>
    </row>
    <row r="317" ht="18.0" customHeight="1">
      <c r="A317" s="700" t="s">
        <v>2099</v>
      </c>
      <c r="B317" s="700" t="s">
        <v>857</v>
      </c>
      <c r="C317" s="700">
        <v>2025.0</v>
      </c>
      <c r="D317" s="700" t="s">
        <v>4135</v>
      </c>
      <c r="E317" s="700">
        <v>1.0</v>
      </c>
      <c r="F317" s="700">
        <v>255.0</v>
      </c>
      <c r="G317" s="700" t="s">
        <v>4651</v>
      </c>
      <c r="H317" s="700" t="s">
        <v>4651</v>
      </c>
      <c r="I317" s="700" t="s">
        <v>4834</v>
      </c>
      <c r="J317" s="700"/>
      <c r="K317" s="871"/>
      <c r="L317" s="700" t="s">
        <v>3755</v>
      </c>
      <c r="M317" s="700">
        <v>1.0</v>
      </c>
      <c r="N317" s="700">
        <v>5.0</v>
      </c>
      <c r="O317" s="700">
        <v>10.0</v>
      </c>
      <c r="P317" s="700" t="s">
        <v>3755</v>
      </c>
      <c r="Q317" s="666"/>
      <c r="R317" s="680">
        <v>69.0</v>
      </c>
      <c r="S317" s="680">
        <v>13.0</v>
      </c>
      <c r="T317" s="685">
        <f t="shared" si="18"/>
        <v>0.1884057971</v>
      </c>
      <c r="U317" s="691">
        <v>45519.0</v>
      </c>
      <c r="V317" s="680" t="s">
        <v>6085</v>
      </c>
      <c r="W317" s="680" t="s">
        <v>6085</v>
      </c>
      <c r="X317" s="680">
        <v>0.0</v>
      </c>
      <c r="Y317" s="680">
        <v>56.0</v>
      </c>
      <c r="Z317" s="680">
        <v>0.0</v>
      </c>
      <c r="AA317" s="669"/>
      <c r="AB317" s="176" t="s">
        <v>3778</v>
      </c>
      <c r="AC317" s="669"/>
    </row>
    <row r="318" ht="18.0" customHeight="1">
      <c r="A318" s="700" t="s">
        <v>6086</v>
      </c>
      <c r="B318" s="700" t="s">
        <v>857</v>
      </c>
      <c r="C318" s="700">
        <v>2025.0</v>
      </c>
      <c r="D318" s="700" t="s">
        <v>4019</v>
      </c>
      <c r="E318" s="700">
        <v>1.0</v>
      </c>
      <c r="F318" s="700">
        <v>266.0</v>
      </c>
      <c r="G318" s="700" t="s">
        <v>4651</v>
      </c>
      <c r="H318" s="700" t="s">
        <v>4651</v>
      </c>
      <c r="I318" s="700" t="s">
        <v>3893</v>
      </c>
      <c r="J318" s="700" t="s">
        <v>3755</v>
      </c>
      <c r="K318" s="700" t="s">
        <v>3755</v>
      </c>
      <c r="L318" s="700" t="s">
        <v>3758</v>
      </c>
      <c r="M318" s="700">
        <v>7.0</v>
      </c>
      <c r="N318" s="700">
        <v>2.0</v>
      </c>
      <c r="O318" s="700">
        <v>10.0</v>
      </c>
      <c r="P318" s="700" t="s">
        <v>3755</v>
      </c>
      <c r="Q318" s="666"/>
      <c r="S318" s="742">
        <v>9.0</v>
      </c>
      <c r="T318" s="685" t="str">
        <f t="shared" si="18"/>
        <v>#DIV/0!</v>
      </c>
      <c r="W318" s="680">
        <v>9.0</v>
      </c>
      <c r="X318" s="680">
        <v>0.0</v>
      </c>
      <c r="Y318" s="680">
        <v>3.0</v>
      </c>
      <c r="Z318" s="680">
        <v>0.0</v>
      </c>
      <c r="AA318" s="669"/>
      <c r="AB318" s="695"/>
      <c r="AC318" s="669"/>
    </row>
    <row r="319" ht="18.0" customHeight="1">
      <c r="A319" s="700" t="s">
        <v>6090</v>
      </c>
      <c r="B319" s="700" t="s">
        <v>3919</v>
      </c>
      <c r="C319" s="700">
        <v>2025.0</v>
      </c>
      <c r="D319" s="700" t="s">
        <v>3844</v>
      </c>
      <c r="E319" s="700">
        <v>1.0</v>
      </c>
      <c r="F319" s="700">
        <v>264.0</v>
      </c>
      <c r="G319" s="700" t="s">
        <v>5271</v>
      </c>
      <c r="H319" s="700">
        <v>583.0</v>
      </c>
      <c r="I319" s="700" t="s">
        <v>3812</v>
      </c>
      <c r="J319" s="700" t="s">
        <v>3755</v>
      </c>
      <c r="K319" s="700" t="s">
        <v>3758</v>
      </c>
      <c r="L319" s="700" t="s">
        <v>3758</v>
      </c>
      <c r="M319" s="700">
        <v>6.0</v>
      </c>
      <c r="N319" s="700">
        <v>12.0</v>
      </c>
      <c r="O319" s="700">
        <v>10.0</v>
      </c>
      <c r="P319" s="700" t="s">
        <v>3755</v>
      </c>
      <c r="Q319" s="666"/>
      <c r="R319" s="742">
        <v>60.0</v>
      </c>
      <c r="S319" s="742">
        <v>18.0</v>
      </c>
      <c r="T319" s="685">
        <f t="shared" si="18"/>
        <v>0.3</v>
      </c>
      <c r="U319" s="922">
        <v>45550.0</v>
      </c>
      <c r="V319" s="923"/>
      <c r="W319" s="680">
        <v>14.0</v>
      </c>
      <c r="X319" s="680">
        <v>4.0</v>
      </c>
      <c r="Y319" s="680">
        <v>2.0</v>
      </c>
      <c r="Z319" s="680"/>
      <c r="AA319" s="669"/>
      <c r="AB319" s="695"/>
      <c r="AC319" s="669"/>
    </row>
    <row r="320" ht="18.0" customHeight="1">
      <c r="A320" s="700" t="s">
        <v>5396</v>
      </c>
      <c r="B320" s="700" t="s">
        <v>3741</v>
      </c>
      <c r="C320" s="700">
        <v>2017.0</v>
      </c>
      <c r="D320" s="700" t="s">
        <v>4167</v>
      </c>
      <c r="E320" s="700">
        <v>1.0</v>
      </c>
      <c r="F320" s="700">
        <v>218.0</v>
      </c>
      <c r="G320" s="700" t="s">
        <v>4651</v>
      </c>
      <c r="H320" s="700" t="s">
        <v>4651</v>
      </c>
      <c r="I320" s="871"/>
      <c r="J320" s="868"/>
      <c r="K320" s="871"/>
      <c r="L320" s="871"/>
      <c r="M320" s="871"/>
      <c r="N320" s="700">
        <v>9.0</v>
      </c>
      <c r="O320" s="700">
        <v>10.0</v>
      </c>
      <c r="P320" s="700" t="s">
        <v>3755</v>
      </c>
      <c r="Q320" s="666"/>
      <c r="R320" s="742">
        <v>85.0</v>
      </c>
      <c r="S320" s="742">
        <v>1.0</v>
      </c>
      <c r="T320" s="685">
        <f t="shared" si="18"/>
        <v>0.01176470588</v>
      </c>
      <c r="U320" s="922">
        <v>45672.0</v>
      </c>
      <c r="V320" s="923"/>
      <c r="W320" s="686"/>
      <c r="X320" s="686"/>
      <c r="Y320" s="686"/>
      <c r="Z320" s="686"/>
      <c r="AA320" s="669"/>
      <c r="AB320" s="695"/>
      <c r="AC320" s="669"/>
    </row>
    <row r="321" ht="18.0" customHeight="1">
      <c r="A321" s="700" t="s">
        <v>6104</v>
      </c>
      <c r="B321" s="700" t="s">
        <v>857</v>
      </c>
      <c r="C321" s="700">
        <v>2016.0</v>
      </c>
      <c r="D321" s="687" t="s">
        <v>3829</v>
      </c>
      <c r="E321" s="700">
        <v>1.0</v>
      </c>
      <c r="F321" s="700">
        <v>261.0</v>
      </c>
      <c r="G321" s="700" t="s">
        <v>4651</v>
      </c>
      <c r="H321" s="700" t="s">
        <v>4651</v>
      </c>
      <c r="I321" s="700" t="s">
        <v>3812</v>
      </c>
      <c r="J321" s="700" t="s">
        <v>3755</v>
      </c>
      <c r="K321" s="700" t="s">
        <v>3755</v>
      </c>
      <c r="L321" s="700" t="s">
        <v>3755</v>
      </c>
      <c r="M321" s="700">
        <v>0.0</v>
      </c>
      <c r="N321" s="700">
        <v>8.0</v>
      </c>
      <c r="O321" s="700">
        <v>9.0</v>
      </c>
      <c r="P321" s="700" t="s">
        <v>3755</v>
      </c>
      <c r="Q321" s="666"/>
      <c r="R321" s="742">
        <v>38.0</v>
      </c>
      <c r="S321" s="894">
        <v>1.0</v>
      </c>
      <c r="T321" s="685">
        <f t="shared" si="18"/>
        <v>0.02631578947</v>
      </c>
      <c r="U321" s="742" t="s">
        <v>5233</v>
      </c>
      <c r="V321" s="742" t="s">
        <v>1278</v>
      </c>
      <c r="W321" s="680">
        <v>1.0</v>
      </c>
      <c r="X321" s="680">
        <v>0.0</v>
      </c>
      <c r="Y321" s="680">
        <v>6.0</v>
      </c>
      <c r="Z321" s="680">
        <v>0.0</v>
      </c>
      <c r="AA321" s="669"/>
      <c r="AB321" s="176" t="s">
        <v>3882</v>
      </c>
      <c r="AC321" s="669"/>
    </row>
    <row r="322" ht="18.75" customHeight="1">
      <c r="A322" s="700" t="s">
        <v>6116</v>
      </c>
      <c r="B322" s="700" t="s">
        <v>857</v>
      </c>
      <c r="C322" s="700">
        <v>2025.0</v>
      </c>
      <c r="D322" s="700" t="s">
        <v>5393</v>
      </c>
      <c r="E322" s="700">
        <v>1.0</v>
      </c>
      <c r="F322" s="700">
        <v>267.0</v>
      </c>
      <c r="G322" s="700" t="s">
        <v>4651</v>
      </c>
      <c r="H322" s="700" t="s">
        <v>4651</v>
      </c>
      <c r="I322" s="700" t="s">
        <v>4834</v>
      </c>
      <c r="J322" s="700" t="s">
        <v>3755</v>
      </c>
      <c r="K322" s="700" t="s">
        <v>3755</v>
      </c>
      <c r="L322" s="700" t="s">
        <v>3758</v>
      </c>
      <c r="M322" s="700">
        <v>2.0</v>
      </c>
      <c r="N322" s="700">
        <v>5.0</v>
      </c>
      <c r="O322" s="700">
        <v>9.0</v>
      </c>
      <c r="P322" s="700" t="s">
        <v>3755</v>
      </c>
      <c r="Q322" s="666"/>
      <c r="R322" s="742">
        <v>78.0</v>
      </c>
      <c r="S322" s="742">
        <v>11.0</v>
      </c>
      <c r="T322" s="685">
        <f t="shared" si="18"/>
        <v>0.141025641</v>
      </c>
      <c r="U322" s="922">
        <v>45792.0</v>
      </c>
      <c r="V322" s="742" t="s">
        <v>6123</v>
      </c>
      <c r="W322" s="680">
        <v>11.0</v>
      </c>
      <c r="X322" s="680">
        <v>0.0</v>
      </c>
      <c r="Y322" s="680">
        <v>0.0</v>
      </c>
      <c r="Z322" s="680">
        <v>0.0</v>
      </c>
      <c r="AA322" s="669"/>
      <c r="AB322" s="695"/>
      <c r="AC322" s="669"/>
    </row>
    <row r="323" ht="18.0" customHeight="1">
      <c r="A323" s="700" t="s">
        <v>6124</v>
      </c>
      <c r="B323" s="700" t="s">
        <v>857</v>
      </c>
      <c r="C323" s="700">
        <v>2025.0</v>
      </c>
      <c r="D323" s="700" t="s">
        <v>3971</v>
      </c>
      <c r="E323" s="700">
        <v>1.0</v>
      </c>
      <c r="F323" s="700">
        <v>242.0</v>
      </c>
      <c r="G323" s="700" t="s">
        <v>4651</v>
      </c>
      <c r="H323" s="700" t="s">
        <v>4651</v>
      </c>
      <c r="I323" s="700" t="s">
        <v>3879</v>
      </c>
      <c r="J323" s="700" t="s">
        <v>3755</v>
      </c>
      <c r="K323" s="700" t="s">
        <v>3755</v>
      </c>
      <c r="L323" s="700" t="s">
        <v>3758</v>
      </c>
      <c r="M323" s="700">
        <v>1.0</v>
      </c>
      <c r="N323" s="700">
        <v>11.0</v>
      </c>
      <c r="O323" s="700">
        <v>10.0</v>
      </c>
      <c r="P323" s="700" t="s">
        <v>3755</v>
      </c>
      <c r="Q323" s="666"/>
      <c r="R323" s="742">
        <v>60.0</v>
      </c>
      <c r="S323" s="742">
        <v>16.0</v>
      </c>
      <c r="T323" s="685">
        <f t="shared" si="18"/>
        <v>0.2666666667</v>
      </c>
      <c r="U323" s="922">
        <v>45885.0</v>
      </c>
      <c r="V323" s="742" t="s">
        <v>6128</v>
      </c>
      <c r="W323" s="680">
        <v>14.0</v>
      </c>
      <c r="X323" s="680">
        <v>2.0</v>
      </c>
      <c r="Y323" s="680">
        <v>3.0</v>
      </c>
      <c r="Z323" s="680">
        <v>0.0</v>
      </c>
      <c r="AA323" s="669"/>
      <c r="AB323" s="176" t="s">
        <v>3778</v>
      </c>
      <c r="AC323" s="669"/>
    </row>
    <row r="324" ht="18.0" customHeight="1">
      <c r="A324" s="680" t="s">
        <v>6132</v>
      </c>
      <c r="B324" s="176" t="s">
        <v>3741</v>
      </c>
      <c r="C324" s="176">
        <v>2017.0</v>
      </c>
      <c r="D324" s="687" t="s">
        <v>3829</v>
      </c>
      <c r="E324" s="176">
        <v>1.0</v>
      </c>
      <c r="F324" s="680">
        <v>248.0</v>
      </c>
      <c r="G324" s="680" t="s">
        <v>4651</v>
      </c>
      <c r="H324" s="680" t="s">
        <v>4651</v>
      </c>
      <c r="I324" s="695"/>
      <c r="J324" s="731"/>
      <c r="K324" s="695"/>
      <c r="L324" s="686"/>
      <c r="M324" s="686"/>
      <c r="N324" s="680">
        <v>1.0</v>
      </c>
      <c r="O324" s="680">
        <v>10.0</v>
      </c>
      <c r="P324" s="680" t="s">
        <v>3755</v>
      </c>
      <c r="Q324" s="666"/>
      <c r="R324" s="742">
        <v>45.0</v>
      </c>
      <c r="S324" s="742">
        <v>4.0</v>
      </c>
      <c r="T324" s="685">
        <f t="shared" si="18"/>
        <v>0.08888888889</v>
      </c>
      <c r="U324" s="923"/>
      <c r="V324" s="742" t="s">
        <v>6137</v>
      </c>
      <c r="W324" s="680">
        <v>4.0</v>
      </c>
      <c r="X324" s="680">
        <v>0.0</v>
      </c>
      <c r="Y324" s="686"/>
      <c r="Z324" s="680">
        <v>0.0</v>
      </c>
      <c r="AA324" s="669"/>
      <c r="AB324" s="176" t="s">
        <v>3841</v>
      </c>
      <c r="AC324" s="669"/>
    </row>
    <row r="325" ht="18.0" customHeight="1">
      <c r="A325" s="680" t="s">
        <v>6140</v>
      </c>
      <c r="B325" s="176" t="s">
        <v>3741</v>
      </c>
      <c r="C325" s="176">
        <v>2022.0</v>
      </c>
      <c r="D325" s="687" t="s">
        <v>3829</v>
      </c>
      <c r="E325" s="176">
        <v>1.0</v>
      </c>
      <c r="F325" s="680">
        <v>269.0</v>
      </c>
      <c r="G325" s="680" t="s">
        <v>4651</v>
      </c>
      <c r="H325" s="680" t="s">
        <v>4651</v>
      </c>
      <c r="I325" s="176" t="s">
        <v>3812</v>
      </c>
      <c r="J325" s="176" t="s">
        <v>3755</v>
      </c>
      <c r="K325" s="176" t="s">
        <v>3755</v>
      </c>
      <c r="L325" s="680" t="s">
        <v>3755</v>
      </c>
      <c r="M325" s="686"/>
      <c r="N325" s="680">
        <v>20.0</v>
      </c>
      <c r="O325" s="680">
        <v>10.0</v>
      </c>
      <c r="P325" s="680" t="s">
        <v>3755</v>
      </c>
      <c r="Q325" s="666"/>
      <c r="R325" s="742">
        <v>15.0</v>
      </c>
      <c r="S325" s="742">
        <v>1.0</v>
      </c>
      <c r="T325" s="685">
        <f t="shared" si="18"/>
        <v>0.06666666667</v>
      </c>
      <c r="U325" s="922">
        <v>45672.0</v>
      </c>
      <c r="V325" s="742" t="s">
        <v>446</v>
      </c>
      <c r="W325" s="680">
        <v>1.0</v>
      </c>
      <c r="X325" s="686"/>
      <c r="Y325" s="680">
        <v>2.0</v>
      </c>
      <c r="Z325" s="686"/>
      <c r="AA325" s="669"/>
      <c r="AB325" s="695"/>
      <c r="AC325" s="669"/>
    </row>
    <row r="326" ht="18.0" customHeight="1">
      <c r="A326" s="680" t="s">
        <v>6148</v>
      </c>
      <c r="B326" s="176" t="s">
        <v>3741</v>
      </c>
      <c r="C326" s="176">
        <v>2023.0</v>
      </c>
      <c r="D326" s="687" t="s">
        <v>3829</v>
      </c>
      <c r="E326" s="176">
        <v>1.0</v>
      </c>
      <c r="F326" s="680">
        <v>269.0</v>
      </c>
      <c r="G326" s="686"/>
      <c r="H326" s="686"/>
      <c r="I326" s="176" t="s">
        <v>3893</v>
      </c>
      <c r="J326" s="731"/>
      <c r="K326" s="695"/>
      <c r="L326" s="680" t="s">
        <v>3755</v>
      </c>
      <c r="M326" s="680">
        <v>1.0</v>
      </c>
      <c r="N326" s="680">
        <v>4.0</v>
      </c>
      <c r="O326" s="680">
        <v>10.0</v>
      </c>
      <c r="P326" s="680" t="s">
        <v>3755</v>
      </c>
      <c r="Q326" s="666"/>
      <c r="R326" s="742" t="s">
        <v>6162</v>
      </c>
      <c r="S326" s="742">
        <v>9.0</v>
      </c>
      <c r="T326" s="685" t="str">
        <f t="shared" si="18"/>
        <v>#VALUE!</v>
      </c>
      <c r="U326" s="922">
        <v>45853.0</v>
      </c>
      <c r="V326" s="742" t="s">
        <v>6166</v>
      </c>
      <c r="W326" s="680">
        <v>9.0</v>
      </c>
      <c r="X326" s="686"/>
      <c r="Y326" s="686"/>
      <c r="Z326" s="680">
        <v>1.0</v>
      </c>
      <c r="AA326" s="669"/>
      <c r="AB326" s="695"/>
      <c r="AC326" s="669"/>
    </row>
    <row r="327" ht="18.0" customHeight="1">
      <c r="A327" s="680" t="s">
        <v>6170</v>
      </c>
      <c r="B327" s="176" t="s">
        <v>857</v>
      </c>
      <c r="C327" s="176">
        <v>2025.0</v>
      </c>
      <c r="D327" s="680" t="s">
        <v>5393</v>
      </c>
      <c r="E327" s="176">
        <v>1.0</v>
      </c>
      <c r="F327" s="680">
        <v>259.0</v>
      </c>
      <c r="G327" s="680" t="s">
        <v>4651</v>
      </c>
      <c r="H327" s="680" t="s">
        <v>4651</v>
      </c>
      <c r="I327" s="176" t="s">
        <v>3879</v>
      </c>
      <c r="J327" s="176" t="s">
        <v>3755</v>
      </c>
      <c r="K327" s="176" t="s">
        <v>3755</v>
      </c>
      <c r="L327" s="680" t="s">
        <v>3755</v>
      </c>
      <c r="M327" s="680">
        <v>2.0</v>
      </c>
      <c r="N327" s="680">
        <v>7.0</v>
      </c>
      <c r="O327" s="680">
        <v>10.0</v>
      </c>
      <c r="P327" s="680" t="s">
        <v>3755</v>
      </c>
      <c r="Q327" s="666"/>
      <c r="R327" s="742">
        <v>99.0</v>
      </c>
      <c r="S327" s="742">
        <v>13.0</v>
      </c>
      <c r="T327" s="685">
        <f t="shared" si="18"/>
        <v>0.1313131313</v>
      </c>
      <c r="U327" s="922">
        <v>45823.0</v>
      </c>
      <c r="V327" s="742" t="s">
        <v>6183</v>
      </c>
      <c r="W327" s="680">
        <v>13.0</v>
      </c>
      <c r="X327" s="680">
        <v>1.0</v>
      </c>
      <c r="Y327" s="680">
        <v>6.0</v>
      </c>
      <c r="Z327" s="680">
        <v>0.0</v>
      </c>
      <c r="AA327" s="669"/>
      <c r="AB327" s="176" t="s">
        <v>3778</v>
      </c>
      <c r="AC327" s="669"/>
    </row>
    <row r="328" ht="17.25" customHeight="1">
      <c r="A328" s="680" t="s">
        <v>6184</v>
      </c>
      <c r="B328" s="176" t="s">
        <v>3919</v>
      </c>
      <c r="C328" s="176">
        <v>2025.0</v>
      </c>
      <c r="D328" s="680" t="s">
        <v>4019</v>
      </c>
      <c r="E328" s="176">
        <v>1.0</v>
      </c>
      <c r="F328" s="680">
        <v>258.0</v>
      </c>
      <c r="G328" s="680" t="s">
        <v>4197</v>
      </c>
      <c r="H328" s="680">
        <v>585.0</v>
      </c>
      <c r="I328" s="176" t="s">
        <v>3812</v>
      </c>
      <c r="J328" s="176" t="s">
        <v>3755</v>
      </c>
      <c r="K328" s="176" t="s">
        <v>3755</v>
      </c>
      <c r="L328" s="680" t="s">
        <v>3755</v>
      </c>
      <c r="M328" s="680">
        <v>2.0</v>
      </c>
      <c r="N328" s="680">
        <v>2.0</v>
      </c>
      <c r="O328" s="680">
        <v>10.0</v>
      </c>
      <c r="P328" s="680" t="s">
        <v>3755</v>
      </c>
      <c r="Q328" s="666"/>
      <c r="R328" s="742">
        <v>102.0</v>
      </c>
      <c r="S328" s="926">
        <v>20.0</v>
      </c>
      <c r="T328" s="685">
        <f t="shared" si="18"/>
        <v>0.1960784314</v>
      </c>
      <c r="U328" s="922">
        <v>45884.0</v>
      </c>
      <c r="V328" s="742" t="s">
        <v>6197</v>
      </c>
      <c r="W328" s="680">
        <v>17.0</v>
      </c>
      <c r="X328" s="680">
        <v>3.0</v>
      </c>
      <c r="Y328" s="680">
        <v>3.0</v>
      </c>
      <c r="Z328" s="680">
        <v>0.0</v>
      </c>
      <c r="AA328" s="669"/>
      <c r="AB328" s="176" t="s">
        <v>3778</v>
      </c>
      <c r="AC328" s="669"/>
    </row>
    <row r="329" ht="18.0" customHeight="1">
      <c r="A329" s="680" t="s">
        <v>6203</v>
      </c>
      <c r="B329" s="176" t="s">
        <v>857</v>
      </c>
      <c r="C329" s="176">
        <v>2025.0</v>
      </c>
      <c r="D329" s="680" t="s">
        <v>5344</v>
      </c>
      <c r="E329" s="176">
        <v>1.0</v>
      </c>
      <c r="F329" s="680">
        <v>246.0</v>
      </c>
      <c r="G329" s="680" t="s">
        <v>4651</v>
      </c>
      <c r="H329" s="680" t="s">
        <v>4651</v>
      </c>
      <c r="I329" s="176" t="s">
        <v>3893</v>
      </c>
      <c r="J329" s="176" t="s">
        <v>3755</v>
      </c>
      <c r="K329" s="176" t="s">
        <v>3755</v>
      </c>
      <c r="L329" s="680" t="s">
        <v>3758</v>
      </c>
      <c r="M329" s="680">
        <v>1.0</v>
      </c>
      <c r="N329" s="680">
        <v>4.0</v>
      </c>
      <c r="O329" s="680">
        <v>10.0</v>
      </c>
      <c r="P329" s="680" t="s">
        <v>3755</v>
      </c>
      <c r="Q329" s="666"/>
      <c r="R329" s="680">
        <v>80.0</v>
      </c>
      <c r="S329" s="680">
        <v>17.0</v>
      </c>
      <c r="T329" s="685">
        <f t="shared" si="18"/>
        <v>0.2125</v>
      </c>
      <c r="U329" s="691">
        <v>45792.0</v>
      </c>
      <c r="V329" s="680" t="s">
        <v>6210</v>
      </c>
      <c r="W329" s="680">
        <v>17.0</v>
      </c>
      <c r="X329" s="680">
        <v>0.0</v>
      </c>
      <c r="Y329" s="680">
        <v>3.0</v>
      </c>
      <c r="Z329" s="680">
        <v>0.0</v>
      </c>
      <c r="AA329" s="669"/>
      <c r="AB329" s="695"/>
      <c r="AC329" s="669"/>
    </row>
    <row r="330" ht="18.0" customHeight="1">
      <c r="A330" s="680" t="s">
        <v>6211</v>
      </c>
      <c r="B330" s="176" t="s">
        <v>3919</v>
      </c>
      <c r="C330" s="176">
        <v>2025.0</v>
      </c>
      <c r="D330" s="680" t="s">
        <v>4019</v>
      </c>
      <c r="E330" s="176">
        <v>1.0</v>
      </c>
      <c r="F330" s="680">
        <v>240.0</v>
      </c>
      <c r="G330" s="176" t="s">
        <v>4197</v>
      </c>
      <c r="H330" s="176">
        <v>533.0</v>
      </c>
      <c r="I330" s="695"/>
      <c r="J330" s="176" t="s">
        <v>3755</v>
      </c>
      <c r="K330" s="176" t="s">
        <v>3758</v>
      </c>
      <c r="L330" s="680" t="s">
        <v>3758</v>
      </c>
      <c r="M330" s="680">
        <v>3.0</v>
      </c>
      <c r="N330" s="686"/>
      <c r="O330" s="686"/>
      <c r="P330" s="680" t="s">
        <v>3755</v>
      </c>
      <c r="Q330" s="666"/>
      <c r="R330" s="680">
        <v>125.0</v>
      </c>
      <c r="S330" s="680">
        <v>13.0</v>
      </c>
      <c r="T330" s="685">
        <f t="shared" si="18"/>
        <v>0.104</v>
      </c>
      <c r="U330" s="688"/>
      <c r="V330" s="686"/>
      <c r="W330" s="680">
        <v>13.0</v>
      </c>
      <c r="X330" s="680">
        <v>0.0</v>
      </c>
      <c r="Y330" s="680">
        <v>2.0</v>
      </c>
      <c r="Z330" s="680">
        <v>0.0</v>
      </c>
      <c r="AA330" s="669"/>
      <c r="AB330" s="695"/>
      <c r="AC330" s="669"/>
    </row>
    <row r="331" ht="18.0" customHeight="1">
      <c r="A331" s="680" t="s">
        <v>6219</v>
      </c>
      <c r="B331" s="176" t="s">
        <v>857</v>
      </c>
      <c r="C331" s="176">
        <v>2025.0</v>
      </c>
      <c r="D331" s="680" t="s">
        <v>4019</v>
      </c>
      <c r="E331" s="176">
        <v>2.0</v>
      </c>
      <c r="F331" s="680">
        <v>245.0</v>
      </c>
      <c r="G331" s="176" t="s">
        <v>4663</v>
      </c>
      <c r="H331" s="176" t="s">
        <v>4663</v>
      </c>
      <c r="I331" s="176" t="s">
        <v>3879</v>
      </c>
      <c r="J331" s="176" t="s">
        <v>3755</v>
      </c>
      <c r="K331" s="176" t="s">
        <v>3755</v>
      </c>
      <c r="L331" s="680" t="s">
        <v>3758</v>
      </c>
      <c r="M331" s="680">
        <v>5.0</v>
      </c>
      <c r="N331" s="680" t="s">
        <v>5925</v>
      </c>
      <c r="O331" s="680">
        <v>10.0</v>
      </c>
      <c r="P331" s="680" t="s">
        <v>3755</v>
      </c>
      <c r="Q331" s="666"/>
      <c r="R331" s="927">
        <v>141.0</v>
      </c>
      <c r="S331" s="928">
        <v>18.0</v>
      </c>
      <c r="T331" s="685">
        <f t="shared" si="18"/>
        <v>0.1276595745</v>
      </c>
      <c r="U331" s="889">
        <v>45792.0</v>
      </c>
      <c r="W331" s="680">
        <v>15.0</v>
      </c>
      <c r="X331" s="680">
        <v>3.0</v>
      </c>
      <c r="Y331" s="686"/>
      <c r="Z331" s="686"/>
      <c r="AA331" s="669"/>
      <c r="AB331" s="695"/>
      <c r="AC331" s="669"/>
    </row>
    <row r="332" ht="18.0" customHeight="1">
      <c r="A332" s="680" t="s">
        <v>6232</v>
      </c>
      <c r="B332" s="176" t="s">
        <v>857</v>
      </c>
      <c r="C332" s="176">
        <v>2025.0</v>
      </c>
      <c r="D332" s="680" t="s">
        <v>4019</v>
      </c>
      <c r="E332" s="176">
        <v>1.0</v>
      </c>
      <c r="F332" s="680">
        <v>252.0</v>
      </c>
      <c r="G332" s="176" t="s">
        <v>4663</v>
      </c>
      <c r="H332" s="176" t="s">
        <v>4663</v>
      </c>
      <c r="I332" s="176" t="s">
        <v>3812</v>
      </c>
      <c r="J332" s="176" t="s">
        <v>3755</v>
      </c>
      <c r="K332" s="176" t="s">
        <v>3755</v>
      </c>
      <c r="L332" s="680" t="s">
        <v>3758</v>
      </c>
      <c r="M332" s="680">
        <v>3.0</v>
      </c>
      <c r="N332" s="680">
        <v>27.0</v>
      </c>
      <c r="O332" s="680">
        <v>10.0</v>
      </c>
      <c r="P332" s="680" t="s">
        <v>3758</v>
      </c>
      <c r="Q332" s="666"/>
      <c r="R332" s="927">
        <v>83.0</v>
      </c>
      <c r="S332" s="926">
        <v>26.0</v>
      </c>
      <c r="T332" s="685">
        <f t="shared" si="18"/>
        <v>0.313253012</v>
      </c>
      <c r="U332" s="133" t="s">
        <v>3823</v>
      </c>
      <c r="W332" s="680">
        <v>17.0</v>
      </c>
      <c r="X332" s="680">
        <v>9.0</v>
      </c>
      <c r="Y332" s="686"/>
      <c r="Z332" s="686"/>
      <c r="AA332" s="669"/>
      <c r="AB332" s="176" t="s">
        <v>3778</v>
      </c>
      <c r="AC332" s="669"/>
    </row>
    <row r="333" ht="18.0" customHeight="1">
      <c r="A333" s="680" t="s">
        <v>6238</v>
      </c>
      <c r="B333" s="680" t="s">
        <v>857</v>
      </c>
      <c r="C333" s="680">
        <v>2023.0</v>
      </c>
      <c r="D333" s="687" t="s">
        <v>3829</v>
      </c>
      <c r="E333" s="680">
        <v>1.0</v>
      </c>
      <c r="F333" s="680" t="s">
        <v>6242</v>
      </c>
      <c r="G333" s="680" t="s">
        <v>5402</v>
      </c>
      <c r="H333" s="680" t="s">
        <v>5402</v>
      </c>
      <c r="I333" s="680" t="s">
        <v>3812</v>
      </c>
      <c r="J333" s="680" t="s">
        <v>3755</v>
      </c>
      <c r="K333" s="680" t="s">
        <v>3755</v>
      </c>
      <c r="L333" s="680" t="s">
        <v>3758</v>
      </c>
      <c r="M333" s="680"/>
      <c r="N333" s="680" t="s">
        <v>6246</v>
      </c>
      <c r="O333" s="680">
        <v>10.0</v>
      </c>
      <c r="P333" s="680" t="s">
        <v>3755</v>
      </c>
      <c r="Q333" s="666"/>
      <c r="R333" s="927">
        <v>200.0</v>
      </c>
      <c r="S333" s="742">
        <v>19.0</v>
      </c>
      <c r="T333" s="685">
        <f t="shared" si="18"/>
        <v>0.095</v>
      </c>
      <c r="U333" s="922">
        <v>45853.0</v>
      </c>
      <c r="V333" s="742" t="s">
        <v>6248</v>
      </c>
      <c r="W333" s="680">
        <v>18.0</v>
      </c>
      <c r="X333" s="680">
        <v>1.0</v>
      </c>
      <c r="Y333" s="680">
        <v>0.0</v>
      </c>
      <c r="Z333" s="680">
        <v>0.0</v>
      </c>
      <c r="AA333" s="666"/>
      <c r="AB333" s="680" t="s">
        <v>3778</v>
      </c>
      <c r="AC333" s="666"/>
    </row>
    <row r="334" ht="18.0" customHeight="1">
      <c r="A334" s="742" t="s">
        <v>6251</v>
      </c>
      <c r="B334" s="680" t="s">
        <v>857</v>
      </c>
      <c r="C334" s="680">
        <v>2025.0</v>
      </c>
      <c r="D334" s="680" t="s">
        <v>6252</v>
      </c>
      <c r="E334" s="680">
        <v>1.0</v>
      </c>
      <c r="F334" s="680">
        <v>241.0</v>
      </c>
      <c r="G334" s="680" t="s">
        <v>3808</v>
      </c>
      <c r="H334" s="680" t="s">
        <v>3808</v>
      </c>
      <c r="I334" s="686"/>
      <c r="J334" s="680" t="s">
        <v>3755</v>
      </c>
      <c r="K334" s="680" t="s">
        <v>3755</v>
      </c>
      <c r="L334" s="680" t="s">
        <v>3758</v>
      </c>
      <c r="M334" s="680">
        <v>3.0</v>
      </c>
      <c r="N334" s="680">
        <v>1.0</v>
      </c>
      <c r="O334" s="680">
        <v>10.0</v>
      </c>
      <c r="P334" s="680" t="s">
        <v>3755</v>
      </c>
      <c r="Q334" s="666"/>
      <c r="R334" s="927">
        <v>199.0</v>
      </c>
      <c r="S334" s="742">
        <v>11.0</v>
      </c>
      <c r="T334" s="685">
        <f t="shared" si="18"/>
        <v>0.05527638191</v>
      </c>
      <c r="U334" s="922">
        <v>45762.0</v>
      </c>
      <c r="V334" s="742" t="s">
        <v>6254</v>
      </c>
      <c r="W334" s="680">
        <v>11.0</v>
      </c>
      <c r="X334" s="680">
        <v>0.0</v>
      </c>
      <c r="Y334" s="680">
        <v>0.0</v>
      </c>
      <c r="Z334" s="680">
        <v>0.0</v>
      </c>
      <c r="AA334" s="666"/>
      <c r="AB334" s="686"/>
      <c r="AC334" s="666"/>
    </row>
    <row r="335" ht="18.0" customHeight="1">
      <c r="A335" s="680" t="s">
        <v>6255</v>
      </c>
      <c r="B335" s="680" t="s">
        <v>3741</v>
      </c>
      <c r="C335" s="680">
        <v>2019.0</v>
      </c>
      <c r="D335" s="687" t="s">
        <v>3829</v>
      </c>
      <c r="E335" s="680">
        <v>1.0</v>
      </c>
      <c r="F335" s="680">
        <v>242.0</v>
      </c>
      <c r="G335" s="680" t="s">
        <v>3808</v>
      </c>
      <c r="H335" s="680" t="s">
        <v>3808</v>
      </c>
      <c r="I335" s="680" t="s">
        <v>3812</v>
      </c>
      <c r="J335" s="680" t="s">
        <v>3755</v>
      </c>
      <c r="K335" s="680" t="s">
        <v>3755</v>
      </c>
      <c r="L335" s="680" t="s">
        <v>3755</v>
      </c>
      <c r="M335" s="680">
        <v>0.0</v>
      </c>
      <c r="N335" s="680">
        <v>6.0</v>
      </c>
      <c r="O335" s="680">
        <v>10.0</v>
      </c>
      <c r="P335" s="680" t="s">
        <v>3755</v>
      </c>
      <c r="Q335" s="666"/>
      <c r="R335" s="927">
        <v>161.0</v>
      </c>
      <c r="S335" s="742">
        <v>3.0</v>
      </c>
      <c r="T335" s="685">
        <f t="shared" si="18"/>
        <v>0.01863354037</v>
      </c>
      <c r="U335" s="922">
        <v>45672.0</v>
      </c>
      <c r="V335" s="923"/>
      <c r="W335" s="680">
        <v>3.0</v>
      </c>
      <c r="X335" s="686"/>
      <c r="Y335" s="686"/>
      <c r="Z335" s="686"/>
      <c r="AA335" s="666"/>
      <c r="AB335" s="686"/>
      <c r="AC335" s="666"/>
    </row>
    <row r="336" ht="18.0" customHeight="1">
      <c r="A336" s="680" t="s">
        <v>3755</v>
      </c>
      <c r="B336" s="680" t="s">
        <v>857</v>
      </c>
      <c r="C336" s="680">
        <v>2025.0</v>
      </c>
      <c r="D336" s="680" t="s">
        <v>3804</v>
      </c>
      <c r="E336" s="680">
        <v>1.0</v>
      </c>
      <c r="F336" s="680">
        <v>272.0</v>
      </c>
      <c r="G336" s="680" t="s">
        <v>3808</v>
      </c>
      <c r="H336" s="680" t="s">
        <v>3808</v>
      </c>
      <c r="I336" s="680" t="s">
        <v>3812</v>
      </c>
      <c r="J336" s="680" t="s">
        <v>3758</v>
      </c>
      <c r="K336" s="680" t="s">
        <v>3755</v>
      </c>
      <c r="L336" s="680" t="s">
        <v>3758</v>
      </c>
      <c r="M336" s="680">
        <v>6.0</v>
      </c>
      <c r="N336" s="680">
        <v>9.0</v>
      </c>
      <c r="O336" s="680">
        <v>9.0</v>
      </c>
      <c r="P336" s="680" t="s">
        <v>3755</v>
      </c>
      <c r="Q336" s="666"/>
      <c r="R336" s="927">
        <v>52.0</v>
      </c>
      <c r="S336" s="742">
        <v>20.0</v>
      </c>
      <c r="T336" s="685">
        <f t="shared" si="18"/>
        <v>0.3846153846</v>
      </c>
      <c r="U336" s="922">
        <v>45945.0</v>
      </c>
      <c r="V336" s="742" t="s">
        <v>6263</v>
      </c>
      <c r="W336" s="680">
        <v>18.0</v>
      </c>
      <c r="X336" s="680">
        <v>2.0</v>
      </c>
      <c r="Y336" s="686"/>
      <c r="Z336" s="686"/>
      <c r="AA336" s="666"/>
      <c r="AB336" s="680" t="s">
        <v>3778</v>
      </c>
      <c r="AC336" s="666"/>
    </row>
    <row r="337" ht="18.0" customHeight="1">
      <c r="A337" s="680" t="s">
        <v>6264</v>
      </c>
      <c r="B337" s="176" t="s">
        <v>3919</v>
      </c>
      <c r="C337" s="176">
        <v>2025.0</v>
      </c>
      <c r="D337" s="176" t="s">
        <v>4122</v>
      </c>
      <c r="E337" s="176">
        <v>1.0</v>
      </c>
      <c r="F337" s="680" t="s">
        <v>6266</v>
      </c>
      <c r="G337" s="176" t="s">
        <v>5271</v>
      </c>
      <c r="H337" s="176" t="s">
        <v>6268</v>
      </c>
      <c r="I337" s="176" t="s">
        <v>3893</v>
      </c>
      <c r="J337" s="176" t="s">
        <v>3755</v>
      </c>
      <c r="K337" s="176" t="s">
        <v>3755</v>
      </c>
      <c r="L337" s="680" t="s">
        <v>3755</v>
      </c>
      <c r="M337" s="680">
        <v>0.0</v>
      </c>
      <c r="N337" s="680">
        <v>1.0</v>
      </c>
      <c r="O337" s="680">
        <v>8.0</v>
      </c>
      <c r="P337" s="680" t="s">
        <v>3755</v>
      </c>
      <c r="Q337" s="666"/>
      <c r="R337" s="927">
        <v>134.0</v>
      </c>
      <c r="S337" s="742">
        <v>14.0</v>
      </c>
      <c r="T337" s="685">
        <f t="shared" si="18"/>
        <v>0.1044776119</v>
      </c>
      <c r="U337" s="922">
        <v>45884.0</v>
      </c>
      <c r="V337" s="31" t="s">
        <v>6272</v>
      </c>
      <c r="W337" s="680">
        <v>14.0</v>
      </c>
      <c r="X337" s="680">
        <v>0.0</v>
      </c>
      <c r="Y337" s="686"/>
      <c r="Z337" s="686"/>
      <c r="AA337" s="669"/>
      <c r="AB337" s="176" t="s">
        <v>3778</v>
      </c>
      <c r="AC337" s="669"/>
    </row>
    <row r="338" ht="18.0" customHeight="1">
      <c r="A338" s="680" t="s">
        <v>6275</v>
      </c>
      <c r="B338" s="176" t="s">
        <v>3919</v>
      </c>
      <c r="C338" s="176">
        <v>2025.0</v>
      </c>
      <c r="D338" s="176" t="s">
        <v>6276</v>
      </c>
      <c r="E338" s="176">
        <v>1.0</v>
      </c>
      <c r="F338" s="680">
        <v>241.0</v>
      </c>
      <c r="G338" s="176" t="s">
        <v>5271</v>
      </c>
      <c r="H338" s="176">
        <v>528.0</v>
      </c>
      <c r="I338" s="176" t="s">
        <v>3812</v>
      </c>
      <c r="J338" s="176" t="s">
        <v>3758</v>
      </c>
      <c r="K338" s="176" t="s">
        <v>3758</v>
      </c>
      <c r="L338" s="680" t="s">
        <v>3758</v>
      </c>
      <c r="M338" s="680">
        <v>2.0</v>
      </c>
      <c r="N338" s="680">
        <v>3.0</v>
      </c>
      <c r="O338" s="680">
        <v>10.0</v>
      </c>
      <c r="P338" s="680" t="s">
        <v>3755</v>
      </c>
      <c r="Q338" s="666"/>
      <c r="R338" s="927">
        <v>97.0</v>
      </c>
      <c r="S338" s="31">
        <v>14.0</v>
      </c>
      <c r="T338" s="685">
        <f t="shared" si="18"/>
        <v>0.1443298969</v>
      </c>
      <c r="U338" s="889">
        <v>45792.0</v>
      </c>
      <c r="V338" s="931" t="s">
        <v>6280</v>
      </c>
      <c r="W338" s="686"/>
      <c r="X338" s="686"/>
      <c r="Y338" s="686"/>
      <c r="Z338" s="686"/>
      <c r="AA338" s="669"/>
      <c r="AB338" s="695"/>
      <c r="AC338" s="669"/>
    </row>
    <row r="339" ht="18.0" customHeight="1">
      <c r="A339" s="680" t="s">
        <v>6282</v>
      </c>
      <c r="B339" s="176" t="s">
        <v>857</v>
      </c>
      <c r="C339" s="176">
        <v>2025.0</v>
      </c>
      <c r="D339" s="176" t="s">
        <v>4135</v>
      </c>
      <c r="E339" s="176">
        <v>1.0</v>
      </c>
      <c r="F339" s="680">
        <v>272.0</v>
      </c>
      <c r="G339" s="176" t="s">
        <v>3808</v>
      </c>
      <c r="H339" s="176" t="s">
        <v>3808</v>
      </c>
      <c r="I339" s="176" t="s">
        <v>3812</v>
      </c>
      <c r="J339" s="176" t="s">
        <v>3755</v>
      </c>
      <c r="K339" s="176" t="s">
        <v>3755</v>
      </c>
      <c r="L339" s="680" t="s">
        <v>3758</v>
      </c>
      <c r="M339" s="680">
        <v>7.0</v>
      </c>
      <c r="N339" s="680">
        <v>7.0</v>
      </c>
      <c r="O339" s="680">
        <v>10.0</v>
      </c>
      <c r="P339" s="680" t="s">
        <v>3755</v>
      </c>
      <c r="Q339" s="666"/>
      <c r="R339" s="927">
        <v>57.0</v>
      </c>
      <c r="S339" s="31">
        <v>20.0</v>
      </c>
      <c r="T339" s="685">
        <f t="shared" si="18"/>
        <v>0.350877193</v>
      </c>
      <c r="U339" s="889">
        <v>45976.0</v>
      </c>
      <c r="V339" s="31" t="s">
        <v>6288</v>
      </c>
      <c r="W339" s="680">
        <v>17.0</v>
      </c>
      <c r="X339" s="680">
        <v>3.0</v>
      </c>
      <c r="Y339" s="680">
        <v>5.0</v>
      </c>
      <c r="Z339" s="680">
        <v>1.0</v>
      </c>
      <c r="AA339" s="669"/>
      <c r="AB339" s="176" t="s">
        <v>3778</v>
      </c>
      <c r="AC339" s="669"/>
    </row>
    <row r="340" ht="18.0" customHeight="1">
      <c r="A340" s="680" t="s">
        <v>6289</v>
      </c>
      <c r="B340" s="176" t="s">
        <v>857</v>
      </c>
      <c r="C340" s="176">
        <v>2025.0</v>
      </c>
      <c r="D340" s="176" t="s">
        <v>5344</v>
      </c>
      <c r="E340" s="176">
        <v>1.0</v>
      </c>
      <c r="F340" s="680">
        <v>268.0</v>
      </c>
      <c r="G340" s="176" t="s">
        <v>4651</v>
      </c>
      <c r="H340" s="176" t="s">
        <v>4651</v>
      </c>
      <c r="I340" s="176" t="s">
        <v>3812</v>
      </c>
      <c r="J340" s="176" t="s">
        <v>3755</v>
      </c>
      <c r="K340" s="176" t="s">
        <v>3755</v>
      </c>
      <c r="L340" s="680" t="s">
        <v>3758</v>
      </c>
      <c r="M340" s="680">
        <v>7.0</v>
      </c>
      <c r="N340" s="680">
        <v>4.0</v>
      </c>
      <c r="O340" s="680">
        <v>7.0</v>
      </c>
      <c r="P340" s="680" t="s">
        <v>3755</v>
      </c>
      <c r="Q340" s="666"/>
      <c r="R340" s="680">
        <v>65.0</v>
      </c>
      <c r="S340" s="684">
        <v>27.0</v>
      </c>
      <c r="T340" s="685">
        <f t="shared" si="18"/>
        <v>0.4153846154</v>
      </c>
      <c r="U340" s="680" t="s">
        <v>5906</v>
      </c>
      <c r="V340" s="680" t="s">
        <v>6294</v>
      </c>
      <c r="W340" s="680">
        <v>17.0</v>
      </c>
      <c r="X340" s="680">
        <v>10.0</v>
      </c>
      <c r="Y340" s="680">
        <v>0.0</v>
      </c>
      <c r="Z340" s="686"/>
      <c r="AA340" s="669"/>
      <c r="AB340" s="176" t="s">
        <v>3778</v>
      </c>
      <c r="AC340" s="669"/>
    </row>
    <row r="341" ht="18.0" customHeight="1">
      <c r="A341" s="680" t="s">
        <v>6299</v>
      </c>
      <c r="B341" s="176" t="s">
        <v>3919</v>
      </c>
      <c r="C341" s="176">
        <v>2025.0</v>
      </c>
      <c r="D341" s="176" t="s">
        <v>5344</v>
      </c>
      <c r="E341" s="176">
        <v>1.0</v>
      </c>
      <c r="F341" s="680">
        <v>245.0</v>
      </c>
      <c r="G341" s="176" t="s">
        <v>5271</v>
      </c>
      <c r="H341" s="176">
        <v>643.0</v>
      </c>
      <c r="I341" s="176" t="s">
        <v>3893</v>
      </c>
      <c r="J341" s="176" t="s">
        <v>3755</v>
      </c>
      <c r="K341" s="176" t="s">
        <v>3755</v>
      </c>
      <c r="L341" s="680" t="s">
        <v>3758</v>
      </c>
      <c r="M341" s="680">
        <v>7.0</v>
      </c>
      <c r="N341" s="680">
        <v>3.0</v>
      </c>
      <c r="O341" s="680">
        <v>10.0</v>
      </c>
      <c r="P341" s="680" t="s">
        <v>3755</v>
      </c>
      <c r="Q341" s="666"/>
      <c r="R341" s="680">
        <v>105.0</v>
      </c>
      <c r="S341" s="680">
        <v>18.0</v>
      </c>
      <c r="T341" s="685">
        <f t="shared" si="18"/>
        <v>0.1714285714</v>
      </c>
      <c r="U341" s="691">
        <v>45792.0</v>
      </c>
      <c r="V341" s="686"/>
      <c r="W341" s="680">
        <v>15.0</v>
      </c>
      <c r="X341" s="680">
        <v>3.0</v>
      </c>
      <c r="Y341" s="686"/>
      <c r="Z341" s="686"/>
      <c r="AA341" s="669"/>
      <c r="AB341" s="176" t="s">
        <v>3778</v>
      </c>
      <c r="AC341" s="669"/>
    </row>
    <row r="342" ht="18.0" customHeight="1">
      <c r="A342" s="680" t="s">
        <v>6302</v>
      </c>
      <c r="B342" s="176" t="s">
        <v>857</v>
      </c>
      <c r="C342" s="176">
        <v>2025.0</v>
      </c>
      <c r="D342" s="176" t="s">
        <v>6303</v>
      </c>
      <c r="E342" s="176">
        <v>1.0</v>
      </c>
      <c r="F342" s="680">
        <v>272.0</v>
      </c>
      <c r="G342" s="176" t="s">
        <v>3808</v>
      </c>
      <c r="H342" s="176" t="s">
        <v>3808</v>
      </c>
      <c r="I342" s="695"/>
      <c r="J342" s="176" t="s">
        <v>3758</v>
      </c>
      <c r="K342" s="176" t="s">
        <v>3758</v>
      </c>
      <c r="L342" s="680" t="s">
        <v>3758</v>
      </c>
      <c r="M342" s="680">
        <v>6.0</v>
      </c>
      <c r="N342" s="680">
        <v>5.0</v>
      </c>
      <c r="O342" s="680">
        <v>10.0</v>
      </c>
      <c r="P342" s="680" t="s">
        <v>3755</v>
      </c>
      <c r="Q342" s="666"/>
      <c r="R342" s="680">
        <v>50.0</v>
      </c>
      <c r="S342" s="680">
        <v>16.0</v>
      </c>
      <c r="T342" s="685">
        <f t="shared" si="18"/>
        <v>0.32</v>
      </c>
      <c r="U342" s="691">
        <v>45915.0</v>
      </c>
      <c r="V342" s="680" t="s">
        <v>6307</v>
      </c>
      <c r="W342" s="680">
        <v>15.0</v>
      </c>
      <c r="X342" s="680">
        <v>1.0</v>
      </c>
      <c r="Y342" s="680">
        <v>34.0</v>
      </c>
      <c r="Z342" s="680">
        <v>0.0</v>
      </c>
      <c r="AA342" s="669"/>
      <c r="AB342" s="176" t="s">
        <v>3778</v>
      </c>
      <c r="AC342" s="669"/>
    </row>
    <row r="343" ht="18.0" customHeight="1">
      <c r="A343" s="176" t="s">
        <v>6308</v>
      </c>
      <c r="B343" s="176" t="s">
        <v>857</v>
      </c>
      <c r="C343" s="176">
        <v>2025.0</v>
      </c>
      <c r="D343" s="176" t="s">
        <v>4135</v>
      </c>
      <c r="E343" s="176">
        <v>2.0</v>
      </c>
      <c r="F343" s="680">
        <v>241.0</v>
      </c>
      <c r="G343" s="176" t="s">
        <v>3808</v>
      </c>
      <c r="H343" s="176" t="s">
        <v>3808</v>
      </c>
      <c r="I343" s="176" t="s">
        <v>3893</v>
      </c>
      <c r="J343" s="176" t="s">
        <v>3755</v>
      </c>
      <c r="K343" s="176" t="s">
        <v>3755</v>
      </c>
      <c r="L343" s="680" t="s">
        <v>3758</v>
      </c>
      <c r="M343" s="680">
        <v>3.0</v>
      </c>
      <c r="N343" s="680">
        <v>7.0</v>
      </c>
      <c r="O343" s="680">
        <v>10.0</v>
      </c>
      <c r="P343" s="680" t="s">
        <v>3755</v>
      </c>
      <c r="Q343" s="666"/>
      <c r="R343" s="680">
        <v>53.0</v>
      </c>
      <c r="S343" s="680">
        <v>11.0</v>
      </c>
      <c r="T343" s="685">
        <f t="shared" si="18"/>
        <v>0.2075471698</v>
      </c>
      <c r="U343" s="691">
        <v>45731.0</v>
      </c>
      <c r="V343" s="680" t="s">
        <v>5680</v>
      </c>
      <c r="W343" s="680">
        <v>11.0</v>
      </c>
      <c r="X343" s="680">
        <v>0.0</v>
      </c>
      <c r="Y343" s="680">
        <v>42.0</v>
      </c>
      <c r="Z343" s="680">
        <v>0.0</v>
      </c>
      <c r="AA343" s="669"/>
      <c r="AB343" s="176" t="s">
        <v>3778</v>
      </c>
      <c r="AC343" s="669"/>
    </row>
    <row r="344" ht="18.0" customHeight="1">
      <c r="A344" s="176" t="s">
        <v>5017</v>
      </c>
      <c r="B344" s="176" t="s">
        <v>857</v>
      </c>
      <c r="C344" s="176">
        <v>2024.0</v>
      </c>
      <c r="D344" s="176" t="s">
        <v>5214</v>
      </c>
      <c r="E344" s="176">
        <v>1.0</v>
      </c>
      <c r="F344" s="680" t="s">
        <v>5270</v>
      </c>
      <c r="G344" s="176" t="s">
        <v>4663</v>
      </c>
      <c r="H344" s="176" t="s">
        <v>4663</v>
      </c>
      <c r="I344" s="176" t="s">
        <v>3879</v>
      </c>
      <c r="J344" s="731"/>
      <c r="K344" s="695"/>
      <c r="L344" s="680"/>
      <c r="M344" s="680"/>
      <c r="N344" s="680">
        <v>2.0</v>
      </c>
      <c r="O344" s="680">
        <v>10.0</v>
      </c>
      <c r="P344" s="680" t="s">
        <v>3755</v>
      </c>
      <c r="Q344" s="666"/>
      <c r="R344" s="680">
        <v>200.0</v>
      </c>
      <c r="S344" s="680">
        <v>5.0</v>
      </c>
      <c r="T344" s="685">
        <f t="shared" si="18"/>
        <v>0.025</v>
      </c>
      <c r="U344" s="691">
        <v>45703.0</v>
      </c>
      <c r="V344" s="686"/>
      <c r="W344" s="680">
        <v>5.0</v>
      </c>
      <c r="X344" s="686"/>
      <c r="Y344" s="686"/>
      <c r="Z344" s="686"/>
      <c r="AA344" s="669"/>
      <c r="AB344" s="176" t="s">
        <v>3841</v>
      </c>
      <c r="AC344" s="669"/>
    </row>
    <row r="345" ht="18.0" customHeight="1">
      <c r="A345" s="176" t="s">
        <v>6318</v>
      </c>
      <c r="B345" s="176" t="s">
        <v>3919</v>
      </c>
      <c r="C345" s="176">
        <v>2024.0</v>
      </c>
      <c r="D345" s="176" t="s">
        <v>4019</v>
      </c>
      <c r="E345" s="176">
        <v>1.0</v>
      </c>
      <c r="F345" s="680">
        <v>248.0</v>
      </c>
      <c r="G345" s="176" t="s">
        <v>4197</v>
      </c>
      <c r="H345" s="176">
        <v>570.0</v>
      </c>
      <c r="I345" s="176" t="s">
        <v>3879</v>
      </c>
      <c r="J345" s="176" t="s">
        <v>3755</v>
      </c>
      <c r="K345" s="176" t="s">
        <v>3755</v>
      </c>
      <c r="L345" s="680" t="s">
        <v>3758</v>
      </c>
      <c r="M345" s="680">
        <v>4.0</v>
      </c>
      <c r="N345" s="680">
        <v>4.0</v>
      </c>
      <c r="O345" s="680">
        <v>10.0</v>
      </c>
      <c r="P345" s="680" t="s">
        <v>3755</v>
      </c>
      <c r="Q345" s="666"/>
      <c r="R345" s="680">
        <v>160.0</v>
      </c>
      <c r="S345" s="684">
        <v>22.0</v>
      </c>
      <c r="T345" s="862">
        <v>0.1375</v>
      </c>
      <c r="U345" s="691">
        <v>45915.0</v>
      </c>
      <c r="V345" s="680" t="s">
        <v>6322</v>
      </c>
      <c r="W345" s="680">
        <v>20.0</v>
      </c>
      <c r="X345" s="680">
        <v>2.0</v>
      </c>
      <c r="Y345" s="686"/>
      <c r="Z345" s="686"/>
      <c r="AA345" s="669"/>
      <c r="AB345" s="176" t="s">
        <v>3778</v>
      </c>
      <c r="AC345" s="669"/>
    </row>
    <row r="346" ht="18.0" customHeight="1">
      <c r="A346" s="176" t="s">
        <v>6323</v>
      </c>
      <c r="B346" s="176" t="s">
        <v>857</v>
      </c>
      <c r="C346" s="176">
        <v>2023.0</v>
      </c>
      <c r="D346" s="687" t="s">
        <v>3829</v>
      </c>
      <c r="E346" s="176">
        <v>2.0</v>
      </c>
      <c r="F346" s="680" t="s">
        <v>6324</v>
      </c>
      <c r="G346" s="176" t="s">
        <v>3808</v>
      </c>
      <c r="H346" s="176" t="s">
        <v>3808</v>
      </c>
      <c r="I346" s="695"/>
      <c r="J346" s="731"/>
      <c r="K346" s="695"/>
      <c r="L346" s="680" t="s">
        <v>3758</v>
      </c>
      <c r="M346" s="680">
        <v>6.0</v>
      </c>
      <c r="N346" s="680">
        <v>1.0</v>
      </c>
      <c r="O346" s="680">
        <v>10.0</v>
      </c>
      <c r="P346" s="680" t="s">
        <v>3755</v>
      </c>
      <c r="Q346" s="666"/>
      <c r="R346" s="680">
        <v>90.0</v>
      </c>
      <c r="S346" s="680">
        <v>2.0</v>
      </c>
      <c r="T346" s="688"/>
      <c r="U346" s="691">
        <v>45703.0</v>
      </c>
      <c r="V346" s="680" t="s">
        <v>446</v>
      </c>
      <c r="W346" s="680">
        <v>2.0</v>
      </c>
      <c r="X346" s="686"/>
      <c r="Y346" s="686"/>
      <c r="Z346" s="686"/>
      <c r="AA346" s="669"/>
      <c r="AB346" s="176" t="s">
        <v>3882</v>
      </c>
      <c r="AC346" s="669"/>
    </row>
    <row r="347" ht="18.0" customHeight="1">
      <c r="A347" s="176" t="s">
        <v>6325</v>
      </c>
      <c r="B347" s="176" t="s">
        <v>857</v>
      </c>
      <c r="C347" s="176">
        <v>2025.0</v>
      </c>
      <c r="D347" s="176" t="s">
        <v>4167</v>
      </c>
      <c r="E347" s="176">
        <v>1.0</v>
      </c>
      <c r="F347" s="680">
        <v>243.0</v>
      </c>
      <c r="G347" s="176" t="s">
        <v>3808</v>
      </c>
      <c r="H347" s="176" t="s">
        <v>3808</v>
      </c>
      <c r="I347" s="176" t="s">
        <v>3812</v>
      </c>
      <c r="J347" s="176" t="s">
        <v>3755</v>
      </c>
      <c r="K347" s="176" t="s">
        <v>3755</v>
      </c>
      <c r="L347" s="680" t="s">
        <v>3755</v>
      </c>
      <c r="M347" s="680">
        <v>1.0</v>
      </c>
      <c r="N347" s="680">
        <v>7.0</v>
      </c>
      <c r="O347" s="680">
        <v>10.0</v>
      </c>
      <c r="P347" s="680" t="s">
        <v>3755</v>
      </c>
      <c r="Q347" s="666"/>
      <c r="R347" s="680">
        <v>266.0</v>
      </c>
      <c r="S347" s="680">
        <v>14.0</v>
      </c>
      <c r="T347" s="688"/>
      <c r="U347" s="691"/>
      <c r="V347" s="680" t="s">
        <v>6327</v>
      </c>
      <c r="W347" s="680">
        <v>14.0</v>
      </c>
      <c r="X347" s="680">
        <v>0.0</v>
      </c>
      <c r="Y347" s="686"/>
      <c r="Z347" s="686"/>
      <c r="AA347" s="669"/>
      <c r="AB347" s="176" t="s">
        <v>3778</v>
      </c>
      <c r="AC347" s="669"/>
    </row>
    <row r="348" ht="18.0" customHeight="1">
      <c r="A348" s="176" t="s">
        <v>6330</v>
      </c>
      <c r="B348" s="176" t="s">
        <v>857</v>
      </c>
      <c r="C348" s="176">
        <v>2025.0</v>
      </c>
      <c r="D348" s="176" t="s">
        <v>5682</v>
      </c>
      <c r="E348" s="176">
        <v>1.0</v>
      </c>
      <c r="F348" s="680">
        <v>265.0</v>
      </c>
      <c r="G348" s="176" t="s">
        <v>4651</v>
      </c>
      <c r="H348" s="176" t="s">
        <v>4651</v>
      </c>
      <c r="I348" s="176" t="s">
        <v>3812</v>
      </c>
      <c r="J348" s="176" t="s">
        <v>3758</v>
      </c>
      <c r="K348" s="176" t="s">
        <v>3755</v>
      </c>
      <c r="L348" s="680" t="s">
        <v>3758</v>
      </c>
      <c r="M348" s="680">
        <v>7.0</v>
      </c>
      <c r="N348" s="680"/>
      <c r="O348" s="680">
        <v>10.0</v>
      </c>
      <c r="P348" s="680" t="s">
        <v>3755</v>
      </c>
      <c r="Q348" s="666"/>
      <c r="R348" s="680">
        <v>75.0</v>
      </c>
      <c r="S348" s="680">
        <v>21.0</v>
      </c>
      <c r="T348" s="940">
        <v>0.28</v>
      </c>
      <c r="U348" s="691">
        <v>45976.0</v>
      </c>
      <c r="V348" s="686"/>
      <c r="W348" s="680">
        <v>21.0</v>
      </c>
      <c r="X348" s="686"/>
      <c r="Y348" s="686"/>
      <c r="Z348" s="686"/>
      <c r="AA348" s="669"/>
      <c r="AB348" s="176" t="s">
        <v>3778</v>
      </c>
      <c r="AC348" s="669"/>
    </row>
    <row r="349" ht="18.0" customHeight="1">
      <c r="A349" s="176" t="s">
        <v>6344</v>
      </c>
      <c r="B349" s="176" t="s">
        <v>857</v>
      </c>
      <c r="C349" s="176">
        <v>2025.0</v>
      </c>
      <c r="D349" s="176" t="s">
        <v>5344</v>
      </c>
      <c r="E349" s="176">
        <v>2.0</v>
      </c>
      <c r="F349" s="680">
        <v>240.0</v>
      </c>
      <c r="G349" s="176" t="s">
        <v>3808</v>
      </c>
      <c r="H349" s="176" t="s">
        <v>3808</v>
      </c>
      <c r="I349" s="176" t="s">
        <v>3879</v>
      </c>
      <c r="J349" s="176" t="s">
        <v>3755</v>
      </c>
      <c r="K349" s="695"/>
      <c r="L349" s="680"/>
      <c r="M349" s="680"/>
      <c r="N349" s="680">
        <v>4.0</v>
      </c>
      <c r="O349" s="680">
        <v>10.0</v>
      </c>
      <c r="P349" s="680" t="s">
        <v>3758</v>
      </c>
      <c r="Q349" s="666"/>
      <c r="R349" s="680">
        <v>69.0</v>
      </c>
      <c r="S349" s="680">
        <v>9.0</v>
      </c>
      <c r="T349" s="940">
        <v>0.13</v>
      </c>
      <c r="U349" s="691">
        <v>45792.0</v>
      </c>
      <c r="V349" s="686"/>
      <c r="W349" s="680"/>
      <c r="X349" s="686"/>
      <c r="Y349" s="686"/>
      <c r="Z349" s="686"/>
      <c r="AA349" s="669"/>
      <c r="AB349" s="176" t="s">
        <v>3778</v>
      </c>
      <c r="AC349" s="669"/>
    </row>
    <row r="350" ht="18.0" customHeight="1">
      <c r="A350" s="176" t="s">
        <v>6348</v>
      </c>
      <c r="B350" s="176" t="s">
        <v>857</v>
      </c>
      <c r="C350" s="176">
        <v>2025.0</v>
      </c>
      <c r="D350" s="176" t="s">
        <v>4135</v>
      </c>
      <c r="E350" s="176">
        <v>1.0</v>
      </c>
      <c r="F350" s="680">
        <v>231.0</v>
      </c>
      <c r="G350" s="176"/>
      <c r="H350" s="176"/>
      <c r="I350" s="176" t="s">
        <v>3879</v>
      </c>
      <c r="J350" s="176" t="s">
        <v>3755</v>
      </c>
      <c r="K350" s="176" t="s">
        <v>3755</v>
      </c>
      <c r="L350" s="680" t="s">
        <v>3755</v>
      </c>
      <c r="M350" s="680">
        <v>1.0</v>
      </c>
      <c r="N350" s="680">
        <v>4.0</v>
      </c>
      <c r="O350" s="680">
        <v>10.0</v>
      </c>
      <c r="P350" s="680" t="s">
        <v>3755</v>
      </c>
      <c r="Q350" s="666"/>
      <c r="R350" s="680">
        <v>80.0</v>
      </c>
      <c r="S350" s="680">
        <v>12.0</v>
      </c>
      <c r="T350" s="940">
        <v>0.2</v>
      </c>
      <c r="U350" s="691">
        <v>45762.0</v>
      </c>
      <c r="V350" s="686"/>
      <c r="W350" s="680">
        <v>12.0</v>
      </c>
      <c r="X350" s="680">
        <v>0.0</v>
      </c>
      <c r="Y350" s="686"/>
      <c r="Z350" s="686"/>
      <c r="AA350" s="669"/>
      <c r="AB350" s="176" t="s">
        <v>3778</v>
      </c>
      <c r="AC350" s="669"/>
    </row>
    <row r="351" ht="18.0" customHeight="1">
      <c r="A351" s="176" t="s">
        <v>6350</v>
      </c>
      <c r="B351" s="176" t="s">
        <v>857</v>
      </c>
      <c r="C351" s="176">
        <v>2025.0</v>
      </c>
      <c r="D351" s="176" t="s">
        <v>4019</v>
      </c>
      <c r="E351" s="176">
        <v>1.0</v>
      </c>
      <c r="F351" s="680">
        <v>257.0</v>
      </c>
      <c r="G351" s="176" t="s">
        <v>3808</v>
      </c>
      <c r="H351" s="176" t="s">
        <v>3808</v>
      </c>
      <c r="I351" s="176" t="s">
        <v>3812</v>
      </c>
      <c r="J351" s="176" t="s">
        <v>3758</v>
      </c>
      <c r="K351" s="176" t="s">
        <v>3755</v>
      </c>
      <c r="L351" s="680" t="s">
        <v>3758</v>
      </c>
      <c r="M351" s="680">
        <v>7.0</v>
      </c>
      <c r="N351" s="680">
        <v>1.0</v>
      </c>
      <c r="O351" s="680">
        <v>10.0</v>
      </c>
      <c r="P351" s="680" t="s">
        <v>3755</v>
      </c>
      <c r="Q351" s="666"/>
      <c r="R351" s="680">
        <v>43.0</v>
      </c>
      <c r="S351" s="742">
        <v>18.0</v>
      </c>
      <c r="T351" s="947">
        <v>0.42</v>
      </c>
      <c r="U351" s="889">
        <v>45945.0</v>
      </c>
      <c r="W351" s="680">
        <v>16.0</v>
      </c>
      <c r="X351" s="680">
        <v>2.0</v>
      </c>
      <c r="Y351" s="686"/>
      <c r="Z351" s="686"/>
      <c r="AA351" s="669"/>
      <c r="AB351" s="176" t="s">
        <v>3778</v>
      </c>
      <c r="AC351" s="669"/>
    </row>
    <row r="352" ht="18.0" customHeight="1">
      <c r="A352" s="176" t="s">
        <v>6351</v>
      </c>
      <c r="B352" s="176" t="s">
        <v>857</v>
      </c>
      <c r="C352" s="176">
        <v>2024.0</v>
      </c>
      <c r="D352" s="176" t="s">
        <v>4019</v>
      </c>
      <c r="E352" s="176">
        <v>1.0</v>
      </c>
      <c r="F352" s="680">
        <v>235.0</v>
      </c>
      <c r="G352" s="176" t="s">
        <v>4663</v>
      </c>
      <c r="H352" s="176" t="s">
        <v>6354</v>
      </c>
      <c r="I352" s="176" t="s">
        <v>3812</v>
      </c>
      <c r="J352" s="176" t="s">
        <v>3755</v>
      </c>
      <c r="K352" s="176" t="s">
        <v>3755</v>
      </c>
      <c r="L352" s="680" t="s">
        <v>3755</v>
      </c>
      <c r="M352" s="680">
        <v>4.0</v>
      </c>
      <c r="N352" s="680">
        <v>72.0</v>
      </c>
      <c r="O352" s="680">
        <v>10.0</v>
      </c>
      <c r="P352" s="680" t="s">
        <v>3755</v>
      </c>
      <c r="Q352" s="666"/>
      <c r="R352" s="680">
        <v>300.0</v>
      </c>
      <c r="S352" s="31">
        <v>18.0</v>
      </c>
      <c r="T352">
        <f>S352/R352*100</f>
        <v>6</v>
      </c>
      <c r="U352" s="889">
        <v>45792.0</v>
      </c>
      <c r="W352" s="680">
        <v>18.0</v>
      </c>
      <c r="X352" s="680">
        <v>0.0</v>
      </c>
      <c r="Y352" s="680">
        <v>282.0</v>
      </c>
      <c r="Z352" s="680">
        <v>1.0</v>
      </c>
      <c r="AA352" s="669"/>
      <c r="AB352" s="176" t="s">
        <v>3778</v>
      </c>
      <c r="AC352" s="669"/>
    </row>
    <row r="353" ht="18.0" customHeight="1">
      <c r="A353" s="176" t="s">
        <v>6358</v>
      </c>
      <c r="B353" s="176" t="s">
        <v>857</v>
      </c>
      <c r="C353" s="176">
        <v>2025.0</v>
      </c>
      <c r="D353" s="176" t="s">
        <v>3844</v>
      </c>
      <c r="E353" s="176">
        <v>1.0</v>
      </c>
      <c r="F353" s="680">
        <v>238.0</v>
      </c>
      <c r="G353" s="176" t="s">
        <v>4663</v>
      </c>
      <c r="H353" s="176" t="s">
        <v>4663</v>
      </c>
      <c r="I353" s="176" t="s">
        <v>3893</v>
      </c>
      <c r="J353" s="176" t="s">
        <v>3755</v>
      </c>
      <c r="K353" s="176" t="s">
        <v>3755</v>
      </c>
      <c r="L353" s="680" t="s">
        <v>3758</v>
      </c>
      <c r="M353" s="680">
        <v>1.0</v>
      </c>
      <c r="N353" s="680">
        <v>12.0</v>
      </c>
      <c r="O353" s="680">
        <v>10.0</v>
      </c>
      <c r="P353" s="680" t="s">
        <v>3755</v>
      </c>
      <c r="Q353" s="666"/>
      <c r="R353" s="680">
        <v>56.0</v>
      </c>
      <c r="S353" s="31">
        <v>9.0</v>
      </c>
      <c r="T353" s="948">
        <v>0.16</v>
      </c>
      <c r="U353" s="889">
        <v>45762.0</v>
      </c>
      <c r="W353" s="680">
        <v>9.0</v>
      </c>
      <c r="X353" s="680">
        <v>0.0</v>
      </c>
      <c r="Y353" s="680">
        <v>47.0</v>
      </c>
      <c r="Z353" s="680">
        <v>0.0</v>
      </c>
      <c r="AA353" s="669"/>
      <c r="AB353" s="176" t="s">
        <v>3778</v>
      </c>
      <c r="AC353" s="669"/>
    </row>
    <row r="354" ht="18.0" customHeight="1">
      <c r="A354" s="176" t="s">
        <v>6360</v>
      </c>
      <c r="B354" s="176" t="s">
        <v>857</v>
      </c>
      <c r="C354" s="176">
        <v>2025.0</v>
      </c>
      <c r="D354" s="176" t="s">
        <v>4135</v>
      </c>
      <c r="E354" s="176">
        <v>1.0</v>
      </c>
      <c r="F354" s="680">
        <v>253.0</v>
      </c>
      <c r="G354" s="176" t="s">
        <v>4663</v>
      </c>
      <c r="H354" s="176" t="s">
        <v>4663</v>
      </c>
      <c r="I354" s="176" t="s">
        <v>3812</v>
      </c>
      <c r="J354" s="176" t="s">
        <v>3758</v>
      </c>
      <c r="K354" s="176" t="s">
        <v>3755</v>
      </c>
      <c r="L354" s="680" t="s">
        <v>3758</v>
      </c>
      <c r="M354" s="680">
        <v>7.0</v>
      </c>
      <c r="N354" s="680">
        <v>0.0</v>
      </c>
      <c r="O354" s="680">
        <v>10.0</v>
      </c>
      <c r="P354" s="680" t="s">
        <v>3755</v>
      </c>
      <c r="Q354" s="666"/>
      <c r="R354" s="680">
        <v>80.0</v>
      </c>
      <c r="S354" s="31">
        <v>22.0</v>
      </c>
      <c r="T354" s="948">
        <v>0.25</v>
      </c>
      <c r="U354" s="889">
        <v>45792.0</v>
      </c>
      <c r="V354" s="31" t="s">
        <v>6364</v>
      </c>
      <c r="W354" s="680">
        <v>20.0</v>
      </c>
      <c r="X354" s="680">
        <v>1.0</v>
      </c>
      <c r="Y354" s="680">
        <v>0.0</v>
      </c>
      <c r="Z354" s="680">
        <v>0.0</v>
      </c>
      <c r="AA354" s="669"/>
      <c r="AB354" s="176" t="s">
        <v>3778</v>
      </c>
      <c r="AC354" s="669"/>
    </row>
    <row r="355" ht="18.0" customHeight="1">
      <c r="A355" s="176" t="s">
        <v>6365</v>
      </c>
      <c r="B355" s="176" t="s">
        <v>3919</v>
      </c>
      <c r="C355" s="176">
        <v>2025.0</v>
      </c>
      <c r="D355" s="176" t="s">
        <v>3844</v>
      </c>
      <c r="E355" s="176">
        <v>1.0</v>
      </c>
      <c r="F355" s="680">
        <v>251.0</v>
      </c>
      <c r="G355" s="176" t="s">
        <v>4197</v>
      </c>
      <c r="H355" s="176">
        <v>496.0</v>
      </c>
      <c r="I355" s="695"/>
      <c r="J355" s="176" t="s">
        <v>3755</v>
      </c>
      <c r="K355" s="176" t="s">
        <v>3755</v>
      </c>
      <c r="L355" s="680" t="s">
        <v>3755</v>
      </c>
      <c r="M355" s="680">
        <v>3.0</v>
      </c>
      <c r="N355" s="680">
        <v>9.0</v>
      </c>
      <c r="O355" s="680">
        <v>8.0</v>
      </c>
      <c r="P355" s="680" t="s">
        <v>3755</v>
      </c>
      <c r="Q355" s="666"/>
      <c r="R355" s="680">
        <v>200.0</v>
      </c>
      <c r="S355" s="31">
        <v>13.0</v>
      </c>
      <c r="U355" s="889">
        <v>45915.0</v>
      </c>
      <c r="W355" s="680">
        <v>13.0</v>
      </c>
      <c r="X355" s="680">
        <v>0.0</v>
      </c>
      <c r="Y355" s="686"/>
      <c r="Z355" s="686"/>
      <c r="AA355" s="669"/>
      <c r="AB355" s="176" t="s">
        <v>3778</v>
      </c>
      <c r="AC355" s="669"/>
    </row>
    <row r="356" ht="18.0" customHeight="1">
      <c r="A356" s="176" t="s">
        <v>6367</v>
      </c>
      <c r="B356" s="176" t="s">
        <v>857</v>
      </c>
      <c r="C356" s="176">
        <v>2025.0</v>
      </c>
      <c r="D356" s="176" t="s">
        <v>6368</v>
      </c>
      <c r="E356" s="176">
        <v>1.0</v>
      </c>
      <c r="F356" s="680">
        <v>244.0</v>
      </c>
      <c r="G356" s="695"/>
      <c r="H356" s="695"/>
      <c r="I356" s="176" t="s">
        <v>3812</v>
      </c>
      <c r="J356" s="176" t="s">
        <v>3755</v>
      </c>
      <c r="K356" s="176" t="s">
        <v>3755</v>
      </c>
      <c r="L356" s="680" t="s">
        <v>3758</v>
      </c>
      <c r="M356" s="680">
        <v>7.0</v>
      </c>
      <c r="N356" s="680">
        <v>15.0</v>
      </c>
      <c r="O356" s="680">
        <v>10.0</v>
      </c>
      <c r="P356" s="680" t="s">
        <v>3755</v>
      </c>
      <c r="Q356" s="666"/>
      <c r="R356" s="680">
        <v>200.0</v>
      </c>
      <c r="S356" s="31">
        <v>14.0</v>
      </c>
      <c r="U356" s="889">
        <v>45762.0</v>
      </c>
      <c r="W356" s="680">
        <v>14.0</v>
      </c>
      <c r="X356" s="686"/>
      <c r="Y356" s="686"/>
      <c r="Z356" s="686"/>
      <c r="AA356" s="669"/>
      <c r="AB356" s="176" t="s">
        <v>3778</v>
      </c>
      <c r="AC356" s="669"/>
    </row>
    <row r="357" ht="18.0" customHeight="1">
      <c r="A357" s="176" t="s">
        <v>6371</v>
      </c>
      <c r="B357" s="176" t="s">
        <v>857</v>
      </c>
      <c r="C357" s="176">
        <v>2025.0</v>
      </c>
      <c r="D357" s="176" t="s">
        <v>5017</v>
      </c>
      <c r="E357" s="176">
        <v>1.0</v>
      </c>
      <c r="F357" s="680">
        <v>265.0</v>
      </c>
      <c r="G357" s="176" t="s">
        <v>4651</v>
      </c>
      <c r="H357" s="176" t="s">
        <v>4651</v>
      </c>
      <c r="I357" s="176"/>
      <c r="J357" s="176" t="s">
        <v>3755</v>
      </c>
      <c r="K357" s="176" t="s">
        <v>3758</v>
      </c>
      <c r="L357" s="680" t="s">
        <v>3755</v>
      </c>
      <c r="M357" s="680">
        <v>4.0</v>
      </c>
      <c r="N357" s="680">
        <v>5.0</v>
      </c>
      <c r="O357" s="680">
        <v>9.0</v>
      </c>
      <c r="P357" s="680" t="s">
        <v>3755</v>
      </c>
      <c r="Q357" s="666"/>
      <c r="R357" s="680">
        <v>66.0</v>
      </c>
      <c r="S357" s="31">
        <v>12.0</v>
      </c>
      <c r="T357" s="949">
        <f>S357/R357</f>
        <v>0.1818181818</v>
      </c>
      <c r="U357" s="889">
        <v>45853.0</v>
      </c>
      <c r="W357" s="680">
        <v>12.0</v>
      </c>
      <c r="X357" s="680">
        <v>0.0</v>
      </c>
      <c r="Y357" s="686"/>
      <c r="Z357" s="686"/>
      <c r="AA357" s="669"/>
      <c r="AB357" s="176"/>
      <c r="AC357" s="669"/>
    </row>
    <row r="358" ht="18.0" customHeight="1">
      <c r="A358" s="176" t="s">
        <v>6373</v>
      </c>
      <c r="B358" s="176" t="s">
        <v>857</v>
      </c>
      <c r="C358" s="176">
        <v>2016.0</v>
      </c>
      <c r="D358" s="687" t="s">
        <v>3829</v>
      </c>
      <c r="E358" s="176">
        <v>1.0</v>
      </c>
      <c r="F358" s="680">
        <v>244.0</v>
      </c>
      <c r="G358" s="695"/>
      <c r="H358" s="695"/>
      <c r="I358" s="176" t="s">
        <v>3812</v>
      </c>
      <c r="J358" s="176" t="s">
        <v>3755</v>
      </c>
      <c r="K358" s="176" t="s">
        <v>3755</v>
      </c>
      <c r="L358" s="680" t="s">
        <v>3755</v>
      </c>
      <c r="M358" s="680">
        <v>0.0</v>
      </c>
      <c r="N358" s="680">
        <v>9.0</v>
      </c>
      <c r="O358" s="680">
        <v>10.0</v>
      </c>
      <c r="P358" s="680" t="s">
        <v>3755</v>
      </c>
      <c r="Q358" s="666"/>
      <c r="R358" s="31">
        <v>223.0</v>
      </c>
      <c r="S358" s="31">
        <v>3.0</v>
      </c>
      <c r="U358" s="889">
        <v>45731.0</v>
      </c>
      <c r="V358" s="31" t="s">
        <v>6374</v>
      </c>
      <c r="W358" s="680">
        <v>3.0</v>
      </c>
      <c r="X358" s="680">
        <v>0.0</v>
      </c>
      <c r="Y358" s="680">
        <v>220.0</v>
      </c>
      <c r="Z358" s="680">
        <v>0.0</v>
      </c>
      <c r="AA358" s="669"/>
      <c r="AB358" s="176" t="s">
        <v>4307</v>
      </c>
      <c r="AC358" s="669"/>
    </row>
    <row r="359" ht="18.0" customHeight="1">
      <c r="A359" s="176" t="s">
        <v>6376</v>
      </c>
      <c r="B359" s="176" t="s">
        <v>857</v>
      </c>
      <c r="C359" s="176">
        <v>2025.0</v>
      </c>
      <c r="D359" s="176" t="s">
        <v>3844</v>
      </c>
      <c r="E359" s="176">
        <v>1.0</v>
      </c>
      <c r="F359" s="680">
        <v>247.0</v>
      </c>
      <c r="G359" s="176" t="s">
        <v>4651</v>
      </c>
      <c r="H359" s="176" t="s">
        <v>4651</v>
      </c>
      <c r="I359" s="176" t="s">
        <v>3879</v>
      </c>
      <c r="J359" s="176" t="s">
        <v>3758</v>
      </c>
      <c r="K359" s="176" t="s">
        <v>3758</v>
      </c>
      <c r="L359" s="680" t="s">
        <v>3758</v>
      </c>
      <c r="M359" s="680">
        <v>3.0</v>
      </c>
      <c r="N359" s="680">
        <v>2.0</v>
      </c>
      <c r="O359" s="680">
        <v>10.0</v>
      </c>
      <c r="P359" s="680" t="s">
        <v>3755</v>
      </c>
      <c r="Q359" s="666"/>
      <c r="R359" s="686"/>
      <c r="T359" s="950" t="s">
        <v>6379</v>
      </c>
      <c r="U359" s="951"/>
      <c r="V359" s="952"/>
      <c r="W359" s="686"/>
      <c r="X359" s="686"/>
      <c r="Y359" s="686"/>
      <c r="Z359" s="686"/>
      <c r="AA359" s="669"/>
      <c r="AB359" s="176" t="s">
        <v>3778</v>
      </c>
      <c r="AC359" s="669"/>
    </row>
    <row r="360" ht="39.0" customHeight="1">
      <c r="A360" s="176" t="s">
        <v>6380</v>
      </c>
      <c r="B360" s="176" t="s">
        <v>857</v>
      </c>
      <c r="C360" s="176">
        <v>2025.0</v>
      </c>
      <c r="D360" s="176" t="s">
        <v>4019</v>
      </c>
      <c r="E360" s="176">
        <v>1.0</v>
      </c>
      <c r="F360" s="680">
        <v>234.0</v>
      </c>
      <c r="G360" s="176" t="s">
        <v>4651</v>
      </c>
      <c r="H360" s="176" t="s">
        <v>4651</v>
      </c>
      <c r="I360" s="176" t="s">
        <v>3879</v>
      </c>
      <c r="J360" s="176" t="s">
        <v>3755</v>
      </c>
      <c r="K360" s="176" t="s">
        <v>3755</v>
      </c>
      <c r="L360" s="680" t="s">
        <v>3758</v>
      </c>
      <c r="M360" s="680">
        <v>2.0</v>
      </c>
      <c r="N360" s="680">
        <v>0.0</v>
      </c>
      <c r="O360" s="680">
        <v>10.0</v>
      </c>
      <c r="P360" s="680" t="s">
        <v>3755</v>
      </c>
      <c r="Q360" s="666"/>
      <c r="R360" s="680">
        <v>80.0</v>
      </c>
      <c r="T360" s="693" t="s">
        <v>6382</v>
      </c>
      <c r="U360" s="688"/>
      <c r="V360" s="953" t="s">
        <v>6383</v>
      </c>
      <c r="W360" s="680">
        <v>4.0</v>
      </c>
      <c r="X360" s="680">
        <v>0.0</v>
      </c>
      <c r="Y360" s="686"/>
      <c r="Z360" s="686"/>
      <c r="AA360" s="669"/>
      <c r="AB360" s="176" t="s">
        <v>3778</v>
      </c>
      <c r="AC360" s="669"/>
    </row>
    <row r="361" ht="18.0" customHeight="1">
      <c r="A361" s="176" t="s">
        <v>5580</v>
      </c>
      <c r="B361" s="176" t="s">
        <v>857</v>
      </c>
      <c r="C361" s="176">
        <v>2025.0</v>
      </c>
      <c r="D361" s="176" t="s">
        <v>3844</v>
      </c>
      <c r="E361" s="176">
        <v>1.0</v>
      </c>
      <c r="F361" s="680">
        <v>276.0</v>
      </c>
      <c r="G361" s="176" t="s">
        <v>4651</v>
      </c>
      <c r="H361" s="176" t="s">
        <v>4651</v>
      </c>
      <c r="I361" s="176" t="s">
        <v>3812</v>
      </c>
      <c r="J361" s="176" t="s">
        <v>3758</v>
      </c>
      <c r="K361" s="176" t="s">
        <v>3755</v>
      </c>
      <c r="L361" s="680" t="s">
        <v>3758</v>
      </c>
      <c r="M361" s="680">
        <v>5.0</v>
      </c>
      <c r="N361" s="680">
        <v>0.0</v>
      </c>
      <c r="O361" s="680">
        <v>10.0</v>
      </c>
      <c r="P361" s="680" t="s">
        <v>3755</v>
      </c>
      <c r="Q361" s="666"/>
      <c r="R361" s="680">
        <v>63.0</v>
      </c>
      <c r="S361" s="954">
        <v>20.5</v>
      </c>
      <c r="T361" s="693" t="s">
        <v>6387</v>
      </c>
      <c r="U361" s="691">
        <v>45884.0</v>
      </c>
      <c r="V361" s="955"/>
      <c r="W361" s="680">
        <v>20.5</v>
      </c>
      <c r="X361" s="680">
        <v>0.0</v>
      </c>
      <c r="Y361" s="686"/>
      <c r="Z361" s="680">
        <v>0.0</v>
      </c>
      <c r="AA361" s="669"/>
      <c r="AB361" s="176" t="s">
        <v>3778</v>
      </c>
      <c r="AC361" s="669"/>
    </row>
    <row r="362" ht="18.0" customHeight="1">
      <c r="A362" s="176" t="s">
        <v>6388</v>
      </c>
      <c r="B362" s="176" t="s">
        <v>857</v>
      </c>
      <c r="C362" s="176">
        <v>2025.0</v>
      </c>
      <c r="D362" s="176" t="s">
        <v>6389</v>
      </c>
      <c r="E362" s="176">
        <v>1.0</v>
      </c>
      <c r="F362" s="680">
        <v>234.0</v>
      </c>
      <c r="G362" s="176" t="s">
        <v>4651</v>
      </c>
      <c r="H362" s="176" t="s">
        <v>4651</v>
      </c>
      <c r="I362" s="176" t="s">
        <v>4834</v>
      </c>
      <c r="J362" s="176" t="s">
        <v>3755</v>
      </c>
      <c r="K362" s="176" t="s">
        <v>3755</v>
      </c>
      <c r="L362" s="686"/>
      <c r="M362" s="686"/>
      <c r="N362" s="680">
        <v>1.0</v>
      </c>
      <c r="O362" s="680">
        <v>10.0</v>
      </c>
      <c r="P362" s="680" t="s">
        <v>3755</v>
      </c>
      <c r="Q362" s="666"/>
      <c r="R362" s="680">
        <v>120.0</v>
      </c>
      <c r="S362" s="680">
        <v>12.0</v>
      </c>
      <c r="T362" s="940">
        <v>0.1</v>
      </c>
      <c r="U362" s="691">
        <v>45823.0</v>
      </c>
      <c r="V362" s="680" t="s">
        <v>6391</v>
      </c>
      <c r="W362" s="680" t="s">
        <v>6391</v>
      </c>
      <c r="X362" s="680">
        <v>0.0</v>
      </c>
      <c r="Y362" s="686"/>
      <c r="Z362" s="686"/>
      <c r="AA362" s="669"/>
      <c r="AB362" s="176" t="s">
        <v>3778</v>
      </c>
      <c r="AC362" s="669"/>
    </row>
    <row r="363" ht="18.0" customHeight="1">
      <c r="A363" s="755" t="s">
        <v>6393</v>
      </c>
      <c r="B363" s="755" t="s">
        <v>3919</v>
      </c>
      <c r="C363" s="956">
        <v>2025.0</v>
      </c>
      <c r="D363" s="724" t="s">
        <v>3804</v>
      </c>
      <c r="E363" s="956">
        <v>1.0</v>
      </c>
      <c r="F363" s="957">
        <v>259.0</v>
      </c>
      <c r="G363" s="958" t="s">
        <v>4197</v>
      </c>
      <c r="H363" s="959">
        <v>716.0</v>
      </c>
      <c r="I363" s="755" t="s">
        <v>3812</v>
      </c>
      <c r="J363" s="960" t="s">
        <v>3755</v>
      </c>
      <c r="K363" s="755" t="s">
        <v>3755</v>
      </c>
      <c r="L363" s="724" t="s">
        <v>3755</v>
      </c>
      <c r="M363" s="724">
        <v>2.0</v>
      </c>
      <c r="N363" s="724">
        <v>3.0</v>
      </c>
      <c r="O363" s="724">
        <v>10.0</v>
      </c>
      <c r="P363" s="724" t="s">
        <v>3755</v>
      </c>
      <c r="Q363" s="961"/>
      <c r="R363" s="724">
        <v>97.0</v>
      </c>
      <c r="S363" s="680">
        <v>26.0</v>
      </c>
      <c r="T363" s="688"/>
      <c r="U363" s="691">
        <v>45915.0</v>
      </c>
      <c r="V363" s="680" t="s">
        <v>6396</v>
      </c>
      <c r="W363" s="680">
        <v>20.0</v>
      </c>
      <c r="X363" s="686"/>
      <c r="Y363" s="686"/>
      <c r="Z363" s="686"/>
      <c r="AA363" s="669"/>
      <c r="AB363" s="176" t="s">
        <v>3778</v>
      </c>
      <c r="AC363" s="669"/>
    </row>
    <row r="364" ht="18.0" customHeight="1">
      <c r="A364" s="176" t="s">
        <v>6397</v>
      </c>
      <c r="B364" s="176" t="s">
        <v>3919</v>
      </c>
      <c r="C364" s="176">
        <v>2025.0</v>
      </c>
      <c r="D364" s="176" t="s">
        <v>5072</v>
      </c>
      <c r="E364" s="176" t="s">
        <v>3808</v>
      </c>
      <c r="F364" s="680">
        <v>224.0</v>
      </c>
      <c r="G364" s="176" t="s">
        <v>4197</v>
      </c>
      <c r="H364" s="176">
        <v>562.0</v>
      </c>
      <c r="I364" s="176" t="s">
        <v>3893</v>
      </c>
      <c r="J364" s="176" t="s">
        <v>3755</v>
      </c>
      <c r="K364" s="176" t="s">
        <v>3755</v>
      </c>
      <c r="L364" s="680" t="s">
        <v>3755</v>
      </c>
      <c r="M364" s="680">
        <v>4.0</v>
      </c>
      <c r="N364" s="680">
        <v>2.0</v>
      </c>
      <c r="O364" s="680">
        <v>10.0</v>
      </c>
      <c r="P364" s="680" t="s">
        <v>3755</v>
      </c>
      <c r="Q364" s="666"/>
      <c r="R364" s="680">
        <v>158.0</v>
      </c>
      <c r="S364" s="680">
        <v>9.0</v>
      </c>
      <c r="T364" s="688"/>
      <c r="U364" s="691">
        <v>45823.0</v>
      </c>
      <c r="V364" s="680" t="s">
        <v>6400</v>
      </c>
      <c r="W364" s="680">
        <v>9.0</v>
      </c>
      <c r="X364" s="680">
        <v>0.0</v>
      </c>
      <c r="Y364" s="686"/>
      <c r="Z364" s="686"/>
      <c r="AA364" s="669"/>
      <c r="AB364" s="176" t="s">
        <v>3778</v>
      </c>
      <c r="AC364" s="669"/>
    </row>
    <row r="365" ht="18.0" customHeight="1">
      <c r="A365" s="695"/>
      <c r="B365" s="176" t="s">
        <v>857</v>
      </c>
      <c r="C365" s="695"/>
      <c r="D365" s="695"/>
      <c r="E365" s="695"/>
      <c r="F365" s="686"/>
      <c r="G365" s="695"/>
      <c r="H365" s="695"/>
      <c r="I365" s="695"/>
      <c r="J365" s="731"/>
      <c r="K365" s="695"/>
      <c r="L365" s="686"/>
      <c r="M365" s="686"/>
      <c r="N365" s="686"/>
      <c r="O365" s="686"/>
      <c r="P365" s="686"/>
      <c r="Q365" s="666"/>
      <c r="R365" s="686"/>
      <c r="S365" s="686"/>
      <c r="T365" s="688"/>
      <c r="U365" s="688"/>
      <c r="V365" s="686"/>
      <c r="W365" s="686"/>
      <c r="X365" s="686"/>
      <c r="Y365" s="686"/>
      <c r="Z365" s="686"/>
      <c r="AA365" s="669"/>
      <c r="AB365" s="695"/>
      <c r="AC365" s="669"/>
    </row>
    <row r="366" ht="18.0" customHeight="1">
      <c r="A366" s="176" t="s">
        <v>6401</v>
      </c>
      <c r="B366" s="176" t="s">
        <v>857</v>
      </c>
      <c r="C366" s="176">
        <v>2025.0</v>
      </c>
      <c r="D366" s="176" t="s">
        <v>4019</v>
      </c>
      <c r="E366" s="176">
        <v>1.0</v>
      </c>
      <c r="F366" s="680">
        <v>254.0</v>
      </c>
      <c r="G366" s="695"/>
      <c r="H366" s="695"/>
      <c r="I366" s="176" t="s">
        <v>3879</v>
      </c>
      <c r="J366" s="176" t="s">
        <v>3755</v>
      </c>
      <c r="K366" s="176" t="s">
        <v>3755</v>
      </c>
      <c r="L366" s="680" t="s">
        <v>3755</v>
      </c>
      <c r="M366" s="680">
        <v>1.0</v>
      </c>
      <c r="N366" s="680">
        <v>3.0</v>
      </c>
      <c r="O366" s="680">
        <v>10.0</v>
      </c>
      <c r="P366" s="680" t="s">
        <v>3755</v>
      </c>
      <c r="Q366" s="666"/>
      <c r="R366" s="680">
        <v>54.0</v>
      </c>
      <c r="S366" s="680">
        <v>13.0</v>
      </c>
      <c r="T366" s="688"/>
      <c r="U366" s="688"/>
      <c r="V366" s="680" t="s">
        <v>6402</v>
      </c>
      <c r="W366" s="680" t="s">
        <v>6402</v>
      </c>
      <c r="X366" s="680">
        <v>0.0</v>
      </c>
      <c r="Y366" s="680">
        <v>2.0</v>
      </c>
      <c r="Z366" s="680">
        <v>0.0</v>
      </c>
      <c r="AA366" s="669"/>
      <c r="AB366" s="176" t="s">
        <v>3778</v>
      </c>
      <c r="AC366" s="669"/>
    </row>
    <row r="367" ht="18.0" customHeight="1">
      <c r="A367" s="176"/>
      <c r="B367" s="176" t="s">
        <v>3919</v>
      </c>
      <c r="C367" s="695"/>
      <c r="D367" s="695"/>
      <c r="E367" s="695"/>
      <c r="F367" s="686"/>
      <c r="G367" s="695"/>
      <c r="H367" s="695"/>
      <c r="I367" s="695"/>
      <c r="J367" s="731"/>
      <c r="K367" s="695"/>
      <c r="L367" s="686"/>
      <c r="M367" s="686"/>
      <c r="N367" s="686"/>
      <c r="O367" s="686"/>
      <c r="P367" s="686"/>
      <c r="Q367" s="666"/>
      <c r="R367" s="686"/>
      <c r="S367" s="686"/>
      <c r="T367" s="688"/>
      <c r="U367" s="688"/>
      <c r="V367" s="686"/>
      <c r="W367" s="686"/>
      <c r="X367" s="686"/>
      <c r="Y367" s="686"/>
      <c r="Z367" s="686"/>
      <c r="AA367" s="669"/>
      <c r="AB367" s="695"/>
      <c r="AC367" s="669"/>
    </row>
    <row r="368" ht="18.0" customHeight="1">
      <c r="A368" s="176" t="s">
        <v>6404</v>
      </c>
      <c r="B368" s="176" t="s">
        <v>857</v>
      </c>
      <c r="C368" s="176">
        <v>2025.0</v>
      </c>
      <c r="D368" s="176" t="s">
        <v>3971</v>
      </c>
      <c r="E368" s="176">
        <v>1.0</v>
      </c>
      <c r="F368" s="680">
        <v>230.0</v>
      </c>
      <c r="G368" s="176" t="s">
        <v>3</v>
      </c>
      <c r="H368" s="176" t="s">
        <v>3</v>
      </c>
      <c r="I368" s="176" t="s">
        <v>3893</v>
      </c>
      <c r="J368" s="176" t="s">
        <v>3755</v>
      </c>
      <c r="K368" s="176" t="s">
        <v>3755</v>
      </c>
      <c r="L368" s="680" t="s">
        <v>3755</v>
      </c>
      <c r="M368" s="680">
        <v>0.0</v>
      </c>
      <c r="N368" s="680">
        <v>15.0</v>
      </c>
      <c r="O368" s="680">
        <v>10.0</v>
      </c>
      <c r="P368" s="680" t="s">
        <v>3755</v>
      </c>
      <c r="Q368" s="666"/>
      <c r="R368" s="680">
        <v>85.0</v>
      </c>
      <c r="T368" s="862">
        <v>0.0941</v>
      </c>
      <c r="U368" s="691">
        <v>45792.0</v>
      </c>
      <c r="V368" s="680" t="s">
        <v>6405</v>
      </c>
      <c r="W368" s="680">
        <v>8.0</v>
      </c>
      <c r="X368" s="680">
        <v>0.0</v>
      </c>
      <c r="Y368" s="686"/>
      <c r="Z368" s="686"/>
      <c r="AA368" s="669"/>
      <c r="AB368" s="176" t="s">
        <v>3778</v>
      </c>
      <c r="AC368" s="669"/>
    </row>
    <row r="369" ht="18.0" customHeight="1">
      <c r="A369" s="31" t="s">
        <v>6406</v>
      </c>
      <c r="B369" s="176" t="s">
        <v>857</v>
      </c>
      <c r="C369" s="176">
        <v>2025.0</v>
      </c>
      <c r="D369" s="176" t="s">
        <v>3971</v>
      </c>
      <c r="E369" s="176">
        <v>1.0</v>
      </c>
      <c r="F369" s="680">
        <v>249.0</v>
      </c>
      <c r="G369" s="695"/>
      <c r="H369" s="695"/>
      <c r="I369" s="176" t="s">
        <v>3879</v>
      </c>
      <c r="J369" s="731"/>
      <c r="K369" s="695"/>
      <c r="L369" s="686"/>
      <c r="M369" s="680">
        <v>0.0</v>
      </c>
      <c r="N369" s="680">
        <v>93.0</v>
      </c>
      <c r="O369" s="680">
        <v>10.0</v>
      </c>
      <c r="P369" s="686"/>
      <c r="Q369" s="666"/>
      <c r="R369" s="680">
        <v>61.0</v>
      </c>
      <c r="S369" s="680">
        <v>8.0</v>
      </c>
      <c r="T369" s="693" t="str">
        <f>#REF!/R369</f>
        <v>#REF!</v>
      </c>
      <c r="U369" s="688"/>
      <c r="V369" s="686"/>
      <c r="W369" s="680">
        <v>11.0</v>
      </c>
      <c r="X369" s="686"/>
      <c r="Y369" s="686"/>
      <c r="Z369" s="686"/>
      <c r="AA369" s="669"/>
      <c r="AB369" s="176" t="s">
        <v>6408</v>
      </c>
      <c r="AC369" s="669"/>
    </row>
    <row r="370" ht="18.0" customHeight="1">
      <c r="A370" s="176" t="s">
        <v>6409</v>
      </c>
      <c r="B370" s="176" t="s">
        <v>857</v>
      </c>
      <c r="C370" s="176">
        <v>2025.0</v>
      </c>
      <c r="D370" s="176" t="s">
        <v>4122</v>
      </c>
      <c r="E370" s="176">
        <v>1.0</v>
      </c>
      <c r="F370" s="686"/>
      <c r="G370" s="695"/>
      <c r="H370" s="695"/>
      <c r="I370" s="695"/>
      <c r="J370" s="731"/>
      <c r="K370" s="695"/>
      <c r="L370" s="686"/>
      <c r="M370" s="686"/>
      <c r="N370" s="686"/>
      <c r="O370" s="686"/>
      <c r="P370" s="686"/>
      <c r="Q370" s="666"/>
      <c r="R370" s="686"/>
      <c r="S370" s="686"/>
      <c r="T370" s="688"/>
      <c r="U370" s="688"/>
      <c r="V370" s="686"/>
      <c r="W370" s="686"/>
      <c r="X370" s="686"/>
      <c r="Y370" s="686"/>
      <c r="Z370" s="686"/>
      <c r="AA370" s="669"/>
      <c r="AB370" s="695"/>
      <c r="AC370" s="669"/>
    </row>
    <row r="371" ht="18.0" customHeight="1">
      <c r="A371" s="176" t="s">
        <v>6412</v>
      </c>
      <c r="B371" s="176" t="s">
        <v>3741</v>
      </c>
      <c r="C371" s="176">
        <v>2014.0</v>
      </c>
      <c r="D371" s="176" t="s">
        <v>6413</v>
      </c>
      <c r="E371" s="176">
        <v>1.0</v>
      </c>
      <c r="F371" s="680">
        <v>230.0</v>
      </c>
      <c r="G371" s="176"/>
      <c r="H371" s="176"/>
      <c r="I371" s="176"/>
      <c r="J371" s="176"/>
      <c r="K371" s="176"/>
      <c r="L371" s="680"/>
      <c r="M371" s="680"/>
      <c r="N371" s="680">
        <v>5.0</v>
      </c>
      <c r="O371" s="680">
        <v>10.0</v>
      </c>
      <c r="P371" s="680" t="s">
        <v>3755</v>
      </c>
      <c r="Q371" s="666"/>
      <c r="R371" s="680">
        <v>80.0</v>
      </c>
      <c r="S371" s="680">
        <v>1.0</v>
      </c>
      <c r="T371" s="688"/>
      <c r="U371" s="691">
        <v>45672.0</v>
      </c>
      <c r="V371" s="680" t="s">
        <v>1278</v>
      </c>
      <c r="W371" s="680">
        <v>1.0</v>
      </c>
      <c r="X371" s="686"/>
      <c r="Y371" s="686"/>
      <c r="Z371" s="686"/>
      <c r="AA371" s="669"/>
      <c r="AB371" s="176" t="s">
        <v>3841</v>
      </c>
      <c r="AC371" s="669"/>
    </row>
    <row r="372" ht="18.0" customHeight="1">
      <c r="A372" s="176" t="s">
        <v>6414</v>
      </c>
      <c r="B372" s="176" t="s">
        <v>857</v>
      </c>
      <c r="C372" s="176"/>
      <c r="D372" s="176"/>
      <c r="E372" s="176"/>
      <c r="F372" s="680">
        <f>AVERAGE(F8:F371)</f>
        <v>251.5340909</v>
      </c>
      <c r="G372" s="695"/>
      <c r="H372" s="695"/>
      <c r="I372" s="176"/>
      <c r="J372" s="731"/>
      <c r="K372" s="695"/>
      <c r="L372" s="680"/>
      <c r="M372" s="680"/>
      <c r="N372" s="680"/>
      <c r="O372" s="680"/>
      <c r="P372" s="680"/>
      <c r="Q372" s="666"/>
      <c r="R372" s="680"/>
      <c r="S372" s="680"/>
      <c r="T372" s="688"/>
      <c r="U372" s="691"/>
      <c r="V372" s="680"/>
      <c r="W372" s="686"/>
      <c r="X372" s="686"/>
      <c r="Y372" s="686"/>
      <c r="Z372" s="686"/>
      <c r="AA372" s="669"/>
      <c r="AB372" s="695"/>
      <c r="AC372" s="669"/>
    </row>
    <row r="373" ht="18.0" customHeight="1">
      <c r="A373" s="695"/>
      <c r="B373" s="695"/>
      <c r="C373" s="695"/>
      <c r="D373" s="695"/>
      <c r="E373" s="695"/>
      <c r="F373" s="686"/>
      <c r="G373" s="695"/>
      <c r="H373" s="695"/>
      <c r="I373" s="695"/>
      <c r="J373" s="731"/>
      <c r="K373" s="695"/>
      <c r="L373" s="686"/>
      <c r="M373" s="686"/>
      <c r="N373" s="686"/>
      <c r="O373" s="686"/>
      <c r="P373" s="686"/>
      <c r="Q373" s="666"/>
      <c r="R373" s="686"/>
      <c r="S373" s="686"/>
      <c r="T373" s="688"/>
      <c r="U373" s="688"/>
      <c r="V373" s="686"/>
      <c r="W373" s="686"/>
      <c r="X373" s="686"/>
      <c r="Y373" s="686"/>
      <c r="Z373" s="686"/>
      <c r="AA373" s="669"/>
      <c r="AB373" s="695"/>
      <c r="AC373" s="669"/>
    </row>
    <row r="374" ht="18.0" customHeight="1">
      <c r="A374" s="695"/>
      <c r="B374" s="695"/>
      <c r="C374" s="695"/>
      <c r="D374" s="695"/>
      <c r="E374" s="695"/>
      <c r="F374" s="686"/>
      <c r="G374" s="695"/>
      <c r="H374" s="695"/>
      <c r="I374" s="695"/>
      <c r="J374" s="731"/>
      <c r="K374" s="695"/>
      <c r="L374" s="686"/>
      <c r="M374" s="686"/>
      <c r="N374" s="686"/>
      <c r="O374" s="686"/>
      <c r="P374" s="686"/>
      <c r="Q374" s="666"/>
      <c r="R374" s="686"/>
      <c r="S374" s="686"/>
      <c r="T374" s="688"/>
      <c r="U374" s="688"/>
      <c r="V374" s="686"/>
      <c r="W374" s="686"/>
      <c r="X374" s="686"/>
      <c r="Y374" s="686"/>
      <c r="Z374" s="686"/>
      <c r="AA374" s="669"/>
      <c r="AB374" s="695"/>
      <c r="AC374" s="669"/>
    </row>
    <row r="375" ht="18.0" customHeight="1">
      <c r="A375" s="695"/>
      <c r="B375" s="695"/>
      <c r="C375" s="695"/>
      <c r="D375" s="695"/>
      <c r="E375" s="695"/>
      <c r="F375" s="686"/>
      <c r="G375" s="695"/>
      <c r="H375" s="695"/>
      <c r="I375" s="695"/>
      <c r="J375" s="731"/>
      <c r="K375" s="695"/>
      <c r="L375" s="686"/>
      <c r="M375" s="686"/>
      <c r="N375" s="686"/>
      <c r="O375" s="686"/>
      <c r="P375" s="686"/>
      <c r="Q375" s="666"/>
      <c r="R375" s="686"/>
      <c r="S375" s="686"/>
      <c r="T375" s="688"/>
      <c r="U375" s="688"/>
      <c r="V375" s="686"/>
      <c r="W375" s="686"/>
      <c r="X375" s="686"/>
      <c r="Y375" s="686"/>
      <c r="Z375" s="686"/>
      <c r="AA375" s="669"/>
      <c r="AB375" s="695"/>
      <c r="AC375" s="669"/>
    </row>
    <row r="376" ht="18.0" customHeight="1">
      <c r="A376" s="695"/>
      <c r="B376" s="695"/>
      <c r="C376" s="695"/>
      <c r="D376" s="695"/>
      <c r="E376" s="695"/>
      <c r="F376" s="686"/>
      <c r="G376" s="695"/>
      <c r="H376" s="695"/>
      <c r="I376" s="695"/>
      <c r="J376" s="731"/>
      <c r="K376" s="695"/>
      <c r="L376" s="686"/>
      <c r="M376" s="686"/>
      <c r="N376" s="686"/>
      <c r="O376" s="686"/>
      <c r="P376" s="686"/>
      <c r="Q376" s="666"/>
      <c r="R376" s="686"/>
      <c r="S376" s="686"/>
      <c r="T376" s="688"/>
      <c r="U376" s="688"/>
      <c r="V376" s="686"/>
      <c r="W376" s="686"/>
      <c r="X376" s="686"/>
      <c r="Y376" s="686"/>
      <c r="Z376" s="686"/>
      <c r="AA376" s="669"/>
      <c r="AB376" s="695"/>
      <c r="AC376" s="669"/>
    </row>
    <row r="377" ht="18.0" customHeight="1">
      <c r="A377" s="695"/>
      <c r="B377" s="695"/>
      <c r="C377" s="695"/>
      <c r="D377" s="695"/>
      <c r="E377" s="695"/>
      <c r="F377" s="686"/>
      <c r="G377" s="695"/>
      <c r="H377" s="695"/>
      <c r="I377" s="695"/>
      <c r="J377" s="731"/>
      <c r="K377" s="695"/>
      <c r="L377" s="686"/>
      <c r="M377" s="686"/>
      <c r="N377" s="686"/>
      <c r="O377" s="686"/>
      <c r="P377" s="686"/>
      <c r="Q377" s="666"/>
      <c r="R377" s="686"/>
      <c r="S377" s="686"/>
      <c r="T377" s="688"/>
      <c r="U377" s="688"/>
      <c r="V377" s="686"/>
      <c r="W377" s="686"/>
      <c r="X377" s="686"/>
      <c r="Y377" s="686"/>
      <c r="Z377" s="686"/>
      <c r="AA377" s="669"/>
      <c r="AB377" s="695"/>
      <c r="AC377" s="669"/>
    </row>
    <row r="378" ht="18.0" customHeight="1">
      <c r="A378" s="695"/>
      <c r="B378" s="695"/>
      <c r="C378" s="695"/>
      <c r="D378" s="695"/>
      <c r="E378" s="695"/>
      <c r="F378" s="686"/>
      <c r="G378" s="695"/>
      <c r="H378" s="695"/>
      <c r="I378" s="695"/>
      <c r="J378" s="731"/>
      <c r="K378" s="695"/>
      <c r="L378" s="686"/>
      <c r="M378" s="686"/>
      <c r="N378" s="686"/>
      <c r="O378" s="686"/>
      <c r="P378" s="686"/>
      <c r="Q378" s="666"/>
      <c r="R378" s="686"/>
      <c r="S378" s="686"/>
      <c r="T378" s="688"/>
      <c r="U378" s="688"/>
      <c r="V378" s="686"/>
      <c r="W378" s="686"/>
      <c r="X378" s="686"/>
      <c r="Y378" s="686"/>
      <c r="Z378" s="686"/>
      <c r="AA378" s="669"/>
      <c r="AB378" s="695"/>
      <c r="AC378" s="669"/>
    </row>
    <row r="379" ht="18.0" customHeight="1">
      <c r="A379" s="695"/>
      <c r="B379" s="695"/>
      <c r="C379" s="695"/>
      <c r="D379" s="695"/>
      <c r="E379" s="695"/>
      <c r="F379" s="686"/>
      <c r="G379" s="695"/>
      <c r="H379" s="695"/>
      <c r="I379" s="695"/>
      <c r="J379" s="731"/>
      <c r="K379" s="695"/>
      <c r="L379" s="686"/>
      <c r="M379" s="686"/>
      <c r="N379" s="686"/>
      <c r="O379" s="686"/>
      <c r="P379" s="686"/>
      <c r="Q379" s="666"/>
      <c r="R379" s="686"/>
      <c r="S379" s="686"/>
      <c r="T379" s="688"/>
      <c r="U379" s="688"/>
      <c r="V379" s="686"/>
      <c r="W379" s="686"/>
      <c r="X379" s="686"/>
      <c r="Y379" s="686"/>
      <c r="Z379" s="686"/>
      <c r="AA379" s="669"/>
      <c r="AB379" s="695"/>
      <c r="AC379" s="669"/>
    </row>
    <row r="380" ht="18.0" customHeight="1">
      <c r="A380" s="695"/>
      <c r="B380" s="695"/>
      <c r="C380" s="695"/>
      <c r="D380" s="695"/>
      <c r="E380" s="695"/>
      <c r="F380" s="686"/>
      <c r="G380" s="695"/>
      <c r="H380" s="695"/>
      <c r="I380" s="695"/>
      <c r="J380" s="731"/>
      <c r="K380" s="695"/>
      <c r="L380" s="686"/>
      <c r="M380" s="686"/>
      <c r="N380" s="686"/>
      <c r="O380" s="686"/>
      <c r="P380" s="686"/>
      <c r="Q380" s="666"/>
      <c r="R380" s="686"/>
      <c r="S380" s="686"/>
      <c r="T380" s="688"/>
      <c r="U380" s="688"/>
      <c r="V380" s="686"/>
      <c r="W380" s="686"/>
      <c r="X380" s="686"/>
      <c r="Y380" s="686"/>
      <c r="Z380" s="686"/>
      <c r="AA380" s="669"/>
      <c r="AB380" s="695"/>
      <c r="AC380" s="669"/>
    </row>
    <row r="381" ht="18.0" customHeight="1">
      <c r="A381" s="695"/>
      <c r="B381" s="695"/>
      <c r="C381" s="695"/>
      <c r="D381" s="695"/>
      <c r="E381" s="695"/>
      <c r="F381" s="686"/>
      <c r="G381" s="695"/>
      <c r="H381" s="695"/>
      <c r="I381" s="695"/>
      <c r="J381" s="731"/>
      <c r="K381" s="695"/>
      <c r="L381" s="686"/>
      <c r="M381" s="686"/>
      <c r="N381" s="686"/>
      <c r="O381" s="686"/>
      <c r="P381" s="686"/>
      <c r="Q381" s="666"/>
      <c r="R381" s="686"/>
      <c r="S381" s="686"/>
      <c r="T381" s="688"/>
      <c r="U381" s="688"/>
      <c r="V381" s="686"/>
      <c r="W381" s="686"/>
      <c r="X381" s="686"/>
      <c r="Y381" s="686"/>
      <c r="Z381" s="686"/>
      <c r="AA381" s="669"/>
      <c r="AB381" s="695"/>
      <c r="AC381" s="669"/>
    </row>
    <row r="382" ht="18.0" customHeight="1">
      <c r="A382" s="695"/>
      <c r="B382" s="695"/>
      <c r="C382" s="695"/>
      <c r="D382" s="695"/>
      <c r="E382" s="695"/>
      <c r="F382" s="686"/>
      <c r="G382" s="695"/>
      <c r="H382" s="695"/>
      <c r="I382" s="695"/>
      <c r="J382" s="731"/>
      <c r="K382" s="695"/>
      <c r="L382" s="686"/>
      <c r="M382" s="686"/>
      <c r="N382" s="686"/>
      <c r="O382" s="686"/>
      <c r="P382" s="686"/>
      <c r="Q382" s="666"/>
      <c r="R382" s="686"/>
      <c r="S382" s="686"/>
      <c r="T382" s="688"/>
      <c r="U382" s="680"/>
      <c r="V382" s="686"/>
      <c r="W382" s="686"/>
      <c r="X382" s="686"/>
      <c r="Y382" s="686"/>
      <c r="Z382" s="686"/>
      <c r="AA382" s="669"/>
      <c r="AB382" s="695"/>
      <c r="AC382" s="669"/>
    </row>
    <row r="383" ht="18.0" customHeight="1">
      <c r="A383" s="695"/>
      <c r="B383" s="695"/>
      <c r="C383" s="695"/>
      <c r="D383" s="695"/>
      <c r="E383" s="695"/>
      <c r="F383" s="686"/>
      <c r="G383" s="695"/>
      <c r="H383" s="695"/>
      <c r="I383" s="695"/>
      <c r="J383" s="731"/>
      <c r="K383" s="695"/>
      <c r="L383" s="686"/>
      <c r="M383" s="686"/>
      <c r="N383" s="686"/>
      <c r="O383" s="686"/>
      <c r="P383" s="686"/>
      <c r="Q383" s="666"/>
      <c r="R383" s="686"/>
      <c r="S383" s="686"/>
      <c r="T383" s="688"/>
      <c r="U383" s="680"/>
      <c r="V383" s="686"/>
      <c r="W383" s="686"/>
      <c r="X383" s="686"/>
      <c r="Y383" s="686"/>
      <c r="Z383" s="686"/>
      <c r="AA383" s="669"/>
      <c r="AB383" s="695"/>
      <c r="AC383" s="669"/>
    </row>
    <row r="384" ht="18.0" customHeight="1">
      <c r="A384" s="695"/>
      <c r="B384" s="695"/>
      <c r="C384" s="695"/>
      <c r="D384" s="695"/>
      <c r="E384" s="695"/>
      <c r="F384" s="686"/>
      <c r="G384" s="695"/>
      <c r="H384" s="695"/>
      <c r="I384" s="695"/>
      <c r="J384" s="731"/>
      <c r="K384" s="695"/>
      <c r="L384" s="686"/>
      <c r="M384" s="686"/>
      <c r="N384" s="686"/>
      <c r="O384" s="686"/>
      <c r="P384" s="686"/>
      <c r="Q384" s="666"/>
      <c r="R384" s="686"/>
      <c r="S384" s="686"/>
      <c r="T384" s="688"/>
      <c r="U384" s="688"/>
      <c r="V384" s="686"/>
      <c r="W384" s="686"/>
      <c r="X384" s="686"/>
      <c r="Y384" s="686"/>
      <c r="Z384" s="686"/>
      <c r="AA384" s="669"/>
      <c r="AB384" s="695"/>
      <c r="AC384" s="669"/>
    </row>
    <row r="385" ht="18.0" customHeight="1">
      <c r="A385" s="695"/>
      <c r="B385" s="695"/>
      <c r="C385" s="695"/>
      <c r="D385" s="695"/>
      <c r="E385" s="695"/>
      <c r="F385" s="686"/>
      <c r="G385" s="695"/>
      <c r="H385" s="695"/>
      <c r="I385" s="695"/>
      <c r="J385" s="731"/>
      <c r="K385" s="695"/>
      <c r="L385" s="686"/>
      <c r="M385" s="686"/>
      <c r="N385" s="686"/>
      <c r="O385" s="686"/>
      <c r="P385" s="686"/>
      <c r="Q385" s="666"/>
      <c r="R385" s="686"/>
      <c r="S385" s="686"/>
      <c r="T385" s="688"/>
      <c r="U385" s="688"/>
      <c r="V385" s="686"/>
      <c r="W385" s="686"/>
      <c r="X385" s="686"/>
      <c r="Y385" s="686"/>
      <c r="Z385" s="686"/>
      <c r="AA385" s="669"/>
      <c r="AB385" s="695"/>
      <c r="AC385" s="669"/>
    </row>
    <row r="386" ht="18.0" customHeight="1">
      <c r="A386" s="695"/>
      <c r="B386" s="695"/>
      <c r="C386" s="695"/>
      <c r="D386" s="695"/>
      <c r="E386" s="695"/>
      <c r="F386" s="686"/>
      <c r="G386" s="695"/>
      <c r="H386" s="695"/>
      <c r="I386" s="695"/>
      <c r="J386" s="731"/>
      <c r="K386" s="695"/>
      <c r="L386" s="686"/>
      <c r="M386" s="686"/>
      <c r="N386" s="686"/>
      <c r="O386" s="686"/>
      <c r="P386" s="686"/>
      <c r="Q386" s="666"/>
      <c r="R386" s="686"/>
      <c r="S386" s="686"/>
      <c r="T386" s="688"/>
      <c r="U386" s="688"/>
      <c r="V386" s="686"/>
      <c r="W386" s="686"/>
      <c r="X386" s="686"/>
      <c r="Y386" s="686"/>
      <c r="Z386" s="686"/>
      <c r="AA386" s="669"/>
      <c r="AB386" s="695"/>
      <c r="AC386" s="669"/>
    </row>
    <row r="387" ht="18.0" customHeight="1">
      <c r="A387" s="695"/>
      <c r="B387" s="695"/>
      <c r="C387" s="695"/>
      <c r="D387" s="695"/>
      <c r="E387" s="695"/>
      <c r="F387" s="686"/>
      <c r="G387" s="695"/>
      <c r="H387" s="695"/>
      <c r="I387" s="695"/>
      <c r="J387" s="731"/>
      <c r="K387" s="695"/>
      <c r="L387" s="686"/>
      <c r="M387" s="686"/>
      <c r="N387" s="686"/>
      <c r="O387" s="686"/>
      <c r="P387" s="686"/>
      <c r="Q387" s="666"/>
      <c r="R387" s="686"/>
      <c r="S387" s="686"/>
      <c r="T387" s="688"/>
      <c r="U387" s="688"/>
      <c r="V387" s="686"/>
      <c r="W387" s="686"/>
      <c r="X387" s="686"/>
      <c r="Y387" s="686"/>
      <c r="Z387" s="686"/>
      <c r="AA387" s="669"/>
      <c r="AB387" s="695"/>
      <c r="AC387" s="669"/>
    </row>
    <row r="388" ht="18.0" customHeight="1">
      <c r="A388" s="695"/>
      <c r="B388" s="695"/>
      <c r="C388" s="695"/>
      <c r="D388" s="695"/>
      <c r="E388" s="695"/>
      <c r="F388" s="686"/>
      <c r="G388" s="695"/>
      <c r="H388" s="695"/>
      <c r="I388" s="695"/>
      <c r="J388" s="731"/>
      <c r="K388" s="695"/>
      <c r="L388" s="686"/>
      <c r="M388" s="686"/>
      <c r="N388" s="686"/>
      <c r="O388" s="686"/>
      <c r="P388" s="686"/>
      <c r="Q388" s="666"/>
      <c r="R388" s="686"/>
      <c r="S388" s="686"/>
      <c r="T388" s="688"/>
      <c r="U388" s="688"/>
      <c r="V388" s="686"/>
      <c r="W388" s="686"/>
      <c r="X388" s="686"/>
      <c r="Y388" s="686"/>
      <c r="Z388" s="686"/>
      <c r="AA388" s="669"/>
      <c r="AB388" s="695"/>
      <c r="AC388" s="669"/>
    </row>
    <row r="389" ht="18.0" customHeight="1">
      <c r="A389" s="695"/>
      <c r="B389" s="695"/>
      <c r="C389" s="695"/>
      <c r="D389" s="695"/>
      <c r="E389" s="695"/>
      <c r="F389" s="686"/>
      <c r="G389" s="695"/>
      <c r="H389" s="695"/>
      <c r="I389" s="695"/>
      <c r="J389" s="731"/>
      <c r="K389" s="695"/>
      <c r="L389" s="686"/>
      <c r="M389" s="686"/>
      <c r="N389" s="686"/>
      <c r="O389" s="686"/>
      <c r="P389" s="686"/>
      <c r="Q389" s="666"/>
      <c r="R389" s="686"/>
      <c r="S389" s="686"/>
      <c r="T389" s="688"/>
      <c r="U389" s="688"/>
      <c r="V389" s="686"/>
      <c r="W389" s="686"/>
      <c r="X389" s="686"/>
      <c r="Y389" s="686"/>
      <c r="Z389" s="686"/>
      <c r="AA389" s="669"/>
      <c r="AB389" s="695"/>
      <c r="AC389" s="669"/>
    </row>
    <row r="390" ht="18.0" customHeight="1">
      <c r="A390" s="695"/>
      <c r="B390" s="695"/>
      <c r="C390" s="695"/>
      <c r="D390" s="695"/>
      <c r="E390" s="695"/>
      <c r="F390" s="686"/>
      <c r="G390" s="695"/>
      <c r="H390" s="695"/>
      <c r="I390" s="695"/>
      <c r="J390" s="731"/>
      <c r="K390" s="695"/>
      <c r="L390" s="686"/>
      <c r="M390" s="686"/>
      <c r="N390" s="686"/>
      <c r="O390" s="686"/>
      <c r="P390" s="686"/>
      <c r="Q390" s="666"/>
      <c r="R390" s="686"/>
      <c r="S390" s="686"/>
      <c r="T390" s="688"/>
      <c r="U390" s="688"/>
      <c r="V390" s="686"/>
      <c r="W390" s="686"/>
      <c r="X390" s="686"/>
      <c r="Y390" s="686"/>
      <c r="Z390" s="686"/>
      <c r="AA390" s="669"/>
      <c r="AB390" s="695"/>
      <c r="AC390" s="669"/>
    </row>
    <row r="391" ht="18.0" customHeight="1">
      <c r="A391" s="695"/>
      <c r="B391" s="695"/>
      <c r="C391" s="695"/>
      <c r="D391" s="695"/>
      <c r="E391" s="695"/>
      <c r="F391" s="686"/>
      <c r="G391" s="695"/>
      <c r="H391" s="695"/>
      <c r="I391" s="695"/>
      <c r="J391" s="731"/>
      <c r="K391" s="695"/>
      <c r="L391" s="686"/>
      <c r="M391" s="686"/>
      <c r="N391" s="686"/>
      <c r="O391" s="686"/>
      <c r="P391" s="686"/>
      <c r="Q391" s="666"/>
      <c r="R391" s="686"/>
      <c r="S391" s="686"/>
      <c r="T391" s="688"/>
      <c r="U391" s="688"/>
      <c r="V391" s="686"/>
      <c r="W391" s="686"/>
      <c r="X391" s="686"/>
      <c r="Y391" s="686"/>
      <c r="Z391" s="686"/>
      <c r="AA391" s="669"/>
      <c r="AB391" s="695"/>
      <c r="AC391" s="669"/>
    </row>
    <row r="392" ht="18.0" customHeight="1">
      <c r="A392" s="695"/>
      <c r="B392" s="695"/>
      <c r="C392" s="695"/>
      <c r="D392" s="695"/>
      <c r="E392" s="695"/>
      <c r="F392" s="686"/>
      <c r="G392" s="695"/>
      <c r="H392" s="695"/>
      <c r="I392" s="695"/>
      <c r="J392" s="731"/>
      <c r="K392" s="695"/>
      <c r="L392" s="686"/>
      <c r="M392" s="686"/>
      <c r="N392" s="686"/>
      <c r="O392" s="686"/>
      <c r="P392" s="686"/>
      <c r="Q392" s="666"/>
      <c r="R392" s="686"/>
      <c r="S392" s="686"/>
      <c r="T392" s="688"/>
      <c r="U392" s="688"/>
      <c r="V392" s="686"/>
      <c r="W392" s="686"/>
      <c r="X392" s="686"/>
      <c r="Y392" s="686"/>
      <c r="Z392" s="686"/>
      <c r="AA392" s="669"/>
      <c r="AB392" s="695"/>
      <c r="AC392" s="669"/>
    </row>
    <row r="393" ht="18.0" customHeight="1">
      <c r="A393" s="695"/>
      <c r="B393" s="695"/>
      <c r="C393" s="695"/>
      <c r="D393" s="695"/>
      <c r="E393" s="695"/>
      <c r="F393" s="686"/>
      <c r="G393" s="695"/>
      <c r="H393" s="695"/>
      <c r="I393" s="695"/>
      <c r="J393" s="731"/>
      <c r="K393" s="695"/>
      <c r="L393" s="686"/>
      <c r="M393" s="686"/>
      <c r="N393" s="686"/>
      <c r="O393" s="686"/>
      <c r="P393" s="686"/>
      <c r="Q393" s="666"/>
      <c r="R393" s="686"/>
      <c r="S393" s="686"/>
      <c r="T393" s="688"/>
      <c r="U393" s="688"/>
      <c r="V393" s="686"/>
      <c r="W393" s="686"/>
      <c r="X393" s="686"/>
      <c r="Y393" s="686"/>
      <c r="Z393" s="686"/>
      <c r="AA393" s="669"/>
      <c r="AB393" s="695"/>
      <c r="AC393" s="669"/>
    </row>
    <row r="394" ht="18.0" customHeight="1">
      <c r="A394" s="695"/>
      <c r="B394" s="695"/>
      <c r="C394" s="695"/>
      <c r="D394" s="695"/>
      <c r="E394" s="695"/>
      <c r="F394" s="686"/>
      <c r="G394" s="695"/>
      <c r="H394" s="695"/>
      <c r="I394" s="695"/>
      <c r="J394" s="731"/>
      <c r="K394" s="695"/>
      <c r="L394" s="686"/>
      <c r="M394" s="686"/>
      <c r="N394" s="686"/>
      <c r="O394" s="686"/>
      <c r="P394" s="686"/>
      <c r="Q394" s="666"/>
      <c r="R394" s="686"/>
      <c r="S394" s="686"/>
      <c r="T394" s="688"/>
      <c r="U394" s="688"/>
      <c r="V394" s="686"/>
      <c r="W394" s="686"/>
      <c r="X394" s="686"/>
      <c r="Y394" s="686"/>
      <c r="Z394" s="686"/>
      <c r="AA394" s="669"/>
      <c r="AB394" s="695"/>
      <c r="AC394" s="669"/>
    </row>
    <row r="395" ht="18.0" customHeight="1">
      <c r="A395" s="695"/>
      <c r="B395" s="695"/>
      <c r="C395" s="695"/>
      <c r="D395" s="695"/>
      <c r="E395" s="695"/>
      <c r="F395" s="686"/>
      <c r="G395" s="695"/>
      <c r="H395" s="695"/>
      <c r="I395" s="695"/>
      <c r="J395" s="731"/>
      <c r="K395" s="695"/>
      <c r="L395" s="686"/>
      <c r="M395" s="686"/>
      <c r="N395" s="686"/>
      <c r="O395" s="686"/>
      <c r="P395" s="686"/>
      <c r="Q395" s="666"/>
      <c r="R395" s="686"/>
      <c r="S395" s="686"/>
      <c r="T395" s="688"/>
      <c r="U395" s="688"/>
      <c r="V395" s="686"/>
      <c r="W395" s="686"/>
      <c r="X395" s="686"/>
      <c r="Y395" s="686"/>
      <c r="Z395" s="686"/>
      <c r="AA395" s="669"/>
      <c r="AB395" s="695"/>
      <c r="AC395" s="669"/>
    </row>
    <row r="396" ht="18.0" customHeight="1">
      <c r="A396" s="695"/>
      <c r="B396" s="695"/>
      <c r="C396" s="695"/>
      <c r="D396" s="695"/>
      <c r="E396" s="695"/>
      <c r="F396" s="686"/>
      <c r="G396" s="695"/>
      <c r="H396" s="695"/>
      <c r="I396" s="695"/>
      <c r="J396" s="731"/>
      <c r="K396" s="695"/>
      <c r="L396" s="686"/>
      <c r="M396" s="686"/>
      <c r="N396" s="686"/>
      <c r="O396" s="686"/>
      <c r="P396" s="686"/>
      <c r="Q396" s="666"/>
      <c r="R396" s="686"/>
      <c r="S396" s="686"/>
      <c r="T396" s="688"/>
      <c r="U396" s="688"/>
      <c r="V396" s="686"/>
      <c r="W396" s="686"/>
      <c r="X396" s="686"/>
      <c r="Y396" s="686"/>
      <c r="Z396" s="686"/>
      <c r="AA396" s="669"/>
      <c r="AB396" s="695"/>
      <c r="AC396" s="669"/>
    </row>
    <row r="397" ht="18.0" customHeight="1">
      <c r="A397" s="695"/>
      <c r="B397" s="695"/>
      <c r="C397" s="695"/>
      <c r="D397" s="695"/>
      <c r="E397" s="695"/>
      <c r="F397" s="686"/>
      <c r="G397" s="695"/>
      <c r="H397" s="695"/>
      <c r="I397" s="695"/>
      <c r="J397" s="731"/>
      <c r="K397" s="695"/>
      <c r="L397" s="686"/>
      <c r="M397" s="686"/>
      <c r="N397" s="686"/>
      <c r="O397" s="686"/>
      <c r="P397" s="686"/>
      <c r="Q397" s="666"/>
      <c r="R397" s="686"/>
      <c r="S397" s="686"/>
      <c r="T397" s="688"/>
      <c r="U397" s="688"/>
      <c r="V397" s="686"/>
      <c r="W397" s="686"/>
      <c r="X397" s="686"/>
      <c r="Y397" s="686"/>
      <c r="Z397" s="686"/>
      <c r="AA397" s="669"/>
      <c r="AB397" s="695"/>
      <c r="AC397" s="669"/>
    </row>
    <row r="398" ht="18.0" customHeight="1">
      <c r="A398" s="695"/>
      <c r="B398" s="695"/>
      <c r="C398" s="695"/>
      <c r="D398" s="695"/>
      <c r="E398" s="695"/>
      <c r="F398" s="686"/>
      <c r="G398" s="695"/>
      <c r="H398" s="695"/>
      <c r="I398" s="695"/>
      <c r="J398" s="731"/>
      <c r="K398" s="695"/>
      <c r="L398" s="686"/>
      <c r="M398" s="686"/>
      <c r="N398" s="686"/>
      <c r="O398" s="686"/>
      <c r="P398" s="686"/>
      <c r="Q398" s="666"/>
      <c r="R398" s="686"/>
      <c r="S398" s="686"/>
      <c r="T398" s="688"/>
      <c r="U398" s="688"/>
      <c r="V398" s="686"/>
      <c r="W398" s="686"/>
      <c r="X398" s="686"/>
      <c r="Y398" s="686"/>
      <c r="Z398" s="686"/>
      <c r="AA398" s="669"/>
      <c r="AB398" s="695"/>
      <c r="AC398" s="669"/>
    </row>
    <row r="399" ht="18.0" customHeight="1">
      <c r="A399" s="695"/>
      <c r="B399" s="695"/>
      <c r="C399" s="695"/>
      <c r="D399" s="695"/>
      <c r="E399" s="695"/>
      <c r="F399" s="686"/>
      <c r="G399" s="695"/>
      <c r="H399" s="695"/>
      <c r="I399" s="695"/>
      <c r="J399" s="731"/>
      <c r="K399" s="695"/>
      <c r="L399" s="686"/>
      <c r="M399" s="686"/>
      <c r="N399" s="686"/>
      <c r="O399" s="686"/>
      <c r="P399" s="686"/>
      <c r="Q399" s="666"/>
      <c r="R399" s="686"/>
      <c r="S399" s="686"/>
      <c r="T399" s="688"/>
      <c r="U399" s="688"/>
      <c r="V399" s="686"/>
      <c r="W399" s="686"/>
      <c r="X399" s="686"/>
      <c r="Y399" s="686"/>
      <c r="Z399" s="686"/>
      <c r="AA399" s="669"/>
      <c r="AB399" s="695"/>
      <c r="AC399" s="669"/>
    </row>
    <row r="400" ht="18.0" customHeight="1">
      <c r="A400" s="695"/>
      <c r="B400" s="695"/>
      <c r="C400" s="695"/>
      <c r="D400" s="695"/>
      <c r="E400" s="695"/>
      <c r="F400" s="686"/>
      <c r="G400" s="695"/>
      <c r="H400" s="695"/>
      <c r="I400" s="695"/>
      <c r="J400" s="731"/>
      <c r="K400" s="695"/>
      <c r="L400" s="686"/>
      <c r="M400" s="686"/>
      <c r="N400" s="686"/>
      <c r="O400" s="686"/>
      <c r="P400" s="686"/>
      <c r="Q400" s="666"/>
      <c r="R400" s="686"/>
      <c r="S400" s="686"/>
      <c r="T400" s="688"/>
      <c r="U400" s="688"/>
      <c r="V400" s="686"/>
      <c r="W400" s="686"/>
      <c r="X400" s="686"/>
      <c r="Y400" s="686"/>
      <c r="Z400" s="686"/>
      <c r="AA400" s="669"/>
      <c r="AB400" s="695"/>
      <c r="AC400" s="669"/>
    </row>
    <row r="401" ht="18.0" customHeight="1">
      <c r="A401" s="695"/>
      <c r="B401" s="695"/>
      <c r="C401" s="695"/>
      <c r="D401" s="695"/>
      <c r="E401" s="695"/>
      <c r="F401" s="686"/>
      <c r="G401" s="695"/>
      <c r="H401" s="695"/>
      <c r="I401" s="695"/>
      <c r="J401" s="731"/>
      <c r="K401" s="695"/>
      <c r="L401" s="686"/>
      <c r="M401" s="686"/>
      <c r="N401" s="686"/>
      <c r="O401" s="686"/>
      <c r="P401" s="686"/>
      <c r="Q401" s="666"/>
      <c r="R401" s="686"/>
      <c r="S401" s="686"/>
      <c r="T401" s="688"/>
      <c r="U401" s="688"/>
      <c r="V401" s="686"/>
      <c r="W401" s="686"/>
      <c r="X401" s="686"/>
      <c r="Y401" s="686"/>
      <c r="Z401" s="686"/>
      <c r="AA401" s="669"/>
      <c r="AB401" s="695"/>
      <c r="AC401" s="669"/>
    </row>
    <row r="402" ht="18.0" customHeight="1">
      <c r="A402" s="695"/>
      <c r="B402" s="695"/>
      <c r="C402" s="695"/>
      <c r="D402" s="695"/>
      <c r="E402" s="695"/>
      <c r="F402" s="686"/>
      <c r="G402" s="695"/>
      <c r="H402" s="695"/>
      <c r="I402" s="695"/>
      <c r="J402" s="731"/>
      <c r="K402" s="695"/>
      <c r="L402" s="686"/>
      <c r="M402" s="686"/>
      <c r="N402" s="686"/>
      <c r="O402" s="686"/>
      <c r="P402" s="686"/>
      <c r="Q402" s="666"/>
      <c r="R402" s="686"/>
      <c r="S402" s="686"/>
      <c r="T402" s="688"/>
      <c r="U402" s="688"/>
      <c r="V402" s="686"/>
      <c r="W402" s="686"/>
      <c r="X402" s="686"/>
      <c r="Y402" s="686"/>
      <c r="Z402" s="686"/>
      <c r="AA402" s="669"/>
      <c r="AB402" s="695"/>
      <c r="AC402" s="669"/>
    </row>
    <row r="403" ht="18.0" customHeight="1">
      <c r="A403" s="695"/>
      <c r="B403" s="695"/>
      <c r="C403" s="695"/>
      <c r="D403" s="695"/>
      <c r="E403" s="695"/>
      <c r="F403" s="686"/>
      <c r="G403" s="695"/>
      <c r="H403" s="695"/>
      <c r="I403" s="695"/>
      <c r="J403" s="731"/>
      <c r="K403" s="695"/>
      <c r="L403" s="686"/>
      <c r="M403" s="686"/>
      <c r="N403" s="686"/>
      <c r="O403" s="686"/>
      <c r="P403" s="686"/>
      <c r="Q403" s="666"/>
      <c r="R403" s="686"/>
      <c r="S403" s="686"/>
      <c r="T403" s="688"/>
      <c r="U403" s="688"/>
      <c r="V403" s="686"/>
      <c r="W403" s="686"/>
      <c r="X403" s="686"/>
      <c r="Y403" s="686"/>
      <c r="Z403" s="686"/>
      <c r="AA403" s="669"/>
      <c r="AB403" s="695"/>
      <c r="AC403" s="669"/>
    </row>
    <row r="404" ht="18.0" customHeight="1">
      <c r="A404" s="695"/>
      <c r="B404" s="695"/>
      <c r="C404" s="695"/>
      <c r="D404" s="695"/>
      <c r="E404" s="695"/>
      <c r="F404" s="686"/>
      <c r="G404" s="695"/>
      <c r="H404" s="695"/>
      <c r="I404" s="695"/>
      <c r="J404" s="731"/>
      <c r="K404" s="695"/>
      <c r="L404" s="686"/>
      <c r="M404" s="686"/>
      <c r="N404" s="686"/>
      <c r="O404" s="686"/>
      <c r="P404" s="686"/>
      <c r="Q404" s="666"/>
      <c r="R404" s="686"/>
      <c r="S404" s="686"/>
      <c r="T404" s="688"/>
      <c r="U404" s="688"/>
      <c r="V404" s="686"/>
      <c r="W404" s="686"/>
      <c r="X404" s="686"/>
      <c r="Y404" s="686"/>
      <c r="Z404" s="686"/>
      <c r="AA404" s="669"/>
      <c r="AB404" s="695"/>
      <c r="AC404" s="669"/>
    </row>
    <row r="405" ht="18.0" customHeight="1">
      <c r="A405" s="695"/>
      <c r="B405" s="695"/>
      <c r="C405" s="695"/>
      <c r="D405" s="695"/>
      <c r="E405" s="695"/>
      <c r="F405" s="686"/>
      <c r="G405" s="695"/>
      <c r="H405" s="695"/>
      <c r="I405" s="695"/>
      <c r="J405" s="731"/>
      <c r="K405" s="695"/>
      <c r="L405" s="686"/>
      <c r="M405" s="686"/>
      <c r="N405" s="686"/>
      <c r="O405" s="686"/>
      <c r="P405" s="686"/>
      <c r="Q405" s="666"/>
      <c r="R405" s="686"/>
      <c r="S405" s="686"/>
      <c r="T405" s="688"/>
      <c r="U405" s="688"/>
      <c r="V405" s="686"/>
      <c r="W405" s="686"/>
      <c r="X405" s="686"/>
      <c r="Y405" s="686"/>
      <c r="Z405" s="686"/>
      <c r="AA405" s="669"/>
      <c r="AB405" s="695"/>
      <c r="AC405" s="669"/>
    </row>
    <row r="406" ht="18.0" customHeight="1">
      <c r="A406" s="695"/>
      <c r="B406" s="695"/>
      <c r="C406" s="695"/>
      <c r="D406" s="695"/>
      <c r="E406" s="695"/>
      <c r="F406" s="686"/>
      <c r="G406" s="695"/>
      <c r="H406" s="695"/>
      <c r="I406" s="695"/>
      <c r="J406" s="731"/>
      <c r="K406" s="695"/>
      <c r="L406" s="686"/>
      <c r="M406" s="686"/>
      <c r="N406" s="686"/>
      <c r="O406" s="686"/>
      <c r="P406" s="686"/>
      <c r="Q406" s="666"/>
      <c r="R406" s="686"/>
      <c r="S406" s="686"/>
      <c r="T406" s="688"/>
      <c r="U406" s="688"/>
      <c r="V406" s="686"/>
      <c r="W406" s="686"/>
      <c r="X406" s="686"/>
      <c r="Y406" s="686"/>
      <c r="Z406" s="686"/>
      <c r="AA406" s="669"/>
      <c r="AB406" s="695"/>
      <c r="AC406" s="669"/>
    </row>
    <row r="407" ht="18.0" customHeight="1">
      <c r="A407" s="695"/>
      <c r="B407" s="695"/>
      <c r="C407" s="695"/>
      <c r="D407" s="695"/>
      <c r="E407" s="695"/>
      <c r="F407" s="686"/>
      <c r="G407" s="695"/>
      <c r="H407" s="695"/>
      <c r="I407" s="695"/>
      <c r="J407" s="731"/>
      <c r="K407" s="695"/>
      <c r="L407" s="686"/>
      <c r="M407" s="686"/>
      <c r="N407" s="686"/>
      <c r="O407" s="686"/>
      <c r="P407" s="686"/>
      <c r="Q407" s="666"/>
      <c r="R407" s="686"/>
      <c r="S407" s="686"/>
      <c r="T407" s="688"/>
      <c r="U407" s="688"/>
      <c r="V407" s="686"/>
      <c r="W407" s="686"/>
      <c r="X407" s="686"/>
      <c r="Y407" s="686"/>
      <c r="Z407" s="686"/>
      <c r="AA407" s="669"/>
      <c r="AB407" s="695"/>
      <c r="AC407" s="669"/>
    </row>
    <row r="408" ht="18.0" customHeight="1">
      <c r="A408" s="695"/>
      <c r="B408" s="695"/>
      <c r="C408" s="695"/>
      <c r="D408" s="695"/>
      <c r="E408" s="695"/>
      <c r="F408" s="686"/>
      <c r="G408" s="695"/>
      <c r="H408" s="695"/>
      <c r="I408" s="695"/>
      <c r="J408" s="731"/>
      <c r="K408" s="695"/>
      <c r="L408" s="686"/>
      <c r="M408" s="686"/>
      <c r="N408" s="686"/>
      <c r="O408" s="686"/>
      <c r="P408" s="686"/>
      <c r="Q408" s="666"/>
      <c r="R408" s="686"/>
      <c r="S408" s="686"/>
      <c r="T408" s="688"/>
      <c r="U408" s="688"/>
      <c r="V408" s="686"/>
      <c r="W408" s="686"/>
      <c r="X408" s="686"/>
      <c r="Y408" s="686"/>
      <c r="Z408" s="686"/>
      <c r="AA408" s="669"/>
      <c r="AB408" s="695"/>
      <c r="AC408" s="669"/>
    </row>
    <row r="409" ht="18.0" customHeight="1">
      <c r="A409" s="695"/>
      <c r="B409" s="695"/>
      <c r="C409" s="695"/>
      <c r="D409" s="695"/>
      <c r="E409" s="695"/>
      <c r="F409" s="686"/>
      <c r="G409" s="695"/>
      <c r="H409" s="695"/>
      <c r="I409" s="695"/>
      <c r="J409" s="731"/>
      <c r="K409" s="695"/>
      <c r="L409" s="686"/>
      <c r="M409" s="686"/>
      <c r="N409" s="686"/>
      <c r="O409" s="686"/>
      <c r="P409" s="686"/>
      <c r="Q409" s="666"/>
      <c r="R409" s="686"/>
      <c r="S409" s="686"/>
      <c r="T409" s="688"/>
      <c r="U409" s="688"/>
      <c r="V409" s="686"/>
      <c r="W409" s="686"/>
      <c r="X409" s="686"/>
      <c r="Y409" s="686"/>
      <c r="Z409" s="686"/>
      <c r="AA409" s="669"/>
      <c r="AB409" s="695"/>
      <c r="AC409" s="669"/>
    </row>
    <row r="410" ht="18.0" customHeight="1">
      <c r="A410" s="695"/>
      <c r="B410" s="695"/>
      <c r="C410" s="695"/>
      <c r="D410" s="695"/>
      <c r="E410" s="695"/>
      <c r="F410" s="686"/>
      <c r="G410" s="695"/>
      <c r="H410" s="695"/>
      <c r="I410" s="695"/>
      <c r="J410" s="731"/>
      <c r="K410" s="695"/>
      <c r="L410" s="686"/>
      <c r="M410" s="686"/>
      <c r="N410" s="686"/>
      <c r="O410" s="686"/>
      <c r="P410" s="686"/>
      <c r="Q410" s="666"/>
      <c r="R410" s="686"/>
      <c r="S410" s="686"/>
      <c r="T410" s="688"/>
      <c r="U410" s="688"/>
      <c r="V410" s="686"/>
      <c r="W410" s="686"/>
      <c r="X410" s="686"/>
      <c r="Y410" s="686"/>
      <c r="Z410" s="686"/>
      <c r="AA410" s="669"/>
      <c r="AB410" s="695"/>
      <c r="AC410" s="669"/>
    </row>
    <row r="411" ht="18.0" customHeight="1">
      <c r="A411" s="695"/>
      <c r="B411" s="695"/>
      <c r="C411" s="695"/>
      <c r="D411" s="695"/>
      <c r="E411" s="695"/>
      <c r="F411" s="686"/>
      <c r="G411" s="695"/>
      <c r="H411" s="695"/>
      <c r="I411" s="695"/>
      <c r="J411" s="731"/>
      <c r="K411" s="695"/>
      <c r="L411" s="686"/>
      <c r="M411" s="686"/>
      <c r="N411" s="686"/>
      <c r="O411" s="686"/>
      <c r="P411" s="686"/>
      <c r="Q411" s="666"/>
      <c r="R411" s="686"/>
      <c r="S411" s="686"/>
      <c r="T411" s="688"/>
      <c r="U411" s="688"/>
      <c r="V411" s="686"/>
      <c r="W411" s="686"/>
      <c r="X411" s="686"/>
      <c r="Y411" s="686"/>
      <c r="Z411" s="686"/>
      <c r="AA411" s="669"/>
      <c r="AB411" s="695"/>
      <c r="AC411" s="669"/>
    </row>
    <row r="412" ht="18.0" customHeight="1">
      <c r="A412" s="695"/>
      <c r="B412" s="695"/>
      <c r="C412" s="695"/>
      <c r="D412" s="695"/>
      <c r="E412" s="695"/>
      <c r="F412" s="686"/>
      <c r="G412" s="695"/>
      <c r="H412" s="695"/>
      <c r="I412" s="695"/>
      <c r="J412" s="731"/>
      <c r="K412" s="695"/>
      <c r="L412" s="686"/>
      <c r="M412" s="686"/>
      <c r="N412" s="686"/>
      <c r="O412" s="686"/>
      <c r="P412" s="686"/>
      <c r="Q412" s="666"/>
      <c r="R412" s="686"/>
      <c r="S412" s="686"/>
      <c r="T412" s="688"/>
      <c r="U412" s="688"/>
      <c r="V412" s="686"/>
      <c r="W412" s="686"/>
      <c r="X412" s="686"/>
      <c r="Y412" s="686"/>
      <c r="Z412" s="686"/>
      <c r="AA412" s="669"/>
      <c r="AB412" s="695"/>
      <c r="AC412" s="669"/>
    </row>
    <row r="413" ht="18.0" customHeight="1">
      <c r="A413" s="695"/>
      <c r="B413" s="695"/>
      <c r="C413" s="695"/>
      <c r="D413" s="695"/>
      <c r="E413" s="695"/>
      <c r="F413" s="686"/>
      <c r="G413" s="695"/>
      <c r="H413" s="695"/>
      <c r="I413" s="695"/>
      <c r="J413" s="731"/>
      <c r="K413" s="695"/>
      <c r="L413" s="686"/>
      <c r="M413" s="686"/>
      <c r="N413" s="686"/>
      <c r="O413" s="686"/>
      <c r="P413" s="686"/>
      <c r="Q413" s="666"/>
      <c r="R413" s="686"/>
      <c r="S413" s="686"/>
      <c r="T413" s="688"/>
      <c r="U413" s="688"/>
      <c r="V413" s="686"/>
      <c r="W413" s="686"/>
      <c r="X413" s="686"/>
      <c r="Y413" s="686"/>
      <c r="Z413" s="686"/>
      <c r="AA413" s="669"/>
      <c r="AB413" s="695"/>
      <c r="AC413" s="669"/>
    </row>
    <row r="414" ht="18.0" customHeight="1">
      <c r="A414" s="695"/>
      <c r="B414" s="695"/>
      <c r="C414" s="695"/>
      <c r="D414" s="695"/>
      <c r="E414" s="695"/>
      <c r="F414" s="686"/>
      <c r="G414" s="695"/>
      <c r="H414" s="695"/>
      <c r="I414" s="695"/>
      <c r="J414" s="731"/>
      <c r="K414" s="695"/>
      <c r="L414" s="686"/>
      <c r="M414" s="686"/>
      <c r="N414" s="686"/>
      <c r="O414" s="686"/>
      <c r="P414" s="686"/>
      <c r="Q414" s="666"/>
      <c r="R414" s="686"/>
      <c r="S414" s="686"/>
      <c r="T414" s="688"/>
      <c r="U414" s="688"/>
      <c r="V414" s="686"/>
      <c r="W414" s="686"/>
      <c r="X414" s="686"/>
      <c r="Y414" s="686"/>
      <c r="Z414" s="686"/>
      <c r="AA414" s="669"/>
      <c r="AB414" s="695"/>
      <c r="AC414" s="669"/>
    </row>
    <row r="415" ht="18.0" customHeight="1">
      <c r="A415" s="695"/>
      <c r="B415" s="695"/>
      <c r="C415" s="695"/>
      <c r="D415" s="695"/>
      <c r="E415" s="695"/>
      <c r="F415" s="686"/>
      <c r="G415" s="695"/>
      <c r="H415" s="695"/>
      <c r="I415" s="695"/>
      <c r="J415" s="731"/>
      <c r="K415" s="695"/>
      <c r="L415" s="686"/>
      <c r="M415" s="686"/>
      <c r="N415" s="686"/>
      <c r="O415" s="686"/>
      <c r="P415" s="686"/>
      <c r="Q415" s="666"/>
      <c r="R415" s="686"/>
      <c r="S415" s="686"/>
      <c r="T415" s="688"/>
      <c r="U415" s="688"/>
      <c r="V415" s="686"/>
      <c r="W415" s="686"/>
      <c r="X415" s="686"/>
      <c r="Y415" s="686"/>
      <c r="Z415" s="686"/>
      <c r="AA415" s="669"/>
      <c r="AB415" s="695"/>
      <c r="AC415" s="669"/>
    </row>
    <row r="416" ht="18.0" customHeight="1">
      <c r="A416" s="695"/>
      <c r="B416" s="695"/>
      <c r="C416" s="695"/>
      <c r="D416" s="695"/>
      <c r="E416" s="695"/>
      <c r="F416" s="686"/>
      <c r="G416" s="695"/>
      <c r="H416" s="695"/>
      <c r="I416" s="695"/>
      <c r="J416" s="731"/>
      <c r="K416" s="695"/>
      <c r="L416" s="686"/>
      <c r="M416" s="686"/>
      <c r="N416" s="686"/>
      <c r="O416" s="686"/>
      <c r="P416" s="686"/>
      <c r="Q416" s="666"/>
      <c r="R416" s="686"/>
      <c r="S416" s="686"/>
      <c r="T416" s="688"/>
      <c r="U416" s="688"/>
      <c r="V416" s="686"/>
      <c r="W416" s="686"/>
      <c r="X416" s="686"/>
      <c r="Y416" s="686"/>
      <c r="Z416" s="686"/>
      <c r="AA416" s="669"/>
      <c r="AB416" s="695"/>
      <c r="AC416" s="669"/>
    </row>
    <row r="417" ht="18.0" customHeight="1">
      <c r="A417" s="695"/>
      <c r="B417" s="695"/>
      <c r="C417" s="695"/>
      <c r="D417" s="695"/>
      <c r="E417" s="695"/>
      <c r="F417" s="686"/>
      <c r="G417" s="695"/>
      <c r="H417" s="695"/>
      <c r="I417" s="695"/>
      <c r="J417" s="731"/>
      <c r="K417" s="695"/>
      <c r="L417" s="686"/>
      <c r="M417" s="686"/>
      <c r="N417" s="686"/>
      <c r="O417" s="686"/>
      <c r="P417" s="686"/>
      <c r="Q417" s="666"/>
      <c r="R417" s="686"/>
      <c r="S417" s="686"/>
      <c r="T417" s="688"/>
      <c r="U417" s="688"/>
      <c r="V417" s="686"/>
      <c r="W417" s="686"/>
      <c r="X417" s="686"/>
      <c r="Y417" s="686"/>
      <c r="Z417" s="686"/>
      <c r="AA417" s="669"/>
      <c r="AB417" s="695"/>
      <c r="AC417" s="669"/>
    </row>
    <row r="418" ht="18.0" customHeight="1">
      <c r="A418" s="695"/>
      <c r="B418" s="695"/>
      <c r="C418" s="695"/>
      <c r="D418" s="695"/>
      <c r="E418" s="695"/>
      <c r="F418" s="686"/>
      <c r="G418" s="695"/>
      <c r="H418" s="695"/>
      <c r="I418" s="695"/>
      <c r="J418" s="731"/>
      <c r="K418" s="695"/>
      <c r="L418" s="686"/>
      <c r="M418" s="686"/>
      <c r="N418" s="686"/>
      <c r="O418" s="686"/>
      <c r="P418" s="686"/>
      <c r="Q418" s="666"/>
      <c r="R418" s="686"/>
      <c r="S418" s="686"/>
      <c r="T418" s="688"/>
      <c r="U418" s="688"/>
      <c r="V418" s="686"/>
      <c r="W418" s="686"/>
      <c r="X418" s="686"/>
      <c r="Y418" s="686"/>
      <c r="Z418" s="686"/>
      <c r="AA418" s="669"/>
      <c r="AB418" s="695"/>
      <c r="AC418" s="669"/>
    </row>
    <row r="419" ht="18.0" customHeight="1">
      <c r="A419" s="695"/>
      <c r="B419" s="695"/>
      <c r="C419" s="695"/>
      <c r="D419" s="695"/>
      <c r="E419" s="695"/>
      <c r="F419" s="686"/>
      <c r="G419" s="695"/>
      <c r="H419" s="695"/>
      <c r="I419" s="695"/>
      <c r="J419" s="731"/>
      <c r="K419" s="695"/>
      <c r="L419" s="686"/>
      <c r="M419" s="686"/>
      <c r="N419" s="686"/>
      <c r="O419" s="686"/>
      <c r="P419" s="686"/>
      <c r="Q419" s="666"/>
      <c r="R419" s="686"/>
      <c r="S419" s="686"/>
      <c r="T419" s="688"/>
      <c r="U419" s="688"/>
      <c r="V419" s="686"/>
      <c r="W419" s="686"/>
      <c r="X419" s="686"/>
      <c r="Y419" s="686"/>
      <c r="Z419" s="686"/>
      <c r="AA419" s="669"/>
      <c r="AB419" s="695"/>
      <c r="AC419" s="669"/>
    </row>
    <row r="420" ht="18.0" customHeight="1">
      <c r="A420" s="695"/>
      <c r="B420" s="695"/>
      <c r="C420" s="695"/>
      <c r="D420" s="695"/>
      <c r="E420" s="695"/>
      <c r="F420" s="686"/>
      <c r="G420" s="695"/>
      <c r="H420" s="695"/>
      <c r="I420" s="695"/>
      <c r="J420" s="731"/>
      <c r="K420" s="695"/>
      <c r="L420" s="686"/>
      <c r="M420" s="686"/>
      <c r="N420" s="686"/>
      <c r="O420" s="686"/>
      <c r="P420" s="686"/>
      <c r="Q420" s="666"/>
      <c r="R420" s="686"/>
      <c r="S420" s="686"/>
      <c r="T420" s="688"/>
      <c r="U420" s="688"/>
      <c r="V420" s="686"/>
      <c r="W420" s="686"/>
      <c r="X420" s="686"/>
      <c r="Y420" s="686"/>
      <c r="Z420" s="686"/>
      <c r="AA420" s="669"/>
      <c r="AB420" s="695"/>
      <c r="AC420" s="669"/>
    </row>
    <row r="421" ht="18.0" customHeight="1">
      <c r="A421" s="695"/>
      <c r="B421" s="695"/>
      <c r="C421" s="695"/>
      <c r="D421" s="695"/>
      <c r="E421" s="695"/>
      <c r="F421" s="686"/>
      <c r="G421" s="695"/>
      <c r="H421" s="695"/>
      <c r="I421" s="695"/>
      <c r="J421" s="731"/>
      <c r="K421" s="695"/>
      <c r="L421" s="686"/>
      <c r="M421" s="686"/>
      <c r="N421" s="686"/>
      <c r="O421" s="686"/>
      <c r="P421" s="686"/>
      <c r="Q421" s="666"/>
      <c r="R421" s="686"/>
      <c r="S421" s="686"/>
      <c r="T421" s="688"/>
      <c r="U421" s="688"/>
      <c r="V421" s="686"/>
      <c r="W421" s="686"/>
      <c r="X421" s="686"/>
      <c r="Y421" s="686"/>
      <c r="Z421" s="686"/>
      <c r="AA421" s="669"/>
      <c r="AB421" s="695"/>
      <c r="AC421" s="669"/>
    </row>
    <row r="422" ht="18.0" customHeight="1">
      <c r="A422" s="695"/>
      <c r="B422" s="695"/>
      <c r="C422" s="695"/>
      <c r="D422" s="695"/>
      <c r="E422" s="695"/>
      <c r="F422" s="686"/>
      <c r="G422" s="695"/>
      <c r="H422" s="695"/>
      <c r="I422" s="695"/>
      <c r="J422" s="731"/>
      <c r="K422" s="695"/>
      <c r="L422" s="686"/>
      <c r="M422" s="686"/>
      <c r="N422" s="686"/>
      <c r="O422" s="686"/>
      <c r="P422" s="686"/>
      <c r="Q422" s="666"/>
      <c r="R422" s="686"/>
      <c r="S422" s="686"/>
      <c r="T422" s="688"/>
      <c r="U422" s="688"/>
      <c r="V422" s="686"/>
      <c r="W422" s="686"/>
      <c r="X422" s="686"/>
      <c r="Y422" s="686"/>
      <c r="Z422" s="686"/>
      <c r="AA422" s="669"/>
      <c r="AB422" s="695"/>
      <c r="AC422" s="669"/>
    </row>
    <row r="423" ht="18.0" customHeight="1">
      <c r="A423" s="695"/>
      <c r="B423" s="695"/>
      <c r="C423" s="695"/>
      <c r="D423" s="695"/>
      <c r="E423" s="695"/>
      <c r="F423" s="686"/>
      <c r="G423" s="695"/>
      <c r="H423" s="695"/>
      <c r="I423" s="695"/>
      <c r="J423" s="731"/>
      <c r="K423" s="695"/>
      <c r="L423" s="686"/>
      <c r="M423" s="686"/>
      <c r="N423" s="686"/>
      <c r="O423" s="686"/>
      <c r="P423" s="686"/>
      <c r="Q423" s="666"/>
      <c r="R423" s="686"/>
      <c r="S423" s="686"/>
      <c r="T423" s="688"/>
      <c r="U423" s="688"/>
      <c r="V423" s="686"/>
      <c r="W423" s="686"/>
      <c r="X423" s="686"/>
      <c r="Y423" s="686"/>
      <c r="Z423" s="686"/>
      <c r="AA423" s="669"/>
      <c r="AB423" s="695"/>
      <c r="AC423" s="669"/>
    </row>
    <row r="424" ht="18.0" customHeight="1">
      <c r="A424" s="695"/>
      <c r="B424" s="695"/>
      <c r="C424" s="695"/>
      <c r="D424" s="695"/>
      <c r="E424" s="695"/>
      <c r="F424" s="686"/>
      <c r="G424" s="695"/>
      <c r="H424" s="695"/>
      <c r="I424" s="695"/>
      <c r="J424" s="731"/>
      <c r="K424" s="695"/>
      <c r="L424" s="686"/>
      <c r="M424" s="686"/>
      <c r="N424" s="686"/>
      <c r="O424" s="686"/>
      <c r="P424" s="686"/>
      <c r="Q424" s="666"/>
      <c r="R424" s="686"/>
      <c r="S424" s="686"/>
      <c r="T424" s="688"/>
      <c r="U424" s="688"/>
      <c r="V424" s="686"/>
      <c r="W424" s="686"/>
      <c r="X424" s="686"/>
      <c r="Y424" s="686"/>
      <c r="Z424" s="686"/>
      <c r="AA424" s="669"/>
      <c r="AB424" s="695"/>
      <c r="AC424" s="669"/>
    </row>
    <row r="425" ht="18.0" customHeight="1">
      <c r="A425" s="695"/>
      <c r="B425" s="695"/>
      <c r="C425" s="695"/>
      <c r="D425" s="695"/>
      <c r="E425" s="695"/>
      <c r="F425" s="686"/>
      <c r="G425" s="695"/>
      <c r="H425" s="695"/>
      <c r="I425" s="695"/>
      <c r="J425" s="731"/>
      <c r="K425" s="695"/>
      <c r="L425" s="686"/>
      <c r="M425" s="686"/>
      <c r="N425" s="686"/>
      <c r="O425" s="686"/>
      <c r="P425" s="686"/>
      <c r="Q425" s="666"/>
      <c r="R425" s="686"/>
      <c r="S425" s="686"/>
      <c r="T425" s="688"/>
      <c r="U425" s="688"/>
      <c r="V425" s="686"/>
      <c r="W425" s="686"/>
      <c r="X425" s="686"/>
      <c r="Y425" s="686"/>
      <c r="Z425" s="686"/>
      <c r="AA425" s="669"/>
      <c r="AB425" s="695"/>
      <c r="AC425" s="669"/>
    </row>
    <row r="426" ht="18.0" customHeight="1">
      <c r="A426" s="695"/>
      <c r="B426" s="695"/>
      <c r="C426" s="695"/>
      <c r="D426" s="695"/>
      <c r="E426" s="695"/>
      <c r="F426" s="686"/>
      <c r="G426" s="695"/>
      <c r="H426" s="695"/>
      <c r="I426" s="695"/>
      <c r="J426" s="731"/>
      <c r="K426" s="695"/>
      <c r="L426" s="686"/>
      <c r="M426" s="686"/>
      <c r="N426" s="686"/>
      <c r="O426" s="686"/>
      <c r="P426" s="686"/>
      <c r="Q426" s="666"/>
      <c r="R426" s="686"/>
      <c r="S426" s="686"/>
      <c r="T426" s="688"/>
      <c r="U426" s="688"/>
      <c r="V426" s="686"/>
      <c r="W426" s="686"/>
      <c r="X426" s="686"/>
      <c r="Y426" s="686"/>
      <c r="Z426" s="686"/>
      <c r="AA426" s="669"/>
      <c r="AB426" s="695"/>
      <c r="AC426" s="669"/>
    </row>
    <row r="427" ht="18.0" customHeight="1">
      <c r="A427" s="695"/>
      <c r="B427" s="695"/>
      <c r="C427" s="695"/>
      <c r="D427" s="695"/>
      <c r="E427" s="695"/>
      <c r="F427" s="686"/>
      <c r="G427" s="695"/>
      <c r="H427" s="695"/>
      <c r="I427" s="695"/>
      <c r="J427" s="731"/>
      <c r="K427" s="695"/>
      <c r="L427" s="686"/>
      <c r="M427" s="686"/>
      <c r="N427" s="686"/>
      <c r="O427" s="686"/>
      <c r="P427" s="686"/>
      <c r="Q427" s="666"/>
      <c r="R427" s="686"/>
      <c r="S427" s="686"/>
      <c r="T427" s="688"/>
      <c r="U427" s="688"/>
      <c r="V427" s="686"/>
      <c r="W427" s="686"/>
      <c r="X427" s="686"/>
      <c r="Y427" s="686"/>
      <c r="Z427" s="686"/>
      <c r="AA427" s="669"/>
      <c r="AB427" s="695"/>
      <c r="AC427" s="669"/>
    </row>
    <row r="428" ht="18.0" customHeight="1">
      <c r="A428" s="695"/>
      <c r="B428" s="695"/>
      <c r="C428" s="695"/>
      <c r="D428" s="695"/>
      <c r="E428" s="695"/>
      <c r="F428" s="686"/>
      <c r="G428" s="695"/>
      <c r="H428" s="695"/>
      <c r="I428" s="695"/>
      <c r="J428" s="731"/>
      <c r="K428" s="695"/>
      <c r="L428" s="686"/>
      <c r="M428" s="686"/>
      <c r="N428" s="686"/>
      <c r="O428" s="686"/>
      <c r="P428" s="686"/>
      <c r="Q428" s="666"/>
      <c r="R428" s="686"/>
      <c r="S428" s="686"/>
      <c r="T428" s="688"/>
      <c r="U428" s="688"/>
      <c r="V428" s="686"/>
      <c r="W428" s="686"/>
      <c r="X428" s="686"/>
      <c r="Y428" s="686"/>
      <c r="Z428" s="686"/>
      <c r="AA428" s="669"/>
      <c r="AB428" s="695"/>
      <c r="AC428" s="669"/>
    </row>
    <row r="429" ht="18.0" customHeight="1">
      <c r="A429" s="695"/>
      <c r="B429" s="695"/>
      <c r="C429" s="695"/>
      <c r="D429" s="695"/>
      <c r="E429" s="695"/>
      <c r="F429" s="686"/>
      <c r="G429" s="695"/>
      <c r="H429" s="695"/>
      <c r="I429" s="695"/>
      <c r="J429" s="731"/>
      <c r="K429" s="695"/>
      <c r="L429" s="686"/>
      <c r="M429" s="686"/>
      <c r="N429" s="686"/>
      <c r="O429" s="686"/>
      <c r="P429" s="686"/>
      <c r="Q429" s="666"/>
      <c r="R429" s="686"/>
      <c r="S429" s="686"/>
      <c r="T429" s="688"/>
      <c r="U429" s="688"/>
      <c r="V429" s="686"/>
      <c r="W429" s="686"/>
      <c r="X429" s="686"/>
      <c r="Y429" s="686"/>
      <c r="Z429" s="686"/>
      <c r="AA429" s="669"/>
      <c r="AB429" s="695"/>
      <c r="AC429" s="669"/>
    </row>
    <row r="430" ht="18.0" customHeight="1">
      <c r="A430" s="695"/>
      <c r="B430" s="695"/>
      <c r="C430" s="695"/>
      <c r="D430" s="695"/>
      <c r="E430" s="695"/>
      <c r="F430" s="686"/>
      <c r="G430" s="695"/>
      <c r="H430" s="695"/>
      <c r="I430" s="695"/>
      <c r="J430" s="731"/>
      <c r="K430" s="695"/>
      <c r="L430" s="686"/>
      <c r="M430" s="686"/>
      <c r="N430" s="686"/>
      <c r="O430" s="686"/>
      <c r="P430" s="686"/>
      <c r="Q430" s="666"/>
      <c r="R430" s="686"/>
      <c r="S430" s="686"/>
      <c r="T430" s="688"/>
      <c r="U430" s="688"/>
      <c r="V430" s="686"/>
      <c r="W430" s="686"/>
      <c r="X430" s="686"/>
      <c r="Y430" s="686"/>
      <c r="Z430" s="686"/>
      <c r="AA430" s="669"/>
      <c r="AB430" s="695"/>
      <c r="AC430" s="669"/>
    </row>
    <row r="431" ht="18.0" customHeight="1">
      <c r="A431" s="695"/>
      <c r="B431" s="695"/>
      <c r="C431" s="695"/>
      <c r="D431" s="695"/>
      <c r="E431" s="695"/>
      <c r="F431" s="686"/>
      <c r="G431" s="695"/>
      <c r="H431" s="695"/>
      <c r="I431" s="695"/>
      <c r="J431" s="731"/>
      <c r="K431" s="695"/>
      <c r="L431" s="686"/>
      <c r="M431" s="686"/>
      <c r="N431" s="686"/>
      <c r="O431" s="686"/>
      <c r="P431" s="686"/>
      <c r="Q431" s="666"/>
      <c r="R431" s="686"/>
      <c r="S431" s="686"/>
      <c r="T431" s="688"/>
      <c r="U431" s="688"/>
      <c r="V431" s="686"/>
      <c r="W431" s="686"/>
      <c r="X431" s="686"/>
      <c r="Y431" s="686"/>
      <c r="Z431" s="686"/>
      <c r="AA431" s="669"/>
      <c r="AB431" s="695"/>
      <c r="AC431" s="669"/>
    </row>
    <row r="432" ht="18.0" customHeight="1">
      <c r="A432" s="695"/>
      <c r="B432" s="695"/>
      <c r="C432" s="695"/>
      <c r="D432" s="695"/>
      <c r="E432" s="695"/>
      <c r="F432" s="686"/>
      <c r="G432" s="695"/>
      <c r="H432" s="695"/>
      <c r="I432" s="695"/>
      <c r="J432" s="731"/>
      <c r="K432" s="695"/>
      <c r="L432" s="686"/>
      <c r="M432" s="686"/>
      <c r="N432" s="686"/>
      <c r="O432" s="686"/>
      <c r="P432" s="686"/>
      <c r="Q432" s="666"/>
      <c r="R432" s="686"/>
      <c r="S432" s="686"/>
      <c r="T432" s="688"/>
      <c r="U432" s="688"/>
      <c r="V432" s="686"/>
      <c r="W432" s="686"/>
      <c r="X432" s="686"/>
      <c r="Y432" s="686"/>
      <c r="Z432" s="686"/>
      <c r="AA432" s="669"/>
      <c r="AB432" s="695"/>
      <c r="AC432" s="669"/>
    </row>
    <row r="433" ht="18.0" customHeight="1">
      <c r="A433" s="695"/>
      <c r="B433" s="695"/>
      <c r="C433" s="695"/>
      <c r="D433" s="695"/>
      <c r="E433" s="695"/>
      <c r="F433" s="686"/>
      <c r="G433" s="695"/>
      <c r="H433" s="695"/>
      <c r="I433" s="695"/>
      <c r="J433" s="731"/>
      <c r="K433" s="695"/>
      <c r="L433" s="686"/>
      <c r="M433" s="686"/>
      <c r="N433" s="686"/>
      <c r="O433" s="686"/>
      <c r="P433" s="686"/>
      <c r="Q433" s="666"/>
      <c r="R433" s="686"/>
      <c r="S433" s="686"/>
      <c r="T433" s="688"/>
      <c r="U433" s="688"/>
      <c r="V433" s="686"/>
      <c r="W433" s="686"/>
      <c r="X433" s="686"/>
      <c r="Y433" s="686"/>
      <c r="Z433" s="686"/>
      <c r="AA433" s="669"/>
      <c r="AB433" s="695"/>
      <c r="AC433" s="669"/>
    </row>
    <row r="434" ht="18.0" customHeight="1">
      <c r="A434" s="695"/>
      <c r="B434" s="695"/>
      <c r="C434" s="695"/>
      <c r="D434" s="695"/>
      <c r="E434" s="695"/>
      <c r="F434" s="686"/>
      <c r="G434" s="695"/>
      <c r="H434" s="695"/>
      <c r="I434" s="695"/>
      <c r="J434" s="731"/>
      <c r="K434" s="695"/>
      <c r="L434" s="686"/>
      <c r="M434" s="686"/>
      <c r="N434" s="686"/>
      <c r="O434" s="686"/>
      <c r="P434" s="686"/>
      <c r="Q434" s="666"/>
      <c r="R434" s="686"/>
      <c r="S434" s="686"/>
      <c r="T434" s="688"/>
      <c r="U434" s="688"/>
      <c r="V434" s="686"/>
      <c r="W434" s="686"/>
      <c r="X434" s="686"/>
      <c r="Y434" s="686"/>
      <c r="Z434" s="686"/>
      <c r="AA434" s="669"/>
      <c r="AB434" s="695"/>
      <c r="AC434" s="669"/>
    </row>
    <row r="435" ht="18.0" customHeight="1">
      <c r="A435" s="695"/>
      <c r="B435" s="695"/>
      <c r="C435" s="695"/>
      <c r="D435" s="695"/>
      <c r="E435" s="695"/>
      <c r="F435" s="686"/>
      <c r="G435" s="695"/>
      <c r="H435" s="695"/>
      <c r="I435" s="695"/>
      <c r="J435" s="731"/>
      <c r="K435" s="695"/>
      <c r="L435" s="686"/>
      <c r="M435" s="686"/>
      <c r="N435" s="686"/>
      <c r="O435" s="686"/>
      <c r="P435" s="686"/>
      <c r="Q435" s="666"/>
      <c r="R435" s="686"/>
      <c r="S435" s="686"/>
      <c r="T435" s="688"/>
      <c r="U435" s="688"/>
      <c r="V435" s="686"/>
      <c r="W435" s="686"/>
      <c r="X435" s="686"/>
      <c r="Y435" s="686"/>
      <c r="Z435" s="686"/>
      <c r="AA435" s="669"/>
      <c r="AB435" s="695"/>
      <c r="AC435" s="669"/>
    </row>
    <row r="436" ht="18.0" customHeight="1">
      <c r="A436" s="695"/>
      <c r="B436" s="695"/>
      <c r="C436" s="695"/>
      <c r="D436" s="695"/>
      <c r="E436" s="695"/>
      <c r="F436" s="686"/>
      <c r="G436" s="695"/>
      <c r="H436" s="695"/>
      <c r="I436" s="695"/>
      <c r="J436" s="731"/>
      <c r="K436" s="695"/>
      <c r="L436" s="686"/>
      <c r="M436" s="686"/>
      <c r="N436" s="686"/>
      <c r="O436" s="686"/>
      <c r="P436" s="686"/>
      <c r="Q436" s="666"/>
      <c r="R436" s="686"/>
      <c r="S436" s="686"/>
      <c r="T436" s="688"/>
      <c r="U436" s="688"/>
      <c r="V436" s="686"/>
      <c r="W436" s="686"/>
      <c r="X436" s="686"/>
      <c r="Y436" s="686"/>
      <c r="Z436" s="686"/>
      <c r="AA436" s="669"/>
      <c r="AB436" s="695"/>
      <c r="AC436" s="669"/>
    </row>
    <row r="437" ht="18.0" customHeight="1">
      <c r="A437" s="695"/>
      <c r="B437" s="695"/>
      <c r="C437" s="695"/>
      <c r="D437" s="695"/>
      <c r="E437" s="695"/>
      <c r="F437" s="686"/>
      <c r="G437" s="695"/>
      <c r="H437" s="695"/>
      <c r="I437" s="695"/>
      <c r="J437" s="731"/>
      <c r="K437" s="695"/>
      <c r="L437" s="686"/>
      <c r="M437" s="686"/>
      <c r="N437" s="686"/>
      <c r="O437" s="686"/>
      <c r="P437" s="686"/>
      <c r="Q437" s="666"/>
      <c r="R437" s="686"/>
      <c r="S437" s="686"/>
      <c r="T437" s="688"/>
      <c r="U437" s="688"/>
      <c r="V437" s="686"/>
      <c r="W437" s="686"/>
      <c r="X437" s="686"/>
      <c r="Y437" s="686"/>
      <c r="Z437" s="686"/>
      <c r="AA437" s="669"/>
      <c r="AB437" s="695"/>
      <c r="AC437" s="669"/>
    </row>
    <row r="438" ht="18.0" customHeight="1">
      <c r="A438" s="695"/>
      <c r="B438" s="695"/>
      <c r="C438" s="695"/>
      <c r="D438" s="695"/>
      <c r="E438" s="695"/>
      <c r="F438" s="686"/>
      <c r="G438" s="695"/>
      <c r="H438" s="695"/>
      <c r="I438" s="695"/>
      <c r="J438" s="731"/>
      <c r="K438" s="695"/>
      <c r="L438" s="686"/>
      <c r="M438" s="686"/>
      <c r="N438" s="686"/>
      <c r="O438" s="686"/>
      <c r="P438" s="686"/>
      <c r="Q438" s="666"/>
      <c r="R438" s="686"/>
      <c r="S438" s="686"/>
      <c r="T438" s="688"/>
      <c r="U438" s="688"/>
      <c r="V438" s="686"/>
      <c r="W438" s="686"/>
      <c r="X438" s="686"/>
      <c r="Y438" s="686"/>
      <c r="Z438" s="686"/>
      <c r="AA438" s="669"/>
      <c r="AB438" s="695"/>
      <c r="AC438" s="669"/>
    </row>
    <row r="439" ht="18.0" customHeight="1">
      <c r="A439" s="695"/>
      <c r="B439" s="695"/>
      <c r="C439" s="695"/>
      <c r="D439" s="695"/>
      <c r="E439" s="695"/>
      <c r="F439" s="686"/>
      <c r="G439" s="695"/>
      <c r="H439" s="695"/>
      <c r="I439" s="695"/>
      <c r="J439" s="731"/>
      <c r="K439" s="695"/>
      <c r="L439" s="686"/>
      <c r="M439" s="686"/>
      <c r="N439" s="686"/>
      <c r="O439" s="686"/>
      <c r="P439" s="686"/>
      <c r="Q439" s="666"/>
      <c r="R439" s="686"/>
      <c r="S439" s="686"/>
      <c r="T439" s="688"/>
      <c r="U439" s="688"/>
      <c r="V439" s="686"/>
      <c r="W439" s="686"/>
      <c r="X439" s="686"/>
      <c r="Y439" s="686"/>
      <c r="Z439" s="686"/>
      <c r="AA439" s="669"/>
      <c r="AB439" s="695"/>
      <c r="AC439" s="669"/>
    </row>
    <row r="440" ht="18.0" customHeight="1">
      <c r="A440" s="695"/>
      <c r="B440" s="695"/>
      <c r="C440" s="695"/>
      <c r="D440" s="695"/>
      <c r="E440" s="695"/>
      <c r="F440" s="686"/>
      <c r="G440" s="695"/>
      <c r="H440" s="695"/>
      <c r="I440" s="695"/>
      <c r="J440" s="731"/>
      <c r="K440" s="695"/>
      <c r="L440" s="686"/>
      <c r="M440" s="686"/>
      <c r="N440" s="686"/>
      <c r="O440" s="686"/>
      <c r="P440" s="686"/>
      <c r="Q440" s="666"/>
      <c r="R440" s="686"/>
      <c r="S440" s="686"/>
      <c r="T440" s="688"/>
      <c r="U440" s="688"/>
      <c r="V440" s="686"/>
      <c r="W440" s="686"/>
      <c r="X440" s="686"/>
      <c r="Y440" s="686"/>
      <c r="Z440" s="686"/>
      <c r="AA440" s="669"/>
      <c r="AB440" s="695"/>
      <c r="AC440" s="669"/>
    </row>
    <row r="441" ht="18.0" customHeight="1">
      <c r="A441" s="695"/>
      <c r="B441" s="695"/>
      <c r="C441" s="695"/>
      <c r="D441" s="695"/>
      <c r="E441" s="695"/>
      <c r="F441" s="686"/>
      <c r="G441" s="695"/>
      <c r="H441" s="695"/>
      <c r="I441" s="695"/>
      <c r="J441" s="731"/>
      <c r="K441" s="695"/>
      <c r="L441" s="686"/>
      <c r="M441" s="686"/>
      <c r="N441" s="686"/>
      <c r="O441" s="686"/>
      <c r="P441" s="686"/>
      <c r="Q441" s="666"/>
      <c r="R441" s="686"/>
      <c r="S441" s="686"/>
      <c r="T441" s="688"/>
      <c r="U441" s="688"/>
      <c r="V441" s="686"/>
      <c r="W441" s="686"/>
      <c r="X441" s="686"/>
      <c r="Y441" s="686"/>
      <c r="Z441" s="686"/>
      <c r="AA441" s="669"/>
      <c r="AB441" s="695"/>
      <c r="AC441" s="669"/>
    </row>
    <row r="442" ht="18.0" customHeight="1">
      <c r="A442" s="695"/>
      <c r="B442" s="695"/>
      <c r="C442" s="695"/>
      <c r="D442" s="695"/>
      <c r="E442" s="695"/>
      <c r="F442" s="686"/>
      <c r="G442" s="695"/>
      <c r="H442" s="695"/>
      <c r="I442" s="695"/>
      <c r="J442" s="731"/>
      <c r="K442" s="695"/>
      <c r="L442" s="686"/>
      <c r="M442" s="686"/>
      <c r="N442" s="686"/>
      <c r="O442" s="686"/>
      <c r="P442" s="686"/>
      <c r="Q442" s="666"/>
      <c r="R442" s="686"/>
      <c r="S442" s="686"/>
      <c r="T442" s="688"/>
      <c r="U442" s="688"/>
      <c r="V442" s="686"/>
      <c r="W442" s="686"/>
      <c r="X442" s="686"/>
      <c r="Y442" s="686"/>
      <c r="Z442" s="686"/>
      <c r="AA442" s="669"/>
      <c r="AB442" s="695"/>
      <c r="AC442" s="669"/>
    </row>
    <row r="443" ht="18.0" customHeight="1">
      <c r="A443" s="695"/>
      <c r="B443" s="695"/>
      <c r="C443" s="695"/>
      <c r="D443" s="695"/>
      <c r="E443" s="695"/>
      <c r="F443" s="686"/>
      <c r="G443" s="695"/>
      <c r="H443" s="695"/>
      <c r="I443" s="695"/>
      <c r="J443" s="731"/>
      <c r="K443" s="695"/>
      <c r="L443" s="686"/>
      <c r="M443" s="686"/>
      <c r="N443" s="686"/>
      <c r="O443" s="686"/>
      <c r="P443" s="686"/>
      <c r="Q443" s="666"/>
      <c r="R443" s="686"/>
      <c r="S443" s="686"/>
      <c r="T443" s="688"/>
      <c r="U443" s="688"/>
      <c r="V443" s="686"/>
      <c r="W443" s="686"/>
      <c r="X443" s="686"/>
      <c r="Y443" s="686"/>
      <c r="Z443" s="686"/>
      <c r="AA443" s="669"/>
      <c r="AB443" s="695"/>
      <c r="AC443" s="669"/>
    </row>
    <row r="444" ht="18.0" customHeight="1">
      <c r="A444" s="695"/>
      <c r="B444" s="695"/>
      <c r="C444" s="695"/>
      <c r="D444" s="695"/>
      <c r="E444" s="695"/>
      <c r="F444" s="686"/>
      <c r="G444" s="695"/>
      <c r="H444" s="695"/>
      <c r="I444" s="695"/>
      <c r="J444" s="731"/>
      <c r="K444" s="695"/>
      <c r="L444" s="686"/>
      <c r="M444" s="686"/>
      <c r="N444" s="686"/>
      <c r="O444" s="686"/>
      <c r="P444" s="686"/>
      <c r="Q444" s="666"/>
      <c r="R444" s="686"/>
      <c r="S444" s="686"/>
      <c r="T444" s="688"/>
      <c r="U444" s="688"/>
      <c r="V444" s="686"/>
      <c r="W444" s="686"/>
      <c r="X444" s="686"/>
      <c r="Y444" s="686"/>
      <c r="Z444" s="686"/>
      <c r="AA444" s="669"/>
      <c r="AB444" s="695"/>
      <c r="AC444" s="669"/>
    </row>
    <row r="445" ht="18.0" customHeight="1">
      <c r="A445" s="695"/>
      <c r="B445" s="695"/>
      <c r="C445" s="695"/>
      <c r="D445" s="695"/>
      <c r="E445" s="695"/>
      <c r="F445" s="686"/>
      <c r="G445" s="695"/>
      <c r="H445" s="695"/>
      <c r="I445" s="695"/>
      <c r="J445" s="731"/>
      <c r="K445" s="695"/>
      <c r="L445" s="686"/>
      <c r="M445" s="686"/>
      <c r="N445" s="686"/>
      <c r="O445" s="686"/>
      <c r="P445" s="686"/>
      <c r="Q445" s="666"/>
      <c r="R445" s="686"/>
      <c r="S445" s="686"/>
      <c r="T445" s="688"/>
      <c r="U445" s="688"/>
      <c r="V445" s="686"/>
      <c r="W445" s="686"/>
      <c r="X445" s="686"/>
      <c r="Y445" s="686"/>
      <c r="Z445" s="686"/>
      <c r="AA445" s="669"/>
      <c r="AB445" s="695"/>
      <c r="AC445" s="669"/>
    </row>
    <row r="446" ht="18.0" customHeight="1">
      <c r="A446" s="695"/>
      <c r="B446" s="695"/>
      <c r="C446" s="695"/>
      <c r="D446" s="695"/>
      <c r="E446" s="695"/>
      <c r="F446" s="686"/>
      <c r="G446" s="695"/>
      <c r="H446" s="695"/>
      <c r="I446" s="695"/>
      <c r="J446" s="731"/>
      <c r="K446" s="695"/>
      <c r="L446" s="686"/>
      <c r="M446" s="686"/>
      <c r="N446" s="686"/>
      <c r="O446" s="686"/>
      <c r="P446" s="686"/>
      <c r="Q446" s="666"/>
      <c r="R446" s="686"/>
      <c r="S446" s="686"/>
      <c r="T446" s="688"/>
      <c r="U446" s="688"/>
      <c r="V446" s="686"/>
      <c r="W446" s="686"/>
      <c r="X446" s="686"/>
      <c r="Y446" s="686"/>
      <c r="Z446" s="686"/>
      <c r="AA446" s="669"/>
      <c r="AB446" s="695"/>
      <c r="AC446" s="669"/>
    </row>
    <row r="447" ht="18.0" customHeight="1">
      <c r="A447" s="695"/>
      <c r="B447" s="695"/>
      <c r="C447" s="695"/>
      <c r="D447" s="695"/>
      <c r="E447" s="695"/>
      <c r="F447" s="686"/>
      <c r="G447" s="695"/>
      <c r="H447" s="695"/>
      <c r="I447" s="695"/>
      <c r="J447" s="731"/>
      <c r="K447" s="695"/>
      <c r="L447" s="686"/>
      <c r="M447" s="686"/>
      <c r="N447" s="686"/>
      <c r="O447" s="686"/>
      <c r="P447" s="686"/>
      <c r="Q447" s="666"/>
      <c r="R447" s="686"/>
      <c r="S447" s="686"/>
      <c r="T447" s="688"/>
      <c r="U447" s="688"/>
      <c r="V447" s="686"/>
      <c r="W447" s="686"/>
      <c r="X447" s="686"/>
      <c r="Y447" s="686"/>
      <c r="Z447" s="686"/>
      <c r="AA447" s="669"/>
      <c r="AB447" s="695"/>
      <c r="AC447" s="669"/>
    </row>
    <row r="448" ht="18.0" customHeight="1">
      <c r="A448" s="695"/>
      <c r="B448" s="695"/>
      <c r="C448" s="695"/>
      <c r="D448" s="695"/>
      <c r="E448" s="695"/>
      <c r="F448" s="686"/>
      <c r="G448" s="695"/>
      <c r="H448" s="695"/>
      <c r="I448" s="695"/>
      <c r="J448" s="731"/>
      <c r="K448" s="695"/>
      <c r="L448" s="686"/>
      <c r="M448" s="686"/>
      <c r="N448" s="686"/>
      <c r="O448" s="686"/>
      <c r="P448" s="686"/>
      <c r="Q448" s="666"/>
      <c r="R448" s="686"/>
      <c r="S448" s="686"/>
      <c r="T448" s="688"/>
      <c r="U448" s="688"/>
      <c r="V448" s="686"/>
      <c r="W448" s="686"/>
      <c r="X448" s="686"/>
      <c r="Y448" s="686"/>
      <c r="Z448" s="686"/>
      <c r="AA448" s="669"/>
      <c r="AB448" s="695"/>
      <c r="AC448" s="669"/>
    </row>
    <row r="449" ht="18.0" customHeight="1">
      <c r="A449" s="695"/>
      <c r="B449" s="695"/>
      <c r="C449" s="695"/>
      <c r="D449" s="695"/>
      <c r="E449" s="695"/>
      <c r="F449" s="686"/>
      <c r="G449" s="695"/>
      <c r="H449" s="695"/>
      <c r="I449" s="695"/>
      <c r="J449" s="731"/>
      <c r="K449" s="695"/>
      <c r="L449" s="686"/>
      <c r="M449" s="686"/>
      <c r="N449" s="686"/>
      <c r="O449" s="686"/>
      <c r="P449" s="686"/>
      <c r="Q449" s="666"/>
      <c r="R449" s="686"/>
      <c r="S449" s="686"/>
      <c r="T449" s="688"/>
      <c r="U449" s="688"/>
      <c r="V449" s="686"/>
      <c r="W449" s="686"/>
      <c r="X449" s="686"/>
      <c r="Y449" s="686"/>
      <c r="Z449" s="686"/>
      <c r="AA449" s="669"/>
      <c r="AB449" s="695"/>
      <c r="AC449" s="669"/>
    </row>
    <row r="450" ht="18.0" customHeight="1">
      <c r="A450" s="695"/>
      <c r="B450" s="695"/>
      <c r="C450" s="695"/>
      <c r="D450" s="695"/>
      <c r="E450" s="695"/>
      <c r="F450" s="686"/>
      <c r="G450" s="695"/>
      <c r="H450" s="695"/>
      <c r="I450" s="695"/>
      <c r="J450" s="731"/>
      <c r="K450" s="695"/>
      <c r="L450" s="686"/>
      <c r="M450" s="686"/>
      <c r="N450" s="686"/>
      <c r="O450" s="686"/>
      <c r="P450" s="686"/>
      <c r="Q450" s="666"/>
      <c r="R450" s="686"/>
      <c r="S450" s="686"/>
      <c r="T450" s="688"/>
      <c r="U450" s="688"/>
      <c r="V450" s="686"/>
      <c r="W450" s="686"/>
      <c r="X450" s="686"/>
      <c r="Y450" s="686"/>
      <c r="Z450" s="686"/>
      <c r="AA450" s="669"/>
      <c r="AB450" s="695"/>
      <c r="AC450" s="669"/>
    </row>
    <row r="451" ht="18.0" customHeight="1">
      <c r="A451" s="695"/>
      <c r="B451" s="695"/>
      <c r="C451" s="695"/>
      <c r="D451" s="695"/>
      <c r="E451" s="695"/>
      <c r="F451" s="686"/>
      <c r="G451" s="695"/>
      <c r="H451" s="695"/>
      <c r="I451" s="695"/>
      <c r="J451" s="731"/>
      <c r="K451" s="695"/>
      <c r="L451" s="686"/>
      <c r="M451" s="686"/>
      <c r="N451" s="686"/>
      <c r="O451" s="686"/>
      <c r="P451" s="686"/>
      <c r="Q451" s="666"/>
      <c r="R451" s="686"/>
      <c r="S451" s="686"/>
      <c r="T451" s="688"/>
      <c r="U451" s="688"/>
      <c r="V451" s="686"/>
      <c r="W451" s="686"/>
      <c r="X451" s="686"/>
      <c r="Y451" s="686"/>
      <c r="Z451" s="686"/>
      <c r="AA451" s="669"/>
      <c r="AB451" s="695"/>
      <c r="AC451" s="669"/>
    </row>
    <row r="452" ht="18.0" customHeight="1">
      <c r="A452" s="695"/>
      <c r="B452" s="695"/>
      <c r="C452" s="695"/>
      <c r="D452" s="695"/>
      <c r="E452" s="695"/>
      <c r="F452" s="686"/>
      <c r="G452" s="695"/>
      <c r="H452" s="695"/>
      <c r="I452" s="695"/>
      <c r="J452" s="731"/>
      <c r="K452" s="695"/>
      <c r="L452" s="686"/>
      <c r="M452" s="686"/>
      <c r="N452" s="686"/>
      <c r="O452" s="686"/>
      <c r="P452" s="686"/>
      <c r="Q452" s="666"/>
      <c r="R452" s="686"/>
      <c r="S452" s="686"/>
      <c r="T452" s="688"/>
      <c r="U452" s="688"/>
      <c r="V452" s="686"/>
      <c r="W452" s="686"/>
      <c r="X452" s="686"/>
      <c r="Y452" s="686"/>
      <c r="Z452" s="686"/>
      <c r="AA452" s="669"/>
      <c r="AB452" s="695"/>
      <c r="AC452" s="669"/>
    </row>
    <row r="453" ht="18.0" customHeight="1">
      <c r="A453" s="695"/>
      <c r="B453" s="695"/>
      <c r="C453" s="695"/>
      <c r="D453" s="695"/>
      <c r="E453" s="695"/>
      <c r="F453" s="686"/>
      <c r="G453" s="695"/>
      <c r="H453" s="695"/>
      <c r="I453" s="695"/>
      <c r="J453" s="731"/>
      <c r="K453" s="695"/>
      <c r="L453" s="686"/>
      <c r="M453" s="686"/>
      <c r="N453" s="686"/>
      <c r="O453" s="686"/>
      <c r="P453" s="686"/>
      <c r="Q453" s="666"/>
      <c r="R453" s="686"/>
      <c r="S453" s="686"/>
      <c r="T453" s="688"/>
      <c r="U453" s="688"/>
      <c r="V453" s="686"/>
      <c r="W453" s="686"/>
      <c r="X453" s="686"/>
      <c r="Y453" s="686"/>
      <c r="Z453" s="686"/>
      <c r="AA453" s="669"/>
      <c r="AB453" s="695"/>
      <c r="AC453" s="669"/>
    </row>
    <row r="454" ht="18.0" customHeight="1">
      <c r="A454" s="695"/>
      <c r="B454" s="695"/>
      <c r="C454" s="695"/>
      <c r="D454" s="695"/>
      <c r="E454" s="695"/>
      <c r="F454" s="686"/>
      <c r="G454" s="695"/>
      <c r="H454" s="695"/>
      <c r="I454" s="695"/>
      <c r="J454" s="731"/>
      <c r="K454" s="695"/>
      <c r="L454" s="686"/>
      <c r="M454" s="686"/>
      <c r="N454" s="686"/>
      <c r="O454" s="686"/>
      <c r="P454" s="686"/>
      <c r="Q454" s="666"/>
      <c r="R454" s="686"/>
      <c r="S454" s="686"/>
      <c r="T454" s="688"/>
      <c r="U454" s="688"/>
      <c r="V454" s="686"/>
      <c r="W454" s="686"/>
      <c r="X454" s="686"/>
      <c r="Y454" s="686"/>
      <c r="Z454" s="686"/>
      <c r="AA454" s="669"/>
      <c r="AB454" s="695"/>
      <c r="AC454" s="669"/>
    </row>
    <row r="455" ht="18.0" customHeight="1">
      <c r="A455" s="695"/>
      <c r="B455" s="695"/>
      <c r="C455" s="695"/>
      <c r="D455" s="695"/>
      <c r="E455" s="695"/>
      <c r="F455" s="686"/>
      <c r="G455" s="695"/>
      <c r="H455" s="695"/>
      <c r="I455" s="695"/>
      <c r="J455" s="731"/>
      <c r="K455" s="695"/>
      <c r="L455" s="686"/>
      <c r="M455" s="686"/>
      <c r="N455" s="686"/>
      <c r="O455" s="686"/>
      <c r="P455" s="686"/>
      <c r="Q455" s="666"/>
      <c r="R455" s="686"/>
      <c r="S455" s="686"/>
      <c r="T455" s="688"/>
      <c r="U455" s="688"/>
      <c r="V455" s="686"/>
      <c r="W455" s="686"/>
      <c r="X455" s="686"/>
      <c r="Y455" s="686"/>
      <c r="Z455" s="686"/>
      <c r="AA455" s="669"/>
      <c r="AB455" s="695"/>
      <c r="AC455" s="669"/>
    </row>
    <row r="456" ht="18.0" customHeight="1">
      <c r="A456" s="695"/>
      <c r="B456" s="695"/>
      <c r="C456" s="695"/>
      <c r="D456" s="695"/>
      <c r="E456" s="695"/>
      <c r="F456" s="686"/>
      <c r="G456" s="695"/>
      <c r="H456" s="695"/>
      <c r="I456" s="695"/>
      <c r="J456" s="731"/>
      <c r="K456" s="695"/>
      <c r="L456" s="686"/>
      <c r="M456" s="686"/>
      <c r="N456" s="686"/>
      <c r="O456" s="686"/>
      <c r="P456" s="686"/>
      <c r="Q456" s="666"/>
      <c r="R456" s="686"/>
      <c r="S456" s="686"/>
      <c r="T456" s="688"/>
      <c r="U456" s="688"/>
      <c r="V456" s="686"/>
      <c r="W456" s="686"/>
      <c r="X456" s="686"/>
      <c r="Y456" s="686"/>
      <c r="Z456" s="686"/>
      <c r="AA456" s="669"/>
      <c r="AB456" s="695"/>
      <c r="AC456" s="669"/>
    </row>
    <row r="457" ht="18.0" customHeight="1">
      <c r="A457" s="695"/>
      <c r="B457" s="695"/>
      <c r="C457" s="695"/>
      <c r="D457" s="695"/>
      <c r="E457" s="695"/>
      <c r="F457" s="686"/>
      <c r="G457" s="695"/>
      <c r="H457" s="695"/>
      <c r="I457" s="695"/>
      <c r="J457" s="731"/>
      <c r="K457" s="695"/>
      <c r="L457" s="686"/>
      <c r="M457" s="686"/>
      <c r="N457" s="686"/>
      <c r="O457" s="686"/>
      <c r="P457" s="686"/>
      <c r="Q457" s="666"/>
      <c r="R457" s="686"/>
      <c r="S457" s="686"/>
      <c r="T457" s="688"/>
      <c r="U457" s="688"/>
      <c r="V457" s="686"/>
      <c r="W457" s="686"/>
      <c r="X457" s="686"/>
      <c r="Y457" s="686"/>
      <c r="Z457" s="686"/>
      <c r="AA457" s="669"/>
      <c r="AB457" s="695"/>
      <c r="AC457" s="669"/>
    </row>
    <row r="458" ht="18.0" customHeight="1">
      <c r="A458" s="695"/>
      <c r="B458" s="695"/>
      <c r="C458" s="695"/>
      <c r="D458" s="695"/>
      <c r="E458" s="695"/>
      <c r="F458" s="686"/>
      <c r="G458" s="695"/>
      <c r="H458" s="695"/>
      <c r="I458" s="695"/>
      <c r="J458" s="731"/>
      <c r="K458" s="695"/>
      <c r="L458" s="686"/>
      <c r="M458" s="686"/>
      <c r="N458" s="686"/>
      <c r="O458" s="686"/>
      <c r="P458" s="686"/>
      <c r="Q458" s="666"/>
      <c r="R458" s="686"/>
      <c r="S458" s="686"/>
      <c r="T458" s="688"/>
      <c r="U458" s="688"/>
      <c r="V458" s="686"/>
      <c r="W458" s="686"/>
      <c r="X458" s="686"/>
      <c r="Y458" s="686"/>
      <c r="Z458" s="686"/>
      <c r="AA458" s="669"/>
      <c r="AB458" s="695"/>
      <c r="AC458" s="669"/>
    </row>
    <row r="459" ht="18.0" customHeight="1">
      <c r="A459" s="695"/>
      <c r="B459" s="695"/>
      <c r="C459" s="695"/>
      <c r="D459" s="695"/>
      <c r="E459" s="695"/>
      <c r="F459" s="686"/>
      <c r="G459" s="695"/>
      <c r="H459" s="695"/>
      <c r="I459" s="695"/>
      <c r="J459" s="731"/>
      <c r="K459" s="695"/>
      <c r="L459" s="686"/>
      <c r="M459" s="686"/>
      <c r="N459" s="686"/>
      <c r="O459" s="686"/>
      <c r="P459" s="686"/>
      <c r="Q459" s="666"/>
      <c r="R459" s="686"/>
      <c r="S459" s="686"/>
      <c r="T459" s="688"/>
      <c r="U459" s="688"/>
      <c r="V459" s="686"/>
      <c r="W459" s="686"/>
      <c r="X459" s="686"/>
      <c r="Y459" s="686"/>
      <c r="Z459" s="686"/>
      <c r="AA459" s="669"/>
      <c r="AB459" s="695"/>
      <c r="AC459" s="669"/>
    </row>
    <row r="460" ht="18.0" customHeight="1">
      <c r="A460" s="695"/>
      <c r="B460" s="695"/>
      <c r="C460" s="695"/>
      <c r="D460" s="695"/>
      <c r="E460" s="695"/>
      <c r="F460" s="686"/>
      <c r="G460" s="695"/>
      <c r="H460" s="695"/>
      <c r="I460" s="695"/>
      <c r="J460" s="731"/>
      <c r="K460" s="695"/>
      <c r="L460" s="686"/>
      <c r="M460" s="686"/>
      <c r="N460" s="686"/>
      <c r="O460" s="686"/>
      <c r="P460" s="686"/>
      <c r="Q460" s="666"/>
      <c r="R460" s="686"/>
      <c r="S460" s="686"/>
      <c r="T460" s="688"/>
      <c r="U460" s="688"/>
      <c r="V460" s="686"/>
      <c r="W460" s="686"/>
      <c r="X460" s="686"/>
      <c r="Y460" s="686"/>
      <c r="Z460" s="686"/>
      <c r="AA460" s="669"/>
      <c r="AB460" s="695"/>
      <c r="AC460" s="669"/>
    </row>
    <row r="461" ht="18.0" customHeight="1">
      <c r="A461" s="695"/>
      <c r="B461" s="695"/>
      <c r="C461" s="695"/>
      <c r="D461" s="695"/>
      <c r="E461" s="695"/>
      <c r="F461" s="686"/>
      <c r="G461" s="695"/>
      <c r="H461" s="695"/>
      <c r="I461" s="695"/>
      <c r="J461" s="731"/>
      <c r="K461" s="695"/>
      <c r="L461" s="686"/>
      <c r="M461" s="686"/>
      <c r="N461" s="686"/>
      <c r="O461" s="686"/>
      <c r="P461" s="686"/>
      <c r="Q461" s="666"/>
      <c r="R461" s="686"/>
      <c r="S461" s="686"/>
      <c r="T461" s="688"/>
      <c r="U461" s="688"/>
      <c r="V461" s="686"/>
      <c r="W461" s="686"/>
      <c r="X461" s="686"/>
      <c r="Y461" s="686"/>
      <c r="Z461" s="686"/>
      <c r="AA461" s="669"/>
      <c r="AB461" s="695"/>
      <c r="AC461" s="669"/>
    </row>
    <row r="462" ht="18.0" customHeight="1">
      <c r="A462" s="695"/>
      <c r="B462" s="695"/>
      <c r="C462" s="695"/>
      <c r="D462" s="695"/>
      <c r="E462" s="695"/>
      <c r="F462" s="686"/>
      <c r="G462" s="695"/>
      <c r="H462" s="695"/>
      <c r="I462" s="695"/>
      <c r="J462" s="731"/>
      <c r="K462" s="695"/>
      <c r="L462" s="686"/>
      <c r="M462" s="686"/>
      <c r="N462" s="686"/>
      <c r="O462" s="686"/>
      <c r="P462" s="686"/>
      <c r="Q462" s="666"/>
      <c r="R462" s="686"/>
      <c r="S462" s="686"/>
      <c r="T462" s="688"/>
      <c r="U462" s="688"/>
      <c r="V462" s="686"/>
      <c r="W462" s="686"/>
      <c r="X462" s="686"/>
      <c r="Y462" s="686"/>
      <c r="Z462" s="686"/>
      <c r="AA462" s="669"/>
      <c r="AB462" s="695"/>
      <c r="AC462" s="669"/>
    </row>
    <row r="463" ht="18.0" customHeight="1">
      <c r="A463" s="695"/>
      <c r="B463" s="695"/>
      <c r="C463" s="695"/>
      <c r="D463" s="695"/>
      <c r="E463" s="695"/>
      <c r="F463" s="686"/>
      <c r="G463" s="695"/>
      <c r="H463" s="695"/>
      <c r="I463" s="695"/>
      <c r="J463" s="731"/>
      <c r="K463" s="695"/>
      <c r="L463" s="686"/>
      <c r="M463" s="686"/>
      <c r="N463" s="686"/>
      <c r="O463" s="686"/>
      <c r="P463" s="686"/>
      <c r="Q463" s="666"/>
      <c r="R463" s="686"/>
      <c r="S463" s="686"/>
      <c r="T463" s="688"/>
      <c r="U463" s="688"/>
      <c r="V463" s="686"/>
      <c r="W463" s="686"/>
      <c r="X463" s="686"/>
      <c r="Y463" s="686"/>
      <c r="Z463" s="686"/>
      <c r="AA463" s="669"/>
      <c r="AB463" s="695"/>
      <c r="AC463" s="669"/>
    </row>
    <row r="464" ht="18.0" customHeight="1">
      <c r="A464" s="695"/>
      <c r="B464" s="695"/>
      <c r="C464" s="695"/>
      <c r="D464" s="695"/>
      <c r="E464" s="695"/>
      <c r="F464" s="686"/>
      <c r="G464" s="695"/>
      <c r="H464" s="695"/>
      <c r="I464" s="695"/>
      <c r="J464" s="731"/>
      <c r="K464" s="695"/>
      <c r="L464" s="686"/>
      <c r="M464" s="686"/>
      <c r="N464" s="686"/>
      <c r="O464" s="686"/>
      <c r="P464" s="686"/>
      <c r="Q464" s="666"/>
      <c r="R464" s="686"/>
      <c r="S464" s="686"/>
      <c r="T464" s="688"/>
      <c r="U464" s="688"/>
      <c r="V464" s="686"/>
      <c r="W464" s="686"/>
      <c r="X464" s="686"/>
      <c r="Y464" s="686"/>
      <c r="Z464" s="686"/>
      <c r="AA464" s="669"/>
      <c r="AB464" s="695"/>
      <c r="AC464" s="669"/>
    </row>
    <row r="465" ht="18.0" customHeight="1">
      <c r="A465" s="695"/>
      <c r="B465" s="695"/>
      <c r="C465" s="695"/>
      <c r="D465" s="695"/>
      <c r="E465" s="695"/>
      <c r="F465" s="686"/>
      <c r="G465" s="695"/>
      <c r="H465" s="695"/>
      <c r="I465" s="695"/>
      <c r="J465" s="731"/>
      <c r="K465" s="695"/>
      <c r="L465" s="686"/>
      <c r="M465" s="686"/>
      <c r="N465" s="686"/>
      <c r="O465" s="686"/>
      <c r="P465" s="686"/>
      <c r="Q465" s="666"/>
      <c r="R465" s="686"/>
      <c r="S465" s="686"/>
      <c r="T465" s="688"/>
      <c r="U465" s="688"/>
      <c r="V465" s="686"/>
      <c r="W465" s="686"/>
      <c r="X465" s="686"/>
      <c r="Y465" s="686"/>
      <c r="Z465" s="686"/>
      <c r="AA465" s="669"/>
      <c r="AB465" s="695"/>
      <c r="AC465" s="669"/>
    </row>
    <row r="466" ht="18.0" customHeight="1">
      <c r="A466" s="695"/>
      <c r="B466" s="695"/>
      <c r="C466" s="695"/>
      <c r="D466" s="695"/>
      <c r="E466" s="695"/>
      <c r="F466" s="686"/>
      <c r="G466" s="695"/>
      <c r="H466" s="695"/>
      <c r="I466" s="695"/>
      <c r="J466" s="731"/>
      <c r="K466" s="695"/>
      <c r="L466" s="686"/>
      <c r="M466" s="686"/>
      <c r="N466" s="686"/>
      <c r="O466" s="686"/>
      <c r="P466" s="686"/>
      <c r="Q466" s="666"/>
      <c r="R466" s="686"/>
      <c r="S466" s="686"/>
      <c r="T466" s="688"/>
      <c r="U466" s="688"/>
      <c r="V466" s="686"/>
      <c r="W466" s="686"/>
      <c r="X466" s="686"/>
      <c r="Y466" s="686"/>
      <c r="Z466" s="686"/>
      <c r="AA466" s="669"/>
      <c r="AB466" s="695"/>
      <c r="AC466" s="669"/>
    </row>
    <row r="467" ht="18.0" customHeight="1">
      <c r="A467" s="695"/>
      <c r="B467" s="695"/>
      <c r="C467" s="695"/>
      <c r="D467" s="695"/>
      <c r="E467" s="695"/>
      <c r="F467" s="686"/>
      <c r="G467" s="695"/>
      <c r="H467" s="695"/>
      <c r="I467" s="695"/>
      <c r="J467" s="731"/>
      <c r="K467" s="695"/>
      <c r="L467" s="686"/>
      <c r="M467" s="686"/>
      <c r="N467" s="686"/>
      <c r="O467" s="686"/>
      <c r="P467" s="686"/>
      <c r="Q467" s="666"/>
      <c r="R467" s="686"/>
      <c r="S467" s="686"/>
      <c r="T467" s="688"/>
      <c r="U467" s="688"/>
      <c r="V467" s="686"/>
      <c r="W467" s="686"/>
      <c r="X467" s="686"/>
      <c r="Y467" s="686"/>
      <c r="Z467" s="686"/>
      <c r="AA467" s="669"/>
      <c r="AB467" s="695"/>
      <c r="AC467" s="669"/>
    </row>
    <row r="468" ht="18.0" customHeight="1">
      <c r="A468" s="695"/>
      <c r="B468" s="695"/>
      <c r="C468" s="695"/>
      <c r="D468" s="695"/>
      <c r="E468" s="695"/>
      <c r="F468" s="686"/>
      <c r="G468" s="695"/>
      <c r="H468" s="695"/>
      <c r="I468" s="695"/>
      <c r="J468" s="731"/>
      <c r="K468" s="695"/>
      <c r="L468" s="686"/>
      <c r="M468" s="686"/>
      <c r="N468" s="686"/>
      <c r="O468" s="686"/>
      <c r="P468" s="686"/>
      <c r="Q468" s="666"/>
      <c r="R468" s="686"/>
      <c r="S468" s="686"/>
      <c r="T468" s="688"/>
      <c r="U468" s="688"/>
      <c r="V468" s="686"/>
      <c r="W468" s="686"/>
      <c r="X468" s="686"/>
      <c r="Y468" s="686"/>
      <c r="Z468" s="686"/>
      <c r="AA468" s="669"/>
      <c r="AB468" s="695"/>
      <c r="AC468" s="669"/>
    </row>
    <row r="469" ht="18.0" customHeight="1">
      <c r="A469" s="695"/>
      <c r="B469" s="695"/>
      <c r="C469" s="695"/>
      <c r="D469" s="695"/>
      <c r="E469" s="695"/>
      <c r="F469" s="686"/>
      <c r="G469" s="695"/>
      <c r="H469" s="695"/>
      <c r="I469" s="695"/>
      <c r="J469" s="731"/>
      <c r="K469" s="695"/>
      <c r="L469" s="686"/>
      <c r="M469" s="686"/>
      <c r="N469" s="686"/>
      <c r="O469" s="686"/>
      <c r="P469" s="686"/>
      <c r="Q469" s="666"/>
      <c r="R469" s="686"/>
      <c r="S469" s="686"/>
      <c r="T469" s="688"/>
      <c r="U469" s="688"/>
      <c r="V469" s="686"/>
      <c r="W469" s="686"/>
      <c r="X469" s="686"/>
      <c r="Y469" s="686"/>
      <c r="Z469" s="686"/>
      <c r="AA469" s="669"/>
      <c r="AB469" s="695"/>
      <c r="AC469" s="669"/>
    </row>
    <row r="470" ht="18.0" customHeight="1">
      <c r="A470" s="695"/>
      <c r="B470" s="695"/>
      <c r="C470" s="695"/>
      <c r="D470" s="695"/>
      <c r="E470" s="695"/>
      <c r="F470" s="686"/>
      <c r="G470" s="695"/>
      <c r="H470" s="695"/>
      <c r="I470" s="695"/>
      <c r="J470" s="731"/>
      <c r="K470" s="695"/>
      <c r="L470" s="686"/>
      <c r="M470" s="686"/>
      <c r="N470" s="686"/>
      <c r="O470" s="686"/>
      <c r="P470" s="686"/>
      <c r="Q470" s="666"/>
      <c r="R470" s="686"/>
      <c r="S470" s="686"/>
      <c r="T470" s="688"/>
      <c r="U470" s="688"/>
      <c r="V470" s="686"/>
      <c r="W470" s="686"/>
      <c r="X470" s="686"/>
      <c r="Y470" s="686"/>
      <c r="Z470" s="686"/>
      <c r="AA470" s="669"/>
      <c r="AB470" s="695"/>
      <c r="AC470" s="669"/>
    </row>
    <row r="471" ht="18.0" customHeight="1">
      <c r="A471" s="695"/>
      <c r="B471" s="695"/>
      <c r="C471" s="695"/>
      <c r="D471" s="695"/>
      <c r="E471" s="695"/>
      <c r="F471" s="686"/>
      <c r="G471" s="695"/>
      <c r="H471" s="695"/>
      <c r="I471" s="695"/>
      <c r="J471" s="731"/>
      <c r="K471" s="695"/>
      <c r="L471" s="686"/>
      <c r="M471" s="686"/>
      <c r="N471" s="686"/>
      <c r="O471" s="686"/>
      <c r="P471" s="686"/>
      <c r="Q471" s="666"/>
      <c r="R471" s="686"/>
      <c r="S471" s="686"/>
      <c r="T471" s="688"/>
      <c r="U471" s="688"/>
      <c r="V471" s="686"/>
      <c r="W471" s="686"/>
      <c r="X471" s="686"/>
      <c r="Y471" s="686"/>
      <c r="Z471" s="686"/>
      <c r="AA471" s="669"/>
      <c r="AB471" s="695"/>
      <c r="AC471" s="669"/>
    </row>
    <row r="472" ht="18.0" customHeight="1">
      <c r="A472" s="695"/>
      <c r="B472" s="695"/>
      <c r="C472" s="695"/>
      <c r="D472" s="695"/>
      <c r="E472" s="695"/>
      <c r="F472" s="686"/>
      <c r="G472" s="695"/>
      <c r="H472" s="695"/>
      <c r="I472" s="695"/>
      <c r="J472" s="731"/>
      <c r="K472" s="695"/>
      <c r="L472" s="686"/>
      <c r="M472" s="686"/>
      <c r="N472" s="686"/>
      <c r="O472" s="686"/>
      <c r="P472" s="686"/>
      <c r="Q472" s="666"/>
      <c r="R472" s="686"/>
      <c r="S472" s="686"/>
      <c r="T472" s="688"/>
      <c r="U472" s="688"/>
      <c r="V472" s="686"/>
      <c r="W472" s="686"/>
      <c r="X472" s="686"/>
      <c r="Y472" s="686"/>
      <c r="Z472" s="686"/>
      <c r="AA472" s="669"/>
      <c r="AB472" s="695"/>
      <c r="AC472" s="669"/>
    </row>
    <row r="473" ht="18.0" customHeight="1">
      <c r="A473" s="695"/>
      <c r="B473" s="695"/>
      <c r="C473" s="695"/>
      <c r="D473" s="695"/>
      <c r="E473" s="695"/>
      <c r="F473" s="686"/>
      <c r="G473" s="695"/>
      <c r="H473" s="695"/>
      <c r="I473" s="695"/>
      <c r="J473" s="731"/>
      <c r="K473" s="695"/>
      <c r="L473" s="686"/>
      <c r="M473" s="686"/>
      <c r="N473" s="686"/>
      <c r="O473" s="686"/>
      <c r="P473" s="686"/>
      <c r="Q473" s="666"/>
      <c r="R473" s="686"/>
      <c r="S473" s="686"/>
      <c r="T473" s="688"/>
      <c r="U473" s="688"/>
      <c r="V473" s="686"/>
      <c r="W473" s="686"/>
      <c r="X473" s="686"/>
      <c r="Y473" s="686"/>
      <c r="Z473" s="686"/>
      <c r="AA473" s="669"/>
      <c r="AB473" s="695"/>
      <c r="AC473" s="669"/>
    </row>
    <row r="474" ht="18.0" customHeight="1">
      <c r="A474" s="695"/>
      <c r="B474" s="695"/>
      <c r="C474" s="695"/>
      <c r="D474" s="695"/>
      <c r="E474" s="695"/>
      <c r="F474" s="686"/>
      <c r="G474" s="695"/>
      <c r="H474" s="695"/>
      <c r="I474" s="695"/>
      <c r="J474" s="731"/>
      <c r="K474" s="695"/>
      <c r="L474" s="686"/>
      <c r="M474" s="686"/>
      <c r="N474" s="686"/>
      <c r="O474" s="686"/>
      <c r="P474" s="686"/>
      <c r="Q474" s="666"/>
      <c r="R474" s="686"/>
      <c r="S474" s="686"/>
      <c r="T474" s="688"/>
      <c r="U474" s="688"/>
      <c r="V474" s="686"/>
      <c r="W474" s="686"/>
      <c r="X474" s="686"/>
      <c r="Y474" s="686"/>
      <c r="Z474" s="686"/>
      <c r="AA474" s="669"/>
      <c r="AB474" s="695"/>
      <c r="AC474" s="669"/>
    </row>
    <row r="475" ht="18.0" customHeight="1">
      <c r="A475" s="695"/>
      <c r="B475" s="695"/>
      <c r="C475" s="695"/>
      <c r="D475" s="695"/>
      <c r="E475" s="695"/>
      <c r="F475" s="686"/>
      <c r="G475" s="695"/>
      <c r="H475" s="695"/>
      <c r="I475" s="695"/>
      <c r="J475" s="731"/>
      <c r="K475" s="695"/>
      <c r="L475" s="686"/>
      <c r="M475" s="686"/>
      <c r="N475" s="686"/>
      <c r="O475" s="686"/>
      <c r="P475" s="686"/>
      <c r="Q475" s="666"/>
      <c r="R475" s="686"/>
      <c r="S475" s="686"/>
      <c r="T475" s="688"/>
      <c r="U475" s="688"/>
      <c r="V475" s="686"/>
      <c r="W475" s="686"/>
      <c r="X475" s="686"/>
      <c r="Y475" s="686"/>
      <c r="Z475" s="686"/>
      <c r="AA475" s="669"/>
      <c r="AB475" s="695"/>
      <c r="AC475" s="669"/>
    </row>
    <row r="476" ht="18.0" customHeight="1">
      <c r="A476" s="695"/>
      <c r="B476" s="695"/>
      <c r="C476" s="695"/>
      <c r="D476" s="695"/>
      <c r="E476" s="695"/>
      <c r="F476" s="686"/>
      <c r="G476" s="695"/>
      <c r="H476" s="695"/>
      <c r="I476" s="695"/>
      <c r="J476" s="731"/>
      <c r="K476" s="695"/>
      <c r="L476" s="686"/>
      <c r="M476" s="686"/>
      <c r="N476" s="686"/>
      <c r="O476" s="686"/>
      <c r="P476" s="686"/>
      <c r="Q476" s="666"/>
      <c r="R476" s="686"/>
      <c r="S476" s="686"/>
      <c r="T476" s="688"/>
      <c r="U476" s="688"/>
      <c r="V476" s="686"/>
      <c r="W476" s="686"/>
      <c r="X476" s="686"/>
      <c r="Y476" s="686"/>
      <c r="Z476" s="686"/>
      <c r="AA476" s="669"/>
      <c r="AB476" s="695"/>
      <c r="AC476" s="669"/>
    </row>
    <row r="477" ht="18.0" customHeight="1">
      <c r="A477" s="695"/>
      <c r="B477" s="695"/>
      <c r="C477" s="695"/>
      <c r="D477" s="695"/>
      <c r="E477" s="695"/>
      <c r="F477" s="686"/>
      <c r="G477" s="695"/>
      <c r="H477" s="695"/>
      <c r="I477" s="695"/>
      <c r="J477" s="731"/>
      <c r="K477" s="695"/>
      <c r="L477" s="686"/>
      <c r="M477" s="686"/>
      <c r="N477" s="686"/>
      <c r="O477" s="686"/>
      <c r="P477" s="686"/>
      <c r="Q477" s="666"/>
      <c r="R477" s="686"/>
      <c r="S477" s="686"/>
      <c r="T477" s="688"/>
      <c r="U477" s="688"/>
      <c r="V477" s="686"/>
      <c r="W477" s="686"/>
      <c r="X477" s="686"/>
      <c r="Y477" s="686"/>
      <c r="Z477" s="686"/>
      <c r="AA477" s="669"/>
      <c r="AB477" s="695"/>
      <c r="AC477" s="669"/>
    </row>
    <row r="478" ht="18.0" customHeight="1">
      <c r="A478" s="695"/>
      <c r="B478" s="695"/>
      <c r="C478" s="695"/>
      <c r="D478" s="695"/>
      <c r="E478" s="695"/>
      <c r="F478" s="686"/>
      <c r="G478" s="695"/>
      <c r="H478" s="695"/>
      <c r="I478" s="695"/>
      <c r="J478" s="731"/>
      <c r="K478" s="695"/>
      <c r="L478" s="686"/>
      <c r="M478" s="686"/>
      <c r="N478" s="686"/>
      <c r="O478" s="686"/>
      <c r="P478" s="686"/>
      <c r="Q478" s="666"/>
      <c r="R478" s="686"/>
      <c r="S478" s="686"/>
      <c r="T478" s="688"/>
      <c r="U478" s="688"/>
      <c r="V478" s="686"/>
      <c r="W478" s="686"/>
      <c r="X478" s="686"/>
      <c r="Y478" s="686"/>
      <c r="Z478" s="686"/>
      <c r="AA478" s="669"/>
      <c r="AB478" s="695"/>
      <c r="AC478" s="669"/>
    </row>
    <row r="479" ht="18.0" customHeight="1">
      <c r="A479" s="695"/>
      <c r="B479" s="695"/>
      <c r="C479" s="695"/>
      <c r="D479" s="695"/>
      <c r="E479" s="695"/>
      <c r="F479" s="686"/>
      <c r="G479" s="695"/>
      <c r="H479" s="695"/>
      <c r="I479" s="695"/>
      <c r="J479" s="731"/>
      <c r="K479" s="695"/>
      <c r="L479" s="686"/>
      <c r="M479" s="686"/>
      <c r="N479" s="686"/>
      <c r="O479" s="686"/>
      <c r="P479" s="686"/>
      <c r="Q479" s="666"/>
      <c r="R479" s="686"/>
      <c r="S479" s="686"/>
      <c r="T479" s="688"/>
      <c r="U479" s="688"/>
      <c r="V479" s="686"/>
      <c r="W479" s="686"/>
      <c r="X479" s="686"/>
      <c r="Y479" s="686"/>
      <c r="Z479" s="686"/>
      <c r="AA479" s="669"/>
      <c r="AB479" s="695"/>
      <c r="AC479" s="669"/>
    </row>
    <row r="480" ht="18.0" customHeight="1">
      <c r="A480" s="695"/>
      <c r="B480" s="695"/>
      <c r="C480" s="695"/>
      <c r="D480" s="695"/>
      <c r="E480" s="695"/>
      <c r="F480" s="686"/>
      <c r="G480" s="695"/>
      <c r="H480" s="695"/>
      <c r="I480" s="695"/>
      <c r="J480" s="731"/>
      <c r="K480" s="695"/>
      <c r="L480" s="686"/>
      <c r="M480" s="686"/>
      <c r="N480" s="686"/>
      <c r="O480" s="686"/>
      <c r="P480" s="686"/>
      <c r="Q480" s="666"/>
      <c r="R480" s="686"/>
      <c r="S480" s="686"/>
      <c r="T480" s="688"/>
      <c r="U480" s="688"/>
      <c r="V480" s="686"/>
      <c r="W480" s="686"/>
      <c r="X480" s="686"/>
      <c r="Y480" s="686"/>
      <c r="Z480" s="686"/>
      <c r="AA480" s="669"/>
      <c r="AB480" s="695"/>
      <c r="AC480" s="669"/>
    </row>
    <row r="481" ht="18.0" customHeight="1">
      <c r="A481" s="695"/>
      <c r="B481" s="695"/>
      <c r="C481" s="695"/>
      <c r="D481" s="695"/>
      <c r="E481" s="695"/>
      <c r="F481" s="686"/>
      <c r="G481" s="695"/>
      <c r="H481" s="695"/>
      <c r="I481" s="695"/>
      <c r="J481" s="731"/>
      <c r="K481" s="695"/>
      <c r="L481" s="686"/>
      <c r="M481" s="686"/>
      <c r="N481" s="686"/>
      <c r="O481" s="686"/>
      <c r="P481" s="686"/>
      <c r="Q481" s="666"/>
      <c r="R481" s="686"/>
      <c r="S481" s="686"/>
      <c r="T481" s="688"/>
      <c r="U481" s="688"/>
      <c r="V481" s="686"/>
      <c r="W481" s="686"/>
      <c r="X481" s="686"/>
      <c r="Y481" s="686"/>
      <c r="Z481" s="686"/>
      <c r="AA481" s="669"/>
      <c r="AB481" s="695"/>
      <c r="AC481" s="669"/>
    </row>
    <row r="482" ht="18.0" customHeight="1">
      <c r="A482" s="695"/>
      <c r="B482" s="695"/>
      <c r="C482" s="695"/>
      <c r="D482" s="695"/>
      <c r="E482" s="695"/>
      <c r="F482" s="686"/>
      <c r="G482" s="695"/>
      <c r="H482" s="695"/>
      <c r="I482" s="695"/>
      <c r="J482" s="731"/>
      <c r="K482" s="695"/>
      <c r="L482" s="686"/>
      <c r="M482" s="686"/>
      <c r="N482" s="686"/>
      <c r="O482" s="686"/>
      <c r="P482" s="686"/>
      <c r="Q482" s="666"/>
      <c r="R482" s="686"/>
      <c r="S482" s="686"/>
      <c r="T482" s="688"/>
      <c r="U482" s="688"/>
      <c r="V482" s="686"/>
      <c r="W482" s="686"/>
      <c r="X482" s="686"/>
      <c r="Y482" s="686"/>
      <c r="Z482" s="686"/>
      <c r="AA482" s="669"/>
      <c r="AB482" s="695"/>
      <c r="AC482" s="669"/>
    </row>
    <row r="483" ht="18.0" customHeight="1">
      <c r="A483" s="695"/>
      <c r="B483" s="695"/>
      <c r="C483" s="695"/>
      <c r="D483" s="695"/>
      <c r="E483" s="695"/>
      <c r="F483" s="686"/>
      <c r="G483" s="695"/>
      <c r="H483" s="695"/>
      <c r="I483" s="695"/>
      <c r="J483" s="731"/>
      <c r="K483" s="695"/>
      <c r="L483" s="686"/>
      <c r="M483" s="686"/>
      <c r="N483" s="686"/>
      <c r="O483" s="686"/>
      <c r="P483" s="686"/>
      <c r="Q483" s="666"/>
      <c r="R483" s="686"/>
      <c r="S483" s="686"/>
      <c r="T483" s="688"/>
      <c r="U483" s="688"/>
      <c r="V483" s="686"/>
      <c r="W483" s="686"/>
      <c r="X483" s="686"/>
      <c r="Y483" s="686"/>
      <c r="Z483" s="686"/>
      <c r="AA483" s="669"/>
      <c r="AB483" s="695"/>
      <c r="AC483" s="669"/>
    </row>
    <row r="484" ht="18.0" customHeight="1">
      <c r="A484" s="695"/>
      <c r="B484" s="695"/>
      <c r="C484" s="695"/>
      <c r="D484" s="695"/>
      <c r="E484" s="695"/>
      <c r="F484" s="686"/>
      <c r="G484" s="695"/>
      <c r="H484" s="695"/>
      <c r="I484" s="695"/>
      <c r="J484" s="731"/>
      <c r="K484" s="695"/>
      <c r="L484" s="686"/>
      <c r="M484" s="686"/>
      <c r="N484" s="686"/>
      <c r="O484" s="686"/>
      <c r="P484" s="686"/>
      <c r="Q484" s="666"/>
      <c r="R484" s="686"/>
      <c r="S484" s="686"/>
      <c r="T484" s="688"/>
      <c r="U484" s="688"/>
      <c r="V484" s="686"/>
      <c r="W484" s="686"/>
      <c r="X484" s="686"/>
      <c r="Y484" s="686"/>
      <c r="Z484" s="686"/>
      <c r="AA484" s="669"/>
      <c r="AB484" s="695"/>
      <c r="AC484" s="669"/>
    </row>
    <row r="485" ht="18.0" customHeight="1">
      <c r="A485" s="695"/>
      <c r="B485" s="695"/>
      <c r="C485" s="695"/>
      <c r="D485" s="695"/>
      <c r="E485" s="695"/>
      <c r="F485" s="686"/>
      <c r="G485" s="695"/>
      <c r="H485" s="695"/>
      <c r="I485" s="695"/>
      <c r="J485" s="731"/>
      <c r="K485" s="695"/>
      <c r="L485" s="686"/>
      <c r="M485" s="686"/>
      <c r="N485" s="686"/>
      <c r="O485" s="686"/>
      <c r="P485" s="686"/>
      <c r="Q485" s="666"/>
      <c r="R485" s="686"/>
      <c r="S485" s="686"/>
      <c r="T485" s="688"/>
      <c r="U485" s="688"/>
      <c r="V485" s="686"/>
      <c r="W485" s="686"/>
      <c r="X485" s="686"/>
      <c r="Y485" s="686"/>
      <c r="Z485" s="686"/>
      <c r="AA485" s="669"/>
      <c r="AB485" s="695"/>
      <c r="AC485" s="669"/>
    </row>
    <row r="486" ht="18.0" customHeight="1">
      <c r="A486" s="695"/>
      <c r="B486" s="695"/>
      <c r="C486" s="695"/>
      <c r="D486" s="695"/>
      <c r="E486" s="695"/>
      <c r="F486" s="686"/>
      <c r="G486" s="695"/>
      <c r="H486" s="695"/>
      <c r="I486" s="695"/>
      <c r="J486" s="731"/>
      <c r="K486" s="695"/>
      <c r="L486" s="686"/>
      <c r="M486" s="686"/>
      <c r="N486" s="686"/>
      <c r="O486" s="686"/>
      <c r="P486" s="686"/>
      <c r="Q486" s="666"/>
      <c r="R486" s="686"/>
      <c r="S486" s="686"/>
      <c r="T486" s="688"/>
      <c r="U486" s="688"/>
      <c r="V486" s="686"/>
      <c r="W486" s="686"/>
      <c r="X486" s="686"/>
      <c r="Y486" s="686"/>
      <c r="Z486" s="686"/>
      <c r="AA486" s="669"/>
      <c r="AB486" s="695"/>
      <c r="AC486" s="669"/>
    </row>
    <row r="487" ht="18.0" customHeight="1">
      <c r="A487" s="695"/>
      <c r="B487" s="695"/>
      <c r="C487" s="695"/>
      <c r="D487" s="695"/>
      <c r="E487" s="695"/>
      <c r="F487" s="686"/>
      <c r="G487" s="695"/>
      <c r="H487" s="695"/>
      <c r="I487" s="695"/>
      <c r="J487" s="731"/>
      <c r="K487" s="695"/>
      <c r="L487" s="686"/>
      <c r="M487" s="686"/>
      <c r="N487" s="686"/>
      <c r="O487" s="686"/>
      <c r="P487" s="686"/>
      <c r="Q487" s="666"/>
      <c r="R487" s="686"/>
      <c r="S487" s="686"/>
      <c r="T487" s="688"/>
      <c r="U487" s="688"/>
      <c r="V487" s="686"/>
      <c r="W487" s="686"/>
      <c r="X487" s="686"/>
      <c r="Y487" s="686"/>
      <c r="Z487" s="686"/>
      <c r="AA487" s="669"/>
      <c r="AB487" s="695"/>
      <c r="AC487" s="669"/>
    </row>
    <row r="488" ht="18.0" customHeight="1">
      <c r="A488" s="695"/>
      <c r="B488" s="695"/>
      <c r="C488" s="695"/>
      <c r="D488" s="695"/>
      <c r="E488" s="695"/>
      <c r="F488" s="686"/>
      <c r="G488" s="695"/>
      <c r="H488" s="695"/>
      <c r="I488" s="695"/>
      <c r="J488" s="731"/>
      <c r="K488" s="695"/>
      <c r="L488" s="686"/>
      <c r="M488" s="686"/>
      <c r="N488" s="686"/>
      <c r="O488" s="686"/>
      <c r="P488" s="686"/>
      <c r="Q488" s="666"/>
      <c r="R488" s="686"/>
      <c r="S488" s="686"/>
      <c r="T488" s="688"/>
      <c r="U488" s="688"/>
      <c r="V488" s="686"/>
      <c r="W488" s="686"/>
      <c r="X488" s="686"/>
      <c r="Y488" s="686"/>
      <c r="Z488" s="686"/>
      <c r="AA488" s="669"/>
      <c r="AB488" s="695"/>
      <c r="AC488" s="669"/>
    </row>
    <row r="489" ht="18.0" customHeight="1">
      <c r="A489" s="695"/>
      <c r="B489" s="695"/>
      <c r="C489" s="695"/>
      <c r="D489" s="695"/>
      <c r="E489" s="695"/>
      <c r="F489" s="686"/>
      <c r="G489" s="695"/>
      <c r="H489" s="695"/>
      <c r="I489" s="695"/>
      <c r="J489" s="731"/>
      <c r="K489" s="695"/>
      <c r="L489" s="686"/>
      <c r="M489" s="686"/>
      <c r="N489" s="686"/>
      <c r="O489" s="686"/>
      <c r="P489" s="686"/>
      <c r="Q489" s="666"/>
      <c r="R489" s="686"/>
      <c r="S489" s="686"/>
      <c r="T489" s="688"/>
      <c r="U489" s="688"/>
      <c r="V489" s="686"/>
      <c r="W489" s="686"/>
      <c r="X489" s="686"/>
      <c r="Y489" s="686"/>
      <c r="Z489" s="686"/>
      <c r="AA489" s="669"/>
      <c r="AB489" s="695"/>
      <c r="AC489" s="669"/>
    </row>
    <row r="490" ht="18.0" customHeight="1">
      <c r="A490" s="695"/>
      <c r="B490" s="695"/>
      <c r="C490" s="695"/>
      <c r="D490" s="695"/>
      <c r="E490" s="695"/>
      <c r="F490" s="686"/>
      <c r="G490" s="695"/>
      <c r="H490" s="695"/>
      <c r="I490" s="695"/>
      <c r="J490" s="731"/>
      <c r="K490" s="695"/>
      <c r="L490" s="686"/>
      <c r="M490" s="686"/>
      <c r="N490" s="686"/>
      <c r="O490" s="686"/>
      <c r="P490" s="686"/>
      <c r="Q490" s="666"/>
      <c r="R490" s="686"/>
      <c r="S490" s="686"/>
      <c r="T490" s="688"/>
      <c r="U490" s="688"/>
      <c r="V490" s="686"/>
      <c r="W490" s="686"/>
      <c r="X490" s="686"/>
      <c r="Y490" s="686"/>
      <c r="Z490" s="686"/>
      <c r="AA490" s="669"/>
      <c r="AB490" s="695"/>
      <c r="AC490" s="669"/>
    </row>
    <row r="491" ht="18.0" customHeight="1">
      <c r="A491" s="695"/>
      <c r="B491" s="695"/>
      <c r="C491" s="695"/>
      <c r="D491" s="695"/>
      <c r="E491" s="695"/>
      <c r="F491" s="686"/>
      <c r="G491" s="695"/>
      <c r="H491" s="695"/>
      <c r="I491" s="695"/>
      <c r="J491" s="731"/>
      <c r="K491" s="695"/>
      <c r="L491" s="686"/>
      <c r="M491" s="686"/>
      <c r="N491" s="686"/>
      <c r="O491" s="686"/>
      <c r="P491" s="686"/>
      <c r="Q491" s="666"/>
      <c r="R491" s="686"/>
      <c r="S491" s="686"/>
      <c r="T491" s="688"/>
      <c r="U491" s="688"/>
      <c r="V491" s="686"/>
      <c r="W491" s="686"/>
      <c r="X491" s="686"/>
      <c r="Y491" s="686"/>
      <c r="Z491" s="686"/>
      <c r="AA491" s="669"/>
      <c r="AB491" s="695"/>
      <c r="AC491" s="669"/>
    </row>
    <row r="492" ht="18.0" customHeight="1">
      <c r="A492" s="695"/>
      <c r="B492" s="695"/>
      <c r="C492" s="695"/>
      <c r="D492" s="695"/>
      <c r="E492" s="695"/>
      <c r="F492" s="686"/>
      <c r="G492" s="695"/>
      <c r="H492" s="695"/>
      <c r="I492" s="695"/>
      <c r="J492" s="731"/>
      <c r="K492" s="695"/>
      <c r="L492" s="686"/>
      <c r="M492" s="686"/>
      <c r="N492" s="686"/>
      <c r="O492" s="686"/>
      <c r="P492" s="686"/>
      <c r="Q492" s="666"/>
      <c r="R492" s="686"/>
      <c r="S492" s="686"/>
      <c r="T492" s="688"/>
      <c r="U492" s="688"/>
      <c r="V492" s="686"/>
      <c r="W492" s="686"/>
      <c r="X492" s="686"/>
      <c r="Y492" s="686"/>
      <c r="Z492" s="686"/>
      <c r="AA492" s="669"/>
      <c r="AB492" s="695"/>
      <c r="AC492" s="669"/>
    </row>
    <row r="493" ht="18.0" customHeight="1">
      <c r="A493" s="695"/>
      <c r="B493" s="695"/>
      <c r="C493" s="695"/>
      <c r="D493" s="695"/>
      <c r="E493" s="695"/>
      <c r="F493" s="686"/>
      <c r="G493" s="695"/>
      <c r="H493" s="695"/>
      <c r="I493" s="695"/>
      <c r="J493" s="731"/>
      <c r="K493" s="695"/>
      <c r="L493" s="686"/>
      <c r="M493" s="686"/>
      <c r="N493" s="686"/>
      <c r="O493" s="686"/>
      <c r="P493" s="686"/>
      <c r="Q493" s="666"/>
      <c r="R493" s="686"/>
      <c r="S493" s="686"/>
      <c r="T493" s="688"/>
      <c r="U493" s="688"/>
      <c r="V493" s="686"/>
      <c r="W493" s="686"/>
      <c r="X493" s="686"/>
      <c r="Y493" s="686"/>
      <c r="Z493" s="686"/>
      <c r="AA493" s="669"/>
      <c r="AB493" s="695"/>
      <c r="AC493" s="669"/>
    </row>
    <row r="494" ht="18.0" customHeight="1">
      <c r="A494" s="695"/>
      <c r="B494" s="695"/>
      <c r="C494" s="695"/>
      <c r="D494" s="695"/>
      <c r="E494" s="695"/>
      <c r="F494" s="686"/>
      <c r="G494" s="695"/>
      <c r="H494" s="695"/>
      <c r="I494" s="695"/>
      <c r="J494" s="731"/>
      <c r="K494" s="695"/>
      <c r="L494" s="686"/>
      <c r="M494" s="686"/>
      <c r="N494" s="686"/>
      <c r="O494" s="686"/>
      <c r="P494" s="686"/>
      <c r="Q494" s="666"/>
      <c r="R494" s="686"/>
      <c r="S494" s="686"/>
      <c r="T494" s="688"/>
      <c r="U494" s="688"/>
      <c r="V494" s="686"/>
      <c r="W494" s="686"/>
      <c r="X494" s="686"/>
      <c r="Y494" s="686"/>
      <c r="Z494" s="686"/>
      <c r="AA494" s="669"/>
      <c r="AB494" s="695"/>
      <c r="AC494" s="669"/>
    </row>
    <row r="495" ht="18.0" customHeight="1">
      <c r="A495" s="695"/>
      <c r="B495" s="695"/>
      <c r="C495" s="695"/>
      <c r="D495" s="695"/>
      <c r="E495" s="695"/>
      <c r="F495" s="686"/>
      <c r="G495" s="695"/>
      <c r="H495" s="695"/>
      <c r="I495" s="695"/>
      <c r="J495" s="731"/>
      <c r="K495" s="695"/>
      <c r="L495" s="686"/>
      <c r="M495" s="686"/>
      <c r="N495" s="686"/>
      <c r="O495" s="686"/>
      <c r="P495" s="686"/>
      <c r="Q495" s="666"/>
      <c r="R495" s="686"/>
      <c r="S495" s="686"/>
      <c r="T495" s="688"/>
      <c r="U495" s="688"/>
      <c r="V495" s="686"/>
      <c r="W495" s="686"/>
      <c r="X495" s="686"/>
      <c r="Y495" s="686"/>
      <c r="Z495" s="686"/>
      <c r="AA495" s="669"/>
      <c r="AB495" s="695"/>
      <c r="AC495" s="669"/>
    </row>
    <row r="496" ht="18.0" customHeight="1">
      <c r="A496" s="695"/>
      <c r="B496" s="695"/>
      <c r="C496" s="695"/>
      <c r="D496" s="695"/>
      <c r="E496" s="695"/>
      <c r="F496" s="686"/>
      <c r="G496" s="695"/>
      <c r="H496" s="695"/>
      <c r="I496" s="695"/>
      <c r="J496" s="731"/>
      <c r="K496" s="695"/>
      <c r="L496" s="686"/>
      <c r="M496" s="686"/>
      <c r="N496" s="686"/>
      <c r="O496" s="686"/>
      <c r="P496" s="686"/>
      <c r="Q496" s="666"/>
      <c r="R496" s="686"/>
      <c r="S496" s="686"/>
      <c r="T496" s="688"/>
      <c r="U496" s="688"/>
      <c r="V496" s="686"/>
      <c r="W496" s="686"/>
      <c r="X496" s="686"/>
      <c r="Y496" s="686"/>
      <c r="Z496" s="686"/>
      <c r="AA496" s="669"/>
      <c r="AB496" s="695"/>
      <c r="AC496" s="669"/>
    </row>
    <row r="497" ht="18.0" customHeight="1">
      <c r="A497" s="695"/>
      <c r="B497" s="695"/>
      <c r="C497" s="695"/>
      <c r="D497" s="695"/>
      <c r="E497" s="695"/>
      <c r="F497" s="686"/>
      <c r="G497" s="695"/>
      <c r="H497" s="695"/>
      <c r="I497" s="695"/>
      <c r="J497" s="731"/>
      <c r="K497" s="695"/>
      <c r="L497" s="686"/>
      <c r="M497" s="686"/>
      <c r="N497" s="686"/>
      <c r="O497" s="686"/>
      <c r="P497" s="686"/>
      <c r="Q497" s="666"/>
      <c r="R497" s="686"/>
      <c r="S497" s="686"/>
      <c r="T497" s="688"/>
      <c r="U497" s="688"/>
      <c r="V497" s="686"/>
      <c r="W497" s="686"/>
      <c r="X497" s="686"/>
      <c r="Y497" s="686"/>
      <c r="Z497" s="686"/>
      <c r="AA497" s="669"/>
      <c r="AB497" s="695"/>
      <c r="AC497" s="669"/>
    </row>
    <row r="498" ht="18.0" customHeight="1">
      <c r="A498" s="695"/>
      <c r="B498" s="695"/>
      <c r="C498" s="695"/>
      <c r="D498" s="695"/>
      <c r="E498" s="695"/>
      <c r="F498" s="686"/>
      <c r="G498" s="695"/>
      <c r="H498" s="695"/>
      <c r="I498" s="695"/>
      <c r="J498" s="731"/>
      <c r="K498" s="695"/>
      <c r="L498" s="686"/>
      <c r="M498" s="686"/>
      <c r="N498" s="686"/>
      <c r="O498" s="686"/>
      <c r="P498" s="686"/>
      <c r="Q498" s="666"/>
      <c r="R498" s="686"/>
      <c r="S498" s="686"/>
      <c r="T498" s="688"/>
      <c r="U498" s="688"/>
      <c r="V498" s="686"/>
      <c r="W498" s="686"/>
      <c r="X498" s="686"/>
      <c r="Y498" s="686"/>
      <c r="Z498" s="686"/>
      <c r="AA498" s="669"/>
      <c r="AB498" s="695"/>
      <c r="AC498" s="669"/>
    </row>
    <row r="499" ht="18.0" customHeight="1">
      <c r="A499" s="695"/>
      <c r="B499" s="695"/>
      <c r="C499" s="695"/>
      <c r="D499" s="695"/>
      <c r="E499" s="695"/>
      <c r="F499" s="686"/>
      <c r="G499" s="695"/>
      <c r="H499" s="695"/>
      <c r="I499" s="695"/>
      <c r="J499" s="731"/>
      <c r="K499" s="695"/>
      <c r="L499" s="686"/>
      <c r="M499" s="686"/>
      <c r="N499" s="686"/>
      <c r="O499" s="686"/>
      <c r="P499" s="686"/>
      <c r="Q499" s="666"/>
      <c r="R499" s="686"/>
      <c r="S499" s="686"/>
      <c r="T499" s="688"/>
      <c r="U499" s="688"/>
      <c r="V499" s="686"/>
      <c r="W499" s="686"/>
      <c r="X499" s="686"/>
      <c r="Y499" s="686"/>
      <c r="Z499" s="686"/>
      <c r="AA499" s="669"/>
      <c r="AB499" s="695"/>
      <c r="AC499" s="669"/>
    </row>
    <row r="500" ht="18.0" customHeight="1">
      <c r="A500" s="695"/>
      <c r="B500" s="695"/>
      <c r="C500" s="695"/>
      <c r="D500" s="695"/>
      <c r="E500" s="695"/>
      <c r="F500" s="686"/>
      <c r="G500" s="695"/>
      <c r="H500" s="695"/>
      <c r="I500" s="695"/>
      <c r="J500" s="731"/>
      <c r="K500" s="695"/>
      <c r="L500" s="686"/>
      <c r="M500" s="686"/>
      <c r="N500" s="686"/>
      <c r="O500" s="686"/>
      <c r="P500" s="686"/>
      <c r="Q500" s="666"/>
      <c r="R500" s="686"/>
      <c r="S500" s="686"/>
      <c r="T500" s="688"/>
      <c r="U500" s="688"/>
      <c r="V500" s="686"/>
      <c r="W500" s="686"/>
      <c r="X500" s="686"/>
      <c r="Y500" s="686"/>
      <c r="Z500" s="686"/>
      <c r="AA500" s="669"/>
      <c r="AB500" s="695"/>
      <c r="AC500" s="669"/>
    </row>
    <row r="501" ht="18.0" customHeight="1">
      <c r="A501" s="695"/>
      <c r="B501" s="695"/>
      <c r="C501" s="695"/>
      <c r="D501" s="695"/>
      <c r="E501" s="695"/>
      <c r="F501" s="686"/>
      <c r="G501" s="695"/>
      <c r="H501" s="695"/>
      <c r="I501" s="695"/>
      <c r="J501" s="731"/>
      <c r="K501" s="695"/>
      <c r="L501" s="686"/>
      <c r="M501" s="686"/>
      <c r="N501" s="686"/>
      <c r="O501" s="686"/>
      <c r="P501" s="686"/>
      <c r="Q501" s="666"/>
      <c r="R501" s="686"/>
      <c r="S501" s="686"/>
      <c r="T501" s="688"/>
      <c r="U501" s="688"/>
      <c r="V501" s="686"/>
      <c r="W501" s="686"/>
      <c r="X501" s="686"/>
      <c r="Y501" s="686"/>
      <c r="Z501" s="686"/>
      <c r="AA501" s="669"/>
      <c r="AB501" s="695"/>
      <c r="AC501" s="669"/>
    </row>
    <row r="502" ht="18.0" customHeight="1">
      <c r="A502" s="695"/>
      <c r="B502" s="695"/>
      <c r="C502" s="695"/>
      <c r="D502" s="695"/>
      <c r="E502" s="695"/>
      <c r="F502" s="686"/>
      <c r="G502" s="695"/>
      <c r="H502" s="695"/>
      <c r="I502" s="695"/>
      <c r="J502" s="731"/>
      <c r="K502" s="695"/>
      <c r="L502" s="686"/>
      <c r="M502" s="686"/>
      <c r="N502" s="686"/>
      <c r="O502" s="686"/>
      <c r="P502" s="686"/>
      <c r="Q502" s="666"/>
      <c r="R502" s="686"/>
      <c r="S502" s="686"/>
      <c r="T502" s="688"/>
      <c r="U502" s="688"/>
      <c r="V502" s="686"/>
      <c r="W502" s="686"/>
      <c r="X502" s="686"/>
      <c r="Y502" s="686"/>
      <c r="Z502" s="686"/>
      <c r="AA502" s="669"/>
      <c r="AB502" s="695"/>
      <c r="AC502" s="669"/>
    </row>
    <row r="503" ht="18.0" customHeight="1">
      <c r="A503" s="695"/>
      <c r="B503" s="695"/>
      <c r="C503" s="695"/>
      <c r="D503" s="695"/>
      <c r="E503" s="695"/>
      <c r="F503" s="686"/>
      <c r="G503" s="695"/>
      <c r="H503" s="695"/>
      <c r="I503" s="695"/>
      <c r="J503" s="731"/>
      <c r="K503" s="695"/>
      <c r="L503" s="686"/>
      <c r="M503" s="686"/>
      <c r="N503" s="686"/>
      <c r="O503" s="686"/>
      <c r="P503" s="686"/>
      <c r="Q503" s="666"/>
      <c r="R503" s="686"/>
      <c r="S503" s="686"/>
      <c r="T503" s="688"/>
      <c r="U503" s="688"/>
      <c r="V503" s="686"/>
      <c r="W503" s="686"/>
      <c r="X503" s="686"/>
      <c r="Y503" s="686"/>
      <c r="Z503" s="686"/>
      <c r="AA503" s="669"/>
      <c r="AB503" s="695"/>
      <c r="AC503" s="669"/>
    </row>
    <row r="504" ht="18.0" customHeight="1">
      <c r="A504" s="695"/>
      <c r="B504" s="695"/>
      <c r="C504" s="695"/>
      <c r="D504" s="695"/>
      <c r="E504" s="695"/>
      <c r="F504" s="686"/>
      <c r="G504" s="695"/>
      <c r="H504" s="695"/>
      <c r="I504" s="695"/>
      <c r="J504" s="731"/>
      <c r="K504" s="695"/>
      <c r="L504" s="686"/>
      <c r="M504" s="686"/>
      <c r="N504" s="686"/>
      <c r="O504" s="686"/>
      <c r="P504" s="686"/>
      <c r="Q504" s="666"/>
      <c r="R504" s="686"/>
      <c r="S504" s="686"/>
      <c r="T504" s="688"/>
      <c r="U504" s="688"/>
      <c r="V504" s="686"/>
      <c r="W504" s="686"/>
      <c r="X504" s="686"/>
      <c r="Y504" s="686"/>
      <c r="Z504" s="686"/>
      <c r="AA504" s="669"/>
      <c r="AB504" s="695"/>
      <c r="AC504" s="669"/>
    </row>
    <row r="505" ht="18.0" customHeight="1">
      <c r="A505" s="695"/>
      <c r="B505" s="695"/>
      <c r="C505" s="695"/>
      <c r="D505" s="695"/>
      <c r="E505" s="695"/>
      <c r="F505" s="686"/>
      <c r="G505" s="695"/>
      <c r="H505" s="695"/>
      <c r="I505" s="695"/>
      <c r="J505" s="731"/>
      <c r="K505" s="695"/>
      <c r="L505" s="686"/>
      <c r="M505" s="686"/>
      <c r="N505" s="686"/>
      <c r="O505" s="686"/>
      <c r="P505" s="686"/>
      <c r="Q505" s="666"/>
      <c r="R505" s="686"/>
      <c r="S505" s="686"/>
      <c r="T505" s="688"/>
      <c r="U505" s="688"/>
      <c r="V505" s="686"/>
      <c r="W505" s="686"/>
      <c r="X505" s="686"/>
      <c r="Y505" s="686"/>
      <c r="Z505" s="686"/>
      <c r="AA505" s="669"/>
      <c r="AB505" s="695"/>
      <c r="AC505" s="669"/>
    </row>
    <row r="506" ht="18.0" customHeight="1">
      <c r="A506" s="695"/>
      <c r="B506" s="695"/>
      <c r="C506" s="695"/>
      <c r="D506" s="695"/>
      <c r="E506" s="695"/>
      <c r="F506" s="686"/>
      <c r="G506" s="695"/>
      <c r="H506" s="695"/>
      <c r="I506" s="695"/>
      <c r="J506" s="731"/>
      <c r="K506" s="695"/>
      <c r="L506" s="686"/>
      <c r="M506" s="686"/>
      <c r="N506" s="686"/>
      <c r="O506" s="686"/>
      <c r="P506" s="686"/>
      <c r="Q506" s="666"/>
      <c r="R506" s="686"/>
      <c r="S506" s="686"/>
      <c r="T506" s="688"/>
      <c r="U506" s="688"/>
      <c r="V506" s="686"/>
      <c r="W506" s="686"/>
      <c r="X506" s="686"/>
      <c r="Y506" s="686"/>
      <c r="Z506" s="686"/>
      <c r="AA506" s="669"/>
      <c r="AB506" s="695"/>
      <c r="AC506" s="669"/>
    </row>
    <row r="507" ht="18.0" customHeight="1">
      <c r="A507" s="695"/>
      <c r="B507" s="695"/>
      <c r="C507" s="695"/>
      <c r="D507" s="695"/>
      <c r="E507" s="695"/>
      <c r="F507" s="686"/>
      <c r="G507" s="695"/>
      <c r="H507" s="695"/>
      <c r="I507" s="695"/>
      <c r="J507" s="731"/>
      <c r="K507" s="695"/>
      <c r="L507" s="686"/>
      <c r="M507" s="686"/>
      <c r="N507" s="686"/>
      <c r="O507" s="686"/>
      <c r="P507" s="686"/>
      <c r="Q507" s="666"/>
      <c r="R507" s="686"/>
      <c r="S507" s="686"/>
      <c r="T507" s="688"/>
      <c r="U507" s="688"/>
      <c r="V507" s="686"/>
      <c r="W507" s="686"/>
      <c r="X507" s="686"/>
      <c r="Y507" s="686"/>
      <c r="Z507" s="686"/>
      <c r="AA507" s="669"/>
      <c r="AB507" s="695"/>
      <c r="AC507" s="669"/>
    </row>
    <row r="508" ht="18.0" customHeight="1">
      <c r="A508" s="695"/>
      <c r="B508" s="695"/>
      <c r="C508" s="695"/>
      <c r="D508" s="695"/>
      <c r="E508" s="695"/>
      <c r="F508" s="686"/>
      <c r="G508" s="695"/>
      <c r="H508" s="695"/>
      <c r="I508" s="695"/>
      <c r="J508" s="731"/>
      <c r="K508" s="695"/>
      <c r="L508" s="686"/>
      <c r="M508" s="686"/>
      <c r="N508" s="686"/>
      <c r="O508" s="686"/>
      <c r="P508" s="686"/>
      <c r="Q508" s="666"/>
      <c r="R508" s="686"/>
      <c r="S508" s="686"/>
      <c r="T508" s="688"/>
      <c r="U508" s="688"/>
      <c r="V508" s="686"/>
      <c r="W508" s="686"/>
      <c r="X508" s="686"/>
      <c r="Y508" s="686"/>
      <c r="Z508" s="686"/>
      <c r="AA508" s="669"/>
      <c r="AB508" s="695"/>
      <c r="AC508" s="669"/>
    </row>
    <row r="509" ht="18.0" customHeight="1">
      <c r="A509" s="695"/>
      <c r="B509" s="695"/>
      <c r="C509" s="695"/>
      <c r="D509" s="695"/>
      <c r="E509" s="695"/>
      <c r="F509" s="686"/>
      <c r="G509" s="695"/>
      <c r="H509" s="695"/>
      <c r="I509" s="695"/>
      <c r="J509" s="731"/>
      <c r="K509" s="695"/>
      <c r="L509" s="686"/>
      <c r="M509" s="686"/>
      <c r="N509" s="686"/>
      <c r="O509" s="686"/>
      <c r="P509" s="686"/>
      <c r="Q509" s="666"/>
      <c r="R509" s="686"/>
      <c r="S509" s="686"/>
      <c r="T509" s="688"/>
      <c r="U509" s="688"/>
      <c r="V509" s="686"/>
      <c r="W509" s="686"/>
      <c r="X509" s="686"/>
      <c r="Y509" s="686"/>
      <c r="Z509" s="686"/>
      <c r="AA509" s="669"/>
      <c r="AB509" s="695"/>
      <c r="AC509" s="669"/>
    </row>
    <row r="510" ht="18.0" customHeight="1">
      <c r="A510" s="695"/>
      <c r="B510" s="695"/>
      <c r="C510" s="695"/>
      <c r="D510" s="695"/>
      <c r="E510" s="695"/>
      <c r="F510" s="686"/>
      <c r="G510" s="695"/>
      <c r="H510" s="695"/>
      <c r="I510" s="695"/>
      <c r="J510" s="731"/>
      <c r="K510" s="695"/>
      <c r="L510" s="686"/>
      <c r="M510" s="686"/>
      <c r="N510" s="686"/>
      <c r="O510" s="686"/>
      <c r="P510" s="686"/>
      <c r="Q510" s="666"/>
      <c r="R510" s="686"/>
      <c r="S510" s="686"/>
      <c r="T510" s="688"/>
      <c r="U510" s="688"/>
      <c r="V510" s="686"/>
      <c r="W510" s="686"/>
      <c r="X510" s="686"/>
      <c r="Y510" s="686"/>
      <c r="Z510" s="686"/>
      <c r="AA510" s="669"/>
      <c r="AB510" s="695"/>
      <c r="AC510" s="669"/>
    </row>
    <row r="511" ht="18.0" customHeight="1">
      <c r="A511" s="695"/>
      <c r="B511" s="695"/>
      <c r="C511" s="695"/>
      <c r="D511" s="695"/>
      <c r="E511" s="695"/>
      <c r="F511" s="686"/>
      <c r="G511" s="695"/>
      <c r="H511" s="695"/>
      <c r="I511" s="695"/>
      <c r="J511" s="731"/>
      <c r="K511" s="695"/>
      <c r="L511" s="686"/>
      <c r="M511" s="686"/>
      <c r="N511" s="686"/>
      <c r="O511" s="686"/>
      <c r="P511" s="686"/>
      <c r="Q511" s="666"/>
      <c r="R511" s="686"/>
      <c r="S511" s="686"/>
      <c r="T511" s="688"/>
      <c r="U511" s="688"/>
      <c r="V511" s="686"/>
      <c r="W511" s="686"/>
      <c r="X511" s="686"/>
      <c r="Y511" s="686"/>
      <c r="Z511" s="686"/>
      <c r="AA511" s="669"/>
      <c r="AB511" s="695"/>
      <c r="AC511" s="669"/>
    </row>
    <row r="512" ht="18.0" customHeight="1">
      <c r="A512" s="695"/>
      <c r="B512" s="695"/>
      <c r="C512" s="695"/>
      <c r="D512" s="695"/>
      <c r="E512" s="695"/>
      <c r="F512" s="686"/>
      <c r="G512" s="695"/>
      <c r="H512" s="695"/>
      <c r="I512" s="695"/>
      <c r="J512" s="731"/>
      <c r="K512" s="695"/>
      <c r="L512" s="686"/>
      <c r="M512" s="686"/>
      <c r="N512" s="686"/>
      <c r="O512" s="686"/>
      <c r="P512" s="686"/>
      <c r="Q512" s="666"/>
      <c r="R512" s="686"/>
      <c r="S512" s="686"/>
      <c r="T512" s="688"/>
      <c r="U512" s="688"/>
      <c r="V512" s="686"/>
      <c r="W512" s="686"/>
      <c r="X512" s="686"/>
      <c r="Y512" s="686"/>
      <c r="Z512" s="686"/>
      <c r="AA512" s="669"/>
      <c r="AB512" s="695"/>
      <c r="AC512" s="669"/>
    </row>
    <row r="513" ht="18.0" customHeight="1">
      <c r="A513" s="695"/>
      <c r="B513" s="695"/>
      <c r="C513" s="695"/>
      <c r="D513" s="695"/>
      <c r="E513" s="695"/>
      <c r="F513" s="686"/>
      <c r="G513" s="695"/>
      <c r="H513" s="695"/>
      <c r="I513" s="695"/>
      <c r="J513" s="731"/>
      <c r="K513" s="695"/>
      <c r="L513" s="686"/>
      <c r="M513" s="686"/>
      <c r="N513" s="686"/>
      <c r="O513" s="686"/>
      <c r="P513" s="686"/>
      <c r="Q513" s="666"/>
      <c r="R513" s="686"/>
      <c r="S513" s="686"/>
      <c r="T513" s="688"/>
      <c r="U513" s="688"/>
      <c r="V513" s="686"/>
      <c r="W513" s="686"/>
      <c r="X513" s="686"/>
      <c r="Y513" s="686"/>
      <c r="Z513" s="686"/>
      <c r="AA513" s="669"/>
      <c r="AB513" s="695"/>
      <c r="AC513" s="669"/>
    </row>
    <row r="514" ht="18.0" customHeight="1">
      <c r="A514" s="695"/>
      <c r="B514" s="695"/>
      <c r="C514" s="695"/>
      <c r="D514" s="695"/>
      <c r="E514" s="695"/>
      <c r="F514" s="686"/>
      <c r="G514" s="695"/>
      <c r="H514" s="695"/>
      <c r="I514" s="695"/>
      <c r="J514" s="731"/>
      <c r="K514" s="695"/>
      <c r="L514" s="686"/>
      <c r="M514" s="686"/>
      <c r="N514" s="686"/>
      <c r="O514" s="686"/>
      <c r="P514" s="686"/>
      <c r="Q514" s="666"/>
      <c r="R514" s="686"/>
      <c r="S514" s="686"/>
      <c r="T514" s="688"/>
      <c r="U514" s="688"/>
      <c r="V514" s="686"/>
      <c r="W514" s="686"/>
      <c r="X514" s="686"/>
      <c r="Y514" s="686"/>
      <c r="Z514" s="686"/>
      <c r="AA514" s="669"/>
      <c r="AB514" s="695"/>
      <c r="AC514" s="669"/>
    </row>
    <row r="515" ht="18.0" customHeight="1">
      <c r="A515" s="695"/>
      <c r="B515" s="695"/>
      <c r="C515" s="695"/>
      <c r="D515" s="695"/>
      <c r="E515" s="695"/>
      <c r="F515" s="686"/>
      <c r="G515" s="695"/>
      <c r="H515" s="695"/>
      <c r="I515" s="695"/>
      <c r="J515" s="731"/>
      <c r="K515" s="695"/>
      <c r="L515" s="686"/>
      <c r="M515" s="686"/>
      <c r="N515" s="686"/>
      <c r="O515" s="686"/>
      <c r="P515" s="686"/>
      <c r="Q515" s="666"/>
      <c r="R515" s="686"/>
      <c r="S515" s="686"/>
      <c r="T515" s="688"/>
      <c r="U515" s="688"/>
      <c r="V515" s="686"/>
      <c r="W515" s="686"/>
      <c r="X515" s="686"/>
      <c r="Y515" s="686"/>
      <c r="Z515" s="686"/>
      <c r="AA515" s="669"/>
      <c r="AB515" s="695"/>
      <c r="AC515" s="669"/>
    </row>
    <row r="516" ht="18.0" customHeight="1">
      <c r="A516" s="695"/>
      <c r="B516" s="695"/>
      <c r="C516" s="695"/>
      <c r="D516" s="695"/>
      <c r="E516" s="695"/>
      <c r="F516" s="686"/>
      <c r="G516" s="695"/>
      <c r="H516" s="695"/>
      <c r="I516" s="695"/>
      <c r="J516" s="731"/>
      <c r="K516" s="695"/>
      <c r="L516" s="686"/>
      <c r="M516" s="686"/>
      <c r="N516" s="686"/>
      <c r="O516" s="686"/>
      <c r="P516" s="686"/>
      <c r="Q516" s="666"/>
      <c r="R516" s="686"/>
      <c r="S516" s="686"/>
      <c r="T516" s="688"/>
      <c r="U516" s="688"/>
      <c r="V516" s="686"/>
      <c r="W516" s="686"/>
      <c r="X516" s="686"/>
      <c r="Y516" s="686"/>
      <c r="Z516" s="686"/>
      <c r="AA516" s="669"/>
      <c r="AB516" s="695"/>
      <c r="AC516" s="669"/>
    </row>
    <row r="517" ht="18.0" customHeight="1">
      <c r="A517" s="695"/>
      <c r="B517" s="695"/>
      <c r="C517" s="695"/>
      <c r="D517" s="695"/>
      <c r="E517" s="695"/>
      <c r="F517" s="686"/>
      <c r="G517" s="695"/>
      <c r="H517" s="695"/>
      <c r="I517" s="695"/>
      <c r="J517" s="731"/>
      <c r="K517" s="695"/>
      <c r="L517" s="686"/>
      <c r="M517" s="686"/>
      <c r="N517" s="686"/>
      <c r="O517" s="686"/>
      <c r="P517" s="686"/>
      <c r="Q517" s="666"/>
      <c r="R517" s="686"/>
      <c r="S517" s="686"/>
      <c r="T517" s="688"/>
      <c r="U517" s="688"/>
      <c r="V517" s="686"/>
      <c r="W517" s="686"/>
      <c r="X517" s="686"/>
      <c r="Y517" s="686"/>
      <c r="Z517" s="686"/>
      <c r="AA517" s="669"/>
      <c r="AB517" s="695"/>
      <c r="AC517" s="669"/>
    </row>
    <row r="518" ht="18.0" customHeight="1">
      <c r="A518" s="695"/>
      <c r="B518" s="695"/>
      <c r="C518" s="695"/>
      <c r="D518" s="695"/>
      <c r="E518" s="695"/>
      <c r="F518" s="686"/>
      <c r="G518" s="695"/>
      <c r="H518" s="695"/>
      <c r="I518" s="695"/>
      <c r="J518" s="731"/>
      <c r="K518" s="695"/>
      <c r="L518" s="686"/>
      <c r="M518" s="686"/>
      <c r="N518" s="686"/>
      <c r="O518" s="686"/>
      <c r="P518" s="686"/>
      <c r="Q518" s="666"/>
      <c r="R518" s="686"/>
      <c r="S518" s="686"/>
      <c r="T518" s="688"/>
      <c r="U518" s="688"/>
      <c r="V518" s="686"/>
      <c r="W518" s="686"/>
      <c r="X518" s="686"/>
      <c r="Y518" s="686"/>
      <c r="Z518" s="686"/>
      <c r="AA518" s="669"/>
      <c r="AB518" s="695"/>
      <c r="AC518" s="669"/>
    </row>
    <row r="519" ht="18.0" customHeight="1">
      <c r="A519" s="695"/>
      <c r="B519" s="695"/>
      <c r="C519" s="695"/>
      <c r="D519" s="695"/>
      <c r="E519" s="695"/>
      <c r="F519" s="686"/>
      <c r="G519" s="695"/>
      <c r="H519" s="695"/>
      <c r="I519" s="695"/>
      <c r="J519" s="731"/>
      <c r="K519" s="695"/>
      <c r="L519" s="686"/>
      <c r="M519" s="686"/>
      <c r="N519" s="686"/>
      <c r="O519" s="686"/>
      <c r="P519" s="686"/>
      <c r="Q519" s="666"/>
      <c r="R519" s="686"/>
      <c r="S519" s="686"/>
      <c r="T519" s="688"/>
      <c r="U519" s="688"/>
      <c r="V519" s="686"/>
      <c r="W519" s="686"/>
      <c r="X519" s="686"/>
      <c r="Y519" s="686"/>
      <c r="Z519" s="686"/>
      <c r="AA519" s="669"/>
      <c r="AB519" s="695"/>
      <c r="AC519" s="669"/>
    </row>
    <row r="520" ht="18.0" customHeight="1">
      <c r="A520" s="695"/>
      <c r="B520" s="695"/>
      <c r="C520" s="695"/>
      <c r="D520" s="695"/>
      <c r="E520" s="695"/>
      <c r="F520" s="686"/>
      <c r="G520" s="695"/>
      <c r="H520" s="695"/>
      <c r="I520" s="695"/>
      <c r="J520" s="731"/>
      <c r="K520" s="695"/>
      <c r="L520" s="686"/>
      <c r="M520" s="686"/>
      <c r="N520" s="686"/>
      <c r="O520" s="686"/>
      <c r="P520" s="686"/>
      <c r="Q520" s="666"/>
      <c r="R520" s="686"/>
      <c r="S520" s="686"/>
      <c r="T520" s="688"/>
      <c r="U520" s="688"/>
      <c r="V520" s="686"/>
      <c r="W520" s="686"/>
      <c r="X520" s="686"/>
      <c r="Y520" s="686"/>
      <c r="Z520" s="686"/>
      <c r="AA520" s="669"/>
      <c r="AB520" s="695"/>
      <c r="AC520" s="669"/>
    </row>
    <row r="521" ht="18.0" customHeight="1">
      <c r="A521" s="695"/>
      <c r="B521" s="695"/>
      <c r="C521" s="695"/>
      <c r="D521" s="695"/>
      <c r="E521" s="695"/>
      <c r="F521" s="686"/>
      <c r="G521" s="695"/>
      <c r="H521" s="695"/>
      <c r="I521" s="695"/>
      <c r="J521" s="731"/>
      <c r="K521" s="695"/>
      <c r="L521" s="686"/>
      <c r="M521" s="686"/>
      <c r="N521" s="686"/>
      <c r="O521" s="686"/>
      <c r="P521" s="686"/>
      <c r="Q521" s="666"/>
      <c r="R521" s="686"/>
      <c r="S521" s="686"/>
      <c r="T521" s="688"/>
      <c r="U521" s="688"/>
      <c r="V521" s="686"/>
      <c r="W521" s="686"/>
      <c r="X521" s="686"/>
      <c r="Y521" s="686"/>
      <c r="Z521" s="686"/>
      <c r="AA521" s="669"/>
      <c r="AB521" s="695"/>
      <c r="AC521" s="669"/>
    </row>
    <row r="522" ht="18.0" customHeight="1">
      <c r="A522" s="695"/>
      <c r="B522" s="695"/>
      <c r="C522" s="695"/>
      <c r="D522" s="695"/>
      <c r="E522" s="695"/>
      <c r="F522" s="686"/>
      <c r="G522" s="695"/>
      <c r="H522" s="695"/>
      <c r="I522" s="695"/>
      <c r="J522" s="731"/>
      <c r="K522" s="695"/>
      <c r="L522" s="686"/>
      <c r="M522" s="686"/>
      <c r="N522" s="686"/>
      <c r="O522" s="686"/>
      <c r="P522" s="686"/>
      <c r="Q522" s="666"/>
      <c r="R522" s="686"/>
      <c r="S522" s="686"/>
      <c r="T522" s="688"/>
      <c r="U522" s="688"/>
      <c r="V522" s="686"/>
      <c r="W522" s="686"/>
      <c r="X522" s="686"/>
      <c r="Y522" s="686"/>
      <c r="Z522" s="686"/>
      <c r="AA522" s="669"/>
      <c r="AB522" s="695"/>
      <c r="AC522" s="669"/>
    </row>
    <row r="523" ht="18.0" customHeight="1">
      <c r="A523" s="695"/>
      <c r="B523" s="695"/>
      <c r="C523" s="695"/>
      <c r="D523" s="695"/>
      <c r="E523" s="695"/>
      <c r="F523" s="686"/>
      <c r="G523" s="695"/>
      <c r="H523" s="695"/>
      <c r="I523" s="695"/>
      <c r="J523" s="731"/>
      <c r="K523" s="695"/>
      <c r="L523" s="686"/>
      <c r="M523" s="686"/>
      <c r="N523" s="686"/>
      <c r="O523" s="686"/>
      <c r="P523" s="686"/>
      <c r="Q523" s="666"/>
      <c r="R523" s="686"/>
      <c r="S523" s="686"/>
      <c r="T523" s="688"/>
      <c r="U523" s="688"/>
      <c r="V523" s="686"/>
      <c r="W523" s="686"/>
      <c r="X523" s="686"/>
      <c r="Y523" s="686"/>
      <c r="Z523" s="686"/>
      <c r="AA523" s="669"/>
      <c r="AB523" s="695"/>
      <c r="AC523" s="669"/>
    </row>
    <row r="524" ht="18.0" customHeight="1">
      <c r="A524" s="695"/>
      <c r="B524" s="695"/>
      <c r="C524" s="695"/>
      <c r="D524" s="695"/>
      <c r="E524" s="695"/>
      <c r="F524" s="686"/>
      <c r="G524" s="695"/>
      <c r="H524" s="695"/>
      <c r="I524" s="695"/>
      <c r="J524" s="731"/>
      <c r="K524" s="695"/>
      <c r="L524" s="686"/>
      <c r="M524" s="686"/>
      <c r="N524" s="686"/>
      <c r="O524" s="686"/>
      <c r="P524" s="686"/>
      <c r="Q524" s="666"/>
      <c r="R524" s="686"/>
      <c r="S524" s="686"/>
      <c r="T524" s="688"/>
      <c r="U524" s="688"/>
      <c r="V524" s="686"/>
      <c r="W524" s="686"/>
      <c r="X524" s="686"/>
      <c r="Y524" s="686"/>
      <c r="Z524" s="686"/>
      <c r="AA524" s="669"/>
      <c r="AB524" s="695"/>
      <c r="AC524" s="669"/>
    </row>
    <row r="525" ht="18.0" customHeight="1">
      <c r="A525" s="695"/>
      <c r="B525" s="695"/>
      <c r="C525" s="695"/>
      <c r="D525" s="695"/>
      <c r="E525" s="695"/>
      <c r="F525" s="686"/>
      <c r="G525" s="695"/>
      <c r="H525" s="695"/>
      <c r="I525" s="695"/>
      <c r="J525" s="731"/>
      <c r="K525" s="695"/>
      <c r="L525" s="686"/>
      <c r="M525" s="686"/>
      <c r="N525" s="686"/>
      <c r="O525" s="686"/>
      <c r="P525" s="686"/>
      <c r="Q525" s="666"/>
      <c r="R525" s="686"/>
      <c r="S525" s="686"/>
      <c r="T525" s="688"/>
      <c r="U525" s="688"/>
      <c r="V525" s="686"/>
      <c r="W525" s="686"/>
      <c r="X525" s="686"/>
      <c r="Y525" s="686"/>
      <c r="Z525" s="686"/>
      <c r="AA525" s="669"/>
      <c r="AB525" s="695"/>
      <c r="AC525" s="669"/>
    </row>
    <row r="526" ht="18.0" customHeight="1">
      <c r="A526" s="695"/>
      <c r="B526" s="695"/>
      <c r="C526" s="695"/>
      <c r="D526" s="695"/>
      <c r="E526" s="695"/>
      <c r="F526" s="686"/>
      <c r="G526" s="695"/>
      <c r="H526" s="695"/>
      <c r="I526" s="695"/>
      <c r="J526" s="731"/>
      <c r="K526" s="695"/>
      <c r="L526" s="686"/>
      <c r="M526" s="686"/>
      <c r="N526" s="686"/>
      <c r="O526" s="686"/>
      <c r="P526" s="686"/>
      <c r="Q526" s="666"/>
      <c r="R526" s="686"/>
      <c r="S526" s="686"/>
      <c r="T526" s="688"/>
      <c r="U526" s="688"/>
      <c r="V526" s="686"/>
      <c r="W526" s="686"/>
      <c r="X526" s="686"/>
      <c r="Y526" s="686"/>
      <c r="Z526" s="686"/>
      <c r="AA526" s="669"/>
      <c r="AB526" s="695"/>
      <c r="AC526" s="669"/>
    </row>
    <row r="527" ht="18.0" customHeight="1">
      <c r="A527" s="695"/>
      <c r="B527" s="695"/>
      <c r="C527" s="695"/>
      <c r="D527" s="695"/>
      <c r="E527" s="695"/>
      <c r="F527" s="686"/>
      <c r="G527" s="695"/>
      <c r="H527" s="695"/>
      <c r="I527" s="695"/>
      <c r="J527" s="731"/>
      <c r="K527" s="695"/>
      <c r="L527" s="686"/>
      <c r="M527" s="686"/>
      <c r="N527" s="686"/>
      <c r="O527" s="686"/>
      <c r="P527" s="686"/>
      <c r="Q527" s="666"/>
      <c r="R527" s="686"/>
      <c r="S527" s="686"/>
      <c r="T527" s="688"/>
      <c r="U527" s="688"/>
      <c r="V527" s="686"/>
      <c r="W527" s="686"/>
      <c r="X527" s="686"/>
      <c r="Y527" s="686"/>
      <c r="Z527" s="686"/>
      <c r="AA527" s="669"/>
      <c r="AB527" s="695"/>
      <c r="AC527" s="669"/>
    </row>
    <row r="528" ht="18.0" customHeight="1">
      <c r="A528" s="695"/>
      <c r="B528" s="695"/>
      <c r="C528" s="695"/>
      <c r="D528" s="695"/>
      <c r="E528" s="695"/>
      <c r="F528" s="686"/>
      <c r="G528" s="695"/>
      <c r="H528" s="695"/>
      <c r="I528" s="695"/>
      <c r="J528" s="731"/>
      <c r="K528" s="695"/>
      <c r="L528" s="686"/>
      <c r="M528" s="686"/>
      <c r="N528" s="686"/>
      <c r="O528" s="686"/>
      <c r="P528" s="686"/>
      <c r="Q528" s="666"/>
      <c r="R528" s="686"/>
      <c r="S528" s="686"/>
      <c r="T528" s="688"/>
      <c r="U528" s="688"/>
      <c r="V528" s="686"/>
      <c r="W528" s="686"/>
      <c r="X528" s="686"/>
      <c r="Y528" s="686"/>
      <c r="Z528" s="686"/>
      <c r="AA528" s="669"/>
      <c r="AB528" s="695"/>
      <c r="AC528" s="669"/>
    </row>
    <row r="529" ht="18.0" customHeight="1">
      <c r="A529" s="695"/>
      <c r="B529" s="695"/>
      <c r="C529" s="695"/>
      <c r="D529" s="695"/>
      <c r="E529" s="695"/>
      <c r="F529" s="686"/>
      <c r="G529" s="695"/>
      <c r="H529" s="695"/>
      <c r="I529" s="695"/>
      <c r="J529" s="731"/>
      <c r="K529" s="695"/>
      <c r="L529" s="686"/>
      <c r="M529" s="686"/>
      <c r="N529" s="686"/>
      <c r="O529" s="686"/>
      <c r="P529" s="686"/>
      <c r="Q529" s="666"/>
      <c r="R529" s="686"/>
      <c r="S529" s="686"/>
      <c r="T529" s="688"/>
      <c r="U529" s="688"/>
      <c r="V529" s="686"/>
      <c r="W529" s="686"/>
      <c r="X529" s="686"/>
      <c r="Y529" s="686"/>
      <c r="Z529" s="686"/>
      <c r="AA529" s="669"/>
      <c r="AB529" s="695"/>
      <c r="AC529" s="669"/>
    </row>
    <row r="530" ht="18.0" customHeight="1">
      <c r="A530" s="695"/>
      <c r="B530" s="695"/>
      <c r="C530" s="695"/>
      <c r="D530" s="695"/>
      <c r="E530" s="695"/>
      <c r="F530" s="686"/>
      <c r="G530" s="695"/>
      <c r="H530" s="695"/>
      <c r="I530" s="695"/>
      <c r="J530" s="731"/>
      <c r="K530" s="695"/>
      <c r="L530" s="686"/>
      <c r="M530" s="686"/>
      <c r="N530" s="686"/>
      <c r="O530" s="686"/>
      <c r="P530" s="686"/>
      <c r="Q530" s="666"/>
      <c r="R530" s="686"/>
      <c r="S530" s="686"/>
      <c r="T530" s="688"/>
      <c r="U530" s="688"/>
      <c r="V530" s="686"/>
      <c r="W530" s="686"/>
      <c r="X530" s="686"/>
      <c r="Y530" s="686"/>
      <c r="Z530" s="686"/>
      <c r="AA530" s="669"/>
      <c r="AB530" s="695"/>
      <c r="AC530" s="669"/>
    </row>
    <row r="531" ht="18.0" customHeight="1">
      <c r="A531" s="695"/>
      <c r="B531" s="695"/>
      <c r="C531" s="695"/>
      <c r="D531" s="695"/>
      <c r="E531" s="695"/>
      <c r="F531" s="686"/>
      <c r="G531" s="695"/>
      <c r="H531" s="695"/>
      <c r="I531" s="695"/>
      <c r="J531" s="731"/>
      <c r="K531" s="695"/>
      <c r="L531" s="686"/>
      <c r="M531" s="686"/>
      <c r="N531" s="686"/>
      <c r="O531" s="686"/>
      <c r="P531" s="686"/>
      <c r="Q531" s="666"/>
      <c r="R531" s="686"/>
      <c r="S531" s="686"/>
      <c r="T531" s="688"/>
      <c r="U531" s="688"/>
      <c r="V531" s="686"/>
      <c r="W531" s="686"/>
      <c r="X531" s="686"/>
      <c r="Y531" s="686"/>
      <c r="Z531" s="686"/>
      <c r="AA531" s="669"/>
      <c r="AB531" s="695"/>
      <c r="AC531" s="669"/>
    </row>
    <row r="532" ht="18.0" customHeight="1">
      <c r="A532" s="695"/>
      <c r="B532" s="695"/>
      <c r="C532" s="695"/>
      <c r="D532" s="695"/>
      <c r="E532" s="695"/>
      <c r="F532" s="686"/>
      <c r="G532" s="695"/>
      <c r="H532" s="695"/>
      <c r="I532" s="695"/>
      <c r="J532" s="731"/>
      <c r="K532" s="695"/>
      <c r="L532" s="686"/>
      <c r="M532" s="686"/>
      <c r="N532" s="686"/>
      <c r="O532" s="686"/>
      <c r="P532" s="686"/>
      <c r="Q532" s="666"/>
      <c r="R532" s="686"/>
      <c r="S532" s="686"/>
      <c r="T532" s="688"/>
      <c r="U532" s="688"/>
      <c r="V532" s="686"/>
      <c r="W532" s="686"/>
      <c r="X532" s="686"/>
      <c r="Y532" s="686"/>
      <c r="Z532" s="686"/>
      <c r="AA532" s="669"/>
      <c r="AB532" s="695"/>
      <c r="AC532" s="669"/>
    </row>
    <row r="533" ht="18.0" customHeight="1">
      <c r="A533" s="695"/>
      <c r="B533" s="695"/>
      <c r="C533" s="695"/>
      <c r="D533" s="695"/>
      <c r="E533" s="695"/>
      <c r="F533" s="686"/>
      <c r="G533" s="695"/>
      <c r="H533" s="695"/>
      <c r="I533" s="695"/>
      <c r="J533" s="731"/>
      <c r="K533" s="695"/>
      <c r="L533" s="686"/>
      <c r="M533" s="686"/>
      <c r="N533" s="686"/>
      <c r="O533" s="686"/>
      <c r="P533" s="686"/>
      <c r="Q533" s="666"/>
      <c r="R533" s="686"/>
      <c r="S533" s="686"/>
      <c r="T533" s="688"/>
      <c r="U533" s="688"/>
      <c r="V533" s="686"/>
      <c r="W533" s="686"/>
      <c r="X533" s="686"/>
      <c r="Y533" s="686"/>
      <c r="Z533" s="686"/>
      <c r="AA533" s="669"/>
      <c r="AB533" s="695"/>
      <c r="AC533" s="669"/>
    </row>
    <row r="534" ht="18.0" customHeight="1">
      <c r="A534" s="695"/>
      <c r="B534" s="695"/>
      <c r="C534" s="695"/>
      <c r="D534" s="695"/>
      <c r="E534" s="695"/>
      <c r="F534" s="686"/>
      <c r="G534" s="695"/>
      <c r="H534" s="695"/>
      <c r="I534" s="695"/>
      <c r="J534" s="731"/>
      <c r="K534" s="695"/>
      <c r="L534" s="686"/>
      <c r="M534" s="686"/>
      <c r="N534" s="686"/>
      <c r="O534" s="686"/>
      <c r="P534" s="686"/>
      <c r="Q534" s="666"/>
      <c r="R534" s="686"/>
      <c r="S534" s="686"/>
      <c r="T534" s="688"/>
      <c r="U534" s="688"/>
      <c r="V534" s="686"/>
      <c r="W534" s="686"/>
      <c r="X534" s="686"/>
      <c r="Y534" s="686"/>
      <c r="Z534" s="686"/>
      <c r="AA534" s="669"/>
      <c r="AB534" s="695"/>
      <c r="AC534" s="669"/>
    </row>
    <row r="535" ht="18.0" customHeight="1">
      <c r="A535" s="695"/>
      <c r="B535" s="695"/>
      <c r="C535" s="695"/>
      <c r="D535" s="695"/>
      <c r="E535" s="695"/>
      <c r="F535" s="686"/>
      <c r="G535" s="695"/>
      <c r="H535" s="695"/>
      <c r="I535" s="695"/>
      <c r="J535" s="731"/>
      <c r="K535" s="695"/>
      <c r="L535" s="686"/>
      <c r="M535" s="686"/>
      <c r="N535" s="686"/>
      <c r="O535" s="686"/>
      <c r="P535" s="686"/>
      <c r="Q535" s="666"/>
      <c r="R535" s="686"/>
      <c r="S535" s="686"/>
      <c r="T535" s="688"/>
      <c r="U535" s="688"/>
      <c r="V535" s="686"/>
      <c r="W535" s="686"/>
      <c r="X535" s="686"/>
      <c r="Y535" s="686"/>
      <c r="Z535" s="686"/>
      <c r="AA535" s="669"/>
      <c r="AB535" s="695"/>
      <c r="AC535" s="669"/>
    </row>
    <row r="536" ht="18.0" customHeight="1">
      <c r="A536" s="695"/>
      <c r="B536" s="695"/>
      <c r="C536" s="695"/>
      <c r="D536" s="695"/>
      <c r="E536" s="695"/>
      <c r="F536" s="686"/>
      <c r="G536" s="695"/>
      <c r="H536" s="695"/>
      <c r="I536" s="695"/>
      <c r="J536" s="731"/>
      <c r="K536" s="695"/>
      <c r="L536" s="686"/>
      <c r="M536" s="686"/>
      <c r="N536" s="686"/>
      <c r="O536" s="686"/>
      <c r="P536" s="686"/>
      <c r="Q536" s="666"/>
      <c r="R536" s="686"/>
      <c r="S536" s="686"/>
      <c r="T536" s="688"/>
      <c r="U536" s="688"/>
      <c r="V536" s="686"/>
      <c r="W536" s="686"/>
      <c r="X536" s="686"/>
      <c r="Y536" s="686"/>
      <c r="Z536" s="686"/>
      <c r="AA536" s="669"/>
      <c r="AB536" s="695"/>
      <c r="AC536" s="669"/>
    </row>
    <row r="537" ht="18.0" customHeight="1">
      <c r="A537" s="695"/>
      <c r="B537" s="695"/>
      <c r="C537" s="695"/>
      <c r="D537" s="695"/>
      <c r="E537" s="695"/>
      <c r="F537" s="686"/>
      <c r="G537" s="695"/>
      <c r="H537" s="695"/>
      <c r="I537" s="695"/>
      <c r="J537" s="731"/>
      <c r="K537" s="695"/>
      <c r="L537" s="686"/>
      <c r="M537" s="686"/>
      <c r="N537" s="686"/>
      <c r="O537" s="686"/>
      <c r="P537" s="686"/>
      <c r="Q537" s="666"/>
      <c r="R537" s="686"/>
      <c r="S537" s="686"/>
      <c r="T537" s="688"/>
      <c r="U537" s="688"/>
      <c r="V537" s="686"/>
      <c r="W537" s="686"/>
      <c r="X537" s="686"/>
      <c r="Y537" s="686"/>
      <c r="Z537" s="686"/>
      <c r="AA537" s="669"/>
      <c r="AB537" s="695"/>
      <c r="AC537" s="669"/>
    </row>
    <row r="538" ht="18.0" customHeight="1">
      <c r="A538" s="695"/>
      <c r="B538" s="695"/>
      <c r="C538" s="695"/>
      <c r="D538" s="695"/>
      <c r="E538" s="695"/>
      <c r="F538" s="686"/>
      <c r="G538" s="695"/>
      <c r="H538" s="695"/>
      <c r="I538" s="695"/>
      <c r="J538" s="731"/>
      <c r="K538" s="695"/>
      <c r="L538" s="686"/>
      <c r="M538" s="686"/>
      <c r="N538" s="686"/>
      <c r="O538" s="686"/>
      <c r="P538" s="686"/>
      <c r="Q538" s="666"/>
      <c r="R538" s="686"/>
      <c r="S538" s="686"/>
      <c r="T538" s="688"/>
      <c r="U538" s="688"/>
      <c r="V538" s="686"/>
      <c r="W538" s="686"/>
      <c r="X538" s="686"/>
      <c r="Y538" s="686"/>
      <c r="Z538" s="686"/>
      <c r="AA538" s="669"/>
      <c r="AB538" s="695"/>
      <c r="AC538" s="669"/>
    </row>
    <row r="539" ht="18.0" customHeight="1">
      <c r="A539" s="695"/>
      <c r="B539" s="695"/>
      <c r="C539" s="695"/>
      <c r="D539" s="695"/>
      <c r="E539" s="695"/>
      <c r="F539" s="686"/>
      <c r="G539" s="695"/>
      <c r="H539" s="695"/>
      <c r="I539" s="695"/>
      <c r="J539" s="731"/>
      <c r="K539" s="695"/>
      <c r="L539" s="686"/>
      <c r="M539" s="686"/>
      <c r="N539" s="686"/>
      <c r="O539" s="686"/>
      <c r="P539" s="686"/>
      <c r="Q539" s="666"/>
      <c r="R539" s="686"/>
      <c r="S539" s="686"/>
      <c r="T539" s="688"/>
      <c r="U539" s="688"/>
      <c r="V539" s="686"/>
      <c r="W539" s="686"/>
      <c r="X539" s="686"/>
      <c r="Y539" s="686"/>
      <c r="Z539" s="686"/>
      <c r="AA539" s="669"/>
      <c r="AB539" s="695"/>
      <c r="AC539" s="669"/>
    </row>
    <row r="540" ht="18.0" customHeight="1">
      <c r="A540" s="695"/>
      <c r="B540" s="695"/>
      <c r="C540" s="695"/>
      <c r="D540" s="695"/>
      <c r="E540" s="695"/>
      <c r="F540" s="686"/>
      <c r="G540" s="695"/>
      <c r="H540" s="695"/>
      <c r="I540" s="695"/>
      <c r="J540" s="731"/>
      <c r="K540" s="695"/>
      <c r="L540" s="686"/>
      <c r="M540" s="686"/>
      <c r="N540" s="686"/>
      <c r="O540" s="686"/>
      <c r="P540" s="686"/>
      <c r="Q540" s="666"/>
      <c r="R540" s="686"/>
      <c r="S540" s="686"/>
      <c r="T540" s="688"/>
      <c r="U540" s="688"/>
      <c r="V540" s="686"/>
      <c r="W540" s="686"/>
      <c r="X540" s="686"/>
      <c r="Y540" s="686"/>
      <c r="Z540" s="686"/>
      <c r="AA540" s="669"/>
      <c r="AB540" s="695"/>
      <c r="AC540" s="669"/>
    </row>
    <row r="541" ht="18.0" customHeight="1">
      <c r="A541" s="695"/>
      <c r="B541" s="695"/>
      <c r="C541" s="695"/>
      <c r="D541" s="695"/>
      <c r="E541" s="695"/>
      <c r="F541" s="686"/>
      <c r="G541" s="695"/>
      <c r="H541" s="695"/>
      <c r="I541" s="695"/>
      <c r="J541" s="731"/>
      <c r="K541" s="695"/>
      <c r="L541" s="686"/>
      <c r="M541" s="686"/>
      <c r="N541" s="686"/>
      <c r="O541" s="686"/>
      <c r="P541" s="686"/>
      <c r="Q541" s="666"/>
      <c r="R541" s="686"/>
      <c r="S541" s="686"/>
      <c r="T541" s="688"/>
      <c r="U541" s="688"/>
      <c r="V541" s="686"/>
      <c r="W541" s="686"/>
      <c r="X541" s="686"/>
      <c r="Y541" s="686"/>
      <c r="Z541" s="686"/>
      <c r="AA541" s="669"/>
      <c r="AB541" s="695"/>
      <c r="AC541" s="669"/>
    </row>
    <row r="542" ht="18.0" customHeight="1">
      <c r="A542" s="695"/>
      <c r="B542" s="695"/>
      <c r="C542" s="695"/>
      <c r="D542" s="695"/>
      <c r="E542" s="695"/>
      <c r="F542" s="686"/>
      <c r="G542" s="695"/>
      <c r="H542" s="695"/>
      <c r="I542" s="695"/>
      <c r="J542" s="731"/>
      <c r="K542" s="695"/>
      <c r="L542" s="686"/>
      <c r="M542" s="686"/>
      <c r="N542" s="686"/>
      <c r="O542" s="686"/>
      <c r="P542" s="686"/>
      <c r="Q542" s="666"/>
      <c r="R542" s="686"/>
      <c r="S542" s="686"/>
      <c r="T542" s="688"/>
      <c r="U542" s="688"/>
      <c r="V542" s="686"/>
      <c r="W542" s="686"/>
      <c r="X542" s="686"/>
      <c r="Y542" s="686"/>
      <c r="Z542" s="686"/>
      <c r="AA542" s="669"/>
      <c r="AB542" s="695"/>
      <c r="AC542" s="669"/>
    </row>
    <row r="543" ht="18.0" customHeight="1">
      <c r="A543" s="695"/>
      <c r="B543" s="695"/>
      <c r="C543" s="695"/>
      <c r="D543" s="695"/>
      <c r="E543" s="695"/>
      <c r="F543" s="686"/>
      <c r="G543" s="695"/>
      <c r="H543" s="695"/>
      <c r="I543" s="695"/>
      <c r="J543" s="731"/>
      <c r="K543" s="695"/>
      <c r="L543" s="686"/>
      <c r="M543" s="686"/>
      <c r="N543" s="686"/>
      <c r="O543" s="686"/>
      <c r="P543" s="686"/>
      <c r="Q543" s="666"/>
      <c r="R543" s="686"/>
      <c r="S543" s="686"/>
      <c r="T543" s="688"/>
      <c r="U543" s="688"/>
      <c r="V543" s="686"/>
      <c r="W543" s="686"/>
      <c r="X543" s="686"/>
      <c r="Y543" s="686"/>
      <c r="Z543" s="686"/>
      <c r="AA543" s="669"/>
      <c r="AB543" s="695"/>
      <c r="AC543" s="669"/>
    </row>
    <row r="544" ht="18.0" customHeight="1">
      <c r="A544" s="695"/>
      <c r="B544" s="695"/>
      <c r="C544" s="695"/>
      <c r="D544" s="695"/>
      <c r="E544" s="695"/>
      <c r="F544" s="686"/>
      <c r="G544" s="695"/>
      <c r="H544" s="695"/>
      <c r="I544" s="695"/>
      <c r="J544" s="731"/>
      <c r="K544" s="695"/>
      <c r="L544" s="686"/>
      <c r="M544" s="686"/>
      <c r="N544" s="686"/>
      <c r="O544" s="686"/>
      <c r="P544" s="686"/>
      <c r="Q544" s="666"/>
      <c r="R544" s="686"/>
      <c r="S544" s="686"/>
      <c r="T544" s="688"/>
      <c r="U544" s="688"/>
      <c r="V544" s="686"/>
      <c r="W544" s="686"/>
      <c r="X544" s="686"/>
      <c r="Y544" s="686"/>
      <c r="Z544" s="686"/>
      <c r="AA544" s="669"/>
      <c r="AB544" s="695"/>
      <c r="AC544" s="669"/>
    </row>
    <row r="545" ht="18.0" customHeight="1">
      <c r="A545" s="695"/>
      <c r="B545" s="695"/>
      <c r="C545" s="695"/>
      <c r="D545" s="695"/>
      <c r="E545" s="695"/>
      <c r="F545" s="686"/>
      <c r="G545" s="695"/>
      <c r="H545" s="695"/>
      <c r="I545" s="695"/>
      <c r="J545" s="731"/>
      <c r="K545" s="695"/>
      <c r="L545" s="686"/>
      <c r="M545" s="686"/>
      <c r="N545" s="686"/>
      <c r="O545" s="686"/>
      <c r="P545" s="686"/>
      <c r="Q545" s="666"/>
      <c r="R545" s="686"/>
      <c r="S545" s="686"/>
      <c r="T545" s="688"/>
      <c r="U545" s="688"/>
      <c r="V545" s="686"/>
      <c r="W545" s="686"/>
      <c r="X545" s="686"/>
      <c r="Y545" s="686"/>
      <c r="Z545" s="686"/>
      <c r="AA545" s="669"/>
      <c r="AB545" s="695"/>
      <c r="AC545" s="669"/>
    </row>
    <row r="546" ht="18.0" customHeight="1">
      <c r="A546" s="695"/>
      <c r="B546" s="695"/>
      <c r="C546" s="695"/>
      <c r="D546" s="695"/>
      <c r="E546" s="695"/>
      <c r="F546" s="686"/>
      <c r="G546" s="695"/>
      <c r="H546" s="695"/>
      <c r="I546" s="695"/>
      <c r="J546" s="731"/>
      <c r="K546" s="695"/>
      <c r="L546" s="686"/>
      <c r="M546" s="686"/>
      <c r="N546" s="686"/>
      <c r="O546" s="686"/>
      <c r="P546" s="686"/>
      <c r="Q546" s="666"/>
      <c r="R546" s="686"/>
      <c r="S546" s="686"/>
      <c r="T546" s="688"/>
      <c r="U546" s="688"/>
      <c r="V546" s="686"/>
      <c r="W546" s="686"/>
      <c r="X546" s="686"/>
      <c r="Y546" s="686"/>
      <c r="Z546" s="686"/>
      <c r="AA546" s="669"/>
      <c r="AB546" s="695"/>
      <c r="AC546" s="669"/>
    </row>
    <row r="547" ht="18.0" customHeight="1">
      <c r="A547" s="695"/>
      <c r="B547" s="695"/>
      <c r="C547" s="695"/>
      <c r="D547" s="695"/>
      <c r="E547" s="695"/>
      <c r="F547" s="686"/>
      <c r="G547" s="695"/>
      <c r="H547" s="695"/>
      <c r="I547" s="695"/>
      <c r="J547" s="731"/>
      <c r="K547" s="695"/>
      <c r="L547" s="686"/>
      <c r="M547" s="686"/>
      <c r="N547" s="686"/>
      <c r="O547" s="686"/>
      <c r="P547" s="686"/>
      <c r="Q547" s="666"/>
      <c r="R547" s="686"/>
      <c r="S547" s="686"/>
      <c r="T547" s="688"/>
      <c r="U547" s="688"/>
      <c r="V547" s="686"/>
      <c r="W547" s="686"/>
      <c r="X547" s="686"/>
      <c r="Y547" s="686"/>
      <c r="Z547" s="686"/>
      <c r="AA547" s="669"/>
      <c r="AB547" s="695"/>
      <c r="AC547" s="669"/>
    </row>
    <row r="548" ht="18.0" customHeight="1">
      <c r="A548" s="695"/>
      <c r="B548" s="695"/>
      <c r="C548" s="695"/>
      <c r="D548" s="695"/>
      <c r="E548" s="695"/>
      <c r="F548" s="686"/>
      <c r="G548" s="695"/>
      <c r="H548" s="695"/>
      <c r="I548" s="695"/>
      <c r="J548" s="731"/>
      <c r="K548" s="695"/>
      <c r="L548" s="686"/>
      <c r="M548" s="686"/>
      <c r="N548" s="686"/>
      <c r="O548" s="686"/>
      <c r="P548" s="686"/>
      <c r="Q548" s="666"/>
      <c r="R548" s="686"/>
      <c r="S548" s="686"/>
      <c r="T548" s="688"/>
      <c r="U548" s="688"/>
      <c r="V548" s="686"/>
      <c r="W548" s="686"/>
      <c r="X548" s="686"/>
      <c r="Y548" s="686"/>
      <c r="Z548" s="686"/>
      <c r="AA548" s="669"/>
      <c r="AB548" s="695"/>
      <c r="AC548" s="669"/>
    </row>
    <row r="549" ht="18.0" customHeight="1">
      <c r="A549" s="695"/>
      <c r="B549" s="695"/>
      <c r="C549" s="695"/>
      <c r="D549" s="695"/>
      <c r="E549" s="695"/>
      <c r="F549" s="686"/>
      <c r="G549" s="695"/>
      <c r="H549" s="695"/>
      <c r="I549" s="695"/>
      <c r="J549" s="731"/>
      <c r="K549" s="695"/>
      <c r="L549" s="686"/>
      <c r="M549" s="686"/>
      <c r="N549" s="686"/>
      <c r="O549" s="686"/>
      <c r="P549" s="686"/>
      <c r="Q549" s="666"/>
      <c r="R549" s="686"/>
      <c r="S549" s="686"/>
      <c r="T549" s="688"/>
      <c r="U549" s="688"/>
      <c r="V549" s="686"/>
      <c r="W549" s="686"/>
      <c r="X549" s="686"/>
      <c r="Y549" s="686"/>
      <c r="Z549" s="686"/>
      <c r="AA549" s="669"/>
      <c r="AB549" s="695"/>
      <c r="AC549" s="669"/>
    </row>
    <row r="550" ht="18.0" customHeight="1">
      <c r="A550" s="695"/>
      <c r="B550" s="695"/>
      <c r="C550" s="695"/>
      <c r="D550" s="695"/>
      <c r="E550" s="695"/>
      <c r="F550" s="686"/>
      <c r="G550" s="695"/>
      <c r="H550" s="695"/>
      <c r="I550" s="695"/>
      <c r="J550" s="731"/>
      <c r="K550" s="695"/>
      <c r="L550" s="686"/>
      <c r="M550" s="686"/>
      <c r="N550" s="686"/>
      <c r="O550" s="686"/>
      <c r="P550" s="686"/>
      <c r="Q550" s="666"/>
      <c r="R550" s="686"/>
      <c r="S550" s="686"/>
      <c r="T550" s="688"/>
      <c r="U550" s="688"/>
      <c r="V550" s="686"/>
      <c r="W550" s="686"/>
      <c r="X550" s="686"/>
      <c r="Y550" s="686"/>
      <c r="Z550" s="686"/>
      <c r="AA550" s="669"/>
      <c r="AB550" s="695"/>
      <c r="AC550" s="669"/>
    </row>
    <row r="551" ht="18.0" customHeight="1">
      <c r="A551" s="695"/>
      <c r="B551" s="695"/>
      <c r="C551" s="695"/>
      <c r="D551" s="695"/>
      <c r="E551" s="695"/>
      <c r="F551" s="686"/>
      <c r="G551" s="695"/>
      <c r="H551" s="695"/>
      <c r="I551" s="695"/>
      <c r="J551" s="731"/>
      <c r="K551" s="695"/>
      <c r="L551" s="686"/>
      <c r="M551" s="686"/>
      <c r="N551" s="686"/>
      <c r="O551" s="686"/>
      <c r="P551" s="686"/>
      <c r="Q551" s="666"/>
      <c r="R551" s="686"/>
      <c r="S551" s="686"/>
      <c r="T551" s="688"/>
      <c r="U551" s="688"/>
      <c r="V551" s="686"/>
      <c r="W551" s="686"/>
      <c r="X551" s="686"/>
      <c r="Y551" s="686"/>
      <c r="Z551" s="686"/>
      <c r="AA551" s="669"/>
      <c r="AB551" s="695"/>
      <c r="AC551" s="669"/>
    </row>
    <row r="552" ht="18.0" customHeight="1">
      <c r="A552" s="695"/>
      <c r="B552" s="695"/>
      <c r="C552" s="695"/>
      <c r="D552" s="695"/>
      <c r="E552" s="695"/>
      <c r="F552" s="686"/>
      <c r="G552" s="695"/>
      <c r="H552" s="695"/>
      <c r="I552" s="695"/>
      <c r="J552" s="731"/>
      <c r="K552" s="695"/>
      <c r="L552" s="686"/>
      <c r="M552" s="686"/>
      <c r="N552" s="686"/>
      <c r="O552" s="686"/>
      <c r="P552" s="686"/>
      <c r="Q552" s="666"/>
      <c r="R552" s="686"/>
      <c r="S552" s="686"/>
      <c r="T552" s="688"/>
      <c r="U552" s="688"/>
      <c r="V552" s="686"/>
      <c r="W552" s="686"/>
      <c r="X552" s="686"/>
      <c r="Y552" s="686"/>
      <c r="Z552" s="686"/>
      <c r="AA552" s="669"/>
      <c r="AB552" s="695"/>
      <c r="AC552" s="669"/>
    </row>
    <row r="553" ht="18.0" customHeight="1">
      <c r="A553" s="695"/>
      <c r="B553" s="695"/>
      <c r="C553" s="695"/>
      <c r="D553" s="695"/>
      <c r="E553" s="695"/>
      <c r="F553" s="686"/>
      <c r="G553" s="695"/>
      <c r="H553" s="695"/>
      <c r="I553" s="695"/>
      <c r="J553" s="731"/>
      <c r="K553" s="695"/>
      <c r="L553" s="686"/>
      <c r="M553" s="686"/>
      <c r="N553" s="686"/>
      <c r="O553" s="686"/>
      <c r="P553" s="686"/>
      <c r="Q553" s="666"/>
      <c r="R553" s="686"/>
      <c r="S553" s="686"/>
      <c r="T553" s="688"/>
      <c r="U553" s="688"/>
      <c r="V553" s="686"/>
      <c r="W553" s="686"/>
      <c r="X553" s="686"/>
      <c r="Y553" s="686"/>
      <c r="Z553" s="686"/>
      <c r="AA553" s="669"/>
      <c r="AB553" s="695"/>
      <c r="AC553" s="669"/>
    </row>
    <row r="554" ht="18.0" customHeight="1">
      <c r="A554" s="695"/>
      <c r="B554" s="695"/>
      <c r="C554" s="695"/>
      <c r="D554" s="695"/>
      <c r="E554" s="695"/>
      <c r="F554" s="686"/>
      <c r="G554" s="695"/>
      <c r="H554" s="695"/>
      <c r="I554" s="695"/>
      <c r="J554" s="731"/>
      <c r="K554" s="695"/>
      <c r="L554" s="686"/>
      <c r="M554" s="686"/>
      <c r="N554" s="686"/>
      <c r="O554" s="686"/>
      <c r="P554" s="686"/>
      <c r="Q554" s="666"/>
      <c r="R554" s="686"/>
      <c r="S554" s="686"/>
      <c r="T554" s="688"/>
      <c r="U554" s="688"/>
      <c r="V554" s="686"/>
      <c r="W554" s="686"/>
      <c r="X554" s="686"/>
      <c r="Y554" s="686"/>
      <c r="Z554" s="686"/>
      <c r="AA554" s="669"/>
      <c r="AB554" s="695"/>
      <c r="AC554" s="669"/>
    </row>
    <row r="555" ht="18.0" customHeight="1">
      <c r="A555" s="695"/>
      <c r="B555" s="695"/>
      <c r="C555" s="695"/>
      <c r="D555" s="695"/>
      <c r="E555" s="695"/>
      <c r="F555" s="686"/>
      <c r="G555" s="695"/>
      <c r="H555" s="695"/>
      <c r="I555" s="695"/>
      <c r="J555" s="731"/>
      <c r="K555" s="695"/>
      <c r="L555" s="686"/>
      <c r="M555" s="686"/>
      <c r="N555" s="686"/>
      <c r="O555" s="686"/>
      <c r="P555" s="686"/>
      <c r="Q555" s="666"/>
      <c r="R555" s="686"/>
      <c r="S555" s="686"/>
      <c r="T555" s="688"/>
      <c r="U555" s="688"/>
      <c r="V555" s="686"/>
      <c r="W555" s="686"/>
      <c r="X555" s="686"/>
      <c r="Y555" s="686"/>
      <c r="Z555" s="686"/>
      <c r="AA555" s="669"/>
      <c r="AB555" s="695"/>
      <c r="AC555" s="669"/>
    </row>
    <row r="556" ht="18.0" customHeight="1">
      <c r="A556" s="695"/>
      <c r="B556" s="695"/>
      <c r="C556" s="695"/>
      <c r="D556" s="695"/>
      <c r="E556" s="695"/>
      <c r="F556" s="686"/>
      <c r="G556" s="695"/>
      <c r="H556" s="695"/>
      <c r="I556" s="695"/>
      <c r="J556" s="731"/>
      <c r="K556" s="695"/>
      <c r="L556" s="686"/>
      <c r="M556" s="686"/>
      <c r="N556" s="686"/>
      <c r="O556" s="686"/>
      <c r="P556" s="686"/>
      <c r="Q556" s="666"/>
      <c r="R556" s="686"/>
      <c r="S556" s="686"/>
      <c r="T556" s="688"/>
      <c r="U556" s="688"/>
      <c r="V556" s="686"/>
      <c r="W556" s="686"/>
      <c r="X556" s="686"/>
      <c r="Y556" s="686"/>
      <c r="Z556" s="686"/>
      <c r="AA556" s="669"/>
      <c r="AB556" s="695"/>
      <c r="AC556" s="669"/>
    </row>
    <row r="557" ht="18.0" customHeight="1">
      <c r="A557" s="695"/>
      <c r="B557" s="695"/>
      <c r="C557" s="695"/>
      <c r="D557" s="695"/>
      <c r="E557" s="695"/>
      <c r="F557" s="686"/>
      <c r="G557" s="695"/>
      <c r="H557" s="695"/>
      <c r="I557" s="695"/>
      <c r="J557" s="731"/>
      <c r="K557" s="695"/>
      <c r="L557" s="686"/>
      <c r="M557" s="686"/>
      <c r="N557" s="686"/>
      <c r="O557" s="686"/>
      <c r="P557" s="686"/>
      <c r="Q557" s="666"/>
      <c r="R557" s="686"/>
      <c r="S557" s="686"/>
      <c r="T557" s="688"/>
      <c r="U557" s="688"/>
      <c r="V557" s="686"/>
      <c r="W557" s="686"/>
      <c r="X557" s="686"/>
      <c r="Y557" s="686"/>
      <c r="Z557" s="686"/>
      <c r="AA557" s="669"/>
      <c r="AB557" s="695"/>
      <c r="AC557" s="669"/>
    </row>
    <row r="558" ht="18.0" customHeight="1">
      <c r="A558" s="695"/>
      <c r="B558" s="695"/>
      <c r="C558" s="695"/>
      <c r="D558" s="695"/>
      <c r="E558" s="695"/>
      <c r="F558" s="686"/>
      <c r="G558" s="695"/>
      <c r="H558" s="695"/>
      <c r="I558" s="695"/>
      <c r="J558" s="731"/>
      <c r="K558" s="695"/>
      <c r="L558" s="686"/>
      <c r="M558" s="686"/>
      <c r="N558" s="686"/>
      <c r="O558" s="686"/>
      <c r="P558" s="686"/>
      <c r="Q558" s="666"/>
      <c r="R558" s="686"/>
      <c r="S558" s="686"/>
      <c r="T558" s="688"/>
      <c r="U558" s="688"/>
      <c r="V558" s="686"/>
      <c r="W558" s="686"/>
      <c r="X558" s="686"/>
      <c r="Y558" s="686"/>
      <c r="Z558" s="686"/>
      <c r="AA558" s="669"/>
      <c r="AB558" s="695"/>
      <c r="AC558" s="669"/>
    </row>
    <row r="559" ht="18.0" customHeight="1">
      <c r="A559" s="695"/>
      <c r="B559" s="695"/>
      <c r="C559" s="695"/>
      <c r="D559" s="695"/>
      <c r="E559" s="695"/>
      <c r="F559" s="686"/>
      <c r="G559" s="695"/>
      <c r="H559" s="695"/>
      <c r="I559" s="695"/>
      <c r="J559" s="731"/>
      <c r="K559" s="695"/>
      <c r="L559" s="686"/>
      <c r="M559" s="686"/>
      <c r="N559" s="686"/>
      <c r="O559" s="686"/>
      <c r="P559" s="686"/>
      <c r="Q559" s="666"/>
      <c r="R559" s="686"/>
      <c r="S559" s="686"/>
      <c r="T559" s="688"/>
      <c r="U559" s="688"/>
      <c r="V559" s="686"/>
      <c r="W559" s="686"/>
      <c r="X559" s="686"/>
      <c r="Y559" s="686"/>
      <c r="Z559" s="686"/>
      <c r="AA559" s="669"/>
      <c r="AB559" s="695"/>
      <c r="AC559" s="669"/>
    </row>
    <row r="560" ht="18.0" customHeight="1">
      <c r="A560" s="695"/>
      <c r="B560" s="695"/>
      <c r="C560" s="695"/>
      <c r="D560" s="695"/>
      <c r="E560" s="695"/>
      <c r="F560" s="686"/>
      <c r="G560" s="695"/>
      <c r="H560" s="695"/>
      <c r="I560" s="695"/>
      <c r="J560" s="731"/>
      <c r="K560" s="695"/>
      <c r="L560" s="686"/>
      <c r="M560" s="686"/>
      <c r="N560" s="686"/>
      <c r="O560" s="686"/>
      <c r="P560" s="686"/>
      <c r="Q560" s="666"/>
      <c r="R560" s="686"/>
      <c r="S560" s="686"/>
      <c r="T560" s="688"/>
      <c r="U560" s="688"/>
      <c r="V560" s="686"/>
      <c r="W560" s="686"/>
      <c r="X560" s="686"/>
      <c r="Y560" s="686"/>
      <c r="Z560" s="686"/>
      <c r="AA560" s="669"/>
      <c r="AB560" s="695"/>
      <c r="AC560" s="669"/>
    </row>
    <row r="561" ht="18.0" customHeight="1">
      <c r="A561" s="695"/>
      <c r="B561" s="695"/>
      <c r="C561" s="695"/>
      <c r="D561" s="695"/>
      <c r="E561" s="695"/>
      <c r="F561" s="686"/>
      <c r="G561" s="695"/>
      <c r="H561" s="695"/>
      <c r="I561" s="695"/>
      <c r="J561" s="731"/>
      <c r="K561" s="695"/>
      <c r="L561" s="686"/>
      <c r="M561" s="686"/>
      <c r="N561" s="686"/>
      <c r="O561" s="686"/>
      <c r="P561" s="686"/>
      <c r="Q561" s="666"/>
      <c r="R561" s="686"/>
      <c r="S561" s="686"/>
      <c r="T561" s="688"/>
      <c r="U561" s="688"/>
      <c r="V561" s="686"/>
      <c r="W561" s="686"/>
      <c r="X561" s="686"/>
      <c r="Y561" s="686"/>
      <c r="Z561" s="686"/>
      <c r="AA561" s="669"/>
      <c r="AB561" s="695"/>
      <c r="AC561" s="669"/>
    </row>
    <row r="562" ht="18.0" customHeight="1">
      <c r="A562" s="695"/>
      <c r="B562" s="695"/>
      <c r="C562" s="695"/>
      <c r="D562" s="695"/>
      <c r="E562" s="695"/>
      <c r="F562" s="686"/>
      <c r="G562" s="695"/>
      <c r="H562" s="695"/>
      <c r="I562" s="695"/>
      <c r="J562" s="731"/>
      <c r="K562" s="695"/>
      <c r="L562" s="686"/>
      <c r="M562" s="686"/>
      <c r="N562" s="686"/>
      <c r="O562" s="686"/>
      <c r="P562" s="686"/>
      <c r="Q562" s="666"/>
      <c r="R562" s="686"/>
      <c r="S562" s="686"/>
      <c r="T562" s="688"/>
      <c r="U562" s="688"/>
      <c r="V562" s="686"/>
      <c r="W562" s="686"/>
      <c r="X562" s="686"/>
      <c r="Y562" s="686"/>
      <c r="Z562" s="686"/>
      <c r="AA562" s="669"/>
      <c r="AB562" s="695"/>
      <c r="AC562" s="669"/>
    </row>
    <row r="563" ht="18.0" customHeight="1">
      <c r="A563" s="695"/>
      <c r="B563" s="695"/>
      <c r="C563" s="695"/>
      <c r="D563" s="695"/>
      <c r="E563" s="695"/>
      <c r="F563" s="686"/>
      <c r="G563" s="695"/>
      <c r="H563" s="695"/>
      <c r="I563" s="695"/>
      <c r="J563" s="731"/>
      <c r="K563" s="695"/>
      <c r="L563" s="686"/>
      <c r="M563" s="686"/>
      <c r="N563" s="686"/>
      <c r="O563" s="686"/>
      <c r="P563" s="686"/>
      <c r="Q563" s="666"/>
      <c r="R563" s="686"/>
      <c r="S563" s="686"/>
      <c r="T563" s="688"/>
      <c r="U563" s="688"/>
      <c r="V563" s="686"/>
      <c r="W563" s="686"/>
      <c r="X563" s="686"/>
      <c r="Y563" s="686"/>
      <c r="Z563" s="686"/>
      <c r="AA563" s="669"/>
      <c r="AB563" s="695"/>
      <c r="AC563" s="669"/>
    </row>
    <row r="564" ht="18.0" customHeight="1">
      <c r="A564" s="695"/>
      <c r="B564" s="695"/>
      <c r="C564" s="695"/>
      <c r="D564" s="695"/>
      <c r="E564" s="695"/>
      <c r="F564" s="686"/>
      <c r="G564" s="695"/>
      <c r="H564" s="695"/>
      <c r="I564" s="695"/>
      <c r="J564" s="731"/>
      <c r="K564" s="695"/>
      <c r="L564" s="686"/>
      <c r="M564" s="686"/>
      <c r="N564" s="686"/>
      <c r="O564" s="686"/>
      <c r="P564" s="686"/>
      <c r="Q564" s="666"/>
      <c r="R564" s="686"/>
      <c r="S564" s="686"/>
      <c r="T564" s="688"/>
      <c r="U564" s="688"/>
      <c r="V564" s="686"/>
      <c r="W564" s="686"/>
      <c r="X564" s="686"/>
      <c r="Y564" s="686"/>
      <c r="Z564" s="686"/>
      <c r="AA564" s="669"/>
      <c r="AB564" s="695"/>
      <c r="AC564" s="669"/>
    </row>
    <row r="565" ht="18.0" customHeight="1">
      <c r="A565" s="695"/>
      <c r="B565" s="695"/>
      <c r="C565" s="695"/>
      <c r="D565" s="695"/>
      <c r="E565" s="695"/>
      <c r="F565" s="686"/>
      <c r="G565" s="695"/>
      <c r="H565" s="695"/>
      <c r="I565" s="695"/>
      <c r="J565" s="731"/>
      <c r="K565" s="695"/>
      <c r="L565" s="686"/>
      <c r="M565" s="686"/>
      <c r="N565" s="686"/>
      <c r="O565" s="686"/>
      <c r="P565" s="686"/>
      <c r="Q565" s="666"/>
      <c r="R565" s="686"/>
      <c r="S565" s="686"/>
      <c r="T565" s="688"/>
      <c r="U565" s="688"/>
      <c r="V565" s="686"/>
      <c r="W565" s="686"/>
      <c r="X565" s="686"/>
      <c r="Y565" s="686"/>
      <c r="Z565" s="686"/>
      <c r="AA565" s="669"/>
      <c r="AB565" s="695"/>
      <c r="AC565" s="669"/>
    </row>
    <row r="566" ht="18.0" customHeight="1">
      <c r="A566" s="695"/>
      <c r="B566" s="695"/>
      <c r="C566" s="695"/>
      <c r="D566" s="695"/>
      <c r="E566" s="695"/>
      <c r="F566" s="686"/>
      <c r="G566" s="695"/>
      <c r="H566" s="695"/>
      <c r="I566" s="695"/>
      <c r="J566" s="731"/>
      <c r="K566" s="695"/>
      <c r="L566" s="686"/>
      <c r="M566" s="686"/>
      <c r="N566" s="686"/>
      <c r="O566" s="686"/>
      <c r="P566" s="686"/>
      <c r="Q566" s="666"/>
      <c r="R566" s="686"/>
      <c r="S566" s="686"/>
      <c r="T566" s="688"/>
      <c r="U566" s="688"/>
      <c r="V566" s="686"/>
      <c r="W566" s="686"/>
      <c r="X566" s="686"/>
      <c r="Y566" s="686"/>
      <c r="Z566" s="686"/>
      <c r="AA566" s="669"/>
      <c r="AB566" s="695"/>
      <c r="AC566" s="669"/>
    </row>
    <row r="567" ht="18.0" customHeight="1">
      <c r="A567" s="695"/>
      <c r="B567" s="695"/>
      <c r="C567" s="695"/>
      <c r="D567" s="695"/>
      <c r="E567" s="695"/>
      <c r="F567" s="686"/>
      <c r="G567" s="695"/>
      <c r="H567" s="695"/>
      <c r="I567" s="695"/>
      <c r="J567" s="731"/>
      <c r="K567" s="695"/>
      <c r="L567" s="686"/>
      <c r="M567" s="686"/>
      <c r="N567" s="686"/>
      <c r="O567" s="686"/>
      <c r="P567" s="686"/>
      <c r="Q567" s="666"/>
      <c r="R567" s="686"/>
      <c r="S567" s="686"/>
      <c r="T567" s="688"/>
      <c r="U567" s="688"/>
      <c r="V567" s="686"/>
      <c r="W567" s="686"/>
      <c r="X567" s="686"/>
      <c r="Y567" s="686"/>
      <c r="Z567" s="686"/>
      <c r="AA567" s="669"/>
      <c r="AB567" s="695"/>
      <c r="AC567" s="669"/>
    </row>
    <row r="568" ht="18.0" customHeight="1">
      <c r="A568" s="695"/>
      <c r="B568" s="695"/>
      <c r="C568" s="695"/>
      <c r="D568" s="695"/>
      <c r="E568" s="695"/>
      <c r="F568" s="686"/>
      <c r="G568" s="695"/>
      <c r="H568" s="695"/>
      <c r="I568" s="695"/>
      <c r="J568" s="731"/>
      <c r="K568" s="695"/>
      <c r="L568" s="686"/>
      <c r="M568" s="686"/>
      <c r="N568" s="686"/>
      <c r="O568" s="686"/>
      <c r="P568" s="686"/>
      <c r="Q568" s="666"/>
      <c r="R568" s="686"/>
      <c r="S568" s="686"/>
      <c r="T568" s="688"/>
      <c r="U568" s="688"/>
      <c r="V568" s="686"/>
      <c r="W568" s="686"/>
      <c r="X568" s="686"/>
      <c r="Y568" s="686"/>
      <c r="Z568" s="686"/>
      <c r="AA568" s="669"/>
      <c r="AB568" s="695"/>
      <c r="AC568" s="669"/>
    </row>
    <row r="569" ht="18.0" customHeight="1">
      <c r="A569" s="695"/>
      <c r="B569" s="695"/>
      <c r="C569" s="695"/>
      <c r="D569" s="695"/>
      <c r="E569" s="695"/>
      <c r="F569" s="686"/>
      <c r="G569" s="695"/>
      <c r="H569" s="695"/>
      <c r="I569" s="695"/>
      <c r="J569" s="731"/>
      <c r="K569" s="695"/>
      <c r="L569" s="686"/>
      <c r="M569" s="686"/>
      <c r="N569" s="686"/>
      <c r="O569" s="686"/>
      <c r="P569" s="686"/>
      <c r="Q569" s="666"/>
      <c r="R569" s="686"/>
      <c r="S569" s="686"/>
      <c r="T569" s="688"/>
      <c r="U569" s="688"/>
      <c r="V569" s="686"/>
      <c r="W569" s="686"/>
      <c r="X569" s="686"/>
      <c r="Y569" s="686"/>
      <c r="Z569" s="686"/>
      <c r="AA569" s="669"/>
      <c r="AB569" s="695"/>
      <c r="AC569" s="669"/>
    </row>
    <row r="570" ht="18.0" customHeight="1">
      <c r="A570" s="695"/>
      <c r="B570" s="695"/>
      <c r="C570" s="695"/>
      <c r="D570" s="695"/>
      <c r="E570" s="695"/>
      <c r="F570" s="686"/>
      <c r="G570" s="695"/>
      <c r="H570" s="695"/>
      <c r="I570" s="695"/>
      <c r="J570" s="731"/>
      <c r="K570" s="695"/>
      <c r="L570" s="686"/>
      <c r="M570" s="686"/>
      <c r="N570" s="686"/>
      <c r="O570" s="686"/>
      <c r="P570" s="686"/>
      <c r="Q570" s="666"/>
      <c r="R570" s="686"/>
      <c r="S570" s="686"/>
      <c r="T570" s="688"/>
      <c r="U570" s="688"/>
      <c r="V570" s="686"/>
      <c r="W570" s="686"/>
      <c r="X570" s="686"/>
      <c r="Y570" s="686"/>
      <c r="Z570" s="686"/>
      <c r="AA570" s="669"/>
      <c r="AB570" s="695"/>
      <c r="AC570" s="669"/>
    </row>
    <row r="571" ht="18.0" customHeight="1">
      <c r="A571" s="695"/>
      <c r="B571" s="695"/>
      <c r="C571" s="695"/>
      <c r="D571" s="695"/>
      <c r="E571" s="695"/>
      <c r="F571" s="686"/>
      <c r="G571" s="695"/>
      <c r="H571" s="695"/>
      <c r="I571" s="695"/>
      <c r="J571" s="731"/>
      <c r="K571" s="695"/>
      <c r="L571" s="686"/>
      <c r="M571" s="686"/>
      <c r="N571" s="686"/>
      <c r="O571" s="686"/>
      <c r="P571" s="686"/>
      <c r="Q571" s="666"/>
      <c r="R571" s="686"/>
      <c r="S571" s="686"/>
      <c r="T571" s="688"/>
      <c r="U571" s="688"/>
      <c r="V571" s="686"/>
      <c r="W571" s="686"/>
      <c r="X571" s="686"/>
      <c r="Y571" s="686"/>
      <c r="Z571" s="686"/>
      <c r="AA571" s="669"/>
      <c r="AB571" s="695"/>
      <c r="AC571" s="669"/>
    </row>
    <row r="572" ht="18.0" customHeight="1">
      <c r="A572" s="695"/>
      <c r="B572" s="695"/>
      <c r="C572" s="695"/>
      <c r="D572" s="695"/>
      <c r="E572" s="695"/>
      <c r="F572" s="686"/>
      <c r="G572" s="695"/>
      <c r="H572" s="695"/>
      <c r="I572" s="695"/>
      <c r="J572" s="731"/>
      <c r="K572" s="695"/>
      <c r="L572" s="686"/>
      <c r="M572" s="686"/>
      <c r="N572" s="686"/>
      <c r="O572" s="686"/>
      <c r="P572" s="686"/>
      <c r="Q572" s="666"/>
      <c r="R572" s="686"/>
      <c r="S572" s="686"/>
      <c r="T572" s="688"/>
      <c r="U572" s="688"/>
      <c r="V572" s="686"/>
      <c r="W572" s="686"/>
      <c r="X572" s="686"/>
      <c r="Y572" s="686"/>
      <c r="Z572" s="686"/>
      <c r="AA572" s="669"/>
      <c r="AB572" s="695"/>
      <c r="AC572" s="669"/>
    </row>
    <row r="573" ht="18.0" customHeight="1">
      <c r="A573" s="695"/>
      <c r="B573" s="695"/>
      <c r="C573" s="695"/>
      <c r="D573" s="695"/>
      <c r="E573" s="695"/>
      <c r="F573" s="686"/>
      <c r="G573" s="695"/>
      <c r="H573" s="695"/>
      <c r="I573" s="695"/>
      <c r="J573" s="731"/>
      <c r="K573" s="695"/>
      <c r="L573" s="686"/>
      <c r="M573" s="686"/>
      <c r="N573" s="686"/>
      <c r="O573" s="686"/>
      <c r="P573" s="686"/>
      <c r="Q573" s="666"/>
      <c r="R573" s="686"/>
      <c r="S573" s="686"/>
      <c r="T573" s="688"/>
      <c r="U573" s="688"/>
      <c r="V573" s="686"/>
      <c r="W573" s="686"/>
      <c r="X573" s="686"/>
      <c r="Y573" s="686"/>
      <c r="Z573" s="686"/>
      <c r="AA573" s="669"/>
      <c r="AB573" s="695"/>
      <c r="AC573" s="669"/>
    </row>
    <row r="574" ht="18.0" customHeight="1">
      <c r="A574" s="695"/>
      <c r="B574" s="695"/>
      <c r="C574" s="695"/>
      <c r="D574" s="695"/>
      <c r="E574" s="695"/>
      <c r="F574" s="686"/>
      <c r="G574" s="695"/>
      <c r="H574" s="695"/>
      <c r="I574" s="695"/>
      <c r="J574" s="731"/>
      <c r="K574" s="695"/>
      <c r="L574" s="686"/>
      <c r="M574" s="686"/>
      <c r="N574" s="686"/>
      <c r="O574" s="686"/>
      <c r="P574" s="686"/>
      <c r="Q574" s="666"/>
      <c r="R574" s="686"/>
      <c r="S574" s="686"/>
      <c r="T574" s="688"/>
      <c r="U574" s="688"/>
      <c r="V574" s="686"/>
      <c r="W574" s="686"/>
      <c r="X574" s="686"/>
      <c r="Y574" s="686"/>
      <c r="Z574" s="686"/>
      <c r="AA574" s="669"/>
      <c r="AB574" s="695"/>
      <c r="AC574" s="669"/>
    </row>
    <row r="575" ht="18.0" customHeight="1">
      <c r="A575" s="695"/>
      <c r="B575" s="695"/>
      <c r="C575" s="695"/>
      <c r="D575" s="695"/>
      <c r="E575" s="695"/>
      <c r="F575" s="686"/>
      <c r="G575" s="695"/>
      <c r="H575" s="695"/>
      <c r="I575" s="695"/>
      <c r="J575" s="731"/>
      <c r="K575" s="695"/>
      <c r="L575" s="686"/>
      <c r="M575" s="686"/>
      <c r="N575" s="686"/>
      <c r="O575" s="686"/>
      <c r="P575" s="686"/>
      <c r="Q575" s="666"/>
      <c r="R575" s="686"/>
      <c r="S575" s="686"/>
      <c r="T575" s="688"/>
      <c r="U575" s="688"/>
      <c r="V575" s="686"/>
      <c r="W575" s="686"/>
      <c r="X575" s="686"/>
      <c r="Y575" s="686"/>
      <c r="Z575" s="686"/>
      <c r="AA575" s="669"/>
      <c r="AB575" s="695"/>
      <c r="AC575" s="669"/>
    </row>
    <row r="576" ht="18.0" customHeight="1">
      <c r="A576" s="695"/>
      <c r="B576" s="695"/>
      <c r="C576" s="695"/>
      <c r="D576" s="695"/>
      <c r="E576" s="695"/>
      <c r="F576" s="686"/>
      <c r="G576" s="695"/>
      <c r="H576" s="695"/>
      <c r="I576" s="695"/>
      <c r="J576" s="731"/>
      <c r="K576" s="695"/>
      <c r="L576" s="686"/>
      <c r="M576" s="686"/>
      <c r="N576" s="686"/>
      <c r="O576" s="686"/>
      <c r="P576" s="686"/>
      <c r="Q576" s="666"/>
      <c r="R576" s="686"/>
      <c r="S576" s="686"/>
      <c r="T576" s="688"/>
      <c r="U576" s="688"/>
      <c r="V576" s="686"/>
      <c r="W576" s="686"/>
      <c r="X576" s="686"/>
      <c r="Y576" s="686"/>
      <c r="Z576" s="686"/>
      <c r="AA576" s="669"/>
      <c r="AB576" s="695"/>
      <c r="AC576" s="669"/>
    </row>
    <row r="577" ht="18.0" customHeight="1">
      <c r="A577" s="695"/>
      <c r="B577" s="695"/>
      <c r="C577" s="695"/>
      <c r="D577" s="695"/>
      <c r="E577" s="695"/>
      <c r="F577" s="686"/>
      <c r="G577" s="695"/>
      <c r="H577" s="695"/>
      <c r="I577" s="695"/>
      <c r="J577" s="731"/>
      <c r="K577" s="695"/>
      <c r="L577" s="686"/>
      <c r="M577" s="686"/>
      <c r="N577" s="686"/>
      <c r="O577" s="686"/>
      <c r="P577" s="686"/>
      <c r="Q577" s="666"/>
      <c r="R577" s="686"/>
      <c r="S577" s="686"/>
      <c r="T577" s="688"/>
      <c r="U577" s="688"/>
      <c r="V577" s="686"/>
      <c r="W577" s="686"/>
      <c r="X577" s="686"/>
      <c r="Y577" s="686"/>
      <c r="Z577" s="686"/>
      <c r="AA577" s="669"/>
      <c r="AB577" s="695"/>
      <c r="AC577" s="669"/>
    </row>
    <row r="578" ht="18.0" customHeight="1">
      <c r="A578" s="695"/>
      <c r="B578" s="695"/>
      <c r="C578" s="695"/>
      <c r="D578" s="695"/>
      <c r="E578" s="695"/>
      <c r="F578" s="686"/>
      <c r="G578" s="695"/>
      <c r="H578" s="695"/>
      <c r="I578" s="695"/>
      <c r="J578" s="731"/>
      <c r="K578" s="695"/>
      <c r="L578" s="686"/>
      <c r="M578" s="686"/>
      <c r="N578" s="686"/>
      <c r="O578" s="686"/>
      <c r="P578" s="686"/>
      <c r="Q578" s="666"/>
      <c r="R578" s="686"/>
      <c r="S578" s="686"/>
      <c r="T578" s="688"/>
      <c r="U578" s="688"/>
      <c r="V578" s="686"/>
      <c r="W578" s="686"/>
      <c r="X578" s="686"/>
      <c r="Y578" s="686"/>
      <c r="Z578" s="686"/>
      <c r="AA578" s="669"/>
      <c r="AB578" s="695"/>
      <c r="AC578" s="669"/>
    </row>
    <row r="579" ht="18.0" customHeight="1">
      <c r="A579" s="695"/>
      <c r="B579" s="695"/>
      <c r="C579" s="695"/>
      <c r="D579" s="695"/>
      <c r="E579" s="695"/>
      <c r="F579" s="686"/>
      <c r="G579" s="695"/>
      <c r="H579" s="695"/>
      <c r="I579" s="695"/>
      <c r="J579" s="731"/>
      <c r="K579" s="695"/>
      <c r="L579" s="686"/>
      <c r="M579" s="686"/>
      <c r="N579" s="686"/>
      <c r="O579" s="686"/>
      <c r="P579" s="686"/>
      <c r="Q579" s="666"/>
      <c r="R579" s="686"/>
      <c r="S579" s="686"/>
      <c r="T579" s="688"/>
      <c r="U579" s="688"/>
      <c r="V579" s="686"/>
      <c r="W579" s="686"/>
      <c r="X579" s="686"/>
      <c r="Y579" s="686"/>
      <c r="Z579" s="686"/>
      <c r="AA579" s="669"/>
      <c r="AB579" s="695"/>
      <c r="AC579" s="669"/>
    </row>
    <row r="580" ht="18.0" customHeight="1">
      <c r="A580" s="695"/>
      <c r="B580" s="695"/>
      <c r="C580" s="695"/>
      <c r="D580" s="695"/>
      <c r="E580" s="695"/>
      <c r="F580" s="686"/>
      <c r="G580" s="695"/>
      <c r="H580" s="695"/>
      <c r="I580" s="695"/>
      <c r="J580" s="731"/>
      <c r="K580" s="695"/>
      <c r="L580" s="686"/>
      <c r="M580" s="686"/>
      <c r="N580" s="686"/>
      <c r="O580" s="686"/>
      <c r="P580" s="686"/>
      <c r="Q580" s="666"/>
      <c r="R580" s="686"/>
      <c r="S580" s="686"/>
      <c r="T580" s="688"/>
      <c r="U580" s="688"/>
      <c r="V580" s="686"/>
      <c r="W580" s="686"/>
      <c r="X580" s="686"/>
      <c r="Y580" s="686"/>
      <c r="Z580" s="686"/>
      <c r="AA580" s="669"/>
      <c r="AB580" s="695"/>
      <c r="AC580" s="669"/>
    </row>
    <row r="581" ht="18.0" customHeight="1">
      <c r="A581" s="695"/>
      <c r="B581" s="695"/>
      <c r="C581" s="695"/>
      <c r="D581" s="695"/>
      <c r="E581" s="695"/>
      <c r="F581" s="686"/>
      <c r="G581" s="695"/>
      <c r="H581" s="695"/>
      <c r="I581" s="695"/>
      <c r="J581" s="731"/>
      <c r="K581" s="695"/>
      <c r="L581" s="686"/>
      <c r="M581" s="686"/>
      <c r="N581" s="686"/>
      <c r="O581" s="686"/>
      <c r="P581" s="686"/>
      <c r="Q581" s="666"/>
      <c r="R581" s="686"/>
      <c r="S581" s="686"/>
      <c r="T581" s="688"/>
      <c r="U581" s="688"/>
      <c r="V581" s="686"/>
      <c r="W581" s="686"/>
      <c r="X581" s="686"/>
      <c r="Y581" s="686"/>
      <c r="Z581" s="686"/>
      <c r="AA581" s="669"/>
      <c r="AB581" s="695"/>
      <c r="AC581" s="669"/>
    </row>
    <row r="582" ht="18.0" customHeight="1">
      <c r="A582" s="695"/>
      <c r="B582" s="695"/>
      <c r="C582" s="695"/>
      <c r="D582" s="695"/>
      <c r="E582" s="695"/>
      <c r="F582" s="686"/>
      <c r="G582" s="695"/>
      <c r="H582" s="695"/>
      <c r="I582" s="695"/>
      <c r="J582" s="731"/>
      <c r="K582" s="695"/>
      <c r="L582" s="686"/>
      <c r="M582" s="686"/>
      <c r="N582" s="686"/>
      <c r="O582" s="686"/>
      <c r="P582" s="686"/>
      <c r="Q582" s="666"/>
      <c r="R582" s="686"/>
      <c r="S582" s="686"/>
      <c r="T582" s="688"/>
      <c r="U582" s="688"/>
      <c r="V582" s="686"/>
      <c r="W582" s="686"/>
      <c r="X582" s="686"/>
      <c r="Y582" s="686"/>
      <c r="Z582" s="686"/>
      <c r="AA582" s="669"/>
      <c r="AB582" s="695"/>
      <c r="AC582" s="669"/>
    </row>
    <row r="583" ht="18.0" customHeight="1">
      <c r="A583" s="695"/>
      <c r="B583" s="695"/>
      <c r="C583" s="695"/>
      <c r="D583" s="695"/>
      <c r="E583" s="695"/>
      <c r="F583" s="686"/>
      <c r="G583" s="695"/>
      <c r="H583" s="695"/>
      <c r="I583" s="695"/>
      <c r="J583" s="731"/>
      <c r="K583" s="695"/>
      <c r="L583" s="686"/>
      <c r="M583" s="686"/>
      <c r="N583" s="686"/>
      <c r="O583" s="686"/>
      <c r="P583" s="686"/>
      <c r="Q583" s="666"/>
      <c r="R583" s="686"/>
      <c r="S583" s="686"/>
      <c r="T583" s="688"/>
      <c r="U583" s="688"/>
      <c r="V583" s="686"/>
      <c r="W583" s="686"/>
      <c r="X583" s="686"/>
      <c r="Y583" s="686"/>
      <c r="Z583" s="686"/>
      <c r="AA583" s="669"/>
      <c r="AB583" s="695"/>
      <c r="AC583" s="669"/>
    </row>
    <row r="584" ht="18.0" customHeight="1">
      <c r="A584" s="695"/>
      <c r="B584" s="695"/>
      <c r="C584" s="695"/>
      <c r="D584" s="695"/>
      <c r="E584" s="695"/>
      <c r="F584" s="686"/>
      <c r="G584" s="695"/>
      <c r="H584" s="695"/>
      <c r="I584" s="695"/>
      <c r="J584" s="731"/>
      <c r="K584" s="695"/>
      <c r="L584" s="686"/>
      <c r="M584" s="686"/>
      <c r="N584" s="686"/>
      <c r="O584" s="686"/>
      <c r="P584" s="686"/>
      <c r="Q584" s="666"/>
      <c r="R584" s="686"/>
      <c r="S584" s="686"/>
      <c r="T584" s="688"/>
      <c r="U584" s="688"/>
      <c r="V584" s="686"/>
      <c r="W584" s="686"/>
      <c r="X584" s="686"/>
      <c r="Y584" s="686"/>
      <c r="Z584" s="686"/>
      <c r="AA584" s="669"/>
      <c r="AB584" s="695"/>
      <c r="AC584" s="669"/>
    </row>
    <row r="585" ht="18.0" customHeight="1">
      <c r="A585" s="695"/>
      <c r="B585" s="695"/>
      <c r="C585" s="695"/>
      <c r="D585" s="695"/>
      <c r="E585" s="695"/>
      <c r="F585" s="686"/>
      <c r="G585" s="695"/>
      <c r="H585" s="695"/>
      <c r="I585" s="695"/>
      <c r="J585" s="731"/>
      <c r="K585" s="695"/>
      <c r="L585" s="686"/>
      <c r="M585" s="686"/>
      <c r="N585" s="686"/>
      <c r="O585" s="686"/>
      <c r="P585" s="686"/>
      <c r="Q585" s="666"/>
      <c r="R585" s="686"/>
      <c r="S585" s="686"/>
      <c r="T585" s="688"/>
      <c r="U585" s="688"/>
      <c r="V585" s="686"/>
      <c r="W585" s="686"/>
      <c r="X585" s="686"/>
      <c r="Y585" s="686"/>
      <c r="Z585" s="686"/>
      <c r="AA585" s="669"/>
      <c r="AB585" s="695"/>
      <c r="AC585" s="669"/>
    </row>
    <row r="586" ht="18.0" customHeight="1">
      <c r="A586" s="695"/>
      <c r="B586" s="695"/>
      <c r="C586" s="695"/>
      <c r="D586" s="695"/>
      <c r="E586" s="695"/>
      <c r="F586" s="686"/>
      <c r="G586" s="695"/>
      <c r="H586" s="695"/>
      <c r="I586" s="695"/>
      <c r="J586" s="731"/>
      <c r="K586" s="695"/>
      <c r="L586" s="686"/>
      <c r="M586" s="686"/>
      <c r="N586" s="686"/>
      <c r="O586" s="686"/>
      <c r="P586" s="686"/>
      <c r="Q586" s="666"/>
      <c r="R586" s="686"/>
      <c r="S586" s="686"/>
      <c r="T586" s="688"/>
      <c r="U586" s="688"/>
      <c r="V586" s="686"/>
      <c r="W586" s="686"/>
      <c r="X586" s="686"/>
      <c r="Y586" s="686"/>
      <c r="Z586" s="686"/>
      <c r="AA586" s="669"/>
      <c r="AB586" s="695"/>
      <c r="AC586" s="669"/>
    </row>
    <row r="587" ht="18.0" customHeight="1">
      <c r="A587" s="695"/>
      <c r="B587" s="695"/>
      <c r="C587" s="695"/>
      <c r="D587" s="695"/>
      <c r="E587" s="695"/>
      <c r="F587" s="686"/>
      <c r="G587" s="695"/>
      <c r="H587" s="695"/>
      <c r="I587" s="695"/>
      <c r="J587" s="731"/>
      <c r="K587" s="695"/>
      <c r="L587" s="686"/>
      <c r="M587" s="686"/>
      <c r="N587" s="686"/>
      <c r="O587" s="686"/>
      <c r="P587" s="686"/>
      <c r="Q587" s="666"/>
      <c r="R587" s="686"/>
      <c r="S587" s="686"/>
      <c r="T587" s="688"/>
      <c r="U587" s="688"/>
      <c r="V587" s="686"/>
      <c r="W587" s="686"/>
      <c r="X587" s="686"/>
      <c r="Y587" s="686"/>
      <c r="Z587" s="686"/>
      <c r="AA587" s="669"/>
      <c r="AB587" s="695"/>
      <c r="AC587" s="669"/>
    </row>
    <row r="588" ht="18.0" customHeight="1">
      <c r="A588" s="695"/>
      <c r="B588" s="695"/>
      <c r="C588" s="695"/>
      <c r="D588" s="695"/>
      <c r="E588" s="695"/>
      <c r="F588" s="686"/>
      <c r="G588" s="695"/>
      <c r="H588" s="695"/>
      <c r="I588" s="695"/>
      <c r="J588" s="731"/>
      <c r="K588" s="695"/>
      <c r="L588" s="686"/>
      <c r="M588" s="686"/>
      <c r="N588" s="686"/>
      <c r="O588" s="686"/>
      <c r="P588" s="686"/>
      <c r="Q588" s="666"/>
      <c r="R588" s="686"/>
      <c r="S588" s="686"/>
      <c r="T588" s="688"/>
      <c r="U588" s="688"/>
      <c r="V588" s="686"/>
      <c r="W588" s="686"/>
      <c r="X588" s="686"/>
      <c r="Y588" s="686"/>
      <c r="Z588" s="686"/>
      <c r="AA588" s="669"/>
      <c r="AB588" s="695"/>
      <c r="AC588" s="669"/>
    </row>
    <row r="589" ht="18.0" customHeight="1">
      <c r="A589" s="695"/>
      <c r="B589" s="695"/>
      <c r="C589" s="695"/>
      <c r="D589" s="695"/>
      <c r="E589" s="695"/>
      <c r="F589" s="686"/>
      <c r="G589" s="695"/>
      <c r="H589" s="695"/>
      <c r="I589" s="695"/>
      <c r="J589" s="731"/>
      <c r="K589" s="695"/>
      <c r="L589" s="686"/>
      <c r="M589" s="686"/>
      <c r="N589" s="686"/>
      <c r="O589" s="686"/>
      <c r="P589" s="686"/>
      <c r="Q589" s="666"/>
      <c r="R589" s="686"/>
      <c r="S589" s="686"/>
      <c r="T589" s="688"/>
      <c r="U589" s="688"/>
      <c r="V589" s="686"/>
      <c r="W589" s="686"/>
      <c r="X589" s="686"/>
      <c r="Y589" s="686"/>
      <c r="Z589" s="686"/>
      <c r="AA589" s="669"/>
      <c r="AB589" s="695"/>
      <c r="AC589" s="669"/>
    </row>
    <row r="590" ht="18.0" customHeight="1">
      <c r="A590" s="695"/>
      <c r="B590" s="695"/>
      <c r="C590" s="695"/>
      <c r="D590" s="695"/>
      <c r="E590" s="695"/>
      <c r="F590" s="686"/>
      <c r="G590" s="695"/>
      <c r="H590" s="695"/>
      <c r="I590" s="695"/>
      <c r="J590" s="731"/>
      <c r="K590" s="695"/>
      <c r="L590" s="686"/>
      <c r="M590" s="686"/>
      <c r="N590" s="686"/>
      <c r="O590" s="686"/>
      <c r="P590" s="686"/>
      <c r="Q590" s="666"/>
      <c r="R590" s="686"/>
      <c r="S590" s="686"/>
      <c r="T590" s="688"/>
      <c r="U590" s="688"/>
      <c r="V590" s="686"/>
      <c r="W590" s="686"/>
      <c r="X590" s="686"/>
      <c r="Y590" s="686"/>
      <c r="Z590" s="686"/>
      <c r="AA590" s="669"/>
      <c r="AB590" s="695"/>
      <c r="AC590" s="669"/>
    </row>
    <row r="591" ht="18.0" customHeight="1">
      <c r="A591" s="695"/>
      <c r="B591" s="695"/>
      <c r="C591" s="695"/>
      <c r="D591" s="695"/>
      <c r="E591" s="695"/>
      <c r="F591" s="686"/>
      <c r="G591" s="695"/>
      <c r="H591" s="695"/>
      <c r="I591" s="695"/>
      <c r="J591" s="731"/>
      <c r="K591" s="695"/>
      <c r="L591" s="686"/>
      <c r="M591" s="686"/>
      <c r="N591" s="686"/>
      <c r="O591" s="686"/>
      <c r="P591" s="686"/>
      <c r="Q591" s="666"/>
      <c r="R591" s="686"/>
      <c r="S591" s="686"/>
      <c r="T591" s="688"/>
      <c r="U591" s="688"/>
      <c r="V591" s="686"/>
      <c r="W591" s="686"/>
      <c r="X591" s="686"/>
      <c r="Y591" s="686"/>
      <c r="Z591" s="686"/>
      <c r="AA591" s="669"/>
      <c r="AB591" s="695"/>
      <c r="AC591" s="669"/>
    </row>
    <row r="592" ht="18.0" customHeight="1">
      <c r="A592" s="695"/>
      <c r="B592" s="695"/>
      <c r="C592" s="695"/>
      <c r="D592" s="695"/>
      <c r="E592" s="695"/>
      <c r="F592" s="686"/>
      <c r="G592" s="695"/>
      <c r="H592" s="695"/>
      <c r="I592" s="695"/>
      <c r="J592" s="731"/>
      <c r="K592" s="695"/>
      <c r="L592" s="686"/>
      <c r="M592" s="686"/>
      <c r="N592" s="686"/>
      <c r="O592" s="686"/>
      <c r="P592" s="686"/>
      <c r="Q592" s="666"/>
      <c r="R592" s="686"/>
      <c r="S592" s="686"/>
      <c r="T592" s="688"/>
      <c r="U592" s="688"/>
      <c r="V592" s="686"/>
      <c r="W592" s="686"/>
      <c r="X592" s="686"/>
      <c r="Y592" s="686"/>
      <c r="Z592" s="686"/>
      <c r="AA592" s="669"/>
      <c r="AB592" s="695"/>
      <c r="AC592" s="669"/>
    </row>
    <row r="593" ht="18.0" customHeight="1">
      <c r="A593" s="695"/>
      <c r="B593" s="695"/>
      <c r="C593" s="695"/>
      <c r="D593" s="695"/>
      <c r="E593" s="695"/>
      <c r="F593" s="686"/>
      <c r="G593" s="695"/>
      <c r="H593" s="695"/>
      <c r="I593" s="695"/>
      <c r="J593" s="731"/>
      <c r="K593" s="695"/>
      <c r="L593" s="686"/>
      <c r="M593" s="686"/>
      <c r="N593" s="686"/>
      <c r="O593" s="686"/>
      <c r="P593" s="686"/>
      <c r="Q593" s="666"/>
      <c r="R593" s="686"/>
      <c r="S593" s="686"/>
      <c r="T593" s="688"/>
      <c r="U593" s="688"/>
      <c r="V593" s="686"/>
      <c r="W593" s="686"/>
      <c r="X593" s="686"/>
      <c r="Y593" s="686"/>
      <c r="Z593" s="686"/>
      <c r="AA593" s="669"/>
      <c r="AB593" s="695"/>
      <c r="AC593" s="669"/>
    </row>
    <row r="594" ht="18.0" customHeight="1">
      <c r="A594" s="695"/>
      <c r="B594" s="695"/>
      <c r="C594" s="695"/>
      <c r="D594" s="695"/>
      <c r="E594" s="695"/>
      <c r="F594" s="686"/>
      <c r="G594" s="695"/>
      <c r="H594" s="695"/>
      <c r="I594" s="695"/>
      <c r="J594" s="731"/>
      <c r="K594" s="695"/>
      <c r="L594" s="686"/>
      <c r="M594" s="686"/>
      <c r="N594" s="686"/>
      <c r="O594" s="686"/>
      <c r="P594" s="686"/>
      <c r="Q594" s="666"/>
      <c r="R594" s="686"/>
      <c r="S594" s="686"/>
      <c r="T594" s="688"/>
      <c r="U594" s="688"/>
      <c r="V594" s="686"/>
      <c r="W594" s="686"/>
      <c r="X594" s="686"/>
      <c r="Y594" s="686"/>
      <c r="Z594" s="686"/>
      <c r="AA594" s="669"/>
      <c r="AB594" s="695"/>
      <c r="AC594" s="669"/>
    </row>
    <row r="595" ht="18.0" customHeight="1">
      <c r="A595" s="695"/>
      <c r="B595" s="695"/>
      <c r="C595" s="695"/>
      <c r="D595" s="695"/>
      <c r="E595" s="695"/>
      <c r="F595" s="686"/>
      <c r="G595" s="695"/>
      <c r="H595" s="695"/>
      <c r="I595" s="695"/>
      <c r="J595" s="731"/>
      <c r="K595" s="695"/>
      <c r="L595" s="686"/>
      <c r="M595" s="686"/>
      <c r="N595" s="686"/>
      <c r="O595" s="686"/>
      <c r="P595" s="686"/>
      <c r="Q595" s="666"/>
      <c r="R595" s="686"/>
      <c r="S595" s="686"/>
      <c r="T595" s="688"/>
      <c r="U595" s="688"/>
      <c r="V595" s="686"/>
      <c r="W595" s="686"/>
      <c r="X595" s="686"/>
      <c r="Y595" s="686"/>
      <c r="Z595" s="686"/>
      <c r="AA595" s="669"/>
      <c r="AB595" s="695"/>
      <c r="AC595" s="669"/>
    </row>
    <row r="596" ht="18.0" customHeight="1">
      <c r="A596" s="695"/>
      <c r="B596" s="695"/>
      <c r="C596" s="695"/>
      <c r="D596" s="695"/>
      <c r="E596" s="695"/>
      <c r="F596" s="686"/>
      <c r="G596" s="695"/>
      <c r="H596" s="695"/>
      <c r="I596" s="695"/>
      <c r="J596" s="731"/>
      <c r="K596" s="695"/>
      <c r="L596" s="686"/>
      <c r="M596" s="686"/>
      <c r="N596" s="686"/>
      <c r="O596" s="686"/>
      <c r="P596" s="686"/>
      <c r="Q596" s="666"/>
      <c r="R596" s="686"/>
      <c r="S596" s="686"/>
      <c r="T596" s="688"/>
      <c r="U596" s="688"/>
      <c r="V596" s="686"/>
      <c r="W596" s="686"/>
      <c r="X596" s="686"/>
      <c r="Y596" s="686"/>
      <c r="Z596" s="686"/>
      <c r="AA596" s="669"/>
      <c r="AB596" s="695"/>
      <c r="AC596" s="669"/>
    </row>
    <row r="597" ht="18.0" customHeight="1">
      <c r="A597" s="695"/>
      <c r="B597" s="695"/>
      <c r="C597" s="695"/>
      <c r="D597" s="695"/>
      <c r="E597" s="695"/>
      <c r="F597" s="686"/>
      <c r="G597" s="695"/>
      <c r="H597" s="695"/>
      <c r="I597" s="695"/>
      <c r="J597" s="731"/>
      <c r="K597" s="695"/>
      <c r="L597" s="686"/>
      <c r="M597" s="686"/>
      <c r="N597" s="686"/>
      <c r="O597" s="686"/>
      <c r="P597" s="686"/>
      <c r="Q597" s="666"/>
      <c r="R597" s="686"/>
      <c r="S597" s="686"/>
      <c r="T597" s="688"/>
      <c r="U597" s="688"/>
      <c r="V597" s="686"/>
      <c r="W597" s="686"/>
      <c r="X597" s="686"/>
      <c r="Y597" s="686"/>
      <c r="Z597" s="686"/>
      <c r="AA597" s="669"/>
      <c r="AB597" s="695"/>
      <c r="AC597" s="669"/>
    </row>
    <row r="598" ht="18.0" customHeight="1">
      <c r="A598" s="695"/>
      <c r="B598" s="695"/>
      <c r="C598" s="695"/>
      <c r="D598" s="695"/>
      <c r="E598" s="695"/>
      <c r="F598" s="686"/>
      <c r="G598" s="695"/>
      <c r="H598" s="695"/>
      <c r="I598" s="695"/>
      <c r="J598" s="731"/>
      <c r="K598" s="695"/>
      <c r="L598" s="686"/>
      <c r="M598" s="686"/>
      <c r="N598" s="686"/>
      <c r="O598" s="686"/>
      <c r="P598" s="686"/>
      <c r="Q598" s="666"/>
      <c r="R598" s="686"/>
      <c r="S598" s="686"/>
      <c r="T598" s="688"/>
      <c r="U598" s="688"/>
      <c r="V598" s="686"/>
      <c r="W598" s="686"/>
      <c r="X598" s="686"/>
      <c r="Y598" s="686"/>
      <c r="Z598" s="686"/>
      <c r="AA598" s="669"/>
      <c r="AB598" s="695"/>
      <c r="AC598" s="669"/>
    </row>
    <row r="599" ht="18.0" customHeight="1">
      <c r="A599" s="695"/>
      <c r="B599" s="695"/>
      <c r="C599" s="695"/>
      <c r="D599" s="695"/>
      <c r="E599" s="695"/>
      <c r="F599" s="686"/>
      <c r="G599" s="695"/>
      <c r="H599" s="695"/>
      <c r="I599" s="695"/>
      <c r="J599" s="731"/>
      <c r="K599" s="695"/>
      <c r="L599" s="686"/>
      <c r="M599" s="686"/>
      <c r="N599" s="686"/>
      <c r="O599" s="686"/>
      <c r="P599" s="686"/>
      <c r="Q599" s="666"/>
      <c r="R599" s="686"/>
      <c r="S599" s="686"/>
      <c r="T599" s="688"/>
      <c r="U599" s="688"/>
      <c r="V599" s="686"/>
      <c r="W599" s="686"/>
      <c r="X599" s="686"/>
      <c r="Y599" s="686"/>
      <c r="Z599" s="686"/>
      <c r="AA599" s="669"/>
      <c r="AB599" s="695"/>
      <c r="AC599" s="669"/>
    </row>
    <row r="600" ht="18.0" customHeight="1">
      <c r="A600" s="695"/>
      <c r="B600" s="695"/>
      <c r="C600" s="695"/>
      <c r="D600" s="695"/>
      <c r="E600" s="695"/>
      <c r="F600" s="686"/>
      <c r="G600" s="695"/>
      <c r="H600" s="695"/>
      <c r="I600" s="695"/>
      <c r="J600" s="731"/>
      <c r="K600" s="695"/>
      <c r="L600" s="686"/>
      <c r="M600" s="686"/>
      <c r="N600" s="686"/>
      <c r="O600" s="686"/>
      <c r="P600" s="686"/>
      <c r="Q600" s="666"/>
      <c r="R600" s="686"/>
      <c r="S600" s="686"/>
      <c r="T600" s="688"/>
      <c r="U600" s="688"/>
      <c r="V600" s="686"/>
      <c r="W600" s="686"/>
      <c r="X600" s="686"/>
      <c r="Y600" s="686"/>
      <c r="Z600" s="686"/>
      <c r="AA600" s="669"/>
      <c r="AB600" s="695"/>
      <c r="AC600" s="669"/>
    </row>
    <row r="601" ht="18.0" customHeight="1">
      <c r="A601" s="695"/>
      <c r="B601" s="695"/>
      <c r="C601" s="695"/>
      <c r="D601" s="695"/>
      <c r="E601" s="695"/>
      <c r="F601" s="686"/>
      <c r="G601" s="695"/>
      <c r="H601" s="695"/>
      <c r="I601" s="695"/>
      <c r="J601" s="731"/>
      <c r="K601" s="695"/>
      <c r="L601" s="686"/>
      <c r="M601" s="686"/>
      <c r="N601" s="686"/>
      <c r="O601" s="686"/>
      <c r="P601" s="686"/>
      <c r="Q601" s="666"/>
      <c r="R601" s="686"/>
      <c r="S601" s="686"/>
      <c r="T601" s="688"/>
      <c r="U601" s="688"/>
      <c r="V601" s="686"/>
      <c r="W601" s="686"/>
      <c r="X601" s="686"/>
      <c r="Y601" s="686"/>
      <c r="Z601" s="686"/>
      <c r="AA601" s="669"/>
      <c r="AB601" s="695"/>
      <c r="AC601" s="669"/>
    </row>
    <row r="602" ht="18.0" customHeight="1">
      <c r="A602" s="695"/>
      <c r="B602" s="695"/>
      <c r="C602" s="695"/>
      <c r="D602" s="695"/>
      <c r="E602" s="695"/>
      <c r="F602" s="686"/>
      <c r="G602" s="695"/>
      <c r="H602" s="695"/>
      <c r="I602" s="695"/>
      <c r="J602" s="731"/>
      <c r="K602" s="695"/>
      <c r="L602" s="686"/>
      <c r="M602" s="686"/>
      <c r="N602" s="686"/>
      <c r="O602" s="686"/>
      <c r="P602" s="686"/>
      <c r="Q602" s="666"/>
      <c r="R602" s="686"/>
      <c r="S602" s="686"/>
      <c r="T602" s="688"/>
      <c r="U602" s="688"/>
      <c r="V602" s="686"/>
      <c r="W602" s="686"/>
      <c r="X602" s="686"/>
      <c r="Y602" s="686"/>
      <c r="Z602" s="686"/>
      <c r="AA602" s="669"/>
      <c r="AB602" s="695"/>
      <c r="AC602" s="669"/>
    </row>
    <row r="603" ht="18.0" customHeight="1">
      <c r="A603" s="695"/>
      <c r="B603" s="695"/>
      <c r="C603" s="695"/>
      <c r="D603" s="695"/>
      <c r="E603" s="695"/>
      <c r="F603" s="686"/>
      <c r="G603" s="695"/>
      <c r="H603" s="695"/>
      <c r="I603" s="695"/>
      <c r="J603" s="731"/>
      <c r="K603" s="695"/>
      <c r="L603" s="686"/>
      <c r="M603" s="686"/>
      <c r="N603" s="686"/>
      <c r="O603" s="686"/>
      <c r="P603" s="686"/>
      <c r="Q603" s="666"/>
      <c r="R603" s="686"/>
      <c r="S603" s="686"/>
      <c r="T603" s="688"/>
      <c r="U603" s="688"/>
      <c r="V603" s="686"/>
      <c r="W603" s="686"/>
      <c r="X603" s="686"/>
      <c r="Y603" s="686"/>
      <c r="Z603" s="686"/>
      <c r="AA603" s="669"/>
      <c r="AB603" s="695"/>
      <c r="AC603" s="669"/>
    </row>
    <row r="604" ht="18.0" customHeight="1">
      <c r="A604" s="695"/>
      <c r="B604" s="695"/>
      <c r="C604" s="695"/>
      <c r="D604" s="695"/>
      <c r="E604" s="695"/>
      <c r="F604" s="686"/>
      <c r="G604" s="695"/>
      <c r="H604" s="695"/>
      <c r="I604" s="695"/>
      <c r="J604" s="731"/>
      <c r="K604" s="695"/>
      <c r="L604" s="686"/>
      <c r="M604" s="686"/>
      <c r="N604" s="686"/>
      <c r="O604" s="686"/>
      <c r="P604" s="686"/>
      <c r="Q604" s="666"/>
      <c r="R604" s="686"/>
      <c r="S604" s="686"/>
      <c r="T604" s="688"/>
      <c r="U604" s="688"/>
      <c r="V604" s="686"/>
      <c r="W604" s="686"/>
      <c r="X604" s="686"/>
      <c r="Y604" s="686"/>
      <c r="Z604" s="686"/>
      <c r="AA604" s="669"/>
      <c r="AB604" s="695"/>
      <c r="AC604" s="669"/>
    </row>
    <row r="605" ht="18.0" customHeight="1">
      <c r="A605" s="695"/>
      <c r="B605" s="695"/>
      <c r="C605" s="695"/>
      <c r="D605" s="695"/>
      <c r="E605" s="695"/>
      <c r="F605" s="686"/>
      <c r="G605" s="695"/>
      <c r="H605" s="695"/>
      <c r="I605" s="695"/>
      <c r="J605" s="731"/>
      <c r="K605" s="695"/>
      <c r="L605" s="686"/>
      <c r="M605" s="686"/>
      <c r="N605" s="686"/>
      <c r="O605" s="686"/>
      <c r="P605" s="686"/>
      <c r="Q605" s="666"/>
      <c r="R605" s="686"/>
      <c r="S605" s="686"/>
      <c r="T605" s="688"/>
      <c r="U605" s="688"/>
      <c r="V605" s="686"/>
      <c r="W605" s="686"/>
      <c r="X605" s="686"/>
      <c r="Y605" s="686"/>
      <c r="Z605" s="686"/>
      <c r="AA605" s="669"/>
      <c r="AB605" s="695"/>
      <c r="AC605" s="669"/>
    </row>
    <row r="606" ht="18.0" customHeight="1">
      <c r="A606" s="695"/>
      <c r="B606" s="695"/>
      <c r="C606" s="695"/>
      <c r="D606" s="695"/>
      <c r="E606" s="695"/>
      <c r="F606" s="686"/>
      <c r="G606" s="695"/>
      <c r="H606" s="695"/>
      <c r="I606" s="695"/>
      <c r="J606" s="731"/>
      <c r="K606" s="695"/>
      <c r="L606" s="686"/>
      <c r="M606" s="686"/>
      <c r="N606" s="686"/>
      <c r="O606" s="686"/>
      <c r="P606" s="686"/>
      <c r="Q606" s="666"/>
      <c r="R606" s="686"/>
      <c r="S606" s="686"/>
      <c r="T606" s="688"/>
      <c r="U606" s="688"/>
      <c r="V606" s="686"/>
      <c r="W606" s="686"/>
      <c r="X606" s="686"/>
      <c r="Y606" s="686"/>
      <c r="Z606" s="686"/>
      <c r="AA606" s="669"/>
      <c r="AB606" s="695"/>
      <c r="AC606" s="669"/>
    </row>
    <row r="607" ht="18.0" customHeight="1">
      <c r="A607" s="695"/>
      <c r="B607" s="695"/>
      <c r="C607" s="695"/>
      <c r="D607" s="695"/>
      <c r="E607" s="695"/>
      <c r="F607" s="686"/>
      <c r="G607" s="695"/>
      <c r="H607" s="695"/>
      <c r="I607" s="695"/>
      <c r="J607" s="731"/>
      <c r="K607" s="695"/>
      <c r="L607" s="686"/>
      <c r="M607" s="686"/>
      <c r="N607" s="686"/>
      <c r="O607" s="686"/>
      <c r="P607" s="686"/>
      <c r="Q607" s="666"/>
      <c r="R607" s="686"/>
      <c r="S607" s="686"/>
      <c r="T607" s="688"/>
      <c r="U607" s="688"/>
      <c r="V607" s="686"/>
      <c r="W607" s="686"/>
      <c r="X607" s="686"/>
      <c r="Y607" s="686"/>
      <c r="Z607" s="686"/>
      <c r="AA607" s="669"/>
      <c r="AB607" s="695"/>
      <c r="AC607" s="669"/>
    </row>
    <row r="608" ht="18.0" customHeight="1">
      <c r="A608" s="695"/>
      <c r="B608" s="695"/>
      <c r="C608" s="695"/>
      <c r="D608" s="695"/>
      <c r="E608" s="695"/>
      <c r="F608" s="686"/>
      <c r="G608" s="695"/>
      <c r="H608" s="695"/>
      <c r="I608" s="695"/>
      <c r="J608" s="731"/>
      <c r="K608" s="695"/>
      <c r="L608" s="686"/>
      <c r="M608" s="686"/>
      <c r="N608" s="686"/>
      <c r="O608" s="686"/>
      <c r="P608" s="686"/>
      <c r="Q608" s="666"/>
      <c r="R608" s="686"/>
      <c r="S608" s="686"/>
      <c r="T608" s="688"/>
      <c r="U608" s="688"/>
      <c r="V608" s="686"/>
      <c r="W608" s="686"/>
      <c r="X608" s="686"/>
      <c r="Y608" s="686"/>
      <c r="Z608" s="686"/>
      <c r="AA608" s="669"/>
      <c r="AB608" s="695"/>
      <c r="AC608" s="669"/>
    </row>
    <row r="609" ht="18.0" customHeight="1">
      <c r="A609" s="695"/>
      <c r="B609" s="695"/>
      <c r="C609" s="695"/>
      <c r="D609" s="695"/>
      <c r="E609" s="695"/>
      <c r="F609" s="686"/>
      <c r="G609" s="695"/>
      <c r="H609" s="695"/>
      <c r="I609" s="695"/>
      <c r="J609" s="731"/>
      <c r="K609" s="695"/>
      <c r="L609" s="686"/>
      <c r="M609" s="686"/>
      <c r="N609" s="686"/>
      <c r="O609" s="686"/>
      <c r="P609" s="686"/>
      <c r="Q609" s="666"/>
      <c r="R609" s="686"/>
      <c r="S609" s="686"/>
      <c r="T609" s="688"/>
      <c r="U609" s="688"/>
      <c r="V609" s="686"/>
      <c r="W609" s="686"/>
      <c r="X609" s="686"/>
      <c r="Y609" s="686"/>
      <c r="Z609" s="686"/>
      <c r="AA609" s="669"/>
      <c r="AB609" s="695"/>
      <c r="AC609" s="669"/>
    </row>
    <row r="610" ht="18.0" customHeight="1">
      <c r="A610" s="695"/>
      <c r="B610" s="695"/>
      <c r="C610" s="695"/>
      <c r="D610" s="695"/>
      <c r="E610" s="695"/>
      <c r="F610" s="686"/>
      <c r="G610" s="695"/>
      <c r="H610" s="695"/>
      <c r="I610" s="695"/>
      <c r="J610" s="731"/>
      <c r="K610" s="695"/>
      <c r="L610" s="686"/>
      <c r="M610" s="686"/>
      <c r="N610" s="686"/>
      <c r="O610" s="686"/>
      <c r="P610" s="686"/>
      <c r="Q610" s="666"/>
      <c r="R610" s="686"/>
      <c r="S610" s="686"/>
      <c r="T610" s="688"/>
      <c r="U610" s="688"/>
      <c r="V610" s="686"/>
      <c r="W610" s="686"/>
      <c r="X610" s="686"/>
      <c r="Y610" s="686"/>
      <c r="Z610" s="686"/>
      <c r="AA610" s="669"/>
      <c r="AB610" s="695"/>
      <c r="AC610" s="669"/>
    </row>
    <row r="611" ht="18.0" customHeight="1">
      <c r="A611" s="695"/>
      <c r="B611" s="695"/>
      <c r="C611" s="695"/>
      <c r="D611" s="695"/>
      <c r="E611" s="695"/>
      <c r="F611" s="686"/>
      <c r="G611" s="695"/>
      <c r="H611" s="695"/>
      <c r="I611" s="695"/>
      <c r="J611" s="731"/>
      <c r="K611" s="695"/>
      <c r="L611" s="686"/>
      <c r="M611" s="686"/>
      <c r="N611" s="686"/>
      <c r="O611" s="686"/>
      <c r="P611" s="686"/>
      <c r="Q611" s="666"/>
      <c r="R611" s="686"/>
      <c r="S611" s="686"/>
      <c r="T611" s="688"/>
      <c r="U611" s="688"/>
      <c r="V611" s="686"/>
      <c r="W611" s="686"/>
      <c r="X611" s="686"/>
      <c r="Y611" s="686"/>
      <c r="Z611" s="686"/>
      <c r="AA611" s="669"/>
      <c r="AB611" s="695"/>
      <c r="AC611" s="669"/>
    </row>
    <row r="612" ht="18.0" customHeight="1">
      <c r="A612" s="695"/>
      <c r="B612" s="695"/>
      <c r="C612" s="695"/>
      <c r="D612" s="695"/>
      <c r="E612" s="695"/>
      <c r="F612" s="686"/>
      <c r="G612" s="695"/>
      <c r="H612" s="695"/>
      <c r="I612" s="695"/>
      <c r="J612" s="731"/>
      <c r="K612" s="695"/>
      <c r="L612" s="686"/>
      <c r="M612" s="686"/>
      <c r="N612" s="686"/>
      <c r="O612" s="686"/>
      <c r="P612" s="686"/>
      <c r="Q612" s="666"/>
      <c r="R612" s="686"/>
      <c r="S612" s="686"/>
      <c r="T612" s="688"/>
      <c r="U612" s="688"/>
      <c r="V612" s="686"/>
      <c r="W612" s="686"/>
      <c r="X612" s="686"/>
      <c r="Y612" s="686"/>
      <c r="Z612" s="686"/>
      <c r="AA612" s="669"/>
      <c r="AB612" s="695"/>
      <c r="AC612" s="669"/>
    </row>
    <row r="613" ht="18.0" customHeight="1">
      <c r="A613" s="695"/>
      <c r="B613" s="695"/>
      <c r="C613" s="695"/>
      <c r="D613" s="695"/>
      <c r="E613" s="695"/>
      <c r="F613" s="686"/>
      <c r="G613" s="695"/>
      <c r="H613" s="695"/>
      <c r="I613" s="695"/>
      <c r="J613" s="731"/>
      <c r="K613" s="695"/>
      <c r="L613" s="686"/>
      <c r="M613" s="686"/>
      <c r="N613" s="686"/>
      <c r="O613" s="686"/>
      <c r="P613" s="686"/>
      <c r="Q613" s="666"/>
      <c r="R613" s="686"/>
      <c r="S613" s="686"/>
      <c r="T613" s="688"/>
      <c r="U613" s="688"/>
      <c r="V613" s="686"/>
      <c r="W613" s="686"/>
      <c r="X613" s="686"/>
      <c r="Y613" s="686"/>
      <c r="Z613" s="686"/>
      <c r="AA613" s="669"/>
      <c r="AB613" s="695"/>
      <c r="AC613" s="669"/>
    </row>
    <row r="614" ht="18.0" customHeight="1">
      <c r="A614" s="695"/>
      <c r="B614" s="695"/>
      <c r="C614" s="695"/>
      <c r="D614" s="695"/>
      <c r="E614" s="695"/>
      <c r="F614" s="686"/>
      <c r="G614" s="695"/>
      <c r="H614" s="695"/>
      <c r="I614" s="695"/>
      <c r="J614" s="731"/>
      <c r="K614" s="695"/>
      <c r="L614" s="686"/>
      <c r="M614" s="686"/>
      <c r="N614" s="686"/>
      <c r="O614" s="686"/>
      <c r="P614" s="686"/>
      <c r="Q614" s="666"/>
      <c r="R614" s="686"/>
      <c r="S614" s="686"/>
      <c r="T614" s="688"/>
      <c r="U614" s="688"/>
      <c r="V614" s="686"/>
      <c r="W614" s="686"/>
      <c r="X614" s="686"/>
      <c r="Y614" s="686"/>
      <c r="Z614" s="686"/>
      <c r="AA614" s="669"/>
      <c r="AB614" s="695"/>
      <c r="AC614" s="669"/>
    </row>
    <row r="615" ht="18.0" customHeight="1">
      <c r="A615" s="695"/>
      <c r="B615" s="695"/>
      <c r="C615" s="695"/>
      <c r="D615" s="695"/>
      <c r="E615" s="695"/>
      <c r="F615" s="686"/>
      <c r="G615" s="695"/>
      <c r="H615" s="695"/>
      <c r="I615" s="695"/>
      <c r="J615" s="731"/>
      <c r="K615" s="695"/>
      <c r="L615" s="686"/>
      <c r="M615" s="686"/>
      <c r="N615" s="686"/>
      <c r="O615" s="686"/>
      <c r="P615" s="686"/>
      <c r="Q615" s="666"/>
      <c r="R615" s="686"/>
      <c r="S615" s="686"/>
      <c r="T615" s="688"/>
      <c r="U615" s="688"/>
      <c r="V615" s="686"/>
      <c r="W615" s="686"/>
      <c r="X615" s="686"/>
      <c r="Y615" s="686"/>
      <c r="Z615" s="686"/>
      <c r="AA615" s="669"/>
      <c r="AB615" s="695"/>
      <c r="AC615" s="669"/>
    </row>
    <row r="616" ht="18.0" customHeight="1">
      <c r="A616" s="695"/>
      <c r="B616" s="695"/>
      <c r="C616" s="695"/>
      <c r="D616" s="695"/>
      <c r="E616" s="695"/>
      <c r="F616" s="686"/>
      <c r="G616" s="695"/>
      <c r="H616" s="695"/>
      <c r="I616" s="695"/>
      <c r="J616" s="731"/>
      <c r="K616" s="695"/>
      <c r="L616" s="686"/>
      <c r="M616" s="686"/>
      <c r="N616" s="686"/>
      <c r="O616" s="686"/>
      <c r="P616" s="686"/>
      <c r="Q616" s="666"/>
      <c r="R616" s="686"/>
      <c r="S616" s="686"/>
      <c r="T616" s="688"/>
      <c r="U616" s="688"/>
      <c r="V616" s="686"/>
      <c r="W616" s="686"/>
      <c r="X616" s="686"/>
      <c r="Y616" s="686"/>
      <c r="Z616" s="686"/>
      <c r="AA616" s="669"/>
      <c r="AB616" s="695"/>
      <c r="AC616" s="669"/>
    </row>
    <row r="617" ht="18.0" customHeight="1">
      <c r="A617" s="695"/>
      <c r="B617" s="695"/>
      <c r="C617" s="695"/>
      <c r="D617" s="695"/>
      <c r="E617" s="695"/>
      <c r="F617" s="686"/>
      <c r="G617" s="695"/>
      <c r="H617" s="695"/>
      <c r="I617" s="695"/>
      <c r="J617" s="731"/>
      <c r="K617" s="695"/>
      <c r="L617" s="686"/>
      <c r="M617" s="686"/>
      <c r="N617" s="686"/>
      <c r="O617" s="686"/>
      <c r="P617" s="686"/>
      <c r="Q617" s="666"/>
      <c r="R617" s="686"/>
      <c r="S617" s="686"/>
      <c r="T617" s="688"/>
      <c r="U617" s="688"/>
      <c r="V617" s="686"/>
      <c r="W617" s="686"/>
      <c r="X617" s="686"/>
      <c r="Y617" s="686"/>
      <c r="Z617" s="686"/>
      <c r="AA617" s="669"/>
      <c r="AB617" s="695"/>
      <c r="AC617" s="669"/>
    </row>
    <row r="618" ht="18.0" customHeight="1">
      <c r="A618" s="695"/>
      <c r="B618" s="695"/>
      <c r="C618" s="695"/>
      <c r="D618" s="695"/>
      <c r="E618" s="695"/>
      <c r="F618" s="686"/>
      <c r="G618" s="695"/>
      <c r="H618" s="695"/>
      <c r="I618" s="695"/>
      <c r="J618" s="731"/>
      <c r="K618" s="695"/>
      <c r="L618" s="686"/>
      <c r="M618" s="686"/>
      <c r="N618" s="686"/>
      <c r="O618" s="686"/>
      <c r="P618" s="686"/>
      <c r="Q618" s="666"/>
      <c r="R618" s="686"/>
      <c r="S618" s="686"/>
      <c r="T618" s="688"/>
      <c r="U618" s="688"/>
      <c r="V618" s="686"/>
      <c r="W618" s="686"/>
      <c r="X618" s="686"/>
      <c r="Y618" s="686"/>
      <c r="Z618" s="686"/>
      <c r="AA618" s="669"/>
      <c r="AB618" s="695"/>
      <c r="AC618" s="669"/>
    </row>
    <row r="619" ht="18.0" customHeight="1">
      <c r="A619" s="695"/>
      <c r="B619" s="695"/>
      <c r="C619" s="695"/>
      <c r="D619" s="695"/>
      <c r="E619" s="695"/>
      <c r="F619" s="686"/>
      <c r="G619" s="695"/>
      <c r="H619" s="695"/>
      <c r="I619" s="695"/>
      <c r="J619" s="731"/>
      <c r="K619" s="695"/>
      <c r="L619" s="686"/>
      <c r="M619" s="686"/>
      <c r="N619" s="686"/>
      <c r="O619" s="686"/>
      <c r="P619" s="686"/>
      <c r="Q619" s="666"/>
      <c r="R619" s="686"/>
      <c r="S619" s="686"/>
      <c r="T619" s="688"/>
      <c r="U619" s="688"/>
      <c r="V619" s="686"/>
      <c r="W619" s="686"/>
      <c r="X619" s="686"/>
      <c r="Y619" s="686"/>
      <c r="Z619" s="686"/>
      <c r="AA619" s="669"/>
      <c r="AB619" s="695"/>
      <c r="AC619" s="669"/>
    </row>
    <row r="620" ht="18.0" customHeight="1">
      <c r="A620" s="695"/>
      <c r="B620" s="695"/>
      <c r="C620" s="695"/>
      <c r="D620" s="695"/>
      <c r="E620" s="695"/>
      <c r="F620" s="686"/>
      <c r="G620" s="695"/>
      <c r="H620" s="695"/>
      <c r="I620" s="695"/>
      <c r="J620" s="731"/>
      <c r="K620" s="695"/>
      <c r="L620" s="686"/>
      <c r="M620" s="686"/>
      <c r="N620" s="686"/>
      <c r="O620" s="686"/>
      <c r="P620" s="686"/>
      <c r="Q620" s="666"/>
      <c r="R620" s="686"/>
      <c r="S620" s="686"/>
      <c r="T620" s="688"/>
      <c r="U620" s="688"/>
      <c r="V620" s="686"/>
      <c r="W620" s="686"/>
      <c r="X620" s="686"/>
      <c r="Y620" s="686"/>
      <c r="Z620" s="686"/>
      <c r="AA620" s="669"/>
      <c r="AB620" s="695"/>
      <c r="AC620" s="669"/>
    </row>
    <row r="621" ht="18.0" customHeight="1">
      <c r="A621" s="695"/>
      <c r="B621" s="695"/>
      <c r="C621" s="695"/>
      <c r="D621" s="695"/>
      <c r="E621" s="695"/>
      <c r="F621" s="686"/>
      <c r="G621" s="695"/>
      <c r="H621" s="695"/>
      <c r="I621" s="695"/>
      <c r="J621" s="731"/>
      <c r="K621" s="695"/>
      <c r="L621" s="686"/>
      <c r="M621" s="686"/>
      <c r="N621" s="686"/>
      <c r="O621" s="686"/>
      <c r="P621" s="686"/>
      <c r="Q621" s="666"/>
      <c r="R621" s="686"/>
      <c r="S621" s="686"/>
      <c r="T621" s="688"/>
      <c r="U621" s="688"/>
      <c r="V621" s="686"/>
      <c r="W621" s="686"/>
      <c r="X621" s="686"/>
      <c r="Y621" s="686"/>
      <c r="Z621" s="686"/>
      <c r="AA621" s="669"/>
      <c r="AB621" s="695"/>
      <c r="AC621" s="669"/>
    </row>
    <row r="622" ht="18.0" customHeight="1">
      <c r="A622" s="695"/>
      <c r="B622" s="695"/>
      <c r="C622" s="695"/>
      <c r="D622" s="695"/>
      <c r="E622" s="695"/>
      <c r="F622" s="686"/>
      <c r="G622" s="695"/>
      <c r="H622" s="695"/>
      <c r="I622" s="695"/>
      <c r="J622" s="731"/>
      <c r="K622" s="695"/>
      <c r="L622" s="686"/>
      <c r="M622" s="686"/>
      <c r="N622" s="686"/>
      <c r="O622" s="686"/>
      <c r="P622" s="686"/>
      <c r="Q622" s="666"/>
      <c r="R622" s="686"/>
      <c r="S622" s="686"/>
      <c r="T622" s="688"/>
      <c r="U622" s="688"/>
      <c r="V622" s="686"/>
      <c r="W622" s="686"/>
      <c r="X622" s="686"/>
      <c r="Y622" s="686"/>
      <c r="Z622" s="686"/>
      <c r="AA622" s="669"/>
      <c r="AB622" s="695"/>
      <c r="AC622" s="669"/>
    </row>
    <row r="623" ht="18.0" customHeight="1">
      <c r="A623" s="695"/>
      <c r="B623" s="695"/>
      <c r="C623" s="695"/>
      <c r="D623" s="695"/>
      <c r="E623" s="695"/>
      <c r="F623" s="686"/>
      <c r="G623" s="695"/>
      <c r="H623" s="695"/>
      <c r="I623" s="695"/>
      <c r="J623" s="731"/>
      <c r="K623" s="695"/>
      <c r="L623" s="686"/>
      <c r="M623" s="686"/>
      <c r="N623" s="686"/>
      <c r="O623" s="686"/>
      <c r="P623" s="686"/>
      <c r="Q623" s="666"/>
      <c r="R623" s="686"/>
      <c r="S623" s="686"/>
      <c r="T623" s="688"/>
      <c r="U623" s="688"/>
      <c r="V623" s="686"/>
      <c r="W623" s="686"/>
      <c r="X623" s="686"/>
      <c r="Y623" s="686"/>
      <c r="Z623" s="686"/>
      <c r="AA623" s="669"/>
      <c r="AB623" s="695"/>
      <c r="AC623" s="669"/>
    </row>
    <row r="624" ht="18.0" customHeight="1">
      <c r="A624" s="695"/>
      <c r="B624" s="695"/>
      <c r="C624" s="695"/>
      <c r="D624" s="695"/>
      <c r="E624" s="695"/>
      <c r="F624" s="686"/>
      <c r="G624" s="695"/>
      <c r="H624" s="695"/>
      <c r="I624" s="695"/>
      <c r="J624" s="731"/>
      <c r="K624" s="695"/>
      <c r="L624" s="686"/>
      <c r="M624" s="686"/>
      <c r="N624" s="686"/>
      <c r="O624" s="686"/>
      <c r="P624" s="686"/>
      <c r="Q624" s="666"/>
      <c r="R624" s="686"/>
      <c r="S624" s="686"/>
      <c r="T624" s="688"/>
      <c r="U624" s="688"/>
      <c r="V624" s="686"/>
      <c r="W624" s="686"/>
      <c r="X624" s="686"/>
      <c r="Y624" s="686"/>
      <c r="Z624" s="686"/>
      <c r="AA624" s="669"/>
      <c r="AB624" s="695"/>
      <c r="AC624" s="669"/>
    </row>
    <row r="625" ht="18.0" customHeight="1">
      <c r="A625" s="695"/>
      <c r="B625" s="695"/>
      <c r="C625" s="695"/>
      <c r="D625" s="695"/>
      <c r="E625" s="695"/>
      <c r="F625" s="686"/>
      <c r="G625" s="695"/>
      <c r="H625" s="695"/>
      <c r="I625" s="695"/>
      <c r="J625" s="731"/>
      <c r="K625" s="695"/>
      <c r="L625" s="686"/>
      <c r="M625" s="686"/>
      <c r="N625" s="686"/>
      <c r="O625" s="686"/>
      <c r="P625" s="686"/>
      <c r="Q625" s="666"/>
      <c r="R625" s="686"/>
      <c r="S625" s="686"/>
      <c r="T625" s="688"/>
      <c r="U625" s="688"/>
      <c r="V625" s="686"/>
      <c r="W625" s="686"/>
      <c r="X625" s="686"/>
      <c r="Y625" s="686"/>
      <c r="Z625" s="686"/>
      <c r="AA625" s="669"/>
      <c r="AB625" s="695"/>
      <c r="AC625" s="669"/>
    </row>
    <row r="626" ht="18.0" customHeight="1">
      <c r="A626" s="695"/>
      <c r="B626" s="695"/>
      <c r="C626" s="695"/>
      <c r="D626" s="695"/>
      <c r="E626" s="695"/>
      <c r="F626" s="686"/>
      <c r="G626" s="695"/>
      <c r="H626" s="695"/>
      <c r="I626" s="695"/>
      <c r="J626" s="731"/>
      <c r="K626" s="695"/>
      <c r="L626" s="686"/>
      <c r="M626" s="686"/>
      <c r="N626" s="686"/>
      <c r="O626" s="686"/>
      <c r="P626" s="686"/>
      <c r="Q626" s="666"/>
      <c r="R626" s="686"/>
      <c r="S626" s="686"/>
      <c r="T626" s="688"/>
      <c r="U626" s="688"/>
      <c r="V626" s="686"/>
      <c r="W626" s="686"/>
      <c r="X626" s="686"/>
      <c r="Y626" s="686"/>
      <c r="Z626" s="686"/>
      <c r="AA626" s="669"/>
      <c r="AB626" s="695"/>
      <c r="AC626" s="669"/>
    </row>
    <row r="627" ht="18.0" customHeight="1">
      <c r="A627" s="695"/>
      <c r="B627" s="695"/>
      <c r="C627" s="695"/>
      <c r="D627" s="695"/>
      <c r="E627" s="695"/>
      <c r="F627" s="686"/>
      <c r="G627" s="695"/>
      <c r="H627" s="695"/>
      <c r="I627" s="695"/>
      <c r="J627" s="731"/>
      <c r="K627" s="695"/>
      <c r="L627" s="686"/>
      <c r="M627" s="686"/>
      <c r="N627" s="686"/>
      <c r="O627" s="686"/>
      <c r="P627" s="686"/>
      <c r="Q627" s="666"/>
      <c r="R627" s="686"/>
      <c r="S627" s="686"/>
      <c r="T627" s="688"/>
      <c r="U627" s="688"/>
      <c r="V627" s="686"/>
      <c r="W627" s="686"/>
      <c r="X627" s="686"/>
      <c r="Y627" s="686"/>
      <c r="Z627" s="686"/>
      <c r="AA627" s="669"/>
      <c r="AB627" s="695"/>
      <c r="AC627" s="669"/>
    </row>
    <row r="628" ht="18.0" customHeight="1">
      <c r="A628" s="695"/>
      <c r="B628" s="695"/>
      <c r="C628" s="695"/>
      <c r="D628" s="695"/>
      <c r="E628" s="695"/>
      <c r="F628" s="686"/>
      <c r="G628" s="695"/>
      <c r="H628" s="695"/>
      <c r="I628" s="695"/>
      <c r="J628" s="731"/>
      <c r="K628" s="695"/>
      <c r="L628" s="686"/>
      <c r="M628" s="686"/>
      <c r="N628" s="686"/>
      <c r="O628" s="686"/>
      <c r="P628" s="686"/>
      <c r="Q628" s="666"/>
      <c r="R628" s="686"/>
      <c r="S628" s="686"/>
      <c r="T628" s="688"/>
      <c r="U628" s="688"/>
      <c r="V628" s="686"/>
      <c r="W628" s="686"/>
      <c r="X628" s="686"/>
      <c r="Y628" s="686"/>
      <c r="Z628" s="686"/>
      <c r="AA628" s="669"/>
      <c r="AB628" s="695"/>
      <c r="AC628" s="669"/>
    </row>
    <row r="629" ht="18.0" customHeight="1">
      <c r="A629" s="695"/>
      <c r="B629" s="695"/>
      <c r="C629" s="695"/>
      <c r="D629" s="695"/>
      <c r="E629" s="695"/>
      <c r="F629" s="686"/>
      <c r="G629" s="695"/>
      <c r="H629" s="695"/>
      <c r="I629" s="695"/>
      <c r="J629" s="731"/>
      <c r="K629" s="695"/>
      <c r="L629" s="686"/>
      <c r="M629" s="686"/>
      <c r="N629" s="686"/>
      <c r="O629" s="686"/>
      <c r="P629" s="686"/>
      <c r="Q629" s="666"/>
      <c r="R629" s="686"/>
      <c r="S629" s="686"/>
      <c r="T629" s="688"/>
      <c r="U629" s="688"/>
      <c r="V629" s="686"/>
      <c r="W629" s="686"/>
      <c r="X629" s="686"/>
      <c r="Y629" s="686"/>
      <c r="Z629" s="686"/>
      <c r="AA629" s="669"/>
      <c r="AB629" s="695"/>
      <c r="AC629" s="669"/>
    </row>
    <row r="630" ht="18.0" customHeight="1">
      <c r="A630" s="695"/>
      <c r="B630" s="695"/>
      <c r="C630" s="695"/>
      <c r="D630" s="695"/>
      <c r="E630" s="695"/>
      <c r="F630" s="686"/>
      <c r="G630" s="695"/>
      <c r="H630" s="695"/>
      <c r="I630" s="695"/>
      <c r="J630" s="731"/>
      <c r="K630" s="695"/>
      <c r="L630" s="686"/>
      <c r="M630" s="686"/>
      <c r="N630" s="686"/>
      <c r="O630" s="686"/>
      <c r="P630" s="686"/>
      <c r="Q630" s="666"/>
      <c r="R630" s="686"/>
      <c r="S630" s="686"/>
      <c r="T630" s="688"/>
      <c r="U630" s="688"/>
      <c r="V630" s="686"/>
      <c r="W630" s="686"/>
      <c r="X630" s="686"/>
      <c r="Y630" s="686"/>
      <c r="Z630" s="686"/>
      <c r="AA630" s="669"/>
      <c r="AB630" s="695"/>
      <c r="AC630" s="669"/>
    </row>
    <row r="631" ht="18.0" customHeight="1">
      <c r="A631" s="695"/>
      <c r="B631" s="695"/>
      <c r="C631" s="695"/>
      <c r="D631" s="695"/>
      <c r="E631" s="695"/>
      <c r="F631" s="686"/>
      <c r="G631" s="695"/>
      <c r="H631" s="695"/>
      <c r="I631" s="695"/>
      <c r="J631" s="731"/>
      <c r="K631" s="695"/>
      <c r="L631" s="686"/>
      <c r="M631" s="686"/>
      <c r="N631" s="686"/>
      <c r="O631" s="686"/>
      <c r="P631" s="686"/>
      <c r="Q631" s="666"/>
      <c r="R631" s="686"/>
      <c r="S631" s="686"/>
      <c r="T631" s="688"/>
      <c r="U631" s="688"/>
      <c r="V631" s="686"/>
      <c r="W631" s="686"/>
      <c r="X631" s="686"/>
      <c r="Y631" s="686"/>
      <c r="Z631" s="686"/>
      <c r="AA631" s="669"/>
      <c r="AB631" s="695"/>
      <c r="AC631" s="669"/>
    </row>
    <row r="632" ht="18.0" customHeight="1">
      <c r="A632" s="695"/>
      <c r="B632" s="695"/>
      <c r="C632" s="695"/>
      <c r="D632" s="695"/>
      <c r="E632" s="695"/>
      <c r="F632" s="686"/>
      <c r="G632" s="695"/>
      <c r="H632" s="695"/>
      <c r="I632" s="695"/>
      <c r="J632" s="731"/>
      <c r="K632" s="695"/>
      <c r="L632" s="686"/>
      <c r="M632" s="686"/>
      <c r="N632" s="686"/>
      <c r="O632" s="686"/>
      <c r="P632" s="686"/>
      <c r="Q632" s="666"/>
      <c r="R632" s="686"/>
      <c r="S632" s="686"/>
      <c r="T632" s="688"/>
      <c r="U632" s="688"/>
      <c r="V632" s="686"/>
      <c r="W632" s="686"/>
      <c r="X632" s="686"/>
      <c r="Y632" s="686"/>
      <c r="Z632" s="686"/>
      <c r="AA632" s="669"/>
      <c r="AB632" s="695"/>
      <c r="AC632" s="669"/>
    </row>
    <row r="633" ht="18.0" customHeight="1">
      <c r="A633" s="695"/>
      <c r="B633" s="695"/>
      <c r="C633" s="695"/>
      <c r="D633" s="695"/>
      <c r="E633" s="695"/>
      <c r="F633" s="686"/>
      <c r="G633" s="695"/>
      <c r="H633" s="695"/>
      <c r="I633" s="695"/>
      <c r="J633" s="731"/>
      <c r="K633" s="695"/>
      <c r="L633" s="686"/>
      <c r="M633" s="686"/>
      <c r="N633" s="686"/>
      <c r="O633" s="686"/>
      <c r="P633" s="686"/>
      <c r="Q633" s="666"/>
      <c r="R633" s="686"/>
      <c r="S633" s="686"/>
      <c r="T633" s="688"/>
      <c r="U633" s="688"/>
      <c r="V633" s="686"/>
      <c r="W633" s="686"/>
      <c r="X633" s="686"/>
      <c r="Y633" s="686"/>
      <c r="Z633" s="686"/>
      <c r="AA633" s="669"/>
      <c r="AB633" s="695"/>
      <c r="AC633" s="669"/>
    </row>
    <row r="634" ht="18.0" customHeight="1">
      <c r="A634" s="695"/>
      <c r="B634" s="695"/>
      <c r="C634" s="695"/>
      <c r="D634" s="695"/>
      <c r="E634" s="695"/>
      <c r="F634" s="686"/>
      <c r="G634" s="695"/>
      <c r="H634" s="695"/>
      <c r="I634" s="695"/>
      <c r="J634" s="731"/>
      <c r="K634" s="695"/>
      <c r="L634" s="686"/>
      <c r="M634" s="686"/>
      <c r="N634" s="686"/>
      <c r="O634" s="686"/>
      <c r="P634" s="686"/>
      <c r="Q634" s="666"/>
      <c r="R634" s="686"/>
      <c r="S634" s="686"/>
      <c r="T634" s="688"/>
      <c r="U634" s="688"/>
      <c r="V634" s="686"/>
      <c r="W634" s="686"/>
      <c r="X634" s="686"/>
      <c r="Y634" s="686"/>
      <c r="Z634" s="686"/>
      <c r="AA634" s="669"/>
      <c r="AB634" s="695"/>
      <c r="AC634" s="669"/>
    </row>
    <row r="635" ht="18.0" customHeight="1">
      <c r="A635" s="695"/>
      <c r="B635" s="695"/>
      <c r="C635" s="695"/>
      <c r="D635" s="695"/>
      <c r="E635" s="695"/>
      <c r="F635" s="686"/>
      <c r="G635" s="695"/>
      <c r="H635" s="695"/>
      <c r="I635" s="695"/>
      <c r="J635" s="731"/>
      <c r="K635" s="695"/>
      <c r="L635" s="686"/>
      <c r="M635" s="686"/>
      <c r="N635" s="686"/>
      <c r="O635" s="686"/>
      <c r="P635" s="686"/>
      <c r="Q635" s="666"/>
      <c r="R635" s="686"/>
      <c r="S635" s="686"/>
      <c r="T635" s="688"/>
      <c r="U635" s="688"/>
      <c r="V635" s="686"/>
      <c r="W635" s="686"/>
      <c r="X635" s="686"/>
      <c r="Y635" s="686"/>
      <c r="Z635" s="686"/>
      <c r="AA635" s="669"/>
      <c r="AB635" s="695"/>
      <c r="AC635" s="669"/>
    </row>
    <row r="636" ht="18.0" customHeight="1">
      <c r="A636" s="695"/>
      <c r="B636" s="695"/>
      <c r="C636" s="695"/>
      <c r="D636" s="695"/>
      <c r="E636" s="695"/>
      <c r="F636" s="686"/>
      <c r="G636" s="695"/>
      <c r="H636" s="695"/>
      <c r="I636" s="695"/>
      <c r="J636" s="731"/>
      <c r="K636" s="695"/>
      <c r="L636" s="686"/>
      <c r="M636" s="686"/>
      <c r="N636" s="686"/>
      <c r="O636" s="686"/>
      <c r="P636" s="686"/>
      <c r="Q636" s="666"/>
      <c r="R636" s="686"/>
      <c r="S636" s="686"/>
      <c r="T636" s="688"/>
      <c r="U636" s="688"/>
      <c r="V636" s="686"/>
      <c r="W636" s="686"/>
      <c r="X636" s="686"/>
      <c r="Y636" s="686"/>
      <c r="Z636" s="686"/>
      <c r="AA636" s="669"/>
      <c r="AB636" s="695"/>
      <c r="AC636" s="669"/>
    </row>
    <row r="637" ht="18.0" customHeight="1">
      <c r="A637" s="695"/>
      <c r="B637" s="695"/>
      <c r="C637" s="695"/>
      <c r="D637" s="695"/>
      <c r="E637" s="695"/>
      <c r="F637" s="686"/>
      <c r="G637" s="695"/>
      <c r="H637" s="695"/>
      <c r="I637" s="695"/>
      <c r="J637" s="731"/>
      <c r="K637" s="695"/>
      <c r="L637" s="686"/>
      <c r="M637" s="686"/>
      <c r="N637" s="686"/>
      <c r="O637" s="686"/>
      <c r="P637" s="686"/>
      <c r="Q637" s="666"/>
      <c r="R637" s="686"/>
      <c r="S637" s="686"/>
      <c r="T637" s="688"/>
      <c r="U637" s="688"/>
      <c r="V637" s="686"/>
      <c r="W637" s="686"/>
      <c r="X637" s="686"/>
      <c r="Y637" s="686"/>
      <c r="Z637" s="686"/>
      <c r="AA637" s="669"/>
      <c r="AB637" s="695"/>
      <c r="AC637" s="669"/>
    </row>
    <row r="638" ht="18.0" customHeight="1">
      <c r="A638" s="695"/>
      <c r="B638" s="695"/>
      <c r="C638" s="695"/>
      <c r="D638" s="695"/>
      <c r="E638" s="695"/>
      <c r="F638" s="686"/>
      <c r="G638" s="695"/>
      <c r="H638" s="695"/>
      <c r="I638" s="695"/>
      <c r="J638" s="731"/>
      <c r="K638" s="695"/>
      <c r="L638" s="686"/>
      <c r="M638" s="686"/>
      <c r="N638" s="686"/>
      <c r="O638" s="686"/>
      <c r="P638" s="686"/>
      <c r="Q638" s="666"/>
      <c r="R638" s="686"/>
      <c r="S638" s="686"/>
      <c r="T638" s="688"/>
      <c r="U638" s="688"/>
      <c r="V638" s="686"/>
      <c r="W638" s="686"/>
      <c r="X638" s="686"/>
      <c r="Y638" s="686"/>
      <c r="Z638" s="686"/>
      <c r="AA638" s="669"/>
      <c r="AB638" s="695"/>
      <c r="AC638" s="669"/>
    </row>
    <row r="639" ht="18.0" customHeight="1">
      <c r="A639" s="695"/>
      <c r="B639" s="695"/>
      <c r="C639" s="695"/>
      <c r="D639" s="695"/>
      <c r="E639" s="695"/>
      <c r="F639" s="686"/>
      <c r="G639" s="695"/>
      <c r="H639" s="695"/>
      <c r="I639" s="695"/>
      <c r="J639" s="731"/>
      <c r="K639" s="695"/>
      <c r="L639" s="686"/>
      <c r="M639" s="686"/>
      <c r="N639" s="686"/>
      <c r="O639" s="686"/>
      <c r="P639" s="686"/>
      <c r="Q639" s="666"/>
      <c r="R639" s="686"/>
      <c r="S639" s="686"/>
      <c r="T639" s="688"/>
      <c r="U639" s="688"/>
      <c r="V639" s="686"/>
      <c r="W639" s="686"/>
      <c r="X639" s="686"/>
      <c r="Y639" s="686"/>
      <c r="Z639" s="686"/>
      <c r="AA639" s="669"/>
      <c r="AB639" s="695"/>
      <c r="AC639" s="669"/>
    </row>
    <row r="640" ht="18.0" customHeight="1">
      <c r="A640" s="695"/>
      <c r="B640" s="695"/>
      <c r="C640" s="695"/>
      <c r="D640" s="695"/>
      <c r="E640" s="695"/>
      <c r="F640" s="686"/>
      <c r="G640" s="695"/>
      <c r="H640" s="695"/>
      <c r="I640" s="695"/>
      <c r="J640" s="731"/>
      <c r="K640" s="695"/>
      <c r="L640" s="686"/>
      <c r="M640" s="686"/>
      <c r="N640" s="686"/>
      <c r="O640" s="686"/>
      <c r="P640" s="686"/>
      <c r="Q640" s="666"/>
      <c r="R640" s="686"/>
      <c r="S640" s="686"/>
      <c r="T640" s="688"/>
      <c r="U640" s="688"/>
      <c r="V640" s="686"/>
      <c r="W640" s="686"/>
      <c r="X640" s="686"/>
      <c r="Y640" s="686"/>
      <c r="Z640" s="686"/>
      <c r="AA640" s="669"/>
      <c r="AB640" s="695"/>
      <c r="AC640" s="669"/>
    </row>
    <row r="641" ht="18.0" customHeight="1">
      <c r="A641" s="695"/>
      <c r="B641" s="695"/>
      <c r="C641" s="695"/>
      <c r="D641" s="695"/>
      <c r="E641" s="695"/>
      <c r="F641" s="686"/>
      <c r="G641" s="695"/>
      <c r="H641" s="695"/>
      <c r="I641" s="695"/>
      <c r="J641" s="731"/>
      <c r="K641" s="695"/>
      <c r="L641" s="686"/>
      <c r="M641" s="686"/>
      <c r="N641" s="686"/>
      <c r="O641" s="686"/>
      <c r="P641" s="686"/>
      <c r="Q641" s="666"/>
      <c r="R641" s="686"/>
      <c r="S641" s="686"/>
      <c r="T641" s="688"/>
      <c r="U641" s="688"/>
      <c r="V641" s="686"/>
      <c r="W641" s="686"/>
      <c r="X641" s="686"/>
      <c r="Y641" s="686"/>
      <c r="Z641" s="686"/>
      <c r="AA641" s="669"/>
      <c r="AB641" s="695"/>
      <c r="AC641" s="669"/>
    </row>
    <row r="642" ht="18.0" customHeight="1">
      <c r="A642" s="695"/>
      <c r="B642" s="695"/>
      <c r="C642" s="695"/>
      <c r="D642" s="695"/>
      <c r="E642" s="695"/>
      <c r="F642" s="686"/>
      <c r="G642" s="695"/>
      <c r="H642" s="695"/>
      <c r="I642" s="695"/>
      <c r="J642" s="731"/>
      <c r="K642" s="695"/>
      <c r="L642" s="686"/>
      <c r="M642" s="686"/>
      <c r="N642" s="686"/>
      <c r="O642" s="686"/>
      <c r="P642" s="686"/>
      <c r="Q642" s="666"/>
      <c r="R642" s="686"/>
      <c r="S642" s="686"/>
      <c r="T642" s="688"/>
      <c r="U642" s="688"/>
      <c r="V642" s="686"/>
      <c r="W642" s="686"/>
      <c r="X642" s="686"/>
      <c r="Y642" s="686"/>
      <c r="Z642" s="686"/>
      <c r="AA642" s="669"/>
      <c r="AB642" s="695"/>
      <c r="AC642" s="669"/>
    </row>
    <row r="643" ht="18.0" customHeight="1">
      <c r="A643" s="695"/>
      <c r="B643" s="695"/>
      <c r="C643" s="695"/>
      <c r="D643" s="695"/>
      <c r="E643" s="695"/>
      <c r="F643" s="686"/>
      <c r="G643" s="695"/>
      <c r="H643" s="695"/>
      <c r="I643" s="695"/>
      <c r="J643" s="731"/>
      <c r="K643" s="695"/>
      <c r="L643" s="686"/>
      <c r="M643" s="686"/>
      <c r="N643" s="686"/>
      <c r="O643" s="686"/>
      <c r="P643" s="686"/>
      <c r="Q643" s="666"/>
      <c r="R643" s="686"/>
      <c r="S643" s="686"/>
      <c r="T643" s="688"/>
      <c r="U643" s="688"/>
      <c r="V643" s="686"/>
      <c r="W643" s="686"/>
      <c r="X643" s="686"/>
      <c r="Y643" s="686"/>
      <c r="Z643" s="686"/>
      <c r="AA643" s="669"/>
      <c r="AB643" s="695"/>
      <c r="AC643" s="669"/>
    </row>
    <row r="644" ht="18.0" customHeight="1">
      <c r="A644" s="695"/>
      <c r="B644" s="695"/>
      <c r="C644" s="695"/>
      <c r="D644" s="695"/>
      <c r="E644" s="695"/>
      <c r="F644" s="686"/>
      <c r="G644" s="695"/>
      <c r="H644" s="695"/>
      <c r="I644" s="695"/>
      <c r="J644" s="731"/>
      <c r="K644" s="695"/>
      <c r="L644" s="686"/>
      <c r="M644" s="686"/>
      <c r="N644" s="686"/>
      <c r="O644" s="686"/>
      <c r="P644" s="686"/>
      <c r="Q644" s="666"/>
      <c r="R644" s="686"/>
      <c r="S644" s="686"/>
      <c r="T644" s="688"/>
      <c r="U644" s="688"/>
      <c r="V644" s="686"/>
      <c r="W644" s="686"/>
      <c r="X644" s="686"/>
      <c r="Y644" s="686"/>
      <c r="Z644" s="686"/>
      <c r="AA644" s="669"/>
      <c r="AB644" s="695"/>
      <c r="AC644" s="669"/>
    </row>
    <row r="645" ht="18.0" customHeight="1">
      <c r="A645" s="695"/>
      <c r="B645" s="695"/>
      <c r="C645" s="695"/>
      <c r="D645" s="695"/>
      <c r="E645" s="695"/>
      <c r="F645" s="686"/>
      <c r="G645" s="695"/>
      <c r="H645" s="695"/>
      <c r="I645" s="695"/>
      <c r="J645" s="731"/>
      <c r="K645" s="695"/>
      <c r="L645" s="686"/>
      <c r="M645" s="686"/>
      <c r="N645" s="686"/>
      <c r="O645" s="686"/>
      <c r="P645" s="686"/>
      <c r="Q645" s="666"/>
      <c r="R645" s="686"/>
      <c r="S645" s="686"/>
      <c r="T645" s="688"/>
      <c r="U645" s="688"/>
      <c r="V645" s="686"/>
      <c r="W645" s="686"/>
      <c r="X645" s="686"/>
      <c r="Y645" s="686"/>
      <c r="Z645" s="686"/>
      <c r="AA645" s="669"/>
      <c r="AB645" s="695"/>
      <c r="AC645" s="669"/>
    </row>
    <row r="646" ht="18.0" customHeight="1">
      <c r="A646" s="695"/>
      <c r="B646" s="695"/>
      <c r="C646" s="695"/>
      <c r="D646" s="695"/>
      <c r="E646" s="695"/>
      <c r="F646" s="686"/>
      <c r="G646" s="695"/>
      <c r="H646" s="695"/>
      <c r="I646" s="695"/>
      <c r="J646" s="731"/>
      <c r="K646" s="695"/>
      <c r="L646" s="686"/>
      <c r="M646" s="686"/>
      <c r="N646" s="686"/>
      <c r="O646" s="686"/>
      <c r="P646" s="686"/>
      <c r="Q646" s="666"/>
      <c r="R646" s="686"/>
      <c r="S646" s="686"/>
      <c r="T646" s="688"/>
      <c r="U646" s="688"/>
      <c r="V646" s="686"/>
      <c r="W646" s="686"/>
      <c r="X646" s="686"/>
      <c r="Y646" s="686"/>
      <c r="Z646" s="686"/>
      <c r="AA646" s="669"/>
      <c r="AB646" s="695"/>
      <c r="AC646" s="669"/>
    </row>
    <row r="647" ht="18.0" customHeight="1">
      <c r="A647" s="695"/>
      <c r="B647" s="695"/>
      <c r="C647" s="695"/>
      <c r="D647" s="695"/>
      <c r="E647" s="695"/>
      <c r="F647" s="686"/>
      <c r="G647" s="695"/>
      <c r="H647" s="695"/>
      <c r="I647" s="695"/>
      <c r="J647" s="731"/>
      <c r="K647" s="695"/>
      <c r="L647" s="686"/>
      <c r="M647" s="686"/>
      <c r="N647" s="686"/>
      <c r="O647" s="686"/>
      <c r="P647" s="686"/>
      <c r="Q647" s="666"/>
      <c r="R647" s="686"/>
      <c r="S647" s="686"/>
      <c r="T647" s="688"/>
      <c r="U647" s="688"/>
      <c r="V647" s="686"/>
      <c r="W647" s="686"/>
      <c r="X647" s="686"/>
      <c r="Y647" s="686"/>
      <c r="Z647" s="686"/>
      <c r="AA647" s="669"/>
      <c r="AB647" s="695"/>
      <c r="AC647" s="669"/>
    </row>
    <row r="648" ht="18.0" customHeight="1">
      <c r="A648" s="695"/>
      <c r="B648" s="695"/>
      <c r="C648" s="695"/>
      <c r="D648" s="695"/>
      <c r="E648" s="695"/>
      <c r="F648" s="686"/>
      <c r="G648" s="695"/>
      <c r="H648" s="695"/>
      <c r="I648" s="695"/>
      <c r="J648" s="731"/>
      <c r="K648" s="695"/>
      <c r="L648" s="686"/>
      <c r="M648" s="686"/>
      <c r="N648" s="686"/>
      <c r="O648" s="686"/>
      <c r="P648" s="686"/>
      <c r="Q648" s="666"/>
      <c r="R648" s="686"/>
      <c r="S648" s="686"/>
      <c r="T648" s="688"/>
      <c r="U648" s="688"/>
      <c r="V648" s="686"/>
      <c r="W648" s="686"/>
      <c r="X648" s="686"/>
      <c r="Y648" s="686"/>
      <c r="Z648" s="686"/>
      <c r="AA648" s="669"/>
      <c r="AB648" s="695"/>
      <c r="AC648" s="669"/>
    </row>
    <row r="649" ht="18.0" customHeight="1">
      <c r="A649" s="695"/>
      <c r="B649" s="695"/>
      <c r="C649" s="695"/>
      <c r="D649" s="695"/>
      <c r="E649" s="695"/>
      <c r="F649" s="686"/>
      <c r="G649" s="695"/>
      <c r="H649" s="695"/>
      <c r="I649" s="695"/>
      <c r="J649" s="731"/>
      <c r="K649" s="695"/>
      <c r="L649" s="686"/>
      <c r="M649" s="686"/>
      <c r="N649" s="686"/>
      <c r="O649" s="686"/>
      <c r="P649" s="686"/>
      <c r="Q649" s="666"/>
      <c r="R649" s="686"/>
      <c r="S649" s="686"/>
      <c r="T649" s="688"/>
      <c r="U649" s="688"/>
      <c r="V649" s="686"/>
      <c r="W649" s="686"/>
      <c r="X649" s="686"/>
      <c r="Y649" s="686"/>
      <c r="Z649" s="686"/>
      <c r="AA649" s="669"/>
      <c r="AB649" s="695"/>
      <c r="AC649" s="669"/>
    </row>
    <row r="650" ht="18.0" customHeight="1">
      <c r="A650" s="695"/>
      <c r="B650" s="695"/>
      <c r="C650" s="695"/>
      <c r="D650" s="695"/>
      <c r="E650" s="695"/>
      <c r="F650" s="686"/>
      <c r="G650" s="695"/>
      <c r="H650" s="695"/>
      <c r="I650" s="695"/>
      <c r="J650" s="731"/>
      <c r="K650" s="695"/>
      <c r="L650" s="686"/>
      <c r="M650" s="686"/>
      <c r="N650" s="686"/>
      <c r="O650" s="686"/>
      <c r="P650" s="686"/>
      <c r="Q650" s="666"/>
      <c r="R650" s="686"/>
      <c r="S650" s="686"/>
      <c r="T650" s="688"/>
      <c r="U650" s="688"/>
      <c r="V650" s="686"/>
      <c r="W650" s="686"/>
      <c r="X650" s="686"/>
      <c r="Y650" s="686"/>
      <c r="Z650" s="686"/>
      <c r="AA650" s="669"/>
      <c r="AB650" s="695"/>
      <c r="AC650" s="669"/>
    </row>
    <row r="651" ht="18.0" customHeight="1">
      <c r="A651" s="695"/>
      <c r="B651" s="695"/>
      <c r="C651" s="695"/>
      <c r="D651" s="695"/>
      <c r="E651" s="695"/>
      <c r="F651" s="686"/>
      <c r="G651" s="695"/>
      <c r="H651" s="695"/>
      <c r="I651" s="695"/>
      <c r="J651" s="731"/>
      <c r="K651" s="695"/>
      <c r="L651" s="686"/>
      <c r="M651" s="686"/>
      <c r="N651" s="686"/>
      <c r="O651" s="686"/>
      <c r="P651" s="686"/>
      <c r="Q651" s="666"/>
      <c r="R651" s="686"/>
      <c r="S651" s="686"/>
      <c r="T651" s="688"/>
      <c r="U651" s="688"/>
      <c r="V651" s="686"/>
      <c r="W651" s="686"/>
      <c r="X651" s="686"/>
      <c r="Y651" s="686"/>
      <c r="Z651" s="686"/>
      <c r="AA651" s="669"/>
      <c r="AB651" s="695"/>
      <c r="AC651" s="669"/>
    </row>
    <row r="652" ht="18.0" customHeight="1">
      <c r="A652" s="695"/>
      <c r="B652" s="695"/>
      <c r="C652" s="695"/>
      <c r="D652" s="695"/>
      <c r="E652" s="695"/>
      <c r="F652" s="686"/>
      <c r="G652" s="695"/>
      <c r="H652" s="695"/>
      <c r="I652" s="695"/>
      <c r="J652" s="731"/>
      <c r="K652" s="695"/>
      <c r="L652" s="686"/>
      <c r="M652" s="686"/>
      <c r="N652" s="686"/>
      <c r="O652" s="686"/>
      <c r="P652" s="686"/>
      <c r="Q652" s="666"/>
      <c r="R652" s="686"/>
      <c r="S652" s="686"/>
      <c r="T652" s="688"/>
      <c r="U652" s="688"/>
      <c r="V652" s="686"/>
      <c r="W652" s="686"/>
      <c r="X652" s="686"/>
      <c r="Y652" s="686"/>
      <c r="Z652" s="686"/>
      <c r="AA652" s="669"/>
      <c r="AB652" s="695"/>
      <c r="AC652" s="669"/>
    </row>
    <row r="653" ht="18.0" customHeight="1">
      <c r="A653" s="695"/>
      <c r="B653" s="695"/>
      <c r="C653" s="695"/>
      <c r="D653" s="695"/>
      <c r="E653" s="695"/>
      <c r="F653" s="686"/>
      <c r="G653" s="695"/>
      <c r="H653" s="695"/>
      <c r="I653" s="695"/>
      <c r="J653" s="731"/>
      <c r="K653" s="695"/>
      <c r="L653" s="686"/>
      <c r="M653" s="686"/>
      <c r="N653" s="686"/>
      <c r="O653" s="686"/>
      <c r="P653" s="686"/>
      <c r="Q653" s="666"/>
      <c r="R653" s="686"/>
      <c r="S653" s="686"/>
      <c r="T653" s="688"/>
      <c r="U653" s="688"/>
      <c r="V653" s="686"/>
      <c r="W653" s="686"/>
      <c r="X653" s="686"/>
      <c r="Y653" s="686"/>
      <c r="Z653" s="686"/>
      <c r="AA653" s="669"/>
      <c r="AB653" s="695"/>
      <c r="AC653" s="669"/>
    </row>
    <row r="654" ht="18.0" customHeight="1">
      <c r="A654" s="695"/>
      <c r="B654" s="695"/>
      <c r="C654" s="695"/>
      <c r="D654" s="695"/>
      <c r="E654" s="695"/>
      <c r="F654" s="686"/>
      <c r="G654" s="695"/>
      <c r="H654" s="695"/>
      <c r="I654" s="695"/>
      <c r="J654" s="731"/>
      <c r="K654" s="695"/>
      <c r="L654" s="686"/>
      <c r="M654" s="686"/>
      <c r="N654" s="686"/>
      <c r="O654" s="686"/>
      <c r="P654" s="686"/>
      <c r="Q654" s="666"/>
      <c r="R654" s="686"/>
      <c r="S654" s="686"/>
      <c r="T654" s="688"/>
      <c r="U654" s="688"/>
      <c r="V654" s="686"/>
      <c r="W654" s="686"/>
      <c r="X654" s="686"/>
      <c r="Y654" s="686"/>
      <c r="Z654" s="686"/>
      <c r="AA654" s="669"/>
      <c r="AB654" s="695"/>
      <c r="AC654" s="669"/>
    </row>
    <row r="655" ht="18.0" customHeight="1">
      <c r="A655" s="695"/>
      <c r="B655" s="695"/>
      <c r="C655" s="695"/>
      <c r="D655" s="695"/>
      <c r="E655" s="695"/>
      <c r="F655" s="686"/>
      <c r="G655" s="695"/>
      <c r="H655" s="695"/>
      <c r="I655" s="695"/>
      <c r="J655" s="731"/>
      <c r="K655" s="695"/>
      <c r="L655" s="686"/>
      <c r="M655" s="686"/>
      <c r="N655" s="686"/>
      <c r="O655" s="686"/>
      <c r="P655" s="686"/>
      <c r="Q655" s="666"/>
      <c r="R655" s="686"/>
      <c r="S655" s="686"/>
      <c r="T655" s="688"/>
      <c r="U655" s="688"/>
      <c r="V655" s="686"/>
      <c r="W655" s="686"/>
      <c r="X655" s="686"/>
      <c r="Y655" s="686"/>
      <c r="Z655" s="686"/>
      <c r="AA655" s="669"/>
      <c r="AB655" s="695"/>
      <c r="AC655" s="669"/>
    </row>
    <row r="656" ht="18.0" customHeight="1">
      <c r="A656" s="695"/>
      <c r="B656" s="695"/>
      <c r="C656" s="695"/>
      <c r="D656" s="695"/>
      <c r="E656" s="695"/>
      <c r="F656" s="686"/>
      <c r="G656" s="695"/>
      <c r="H656" s="695"/>
      <c r="I656" s="695"/>
      <c r="J656" s="731"/>
      <c r="K656" s="695"/>
      <c r="L656" s="686"/>
      <c r="M656" s="686"/>
      <c r="N656" s="686"/>
      <c r="O656" s="686"/>
      <c r="P656" s="686"/>
      <c r="Q656" s="666"/>
      <c r="R656" s="686"/>
      <c r="S656" s="686"/>
      <c r="T656" s="688"/>
      <c r="U656" s="688"/>
      <c r="V656" s="686"/>
      <c r="W656" s="686"/>
      <c r="X656" s="686"/>
      <c r="Y656" s="686"/>
      <c r="Z656" s="686"/>
      <c r="AA656" s="669"/>
      <c r="AB656" s="695"/>
      <c r="AC656" s="669"/>
    </row>
    <row r="657" ht="18.0" customHeight="1">
      <c r="A657" s="695"/>
      <c r="B657" s="695"/>
      <c r="C657" s="695"/>
      <c r="D657" s="695"/>
      <c r="E657" s="695"/>
      <c r="F657" s="686"/>
      <c r="G657" s="695"/>
      <c r="H657" s="695"/>
      <c r="I657" s="695"/>
      <c r="J657" s="731"/>
      <c r="K657" s="695"/>
      <c r="L657" s="686"/>
      <c r="M657" s="686"/>
      <c r="N657" s="686"/>
      <c r="O657" s="686"/>
      <c r="P657" s="686"/>
      <c r="Q657" s="666"/>
      <c r="R657" s="686"/>
      <c r="S657" s="686"/>
      <c r="T657" s="688"/>
      <c r="U657" s="688"/>
      <c r="V657" s="686"/>
      <c r="W657" s="686"/>
      <c r="X657" s="686"/>
      <c r="Y657" s="686"/>
      <c r="Z657" s="686"/>
      <c r="AA657" s="669"/>
      <c r="AB657" s="695"/>
      <c r="AC657" s="669"/>
    </row>
    <row r="658" ht="18.0" customHeight="1">
      <c r="A658" s="695"/>
      <c r="B658" s="695"/>
      <c r="C658" s="695"/>
      <c r="D658" s="695"/>
      <c r="E658" s="695"/>
      <c r="F658" s="686"/>
      <c r="G658" s="695"/>
      <c r="H658" s="695"/>
      <c r="I658" s="695"/>
      <c r="J658" s="731"/>
      <c r="K658" s="695"/>
      <c r="L658" s="686"/>
      <c r="M658" s="686"/>
      <c r="N658" s="686"/>
      <c r="O658" s="686"/>
      <c r="P658" s="686"/>
      <c r="Q658" s="666"/>
      <c r="R658" s="686"/>
      <c r="S658" s="686"/>
      <c r="T658" s="688"/>
      <c r="U658" s="688"/>
      <c r="V658" s="686"/>
      <c r="W658" s="686"/>
      <c r="X658" s="686"/>
      <c r="Y658" s="686"/>
      <c r="Z658" s="686"/>
      <c r="AA658" s="669"/>
      <c r="AB658" s="695"/>
      <c r="AC658" s="669"/>
    </row>
    <row r="659" ht="18.0" customHeight="1">
      <c r="A659" s="695"/>
      <c r="B659" s="695"/>
      <c r="C659" s="695"/>
      <c r="D659" s="695"/>
      <c r="E659" s="695"/>
      <c r="F659" s="686"/>
      <c r="G659" s="695"/>
      <c r="H659" s="695"/>
      <c r="I659" s="695"/>
      <c r="J659" s="731"/>
      <c r="K659" s="695"/>
      <c r="L659" s="686"/>
      <c r="M659" s="686"/>
      <c r="N659" s="686"/>
      <c r="O659" s="686"/>
      <c r="P659" s="686"/>
      <c r="Q659" s="666"/>
      <c r="R659" s="686"/>
      <c r="S659" s="686"/>
      <c r="T659" s="688"/>
      <c r="U659" s="688"/>
      <c r="V659" s="686"/>
      <c r="W659" s="686"/>
      <c r="X659" s="686"/>
      <c r="Y659" s="686"/>
      <c r="Z659" s="686"/>
      <c r="AA659" s="669"/>
      <c r="AB659" s="695"/>
      <c r="AC659" s="669"/>
    </row>
    <row r="660" ht="18.0" customHeight="1">
      <c r="A660" s="695"/>
      <c r="B660" s="695"/>
      <c r="C660" s="695"/>
      <c r="D660" s="695"/>
      <c r="E660" s="695"/>
      <c r="F660" s="686"/>
      <c r="G660" s="695"/>
      <c r="H660" s="695"/>
      <c r="I660" s="695"/>
      <c r="J660" s="731"/>
      <c r="K660" s="695"/>
      <c r="L660" s="686"/>
      <c r="M660" s="686"/>
      <c r="N660" s="686"/>
      <c r="O660" s="686"/>
      <c r="P660" s="686"/>
      <c r="Q660" s="666"/>
      <c r="R660" s="686"/>
      <c r="S660" s="686"/>
      <c r="T660" s="688"/>
      <c r="U660" s="688"/>
      <c r="V660" s="686"/>
      <c r="W660" s="686"/>
      <c r="X660" s="686"/>
      <c r="Y660" s="686"/>
      <c r="Z660" s="686"/>
      <c r="AA660" s="669"/>
      <c r="AB660" s="695"/>
      <c r="AC660" s="669"/>
    </row>
    <row r="661" ht="18.0" customHeight="1">
      <c r="A661" s="695"/>
      <c r="B661" s="695"/>
      <c r="C661" s="695"/>
      <c r="D661" s="695"/>
      <c r="E661" s="695"/>
      <c r="F661" s="686"/>
      <c r="G661" s="695"/>
      <c r="H661" s="695"/>
      <c r="I661" s="695"/>
      <c r="J661" s="731"/>
      <c r="K661" s="695"/>
      <c r="L661" s="686"/>
      <c r="M661" s="686"/>
      <c r="N661" s="686"/>
      <c r="O661" s="686"/>
      <c r="P661" s="686"/>
      <c r="Q661" s="666"/>
      <c r="R661" s="686"/>
      <c r="S661" s="686"/>
      <c r="T661" s="688"/>
      <c r="U661" s="688"/>
      <c r="V661" s="686"/>
      <c r="W661" s="686"/>
      <c r="X661" s="686"/>
      <c r="Y661" s="686"/>
      <c r="Z661" s="686"/>
      <c r="AA661" s="669"/>
      <c r="AB661" s="695"/>
      <c r="AC661" s="669"/>
    </row>
    <row r="662" ht="18.0" customHeight="1">
      <c r="A662" s="695"/>
      <c r="B662" s="695"/>
      <c r="C662" s="695"/>
      <c r="D662" s="695"/>
      <c r="E662" s="695"/>
      <c r="F662" s="686"/>
      <c r="G662" s="695"/>
      <c r="H662" s="695"/>
      <c r="I662" s="695"/>
      <c r="J662" s="731"/>
      <c r="K662" s="695"/>
      <c r="L662" s="686"/>
      <c r="M662" s="686"/>
      <c r="N662" s="686"/>
      <c r="O662" s="686"/>
      <c r="P662" s="686"/>
      <c r="Q662" s="666"/>
      <c r="R662" s="686"/>
      <c r="S662" s="686"/>
      <c r="T662" s="688"/>
      <c r="U662" s="688"/>
      <c r="V662" s="686"/>
      <c r="W662" s="686"/>
      <c r="X662" s="686"/>
      <c r="Y662" s="686"/>
      <c r="Z662" s="686"/>
      <c r="AA662" s="669"/>
      <c r="AB662" s="695"/>
      <c r="AC662" s="669"/>
    </row>
    <row r="663" ht="18.0" customHeight="1">
      <c r="A663" s="695"/>
      <c r="B663" s="695"/>
      <c r="C663" s="695"/>
      <c r="D663" s="695"/>
      <c r="E663" s="695"/>
      <c r="F663" s="686"/>
      <c r="G663" s="695"/>
      <c r="H663" s="695"/>
      <c r="I663" s="695"/>
      <c r="J663" s="731"/>
      <c r="K663" s="695"/>
      <c r="L663" s="686"/>
      <c r="M663" s="686"/>
      <c r="N663" s="686"/>
      <c r="O663" s="686"/>
      <c r="P663" s="686"/>
      <c r="Q663" s="666"/>
      <c r="R663" s="686"/>
      <c r="S663" s="686"/>
      <c r="T663" s="688"/>
      <c r="U663" s="688"/>
      <c r="V663" s="686"/>
      <c r="W663" s="686"/>
      <c r="X663" s="686"/>
      <c r="Y663" s="686"/>
      <c r="Z663" s="686"/>
      <c r="AA663" s="669"/>
      <c r="AB663" s="695"/>
      <c r="AC663" s="669"/>
    </row>
    <row r="664" ht="18.0" customHeight="1">
      <c r="A664" s="695"/>
      <c r="B664" s="695"/>
      <c r="C664" s="695"/>
      <c r="D664" s="695"/>
      <c r="E664" s="695"/>
      <c r="F664" s="686"/>
      <c r="G664" s="695"/>
      <c r="H664" s="695"/>
      <c r="I664" s="695"/>
      <c r="J664" s="731"/>
      <c r="K664" s="695"/>
      <c r="L664" s="686"/>
      <c r="M664" s="686"/>
      <c r="N664" s="686"/>
      <c r="O664" s="686"/>
      <c r="P664" s="686"/>
      <c r="Q664" s="666"/>
      <c r="R664" s="686"/>
      <c r="S664" s="686"/>
      <c r="T664" s="688"/>
      <c r="U664" s="688"/>
      <c r="V664" s="686"/>
      <c r="W664" s="686"/>
      <c r="X664" s="686"/>
      <c r="Y664" s="686"/>
      <c r="Z664" s="686"/>
      <c r="AA664" s="669"/>
      <c r="AB664" s="695"/>
      <c r="AC664" s="669"/>
    </row>
    <row r="665" ht="18.0" customHeight="1">
      <c r="A665" s="695"/>
      <c r="B665" s="695"/>
      <c r="C665" s="695"/>
      <c r="D665" s="695"/>
      <c r="E665" s="695"/>
      <c r="F665" s="686"/>
      <c r="G665" s="695"/>
      <c r="H665" s="695"/>
      <c r="I665" s="695"/>
      <c r="J665" s="731"/>
      <c r="K665" s="695"/>
      <c r="L665" s="686"/>
      <c r="M665" s="686"/>
      <c r="N665" s="686"/>
      <c r="O665" s="686"/>
      <c r="P665" s="686"/>
      <c r="Q665" s="666"/>
      <c r="R665" s="686"/>
      <c r="S665" s="686"/>
      <c r="T665" s="688"/>
      <c r="U665" s="688"/>
      <c r="V665" s="686"/>
      <c r="W665" s="686"/>
      <c r="X665" s="686"/>
      <c r="Y665" s="686"/>
      <c r="Z665" s="686"/>
      <c r="AA665" s="669"/>
      <c r="AB665" s="695"/>
      <c r="AC665" s="669"/>
    </row>
    <row r="666" ht="18.0" customHeight="1">
      <c r="A666" s="695"/>
      <c r="B666" s="695"/>
      <c r="C666" s="695"/>
      <c r="D666" s="695"/>
      <c r="E666" s="695"/>
      <c r="F666" s="686"/>
      <c r="G666" s="695"/>
      <c r="H666" s="695"/>
      <c r="I666" s="695"/>
      <c r="J666" s="731"/>
      <c r="K666" s="695"/>
      <c r="L666" s="686"/>
      <c r="M666" s="686"/>
      <c r="N666" s="686"/>
      <c r="O666" s="686"/>
      <c r="P666" s="686"/>
      <c r="Q666" s="666"/>
      <c r="R666" s="686"/>
      <c r="S666" s="686"/>
      <c r="T666" s="688"/>
      <c r="U666" s="688"/>
      <c r="V666" s="686"/>
      <c r="W666" s="686"/>
      <c r="X666" s="686"/>
      <c r="Y666" s="686"/>
      <c r="Z666" s="686"/>
      <c r="AA666" s="669"/>
      <c r="AB666" s="695"/>
      <c r="AC666" s="669"/>
    </row>
    <row r="667" ht="18.0" customHeight="1">
      <c r="A667" s="695"/>
      <c r="B667" s="695"/>
      <c r="C667" s="695"/>
      <c r="D667" s="695"/>
      <c r="E667" s="695"/>
      <c r="F667" s="686"/>
      <c r="G667" s="695"/>
      <c r="H667" s="695"/>
      <c r="I667" s="695"/>
      <c r="J667" s="731"/>
      <c r="K667" s="695"/>
      <c r="L667" s="686"/>
      <c r="M667" s="686"/>
      <c r="N667" s="686"/>
      <c r="O667" s="686"/>
      <c r="P667" s="686"/>
      <c r="Q667" s="666"/>
      <c r="R667" s="686"/>
      <c r="S667" s="686"/>
      <c r="T667" s="688"/>
      <c r="U667" s="688"/>
      <c r="V667" s="686"/>
      <c r="W667" s="686"/>
      <c r="X667" s="686"/>
      <c r="Y667" s="686"/>
      <c r="Z667" s="686"/>
      <c r="AA667" s="669"/>
      <c r="AB667" s="695"/>
      <c r="AC667" s="669"/>
    </row>
    <row r="668" ht="18.0" customHeight="1">
      <c r="A668" s="695"/>
      <c r="B668" s="695"/>
      <c r="C668" s="695"/>
      <c r="D668" s="695"/>
      <c r="E668" s="695"/>
      <c r="F668" s="686"/>
      <c r="G668" s="695"/>
      <c r="H668" s="695"/>
      <c r="I668" s="695"/>
      <c r="J668" s="731"/>
      <c r="K668" s="695"/>
      <c r="L668" s="686"/>
      <c r="M668" s="686"/>
      <c r="N668" s="686"/>
      <c r="O668" s="686"/>
      <c r="P668" s="686"/>
      <c r="Q668" s="666"/>
      <c r="R668" s="686"/>
      <c r="S668" s="686"/>
      <c r="T668" s="688"/>
      <c r="U668" s="688"/>
      <c r="V668" s="686"/>
      <c r="W668" s="686"/>
      <c r="X668" s="686"/>
      <c r="Y668" s="686"/>
      <c r="Z668" s="686"/>
      <c r="AA668" s="669"/>
      <c r="AB668" s="695"/>
      <c r="AC668" s="669"/>
    </row>
    <row r="669" ht="18.0" customHeight="1">
      <c r="A669" s="695"/>
      <c r="B669" s="695"/>
      <c r="C669" s="695"/>
      <c r="D669" s="695"/>
      <c r="E669" s="695"/>
      <c r="F669" s="686"/>
      <c r="G669" s="695"/>
      <c r="H669" s="695"/>
      <c r="I669" s="695"/>
      <c r="J669" s="731"/>
      <c r="K669" s="695"/>
      <c r="L669" s="686"/>
      <c r="M669" s="686"/>
      <c r="N669" s="686"/>
      <c r="O669" s="686"/>
      <c r="P669" s="686"/>
      <c r="Q669" s="666"/>
      <c r="R669" s="686"/>
      <c r="S669" s="686"/>
      <c r="T669" s="688"/>
      <c r="U669" s="688"/>
      <c r="V669" s="686"/>
      <c r="W669" s="686"/>
      <c r="X669" s="686"/>
      <c r="Y669" s="686"/>
      <c r="Z669" s="686"/>
      <c r="AA669" s="669"/>
      <c r="AB669" s="695"/>
      <c r="AC669" s="669"/>
    </row>
    <row r="670" ht="18.0" customHeight="1">
      <c r="A670" s="695"/>
      <c r="B670" s="695"/>
      <c r="C670" s="695"/>
      <c r="D670" s="695"/>
      <c r="E670" s="695"/>
      <c r="F670" s="686"/>
      <c r="G670" s="695"/>
      <c r="H670" s="695"/>
      <c r="I670" s="695"/>
      <c r="J670" s="731"/>
      <c r="K670" s="695"/>
      <c r="L670" s="686"/>
      <c r="M670" s="686"/>
      <c r="N670" s="686"/>
      <c r="O670" s="686"/>
      <c r="P670" s="686"/>
      <c r="Q670" s="666"/>
      <c r="R670" s="686"/>
      <c r="S670" s="686"/>
      <c r="T670" s="688"/>
      <c r="U670" s="688"/>
      <c r="V670" s="686"/>
      <c r="W670" s="686"/>
      <c r="X670" s="686"/>
      <c r="Y670" s="686"/>
      <c r="Z670" s="686"/>
      <c r="AA670" s="669"/>
      <c r="AB670" s="695"/>
      <c r="AC670" s="669"/>
    </row>
    <row r="671" ht="18.0" customHeight="1">
      <c r="A671" s="695"/>
      <c r="B671" s="695"/>
      <c r="C671" s="695"/>
      <c r="D671" s="695"/>
      <c r="E671" s="695"/>
      <c r="F671" s="686"/>
      <c r="G671" s="695"/>
      <c r="H671" s="695"/>
      <c r="I671" s="695"/>
      <c r="J671" s="731"/>
      <c r="K671" s="695"/>
      <c r="L671" s="686"/>
      <c r="M671" s="686"/>
      <c r="N671" s="686"/>
      <c r="O671" s="686"/>
      <c r="P671" s="686"/>
      <c r="Q671" s="666"/>
      <c r="R671" s="686"/>
      <c r="S671" s="686"/>
      <c r="T671" s="688"/>
      <c r="U671" s="688"/>
      <c r="V671" s="686"/>
      <c r="W671" s="686"/>
      <c r="X671" s="686"/>
      <c r="Y671" s="686"/>
      <c r="Z671" s="686"/>
      <c r="AA671" s="669"/>
      <c r="AB671" s="695"/>
      <c r="AC671" s="669"/>
    </row>
    <row r="672" ht="18.0" customHeight="1">
      <c r="A672" s="695"/>
      <c r="B672" s="695"/>
      <c r="C672" s="695"/>
      <c r="D672" s="695"/>
      <c r="E672" s="695"/>
      <c r="F672" s="686"/>
      <c r="G672" s="695"/>
      <c r="H672" s="695"/>
      <c r="I672" s="695"/>
      <c r="J672" s="731"/>
      <c r="K672" s="695"/>
      <c r="L672" s="686"/>
      <c r="M672" s="686"/>
      <c r="N672" s="686"/>
      <c r="O672" s="686"/>
      <c r="P672" s="686"/>
      <c r="Q672" s="666"/>
      <c r="R672" s="686"/>
      <c r="S672" s="686"/>
      <c r="T672" s="688"/>
      <c r="U672" s="688"/>
      <c r="V672" s="686"/>
      <c r="W672" s="686"/>
      <c r="X672" s="686"/>
      <c r="Y672" s="686"/>
      <c r="Z672" s="686"/>
      <c r="AA672" s="669"/>
      <c r="AB672" s="695"/>
      <c r="AC672" s="669"/>
    </row>
    <row r="673" ht="18.0" customHeight="1">
      <c r="A673" s="695"/>
      <c r="B673" s="695"/>
      <c r="C673" s="695"/>
      <c r="D673" s="695"/>
      <c r="E673" s="695"/>
      <c r="F673" s="686"/>
      <c r="G673" s="695"/>
      <c r="H673" s="695"/>
      <c r="I673" s="695"/>
      <c r="J673" s="731"/>
      <c r="K673" s="695"/>
      <c r="L673" s="686"/>
      <c r="M673" s="686"/>
      <c r="N673" s="686"/>
      <c r="O673" s="686"/>
      <c r="P673" s="686"/>
      <c r="Q673" s="666"/>
      <c r="R673" s="686"/>
      <c r="S673" s="686"/>
      <c r="T673" s="688"/>
      <c r="U673" s="688"/>
      <c r="V673" s="686"/>
      <c r="W673" s="686"/>
      <c r="X673" s="686"/>
      <c r="Y673" s="686"/>
      <c r="Z673" s="686"/>
      <c r="AA673" s="669"/>
      <c r="AB673" s="695"/>
      <c r="AC673" s="669"/>
    </row>
    <row r="674" ht="18.0" customHeight="1">
      <c r="A674" s="695"/>
      <c r="B674" s="695"/>
      <c r="C674" s="695"/>
      <c r="D674" s="695"/>
      <c r="E674" s="695"/>
      <c r="F674" s="686"/>
      <c r="G674" s="695"/>
      <c r="H674" s="695"/>
      <c r="I674" s="695"/>
      <c r="J674" s="731"/>
      <c r="K674" s="695"/>
      <c r="L674" s="686"/>
      <c r="M674" s="686"/>
      <c r="N674" s="686"/>
      <c r="O674" s="686"/>
      <c r="P674" s="686"/>
      <c r="Q674" s="666"/>
      <c r="R674" s="686"/>
      <c r="S674" s="686"/>
      <c r="T674" s="688"/>
      <c r="U674" s="688"/>
      <c r="V674" s="686"/>
      <c r="W674" s="686"/>
      <c r="X674" s="686"/>
      <c r="Y674" s="686"/>
      <c r="Z674" s="686"/>
      <c r="AA674" s="669"/>
      <c r="AB674" s="695"/>
      <c r="AC674" s="669"/>
    </row>
    <row r="675" ht="18.0" customHeight="1">
      <c r="A675" s="695"/>
      <c r="B675" s="695"/>
      <c r="C675" s="695"/>
      <c r="D675" s="695"/>
      <c r="E675" s="695"/>
      <c r="F675" s="686"/>
      <c r="G675" s="695"/>
      <c r="H675" s="695"/>
      <c r="I675" s="695"/>
      <c r="J675" s="731"/>
      <c r="K675" s="695"/>
      <c r="L675" s="686"/>
      <c r="M675" s="686"/>
      <c r="N675" s="686"/>
      <c r="O675" s="686"/>
      <c r="P675" s="686"/>
      <c r="Q675" s="666"/>
      <c r="R675" s="686"/>
      <c r="S675" s="686"/>
      <c r="T675" s="688"/>
      <c r="U675" s="688"/>
      <c r="V675" s="686"/>
      <c r="W675" s="686"/>
      <c r="X675" s="686"/>
      <c r="Y675" s="686"/>
      <c r="Z675" s="686"/>
      <c r="AA675" s="669"/>
      <c r="AB675" s="695"/>
      <c r="AC675" s="669"/>
    </row>
    <row r="676" ht="18.0" customHeight="1">
      <c r="A676" s="695"/>
      <c r="B676" s="695"/>
      <c r="C676" s="695"/>
      <c r="D676" s="695"/>
      <c r="E676" s="695"/>
      <c r="F676" s="686"/>
      <c r="G676" s="695"/>
      <c r="H676" s="695"/>
      <c r="I676" s="695"/>
      <c r="J676" s="731"/>
      <c r="K676" s="695"/>
      <c r="L676" s="686"/>
      <c r="M676" s="686"/>
      <c r="N676" s="686"/>
      <c r="O676" s="686"/>
      <c r="P676" s="686"/>
      <c r="Q676" s="666"/>
      <c r="R676" s="686"/>
      <c r="S676" s="686"/>
      <c r="T676" s="688"/>
      <c r="U676" s="688"/>
      <c r="V676" s="686"/>
      <c r="W676" s="686"/>
      <c r="X676" s="686"/>
      <c r="Y676" s="686"/>
      <c r="Z676" s="686"/>
      <c r="AA676" s="669"/>
      <c r="AB676" s="695"/>
      <c r="AC676" s="669"/>
    </row>
    <row r="677" ht="18.0" customHeight="1">
      <c r="A677" s="695"/>
      <c r="B677" s="695"/>
      <c r="C677" s="695"/>
      <c r="D677" s="695"/>
      <c r="E677" s="695"/>
      <c r="F677" s="686"/>
      <c r="G677" s="695"/>
      <c r="H677" s="695"/>
      <c r="I677" s="695"/>
      <c r="J677" s="731"/>
      <c r="K677" s="695"/>
      <c r="L677" s="686"/>
      <c r="M677" s="686"/>
      <c r="N677" s="686"/>
      <c r="O677" s="686"/>
      <c r="P677" s="686"/>
      <c r="Q677" s="666"/>
      <c r="R677" s="686"/>
      <c r="S677" s="686"/>
      <c r="T677" s="688"/>
      <c r="U677" s="688"/>
      <c r="V677" s="686"/>
      <c r="W677" s="686"/>
      <c r="X677" s="686"/>
      <c r="Y677" s="686"/>
      <c r="Z677" s="686"/>
      <c r="AA677" s="669"/>
      <c r="AB677" s="695"/>
      <c r="AC677" s="669"/>
    </row>
    <row r="678" ht="18.0" customHeight="1">
      <c r="A678" s="695"/>
      <c r="B678" s="695"/>
      <c r="C678" s="695"/>
      <c r="D678" s="695"/>
      <c r="E678" s="695"/>
      <c r="F678" s="686"/>
      <c r="G678" s="695"/>
      <c r="H678" s="695"/>
      <c r="I678" s="695"/>
      <c r="J678" s="731"/>
      <c r="K678" s="695"/>
      <c r="L678" s="686"/>
      <c r="M678" s="686"/>
      <c r="N678" s="686"/>
      <c r="O678" s="686"/>
      <c r="P678" s="686"/>
      <c r="Q678" s="666"/>
      <c r="R678" s="686"/>
      <c r="S678" s="686"/>
      <c r="T678" s="688"/>
      <c r="U678" s="688"/>
      <c r="V678" s="686"/>
      <c r="W678" s="686"/>
      <c r="X678" s="686"/>
      <c r="Y678" s="686"/>
      <c r="Z678" s="686"/>
      <c r="AA678" s="669"/>
      <c r="AB678" s="695"/>
      <c r="AC678" s="669"/>
    </row>
    <row r="679" ht="18.0" customHeight="1">
      <c r="A679" s="695"/>
      <c r="B679" s="695"/>
      <c r="C679" s="695"/>
      <c r="D679" s="695"/>
      <c r="E679" s="695"/>
      <c r="F679" s="686"/>
      <c r="G679" s="695"/>
      <c r="H679" s="695"/>
      <c r="I679" s="695"/>
      <c r="J679" s="731"/>
      <c r="K679" s="695"/>
      <c r="L679" s="686"/>
      <c r="M679" s="686"/>
      <c r="N679" s="686"/>
      <c r="O679" s="686"/>
      <c r="P679" s="686"/>
      <c r="Q679" s="666"/>
      <c r="R679" s="686"/>
      <c r="S679" s="686"/>
      <c r="T679" s="688"/>
      <c r="U679" s="688"/>
      <c r="V679" s="686"/>
      <c r="W679" s="686"/>
      <c r="X679" s="686"/>
      <c r="Y679" s="686"/>
      <c r="Z679" s="686"/>
      <c r="AA679" s="669"/>
      <c r="AB679" s="695"/>
      <c r="AC679" s="669"/>
    </row>
    <row r="680" ht="18.0" customHeight="1">
      <c r="A680" s="695"/>
      <c r="B680" s="695"/>
      <c r="C680" s="695"/>
      <c r="D680" s="695"/>
      <c r="E680" s="695"/>
      <c r="F680" s="686"/>
      <c r="G680" s="695"/>
      <c r="H680" s="695"/>
      <c r="I680" s="695"/>
      <c r="J680" s="731"/>
      <c r="K680" s="695"/>
      <c r="L680" s="686"/>
      <c r="M680" s="686"/>
      <c r="N680" s="686"/>
      <c r="O680" s="686"/>
      <c r="P680" s="686"/>
      <c r="Q680" s="666"/>
      <c r="R680" s="686"/>
      <c r="S680" s="686"/>
      <c r="T680" s="688"/>
      <c r="U680" s="688"/>
      <c r="V680" s="686"/>
      <c r="W680" s="686"/>
      <c r="X680" s="686"/>
      <c r="Y680" s="686"/>
      <c r="Z680" s="686"/>
      <c r="AA680" s="669"/>
      <c r="AB680" s="695"/>
      <c r="AC680" s="669"/>
    </row>
    <row r="681" ht="18.0" customHeight="1">
      <c r="A681" s="695"/>
      <c r="B681" s="695"/>
      <c r="C681" s="695"/>
      <c r="D681" s="695"/>
      <c r="E681" s="695"/>
      <c r="F681" s="686"/>
      <c r="G681" s="695"/>
      <c r="H681" s="695"/>
      <c r="I681" s="695"/>
      <c r="J681" s="731"/>
      <c r="K681" s="695"/>
      <c r="L681" s="686"/>
      <c r="M681" s="686"/>
      <c r="N681" s="686"/>
      <c r="O681" s="686"/>
      <c r="P681" s="686"/>
      <c r="Q681" s="666"/>
      <c r="R681" s="686"/>
      <c r="S681" s="686"/>
      <c r="T681" s="688"/>
      <c r="U681" s="688"/>
      <c r="V681" s="686"/>
      <c r="W681" s="686"/>
      <c r="X681" s="686"/>
      <c r="Y681" s="686"/>
      <c r="Z681" s="686"/>
      <c r="AA681" s="669"/>
      <c r="AB681" s="695"/>
      <c r="AC681" s="669"/>
    </row>
    <row r="682" ht="18.0" customHeight="1">
      <c r="A682" s="695"/>
      <c r="B682" s="695"/>
      <c r="C682" s="695"/>
      <c r="D682" s="695"/>
      <c r="E682" s="695"/>
      <c r="F682" s="686"/>
      <c r="G682" s="695"/>
      <c r="H682" s="695"/>
      <c r="I682" s="695"/>
      <c r="J682" s="731"/>
      <c r="K682" s="695"/>
      <c r="L682" s="686"/>
      <c r="M682" s="686"/>
      <c r="N682" s="686"/>
      <c r="O682" s="686"/>
      <c r="P682" s="686"/>
      <c r="Q682" s="666"/>
      <c r="R682" s="686"/>
      <c r="S682" s="686"/>
      <c r="T682" s="688"/>
      <c r="U682" s="688"/>
      <c r="V682" s="686"/>
      <c r="W682" s="686"/>
      <c r="X682" s="686"/>
      <c r="Y682" s="686"/>
      <c r="Z682" s="686"/>
      <c r="AA682" s="669"/>
      <c r="AB682" s="695"/>
      <c r="AC682" s="669"/>
    </row>
    <row r="683" ht="18.0" customHeight="1">
      <c r="A683" s="695"/>
      <c r="B683" s="695"/>
      <c r="C683" s="695"/>
      <c r="D683" s="695"/>
      <c r="E683" s="695"/>
      <c r="F683" s="686"/>
      <c r="G683" s="695"/>
      <c r="H683" s="695"/>
      <c r="I683" s="695"/>
      <c r="J683" s="731"/>
      <c r="K683" s="695"/>
      <c r="L683" s="686"/>
      <c r="M683" s="686"/>
      <c r="N683" s="686"/>
      <c r="O683" s="686"/>
      <c r="P683" s="686"/>
      <c r="Q683" s="666"/>
      <c r="R683" s="686"/>
      <c r="S683" s="686"/>
      <c r="T683" s="688"/>
      <c r="U683" s="688"/>
      <c r="V683" s="686"/>
      <c r="W683" s="686"/>
      <c r="X683" s="686"/>
      <c r="Y683" s="686"/>
      <c r="Z683" s="686"/>
      <c r="AA683" s="669"/>
      <c r="AB683" s="695"/>
      <c r="AC683" s="669"/>
    </row>
    <row r="684" ht="18.0" customHeight="1">
      <c r="A684" s="695"/>
      <c r="B684" s="695"/>
      <c r="C684" s="695"/>
      <c r="D684" s="695"/>
      <c r="E684" s="695"/>
      <c r="F684" s="686"/>
      <c r="G684" s="695"/>
      <c r="H684" s="695"/>
      <c r="I684" s="695"/>
      <c r="J684" s="731"/>
      <c r="K684" s="695"/>
      <c r="L684" s="686"/>
      <c r="M684" s="686"/>
      <c r="N684" s="686"/>
      <c r="O684" s="686"/>
      <c r="P684" s="686"/>
      <c r="Q684" s="666"/>
      <c r="R684" s="686"/>
      <c r="S684" s="686"/>
      <c r="T684" s="688"/>
      <c r="U684" s="688"/>
      <c r="V684" s="686"/>
      <c r="W684" s="686"/>
      <c r="X684" s="686"/>
      <c r="Y684" s="686"/>
      <c r="Z684" s="686"/>
      <c r="AA684" s="669"/>
      <c r="AB684" s="695"/>
      <c r="AC684" s="669"/>
    </row>
    <row r="685" ht="18.0" customHeight="1">
      <c r="A685" s="695"/>
      <c r="B685" s="695"/>
      <c r="C685" s="695"/>
      <c r="D685" s="695"/>
      <c r="E685" s="695"/>
      <c r="F685" s="686"/>
      <c r="G685" s="695"/>
      <c r="H685" s="695"/>
      <c r="I685" s="695"/>
      <c r="J685" s="731"/>
      <c r="K685" s="695"/>
      <c r="L685" s="686"/>
      <c r="M685" s="686"/>
      <c r="N685" s="686"/>
      <c r="O685" s="686"/>
      <c r="P685" s="686"/>
      <c r="Q685" s="666"/>
      <c r="R685" s="686"/>
      <c r="S685" s="686"/>
      <c r="T685" s="688"/>
      <c r="U685" s="688"/>
      <c r="V685" s="686"/>
      <c r="W685" s="686"/>
      <c r="X685" s="686"/>
      <c r="Y685" s="686"/>
      <c r="Z685" s="686"/>
      <c r="AA685" s="669"/>
      <c r="AB685" s="695"/>
      <c r="AC685" s="669"/>
    </row>
    <row r="686" ht="18.0" customHeight="1">
      <c r="A686" s="695"/>
      <c r="B686" s="695"/>
      <c r="C686" s="695"/>
      <c r="D686" s="695"/>
      <c r="E686" s="695"/>
      <c r="F686" s="686"/>
      <c r="G686" s="695"/>
      <c r="H686" s="695"/>
      <c r="I686" s="695"/>
      <c r="J686" s="731"/>
      <c r="K686" s="695"/>
      <c r="L686" s="686"/>
      <c r="M686" s="686"/>
      <c r="N686" s="686"/>
      <c r="O686" s="686"/>
      <c r="P686" s="686"/>
      <c r="Q686" s="666"/>
      <c r="R686" s="686"/>
      <c r="S686" s="686"/>
      <c r="T686" s="688"/>
      <c r="U686" s="688"/>
      <c r="V686" s="686"/>
      <c r="W686" s="686"/>
      <c r="X686" s="686"/>
      <c r="Y686" s="686"/>
      <c r="Z686" s="686"/>
      <c r="AA686" s="669"/>
      <c r="AB686" s="695"/>
      <c r="AC686" s="669"/>
    </row>
    <row r="687" ht="18.0" customHeight="1">
      <c r="A687" s="695"/>
      <c r="B687" s="695"/>
      <c r="C687" s="695"/>
      <c r="D687" s="695"/>
      <c r="E687" s="695"/>
      <c r="F687" s="686"/>
      <c r="G687" s="695"/>
      <c r="H687" s="695"/>
      <c r="I687" s="695"/>
      <c r="J687" s="731"/>
      <c r="K687" s="695"/>
      <c r="L687" s="686"/>
      <c r="M687" s="686"/>
      <c r="N687" s="686"/>
      <c r="O687" s="686"/>
      <c r="P687" s="686"/>
      <c r="Q687" s="666"/>
      <c r="R687" s="686"/>
      <c r="S687" s="686"/>
      <c r="T687" s="688"/>
      <c r="U687" s="688"/>
      <c r="V687" s="686"/>
      <c r="W687" s="686"/>
      <c r="X687" s="686"/>
      <c r="Y687" s="686"/>
      <c r="Z687" s="686"/>
      <c r="AA687" s="669"/>
      <c r="AB687" s="695"/>
      <c r="AC687" s="669"/>
    </row>
    <row r="688" ht="18.0" customHeight="1">
      <c r="A688" s="695"/>
      <c r="B688" s="695"/>
      <c r="C688" s="695"/>
      <c r="D688" s="695"/>
      <c r="E688" s="695"/>
      <c r="F688" s="686"/>
      <c r="G688" s="695"/>
      <c r="H688" s="695"/>
      <c r="I688" s="695"/>
      <c r="J688" s="731"/>
      <c r="K688" s="695"/>
      <c r="L688" s="686"/>
      <c r="M688" s="686"/>
      <c r="N688" s="686"/>
      <c r="O688" s="686"/>
      <c r="P688" s="686"/>
      <c r="Q688" s="666"/>
      <c r="R688" s="686"/>
      <c r="S688" s="686"/>
      <c r="T688" s="688"/>
      <c r="U688" s="688"/>
      <c r="V688" s="686"/>
      <c r="W688" s="686"/>
      <c r="X688" s="686"/>
      <c r="Y688" s="686"/>
      <c r="Z688" s="686"/>
      <c r="AA688" s="669"/>
      <c r="AB688" s="695"/>
      <c r="AC688" s="669"/>
    </row>
    <row r="689" ht="18.0" customHeight="1">
      <c r="A689" s="695"/>
      <c r="B689" s="695"/>
      <c r="C689" s="695"/>
      <c r="D689" s="695"/>
      <c r="E689" s="695"/>
      <c r="F689" s="686"/>
      <c r="G689" s="695"/>
      <c r="H689" s="695"/>
      <c r="I689" s="695"/>
      <c r="J689" s="731"/>
      <c r="K689" s="695"/>
      <c r="L689" s="686"/>
      <c r="M689" s="686"/>
      <c r="N689" s="686"/>
      <c r="O689" s="686"/>
      <c r="P689" s="686"/>
      <c r="Q689" s="666"/>
      <c r="R689" s="686"/>
      <c r="S689" s="686"/>
      <c r="T689" s="688"/>
      <c r="U689" s="688"/>
      <c r="V689" s="686"/>
      <c r="W689" s="686"/>
      <c r="X689" s="686"/>
      <c r="Y689" s="686"/>
      <c r="Z689" s="686"/>
      <c r="AA689" s="669"/>
      <c r="AB689" s="695"/>
      <c r="AC689" s="669"/>
    </row>
    <row r="690" ht="18.0" customHeight="1">
      <c r="A690" s="695"/>
      <c r="B690" s="695"/>
      <c r="C690" s="695"/>
      <c r="D690" s="695"/>
      <c r="E690" s="695"/>
      <c r="F690" s="686"/>
      <c r="G690" s="695"/>
      <c r="H690" s="695"/>
      <c r="I690" s="695"/>
      <c r="J690" s="731"/>
      <c r="K690" s="695"/>
      <c r="L690" s="686"/>
      <c r="M690" s="686"/>
      <c r="N690" s="686"/>
      <c r="O690" s="686"/>
      <c r="P690" s="686"/>
      <c r="Q690" s="666"/>
      <c r="R690" s="686"/>
      <c r="S690" s="686"/>
      <c r="T690" s="688"/>
      <c r="U690" s="688"/>
      <c r="V690" s="686"/>
      <c r="W690" s="686"/>
      <c r="X690" s="686"/>
      <c r="Y690" s="686"/>
      <c r="Z690" s="686"/>
      <c r="AA690" s="669"/>
      <c r="AB690" s="695"/>
      <c r="AC690" s="669"/>
    </row>
    <row r="691" ht="18.0" customHeight="1">
      <c r="A691" s="695"/>
      <c r="B691" s="695"/>
      <c r="C691" s="695"/>
      <c r="D691" s="695"/>
      <c r="E691" s="695"/>
      <c r="F691" s="686"/>
      <c r="G691" s="695"/>
      <c r="H691" s="695"/>
      <c r="I691" s="695"/>
      <c r="J691" s="731"/>
      <c r="K691" s="695"/>
      <c r="L691" s="686"/>
      <c r="M691" s="686"/>
      <c r="N691" s="686"/>
      <c r="O691" s="686"/>
      <c r="P691" s="686"/>
      <c r="Q691" s="666"/>
      <c r="R691" s="686"/>
      <c r="S691" s="686"/>
      <c r="T691" s="688"/>
      <c r="U691" s="688"/>
      <c r="V691" s="686"/>
      <c r="W691" s="686"/>
      <c r="X691" s="686"/>
      <c r="Y691" s="686"/>
      <c r="Z691" s="686"/>
      <c r="AA691" s="669"/>
      <c r="AB691" s="695"/>
      <c r="AC691" s="669"/>
    </row>
    <row r="692" ht="18.0" customHeight="1">
      <c r="A692" s="695"/>
      <c r="B692" s="695"/>
      <c r="C692" s="695"/>
      <c r="D692" s="695"/>
      <c r="E692" s="695"/>
      <c r="F692" s="686"/>
      <c r="G692" s="695"/>
      <c r="H692" s="695"/>
      <c r="I692" s="695"/>
      <c r="J692" s="731"/>
      <c r="K692" s="695"/>
      <c r="L692" s="686"/>
      <c r="M692" s="686"/>
      <c r="N692" s="686"/>
      <c r="O692" s="686"/>
      <c r="P692" s="686"/>
      <c r="Q692" s="666"/>
      <c r="R692" s="686"/>
      <c r="S692" s="686"/>
      <c r="T692" s="688"/>
      <c r="U692" s="688"/>
      <c r="V692" s="686"/>
      <c r="W692" s="686"/>
      <c r="X692" s="686"/>
      <c r="Y692" s="686"/>
      <c r="Z692" s="686"/>
      <c r="AA692" s="669"/>
      <c r="AB692" s="695"/>
      <c r="AC692" s="669"/>
    </row>
    <row r="693" ht="18.0" customHeight="1">
      <c r="A693" s="695"/>
      <c r="B693" s="695"/>
      <c r="C693" s="695"/>
      <c r="D693" s="695"/>
      <c r="E693" s="695"/>
      <c r="F693" s="686"/>
      <c r="G693" s="695"/>
      <c r="H693" s="695"/>
      <c r="I693" s="695"/>
      <c r="J693" s="731"/>
      <c r="K693" s="695"/>
      <c r="L693" s="686"/>
      <c r="M693" s="686"/>
      <c r="N693" s="686"/>
      <c r="O693" s="686"/>
      <c r="P693" s="686"/>
      <c r="Q693" s="666"/>
      <c r="R693" s="686"/>
      <c r="S693" s="686"/>
      <c r="T693" s="688"/>
      <c r="U693" s="688"/>
      <c r="V693" s="686"/>
      <c r="W693" s="686"/>
      <c r="X693" s="686"/>
      <c r="Y693" s="686"/>
      <c r="Z693" s="686"/>
      <c r="AA693" s="669"/>
      <c r="AB693" s="695"/>
      <c r="AC693" s="669"/>
    </row>
    <row r="694" ht="18.0" customHeight="1">
      <c r="A694" s="695"/>
      <c r="B694" s="695"/>
      <c r="C694" s="695"/>
      <c r="D694" s="695"/>
      <c r="E694" s="695"/>
      <c r="F694" s="686"/>
      <c r="G694" s="695"/>
      <c r="H694" s="695"/>
      <c r="I694" s="695"/>
      <c r="J694" s="731"/>
      <c r="K694" s="695"/>
      <c r="L694" s="686"/>
      <c r="M694" s="686"/>
      <c r="N694" s="686"/>
      <c r="O694" s="686"/>
      <c r="P694" s="686"/>
      <c r="Q694" s="666"/>
      <c r="R694" s="686"/>
      <c r="S694" s="686"/>
      <c r="T694" s="688"/>
      <c r="U694" s="688"/>
      <c r="V694" s="686"/>
      <c r="W694" s="686"/>
      <c r="X694" s="686"/>
      <c r="Y694" s="686"/>
      <c r="Z694" s="686"/>
      <c r="AA694" s="669"/>
      <c r="AB694" s="695"/>
      <c r="AC694" s="669"/>
    </row>
    <row r="695" ht="18.0" customHeight="1">
      <c r="A695" s="695"/>
      <c r="B695" s="695"/>
      <c r="C695" s="695"/>
      <c r="D695" s="695"/>
      <c r="E695" s="695"/>
      <c r="F695" s="686"/>
      <c r="G695" s="695"/>
      <c r="H695" s="695"/>
      <c r="I695" s="695"/>
      <c r="J695" s="731"/>
      <c r="K695" s="695"/>
      <c r="L695" s="686"/>
      <c r="M695" s="686"/>
      <c r="N695" s="686"/>
      <c r="O695" s="686"/>
      <c r="P695" s="686"/>
      <c r="Q695" s="666"/>
      <c r="R695" s="686"/>
      <c r="S695" s="686"/>
      <c r="T695" s="688"/>
      <c r="U695" s="688"/>
      <c r="V695" s="686"/>
      <c r="W695" s="686"/>
      <c r="X695" s="686"/>
      <c r="Y695" s="686"/>
      <c r="Z695" s="686"/>
      <c r="AA695" s="669"/>
      <c r="AB695" s="695"/>
      <c r="AC695" s="669"/>
    </row>
    <row r="696" ht="18.0" customHeight="1">
      <c r="A696" s="695"/>
      <c r="B696" s="695"/>
      <c r="C696" s="695"/>
      <c r="D696" s="695"/>
      <c r="E696" s="695"/>
      <c r="F696" s="686"/>
      <c r="G696" s="695"/>
      <c r="H696" s="695"/>
      <c r="I696" s="695"/>
      <c r="J696" s="731"/>
      <c r="K696" s="695"/>
      <c r="L696" s="686"/>
      <c r="M696" s="686"/>
      <c r="N696" s="686"/>
      <c r="O696" s="686"/>
      <c r="P696" s="686"/>
      <c r="Q696" s="666"/>
      <c r="R696" s="686"/>
      <c r="S696" s="686"/>
      <c r="T696" s="688"/>
      <c r="U696" s="688"/>
      <c r="V696" s="686"/>
      <c r="W696" s="686"/>
      <c r="X696" s="686"/>
      <c r="Y696" s="686"/>
      <c r="Z696" s="686"/>
      <c r="AA696" s="669"/>
      <c r="AB696" s="695"/>
      <c r="AC696" s="669"/>
    </row>
    <row r="697" ht="18.0" customHeight="1">
      <c r="A697" s="695"/>
      <c r="B697" s="695"/>
      <c r="C697" s="695"/>
      <c r="D697" s="695"/>
      <c r="E697" s="695"/>
      <c r="F697" s="686"/>
      <c r="G697" s="695"/>
      <c r="H697" s="695"/>
      <c r="I697" s="695"/>
      <c r="J697" s="731"/>
      <c r="K697" s="695"/>
      <c r="L697" s="686"/>
      <c r="M697" s="686"/>
      <c r="N697" s="686"/>
      <c r="O697" s="686"/>
      <c r="P697" s="686"/>
      <c r="Q697" s="666"/>
      <c r="R697" s="686"/>
      <c r="S697" s="686"/>
      <c r="T697" s="688"/>
      <c r="U697" s="688"/>
      <c r="V697" s="686"/>
      <c r="W697" s="686"/>
      <c r="X697" s="686"/>
      <c r="Y697" s="686"/>
      <c r="Z697" s="686"/>
      <c r="AA697" s="669"/>
      <c r="AB697" s="695"/>
      <c r="AC697" s="669"/>
    </row>
    <row r="698" ht="18.0" customHeight="1">
      <c r="A698" s="695"/>
      <c r="B698" s="695"/>
      <c r="C698" s="695"/>
      <c r="D698" s="695"/>
      <c r="E698" s="695"/>
      <c r="F698" s="686"/>
      <c r="G698" s="695"/>
      <c r="H698" s="695"/>
      <c r="I698" s="695"/>
      <c r="J698" s="731"/>
      <c r="K698" s="695"/>
      <c r="L698" s="686"/>
      <c r="M698" s="686"/>
      <c r="N698" s="686"/>
      <c r="O698" s="686"/>
      <c r="P698" s="686"/>
      <c r="Q698" s="666"/>
      <c r="R698" s="686"/>
      <c r="S698" s="686"/>
      <c r="T698" s="688"/>
      <c r="U698" s="688"/>
      <c r="V698" s="686"/>
      <c r="W698" s="686"/>
      <c r="X698" s="686"/>
      <c r="Y698" s="686"/>
      <c r="Z698" s="686"/>
      <c r="AA698" s="669"/>
      <c r="AB698" s="695"/>
      <c r="AC698" s="669"/>
    </row>
    <row r="699" ht="18.0" customHeight="1">
      <c r="A699" s="695"/>
      <c r="B699" s="695"/>
      <c r="C699" s="695"/>
      <c r="D699" s="695"/>
      <c r="E699" s="695"/>
      <c r="F699" s="686"/>
      <c r="G699" s="695"/>
      <c r="H699" s="695"/>
      <c r="I699" s="695"/>
      <c r="J699" s="731"/>
      <c r="K699" s="695"/>
      <c r="L699" s="686"/>
      <c r="M699" s="686"/>
      <c r="N699" s="686"/>
      <c r="O699" s="686"/>
      <c r="P699" s="686"/>
      <c r="Q699" s="666"/>
      <c r="R699" s="686"/>
      <c r="S699" s="686"/>
      <c r="T699" s="688"/>
      <c r="U699" s="688"/>
      <c r="V699" s="686"/>
      <c r="W699" s="686"/>
      <c r="X699" s="686"/>
      <c r="Y699" s="686"/>
      <c r="Z699" s="686"/>
      <c r="AA699" s="669"/>
      <c r="AB699" s="695"/>
      <c r="AC699" s="669"/>
    </row>
    <row r="700" ht="18.0" customHeight="1">
      <c r="A700" s="695"/>
      <c r="B700" s="695"/>
      <c r="C700" s="695"/>
      <c r="D700" s="695"/>
      <c r="E700" s="695"/>
      <c r="F700" s="686"/>
      <c r="G700" s="695"/>
      <c r="H700" s="695"/>
      <c r="I700" s="695"/>
      <c r="J700" s="731"/>
      <c r="K700" s="695"/>
      <c r="L700" s="686"/>
      <c r="M700" s="686"/>
      <c r="N700" s="686"/>
      <c r="O700" s="686"/>
      <c r="P700" s="686"/>
      <c r="Q700" s="666"/>
      <c r="R700" s="686"/>
      <c r="S700" s="686"/>
      <c r="T700" s="688"/>
      <c r="U700" s="688"/>
      <c r="V700" s="686"/>
      <c r="W700" s="686"/>
      <c r="X700" s="686"/>
      <c r="Y700" s="686"/>
      <c r="Z700" s="686"/>
      <c r="AA700" s="669"/>
      <c r="AB700" s="695"/>
      <c r="AC700" s="669"/>
    </row>
    <row r="701" ht="18.0" customHeight="1">
      <c r="A701" s="695"/>
      <c r="B701" s="695"/>
      <c r="C701" s="695"/>
      <c r="D701" s="695"/>
      <c r="E701" s="695"/>
      <c r="F701" s="686"/>
      <c r="G701" s="695"/>
      <c r="H701" s="695"/>
      <c r="I701" s="695"/>
      <c r="J701" s="731"/>
      <c r="K701" s="695"/>
      <c r="L701" s="686"/>
      <c r="M701" s="686"/>
      <c r="N701" s="686"/>
      <c r="O701" s="686"/>
      <c r="P701" s="686"/>
      <c r="Q701" s="666"/>
      <c r="R701" s="686"/>
      <c r="S701" s="686"/>
      <c r="T701" s="688"/>
      <c r="U701" s="688"/>
      <c r="V701" s="686"/>
      <c r="W701" s="686"/>
      <c r="X701" s="686"/>
      <c r="Y701" s="686"/>
      <c r="Z701" s="686"/>
      <c r="AA701" s="669"/>
      <c r="AB701" s="695"/>
      <c r="AC701" s="669"/>
    </row>
    <row r="702" ht="18.0" customHeight="1">
      <c r="A702" s="695"/>
      <c r="B702" s="695"/>
      <c r="C702" s="695"/>
      <c r="D702" s="695"/>
      <c r="E702" s="695"/>
      <c r="F702" s="686"/>
      <c r="G702" s="695"/>
      <c r="H702" s="695"/>
      <c r="I702" s="695"/>
      <c r="J702" s="731"/>
      <c r="K702" s="695"/>
      <c r="L702" s="686"/>
      <c r="M702" s="686"/>
      <c r="N702" s="686"/>
      <c r="O702" s="686"/>
      <c r="P702" s="686"/>
      <c r="Q702" s="666"/>
      <c r="R702" s="686"/>
      <c r="S702" s="686"/>
      <c r="T702" s="688"/>
      <c r="U702" s="688"/>
      <c r="V702" s="686"/>
      <c r="W702" s="686"/>
      <c r="X702" s="686"/>
      <c r="Y702" s="686"/>
      <c r="Z702" s="686"/>
      <c r="AA702" s="669"/>
      <c r="AB702" s="695"/>
      <c r="AC702" s="669"/>
    </row>
    <row r="703" ht="18.0" customHeight="1">
      <c r="A703" s="695"/>
      <c r="B703" s="695"/>
      <c r="C703" s="695"/>
      <c r="D703" s="695"/>
      <c r="E703" s="695"/>
      <c r="F703" s="686"/>
      <c r="G703" s="695"/>
      <c r="H703" s="695"/>
      <c r="I703" s="695"/>
      <c r="J703" s="731"/>
      <c r="K703" s="695"/>
      <c r="L703" s="686"/>
      <c r="M703" s="686"/>
      <c r="N703" s="686"/>
      <c r="O703" s="686"/>
      <c r="P703" s="686"/>
      <c r="Q703" s="666"/>
      <c r="R703" s="686"/>
      <c r="S703" s="686"/>
      <c r="T703" s="688"/>
      <c r="U703" s="688"/>
      <c r="V703" s="686"/>
      <c r="W703" s="686"/>
      <c r="X703" s="686"/>
      <c r="Y703" s="686"/>
      <c r="Z703" s="686"/>
      <c r="AA703" s="669"/>
      <c r="AB703" s="695"/>
      <c r="AC703" s="669"/>
    </row>
    <row r="704" ht="18.0" customHeight="1">
      <c r="A704" s="695"/>
      <c r="B704" s="695"/>
      <c r="C704" s="695"/>
      <c r="D704" s="695"/>
      <c r="E704" s="695"/>
      <c r="F704" s="686"/>
      <c r="G704" s="695"/>
      <c r="H704" s="695"/>
      <c r="I704" s="695"/>
      <c r="J704" s="731"/>
      <c r="K704" s="695"/>
      <c r="L704" s="686"/>
      <c r="M704" s="686"/>
      <c r="N704" s="686"/>
      <c r="O704" s="686"/>
      <c r="P704" s="686"/>
      <c r="Q704" s="666"/>
      <c r="R704" s="686"/>
      <c r="S704" s="686"/>
      <c r="T704" s="688"/>
      <c r="U704" s="688"/>
      <c r="V704" s="686"/>
      <c r="W704" s="686"/>
      <c r="X704" s="686"/>
      <c r="Y704" s="686"/>
      <c r="Z704" s="686"/>
      <c r="AA704" s="669"/>
      <c r="AB704" s="695"/>
      <c r="AC704" s="669"/>
    </row>
    <row r="705" ht="18.0" customHeight="1">
      <c r="A705" s="695"/>
      <c r="B705" s="695"/>
      <c r="C705" s="695"/>
      <c r="D705" s="695"/>
      <c r="E705" s="695"/>
      <c r="F705" s="686"/>
      <c r="G705" s="695"/>
      <c r="H705" s="695"/>
      <c r="I705" s="695"/>
      <c r="J705" s="731"/>
      <c r="K705" s="695"/>
      <c r="L705" s="686"/>
      <c r="M705" s="686"/>
      <c r="N705" s="686"/>
      <c r="O705" s="686"/>
      <c r="P705" s="686"/>
      <c r="Q705" s="666"/>
      <c r="R705" s="686"/>
      <c r="S705" s="686"/>
      <c r="T705" s="688"/>
      <c r="U705" s="688"/>
      <c r="V705" s="686"/>
      <c r="W705" s="686"/>
      <c r="X705" s="686"/>
      <c r="Y705" s="686"/>
      <c r="Z705" s="686"/>
      <c r="AA705" s="669"/>
      <c r="AB705" s="695"/>
      <c r="AC705" s="669"/>
    </row>
    <row r="706" ht="18.0" customHeight="1">
      <c r="A706" s="695"/>
      <c r="B706" s="695"/>
      <c r="C706" s="695"/>
      <c r="D706" s="695"/>
      <c r="E706" s="695"/>
      <c r="F706" s="686"/>
      <c r="G706" s="695"/>
      <c r="H706" s="695"/>
      <c r="I706" s="695"/>
      <c r="J706" s="731"/>
      <c r="K706" s="695"/>
      <c r="L706" s="686"/>
      <c r="M706" s="686"/>
      <c r="N706" s="686"/>
      <c r="O706" s="686"/>
      <c r="P706" s="686"/>
      <c r="Q706" s="666"/>
      <c r="R706" s="686"/>
      <c r="S706" s="686"/>
      <c r="T706" s="688"/>
      <c r="U706" s="688"/>
      <c r="V706" s="686"/>
      <c r="W706" s="686"/>
      <c r="X706" s="686"/>
      <c r="Y706" s="686"/>
      <c r="Z706" s="686"/>
      <c r="AA706" s="669"/>
      <c r="AB706" s="695"/>
      <c r="AC706" s="669"/>
    </row>
    <row r="707" ht="18.0" customHeight="1">
      <c r="A707" s="695"/>
      <c r="B707" s="695"/>
      <c r="C707" s="695"/>
      <c r="D707" s="695"/>
      <c r="E707" s="695"/>
      <c r="F707" s="686"/>
      <c r="G707" s="695"/>
      <c r="H707" s="695"/>
      <c r="I707" s="695"/>
      <c r="J707" s="731"/>
      <c r="K707" s="695"/>
      <c r="L707" s="686"/>
      <c r="M707" s="686"/>
      <c r="N707" s="686"/>
      <c r="O707" s="686"/>
      <c r="P707" s="686"/>
      <c r="Q707" s="666"/>
      <c r="R707" s="686"/>
      <c r="S707" s="686"/>
      <c r="T707" s="688"/>
      <c r="U707" s="688"/>
      <c r="V707" s="686"/>
      <c r="W707" s="686"/>
      <c r="X707" s="686"/>
      <c r="Y707" s="686"/>
      <c r="Z707" s="686"/>
      <c r="AA707" s="669"/>
      <c r="AB707" s="695"/>
      <c r="AC707" s="669"/>
    </row>
    <row r="708" ht="18.0" customHeight="1">
      <c r="A708" s="695"/>
      <c r="B708" s="695"/>
      <c r="C708" s="695"/>
      <c r="D708" s="695"/>
      <c r="E708" s="695"/>
      <c r="F708" s="686"/>
      <c r="G708" s="695"/>
      <c r="H708" s="695"/>
      <c r="I708" s="695"/>
      <c r="J708" s="731"/>
      <c r="K708" s="695"/>
      <c r="L708" s="686"/>
      <c r="M708" s="686"/>
      <c r="N708" s="686"/>
      <c r="O708" s="686"/>
      <c r="P708" s="686"/>
      <c r="Q708" s="666"/>
      <c r="R708" s="686"/>
      <c r="S708" s="686"/>
      <c r="T708" s="688"/>
      <c r="U708" s="688"/>
      <c r="V708" s="686"/>
      <c r="W708" s="686"/>
      <c r="X708" s="686"/>
      <c r="Y708" s="686"/>
      <c r="Z708" s="686"/>
      <c r="AA708" s="669"/>
      <c r="AB708" s="695"/>
      <c r="AC708" s="669"/>
    </row>
    <row r="709" ht="18.0" customHeight="1">
      <c r="A709" s="695"/>
      <c r="B709" s="695"/>
      <c r="C709" s="695"/>
      <c r="D709" s="695"/>
      <c r="E709" s="695"/>
      <c r="F709" s="686"/>
      <c r="G709" s="695"/>
      <c r="H709" s="695"/>
      <c r="I709" s="695"/>
      <c r="J709" s="731"/>
      <c r="K709" s="695"/>
      <c r="L709" s="686"/>
      <c r="M709" s="686"/>
      <c r="N709" s="686"/>
      <c r="O709" s="686"/>
      <c r="P709" s="686"/>
      <c r="Q709" s="666"/>
      <c r="R709" s="686"/>
      <c r="S709" s="686"/>
      <c r="T709" s="688"/>
      <c r="U709" s="688"/>
      <c r="V709" s="686"/>
      <c r="W709" s="686"/>
      <c r="X709" s="686"/>
      <c r="Y709" s="686"/>
      <c r="Z709" s="686"/>
      <c r="AA709" s="669"/>
      <c r="AB709" s="695"/>
      <c r="AC709" s="669"/>
    </row>
    <row r="710" ht="18.0" customHeight="1">
      <c r="A710" s="695"/>
      <c r="B710" s="695"/>
      <c r="C710" s="695"/>
      <c r="D710" s="695"/>
      <c r="E710" s="695"/>
      <c r="F710" s="686"/>
      <c r="G710" s="695"/>
      <c r="H710" s="695"/>
      <c r="I710" s="695"/>
      <c r="J710" s="731"/>
      <c r="K710" s="695"/>
      <c r="L710" s="686"/>
      <c r="M710" s="686"/>
      <c r="N710" s="686"/>
      <c r="O710" s="686"/>
      <c r="P710" s="686"/>
      <c r="Q710" s="666"/>
      <c r="R710" s="686"/>
      <c r="S710" s="686"/>
      <c r="T710" s="688"/>
      <c r="U710" s="688"/>
      <c r="V710" s="686"/>
      <c r="W710" s="686"/>
      <c r="X710" s="686"/>
      <c r="Y710" s="686"/>
      <c r="Z710" s="686"/>
      <c r="AA710" s="669"/>
      <c r="AB710" s="695"/>
      <c r="AC710" s="669"/>
    </row>
    <row r="711" ht="18.0" customHeight="1">
      <c r="A711" s="695"/>
      <c r="B711" s="695"/>
      <c r="C711" s="695"/>
      <c r="D711" s="695"/>
      <c r="E711" s="695"/>
      <c r="F711" s="686"/>
      <c r="G711" s="695"/>
      <c r="H711" s="695"/>
      <c r="I711" s="695"/>
      <c r="J711" s="731"/>
      <c r="K711" s="695"/>
      <c r="L711" s="686"/>
      <c r="M711" s="686"/>
      <c r="N711" s="686"/>
      <c r="O711" s="686"/>
      <c r="P711" s="686"/>
      <c r="Q711" s="666"/>
      <c r="R711" s="686"/>
      <c r="S711" s="686"/>
      <c r="T711" s="688"/>
      <c r="U711" s="688"/>
      <c r="V711" s="686"/>
      <c r="W711" s="686"/>
      <c r="X711" s="686"/>
      <c r="Y711" s="686"/>
      <c r="Z711" s="686"/>
      <c r="AA711" s="669"/>
      <c r="AB711" s="695"/>
      <c r="AC711" s="669"/>
    </row>
    <row r="712" ht="18.0" customHeight="1">
      <c r="A712" s="695"/>
      <c r="B712" s="695"/>
      <c r="C712" s="695"/>
      <c r="D712" s="695"/>
      <c r="E712" s="695"/>
      <c r="F712" s="686"/>
      <c r="G712" s="695"/>
      <c r="H712" s="695"/>
      <c r="I712" s="695"/>
      <c r="J712" s="731"/>
      <c r="K712" s="695"/>
      <c r="L712" s="686"/>
      <c r="M712" s="686"/>
      <c r="N712" s="686"/>
      <c r="O712" s="686"/>
      <c r="P712" s="686"/>
      <c r="Q712" s="666"/>
      <c r="R712" s="686"/>
      <c r="S712" s="686"/>
      <c r="T712" s="688"/>
      <c r="U712" s="688"/>
      <c r="V712" s="686"/>
      <c r="W712" s="686"/>
      <c r="X712" s="686"/>
      <c r="Y712" s="686"/>
      <c r="Z712" s="686"/>
      <c r="AA712" s="669"/>
      <c r="AB712" s="695"/>
      <c r="AC712" s="669"/>
    </row>
    <row r="713" ht="18.0" customHeight="1">
      <c r="A713" s="695"/>
      <c r="B713" s="695"/>
      <c r="C713" s="695"/>
      <c r="D713" s="695"/>
      <c r="E713" s="695"/>
      <c r="F713" s="686"/>
      <c r="G713" s="695"/>
      <c r="H713" s="695"/>
      <c r="I713" s="695"/>
      <c r="J713" s="731"/>
      <c r="K713" s="695"/>
      <c r="L713" s="686"/>
      <c r="M713" s="686"/>
      <c r="N713" s="686"/>
      <c r="O713" s="686"/>
      <c r="P713" s="686"/>
      <c r="Q713" s="666"/>
      <c r="R713" s="686"/>
      <c r="S713" s="686"/>
      <c r="T713" s="688"/>
      <c r="U713" s="688"/>
      <c r="V713" s="686"/>
      <c r="W713" s="686"/>
      <c r="X713" s="686"/>
      <c r="Y713" s="686"/>
      <c r="Z713" s="686"/>
      <c r="AA713" s="669"/>
      <c r="AB713" s="695"/>
      <c r="AC713" s="669"/>
    </row>
    <row r="714" ht="18.0" customHeight="1">
      <c r="A714" s="695"/>
      <c r="B714" s="695"/>
      <c r="C714" s="695"/>
      <c r="D714" s="695"/>
      <c r="E714" s="695"/>
      <c r="F714" s="686"/>
      <c r="G714" s="695"/>
      <c r="H714" s="695"/>
      <c r="I714" s="695"/>
      <c r="J714" s="731"/>
      <c r="K714" s="695"/>
      <c r="L714" s="686"/>
      <c r="M714" s="686"/>
      <c r="N714" s="686"/>
      <c r="O714" s="686"/>
      <c r="P714" s="686"/>
      <c r="Q714" s="666"/>
      <c r="R714" s="686"/>
      <c r="S714" s="686"/>
      <c r="T714" s="688"/>
      <c r="U714" s="688"/>
      <c r="V714" s="686"/>
      <c r="W714" s="686"/>
      <c r="X714" s="686"/>
      <c r="Y714" s="686"/>
      <c r="Z714" s="686"/>
      <c r="AA714" s="669"/>
      <c r="AB714" s="695"/>
      <c r="AC714" s="669"/>
    </row>
    <row r="715" ht="18.0" customHeight="1">
      <c r="A715" s="695"/>
      <c r="B715" s="695"/>
      <c r="C715" s="695"/>
      <c r="D715" s="695"/>
      <c r="E715" s="695"/>
      <c r="F715" s="686"/>
      <c r="G715" s="695"/>
      <c r="H715" s="695"/>
      <c r="I715" s="695"/>
      <c r="J715" s="731"/>
      <c r="K715" s="695"/>
      <c r="L715" s="686"/>
      <c r="M715" s="686"/>
      <c r="N715" s="686"/>
      <c r="O715" s="686"/>
      <c r="P715" s="686"/>
      <c r="Q715" s="666"/>
      <c r="R715" s="686"/>
      <c r="S715" s="686"/>
      <c r="T715" s="688"/>
      <c r="U715" s="688"/>
      <c r="V715" s="686"/>
      <c r="W715" s="686"/>
      <c r="X715" s="686"/>
      <c r="Y715" s="686"/>
      <c r="Z715" s="686"/>
      <c r="AA715" s="669"/>
      <c r="AB715" s="695"/>
      <c r="AC715" s="669"/>
    </row>
    <row r="716" ht="18.0" customHeight="1">
      <c r="A716" s="695"/>
      <c r="B716" s="695"/>
      <c r="C716" s="695"/>
      <c r="D716" s="695"/>
      <c r="E716" s="695"/>
      <c r="F716" s="686"/>
      <c r="G716" s="695"/>
      <c r="H716" s="695"/>
      <c r="I716" s="695"/>
      <c r="J716" s="731"/>
      <c r="K716" s="695"/>
      <c r="L716" s="686"/>
      <c r="M716" s="686"/>
      <c r="N716" s="686"/>
      <c r="O716" s="686"/>
      <c r="P716" s="686"/>
      <c r="Q716" s="666"/>
      <c r="R716" s="686"/>
      <c r="S716" s="686"/>
      <c r="T716" s="688"/>
      <c r="U716" s="688"/>
      <c r="V716" s="686"/>
      <c r="W716" s="686"/>
      <c r="X716" s="686"/>
      <c r="Y716" s="686"/>
      <c r="Z716" s="686"/>
      <c r="AA716" s="669"/>
      <c r="AB716" s="695"/>
      <c r="AC716" s="669"/>
    </row>
    <row r="717" ht="18.0" customHeight="1">
      <c r="A717" s="695"/>
      <c r="B717" s="695"/>
      <c r="C717" s="695"/>
      <c r="D717" s="695"/>
      <c r="E717" s="695"/>
      <c r="F717" s="686"/>
      <c r="G717" s="695"/>
      <c r="H717" s="695"/>
      <c r="I717" s="695"/>
      <c r="J717" s="731"/>
      <c r="K717" s="695"/>
      <c r="L717" s="686"/>
      <c r="M717" s="686"/>
      <c r="N717" s="686"/>
      <c r="O717" s="686"/>
      <c r="P717" s="686"/>
      <c r="Q717" s="666"/>
      <c r="R717" s="686"/>
      <c r="S717" s="686"/>
      <c r="T717" s="688"/>
      <c r="U717" s="688"/>
      <c r="V717" s="686"/>
      <c r="W717" s="686"/>
      <c r="X717" s="686"/>
      <c r="Y717" s="686"/>
      <c r="Z717" s="686"/>
      <c r="AA717" s="669"/>
      <c r="AB717" s="695"/>
      <c r="AC717" s="669"/>
    </row>
    <row r="718" ht="18.0" customHeight="1">
      <c r="A718" s="695"/>
      <c r="B718" s="695"/>
      <c r="C718" s="695"/>
      <c r="D718" s="695"/>
      <c r="E718" s="695"/>
      <c r="F718" s="686"/>
      <c r="G718" s="695"/>
      <c r="H718" s="695"/>
      <c r="I718" s="695"/>
      <c r="J718" s="731"/>
      <c r="K718" s="695"/>
      <c r="L718" s="686"/>
      <c r="M718" s="686"/>
      <c r="N718" s="686"/>
      <c r="O718" s="686"/>
      <c r="P718" s="686"/>
      <c r="Q718" s="666"/>
      <c r="R718" s="686"/>
      <c r="S718" s="686"/>
      <c r="T718" s="688"/>
      <c r="U718" s="688"/>
      <c r="V718" s="686"/>
      <c r="W718" s="686"/>
      <c r="X718" s="686"/>
      <c r="Y718" s="686"/>
      <c r="Z718" s="686"/>
      <c r="AA718" s="669"/>
      <c r="AB718" s="695"/>
      <c r="AC718" s="669"/>
    </row>
    <row r="719" ht="18.0" customHeight="1">
      <c r="A719" s="695"/>
      <c r="B719" s="695"/>
      <c r="C719" s="695"/>
      <c r="D719" s="695"/>
      <c r="E719" s="695"/>
      <c r="F719" s="686"/>
      <c r="G719" s="695"/>
      <c r="H719" s="695"/>
      <c r="I719" s="695"/>
      <c r="J719" s="731"/>
      <c r="K719" s="695"/>
      <c r="L719" s="686"/>
      <c r="M719" s="686"/>
      <c r="N719" s="686"/>
      <c r="O719" s="686"/>
      <c r="P719" s="686"/>
      <c r="Q719" s="666"/>
      <c r="R719" s="686"/>
      <c r="S719" s="686"/>
      <c r="T719" s="688"/>
      <c r="U719" s="688"/>
      <c r="V719" s="686"/>
      <c r="W719" s="686"/>
      <c r="X719" s="686"/>
      <c r="Y719" s="686"/>
      <c r="Z719" s="686"/>
      <c r="AA719" s="669"/>
      <c r="AB719" s="695"/>
      <c r="AC719" s="669"/>
    </row>
    <row r="720" ht="18.0" customHeight="1">
      <c r="A720" s="695"/>
      <c r="B720" s="695"/>
      <c r="C720" s="695"/>
      <c r="D720" s="695"/>
      <c r="E720" s="695"/>
      <c r="F720" s="686"/>
      <c r="G720" s="695"/>
      <c r="H720" s="695"/>
      <c r="I720" s="695"/>
      <c r="J720" s="731"/>
      <c r="K720" s="695"/>
      <c r="L720" s="686"/>
      <c r="M720" s="686"/>
      <c r="N720" s="686"/>
      <c r="O720" s="686"/>
      <c r="P720" s="686"/>
      <c r="Q720" s="666"/>
      <c r="R720" s="686"/>
      <c r="S720" s="686"/>
      <c r="T720" s="688"/>
      <c r="U720" s="688"/>
      <c r="V720" s="686"/>
      <c r="W720" s="686"/>
      <c r="X720" s="686"/>
      <c r="Y720" s="686"/>
      <c r="Z720" s="686"/>
      <c r="AA720" s="669"/>
      <c r="AB720" s="695"/>
      <c r="AC720" s="669"/>
    </row>
    <row r="721" ht="18.0" customHeight="1">
      <c r="A721" s="695"/>
      <c r="B721" s="695"/>
      <c r="C721" s="695"/>
      <c r="D721" s="695"/>
      <c r="E721" s="695"/>
      <c r="F721" s="686"/>
      <c r="G721" s="695"/>
      <c r="H721" s="695"/>
      <c r="I721" s="695"/>
      <c r="J721" s="731"/>
      <c r="K721" s="695"/>
      <c r="L721" s="686"/>
      <c r="M721" s="686"/>
      <c r="N721" s="686"/>
      <c r="O721" s="686"/>
      <c r="P721" s="686"/>
      <c r="Q721" s="666"/>
      <c r="R721" s="686"/>
      <c r="S721" s="686"/>
      <c r="T721" s="688"/>
      <c r="U721" s="688"/>
      <c r="V721" s="686"/>
      <c r="W721" s="686"/>
      <c r="X721" s="686"/>
      <c r="Y721" s="686"/>
      <c r="Z721" s="686"/>
      <c r="AA721" s="669"/>
      <c r="AB721" s="695"/>
      <c r="AC721" s="669"/>
    </row>
    <row r="722" ht="18.0" customHeight="1">
      <c r="A722" s="695"/>
      <c r="B722" s="695"/>
      <c r="C722" s="695"/>
      <c r="D722" s="695"/>
      <c r="E722" s="695"/>
      <c r="F722" s="686"/>
      <c r="G722" s="695"/>
      <c r="H722" s="695"/>
      <c r="I722" s="695"/>
      <c r="J722" s="731"/>
      <c r="K722" s="695"/>
      <c r="L722" s="686"/>
      <c r="M722" s="686"/>
      <c r="N722" s="686"/>
      <c r="O722" s="686"/>
      <c r="P722" s="686"/>
      <c r="Q722" s="666"/>
      <c r="R722" s="686"/>
      <c r="S722" s="686"/>
      <c r="T722" s="688"/>
      <c r="U722" s="688"/>
      <c r="V722" s="686"/>
      <c r="W722" s="686"/>
      <c r="X722" s="686"/>
      <c r="Y722" s="686"/>
      <c r="Z722" s="686"/>
      <c r="AA722" s="669"/>
      <c r="AB722" s="695"/>
      <c r="AC722" s="669"/>
    </row>
    <row r="723" ht="18.0" customHeight="1">
      <c r="A723" s="695"/>
      <c r="B723" s="695"/>
      <c r="C723" s="695"/>
      <c r="D723" s="695"/>
      <c r="E723" s="695"/>
      <c r="F723" s="686"/>
      <c r="G723" s="695"/>
      <c r="H723" s="695"/>
      <c r="I723" s="695"/>
      <c r="J723" s="731"/>
      <c r="K723" s="695"/>
      <c r="L723" s="686"/>
      <c r="M723" s="686"/>
      <c r="N723" s="686"/>
      <c r="O723" s="686"/>
      <c r="P723" s="686"/>
      <c r="Q723" s="666"/>
      <c r="R723" s="686"/>
      <c r="S723" s="686"/>
      <c r="T723" s="688"/>
      <c r="U723" s="688"/>
      <c r="V723" s="686"/>
      <c r="W723" s="686"/>
      <c r="X723" s="686"/>
      <c r="Y723" s="686"/>
      <c r="Z723" s="686"/>
      <c r="AA723" s="669"/>
      <c r="AB723" s="695"/>
      <c r="AC723" s="669"/>
    </row>
    <row r="724" ht="18.0" customHeight="1">
      <c r="A724" s="695"/>
      <c r="B724" s="695"/>
      <c r="C724" s="695"/>
      <c r="D724" s="695"/>
      <c r="E724" s="695"/>
      <c r="F724" s="686"/>
      <c r="G724" s="695"/>
      <c r="H724" s="695"/>
      <c r="I724" s="695"/>
      <c r="J724" s="731"/>
      <c r="K724" s="695"/>
      <c r="L724" s="686"/>
      <c r="M724" s="686"/>
      <c r="N724" s="686"/>
      <c r="O724" s="686"/>
      <c r="P724" s="686"/>
      <c r="Q724" s="666"/>
      <c r="R724" s="686"/>
      <c r="S724" s="686"/>
      <c r="T724" s="688"/>
      <c r="U724" s="688"/>
      <c r="V724" s="686"/>
      <c r="W724" s="686"/>
      <c r="X724" s="686"/>
      <c r="Y724" s="686"/>
      <c r="Z724" s="686"/>
      <c r="AA724" s="669"/>
      <c r="AB724" s="695"/>
      <c r="AC724" s="669"/>
    </row>
    <row r="725" ht="18.0" customHeight="1">
      <c r="A725" s="695"/>
      <c r="B725" s="695"/>
      <c r="C725" s="695"/>
      <c r="D725" s="695"/>
      <c r="E725" s="695"/>
      <c r="F725" s="686"/>
      <c r="G725" s="695"/>
      <c r="H725" s="695"/>
      <c r="I725" s="695"/>
      <c r="J725" s="731"/>
      <c r="K725" s="695"/>
      <c r="L725" s="686"/>
      <c r="M725" s="686"/>
      <c r="N725" s="686"/>
      <c r="O725" s="686"/>
      <c r="P725" s="686"/>
      <c r="Q725" s="666"/>
      <c r="R725" s="686"/>
      <c r="S725" s="686"/>
      <c r="T725" s="688"/>
      <c r="U725" s="688"/>
      <c r="V725" s="686"/>
      <c r="W725" s="686"/>
      <c r="X725" s="686"/>
      <c r="Y725" s="686"/>
      <c r="Z725" s="686"/>
      <c r="AA725" s="669"/>
      <c r="AB725" s="695"/>
      <c r="AC725" s="669"/>
    </row>
    <row r="726" ht="18.0" customHeight="1">
      <c r="A726" s="695"/>
      <c r="B726" s="695"/>
      <c r="C726" s="695"/>
      <c r="D726" s="695"/>
      <c r="E726" s="695"/>
      <c r="F726" s="686"/>
      <c r="G726" s="695"/>
      <c r="H726" s="695"/>
      <c r="I726" s="695"/>
      <c r="J726" s="731"/>
      <c r="K726" s="695"/>
      <c r="L726" s="686"/>
      <c r="M726" s="686"/>
      <c r="N726" s="686"/>
      <c r="O726" s="686"/>
      <c r="P726" s="686"/>
      <c r="Q726" s="666"/>
      <c r="R726" s="686"/>
      <c r="S726" s="686"/>
      <c r="T726" s="688"/>
      <c r="U726" s="688"/>
      <c r="V726" s="686"/>
      <c r="W726" s="686"/>
      <c r="X726" s="686"/>
      <c r="Y726" s="686"/>
      <c r="Z726" s="686"/>
      <c r="AA726" s="669"/>
      <c r="AB726" s="695"/>
      <c r="AC726" s="669"/>
    </row>
    <row r="727" ht="18.0" customHeight="1">
      <c r="A727" s="695"/>
      <c r="B727" s="695"/>
      <c r="C727" s="695"/>
      <c r="D727" s="695"/>
      <c r="E727" s="695"/>
      <c r="F727" s="686"/>
      <c r="G727" s="695"/>
      <c r="H727" s="695"/>
      <c r="I727" s="695"/>
      <c r="J727" s="731"/>
      <c r="K727" s="695"/>
      <c r="L727" s="686"/>
      <c r="M727" s="686"/>
      <c r="N727" s="686"/>
      <c r="O727" s="686"/>
      <c r="P727" s="686"/>
      <c r="Q727" s="666"/>
      <c r="R727" s="686"/>
      <c r="S727" s="686"/>
      <c r="T727" s="688"/>
      <c r="U727" s="688"/>
      <c r="V727" s="686"/>
      <c r="W727" s="686"/>
      <c r="X727" s="686"/>
      <c r="Y727" s="686"/>
      <c r="Z727" s="686"/>
      <c r="AA727" s="669"/>
      <c r="AB727" s="695"/>
      <c r="AC727" s="669"/>
    </row>
    <row r="728" ht="18.0" customHeight="1">
      <c r="A728" s="695"/>
      <c r="B728" s="695"/>
      <c r="C728" s="695"/>
      <c r="D728" s="695"/>
      <c r="E728" s="695"/>
      <c r="F728" s="686"/>
      <c r="G728" s="695"/>
      <c r="H728" s="695"/>
      <c r="I728" s="695"/>
      <c r="J728" s="731"/>
      <c r="K728" s="695"/>
      <c r="L728" s="686"/>
      <c r="M728" s="686"/>
      <c r="N728" s="686"/>
      <c r="O728" s="686"/>
      <c r="P728" s="686"/>
      <c r="Q728" s="666"/>
      <c r="R728" s="686"/>
      <c r="S728" s="686"/>
      <c r="T728" s="688"/>
      <c r="U728" s="688"/>
      <c r="V728" s="686"/>
      <c r="W728" s="686"/>
      <c r="X728" s="686"/>
      <c r="Y728" s="686"/>
      <c r="Z728" s="686"/>
      <c r="AA728" s="669"/>
      <c r="AB728" s="695"/>
      <c r="AC728" s="669"/>
    </row>
    <row r="729" ht="18.0" customHeight="1">
      <c r="A729" s="695"/>
      <c r="B729" s="695"/>
      <c r="C729" s="695"/>
      <c r="D729" s="695"/>
      <c r="E729" s="695"/>
      <c r="F729" s="686"/>
      <c r="G729" s="695"/>
      <c r="H729" s="695"/>
      <c r="I729" s="695"/>
      <c r="J729" s="731"/>
      <c r="K729" s="695"/>
      <c r="L729" s="686"/>
      <c r="M729" s="686"/>
      <c r="N729" s="686"/>
      <c r="O729" s="686"/>
      <c r="P729" s="686"/>
      <c r="Q729" s="666"/>
      <c r="R729" s="686"/>
      <c r="S729" s="686"/>
      <c r="T729" s="688"/>
      <c r="U729" s="688"/>
      <c r="V729" s="686"/>
      <c r="W729" s="686"/>
      <c r="X729" s="686"/>
      <c r="Y729" s="686"/>
      <c r="Z729" s="686"/>
      <c r="AA729" s="669"/>
      <c r="AB729" s="695"/>
      <c r="AC729" s="669"/>
    </row>
    <row r="730" ht="18.0" customHeight="1">
      <c r="A730" s="695"/>
      <c r="B730" s="695"/>
      <c r="C730" s="695"/>
      <c r="D730" s="695"/>
      <c r="E730" s="695"/>
      <c r="F730" s="686"/>
      <c r="G730" s="695"/>
      <c r="H730" s="695"/>
      <c r="I730" s="695"/>
      <c r="J730" s="731"/>
      <c r="K730" s="695"/>
      <c r="L730" s="686"/>
      <c r="M730" s="686"/>
      <c r="N730" s="686"/>
      <c r="O730" s="686"/>
      <c r="P730" s="686"/>
      <c r="Q730" s="666"/>
      <c r="R730" s="686"/>
      <c r="S730" s="686"/>
      <c r="T730" s="688"/>
      <c r="U730" s="688"/>
      <c r="V730" s="686"/>
      <c r="W730" s="686"/>
      <c r="X730" s="686"/>
      <c r="Y730" s="686"/>
      <c r="Z730" s="686"/>
      <c r="AA730" s="669"/>
      <c r="AB730" s="695"/>
      <c r="AC730" s="669"/>
    </row>
    <row r="731" ht="18.0" customHeight="1">
      <c r="A731" s="695"/>
      <c r="B731" s="695"/>
      <c r="C731" s="695"/>
      <c r="D731" s="695"/>
      <c r="E731" s="695"/>
      <c r="F731" s="686"/>
      <c r="G731" s="695"/>
      <c r="H731" s="695"/>
      <c r="I731" s="695"/>
      <c r="J731" s="731"/>
      <c r="K731" s="695"/>
      <c r="L731" s="686"/>
      <c r="M731" s="686"/>
      <c r="N731" s="686"/>
      <c r="O731" s="686"/>
      <c r="P731" s="686"/>
      <c r="Q731" s="666"/>
      <c r="R731" s="686"/>
      <c r="S731" s="686"/>
      <c r="T731" s="688"/>
      <c r="U731" s="688"/>
      <c r="V731" s="686"/>
      <c r="W731" s="686"/>
      <c r="X731" s="686"/>
      <c r="Y731" s="686"/>
      <c r="Z731" s="686"/>
      <c r="AA731" s="669"/>
      <c r="AB731" s="695"/>
      <c r="AC731" s="669"/>
    </row>
    <row r="732" ht="18.0" customHeight="1">
      <c r="A732" s="695"/>
      <c r="B732" s="695"/>
      <c r="C732" s="695"/>
      <c r="D732" s="695"/>
      <c r="E732" s="695"/>
      <c r="F732" s="686"/>
      <c r="G732" s="695"/>
      <c r="H732" s="695"/>
      <c r="I732" s="695"/>
      <c r="J732" s="731"/>
      <c r="K732" s="695"/>
      <c r="L732" s="686"/>
      <c r="M732" s="686"/>
      <c r="N732" s="686"/>
      <c r="O732" s="686"/>
      <c r="P732" s="686"/>
      <c r="Q732" s="666"/>
      <c r="R732" s="686"/>
      <c r="S732" s="686"/>
      <c r="T732" s="688"/>
      <c r="U732" s="688"/>
      <c r="V732" s="686"/>
      <c r="W732" s="686"/>
      <c r="X732" s="686"/>
      <c r="Y732" s="686"/>
      <c r="Z732" s="686"/>
      <c r="AA732" s="669"/>
      <c r="AB732" s="695"/>
      <c r="AC732" s="669"/>
    </row>
    <row r="733" ht="18.0" customHeight="1">
      <c r="A733" s="695"/>
      <c r="B733" s="695"/>
      <c r="C733" s="695"/>
      <c r="D733" s="695"/>
      <c r="E733" s="695"/>
      <c r="F733" s="686"/>
      <c r="G733" s="695"/>
      <c r="H733" s="695"/>
      <c r="I733" s="695"/>
      <c r="J733" s="731"/>
      <c r="K733" s="695"/>
      <c r="L733" s="686"/>
      <c r="M733" s="686"/>
      <c r="N733" s="686"/>
      <c r="O733" s="686"/>
      <c r="P733" s="686"/>
      <c r="Q733" s="666"/>
      <c r="R733" s="686"/>
      <c r="S733" s="686"/>
      <c r="T733" s="688"/>
      <c r="U733" s="688"/>
      <c r="V733" s="686"/>
      <c r="W733" s="686"/>
      <c r="X733" s="686"/>
      <c r="Y733" s="686"/>
      <c r="Z733" s="686"/>
      <c r="AA733" s="669"/>
      <c r="AB733" s="695"/>
      <c r="AC733" s="669"/>
    </row>
    <row r="734" ht="18.0" customHeight="1">
      <c r="A734" s="695"/>
      <c r="B734" s="695"/>
      <c r="C734" s="695"/>
      <c r="D734" s="695"/>
      <c r="E734" s="695"/>
      <c r="F734" s="686"/>
      <c r="G734" s="695"/>
      <c r="H734" s="695"/>
      <c r="I734" s="695"/>
      <c r="J734" s="731"/>
      <c r="K734" s="695"/>
      <c r="L734" s="686"/>
      <c r="M734" s="686"/>
      <c r="N734" s="686"/>
      <c r="O734" s="686"/>
      <c r="P734" s="686"/>
      <c r="Q734" s="666"/>
      <c r="R734" s="686"/>
      <c r="S734" s="686"/>
      <c r="T734" s="688"/>
      <c r="U734" s="688"/>
      <c r="V734" s="686"/>
      <c r="W734" s="686"/>
      <c r="X734" s="686"/>
      <c r="Y734" s="686"/>
      <c r="Z734" s="686"/>
      <c r="AA734" s="669"/>
      <c r="AB734" s="695"/>
      <c r="AC734" s="669"/>
    </row>
    <row r="735" ht="18.0" customHeight="1">
      <c r="A735" s="695"/>
      <c r="B735" s="695"/>
      <c r="C735" s="695"/>
      <c r="D735" s="695"/>
      <c r="E735" s="695"/>
      <c r="F735" s="686"/>
      <c r="G735" s="695"/>
      <c r="H735" s="695"/>
      <c r="I735" s="695"/>
      <c r="J735" s="731"/>
      <c r="K735" s="695"/>
      <c r="L735" s="686"/>
      <c r="M735" s="686"/>
      <c r="N735" s="686"/>
      <c r="O735" s="686"/>
      <c r="P735" s="686"/>
      <c r="Q735" s="666"/>
      <c r="R735" s="686"/>
      <c r="S735" s="686"/>
      <c r="T735" s="688"/>
      <c r="U735" s="688"/>
      <c r="V735" s="686"/>
      <c r="W735" s="686"/>
      <c r="X735" s="686"/>
      <c r="Y735" s="686"/>
      <c r="Z735" s="686"/>
      <c r="AA735" s="669"/>
      <c r="AB735" s="695"/>
      <c r="AC735" s="669"/>
    </row>
    <row r="736" ht="18.0" customHeight="1">
      <c r="A736" s="695"/>
      <c r="B736" s="695"/>
      <c r="C736" s="695"/>
      <c r="D736" s="695"/>
      <c r="E736" s="695"/>
      <c r="F736" s="686"/>
      <c r="G736" s="695"/>
      <c r="H736" s="695"/>
      <c r="I736" s="695"/>
      <c r="J736" s="731"/>
      <c r="K736" s="695"/>
      <c r="L736" s="686"/>
      <c r="M736" s="686"/>
      <c r="N736" s="686"/>
      <c r="O736" s="686"/>
      <c r="P736" s="686"/>
      <c r="Q736" s="666"/>
      <c r="R736" s="686"/>
      <c r="S736" s="686"/>
      <c r="T736" s="688"/>
      <c r="U736" s="688"/>
      <c r="V736" s="686"/>
      <c r="W736" s="686"/>
      <c r="X736" s="686"/>
      <c r="Y736" s="686"/>
      <c r="Z736" s="686"/>
      <c r="AA736" s="669"/>
      <c r="AB736" s="695"/>
      <c r="AC736" s="669"/>
    </row>
    <row r="737" ht="18.0" customHeight="1">
      <c r="A737" s="695"/>
      <c r="B737" s="695"/>
      <c r="C737" s="695"/>
      <c r="D737" s="695"/>
      <c r="E737" s="695"/>
      <c r="F737" s="686"/>
      <c r="G737" s="695"/>
      <c r="H737" s="695"/>
      <c r="I737" s="695"/>
      <c r="J737" s="731"/>
      <c r="K737" s="695"/>
      <c r="L737" s="686"/>
      <c r="M737" s="686"/>
      <c r="N737" s="686"/>
      <c r="O737" s="686"/>
      <c r="P737" s="686"/>
      <c r="Q737" s="666"/>
      <c r="R737" s="686"/>
      <c r="S737" s="686"/>
      <c r="T737" s="688"/>
      <c r="U737" s="688"/>
      <c r="V737" s="686"/>
      <c r="W737" s="686"/>
      <c r="X737" s="686"/>
      <c r="Y737" s="686"/>
      <c r="Z737" s="686"/>
      <c r="AA737" s="669"/>
      <c r="AB737" s="695"/>
      <c r="AC737" s="669"/>
    </row>
    <row r="738" ht="18.0" customHeight="1">
      <c r="A738" s="695"/>
      <c r="B738" s="695"/>
      <c r="C738" s="695"/>
      <c r="D738" s="695"/>
      <c r="E738" s="695"/>
      <c r="F738" s="686"/>
      <c r="G738" s="695"/>
      <c r="H738" s="695"/>
      <c r="I738" s="695"/>
      <c r="J738" s="731"/>
      <c r="K738" s="695"/>
      <c r="L738" s="686"/>
      <c r="M738" s="686"/>
      <c r="N738" s="686"/>
      <c r="O738" s="686"/>
      <c r="P738" s="686"/>
      <c r="Q738" s="666"/>
      <c r="R738" s="686"/>
      <c r="S738" s="686"/>
      <c r="T738" s="688"/>
      <c r="U738" s="688"/>
      <c r="V738" s="686"/>
      <c r="W738" s="686"/>
      <c r="X738" s="686"/>
      <c r="Y738" s="686"/>
      <c r="Z738" s="686"/>
      <c r="AA738" s="669"/>
      <c r="AB738" s="695"/>
      <c r="AC738" s="669"/>
    </row>
    <row r="739" ht="18.0" customHeight="1">
      <c r="A739" s="695"/>
      <c r="B739" s="695"/>
      <c r="C739" s="695"/>
      <c r="D739" s="695"/>
      <c r="E739" s="695"/>
      <c r="F739" s="686"/>
      <c r="G739" s="695"/>
      <c r="H739" s="695"/>
      <c r="I739" s="695"/>
      <c r="J739" s="731"/>
      <c r="K739" s="695"/>
      <c r="L739" s="686"/>
      <c r="M739" s="686"/>
      <c r="N739" s="686"/>
      <c r="O739" s="686"/>
      <c r="P739" s="686"/>
      <c r="Q739" s="666"/>
      <c r="R739" s="686"/>
      <c r="S739" s="686"/>
      <c r="T739" s="688"/>
      <c r="U739" s="688"/>
      <c r="V739" s="686"/>
      <c r="W739" s="686"/>
      <c r="X739" s="686"/>
      <c r="Y739" s="686"/>
      <c r="Z739" s="686"/>
      <c r="AA739" s="669"/>
      <c r="AB739" s="695"/>
      <c r="AC739" s="669"/>
    </row>
    <row r="740" ht="18.0" customHeight="1">
      <c r="A740" s="695"/>
      <c r="B740" s="695"/>
      <c r="C740" s="695"/>
      <c r="D740" s="695"/>
      <c r="E740" s="695"/>
      <c r="F740" s="686"/>
      <c r="G740" s="695"/>
      <c r="H740" s="695"/>
      <c r="I740" s="695"/>
      <c r="J740" s="731"/>
      <c r="K740" s="695"/>
      <c r="L740" s="686"/>
      <c r="M740" s="686"/>
      <c r="N740" s="686"/>
      <c r="O740" s="686"/>
      <c r="P740" s="686"/>
      <c r="Q740" s="666"/>
      <c r="R740" s="686"/>
      <c r="S740" s="686"/>
      <c r="T740" s="688"/>
      <c r="U740" s="688"/>
      <c r="V740" s="686"/>
      <c r="W740" s="686"/>
      <c r="X740" s="686"/>
      <c r="Y740" s="686"/>
      <c r="Z740" s="686"/>
      <c r="AA740" s="669"/>
      <c r="AB740" s="695"/>
      <c r="AC740" s="669"/>
    </row>
    <row r="741" ht="18.0" customHeight="1">
      <c r="A741" s="695"/>
      <c r="B741" s="695"/>
      <c r="C741" s="695"/>
      <c r="D741" s="695"/>
      <c r="E741" s="695"/>
      <c r="F741" s="686"/>
      <c r="G741" s="695"/>
      <c r="H741" s="695"/>
      <c r="I741" s="695"/>
      <c r="J741" s="731"/>
      <c r="K741" s="695"/>
      <c r="L741" s="686"/>
      <c r="M741" s="686"/>
      <c r="N741" s="686"/>
      <c r="O741" s="686"/>
      <c r="P741" s="686"/>
      <c r="Q741" s="666"/>
      <c r="R741" s="686"/>
      <c r="S741" s="686"/>
      <c r="T741" s="688"/>
      <c r="U741" s="688"/>
      <c r="V741" s="686"/>
      <c r="W741" s="686"/>
      <c r="X741" s="686"/>
      <c r="Y741" s="686"/>
      <c r="Z741" s="686"/>
      <c r="AA741" s="669"/>
      <c r="AB741" s="695"/>
      <c r="AC741" s="669"/>
    </row>
    <row r="742" ht="18.0" customHeight="1">
      <c r="A742" s="695"/>
      <c r="B742" s="695"/>
      <c r="C742" s="695"/>
      <c r="D742" s="695"/>
      <c r="E742" s="695"/>
      <c r="F742" s="686"/>
      <c r="G742" s="695"/>
      <c r="H742" s="695"/>
      <c r="I742" s="695"/>
      <c r="J742" s="731"/>
      <c r="K742" s="695"/>
      <c r="L742" s="686"/>
      <c r="M742" s="686"/>
      <c r="N742" s="686"/>
      <c r="O742" s="686"/>
      <c r="P742" s="686"/>
      <c r="Q742" s="666"/>
      <c r="R742" s="686"/>
      <c r="S742" s="686"/>
      <c r="T742" s="688"/>
      <c r="U742" s="688"/>
      <c r="V742" s="686"/>
      <c r="W742" s="686"/>
      <c r="X742" s="686"/>
      <c r="Y742" s="686"/>
      <c r="Z742" s="686"/>
      <c r="AA742" s="669"/>
      <c r="AB742" s="695"/>
      <c r="AC742" s="669"/>
    </row>
    <row r="743" ht="18.0" customHeight="1">
      <c r="A743" s="695"/>
      <c r="B743" s="695"/>
      <c r="C743" s="695"/>
      <c r="D743" s="695"/>
      <c r="E743" s="695"/>
      <c r="F743" s="686"/>
      <c r="G743" s="695"/>
      <c r="H743" s="695"/>
      <c r="I743" s="695"/>
      <c r="J743" s="731"/>
      <c r="K743" s="695"/>
      <c r="L743" s="686"/>
      <c r="M743" s="686"/>
      <c r="N743" s="686"/>
      <c r="O743" s="686"/>
      <c r="P743" s="686"/>
      <c r="Q743" s="666"/>
      <c r="R743" s="686"/>
      <c r="S743" s="686"/>
      <c r="T743" s="688"/>
      <c r="U743" s="688"/>
      <c r="V743" s="686"/>
      <c r="W743" s="686"/>
      <c r="X743" s="686"/>
      <c r="Y743" s="686"/>
      <c r="Z743" s="686"/>
      <c r="AA743" s="669"/>
      <c r="AB743" s="695"/>
      <c r="AC743" s="669"/>
    </row>
    <row r="744" ht="18.0" customHeight="1">
      <c r="A744" s="695"/>
      <c r="B744" s="695"/>
      <c r="C744" s="695"/>
      <c r="D744" s="695"/>
      <c r="E744" s="695"/>
      <c r="F744" s="686"/>
      <c r="G744" s="695"/>
      <c r="H744" s="695"/>
      <c r="I744" s="695"/>
      <c r="J744" s="731"/>
      <c r="K744" s="695"/>
      <c r="L744" s="686"/>
      <c r="M744" s="686"/>
      <c r="N744" s="686"/>
      <c r="O744" s="686"/>
      <c r="P744" s="686"/>
      <c r="Q744" s="666"/>
      <c r="R744" s="686"/>
      <c r="S744" s="686"/>
      <c r="T744" s="688"/>
      <c r="U744" s="688"/>
      <c r="V744" s="686"/>
      <c r="W744" s="686"/>
      <c r="X744" s="686"/>
      <c r="Y744" s="686"/>
      <c r="Z744" s="686"/>
      <c r="AA744" s="669"/>
      <c r="AB744" s="695"/>
      <c r="AC744" s="669"/>
    </row>
    <row r="745" ht="18.0" customHeight="1">
      <c r="A745" s="695"/>
      <c r="B745" s="695"/>
      <c r="C745" s="695"/>
      <c r="D745" s="695"/>
      <c r="E745" s="695"/>
      <c r="F745" s="686"/>
      <c r="G745" s="695"/>
      <c r="H745" s="695"/>
      <c r="I745" s="695"/>
      <c r="J745" s="731"/>
      <c r="K745" s="695"/>
      <c r="L745" s="686"/>
      <c r="M745" s="686"/>
      <c r="N745" s="686"/>
      <c r="O745" s="686"/>
      <c r="P745" s="686"/>
      <c r="Q745" s="666"/>
      <c r="R745" s="686"/>
      <c r="S745" s="686"/>
      <c r="T745" s="688"/>
      <c r="U745" s="688"/>
      <c r="V745" s="686"/>
      <c r="W745" s="686"/>
      <c r="X745" s="686"/>
      <c r="Y745" s="686"/>
      <c r="Z745" s="686"/>
      <c r="AA745" s="669"/>
      <c r="AB745" s="695"/>
      <c r="AC745" s="669"/>
    </row>
    <row r="746" ht="18.0" customHeight="1">
      <c r="A746" s="695"/>
      <c r="B746" s="695"/>
      <c r="C746" s="695"/>
      <c r="D746" s="695"/>
      <c r="E746" s="695"/>
      <c r="F746" s="686"/>
      <c r="G746" s="695"/>
      <c r="H746" s="695"/>
      <c r="I746" s="695"/>
      <c r="J746" s="731"/>
      <c r="K746" s="695"/>
      <c r="L746" s="686"/>
      <c r="M746" s="686"/>
      <c r="N746" s="686"/>
      <c r="O746" s="686"/>
      <c r="P746" s="686"/>
      <c r="Q746" s="666"/>
      <c r="R746" s="686"/>
      <c r="S746" s="686"/>
      <c r="T746" s="688"/>
      <c r="U746" s="688"/>
      <c r="V746" s="686"/>
      <c r="W746" s="686"/>
      <c r="X746" s="686"/>
      <c r="Y746" s="686"/>
      <c r="Z746" s="686"/>
      <c r="AA746" s="669"/>
      <c r="AB746" s="695"/>
      <c r="AC746" s="669"/>
    </row>
    <row r="747" ht="18.0" customHeight="1">
      <c r="A747" s="695"/>
      <c r="B747" s="695"/>
      <c r="C747" s="695"/>
      <c r="D747" s="695"/>
      <c r="E747" s="695"/>
      <c r="F747" s="686"/>
      <c r="G747" s="695"/>
      <c r="H747" s="695"/>
      <c r="I747" s="695"/>
      <c r="J747" s="731"/>
      <c r="K747" s="695"/>
      <c r="L747" s="686"/>
      <c r="M747" s="686"/>
      <c r="N747" s="686"/>
      <c r="O747" s="686"/>
      <c r="P747" s="686"/>
      <c r="Q747" s="666"/>
      <c r="R747" s="686"/>
      <c r="S747" s="686"/>
      <c r="T747" s="688"/>
      <c r="U747" s="688"/>
      <c r="V747" s="686"/>
      <c r="W747" s="686"/>
      <c r="X747" s="686"/>
      <c r="Y747" s="686"/>
      <c r="Z747" s="686"/>
      <c r="AA747" s="669"/>
      <c r="AB747" s="695"/>
      <c r="AC747" s="669"/>
    </row>
    <row r="748" ht="18.0" customHeight="1">
      <c r="A748" s="695"/>
      <c r="B748" s="695"/>
      <c r="C748" s="695"/>
      <c r="D748" s="695"/>
      <c r="E748" s="695"/>
      <c r="F748" s="686"/>
      <c r="G748" s="695"/>
      <c r="H748" s="695"/>
      <c r="I748" s="695"/>
      <c r="J748" s="731"/>
      <c r="K748" s="695"/>
      <c r="L748" s="686"/>
      <c r="M748" s="686"/>
      <c r="N748" s="686"/>
      <c r="O748" s="686"/>
      <c r="P748" s="686"/>
      <c r="Q748" s="666"/>
      <c r="R748" s="686"/>
      <c r="S748" s="686"/>
      <c r="T748" s="688"/>
      <c r="U748" s="688"/>
      <c r="V748" s="686"/>
      <c r="W748" s="686"/>
      <c r="X748" s="686"/>
      <c r="Y748" s="686"/>
      <c r="Z748" s="686"/>
      <c r="AA748" s="669"/>
      <c r="AB748" s="695"/>
      <c r="AC748" s="669"/>
    </row>
    <row r="749" ht="18.0" customHeight="1">
      <c r="A749" s="695"/>
      <c r="B749" s="695"/>
      <c r="C749" s="695"/>
      <c r="D749" s="695"/>
      <c r="E749" s="695"/>
      <c r="F749" s="686"/>
      <c r="G749" s="695"/>
      <c r="H749" s="695"/>
      <c r="I749" s="695"/>
      <c r="J749" s="731"/>
      <c r="K749" s="695"/>
      <c r="L749" s="686"/>
      <c r="M749" s="686"/>
      <c r="N749" s="686"/>
      <c r="O749" s="686"/>
      <c r="P749" s="686"/>
      <c r="Q749" s="666"/>
      <c r="R749" s="686"/>
      <c r="S749" s="686"/>
      <c r="T749" s="688"/>
      <c r="U749" s="688"/>
      <c r="V749" s="686"/>
      <c r="W749" s="686"/>
      <c r="X749" s="686"/>
      <c r="Y749" s="686"/>
      <c r="Z749" s="686"/>
      <c r="AA749" s="669"/>
      <c r="AB749" s="695"/>
      <c r="AC749" s="669"/>
    </row>
    <row r="750" ht="18.0" customHeight="1">
      <c r="A750" s="695"/>
      <c r="B750" s="695"/>
      <c r="C750" s="695"/>
      <c r="D750" s="695"/>
      <c r="E750" s="695"/>
      <c r="F750" s="686"/>
      <c r="G750" s="695"/>
      <c r="H750" s="695"/>
      <c r="I750" s="695"/>
      <c r="J750" s="731"/>
      <c r="K750" s="695"/>
      <c r="L750" s="686"/>
      <c r="M750" s="686"/>
      <c r="N750" s="686"/>
      <c r="O750" s="686"/>
      <c r="P750" s="686"/>
      <c r="Q750" s="666"/>
      <c r="R750" s="686"/>
      <c r="S750" s="686"/>
      <c r="T750" s="688"/>
      <c r="U750" s="688"/>
      <c r="V750" s="686"/>
      <c r="W750" s="686"/>
      <c r="X750" s="686"/>
      <c r="Y750" s="686"/>
      <c r="Z750" s="686"/>
      <c r="AA750" s="669"/>
      <c r="AB750" s="695"/>
      <c r="AC750" s="669"/>
    </row>
    <row r="751" ht="18.0" customHeight="1">
      <c r="A751" s="695"/>
      <c r="B751" s="695"/>
      <c r="C751" s="695"/>
      <c r="D751" s="695"/>
      <c r="E751" s="695"/>
      <c r="F751" s="686"/>
      <c r="G751" s="695"/>
      <c r="H751" s="695"/>
      <c r="I751" s="695"/>
      <c r="J751" s="731"/>
      <c r="K751" s="695"/>
      <c r="L751" s="686"/>
      <c r="M751" s="686"/>
      <c r="N751" s="686"/>
      <c r="O751" s="686"/>
      <c r="P751" s="686"/>
      <c r="Q751" s="666"/>
      <c r="R751" s="686"/>
      <c r="S751" s="686"/>
      <c r="T751" s="688"/>
      <c r="U751" s="688"/>
      <c r="V751" s="686"/>
      <c r="W751" s="686"/>
      <c r="X751" s="686"/>
      <c r="Y751" s="686"/>
      <c r="Z751" s="686"/>
      <c r="AA751" s="669"/>
      <c r="AB751" s="695"/>
      <c r="AC751" s="669"/>
    </row>
    <row r="752" ht="18.0" customHeight="1">
      <c r="A752" s="695"/>
      <c r="B752" s="695"/>
      <c r="C752" s="695"/>
      <c r="D752" s="695"/>
      <c r="E752" s="695"/>
      <c r="F752" s="686"/>
      <c r="G752" s="695"/>
      <c r="H752" s="695"/>
      <c r="I752" s="695"/>
      <c r="J752" s="731"/>
      <c r="K752" s="695"/>
      <c r="L752" s="686"/>
      <c r="M752" s="686"/>
      <c r="N752" s="686"/>
      <c r="O752" s="686"/>
      <c r="P752" s="686"/>
      <c r="Q752" s="666"/>
      <c r="R752" s="686"/>
      <c r="S752" s="686"/>
      <c r="T752" s="688"/>
      <c r="U752" s="688"/>
      <c r="V752" s="686"/>
      <c r="W752" s="686"/>
      <c r="X752" s="686"/>
      <c r="Y752" s="686"/>
      <c r="Z752" s="686"/>
      <c r="AA752" s="669"/>
      <c r="AB752" s="695"/>
      <c r="AC752" s="669"/>
    </row>
    <row r="753" ht="18.0" customHeight="1">
      <c r="A753" s="695"/>
      <c r="B753" s="695"/>
      <c r="C753" s="695"/>
      <c r="D753" s="695"/>
      <c r="E753" s="695"/>
      <c r="F753" s="686"/>
      <c r="G753" s="695"/>
      <c r="H753" s="695"/>
      <c r="I753" s="695"/>
      <c r="J753" s="731"/>
      <c r="K753" s="695"/>
      <c r="L753" s="686"/>
      <c r="M753" s="686"/>
      <c r="N753" s="686"/>
      <c r="O753" s="686"/>
      <c r="P753" s="686"/>
      <c r="Q753" s="666"/>
      <c r="R753" s="686"/>
      <c r="S753" s="686"/>
      <c r="T753" s="688"/>
      <c r="U753" s="688"/>
      <c r="V753" s="686"/>
      <c r="W753" s="686"/>
      <c r="X753" s="686"/>
      <c r="Y753" s="686"/>
      <c r="Z753" s="686"/>
      <c r="AA753" s="669"/>
      <c r="AB753" s="695"/>
      <c r="AC753" s="669"/>
    </row>
    <row r="754" ht="18.0" customHeight="1">
      <c r="A754" s="695"/>
      <c r="B754" s="695"/>
      <c r="C754" s="695"/>
      <c r="D754" s="695"/>
      <c r="E754" s="695"/>
      <c r="F754" s="686"/>
      <c r="G754" s="695"/>
      <c r="H754" s="695"/>
      <c r="I754" s="695"/>
      <c r="J754" s="731"/>
      <c r="K754" s="695"/>
      <c r="L754" s="686"/>
      <c r="M754" s="686"/>
      <c r="N754" s="686"/>
      <c r="O754" s="686"/>
      <c r="P754" s="686"/>
      <c r="Q754" s="666"/>
      <c r="R754" s="686"/>
      <c r="S754" s="686"/>
      <c r="T754" s="688"/>
      <c r="U754" s="688"/>
      <c r="V754" s="686"/>
      <c r="W754" s="686"/>
      <c r="X754" s="686"/>
      <c r="Y754" s="686"/>
      <c r="Z754" s="686"/>
      <c r="AA754" s="669"/>
      <c r="AB754" s="695"/>
      <c r="AC754" s="669"/>
    </row>
    <row r="755" ht="18.0" customHeight="1">
      <c r="A755" s="695"/>
      <c r="B755" s="695"/>
      <c r="C755" s="695"/>
      <c r="D755" s="695"/>
      <c r="E755" s="695"/>
      <c r="F755" s="686"/>
      <c r="G755" s="695"/>
      <c r="H755" s="695"/>
      <c r="I755" s="695"/>
      <c r="J755" s="731"/>
      <c r="K755" s="695"/>
      <c r="L755" s="686"/>
      <c r="M755" s="686"/>
      <c r="N755" s="686"/>
      <c r="O755" s="686"/>
      <c r="P755" s="686"/>
      <c r="Q755" s="666"/>
      <c r="R755" s="686"/>
      <c r="S755" s="686"/>
      <c r="T755" s="688"/>
      <c r="U755" s="688"/>
      <c r="V755" s="686"/>
      <c r="W755" s="686"/>
      <c r="X755" s="686"/>
      <c r="Y755" s="686"/>
      <c r="Z755" s="686"/>
      <c r="AA755" s="669"/>
      <c r="AB755" s="695"/>
      <c r="AC755" s="669"/>
    </row>
    <row r="756" ht="18.0" customHeight="1">
      <c r="A756" s="695"/>
      <c r="B756" s="695"/>
      <c r="C756" s="695"/>
      <c r="D756" s="695"/>
      <c r="E756" s="695"/>
      <c r="F756" s="686"/>
      <c r="G756" s="695"/>
      <c r="H756" s="695"/>
      <c r="I756" s="695"/>
      <c r="J756" s="731"/>
      <c r="K756" s="695"/>
      <c r="L756" s="686"/>
      <c r="M756" s="686"/>
      <c r="N756" s="686"/>
      <c r="O756" s="686"/>
      <c r="P756" s="686"/>
      <c r="Q756" s="666"/>
      <c r="R756" s="686"/>
      <c r="S756" s="686"/>
      <c r="T756" s="688"/>
      <c r="U756" s="688"/>
      <c r="V756" s="686"/>
      <c r="W756" s="686"/>
      <c r="X756" s="686"/>
      <c r="Y756" s="686"/>
      <c r="Z756" s="686"/>
      <c r="AA756" s="669"/>
      <c r="AB756" s="695"/>
      <c r="AC756" s="669"/>
    </row>
    <row r="757" ht="18.0" customHeight="1">
      <c r="A757" s="695"/>
      <c r="B757" s="695"/>
      <c r="C757" s="695"/>
      <c r="D757" s="695"/>
      <c r="E757" s="695"/>
      <c r="F757" s="686"/>
      <c r="G757" s="695"/>
      <c r="H757" s="695"/>
      <c r="I757" s="695"/>
      <c r="J757" s="731"/>
      <c r="K757" s="695"/>
      <c r="L757" s="686"/>
      <c r="M757" s="686"/>
      <c r="N757" s="686"/>
      <c r="O757" s="686"/>
      <c r="P757" s="686"/>
      <c r="Q757" s="666"/>
      <c r="R757" s="686"/>
      <c r="S757" s="686"/>
      <c r="T757" s="688"/>
      <c r="U757" s="688"/>
      <c r="V757" s="686"/>
      <c r="W757" s="686"/>
      <c r="X757" s="686"/>
      <c r="Y757" s="686"/>
      <c r="Z757" s="686"/>
      <c r="AA757" s="669"/>
      <c r="AB757" s="695"/>
      <c r="AC757" s="669"/>
    </row>
    <row r="758" ht="18.0" customHeight="1">
      <c r="A758" s="695"/>
      <c r="B758" s="695"/>
      <c r="C758" s="695"/>
      <c r="D758" s="695"/>
      <c r="E758" s="695"/>
      <c r="F758" s="686"/>
      <c r="G758" s="695"/>
      <c r="H758" s="695"/>
      <c r="I758" s="695"/>
      <c r="J758" s="731"/>
      <c r="K758" s="695"/>
      <c r="L758" s="686"/>
      <c r="M758" s="686"/>
      <c r="N758" s="686"/>
      <c r="O758" s="686"/>
      <c r="P758" s="686"/>
      <c r="Q758" s="666"/>
      <c r="R758" s="686"/>
      <c r="S758" s="686"/>
      <c r="T758" s="688"/>
      <c r="U758" s="688"/>
      <c r="V758" s="686"/>
      <c r="W758" s="686"/>
      <c r="X758" s="686"/>
      <c r="Y758" s="686"/>
      <c r="Z758" s="686"/>
      <c r="AA758" s="669"/>
      <c r="AB758" s="695"/>
      <c r="AC758" s="669"/>
    </row>
    <row r="759" ht="18.0" customHeight="1">
      <c r="A759" s="695"/>
      <c r="B759" s="695"/>
      <c r="C759" s="695"/>
      <c r="D759" s="695"/>
      <c r="E759" s="695"/>
      <c r="F759" s="686"/>
      <c r="G759" s="695"/>
      <c r="H759" s="695"/>
      <c r="I759" s="695"/>
      <c r="J759" s="731"/>
      <c r="K759" s="695"/>
      <c r="L759" s="686"/>
      <c r="M759" s="686"/>
      <c r="N759" s="686"/>
      <c r="O759" s="686"/>
      <c r="P759" s="686"/>
      <c r="Q759" s="666"/>
      <c r="R759" s="686"/>
      <c r="S759" s="686"/>
      <c r="T759" s="688"/>
      <c r="U759" s="688"/>
      <c r="V759" s="686"/>
      <c r="W759" s="686"/>
      <c r="X759" s="686"/>
      <c r="Y759" s="686"/>
      <c r="Z759" s="686"/>
      <c r="AA759" s="669"/>
      <c r="AB759" s="695"/>
      <c r="AC759" s="669"/>
    </row>
    <row r="760" ht="18.0" customHeight="1">
      <c r="A760" s="695"/>
      <c r="B760" s="695"/>
      <c r="C760" s="695"/>
      <c r="D760" s="695"/>
      <c r="E760" s="695"/>
      <c r="F760" s="686"/>
      <c r="G760" s="695"/>
      <c r="H760" s="695"/>
      <c r="I760" s="695"/>
      <c r="J760" s="731"/>
      <c r="K760" s="695"/>
      <c r="L760" s="686"/>
      <c r="M760" s="686"/>
      <c r="N760" s="686"/>
      <c r="O760" s="686"/>
      <c r="P760" s="686"/>
      <c r="Q760" s="666"/>
      <c r="R760" s="686"/>
      <c r="S760" s="686"/>
      <c r="T760" s="688"/>
      <c r="U760" s="688"/>
      <c r="V760" s="686"/>
      <c r="W760" s="686"/>
      <c r="X760" s="686"/>
      <c r="Y760" s="686"/>
      <c r="Z760" s="686"/>
      <c r="AA760" s="669"/>
      <c r="AB760" s="695"/>
      <c r="AC760" s="669"/>
    </row>
    <row r="761" ht="18.0" customHeight="1">
      <c r="A761" s="695"/>
      <c r="B761" s="695"/>
      <c r="C761" s="695"/>
      <c r="D761" s="695"/>
      <c r="E761" s="695"/>
      <c r="F761" s="686"/>
      <c r="G761" s="695"/>
      <c r="H761" s="695"/>
      <c r="I761" s="695"/>
      <c r="J761" s="731"/>
      <c r="K761" s="695"/>
      <c r="L761" s="686"/>
      <c r="M761" s="686"/>
      <c r="N761" s="686"/>
      <c r="O761" s="686"/>
      <c r="P761" s="686"/>
      <c r="Q761" s="666"/>
      <c r="R761" s="686"/>
      <c r="S761" s="686"/>
      <c r="T761" s="688"/>
      <c r="U761" s="688"/>
      <c r="V761" s="686"/>
      <c r="W761" s="686"/>
      <c r="X761" s="686"/>
      <c r="Y761" s="686"/>
      <c r="Z761" s="686"/>
      <c r="AA761" s="669"/>
      <c r="AB761" s="695"/>
      <c r="AC761" s="669"/>
    </row>
    <row r="762" ht="18.0" customHeight="1">
      <c r="A762" s="695"/>
      <c r="B762" s="695"/>
      <c r="C762" s="695"/>
      <c r="D762" s="695"/>
      <c r="E762" s="695"/>
      <c r="F762" s="686"/>
      <c r="G762" s="695"/>
      <c r="H762" s="695"/>
      <c r="I762" s="695"/>
      <c r="J762" s="731"/>
      <c r="K762" s="695"/>
      <c r="L762" s="686"/>
      <c r="M762" s="686"/>
      <c r="N762" s="686"/>
      <c r="O762" s="686"/>
      <c r="P762" s="686"/>
      <c r="Q762" s="666"/>
      <c r="R762" s="686"/>
      <c r="S762" s="686"/>
      <c r="T762" s="688"/>
      <c r="U762" s="688"/>
      <c r="V762" s="686"/>
      <c r="W762" s="686"/>
      <c r="X762" s="686"/>
      <c r="Y762" s="686"/>
      <c r="Z762" s="686"/>
      <c r="AA762" s="669"/>
      <c r="AB762" s="695"/>
      <c r="AC762" s="669"/>
    </row>
    <row r="763" ht="18.0" customHeight="1">
      <c r="A763" s="695"/>
      <c r="B763" s="695"/>
      <c r="C763" s="695"/>
      <c r="D763" s="695"/>
      <c r="E763" s="695"/>
      <c r="F763" s="686"/>
      <c r="G763" s="695"/>
      <c r="H763" s="695"/>
      <c r="I763" s="695"/>
      <c r="J763" s="731"/>
      <c r="K763" s="695"/>
      <c r="L763" s="686"/>
      <c r="M763" s="686"/>
      <c r="N763" s="686"/>
      <c r="O763" s="686"/>
      <c r="P763" s="686"/>
      <c r="Q763" s="666"/>
      <c r="R763" s="686"/>
      <c r="S763" s="686"/>
      <c r="T763" s="688"/>
      <c r="U763" s="688"/>
      <c r="V763" s="686"/>
      <c r="W763" s="686"/>
      <c r="X763" s="686"/>
      <c r="Y763" s="686"/>
      <c r="Z763" s="686"/>
      <c r="AA763" s="669"/>
      <c r="AB763" s="695"/>
      <c r="AC763" s="669"/>
    </row>
    <row r="764" ht="18.0" customHeight="1">
      <c r="A764" s="695"/>
      <c r="B764" s="695"/>
      <c r="C764" s="695"/>
      <c r="D764" s="695"/>
      <c r="E764" s="695"/>
      <c r="F764" s="686"/>
      <c r="G764" s="695"/>
      <c r="H764" s="695"/>
      <c r="I764" s="695"/>
      <c r="J764" s="731"/>
      <c r="K764" s="695"/>
      <c r="L764" s="686"/>
      <c r="M764" s="686"/>
      <c r="N764" s="686"/>
      <c r="O764" s="686"/>
      <c r="P764" s="686"/>
      <c r="Q764" s="666"/>
      <c r="R764" s="686"/>
      <c r="S764" s="686"/>
      <c r="T764" s="688"/>
      <c r="U764" s="688"/>
      <c r="V764" s="686"/>
      <c r="W764" s="686"/>
      <c r="X764" s="686"/>
      <c r="Y764" s="686"/>
      <c r="Z764" s="686"/>
      <c r="AA764" s="669"/>
      <c r="AB764" s="695"/>
      <c r="AC764" s="669"/>
    </row>
    <row r="765" ht="18.0" customHeight="1">
      <c r="A765" s="695"/>
      <c r="B765" s="695"/>
      <c r="C765" s="695"/>
      <c r="D765" s="695"/>
      <c r="E765" s="695"/>
      <c r="F765" s="686"/>
      <c r="G765" s="695"/>
      <c r="H765" s="695"/>
      <c r="I765" s="695"/>
      <c r="J765" s="731"/>
      <c r="K765" s="695"/>
      <c r="L765" s="686"/>
      <c r="M765" s="686"/>
      <c r="N765" s="686"/>
      <c r="O765" s="686"/>
      <c r="P765" s="686"/>
      <c r="Q765" s="666"/>
      <c r="R765" s="686"/>
      <c r="S765" s="686"/>
      <c r="T765" s="688"/>
      <c r="U765" s="688"/>
      <c r="V765" s="686"/>
      <c r="W765" s="686"/>
      <c r="X765" s="686"/>
      <c r="Y765" s="686"/>
      <c r="Z765" s="686"/>
      <c r="AA765" s="669"/>
      <c r="AB765" s="695"/>
      <c r="AC765" s="669"/>
    </row>
    <row r="766" ht="18.0" customHeight="1">
      <c r="A766" s="695"/>
      <c r="B766" s="695"/>
      <c r="C766" s="695"/>
      <c r="D766" s="695"/>
      <c r="E766" s="695"/>
      <c r="F766" s="686"/>
      <c r="G766" s="695"/>
      <c r="H766" s="695"/>
      <c r="I766" s="695"/>
      <c r="J766" s="731"/>
      <c r="K766" s="695"/>
      <c r="L766" s="686"/>
      <c r="M766" s="686"/>
      <c r="N766" s="686"/>
      <c r="O766" s="686"/>
      <c r="P766" s="686"/>
      <c r="Q766" s="666"/>
      <c r="R766" s="686"/>
      <c r="S766" s="686"/>
      <c r="T766" s="688"/>
      <c r="U766" s="688"/>
      <c r="V766" s="686"/>
      <c r="W766" s="686"/>
      <c r="X766" s="686"/>
      <c r="Y766" s="686"/>
      <c r="Z766" s="686"/>
      <c r="AA766" s="669"/>
      <c r="AB766" s="695"/>
      <c r="AC766" s="669"/>
    </row>
    <row r="767" ht="18.0" customHeight="1">
      <c r="A767" s="695"/>
      <c r="B767" s="695"/>
      <c r="C767" s="695"/>
      <c r="D767" s="695"/>
      <c r="E767" s="695"/>
      <c r="F767" s="686"/>
      <c r="G767" s="695"/>
      <c r="H767" s="695"/>
      <c r="I767" s="695"/>
      <c r="J767" s="731"/>
      <c r="K767" s="695"/>
      <c r="L767" s="686"/>
      <c r="M767" s="686"/>
      <c r="N767" s="686"/>
      <c r="O767" s="686"/>
      <c r="P767" s="686"/>
      <c r="Q767" s="666"/>
      <c r="R767" s="686"/>
      <c r="S767" s="686"/>
      <c r="T767" s="688"/>
      <c r="U767" s="688"/>
      <c r="V767" s="686"/>
      <c r="W767" s="686"/>
      <c r="X767" s="686"/>
      <c r="Y767" s="686"/>
      <c r="Z767" s="686"/>
      <c r="AA767" s="669"/>
      <c r="AB767" s="695"/>
      <c r="AC767" s="669"/>
    </row>
    <row r="768" ht="18.0" customHeight="1">
      <c r="A768" s="695"/>
      <c r="B768" s="695"/>
      <c r="C768" s="695"/>
      <c r="D768" s="695"/>
      <c r="E768" s="695"/>
      <c r="F768" s="686"/>
      <c r="G768" s="695"/>
      <c r="H768" s="695"/>
      <c r="I768" s="695"/>
      <c r="J768" s="731"/>
      <c r="K768" s="695"/>
      <c r="L768" s="686"/>
      <c r="M768" s="686"/>
      <c r="N768" s="686"/>
      <c r="O768" s="686"/>
      <c r="P768" s="686"/>
      <c r="Q768" s="666"/>
      <c r="R768" s="686"/>
      <c r="S768" s="686"/>
      <c r="T768" s="688"/>
      <c r="U768" s="688"/>
      <c r="V768" s="686"/>
      <c r="W768" s="686"/>
      <c r="X768" s="686"/>
      <c r="Y768" s="686"/>
      <c r="Z768" s="686"/>
      <c r="AA768" s="669"/>
      <c r="AB768" s="695"/>
      <c r="AC768" s="669"/>
    </row>
    <row r="769" ht="18.0" customHeight="1">
      <c r="A769" s="695"/>
      <c r="B769" s="695"/>
      <c r="C769" s="695"/>
      <c r="D769" s="695"/>
      <c r="E769" s="695"/>
      <c r="F769" s="686"/>
      <c r="G769" s="695"/>
      <c r="H769" s="695"/>
      <c r="I769" s="695"/>
      <c r="J769" s="731"/>
      <c r="K769" s="695"/>
      <c r="L769" s="686"/>
      <c r="M769" s="686"/>
      <c r="N769" s="686"/>
      <c r="O769" s="686"/>
      <c r="P769" s="686"/>
      <c r="Q769" s="666"/>
      <c r="R769" s="686"/>
      <c r="S769" s="686"/>
      <c r="T769" s="688"/>
      <c r="U769" s="688"/>
      <c r="V769" s="686"/>
      <c r="W769" s="686"/>
      <c r="X769" s="686"/>
      <c r="Y769" s="686"/>
      <c r="Z769" s="686"/>
      <c r="AA769" s="669"/>
      <c r="AB769" s="695"/>
      <c r="AC769" s="669"/>
    </row>
    <row r="770" ht="18.0" customHeight="1">
      <c r="A770" s="695"/>
      <c r="B770" s="695"/>
      <c r="C770" s="695"/>
      <c r="D770" s="695"/>
      <c r="E770" s="695"/>
      <c r="F770" s="686"/>
      <c r="G770" s="695"/>
      <c r="H770" s="695"/>
      <c r="I770" s="695"/>
      <c r="J770" s="731"/>
      <c r="K770" s="695"/>
      <c r="L770" s="686"/>
      <c r="M770" s="686"/>
      <c r="N770" s="686"/>
      <c r="O770" s="686"/>
      <c r="P770" s="686"/>
      <c r="Q770" s="666"/>
      <c r="R770" s="686"/>
      <c r="S770" s="686"/>
      <c r="T770" s="688"/>
      <c r="U770" s="688"/>
      <c r="V770" s="686"/>
      <c r="W770" s="686"/>
      <c r="X770" s="686"/>
      <c r="Y770" s="686"/>
      <c r="Z770" s="686"/>
      <c r="AA770" s="669"/>
      <c r="AB770" s="695"/>
      <c r="AC770" s="669"/>
    </row>
    <row r="771" ht="18.0" customHeight="1">
      <c r="A771" s="695"/>
      <c r="B771" s="695"/>
      <c r="C771" s="695"/>
      <c r="D771" s="695"/>
      <c r="E771" s="695"/>
      <c r="F771" s="686"/>
      <c r="G771" s="695"/>
      <c r="H771" s="695"/>
      <c r="I771" s="695"/>
      <c r="J771" s="731"/>
      <c r="K771" s="695"/>
      <c r="L771" s="686"/>
      <c r="M771" s="686"/>
      <c r="N771" s="686"/>
      <c r="O771" s="686"/>
      <c r="P771" s="686"/>
      <c r="Q771" s="666"/>
      <c r="R771" s="686"/>
      <c r="S771" s="686"/>
      <c r="T771" s="688"/>
      <c r="U771" s="688"/>
      <c r="V771" s="686"/>
      <c r="W771" s="686"/>
      <c r="X771" s="686"/>
      <c r="Y771" s="686"/>
      <c r="Z771" s="686"/>
      <c r="AA771" s="669"/>
      <c r="AB771" s="695"/>
      <c r="AC771" s="669"/>
    </row>
    <row r="772" ht="18.0" customHeight="1">
      <c r="A772" s="695"/>
      <c r="B772" s="695"/>
      <c r="C772" s="695"/>
      <c r="D772" s="695"/>
      <c r="E772" s="695"/>
      <c r="F772" s="686"/>
      <c r="G772" s="695"/>
      <c r="H772" s="695"/>
      <c r="I772" s="695"/>
      <c r="J772" s="731"/>
      <c r="K772" s="695"/>
      <c r="L772" s="686"/>
      <c r="M772" s="686"/>
      <c r="N772" s="686"/>
      <c r="O772" s="686"/>
      <c r="P772" s="686"/>
      <c r="Q772" s="666"/>
      <c r="R772" s="686"/>
      <c r="S772" s="686"/>
      <c r="T772" s="688"/>
      <c r="U772" s="688"/>
      <c r="V772" s="686"/>
      <c r="W772" s="686"/>
      <c r="X772" s="686"/>
      <c r="Y772" s="686"/>
      <c r="Z772" s="686"/>
      <c r="AA772" s="669"/>
      <c r="AB772" s="695"/>
      <c r="AC772" s="669"/>
    </row>
    <row r="773" ht="18.0" customHeight="1">
      <c r="A773" s="695"/>
      <c r="B773" s="695"/>
      <c r="C773" s="695"/>
      <c r="D773" s="695"/>
      <c r="E773" s="695"/>
      <c r="F773" s="686"/>
      <c r="G773" s="695"/>
      <c r="H773" s="695"/>
      <c r="I773" s="695"/>
      <c r="J773" s="731"/>
      <c r="K773" s="695"/>
      <c r="L773" s="686"/>
      <c r="M773" s="686"/>
      <c r="N773" s="686"/>
      <c r="O773" s="686"/>
      <c r="P773" s="686"/>
      <c r="Q773" s="666"/>
      <c r="R773" s="686"/>
      <c r="S773" s="686"/>
      <c r="T773" s="688"/>
      <c r="U773" s="688"/>
      <c r="V773" s="686"/>
      <c r="W773" s="686"/>
      <c r="X773" s="686"/>
      <c r="Y773" s="686"/>
      <c r="Z773" s="686"/>
      <c r="AA773" s="669"/>
      <c r="AB773" s="695"/>
      <c r="AC773" s="669"/>
    </row>
    <row r="774" ht="18.0" customHeight="1">
      <c r="A774" s="695"/>
      <c r="B774" s="695"/>
      <c r="C774" s="695"/>
      <c r="D774" s="695"/>
      <c r="E774" s="695"/>
      <c r="F774" s="686"/>
      <c r="G774" s="695"/>
      <c r="H774" s="695"/>
      <c r="I774" s="695"/>
      <c r="J774" s="731"/>
      <c r="K774" s="695"/>
      <c r="L774" s="686"/>
      <c r="M774" s="686"/>
      <c r="N774" s="686"/>
      <c r="O774" s="686"/>
      <c r="P774" s="686"/>
      <c r="Q774" s="666"/>
      <c r="R774" s="686"/>
      <c r="S774" s="686"/>
      <c r="T774" s="688"/>
      <c r="U774" s="688"/>
      <c r="V774" s="686"/>
      <c r="W774" s="686"/>
      <c r="X774" s="686"/>
      <c r="Y774" s="686"/>
      <c r="Z774" s="686"/>
      <c r="AA774" s="669"/>
      <c r="AB774" s="695"/>
      <c r="AC774" s="669"/>
    </row>
    <row r="775" ht="18.0" customHeight="1">
      <c r="A775" s="695"/>
      <c r="B775" s="695"/>
      <c r="C775" s="695"/>
      <c r="D775" s="695"/>
      <c r="E775" s="695"/>
      <c r="F775" s="686"/>
      <c r="G775" s="695"/>
      <c r="H775" s="695"/>
      <c r="I775" s="695"/>
      <c r="J775" s="731"/>
      <c r="K775" s="695"/>
      <c r="L775" s="686"/>
      <c r="M775" s="686"/>
      <c r="N775" s="686"/>
      <c r="O775" s="686"/>
      <c r="P775" s="686"/>
      <c r="Q775" s="666"/>
      <c r="R775" s="686"/>
      <c r="S775" s="686"/>
      <c r="T775" s="688"/>
      <c r="U775" s="688"/>
      <c r="V775" s="686"/>
      <c r="W775" s="686"/>
      <c r="X775" s="686"/>
      <c r="Y775" s="686"/>
      <c r="Z775" s="686"/>
      <c r="AA775" s="669"/>
      <c r="AB775" s="695"/>
      <c r="AC775" s="669"/>
    </row>
    <row r="776" ht="18.0" customHeight="1">
      <c r="A776" s="695"/>
      <c r="B776" s="695"/>
      <c r="C776" s="695"/>
      <c r="D776" s="695"/>
      <c r="E776" s="695"/>
      <c r="F776" s="686"/>
      <c r="G776" s="695"/>
      <c r="H776" s="695"/>
      <c r="I776" s="695"/>
      <c r="J776" s="731"/>
      <c r="K776" s="695"/>
      <c r="L776" s="686"/>
      <c r="M776" s="686"/>
      <c r="N776" s="686"/>
      <c r="O776" s="686"/>
      <c r="P776" s="686"/>
      <c r="Q776" s="666"/>
      <c r="R776" s="686"/>
      <c r="S776" s="686"/>
      <c r="T776" s="688"/>
      <c r="U776" s="688"/>
      <c r="V776" s="686"/>
      <c r="W776" s="686"/>
      <c r="X776" s="686"/>
      <c r="Y776" s="686"/>
      <c r="Z776" s="686"/>
      <c r="AA776" s="669"/>
      <c r="AB776" s="695"/>
      <c r="AC776" s="669"/>
    </row>
    <row r="777" ht="18.0" customHeight="1">
      <c r="A777" s="695"/>
      <c r="B777" s="695"/>
      <c r="C777" s="695"/>
      <c r="D777" s="695"/>
      <c r="E777" s="695"/>
      <c r="F777" s="686"/>
      <c r="G777" s="695"/>
      <c r="H777" s="695"/>
      <c r="I777" s="695"/>
      <c r="J777" s="731"/>
      <c r="K777" s="695"/>
      <c r="L777" s="686"/>
      <c r="M777" s="686"/>
      <c r="N777" s="686"/>
      <c r="O777" s="686"/>
      <c r="P777" s="686"/>
      <c r="Q777" s="666"/>
      <c r="R777" s="686"/>
      <c r="S777" s="686"/>
      <c r="T777" s="688"/>
      <c r="U777" s="688"/>
      <c r="V777" s="686"/>
      <c r="W777" s="686"/>
      <c r="X777" s="686"/>
      <c r="Y777" s="686"/>
      <c r="Z777" s="686"/>
      <c r="AA777" s="669"/>
      <c r="AB777" s="695"/>
      <c r="AC777" s="669"/>
    </row>
    <row r="778" ht="18.0" customHeight="1">
      <c r="A778" s="695"/>
      <c r="B778" s="695"/>
      <c r="C778" s="695"/>
      <c r="D778" s="695"/>
      <c r="E778" s="695"/>
      <c r="F778" s="686"/>
      <c r="G778" s="695"/>
      <c r="H778" s="695"/>
      <c r="I778" s="695"/>
      <c r="J778" s="731"/>
      <c r="K778" s="695"/>
      <c r="L778" s="686"/>
      <c r="M778" s="686"/>
      <c r="N778" s="686"/>
      <c r="O778" s="686"/>
      <c r="P778" s="686"/>
      <c r="Q778" s="666"/>
      <c r="R778" s="686"/>
      <c r="S778" s="686"/>
      <c r="T778" s="688"/>
      <c r="U778" s="688"/>
      <c r="V778" s="686"/>
      <c r="W778" s="686"/>
      <c r="X778" s="686"/>
      <c r="Y778" s="686"/>
      <c r="Z778" s="686"/>
      <c r="AA778" s="669"/>
      <c r="AB778" s="695"/>
      <c r="AC778" s="669"/>
    </row>
    <row r="779" ht="18.0" customHeight="1">
      <c r="A779" s="695"/>
      <c r="B779" s="695"/>
      <c r="C779" s="695"/>
      <c r="D779" s="695"/>
      <c r="E779" s="695"/>
      <c r="F779" s="686"/>
      <c r="G779" s="695"/>
      <c r="H779" s="695"/>
      <c r="I779" s="695"/>
      <c r="J779" s="731"/>
      <c r="K779" s="695"/>
      <c r="L779" s="686"/>
      <c r="M779" s="686"/>
      <c r="N779" s="686"/>
      <c r="O779" s="686"/>
      <c r="P779" s="686"/>
      <c r="Q779" s="666"/>
      <c r="R779" s="686"/>
      <c r="S779" s="686"/>
      <c r="T779" s="688"/>
      <c r="U779" s="688"/>
      <c r="V779" s="686"/>
      <c r="W779" s="686"/>
      <c r="X779" s="686"/>
      <c r="Y779" s="686"/>
      <c r="Z779" s="686"/>
      <c r="AA779" s="669"/>
      <c r="AB779" s="695"/>
      <c r="AC779" s="669"/>
    </row>
    <row r="780" ht="18.0" customHeight="1">
      <c r="A780" s="695"/>
      <c r="B780" s="695"/>
      <c r="C780" s="695"/>
      <c r="D780" s="695"/>
      <c r="E780" s="695"/>
      <c r="F780" s="686"/>
      <c r="G780" s="695"/>
      <c r="H780" s="695"/>
      <c r="I780" s="695"/>
      <c r="J780" s="731"/>
      <c r="K780" s="695"/>
      <c r="L780" s="686"/>
      <c r="M780" s="686"/>
      <c r="N780" s="686"/>
      <c r="O780" s="686"/>
      <c r="P780" s="686"/>
      <c r="Q780" s="666"/>
      <c r="R780" s="686"/>
      <c r="S780" s="686"/>
      <c r="T780" s="688"/>
      <c r="U780" s="688"/>
      <c r="V780" s="686"/>
      <c r="W780" s="686"/>
      <c r="X780" s="686"/>
      <c r="Y780" s="686"/>
      <c r="Z780" s="686"/>
      <c r="AA780" s="669"/>
      <c r="AB780" s="695"/>
      <c r="AC780" s="669"/>
    </row>
    <row r="781" ht="18.0" customHeight="1">
      <c r="A781" s="695"/>
      <c r="B781" s="695"/>
      <c r="C781" s="695"/>
      <c r="D781" s="695"/>
      <c r="E781" s="695"/>
      <c r="F781" s="686"/>
      <c r="G781" s="695"/>
      <c r="H781" s="695"/>
      <c r="I781" s="695"/>
      <c r="J781" s="731"/>
      <c r="K781" s="695"/>
      <c r="L781" s="686"/>
      <c r="M781" s="686"/>
      <c r="N781" s="686"/>
      <c r="O781" s="686"/>
      <c r="P781" s="686"/>
      <c r="Q781" s="666"/>
      <c r="R781" s="686"/>
      <c r="S781" s="686"/>
      <c r="T781" s="688"/>
      <c r="U781" s="688"/>
      <c r="V781" s="686"/>
      <c r="W781" s="686"/>
      <c r="X781" s="686"/>
      <c r="Y781" s="686"/>
      <c r="Z781" s="686"/>
      <c r="AA781" s="669"/>
      <c r="AB781" s="695"/>
      <c r="AC781" s="669"/>
    </row>
    <row r="782" ht="18.0" customHeight="1">
      <c r="A782" s="695"/>
      <c r="B782" s="695"/>
      <c r="C782" s="695"/>
      <c r="D782" s="695"/>
      <c r="E782" s="695"/>
      <c r="F782" s="686"/>
      <c r="G782" s="695"/>
      <c r="H782" s="695"/>
      <c r="I782" s="695"/>
      <c r="J782" s="731"/>
      <c r="K782" s="695"/>
      <c r="L782" s="686"/>
      <c r="M782" s="686"/>
      <c r="N782" s="686"/>
      <c r="O782" s="686"/>
      <c r="P782" s="686"/>
      <c r="Q782" s="666"/>
      <c r="R782" s="686"/>
      <c r="S782" s="686"/>
      <c r="T782" s="688"/>
      <c r="U782" s="688"/>
      <c r="V782" s="686"/>
      <c r="W782" s="686"/>
      <c r="X782" s="686"/>
      <c r="Y782" s="686"/>
      <c r="Z782" s="686"/>
      <c r="AA782" s="669"/>
      <c r="AB782" s="695"/>
      <c r="AC782" s="669"/>
    </row>
    <row r="783" ht="18.0" customHeight="1">
      <c r="A783" s="695"/>
      <c r="B783" s="695"/>
      <c r="C783" s="695"/>
      <c r="D783" s="695"/>
      <c r="E783" s="695"/>
      <c r="F783" s="686"/>
      <c r="G783" s="695"/>
      <c r="H783" s="695"/>
      <c r="I783" s="695"/>
      <c r="J783" s="731"/>
      <c r="K783" s="695"/>
      <c r="L783" s="686"/>
      <c r="M783" s="686"/>
      <c r="N783" s="686"/>
      <c r="O783" s="686"/>
      <c r="P783" s="686"/>
      <c r="Q783" s="666"/>
      <c r="R783" s="686"/>
      <c r="S783" s="686"/>
      <c r="T783" s="688"/>
      <c r="U783" s="688"/>
      <c r="V783" s="686"/>
      <c r="W783" s="686"/>
      <c r="X783" s="686"/>
      <c r="Y783" s="686"/>
      <c r="Z783" s="686"/>
      <c r="AA783" s="669"/>
      <c r="AB783" s="695"/>
      <c r="AC783" s="669"/>
    </row>
    <row r="784" ht="18.0" customHeight="1">
      <c r="A784" s="695"/>
      <c r="B784" s="695"/>
      <c r="C784" s="695"/>
      <c r="D784" s="695"/>
      <c r="E784" s="695"/>
      <c r="F784" s="686"/>
      <c r="G784" s="695"/>
      <c r="H784" s="695"/>
      <c r="I784" s="695"/>
      <c r="J784" s="731"/>
      <c r="K784" s="695"/>
      <c r="L784" s="686"/>
      <c r="M784" s="686"/>
      <c r="N784" s="686"/>
      <c r="O784" s="686"/>
      <c r="P784" s="686"/>
      <c r="Q784" s="666"/>
      <c r="R784" s="686"/>
      <c r="S784" s="686"/>
      <c r="T784" s="688"/>
      <c r="U784" s="688"/>
      <c r="V784" s="686"/>
      <c r="W784" s="686"/>
      <c r="X784" s="686"/>
      <c r="Y784" s="686"/>
      <c r="Z784" s="686"/>
      <c r="AA784" s="669"/>
      <c r="AB784" s="695"/>
      <c r="AC784" s="669"/>
    </row>
    <row r="785" ht="18.0" customHeight="1">
      <c r="A785" s="695"/>
      <c r="B785" s="695"/>
      <c r="C785" s="695"/>
      <c r="D785" s="695"/>
      <c r="E785" s="695"/>
      <c r="F785" s="686"/>
      <c r="G785" s="695"/>
      <c r="H785" s="695"/>
      <c r="I785" s="695"/>
      <c r="J785" s="731"/>
      <c r="K785" s="695"/>
      <c r="L785" s="686"/>
      <c r="M785" s="686"/>
      <c r="N785" s="686"/>
      <c r="O785" s="686"/>
      <c r="P785" s="686"/>
      <c r="Q785" s="666"/>
      <c r="R785" s="686"/>
      <c r="S785" s="686"/>
      <c r="T785" s="688"/>
      <c r="U785" s="688"/>
      <c r="V785" s="686"/>
      <c r="W785" s="686"/>
      <c r="X785" s="686"/>
      <c r="Y785" s="686"/>
      <c r="Z785" s="686"/>
      <c r="AA785" s="669"/>
      <c r="AB785" s="695"/>
      <c r="AC785" s="669"/>
    </row>
    <row r="786" ht="18.0" customHeight="1">
      <c r="A786" s="695"/>
      <c r="B786" s="695"/>
      <c r="C786" s="695"/>
      <c r="D786" s="695"/>
      <c r="E786" s="695"/>
      <c r="F786" s="686"/>
      <c r="G786" s="695"/>
      <c r="H786" s="695"/>
      <c r="I786" s="695"/>
      <c r="J786" s="731"/>
      <c r="K786" s="695"/>
      <c r="L786" s="686"/>
      <c r="M786" s="686"/>
      <c r="N786" s="686"/>
      <c r="O786" s="686"/>
      <c r="P786" s="686"/>
      <c r="Q786" s="666"/>
      <c r="R786" s="686"/>
      <c r="S786" s="686"/>
      <c r="T786" s="688"/>
      <c r="U786" s="688"/>
      <c r="V786" s="686"/>
      <c r="W786" s="686"/>
      <c r="X786" s="686"/>
      <c r="Y786" s="686"/>
      <c r="Z786" s="686"/>
      <c r="AA786" s="669"/>
      <c r="AB786" s="695"/>
      <c r="AC786" s="669"/>
    </row>
    <row r="787" ht="18.0" customHeight="1">
      <c r="A787" s="695"/>
      <c r="B787" s="695"/>
      <c r="C787" s="695"/>
      <c r="D787" s="695"/>
      <c r="E787" s="695"/>
      <c r="F787" s="686"/>
      <c r="G787" s="695"/>
      <c r="H787" s="695"/>
      <c r="I787" s="695"/>
      <c r="J787" s="731"/>
      <c r="K787" s="695"/>
      <c r="L787" s="686"/>
      <c r="M787" s="686"/>
      <c r="N787" s="686"/>
      <c r="O787" s="686"/>
      <c r="P787" s="686"/>
      <c r="Q787" s="666"/>
      <c r="R787" s="686"/>
      <c r="S787" s="686"/>
      <c r="T787" s="688"/>
      <c r="U787" s="688"/>
      <c r="V787" s="686"/>
      <c r="W787" s="686"/>
      <c r="X787" s="686"/>
      <c r="Y787" s="686"/>
      <c r="Z787" s="686"/>
      <c r="AA787" s="669"/>
      <c r="AB787" s="695"/>
      <c r="AC787" s="669"/>
    </row>
    <row r="788" ht="18.0" customHeight="1">
      <c r="A788" s="695"/>
      <c r="B788" s="695"/>
      <c r="C788" s="695"/>
      <c r="D788" s="695"/>
      <c r="E788" s="695"/>
      <c r="F788" s="686"/>
      <c r="G788" s="695"/>
      <c r="H788" s="695"/>
      <c r="I788" s="695"/>
      <c r="J788" s="731"/>
      <c r="K788" s="695"/>
      <c r="L788" s="686"/>
      <c r="M788" s="686"/>
      <c r="N788" s="686"/>
      <c r="O788" s="686"/>
      <c r="P788" s="686"/>
      <c r="Q788" s="666"/>
      <c r="R788" s="686"/>
      <c r="S788" s="686"/>
      <c r="T788" s="688"/>
      <c r="U788" s="688"/>
      <c r="V788" s="686"/>
      <c r="W788" s="686"/>
      <c r="X788" s="686"/>
      <c r="Y788" s="686"/>
      <c r="Z788" s="686"/>
      <c r="AA788" s="669"/>
      <c r="AB788" s="695"/>
      <c r="AC788" s="669"/>
    </row>
    <row r="789" ht="18.0" customHeight="1">
      <c r="A789" s="695"/>
      <c r="B789" s="695"/>
      <c r="C789" s="695"/>
      <c r="D789" s="695"/>
      <c r="E789" s="695"/>
      <c r="F789" s="686"/>
      <c r="G789" s="695"/>
      <c r="H789" s="695"/>
      <c r="I789" s="695"/>
      <c r="J789" s="731"/>
      <c r="K789" s="695"/>
      <c r="L789" s="686"/>
      <c r="M789" s="686"/>
      <c r="N789" s="686"/>
      <c r="O789" s="686"/>
      <c r="P789" s="686"/>
      <c r="Q789" s="666"/>
      <c r="R789" s="686"/>
      <c r="S789" s="686"/>
      <c r="T789" s="688"/>
      <c r="U789" s="688"/>
      <c r="V789" s="686"/>
      <c r="W789" s="686"/>
      <c r="X789" s="686"/>
      <c r="Y789" s="686"/>
      <c r="Z789" s="686"/>
      <c r="AA789" s="669"/>
      <c r="AB789" s="695"/>
      <c r="AC789" s="669"/>
    </row>
    <row r="790" ht="18.0" customHeight="1">
      <c r="A790" s="695"/>
      <c r="B790" s="695"/>
      <c r="C790" s="695"/>
      <c r="D790" s="695"/>
      <c r="E790" s="695"/>
      <c r="F790" s="686"/>
      <c r="G790" s="695"/>
      <c r="H790" s="695"/>
      <c r="I790" s="695"/>
      <c r="J790" s="731"/>
      <c r="K790" s="695"/>
      <c r="L790" s="686"/>
      <c r="M790" s="686"/>
      <c r="N790" s="686"/>
      <c r="O790" s="686"/>
      <c r="P790" s="686"/>
      <c r="Q790" s="666"/>
      <c r="R790" s="686"/>
      <c r="S790" s="686"/>
      <c r="T790" s="688"/>
      <c r="U790" s="688"/>
      <c r="V790" s="686"/>
      <c r="W790" s="686"/>
      <c r="X790" s="686"/>
      <c r="Y790" s="686"/>
      <c r="Z790" s="686"/>
      <c r="AA790" s="669"/>
      <c r="AB790" s="695"/>
      <c r="AC790" s="669"/>
    </row>
    <row r="791" ht="18.0" customHeight="1">
      <c r="A791" s="695"/>
      <c r="B791" s="695"/>
      <c r="C791" s="695"/>
      <c r="D791" s="695"/>
      <c r="E791" s="695"/>
      <c r="F791" s="686"/>
      <c r="G791" s="695"/>
      <c r="H791" s="695"/>
      <c r="I791" s="695"/>
      <c r="J791" s="731"/>
      <c r="K791" s="695"/>
      <c r="L791" s="686"/>
      <c r="M791" s="686"/>
      <c r="N791" s="686"/>
      <c r="O791" s="686"/>
      <c r="P791" s="686"/>
      <c r="Q791" s="666"/>
      <c r="R791" s="686"/>
      <c r="S791" s="686"/>
      <c r="T791" s="688"/>
      <c r="U791" s="688"/>
      <c r="V791" s="686"/>
      <c r="W791" s="686"/>
      <c r="X791" s="686"/>
      <c r="Y791" s="686"/>
      <c r="Z791" s="686"/>
      <c r="AA791" s="669"/>
      <c r="AB791" s="695"/>
      <c r="AC791" s="669"/>
    </row>
    <row r="792" ht="18.0" customHeight="1">
      <c r="A792" s="695"/>
      <c r="B792" s="695"/>
      <c r="C792" s="695"/>
      <c r="D792" s="695"/>
      <c r="E792" s="695"/>
      <c r="F792" s="686"/>
      <c r="G792" s="695"/>
      <c r="H792" s="695"/>
      <c r="I792" s="695"/>
      <c r="J792" s="731"/>
      <c r="K792" s="695"/>
      <c r="L792" s="686"/>
      <c r="M792" s="686"/>
      <c r="N792" s="686"/>
      <c r="O792" s="686"/>
      <c r="P792" s="686"/>
      <c r="Q792" s="666"/>
      <c r="R792" s="686"/>
      <c r="S792" s="686"/>
      <c r="T792" s="688"/>
      <c r="U792" s="688"/>
      <c r="V792" s="686"/>
      <c r="W792" s="686"/>
      <c r="X792" s="686"/>
      <c r="Y792" s="686"/>
      <c r="Z792" s="686"/>
      <c r="AA792" s="669"/>
      <c r="AB792" s="695"/>
      <c r="AC792" s="669"/>
    </row>
    <row r="793" ht="18.0" customHeight="1">
      <c r="A793" s="695"/>
      <c r="B793" s="695"/>
      <c r="C793" s="695"/>
      <c r="D793" s="695"/>
      <c r="E793" s="695"/>
      <c r="F793" s="686"/>
      <c r="G793" s="695"/>
      <c r="H793" s="695"/>
      <c r="I793" s="695"/>
      <c r="J793" s="731"/>
      <c r="K793" s="695"/>
      <c r="L793" s="686"/>
      <c r="M793" s="686"/>
      <c r="N793" s="686"/>
      <c r="O793" s="686"/>
      <c r="P793" s="686"/>
      <c r="Q793" s="666"/>
      <c r="R793" s="686"/>
      <c r="S793" s="686"/>
      <c r="T793" s="688"/>
      <c r="U793" s="688"/>
      <c r="V793" s="686"/>
      <c r="W793" s="686"/>
      <c r="X793" s="686"/>
      <c r="Y793" s="686"/>
      <c r="Z793" s="686"/>
      <c r="AA793" s="669"/>
      <c r="AB793" s="695"/>
      <c r="AC793" s="669"/>
    </row>
    <row r="794" ht="18.0" customHeight="1">
      <c r="A794" s="695"/>
      <c r="B794" s="695"/>
      <c r="C794" s="695"/>
      <c r="D794" s="695"/>
      <c r="E794" s="695"/>
      <c r="F794" s="686"/>
      <c r="G794" s="695"/>
      <c r="H794" s="695"/>
      <c r="I794" s="695"/>
      <c r="J794" s="731"/>
      <c r="K794" s="695"/>
      <c r="L794" s="686"/>
      <c r="M794" s="686"/>
      <c r="N794" s="686"/>
      <c r="O794" s="686"/>
      <c r="P794" s="686"/>
      <c r="Q794" s="666"/>
      <c r="R794" s="686"/>
      <c r="S794" s="686"/>
      <c r="T794" s="688"/>
      <c r="U794" s="688"/>
      <c r="V794" s="686"/>
      <c r="W794" s="686"/>
      <c r="X794" s="686"/>
      <c r="Y794" s="686"/>
      <c r="Z794" s="686"/>
      <c r="AA794" s="669"/>
      <c r="AB794" s="695"/>
      <c r="AC794" s="669"/>
    </row>
    <row r="795" ht="18.0" customHeight="1">
      <c r="A795" s="695"/>
      <c r="B795" s="695"/>
      <c r="C795" s="695"/>
      <c r="D795" s="695"/>
      <c r="E795" s="695"/>
      <c r="F795" s="686"/>
      <c r="G795" s="695"/>
      <c r="H795" s="695"/>
      <c r="I795" s="695"/>
      <c r="J795" s="731"/>
      <c r="K795" s="695"/>
      <c r="L795" s="686"/>
      <c r="M795" s="686"/>
      <c r="N795" s="686"/>
      <c r="O795" s="686"/>
      <c r="P795" s="686"/>
      <c r="Q795" s="666"/>
      <c r="R795" s="686"/>
      <c r="S795" s="686"/>
      <c r="T795" s="688"/>
      <c r="U795" s="688"/>
      <c r="V795" s="686"/>
      <c r="W795" s="686"/>
      <c r="X795" s="686"/>
      <c r="Y795" s="686"/>
      <c r="Z795" s="686"/>
      <c r="AA795" s="669"/>
      <c r="AB795" s="695"/>
      <c r="AC795" s="669"/>
    </row>
    <row r="796" ht="18.0" customHeight="1">
      <c r="A796" s="695"/>
      <c r="B796" s="695"/>
      <c r="C796" s="695"/>
      <c r="D796" s="695"/>
      <c r="E796" s="695"/>
      <c r="F796" s="686"/>
      <c r="G796" s="695"/>
      <c r="H796" s="695"/>
      <c r="I796" s="695"/>
      <c r="J796" s="731"/>
      <c r="K796" s="695"/>
      <c r="L796" s="686"/>
      <c r="M796" s="686"/>
      <c r="N796" s="686"/>
      <c r="O796" s="686"/>
      <c r="P796" s="686"/>
      <c r="Q796" s="666"/>
      <c r="R796" s="686"/>
      <c r="S796" s="686"/>
      <c r="T796" s="688"/>
      <c r="U796" s="688"/>
      <c r="V796" s="686"/>
      <c r="W796" s="686"/>
      <c r="X796" s="686"/>
      <c r="Y796" s="686"/>
      <c r="Z796" s="686"/>
      <c r="AA796" s="669"/>
      <c r="AB796" s="695"/>
      <c r="AC796" s="669"/>
    </row>
    <row r="797" ht="18.0" customHeight="1">
      <c r="A797" s="695"/>
      <c r="B797" s="695"/>
      <c r="C797" s="695"/>
      <c r="D797" s="695"/>
      <c r="E797" s="695"/>
      <c r="F797" s="686"/>
      <c r="G797" s="695"/>
      <c r="H797" s="695"/>
      <c r="I797" s="695"/>
      <c r="J797" s="731"/>
      <c r="K797" s="695"/>
      <c r="L797" s="686"/>
      <c r="M797" s="686"/>
      <c r="N797" s="686"/>
      <c r="O797" s="686"/>
      <c r="P797" s="686"/>
      <c r="Q797" s="666"/>
      <c r="R797" s="686"/>
      <c r="S797" s="686"/>
      <c r="T797" s="688"/>
      <c r="U797" s="688"/>
      <c r="V797" s="686"/>
      <c r="W797" s="686"/>
      <c r="X797" s="686"/>
      <c r="Y797" s="686"/>
      <c r="Z797" s="686"/>
      <c r="AA797" s="669"/>
      <c r="AB797" s="695"/>
      <c r="AC797" s="669"/>
    </row>
    <row r="798" ht="18.0" customHeight="1">
      <c r="A798" s="695"/>
      <c r="B798" s="695"/>
      <c r="C798" s="695"/>
      <c r="D798" s="695"/>
      <c r="E798" s="695"/>
      <c r="F798" s="686"/>
      <c r="G798" s="695"/>
      <c r="H798" s="695"/>
      <c r="I798" s="695"/>
      <c r="J798" s="731"/>
      <c r="K798" s="695"/>
      <c r="L798" s="686"/>
      <c r="M798" s="686"/>
      <c r="N798" s="686"/>
      <c r="O798" s="686"/>
      <c r="P798" s="686"/>
      <c r="Q798" s="666"/>
      <c r="R798" s="686"/>
      <c r="S798" s="686"/>
      <c r="T798" s="688"/>
      <c r="U798" s="688"/>
      <c r="V798" s="686"/>
      <c r="W798" s="686"/>
      <c r="X798" s="686"/>
      <c r="Y798" s="686"/>
      <c r="Z798" s="686"/>
      <c r="AA798" s="669"/>
      <c r="AB798" s="695"/>
      <c r="AC798" s="669"/>
    </row>
    <row r="799" ht="18.0" customHeight="1">
      <c r="A799" s="695"/>
      <c r="B799" s="695"/>
      <c r="C799" s="695"/>
      <c r="D799" s="695"/>
      <c r="E799" s="695"/>
      <c r="F799" s="686"/>
      <c r="G799" s="695"/>
      <c r="H799" s="695"/>
      <c r="I799" s="695"/>
      <c r="J799" s="731"/>
      <c r="K799" s="695"/>
      <c r="L799" s="686"/>
      <c r="M799" s="686"/>
      <c r="N799" s="686"/>
      <c r="O799" s="686"/>
      <c r="P799" s="686"/>
      <c r="Q799" s="666"/>
      <c r="R799" s="686"/>
      <c r="S799" s="686"/>
      <c r="T799" s="688"/>
      <c r="U799" s="688"/>
      <c r="V799" s="686"/>
      <c r="W799" s="686"/>
      <c r="X799" s="686"/>
      <c r="Y799" s="686"/>
      <c r="Z799" s="686"/>
      <c r="AA799" s="669"/>
      <c r="AB799" s="695"/>
      <c r="AC799" s="669"/>
    </row>
    <row r="800" ht="18.0" customHeight="1">
      <c r="A800" s="695"/>
      <c r="B800" s="695"/>
      <c r="C800" s="695"/>
      <c r="D800" s="695"/>
      <c r="E800" s="695"/>
      <c r="F800" s="686"/>
      <c r="G800" s="695"/>
      <c r="H800" s="695"/>
      <c r="I800" s="695"/>
      <c r="J800" s="731"/>
      <c r="K800" s="695"/>
      <c r="L800" s="686"/>
      <c r="M800" s="686"/>
      <c r="N800" s="686"/>
      <c r="O800" s="686"/>
      <c r="P800" s="686"/>
      <c r="Q800" s="666"/>
      <c r="R800" s="686"/>
      <c r="S800" s="686"/>
      <c r="T800" s="688"/>
      <c r="U800" s="688"/>
      <c r="V800" s="686"/>
      <c r="W800" s="686"/>
      <c r="X800" s="686"/>
      <c r="Y800" s="686"/>
      <c r="Z800" s="686"/>
      <c r="AA800" s="669"/>
      <c r="AB800" s="695"/>
      <c r="AC800" s="669"/>
    </row>
    <row r="801" ht="18.0" customHeight="1">
      <c r="A801" s="695"/>
      <c r="B801" s="695"/>
      <c r="C801" s="695"/>
      <c r="D801" s="695"/>
      <c r="E801" s="695"/>
      <c r="F801" s="686"/>
      <c r="G801" s="695"/>
      <c r="H801" s="695"/>
      <c r="I801" s="695"/>
      <c r="J801" s="731"/>
      <c r="K801" s="695"/>
      <c r="L801" s="686"/>
      <c r="M801" s="686"/>
      <c r="N801" s="686"/>
      <c r="O801" s="686"/>
      <c r="P801" s="686"/>
      <c r="Q801" s="666"/>
      <c r="R801" s="686"/>
      <c r="S801" s="686"/>
      <c r="T801" s="688"/>
      <c r="U801" s="688"/>
      <c r="V801" s="686"/>
      <c r="W801" s="686"/>
      <c r="X801" s="686"/>
      <c r="Y801" s="686"/>
      <c r="Z801" s="686"/>
      <c r="AA801" s="669"/>
      <c r="AB801" s="695"/>
      <c r="AC801" s="669"/>
    </row>
    <row r="802" ht="18.0" customHeight="1">
      <c r="A802" s="695"/>
      <c r="B802" s="695"/>
      <c r="C802" s="695"/>
      <c r="D802" s="695"/>
      <c r="E802" s="695"/>
      <c r="F802" s="686"/>
      <c r="G802" s="695"/>
      <c r="H802" s="695"/>
      <c r="I802" s="695"/>
      <c r="J802" s="731"/>
      <c r="K802" s="695"/>
      <c r="L802" s="686"/>
      <c r="M802" s="686"/>
      <c r="N802" s="686"/>
      <c r="O802" s="686"/>
      <c r="P802" s="686"/>
      <c r="Q802" s="666"/>
      <c r="R802" s="686"/>
      <c r="S802" s="686"/>
      <c r="T802" s="688"/>
      <c r="U802" s="688"/>
      <c r="V802" s="686"/>
      <c r="W802" s="686"/>
      <c r="X802" s="686"/>
      <c r="Y802" s="686"/>
      <c r="Z802" s="686"/>
      <c r="AA802" s="669"/>
      <c r="AB802" s="695"/>
      <c r="AC802" s="669"/>
    </row>
    <row r="803" ht="18.0" customHeight="1">
      <c r="A803" s="695"/>
      <c r="B803" s="695"/>
      <c r="C803" s="695"/>
      <c r="D803" s="695"/>
      <c r="E803" s="695"/>
      <c r="F803" s="686"/>
      <c r="G803" s="695"/>
      <c r="H803" s="695"/>
      <c r="I803" s="695"/>
      <c r="J803" s="731"/>
      <c r="K803" s="695"/>
      <c r="L803" s="686"/>
      <c r="M803" s="686"/>
      <c r="N803" s="686"/>
      <c r="O803" s="686"/>
      <c r="P803" s="686"/>
      <c r="Q803" s="666"/>
      <c r="R803" s="686"/>
      <c r="S803" s="686"/>
      <c r="T803" s="688"/>
      <c r="U803" s="688"/>
      <c r="V803" s="686"/>
      <c r="W803" s="686"/>
      <c r="X803" s="686"/>
      <c r="Y803" s="686"/>
      <c r="Z803" s="686"/>
      <c r="AA803" s="669"/>
      <c r="AB803" s="695"/>
      <c r="AC803" s="669"/>
    </row>
    <row r="804" ht="18.0" customHeight="1">
      <c r="A804" s="695"/>
      <c r="B804" s="695"/>
      <c r="C804" s="695"/>
      <c r="D804" s="695"/>
      <c r="E804" s="695"/>
      <c r="F804" s="686"/>
      <c r="G804" s="695"/>
      <c r="H804" s="695"/>
      <c r="I804" s="695"/>
      <c r="J804" s="731"/>
      <c r="K804" s="695"/>
      <c r="L804" s="686"/>
      <c r="M804" s="686"/>
      <c r="N804" s="686"/>
      <c r="O804" s="686"/>
      <c r="P804" s="686"/>
      <c r="Q804" s="666"/>
      <c r="R804" s="686"/>
      <c r="S804" s="686"/>
      <c r="T804" s="688"/>
      <c r="U804" s="688"/>
      <c r="V804" s="686"/>
      <c r="W804" s="686"/>
      <c r="X804" s="686"/>
      <c r="Y804" s="686"/>
      <c r="Z804" s="686"/>
      <c r="AA804" s="669"/>
      <c r="AB804" s="695"/>
      <c r="AC804" s="669"/>
    </row>
    <row r="805" ht="18.0" customHeight="1">
      <c r="A805" s="695"/>
      <c r="B805" s="695"/>
      <c r="C805" s="695"/>
      <c r="D805" s="695"/>
      <c r="E805" s="695"/>
      <c r="F805" s="686"/>
      <c r="G805" s="695"/>
      <c r="H805" s="695"/>
      <c r="I805" s="695"/>
      <c r="J805" s="731"/>
      <c r="K805" s="695"/>
      <c r="L805" s="686"/>
      <c r="M805" s="686"/>
      <c r="N805" s="686"/>
      <c r="O805" s="686"/>
      <c r="P805" s="686"/>
      <c r="Q805" s="666"/>
      <c r="R805" s="686"/>
      <c r="S805" s="686"/>
      <c r="T805" s="688"/>
      <c r="U805" s="688"/>
      <c r="V805" s="686"/>
      <c r="W805" s="686"/>
      <c r="X805" s="686"/>
      <c r="Y805" s="686"/>
      <c r="Z805" s="686"/>
      <c r="AA805" s="669"/>
      <c r="AB805" s="695"/>
      <c r="AC805" s="669"/>
    </row>
    <row r="806" ht="18.0" customHeight="1">
      <c r="A806" s="695"/>
      <c r="B806" s="695"/>
      <c r="C806" s="695"/>
      <c r="D806" s="695"/>
      <c r="E806" s="695"/>
      <c r="F806" s="686"/>
      <c r="G806" s="695"/>
      <c r="H806" s="695"/>
      <c r="I806" s="695"/>
      <c r="J806" s="731"/>
      <c r="K806" s="695"/>
      <c r="L806" s="686"/>
      <c r="M806" s="686"/>
      <c r="N806" s="686"/>
      <c r="O806" s="686"/>
      <c r="P806" s="686"/>
      <c r="Q806" s="666"/>
      <c r="R806" s="686"/>
      <c r="S806" s="686"/>
      <c r="T806" s="688"/>
      <c r="U806" s="688"/>
      <c r="V806" s="686"/>
      <c r="W806" s="686"/>
      <c r="X806" s="686"/>
      <c r="Y806" s="686"/>
      <c r="Z806" s="686"/>
      <c r="AA806" s="669"/>
      <c r="AB806" s="695"/>
      <c r="AC806" s="669"/>
    </row>
    <row r="807" ht="18.0" customHeight="1">
      <c r="A807" s="695"/>
      <c r="B807" s="695"/>
      <c r="C807" s="695"/>
      <c r="D807" s="695"/>
      <c r="E807" s="695"/>
      <c r="F807" s="686"/>
      <c r="G807" s="695"/>
      <c r="H807" s="695"/>
      <c r="I807" s="695"/>
      <c r="J807" s="731"/>
      <c r="K807" s="695"/>
      <c r="L807" s="686"/>
      <c r="M807" s="686"/>
      <c r="N807" s="686"/>
      <c r="O807" s="686"/>
      <c r="P807" s="686"/>
      <c r="Q807" s="666"/>
      <c r="R807" s="686"/>
      <c r="S807" s="686"/>
      <c r="T807" s="688"/>
      <c r="U807" s="688"/>
      <c r="V807" s="686"/>
      <c r="W807" s="686"/>
      <c r="X807" s="686"/>
      <c r="Y807" s="686"/>
      <c r="Z807" s="686"/>
      <c r="AA807" s="669"/>
      <c r="AB807" s="695"/>
      <c r="AC807" s="669"/>
    </row>
    <row r="808" ht="18.0" customHeight="1">
      <c r="A808" s="695"/>
      <c r="B808" s="695"/>
      <c r="C808" s="695"/>
      <c r="D808" s="695"/>
      <c r="E808" s="695"/>
      <c r="F808" s="686"/>
      <c r="G808" s="695"/>
      <c r="H808" s="695"/>
      <c r="I808" s="695"/>
      <c r="J808" s="731"/>
      <c r="K808" s="695"/>
      <c r="L808" s="686"/>
      <c r="M808" s="686"/>
      <c r="N808" s="686"/>
      <c r="O808" s="686"/>
      <c r="P808" s="686"/>
      <c r="Q808" s="666"/>
      <c r="R808" s="686"/>
      <c r="S808" s="686"/>
      <c r="T808" s="688"/>
      <c r="U808" s="688"/>
      <c r="V808" s="686"/>
      <c r="W808" s="686"/>
      <c r="X808" s="686"/>
      <c r="Y808" s="686"/>
      <c r="Z808" s="686"/>
      <c r="AA808" s="669"/>
      <c r="AB808" s="695"/>
      <c r="AC808" s="669"/>
    </row>
    <row r="809" ht="18.0" customHeight="1">
      <c r="A809" s="695"/>
      <c r="B809" s="695"/>
      <c r="C809" s="695"/>
      <c r="D809" s="695"/>
      <c r="E809" s="695"/>
      <c r="F809" s="686"/>
      <c r="G809" s="695"/>
      <c r="H809" s="695"/>
      <c r="I809" s="695"/>
      <c r="J809" s="731"/>
      <c r="K809" s="695"/>
      <c r="L809" s="686"/>
      <c r="M809" s="686"/>
      <c r="N809" s="686"/>
      <c r="O809" s="686"/>
      <c r="P809" s="686"/>
      <c r="Q809" s="666"/>
      <c r="R809" s="686"/>
      <c r="S809" s="686"/>
      <c r="T809" s="688"/>
      <c r="U809" s="688"/>
      <c r="V809" s="686"/>
      <c r="W809" s="686"/>
      <c r="X809" s="686"/>
      <c r="Y809" s="686"/>
      <c r="Z809" s="686"/>
      <c r="AA809" s="669"/>
      <c r="AB809" s="695"/>
      <c r="AC809" s="669"/>
    </row>
    <row r="810" ht="18.0" customHeight="1">
      <c r="A810" s="695"/>
      <c r="B810" s="695"/>
      <c r="C810" s="695"/>
      <c r="D810" s="695"/>
      <c r="E810" s="695"/>
      <c r="F810" s="686"/>
      <c r="G810" s="695"/>
      <c r="H810" s="695"/>
      <c r="I810" s="695"/>
      <c r="J810" s="731"/>
      <c r="K810" s="695"/>
      <c r="L810" s="686"/>
      <c r="M810" s="686"/>
      <c r="N810" s="686"/>
      <c r="O810" s="686"/>
      <c r="P810" s="686"/>
      <c r="Q810" s="666"/>
      <c r="R810" s="686"/>
      <c r="S810" s="686"/>
      <c r="T810" s="688"/>
      <c r="U810" s="688"/>
      <c r="V810" s="686"/>
      <c r="W810" s="686"/>
      <c r="X810" s="686"/>
      <c r="Y810" s="686"/>
      <c r="Z810" s="686"/>
      <c r="AA810" s="669"/>
      <c r="AB810" s="695"/>
      <c r="AC810" s="669"/>
    </row>
    <row r="811" ht="18.0" customHeight="1">
      <c r="A811" s="695"/>
      <c r="B811" s="695"/>
      <c r="C811" s="695"/>
      <c r="D811" s="695"/>
      <c r="E811" s="695"/>
      <c r="F811" s="686"/>
      <c r="G811" s="695"/>
      <c r="H811" s="695"/>
      <c r="I811" s="695"/>
      <c r="J811" s="731"/>
      <c r="K811" s="695"/>
      <c r="L811" s="686"/>
      <c r="M811" s="686"/>
      <c r="N811" s="686"/>
      <c r="O811" s="686"/>
      <c r="P811" s="686"/>
      <c r="Q811" s="666"/>
      <c r="R811" s="686"/>
      <c r="S811" s="686"/>
      <c r="T811" s="688"/>
      <c r="U811" s="688"/>
      <c r="V811" s="686"/>
      <c r="W811" s="686"/>
      <c r="X811" s="686"/>
      <c r="Y811" s="686"/>
      <c r="Z811" s="686"/>
      <c r="AA811" s="669"/>
      <c r="AB811" s="695"/>
      <c r="AC811" s="669"/>
    </row>
    <row r="812" ht="18.0" customHeight="1">
      <c r="A812" s="695"/>
      <c r="B812" s="695"/>
      <c r="C812" s="695"/>
      <c r="D812" s="695"/>
      <c r="E812" s="695"/>
      <c r="F812" s="686"/>
      <c r="G812" s="695"/>
      <c r="H812" s="695"/>
      <c r="I812" s="695"/>
      <c r="J812" s="731"/>
      <c r="K812" s="695"/>
      <c r="L812" s="686"/>
      <c r="M812" s="686"/>
      <c r="N812" s="686"/>
      <c r="O812" s="686"/>
      <c r="P812" s="686"/>
      <c r="Q812" s="666"/>
      <c r="R812" s="686"/>
      <c r="S812" s="686"/>
      <c r="T812" s="688"/>
      <c r="U812" s="688"/>
      <c r="V812" s="686"/>
      <c r="W812" s="686"/>
      <c r="X812" s="686"/>
      <c r="Y812" s="686"/>
      <c r="Z812" s="686"/>
      <c r="AA812" s="669"/>
      <c r="AB812" s="695"/>
      <c r="AC812" s="669"/>
    </row>
    <row r="813" ht="18.0" customHeight="1">
      <c r="A813" s="695"/>
      <c r="B813" s="695"/>
      <c r="C813" s="695"/>
      <c r="D813" s="695"/>
      <c r="E813" s="695"/>
      <c r="F813" s="686"/>
      <c r="G813" s="695"/>
      <c r="H813" s="695"/>
      <c r="I813" s="695"/>
      <c r="J813" s="731"/>
      <c r="K813" s="695"/>
      <c r="L813" s="686"/>
      <c r="M813" s="686"/>
      <c r="N813" s="686"/>
      <c r="O813" s="686"/>
      <c r="P813" s="686"/>
      <c r="Q813" s="666"/>
      <c r="R813" s="686"/>
      <c r="S813" s="686"/>
      <c r="T813" s="688"/>
      <c r="U813" s="688"/>
      <c r="V813" s="686"/>
      <c r="W813" s="686"/>
      <c r="X813" s="686"/>
      <c r="Y813" s="686"/>
      <c r="Z813" s="686"/>
      <c r="AA813" s="669"/>
      <c r="AB813" s="695"/>
      <c r="AC813" s="669"/>
    </row>
    <row r="814" ht="18.0" customHeight="1">
      <c r="A814" s="695"/>
      <c r="B814" s="695"/>
      <c r="C814" s="695"/>
      <c r="D814" s="695"/>
      <c r="E814" s="695"/>
      <c r="F814" s="686"/>
      <c r="G814" s="695"/>
      <c r="H814" s="695"/>
      <c r="I814" s="695"/>
      <c r="J814" s="731"/>
      <c r="K814" s="695"/>
      <c r="L814" s="686"/>
      <c r="M814" s="686"/>
      <c r="N814" s="686"/>
      <c r="O814" s="686"/>
      <c r="P814" s="686"/>
      <c r="Q814" s="666"/>
      <c r="R814" s="686"/>
      <c r="S814" s="686"/>
      <c r="T814" s="688"/>
      <c r="U814" s="688"/>
      <c r="V814" s="686"/>
      <c r="W814" s="686"/>
      <c r="X814" s="686"/>
      <c r="Y814" s="686"/>
      <c r="Z814" s="686"/>
      <c r="AA814" s="669"/>
      <c r="AB814" s="695"/>
      <c r="AC814" s="669"/>
    </row>
    <row r="815" ht="18.0" customHeight="1">
      <c r="A815" s="695"/>
      <c r="B815" s="695"/>
      <c r="C815" s="695"/>
      <c r="D815" s="695"/>
      <c r="E815" s="695"/>
      <c r="F815" s="686"/>
      <c r="G815" s="695"/>
      <c r="H815" s="695"/>
      <c r="I815" s="695"/>
      <c r="J815" s="731"/>
      <c r="K815" s="695"/>
      <c r="L815" s="686"/>
      <c r="M815" s="686"/>
      <c r="N815" s="686"/>
      <c r="O815" s="686"/>
      <c r="P815" s="686"/>
      <c r="Q815" s="666"/>
      <c r="R815" s="686"/>
      <c r="S815" s="686"/>
      <c r="T815" s="688"/>
      <c r="U815" s="688"/>
      <c r="V815" s="686"/>
      <c r="W815" s="686"/>
      <c r="X815" s="686"/>
      <c r="Y815" s="686"/>
      <c r="Z815" s="686"/>
      <c r="AA815" s="669"/>
      <c r="AB815" s="695"/>
      <c r="AC815" s="669"/>
    </row>
    <row r="816" ht="18.0" customHeight="1">
      <c r="A816" s="695"/>
      <c r="B816" s="695"/>
      <c r="C816" s="695"/>
      <c r="D816" s="695"/>
      <c r="E816" s="695"/>
      <c r="F816" s="686"/>
      <c r="G816" s="695"/>
      <c r="H816" s="695"/>
      <c r="I816" s="695"/>
      <c r="J816" s="731"/>
      <c r="K816" s="695"/>
      <c r="L816" s="686"/>
      <c r="M816" s="686"/>
      <c r="N816" s="686"/>
      <c r="O816" s="686"/>
      <c r="P816" s="686"/>
      <c r="Q816" s="666"/>
      <c r="R816" s="686"/>
      <c r="S816" s="686"/>
      <c r="T816" s="688"/>
      <c r="U816" s="688"/>
      <c r="V816" s="686"/>
      <c r="W816" s="686"/>
      <c r="X816" s="686"/>
      <c r="Y816" s="686"/>
      <c r="Z816" s="686"/>
      <c r="AA816" s="669"/>
      <c r="AB816" s="695"/>
      <c r="AC816" s="669"/>
    </row>
    <row r="817" ht="18.0" customHeight="1">
      <c r="A817" s="695"/>
      <c r="B817" s="695"/>
      <c r="C817" s="695"/>
      <c r="D817" s="695"/>
      <c r="E817" s="695"/>
      <c r="F817" s="686"/>
      <c r="G817" s="695"/>
      <c r="H817" s="695"/>
      <c r="I817" s="695"/>
      <c r="J817" s="731"/>
      <c r="K817" s="695"/>
      <c r="L817" s="686"/>
      <c r="M817" s="686"/>
      <c r="N817" s="686"/>
      <c r="O817" s="686"/>
      <c r="P817" s="686"/>
      <c r="Q817" s="666"/>
      <c r="R817" s="686"/>
      <c r="S817" s="686"/>
      <c r="T817" s="688"/>
      <c r="U817" s="688"/>
      <c r="V817" s="686"/>
      <c r="W817" s="686"/>
      <c r="X817" s="686"/>
      <c r="Y817" s="686"/>
      <c r="Z817" s="686"/>
      <c r="AA817" s="669"/>
      <c r="AB817" s="695"/>
      <c r="AC817" s="669"/>
    </row>
    <row r="818" ht="18.0" customHeight="1">
      <c r="A818" s="695"/>
      <c r="B818" s="695"/>
      <c r="C818" s="695"/>
      <c r="D818" s="695"/>
      <c r="E818" s="695"/>
      <c r="F818" s="686"/>
      <c r="G818" s="695"/>
      <c r="H818" s="695"/>
      <c r="I818" s="695"/>
      <c r="J818" s="731"/>
      <c r="K818" s="695"/>
      <c r="L818" s="686"/>
      <c r="M818" s="686"/>
      <c r="N818" s="686"/>
      <c r="O818" s="686"/>
      <c r="P818" s="686"/>
      <c r="Q818" s="666"/>
      <c r="R818" s="686"/>
      <c r="S818" s="686"/>
      <c r="T818" s="688"/>
      <c r="U818" s="688"/>
      <c r="V818" s="686"/>
      <c r="W818" s="686"/>
      <c r="X818" s="686"/>
      <c r="Y818" s="686"/>
      <c r="Z818" s="686"/>
      <c r="AA818" s="669"/>
      <c r="AB818" s="695"/>
      <c r="AC818" s="669"/>
    </row>
    <row r="819" ht="18.0" customHeight="1">
      <c r="A819" s="695"/>
      <c r="B819" s="695"/>
      <c r="C819" s="695"/>
      <c r="D819" s="695"/>
      <c r="E819" s="695"/>
      <c r="F819" s="686"/>
      <c r="G819" s="695"/>
      <c r="H819" s="695"/>
      <c r="I819" s="695"/>
      <c r="J819" s="731"/>
      <c r="K819" s="695"/>
      <c r="L819" s="686"/>
      <c r="M819" s="686"/>
      <c r="N819" s="686"/>
      <c r="O819" s="686"/>
      <c r="P819" s="686"/>
      <c r="Q819" s="666"/>
      <c r="R819" s="686"/>
      <c r="S819" s="686"/>
      <c r="T819" s="688"/>
      <c r="U819" s="688"/>
      <c r="V819" s="686"/>
      <c r="W819" s="686"/>
      <c r="X819" s="686"/>
      <c r="Y819" s="686"/>
      <c r="Z819" s="686"/>
      <c r="AA819" s="669"/>
      <c r="AB819" s="695"/>
      <c r="AC819" s="669"/>
    </row>
    <row r="820" ht="18.0" customHeight="1">
      <c r="A820" s="695"/>
      <c r="B820" s="695"/>
      <c r="C820" s="695"/>
      <c r="D820" s="695"/>
      <c r="E820" s="695"/>
      <c r="F820" s="686"/>
      <c r="G820" s="695"/>
      <c r="H820" s="695"/>
      <c r="I820" s="695"/>
      <c r="J820" s="731"/>
      <c r="K820" s="695"/>
      <c r="L820" s="686"/>
      <c r="M820" s="686"/>
      <c r="N820" s="686"/>
      <c r="O820" s="686"/>
      <c r="P820" s="686"/>
      <c r="Q820" s="666"/>
      <c r="R820" s="686"/>
      <c r="S820" s="686"/>
      <c r="T820" s="688"/>
      <c r="U820" s="688"/>
      <c r="V820" s="686"/>
      <c r="W820" s="686"/>
      <c r="X820" s="686"/>
      <c r="Y820" s="686"/>
      <c r="Z820" s="686"/>
      <c r="AA820" s="669"/>
      <c r="AB820" s="695"/>
      <c r="AC820" s="669"/>
    </row>
    <row r="821" ht="18.0" customHeight="1">
      <c r="A821" s="695"/>
      <c r="B821" s="695"/>
      <c r="C821" s="695"/>
      <c r="D821" s="695"/>
      <c r="E821" s="695"/>
      <c r="F821" s="686"/>
      <c r="G821" s="695"/>
      <c r="H821" s="695"/>
      <c r="I821" s="695"/>
      <c r="J821" s="731"/>
      <c r="K821" s="695"/>
      <c r="L821" s="686"/>
      <c r="M821" s="686"/>
      <c r="N821" s="686"/>
      <c r="O821" s="686"/>
      <c r="P821" s="686"/>
      <c r="Q821" s="666"/>
      <c r="R821" s="686"/>
      <c r="S821" s="686"/>
      <c r="T821" s="688"/>
      <c r="U821" s="688"/>
      <c r="V821" s="686"/>
      <c r="W821" s="686"/>
      <c r="X821" s="686"/>
      <c r="Y821" s="686"/>
      <c r="Z821" s="686"/>
      <c r="AA821" s="669"/>
      <c r="AB821" s="695"/>
      <c r="AC821" s="669"/>
    </row>
    <row r="822" ht="18.0" customHeight="1">
      <c r="A822" s="695"/>
      <c r="B822" s="695"/>
      <c r="C822" s="695"/>
      <c r="D822" s="695"/>
      <c r="E822" s="695"/>
      <c r="F822" s="686"/>
      <c r="G822" s="695"/>
      <c r="H822" s="695"/>
      <c r="I822" s="695"/>
      <c r="J822" s="731"/>
      <c r="K822" s="695"/>
      <c r="L822" s="686"/>
      <c r="M822" s="686"/>
      <c r="N822" s="686"/>
      <c r="O822" s="686"/>
      <c r="P822" s="686"/>
      <c r="Q822" s="666"/>
      <c r="R822" s="686"/>
      <c r="S822" s="686"/>
      <c r="T822" s="688"/>
      <c r="U822" s="688"/>
      <c r="V822" s="686"/>
      <c r="W822" s="686"/>
      <c r="X822" s="686"/>
      <c r="Y822" s="686"/>
      <c r="Z822" s="686"/>
      <c r="AA822" s="669"/>
      <c r="AB822" s="695"/>
      <c r="AC822" s="669"/>
    </row>
    <row r="823" ht="18.0" customHeight="1">
      <c r="A823" s="695"/>
      <c r="B823" s="695"/>
      <c r="C823" s="695"/>
      <c r="D823" s="695"/>
      <c r="E823" s="695"/>
      <c r="F823" s="686"/>
      <c r="G823" s="695"/>
      <c r="H823" s="695"/>
      <c r="I823" s="695"/>
      <c r="J823" s="731"/>
      <c r="K823" s="695"/>
      <c r="L823" s="686"/>
      <c r="M823" s="686"/>
      <c r="N823" s="686"/>
      <c r="O823" s="686"/>
      <c r="P823" s="686"/>
      <c r="Q823" s="666"/>
      <c r="R823" s="686"/>
      <c r="S823" s="686"/>
      <c r="T823" s="688"/>
      <c r="U823" s="688"/>
      <c r="V823" s="686"/>
      <c r="W823" s="686"/>
      <c r="X823" s="686"/>
      <c r="Y823" s="686"/>
      <c r="Z823" s="686"/>
      <c r="AA823" s="669"/>
      <c r="AB823" s="695"/>
      <c r="AC823" s="669"/>
    </row>
    <row r="824" ht="18.0" customHeight="1">
      <c r="A824" s="695"/>
      <c r="B824" s="695"/>
      <c r="C824" s="695"/>
      <c r="D824" s="695"/>
      <c r="E824" s="695"/>
      <c r="F824" s="686"/>
      <c r="G824" s="695"/>
      <c r="H824" s="695"/>
      <c r="I824" s="695"/>
      <c r="J824" s="731"/>
      <c r="K824" s="695"/>
      <c r="L824" s="686"/>
      <c r="M824" s="686"/>
      <c r="N824" s="686"/>
      <c r="O824" s="686"/>
      <c r="P824" s="686"/>
      <c r="Q824" s="666"/>
      <c r="R824" s="686"/>
      <c r="S824" s="686"/>
      <c r="T824" s="688"/>
      <c r="U824" s="688"/>
      <c r="V824" s="686"/>
      <c r="W824" s="686"/>
      <c r="X824" s="686"/>
      <c r="Y824" s="686"/>
      <c r="Z824" s="686"/>
      <c r="AA824" s="669"/>
      <c r="AB824" s="695"/>
      <c r="AC824" s="669"/>
    </row>
    <row r="825" ht="18.0" customHeight="1">
      <c r="A825" s="695"/>
      <c r="B825" s="695"/>
      <c r="C825" s="695"/>
      <c r="D825" s="695"/>
      <c r="E825" s="695"/>
      <c r="F825" s="686"/>
      <c r="G825" s="695"/>
      <c r="H825" s="695"/>
      <c r="I825" s="695"/>
      <c r="J825" s="731"/>
      <c r="K825" s="695"/>
      <c r="L825" s="686"/>
      <c r="M825" s="686"/>
      <c r="N825" s="686"/>
      <c r="O825" s="686"/>
      <c r="P825" s="686"/>
      <c r="Q825" s="666"/>
      <c r="R825" s="686"/>
      <c r="S825" s="686"/>
      <c r="T825" s="688"/>
      <c r="U825" s="688"/>
      <c r="V825" s="686"/>
      <c r="W825" s="686"/>
      <c r="X825" s="686"/>
      <c r="Y825" s="686"/>
      <c r="Z825" s="686"/>
      <c r="AA825" s="669"/>
      <c r="AB825" s="695"/>
      <c r="AC825" s="669"/>
    </row>
    <row r="826" ht="18.0" customHeight="1">
      <c r="A826" s="695"/>
      <c r="B826" s="695"/>
      <c r="C826" s="695"/>
      <c r="D826" s="695"/>
      <c r="E826" s="695"/>
      <c r="F826" s="686"/>
      <c r="G826" s="695"/>
      <c r="H826" s="695"/>
      <c r="I826" s="695"/>
      <c r="J826" s="731"/>
      <c r="K826" s="695"/>
      <c r="L826" s="686"/>
      <c r="M826" s="686"/>
      <c r="N826" s="686"/>
      <c r="O826" s="686"/>
      <c r="P826" s="686"/>
      <c r="Q826" s="666"/>
      <c r="R826" s="686"/>
      <c r="S826" s="686"/>
      <c r="T826" s="688"/>
      <c r="U826" s="688"/>
      <c r="V826" s="686"/>
      <c r="W826" s="686"/>
      <c r="X826" s="686"/>
      <c r="Y826" s="686"/>
      <c r="Z826" s="686"/>
      <c r="AA826" s="669"/>
      <c r="AB826" s="695"/>
      <c r="AC826" s="669"/>
    </row>
    <row r="827" ht="18.0" customHeight="1">
      <c r="A827" s="695"/>
      <c r="B827" s="695"/>
      <c r="C827" s="695"/>
      <c r="D827" s="695"/>
      <c r="E827" s="695"/>
      <c r="F827" s="686"/>
      <c r="G827" s="695"/>
      <c r="H827" s="695"/>
      <c r="I827" s="695"/>
      <c r="J827" s="731"/>
      <c r="K827" s="695"/>
      <c r="L827" s="686"/>
      <c r="M827" s="686"/>
      <c r="N827" s="686"/>
      <c r="O827" s="686"/>
      <c r="P827" s="686"/>
      <c r="Q827" s="666"/>
      <c r="R827" s="686"/>
      <c r="S827" s="686"/>
      <c r="T827" s="688"/>
      <c r="U827" s="688"/>
      <c r="V827" s="686"/>
      <c r="W827" s="686"/>
      <c r="X827" s="686"/>
      <c r="Y827" s="686"/>
      <c r="Z827" s="686"/>
      <c r="AA827" s="669"/>
      <c r="AB827" s="695"/>
      <c r="AC827" s="669"/>
    </row>
    <row r="828" ht="18.0" customHeight="1">
      <c r="A828" s="695"/>
      <c r="B828" s="695"/>
      <c r="C828" s="695"/>
      <c r="D828" s="695"/>
      <c r="E828" s="695"/>
      <c r="F828" s="686"/>
      <c r="G828" s="695"/>
      <c r="H828" s="695"/>
      <c r="I828" s="695"/>
      <c r="J828" s="731"/>
      <c r="K828" s="695"/>
      <c r="L828" s="686"/>
      <c r="M828" s="686"/>
      <c r="N828" s="686"/>
      <c r="O828" s="686"/>
      <c r="P828" s="686"/>
      <c r="Q828" s="666"/>
      <c r="R828" s="686"/>
      <c r="S828" s="686"/>
      <c r="T828" s="688"/>
      <c r="U828" s="688"/>
      <c r="V828" s="686"/>
      <c r="W828" s="686"/>
      <c r="X828" s="686"/>
      <c r="Y828" s="686"/>
      <c r="Z828" s="686"/>
      <c r="AA828" s="669"/>
      <c r="AB828" s="695"/>
      <c r="AC828" s="669"/>
    </row>
    <row r="829" ht="18.0" customHeight="1">
      <c r="A829" s="695"/>
      <c r="B829" s="695"/>
      <c r="C829" s="695"/>
      <c r="D829" s="695"/>
      <c r="E829" s="695"/>
      <c r="F829" s="686"/>
      <c r="G829" s="695"/>
      <c r="H829" s="695"/>
      <c r="I829" s="695"/>
      <c r="J829" s="731"/>
      <c r="K829" s="695"/>
      <c r="L829" s="686"/>
      <c r="M829" s="686"/>
      <c r="N829" s="686"/>
      <c r="O829" s="686"/>
      <c r="P829" s="686"/>
      <c r="Q829" s="666"/>
      <c r="R829" s="686"/>
      <c r="S829" s="686"/>
      <c r="T829" s="688"/>
      <c r="U829" s="688"/>
      <c r="V829" s="686"/>
      <c r="W829" s="686"/>
      <c r="X829" s="686"/>
      <c r="Y829" s="686"/>
      <c r="Z829" s="686"/>
      <c r="AA829" s="669"/>
      <c r="AB829" s="695"/>
      <c r="AC829" s="669"/>
    </row>
    <row r="830" ht="18.0" customHeight="1">
      <c r="A830" s="695"/>
      <c r="B830" s="695"/>
      <c r="C830" s="695"/>
      <c r="D830" s="695"/>
      <c r="E830" s="695"/>
      <c r="F830" s="686"/>
      <c r="G830" s="695"/>
      <c r="H830" s="695"/>
      <c r="I830" s="695"/>
      <c r="J830" s="731"/>
      <c r="K830" s="695"/>
      <c r="L830" s="686"/>
      <c r="M830" s="686"/>
      <c r="N830" s="686"/>
      <c r="O830" s="686"/>
      <c r="P830" s="686"/>
      <c r="Q830" s="666"/>
      <c r="R830" s="686"/>
      <c r="S830" s="686"/>
      <c r="T830" s="688"/>
      <c r="U830" s="688"/>
      <c r="V830" s="686"/>
      <c r="W830" s="686"/>
      <c r="X830" s="686"/>
      <c r="Y830" s="686"/>
      <c r="Z830" s="686"/>
      <c r="AA830" s="669"/>
      <c r="AB830" s="695"/>
      <c r="AC830" s="669"/>
    </row>
    <row r="831" ht="18.0" customHeight="1">
      <c r="A831" s="695"/>
      <c r="B831" s="695"/>
      <c r="C831" s="695"/>
      <c r="D831" s="695"/>
      <c r="E831" s="695"/>
      <c r="F831" s="686"/>
      <c r="G831" s="695"/>
      <c r="H831" s="695"/>
      <c r="I831" s="695"/>
      <c r="J831" s="731"/>
      <c r="K831" s="695"/>
      <c r="L831" s="686"/>
      <c r="M831" s="686"/>
      <c r="N831" s="686"/>
      <c r="O831" s="686"/>
      <c r="P831" s="686"/>
      <c r="Q831" s="666"/>
      <c r="R831" s="686"/>
      <c r="S831" s="686"/>
      <c r="T831" s="688"/>
      <c r="U831" s="688"/>
      <c r="V831" s="686"/>
      <c r="W831" s="686"/>
      <c r="X831" s="686"/>
      <c r="Y831" s="686"/>
      <c r="Z831" s="686"/>
      <c r="AA831" s="669"/>
      <c r="AB831" s="695"/>
      <c r="AC831" s="669"/>
    </row>
    <row r="832" ht="18.0" customHeight="1">
      <c r="A832" s="695"/>
      <c r="B832" s="695"/>
      <c r="C832" s="695"/>
      <c r="D832" s="695"/>
      <c r="E832" s="695"/>
      <c r="F832" s="686"/>
      <c r="G832" s="695"/>
      <c r="H832" s="695"/>
      <c r="I832" s="695"/>
      <c r="J832" s="731"/>
      <c r="K832" s="695"/>
      <c r="L832" s="686"/>
      <c r="M832" s="686"/>
      <c r="N832" s="686"/>
      <c r="O832" s="686"/>
      <c r="P832" s="686"/>
      <c r="Q832" s="666"/>
      <c r="R832" s="686"/>
      <c r="S832" s="686"/>
      <c r="T832" s="688"/>
      <c r="U832" s="688"/>
      <c r="V832" s="686"/>
      <c r="W832" s="686"/>
      <c r="X832" s="686"/>
      <c r="Y832" s="686"/>
      <c r="Z832" s="686"/>
      <c r="AA832" s="669"/>
      <c r="AB832" s="695"/>
      <c r="AC832" s="669"/>
    </row>
    <row r="833" ht="18.0" customHeight="1">
      <c r="A833" s="695"/>
      <c r="B833" s="695"/>
      <c r="C833" s="695"/>
      <c r="D833" s="695"/>
      <c r="E833" s="695"/>
      <c r="F833" s="686"/>
      <c r="G833" s="695"/>
      <c r="H833" s="695"/>
      <c r="I833" s="695"/>
      <c r="J833" s="731"/>
      <c r="K833" s="695"/>
      <c r="L833" s="686"/>
      <c r="M833" s="686"/>
      <c r="N833" s="686"/>
      <c r="O833" s="686"/>
      <c r="P833" s="686"/>
      <c r="Q833" s="666"/>
      <c r="R833" s="686"/>
      <c r="S833" s="686"/>
      <c r="T833" s="688"/>
      <c r="U833" s="688"/>
      <c r="V833" s="686"/>
      <c r="W833" s="686"/>
      <c r="X833" s="686"/>
      <c r="Y833" s="686"/>
      <c r="Z833" s="686"/>
      <c r="AA833" s="669"/>
      <c r="AB833" s="695"/>
      <c r="AC833" s="669"/>
    </row>
    <row r="834" ht="18.0" customHeight="1">
      <c r="A834" s="695"/>
      <c r="B834" s="695"/>
      <c r="C834" s="695"/>
      <c r="D834" s="695"/>
      <c r="E834" s="695"/>
      <c r="F834" s="686"/>
      <c r="G834" s="695"/>
      <c r="H834" s="695"/>
      <c r="I834" s="695"/>
      <c r="J834" s="731"/>
      <c r="K834" s="695"/>
      <c r="L834" s="686"/>
      <c r="M834" s="686"/>
      <c r="N834" s="686"/>
      <c r="O834" s="686"/>
      <c r="P834" s="686"/>
      <c r="Q834" s="666"/>
      <c r="R834" s="686"/>
      <c r="S834" s="686"/>
      <c r="T834" s="688"/>
      <c r="U834" s="688"/>
      <c r="V834" s="686"/>
      <c r="W834" s="686"/>
      <c r="X834" s="686"/>
      <c r="Y834" s="686"/>
      <c r="Z834" s="686"/>
      <c r="AA834" s="669"/>
      <c r="AB834" s="695"/>
      <c r="AC834" s="669"/>
    </row>
    <row r="835" ht="18.0" customHeight="1">
      <c r="A835" s="695"/>
      <c r="B835" s="695"/>
      <c r="C835" s="695"/>
      <c r="D835" s="695"/>
      <c r="E835" s="695"/>
      <c r="F835" s="686"/>
      <c r="G835" s="695"/>
      <c r="H835" s="695"/>
      <c r="I835" s="695"/>
      <c r="J835" s="731"/>
      <c r="K835" s="695"/>
      <c r="L835" s="686"/>
      <c r="M835" s="686"/>
      <c r="N835" s="686"/>
      <c r="O835" s="686"/>
      <c r="P835" s="686"/>
      <c r="Q835" s="666"/>
      <c r="R835" s="686"/>
      <c r="S835" s="686"/>
      <c r="T835" s="688"/>
      <c r="U835" s="688"/>
      <c r="V835" s="686"/>
      <c r="W835" s="686"/>
      <c r="X835" s="686"/>
      <c r="Y835" s="686"/>
      <c r="Z835" s="686"/>
      <c r="AA835" s="669"/>
      <c r="AB835" s="695"/>
      <c r="AC835" s="669"/>
    </row>
    <row r="836" ht="18.0" customHeight="1">
      <c r="A836" s="695"/>
      <c r="B836" s="695"/>
      <c r="C836" s="695"/>
      <c r="D836" s="695"/>
      <c r="E836" s="695"/>
      <c r="F836" s="686"/>
      <c r="G836" s="695"/>
      <c r="H836" s="695"/>
      <c r="I836" s="695"/>
      <c r="J836" s="731"/>
      <c r="K836" s="695"/>
      <c r="L836" s="686"/>
      <c r="M836" s="686"/>
      <c r="N836" s="686"/>
      <c r="O836" s="686"/>
      <c r="P836" s="686"/>
      <c r="Q836" s="666"/>
      <c r="R836" s="686"/>
      <c r="S836" s="686"/>
      <c r="T836" s="688"/>
      <c r="U836" s="688"/>
      <c r="V836" s="686"/>
      <c r="W836" s="686"/>
      <c r="X836" s="686"/>
      <c r="Y836" s="686"/>
      <c r="Z836" s="686"/>
      <c r="AA836" s="669"/>
      <c r="AB836" s="695"/>
      <c r="AC836" s="669"/>
    </row>
    <row r="837" ht="18.0" customHeight="1">
      <c r="A837" s="695"/>
      <c r="B837" s="695"/>
      <c r="C837" s="695"/>
      <c r="D837" s="695"/>
      <c r="E837" s="695"/>
      <c r="F837" s="686"/>
      <c r="G837" s="695"/>
      <c r="H837" s="695"/>
      <c r="I837" s="695"/>
      <c r="J837" s="731"/>
      <c r="K837" s="695"/>
      <c r="L837" s="686"/>
      <c r="M837" s="686"/>
      <c r="N837" s="686"/>
      <c r="O837" s="686"/>
      <c r="P837" s="686"/>
      <c r="Q837" s="666"/>
      <c r="R837" s="686"/>
      <c r="S837" s="686"/>
      <c r="T837" s="688"/>
      <c r="U837" s="688"/>
      <c r="V837" s="686"/>
      <c r="W837" s="686"/>
      <c r="X837" s="686"/>
      <c r="Y837" s="686"/>
      <c r="Z837" s="686"/>
      <c r="AA837" s="669"/>
      <c r="AB837" s="695"/>
      <c r="AC837" s="669"/>
    </row>
    <row r="838" ht="18.0" customHeight="1">
      <c r="A838" s="695"/>
      <c r="B838" s="695"/>
      <c r="C838" s="695"/>
      <c r="D838" s="695"/>
      <c r="E838" s="695"/>
      <c r="F838" s="686"/>
      <c r="G838" s="695"/>
      <c r="H838" s="695"/>
      <c r="I838" s="695"/>
      <c r="J838" s="731"/>
      <c r="K838" s="695"/>
      <c r="L838" s="686"/>
      <c r="M838" s="686"/>
      <c r="N838" s="686"/>
      <c r="O838" s="686"/>
      <c r="P838" s="686"/>
      <c r="Q838" s="666"/>
      <c r="R838" s="686"/>
      <c r="S838" s="686"/>
      <c r="T838" s="688"/>
      <c r="U838" s="688"/>
      <c r="V838" s="686"/>
      <c r="W838" s="686"/>
      <c r="X838" s="686"/>
      <c r="Y838" s="686"/>
      <c r="Z838" s="686"/>
      <c r="AA838" s="669"/>
      <c r="AB838" s="695"/>
      <c r="AC838" s="669"/>
    </row>
    <row r="839" ht="18.0" customHeight="1">
      <c r="A839" s="695"/>
      <c r="B839" s="695"/>
      <c r="C839" s="695"/>
      <c r="D839" s="695"/>
      <c r="E839" s="695"/>
      <c r="F839" s="686"/>
      <c r="G839" s="695"/>
      <c r="H839" s="695"/>
      <c r="I839" s="695"/>
      <c r="J839" s="731"/>
      <c r="K839" s="695"/>
      <c r="L839" s="686"/>
      <c r="M839" s="686"/>
      <c r="N839" s="686"/>
      <c r="O839" s="686"/>
      <c r="P839" s="686"/>
      <c r="Q839" s="666"/>
      <c r="R839" s="686"/>
      <c r="S839" s="686"/>
      <c r="T839" s="688"/>
      <c r="U839" s="688"/>
      <c r="V839" s="686"/>
      <c r="W839" s="686"/>
      <c r="X839" s="686"/>
      <c r="Y839" s="686"/>
      <c r="Z839" s="686"/>
      <c r="AA839" s="669"/>
      <c r="AB839" s="695"/>
      <c r="AC839" s="669"/>
    </row>
    <row r="840" ht="18.0" customHeight="1">
      <c r="A840" s="695"/>
      <c r="B840" s="695"/>
      <c r="C840" s="695"/>
      <c r="D840" s="695"/>
      <c r="E840" s="695"/>
      <c r="F840" s="686"/>
      <c r="G840" s="695"/>
      <c r="H840" s="695"/>
      <c r="I840" s="695"/>
      <c r="J840" s="731"/>
      <c r="K840" s="695"/>
      <c r="L840" s="686"/>
      <c r="M840" s="686"/>
      <c r="N840" s="686"/>
      <c r="O840" s="686"/>
      <c r="P840" s="686"/>
      <c r="Q840" s="666"/>
      <c r="R840" s="686"/>
      <c r="S840" s="686"/>
      <c r="T840" s="688"/>
      <c r="U840" s="688"/>
      <c r="V840" s="686"/>
      <c r="W840" s="686"/>
      <c r="X840" s="686"/>
      <c r="Y840" s="686"/>
      <c r="Z840" s="686"/>
      <c r="AA840" s="669"/>
      <c r="AB840" s="695"/>
      <c r="AC840" s="669"/>
    </row>
    <row r="841" ht="18.0" customHeight="1">
      <c r="A841" s="695"/>
      <c r="B841" s="695"/>
      <c r="C841" s="695"/>
      <c r="D841" s="695"/>
      <c r="E841" s="695"/>
      <c r="F841" s="686"/>
      <c r="G841" s="695"/>
      <c r="H841" s="695"/>
      <c r="I841" s="695"/>
      <c r="J841" s="731"/>
      <c r="K841" s="695"/>
      <c r="L841" s="686"/>
      <c r="M841" s="686"/>
      <c r="N841" s="686"/>
      <c r="O841" s="686"/>
      <c r="P841" s="686"/>
      <c r="Q841" s="666"/>
      <c r="R841" s="686"/>
      <c r="S841" s="686"/>
      <c r="T841" s="688"/>
      <c r="U841" s="688"/>
      <c r="V841" s="686"/>
      <c r="W841" s="686"/>
      <c r="X841" s="686"/>
      <c r="Y841" s="686"/>
      <c r="Z841" s="686"/>
      <c r="AA841" s="669"/>
      <c r="AB841" s="695"/>
      <c r="AC841" s="669"/>
    </row>
    <row r="842" ht="18.0" customHeight="1">
      <c r="A842" s="695"/>
      <c r="B842" s="695"/>
      <c r="C842" s="695"/>
      <c r="D842" s="695"/>
      <c r="E842" s="695"/>
      <c r="F842" s="686"/>
      <c r="G842" s="695"/>
      <c r="H842" s="695"/>
      <c r="I842" s="695"/>
      <c r="J842" s="731"/>
      <c r="K842" s="695"/>
      <c r="L842" s="686"/>
      <c r="M842" s="686"/>
      <c r="N842" s="686"/>
      <c r="O842" s="686"/>
      <c r="P842" s="686"/>
      <c r="Q842" s="666"/>
      <c r="R842" s="686"/>
      <c r="S842" s="686"/>
      <c r="T842" s="688"/>
      <c r="U842" s="688"/>
      <c r="V842" s="686"/>
      <c r="W842" s="686"/>
      <c r="X842" s="686"/>
      <c r="Y842" s="686"/>
      <c r="Z842" s="686"/>
      <c r="AA842" s="669"/>
      <c r="AB842" s="695"/>
      <c r="AC842" s="669"/>
    </row>
    <row r="843" ht="18.0" customHeight="1">
      <c r="A843" s="695"/>
      <c r="B843" s="695"/>
      <c r="C843" s="695"/>
      <c r="D843" s="695"/>
      <c r="E843" s="695"/>
      <c r="F843" s="686"/>
      <c r="G843" s="695"/>
      <c r="H843" s="695"/>
      <c r="I843" s="695"/>
      <c r="J843" s="731"/>
      <c r="K843" s="695"/>
      <c r="L843" s="686"/>
      <c r="M843" s="686"/>
      <c r="N843" s="686"/>
      <c r="O843" s="686"/>
      <c r="P843" s="686"/>
      <c r="Q843" s="666"/>
      <c r="R843" s="686"/>
      <c r="S843" s="686"/>
      <c r="T843" s="688"/>
      <c r="U843" s="688"/>
      <c r="V843" s="686"/>
      <c r="W843" s="686"/>
      <c r="X843" s="686"/>
      <c r="Y843" s="686"/>
      <c r="Z843" s="686"/>
      <c r="AA843" s="669"/>
      <c r="AB843" s="695"/>
      <c r="AC843" s="669"/>
    </row>
    <row r="844" ht="18.0" customHeight="1">
      <c r="A844" s="695"/>
      <c r="B844" s="695"/>
      <c r="C844" s="695"/>
      <c r="D844" s="695"/>
      <c r="E844" s="695"/>
      <c r="F844" s="686"/>
      <c r="G844" s="695"/>
      <c r="H844" s="695"/>
      <c r="I844" s="695"/>
      <c r="J844" s="731"/>
      <c r="K844" s="695"/>
      <c r="L844" s="686"/>
      <c r="M844" s="686"/>
      <c r="N844" s="686"/>
      <c r="O844" s="686"/>
      <c r="P844" s="686"/>
      <c r="Q844" s="666"/>
      <c r="R844" s="686"/>
      <c r="S844" s="686"/>
      <c r="T844" s="688"/>
      <c r="U844" s="688"/>
      <c r="V844" s="686"/>
      <c r="W844" s="686"/>
      <c r="X844" s="686"/>
      <c r="Y844" s="686"/>
      <c r="Z844" s="686"/>
      <c r="AA844" s="669"/>
      <c r="AB844" s="695"/>
      <c r="AC844" s="669"/>
    </row>
    <row r="845" ht="18.0" customHeight="1">
      <c r="A845" s="695"/>
      <c r="B845" s="695"/>
      <c r="C845" s="695"/>
      <c r="D845" s="695"/>
      <c r="E845" s="695"/>
      <c r="F845" s="686"/>
      <c r="G845" s="695"/>
      <c r="H845" s="695"/>
      <c r="I845" s="695"/>
      <c r="J845" s="731"/>
      <c r="K845" s="695"/>
      <c r="L845" s="686"/>
      <c r="M845" s="686"/>
      <c r="N845" s="686"/>
      <c r="O845" s="686"/>
      <c r="P845" s="686"/>
      <c r="Q845" s="666"/>
      <c r="R845" s="686"/>
      <c r="S845" s="686"/>
      <c r="T845" s="688"/>
      <c r="U845" s="688"/>
      <c r="V845" s="686"/>
      <c r="W845" s="686"/>
      <c r="X845" s="686"/>
      <c r="Y845" s="686"/>
      <c r="Z845" s="686"/>
      <c r="AA845" s="669"/>
      <c r="AB845" s="695"/>
      <c r="AC845" s="669"/>
    </row>
    <row r="846" ht="18.0" customHeight="1">
      <c r="A846" s="695"/>
      <c r="B846" s="695"/>
      <c r="C846" s="695"/>
      <c r="D846" s="695"/>
      <c r="E846" s="695"/>
      <c r="F846" s="686"/>
      <c r="G846" s="695"/>
      <c r="H846" s="695"/>
      <c r="I846" s="695"/>
      <c r="J846" s="731"/>
      <c r="K846" s="695"/>
      <c r="L846" s="686"/>
      <c r="M846" s="686"/>
      <c r="N846" s="686"/>
      <c r="O846" s="686"/>
      <c r="P846" s="686"/>
      <c r="Q846" s="666"/>
      <c r="R846" s="686"/>
      <c r="S846" s="686"/>
      <c r="T846" s="688"/>
      <c r="U846" s="688"/>
      <c r="V846" s="686"/>
      <c r="W846" s="686"/>
      <c r="X846" s="686"/>
      <c r="Y846" s="686"/>
      <c r="Z846" s="686"/>
      <c r="AA846" s="669"/>
      <c r="AB846" s="695"/>
      <c r="AC846" s="669"/>
    </row>
    <row r="847" ht="18.0" customHeight="1">
      <c r="A847" s="695"/>
      <c r="B847" s="695"/>
      <c r="C847" s="695"/>
      <c r="D847" s="695"/>
      <c r="E847" s="695"/>
      <c r="F847" s="686"/>
      <c r="G847" s="695"/>
      <c r="H847" s="695"/>
      <c r="I847" s="695"/>
      <c r="J847" s="731"/>
      <c r="K847" s="695"/>
      <c r="L847" s="686"/>
      <c r="M847" s="686"/>
      <c r="N847" s="686"/>
      <c r="O847" s="686"/>
      <c r="P847" s="686"/>
      <c r="Q847" s="666"/>
      <c r="R847" s="686"/>
      <c r="S847" s="686"/>
      <c r="T847" s="688"/>
      <c r="U847" s="688"/>
      <c r="V847" s="686"/>
      <c r="W847" s="686"/>
      <c r="X847" s="686"/>
      <c r="Y847" s="686"/>
      <c r="Z847" s="686"/>
      <c r="AA847" s="669"/>
      <c r="AB847" s="695"/>
      <c r="AC847" s="669"/>
    </row>
    <row r="848" ht="18.0" customHeight="1">
      <c r="A848" s="695"/>
      <c r="B848" s="695"/>
      <c r="C848" s="695"/>
      <c r="D848" s="695"/>
      <c r="E848" s="695"/>
      <c r="F848" s="686"/>
      <c r="G848" s="695"/>
      <c r="H848" s="695"/>
      <c r="I848" s="695"/>
      <c r="J848" s="731"/>
      <c r="K848" s="695"/>
      <c r="L848" s="686"/>
      <c r="M848" s="686"/>
      <c r="N848" s="686"/>
      <c r="O848" s="686"/>
      <c r="P848" s="686"/>
      <c r="Q848" s="666"/>
      <c r="R848" s="686"/>
      <c r="S848" s="686"/>
      <c r="T848" s="688"/>
      <c r="U848" s="688"/>
      <c r="V848" s="686"/>
      <c r="W848" s="686"/>
      <c r="X848" s="686"/>
      <c r="Y848" s="686"/>
      <c r="Z848" s="686"/>
      <c r="AA848" s="669"/>
      <c r="AB848" s="695"/>
      <c r="AC848" s="669"/>
    </row>
    <row r="849" ht="18.0" customHeight="1">
      <c r="A849" s="695"/>
      <c r="B849" s="695"/>
      <c r="C849" s="695"/>
      <c r="D849" s="695"/>
      <c r="E849" s="695"/>
      <c r="F849" s="686"/>
      <c r="G849" s="695"/>
      <c r="H849" s="695"/>
      <c r="I849" s="695"/>
      <c r="J849" s="731"/>
      <c r="K849" s="695"/>
      <c r="L849" s="686"/>
      <c r="M849" s="686"/>
      <c r="N849" s="686"/>
      <c r="O849" s="686"/>
      <c r="P849" s="686"/>
      <c r="Q849" s="666"/>
      <c r="R849" s="686"/>
      <c r="S849" s="686"/>
      <c r="T849" s="688"/>
      <c r="U849" s="688"/>
      <c r="V849" s="686"/>
      <c r="W849" s="686"/>
      <c r="X849" s="686"/>
      <c r="Y849" s="686"/>
      <c r="Z849" s="686"/>
      <c r="AA849" s="669"/>
      <c r="AB849" s="695"/>
      <c r="AC849" s="669"/>
    </row>
    <row r="850" ht="18.0" customHeight="1">
      <c r="A850" s="695"/>
      <c r="B850" s="695"/>
      <c r="C850" s="695"/>
      <c r="D850" s="695"/>
      <c r="E850" s="695"/>
      <c r="F850" s="686"/>
      <c r="G850" s="695"/>
      <c r="H850" s="695"/>
      <c r="I850" s="695"/>
      <c r="J850" s="731"/>
      <c r="K850" s="695"/>
      <c r="L850" s="686"/>
      <c r="M850" s="686"/>
      <c r="N850" s="686"/>
      <c r="O850" s="686"/>
      <c r="P850" s="686"/>
      <c r="Q850" s="666"/>
      <c r="R850" s="686"/>
      <c r="S850" s="686"/>
      <c r="T850" s="688"/>
      <c r="U850" s="688"/>
      <c r="V850" s="686"/>
      <c r="W850" s="686"/>
      <c r="X850" s="686"/>
      <c r="Y850" s="686"/>
      <c r="Z850" s="686"/>
      <c r="AA850" s="669"/>
      <c r="AB850" s="695"/>
      <c r="AC850" s="669"/>
    </row>
    <row r="851" ht="18.0" customHeight="1">
      <c r="A851" s="695"/>
      <c r="B851" s="695"/>
      <c r="C851" s="695"/>
      <c r="D851" s="695"/>
      <c r="E851" s="695"/>
      <c r="F851" s="686"/>
      <c r="G851" s="695"/>
      <c r="H851" s="695"/>
      <c r="I851" s="695"/>
      <c r="J851" s="731"/>
      <c r="K851" s="695"/>
      <c r="L851" s="686"/>
      <c r="M851" s="686"/>
      <c r="N851" s="686"/>
      <c r="O851" s="686"/>
      <c r="P851" s="686"/>
      <c r="Q851" s="666"/>
      <c r="R851" s="686"/>
      <c r="S851" s="686"/>
      <c r="T851" s="688"/>
      <c r="U851" s="688"/>
      <c r="V851" s="686"/>
      <c r="W851" s="686"/>
      <c r="X851" s="686"/>
      <c r="Y851" s="686"/>
      <c r="Z851" s="686"/>
      <c r="AA851" s="669"/>
      <c r="AB851" s="695"/>
      <c r="AC851" s="669"/>
    </row>
    <row r="852" ht="18.0" customHeight="1">
      <c r="A852" s="695"/>
      <c r="B852" s="695"/>
      <c r="C852" s="695"/>
      <c r="D852" s="695"/>
      <c r="E852" s="695"/>
      <c r="F852" s="686"/>
      <c r="G852" s="695"/>
      <c r="H852" s="695"/>
      <c r="I852" s="695"/>
      <c r="J852" s="731"/>
      <c r="K852" s="695"/>
      <c r="L852" s="686"/>
      <c r="M852" s="686"/>
      <c r="N852" s="686"/>
      <c r="O852" s="686"/>
      <c r="P852" s="686"/>
      <c r="Q852" s="666"/>
      <c r="R852" s="686"/>
      <c r="S852" s="686"/>
      <c r="T852" s="688"/>
      <c r="U852" s="688"/>
      <c r="V852" s="686"/>
      <c r="W852" s="686"/>
      <c r="X852" s="686"/>
      <c r="Y852" s="686"/>
      <c r="Z852" s="686"/>
      <c r="AA852" s="669"/>
      <c r="AB852" s="695"/>
      <c r="AC852" s="669"/>
    </row>
    <row r="853" ht="18.0" customHeight="1">
      <c r="A853" s="695"/>
      <c r="B853" s="695"/>
      <c r="C853" s="695"/>
      <c r="D853" s="695"/>
      <c r="E853" s="695"/>
      <c r="F853" s="686"/>
      <c r="G853" s="695"/>
      <c r="H853" s="695"/>
      <c r="I853" s="695"/>
      <c r="J853" s="731"/>
      <c r="K853" s="695"/>
      <c r="L853" s="686"/>
      <c r="M853" s="686"/>
      <c r="N853" s="686"/>
      <c r="O853" s="686"/>
      <c r="P853" s="686"/>
      <c r="Q853" s="666"/>
      <c r="R853" s="686"/>
      <c r="S853" s="686"/>
      <c r="T853" s="688"/>
      <c r="U853" s="688"/>
      <c r="V853" s="686"/>
      <c r="W853" s="686"/>
      <c r="X853" s="686"/>
      <c r="Y853" s="686"/>
      <c r="Z853" s="686"/>
      <c r="AA853" s="669"/>
      <c r="AB853" s="695"/>
      <c r="AC853" s="669"/>
    </row>
    <row r="854" ht="18.0" customHeight="1">
      <c r="A854" s="695"/>
      <c r="B854" s="695"/>
      <c r="C854" s="695"/>
      <c r="D854" s="695"/>
      <c r="E854" s="695"/>
      <c r="F854" s="686"/>
      <c r="G854" s="695"/>
      <c r="H854" s="695"/>
      <c r="I854" s="695"/>
      <c r="J854" s="731"/>
      <c r="K854" s="695"/>
      <c r="L854" s="686"/>
      <c r="M854" s="686"/>
      <c r="N854" s="686"/>
      <c r="O854" s="686"/>
      <c r="P854" s="686"/>
      <c r="Q854" s="666"/>
      <c r="R854" s="686"/>
      <c r="S854" s="686"/>
      <c r="T854" s="688"/>
      <c r="U854" s="688"/>
      <c r="V854" s="686"/>
      <c r="W854" s="686"/>
      <c r="X854" s="686"/>
      <c r="Y854" s="686"/>
      <c r="Z854" s="686"/>
      <c r="AA854" s="669"/>
      <c r="AB854" s="695"/>
      <c r="AC854" s="669"/>
    </row>
    <row r="855" ht="18.0" customHeight="1">
      <c r="A855" s="695"/>
      <c r="B855" s="695"/>
      <c r="C855" s="695"/>
      <c r="D855" s="695"/>
      <c r="E855" s="695"/>
      <c r="F855" s="686"/>
      <c r="G855" s="695"/>
      <c r="H855" s="695"/>
      <c r="I855" s="695"/>
      <c r="J855" s="731"/>
      <c r="K855" s="695"/>
      <c r="L855" s="686"/>
      <c r="M855" s="686"/>
      <c r="N855" s="686"/>
      <c r="O855" s="686"/>
      <c r="P855" s="686"/>
      <c r="Q855" s="666"/>
      <c r="R855" s="686"/>
      <c r="S855" s="686"/>
      <c r="T855" s="688"/>
      <c r="U855" s="688"/>
      <c r="V855" s="686"/>
      <c r="W855" s="686"/>
      <c r="X855" s="686"/>
      <c r="Y855" s="686"/>
      <c r="Z855" s="686"/>
      <c r="AA855" s="669"/>
      <c r="AB855" s="695"/>
      <c r="AC855" s="669"/>
    </row>
    <row r="856" ht="18.0" customHeight="1">
      <c r="A856" s="695"/>
      <c r="B856" s="695"/>
      <c r="C856" s="695"/>
      <c r="D856" s="695"/>
      <c r="E856" s="695"/>
      <c r="F856" s="686"/>
      <c r="G856" s="695"/>
      <c r="H856" s="695"/>
      <c r="I856" s="695"/>
      <c r="J856" s="731"/>
      <c r="K856" s="695"/>
      <c r="L856" s="686"/>
      <c r="M856" s="686"/>
      <c r="N856" s="686"/>
      <c r="O856" s="686"/>
      <c r="P856" s="686"/>
      <c r="Q856" s="666"/>
      <c r="R856" s="686"/>
      <c r="S856" s="686"/>
      <c r="T856" s="688"/>
      <c r="U856" s="688"/>
      <c r="V856" s="686"/>
      <c r="W856" s="686"/>
      <c r="X856" s="686"/>
      <c r="Y856" s="686"/>
      <c r="Z856" s="686"/>
      <c r="AA856" s="669"/>
      <c r="AB856" s="695"/>
      <c r="AC856" s="669"/>
    </row>
    <row r="857" ht="18.0" customHeight="1">
      <c r="A857" s="695"/>
      <c r="B857" s="695"/>
      <c r="C857" s="695"/>
      <c r="D857" s="695"/>
      <c r="E857" s="695"/>
      <c r="F857" s="686"/>
      <c r="G857" s="695"/>
      <c r="H857" s="695"/>
      <c r="I857" s="695"/>
      <c r="J857" s="731"/>
      <c r="K857" s="695"/>
      <c r="L857" s="686"/>
      <c r="M857" s="686"/>
      <c r="N857" s="686"/>
      <c r="O857" s="686"/>
      <c r="P857" s="686"/>
      <c r="Q857" s="666"/>
      <c r="R857" s="686"/>
      <c r="S857" s="686"/>
      <c r="T857" s="688"/>
      <c r="U857" s="688"/>
      <c r="V857" s="686"/>
      <c r="W857" s="686"/>
      <c r="X857" s="686"/>
      <c r="Y857" s="686"/>
      <c r="Z857" s="686"/>
      <c r="AA857" s="669"/>
      <c r="AB857" s="695"/>
      <c r="AC857" s="669"/>
    </row>
    <row r="858" ht="18.0" customHeight="1">
      <c r="A858" s="695"/>
      <c r="B858" s="695"/>
      <c r="C858" s="695"/>
      <c r="D858" s="695"/>
      <c r="E858" s="695"/>
      <c r="F858" s="686"/>
      <c r="G858" s="695"/>
      <c r="H858" s="695"/>
      <c r="I858" s="695"/>
      <c r="J858" s="731"/>
      <c r="K858" s="695"/>
      <c r="L858" s="686"/>
      <c r="M858" s="686"/>
      <c r="N858" s="686"/>
      <c r="O858" s="686"/>
      <c r="P858" s="686"/>
      <c r="Q858" s="666"/>
      <c r="R858" s="686"/>
      <c r="S858" s="686"/>
      <c r="T858" s="688"/>
      <c r="U858" s="688"/>
      <c r="V858" s="686"/>
      <c r="W858" s="686"/>
      <c r="X858" s="686"/>
      <c r="Y858" s="686"/>
      <c r="Z858" s="686"/>
      <c r="AA858" s="669"/>
      <c r="AB858" s="695"/>
      <c r="AC858" s="669"/>
    </row>
    <row r="859" ht="18.0" customHeight="1">
      <c r="A859" s="695"/>
      <c r="B859" s="695"/>
      <c r="C859" s="695"/>
      <c r="D859" s="695"/>
      <c r="E859" s="695"/>
      <c r="F859" s="686"/>
      <c r="G859" s="695"/>
      <c r="H859" s="695"/>
      <c r="I859" s="695"/>
      <c r="J859" s="731"/>
      <c r="K859" s="695"/>
      <c r="L859" s="686"/>
      <c r="M859" s="686"/>
      <c r="N859" s="686"/>
      <c r="O859" s="686"/>
      <c r="P859" s="686"/>
      <c r="Q859" s="666"/>
      <c r="R859" s="686"/>
      <c r="S859" s="686"/>
      <c r="T859" s="688"/>
      <c r="U859" s="688"/>
      <c r="V859" s="686"/>
      <c r="W859" s="686"/>
      <c r="X859" s="686"/>
      <c r="Y859" s="686"/>
      <c r="Z859" s="686"/>
      <c r="AA859" s="669"/>
      <c r="AB859" s="695"/>
      <c r="AC859" s="669"/>
    </row>
    <row r="860" ht="18.0" customHeight="1">
      <c r="A860" s="695"/>
      <c r="B860" s="695"/>
      <c r="C860" s="695"/>
      <c r="D860" s="695"/>
      <c r="E860" s="695"/>
      <c r="F860" s="686"/>
      <c r="G860" s="695"/>
      <c r="H860" s="695"/>
      <c r="I860" s="695"/>
      <c r="J860" s="731"/>
      <c r="K860" s="695"/>
      <c r="L860" s="686"/>
      <c r="M860" s="686"/>
      <c r="N860" s="686"/>
      <c r="O860" s="686"/>
      <c r="P860" s="686"/>
      <c r="Q860" s="666"/>
      <c r="R860" s="686"/>
      <c r="S860" s="686"/>
      <c r="T860" s="688"/>
      <c r="U860" s="688"/>
      <c r="V860" s="686"/>
      <c r="W860" s="686"/>
      <c r="X860" s="686"/>
      <c r="Y860" s="686"/>
      <c r="Z860" s="686"/>
      <c r="AA860" s="669"/>
      <c r="AB860" s="695"/>
      <c r="AC860" s="669"/>
    </row>
    <row r="861" ht="18.0" customHeight="1">
      <c r="A861" s="695"/>
      <c r="B861" s="695"/>
      <c r="C861" s="695"/>
      <c r="D861" s="695"/>
      <c r="E861" s="695"/>
      <c r="F861" s="686"/>
      <c r="G861" s="695"/>
      <c r="H861" s="695"/>
      <c r="I861" s="695"/>
      <c r="J861" s="731"/>
      <c r="K861" s="695"/>
      <c r="L861" s="686"/>
      <c r="M861" s="686"/>
      <c r="N861" s="686"/>
      <c r="O861" s="686"/>
      <c r="P861" s="686"/>
      <c r="Q861" s="666"/>
      <c r="R861" s="686"/>
      <c r="S861" s="686"/>
      <c r="T861" s="688"/>
      <c r="U861" s="688"/>
      <c r="V861" s="686"/>
      <c r="W861" s="686"/>
      <c r="X861" s="686"/>
      <c r="Y861" s="686"/>
      <c r="Z861" s="686"/>
      <c r="AA861" s="669"/>
      <c r="AB861" s="695"/>
      <c r="AC861" s="669"/>
    </row>
    <row r="862" ht="18.0" customHeight="1">
      <c r="A862" s="695"/>
      <c r="B862" s="695"/>
      <c r="C862" s="695"/>
      <c r="D862" s="695"/>
      <c r="E862" s="695"/>
      <c r="F862" s="686"/>
      <c r="G862" s="695"/>
      <c r="H862" s="695"/>
      <c r="I862" s="695"/>
      <c r="J862" s="731"/>
      <c r="K862" s="695"/>
      <c r="L862" s="686"/>
      <c r="M862" s="686"/>
      <c r="N862" s="686"/>
      <c r="O862" s="686"/>
      <c r="P862" s="686"/>
      <c r="Q862" s="666"/>
      <c r="R862" s="686"/>
      <c r="S862" s="686"/>
      <c r="T862" s="688"/>
      <c r="U862" s="688"/>
      <c r="V862" s="686"/>
      <c r="W862" s="686"/>
      <c r="X862" s="686"/>
      <c r="Y862" s="686"/>
      <c r="Z862" s="686"/>
      <c r="AA862" s="669"/>
      <c r="AB862" s="695"/>
      <c r="AC862" s="669"/>
    </row>
    <row r="863" ht="18.0" customHeight="1">
      <c r="A863" s="695"/>
      <c r="B863" s="695"/>
      <c r="C863" s="695"/>
      <c r="D863" s="695"/>
      <c r="E863" s="695"/>
      <c r="F863" s="686"/>
      <c r="G863" s="695"/>
      <c r="H863" s="695"/>
      <c r="I863" s="695"/>
      <c r="J863" s="731"/>
      <c r="K863" s="695"/>
      <c r="L863" s="686"/>
      <c r="M863" s="686"/>
      <c r="N863" s="686"/>
      <c r="O863" s="686"/>
      <c r="P863" s="686"/>
      <c r="Q863" s="666"/>
      <c r="R863" s="686"/>
      <c r="S863" s="686"/>
      <c r="T863" s="688"/>
      <c r="U863" s="688"/>
      <c r="V863" s="686"/>
      <c r="W863" s="686"/>
      <c r="X863" s="686"/>
      <c r="Y863" s="686"/>
      <c r="Z863" s="686"/>
      <c r="AA863" s="669"/>
      <c r="AB863" s="695"/>
      <c r="AC863" s="669"/>
    </row>
    <row r="864" ht="18.0" customHeight="1">
      <c r="A864" s="695"/>
      <c r="B864" s="695"/>
      <c r="C864" s="695"/>
      <c r="D864" s="695"/>
      <c r="E864" s="695"/>
      <c r="F864" s="686"/>
      <c r="G864" s="695"/>
      <c r="H864" s="695"/>
      <c r="I864" s="695"/>
      <c r="J864" s="731"/>
      <c r="K864" s="695"/>
      <c r="L864" s="686"/>
      <c r="M864" s="686"/>
      <c r="N864" s="686"/>
      <c r="O864" s="686"/>
      <c r="P864" s="686"/>
      <c r="Q864" s="666"/>
      <c r="R864" s="686"/>
      <c r="S864" s="686"/>
      <c r="T864" s="688"/>
      <c r="U864" s="688"/>
      <c r="V864" s="686"/>
      <c r="W864" s="686"/>
      <c r="X864" s="686"/>
      <c r="Y864" s="686"/>
      <c r="Z864" s="686"/>
      <c r="AA864" s="669"/>
      <c r="AB864" s="695"/>
      <c r="AC864" s="669"/>
    </row>
    <row r="865" ht="18.0" customHeight="1">
      <c r="A865" s="695"/>
      <c r="B865" s="695"/>
      <c r="C865" s="695"/>
      <c r="D865" s="695"/>
      <c r="E865" s="695"/>
      <c r="F865" s="686"/>
      <c r="G865" s="695"/>
      <c r="H865" s="695"/>
      <c r="I865" s="695"/>
      <c r="J865" s="731"/>
      <c r="K865" s="695"/>
      <c r="L865" s="686"/>
      <c r="M865" s="686"/>
      <c r="N865" s="686"/>
      <c r="O865" s="686"/>
      <c r="P865" s="686"/>
      <c r="Q865" s="666"/>
      <c r="R865" s="686"/>
      <c r="S865" s="686"/>
      <c r="T865" s="688"/>
      <c r="U865" s="688"/>
      <c r="V865" s="686"/>
      <c r="W865" s="686"/>
      <c r="X865" s="686"/>
      <c r="Y865" s="686"/>
      <c r="Z865" s="686"/>
      <c r="AA865" s="669"/>
      <c r="AB865" s="695"/>
      <c r="AC865" s="669"/>
    </row>
    <row r="866" ht="18.0" customHeight="1">
      <c r="A866" s="695"/>
      <c r="B866" s="695"/>
      <c r="C866" s="695"/>
      <c r="D866" s="695"/>
      <c r="E866" s="695"/>
      <c r="F866" s="686"/>
      <c r="G866" s="695"/>
      <c r="H866" s="695"/>
      <c r="I866" s="695"/>
      <c r="J866" s="731"/>
      <c r="K866" s="695"/>
      <c r="L866" s="686"/>
      <c r="M866" s="686"/>
      <c r="N866" s="686"/>
      <c r="O866" s="686"/>
      <c r="P866" s="686"/>
      <c r="Q866" s="666"/>
      <c r="R866" s="686"/>
      <c r="S866" s="686"/>
      <c r="T866" s="688"/>
      <c r="U866" s="688"/>
      <c r="V866" s="686"/>
      <c r="W866" s="686"/>
      <c r="X866" s="686"/>
      <c r="Y866" s="686"/>
      <c r="Z866" s="686"/>
      <c r="AA866" s="669"/>
      <c r="AB866" s="695"/>
      <c r="AC866" s="669"/>
    </row>
    <row r="867" ht="18.0" customHeight="1">
      <c r="A867" s="695"/>
      <c r="B867" s="695"/>
      <c r="C867" s="695"/>
      <c r="D867" s="695"/>
      <c r="E867" s="695"/>
      <c r="F867" s="686"/>
      <c r="G867" s="695"/>
      <c r="H867" s="695"/>
      <c r="I867" s="695"/>
      <c r="J867" s="731"/>
      <c r="K867" s="695"/>
      <c r="L867" s="686"/>
      <c r="M867" s="686"/>
      <c r="N867" s="686"/>
      <c r="O867" s="686"/>
      <c r="P867" s="686"/>
      <c r="Q867" s="666"/>
      <c r="R867" s="686"/>
      <c r="S867" s="686"/>
      <c r="T867" s="688"/>
      <c r="U867" s="688"/>
      <c r="V867" s="686"/>
      <c r="W867" s="686"/>
      <c r="X867" s="686"/>
      <c r="Y867" s="686"/>
      <c r="Z867" s="686"/>
      <c r="AA867" s="669"/>
      <c r="AB867" s="695"/>
      <c r="AC867" s="669"/>
    </row>
    <row r="868" ht="18.0" customHeight="1">
      <c r="A868" s="695"/>
      <c r="B868" s="695"/>
      <c r="C868" s="695"/>
      <c r="D868" s="695"/>
      <c r="E868" s="695"/>
      <c r="F868" s="686"/>
      <c r="G868" s="695"/>
      <c r="H868" s="695"/>
      <c r="I868" s="695"/>
      <c r="J868" s="731"/>
      <c r="K868" s="695"/>
      <c r="L868" s="686"/>
      <c r="M868" s="686"/>
      <c r="N868" s="686"/>
      <c r="O868" s="686"/>
      <c r="P868" s="686"/>
      <c r="Q868" s="666"/>
      <c r="R868" s="686"/>
      <c r="S868" s="686"/>
      <c r="T868" s="688"/>
      <c r="U868" s="688"/>
      <c r="V868" s="686"/>
      <c r="W868" s="686"/>
      <c r="X868" s="686"/>
      <c r="Y868" s="686"/>
      <c r="Z868" s="686"/>
      <c r="AA868" s="669"/>
      <c r="AB868" s="695"/>
      <c r="AC868" s="669"/>
    </row>
    <row r="869" ht="18.0" customHeight="1">
      <c r="A869" s="695"/>
      <c r="B869" s="695"/>
      <c r="C869" s="695"/>
      <c r="D869" s="695"/>
      <c r="E869" s="695"/>
      <c r="F869" s="686"/>
      <c r="G869" s="695"/>
      <c r="H869" s="695"/>
      <c r="I869" s="695"/>
      <c r="J869" s="731"/>
      <c r="K869" s="695"/>
      <c r="L869" s="686"/>
      <c r="M869" s="686"/>
      <c r="N869" s="686"/>
      <c r="O869" s="686"/>
      <c r="P869" s="686"/>
      <c r="Q869" s="666"/>
      <c r="R869" s="686"/>
      <c r="S869" s="686"/>
      <c r="T869" s="688"/>
      <c r="U869" s="688"/>
      <c r="V869" s="686"/>
      <c r="W869" s="686"/>
      <c r="X869" s="686"/>
      <c r="Y869" s="686"/>
      <c r="Z869" s="686"/>
      <c r="AA869" s="669"/>
      <c r="AB869" s="695"/>
      <c r="AC869" s="669"/>
    </row>
    <row r="870" ht="18.0" customHeight="1">
      <c r="A870" s="695"/>
      <c r="B870" s="695"/>
      <c r="C870" s="695"/>
      <c r="D870" s="695"/>
      <c r="E870" s="695"/>
      <c r="F870" s="686"/>
      <c r="G870" s="695"/>
      <c r="H870" s="695"/>
      <c r="I870" s="695"/>
      <c r="J870" s="731"/>
      <c r="K870" s="695"/>
      <c r="L870" s="686"/>
      <c r="M870" s="686"/>
      <c r="N870" s="686"/>
      <c r="O870" s="686"/>
      <c r="P870" s="686"/>
      <c r="Q870" s="666"/>
      <c r="R870" s="686"/>
      <c r="S870" s="686"/>
      <c r="T870" s="688"/>
      <c r="U870" s="688"/>
      <c r="V870" s="686"/>
      <c r="W870" s="686"/>
      <c r="X870" s="686"/>
      <c r="Y870" s="686"/>
      <c r="Z870" s="686"/>
      <c r="AA870" s="669"/>
      <c r="AB870" s="695"/>
      <c r="AC870" s="669"/>
    </row>
    <row r="871" ht="18.0" customHeight="1">
      <c r="A871" s="695"/>
      <c r="B871" s="695"/>
      <c r="C871" s="695"/>
      <c r="D871" s="695"/>
      <c r="E871" s="695"/>
      <c r="F871" s="686"/>
      <c r="G871" s="695"/>
      <c r="H871" s="695"/>
      <c r="I871" s="695"/>
      <c r="J871" s="731"/>
      <c r="K871" s="695"/>
      <c r="L871" s="686"/>
      <c r="M871" s="686"/>
      <c r="N871" s="686"/>
      <c r="O871" s="686"/>
      <c r="P871" s="686"/>
      <c r="Q871" s="666"/>
      <c r="R871" s="686"/>
      <c r="S871" s="686"/>
      <c r="T871" s="688"/>
      <c r="U871" s="688"/>
      <c r="V871" s="686"/>
      <c r="W871" s="686"/>
      <c r="X871" s="686"/>
      <c r="Y871" s="686"/>
      <c r="Z871" s="686"/>
      <c r="AA871" s="669"/>
      <c r="AB871" s="695"/>
      <c r="AC871" s="669"/>
    </row>
    <row r="872" ht="18.0" customHeight="1">
      <c r="A872" s="695"/>
      <c r="B872" s="695"/>
      <c r="C872" s="695"/>
      <c r="D872" s="695"/>
      <c r="E872" s="695"/>
      <c r="F872" s="686"/>
      <c r="G872" s="695"/>
      <c r="H872" s="695"/>
      <c r="I872" s="695"/>
      <c r="J872" s="731"/>
      <c r="K872" s="695"/>
      <c r="L872" s="686"/>
      <c r="M872" s="686"/>
      <c r="N872" s="686"/>
      <c r="O872" s="686"/>
      <c r="P872" s="686"/>
      <c r="Q872" s="666"/>
      <c r="R872" s="686"/>
      <c r="S872" s="686"/>
      <c r="T872" s="688"/>
      <c r="U872" s="688"/>
      <c r="V872" s="686"/>
      <c r="W872" s="686"/>
      <c r="X872" s="686"/>
      <c r="Y872" s="686"/>
      <c r="Z872" s="686"/>
      <c r="AA872" s="669"/>
      <c r="AB872" s="695"/>
      <c r="AC872" s="669"/>
    </row>
    <row r="873" ht="18.0" customHeight="1">
      <c r="A873" s="695"/>
      <c r="B873" s="695"/>
      <c r="C873" s="695"/>
      <c r="D873" s="695"/>
      <c r="E873" s="695"/>
      <c r="F873" s="686"/>
      <c r="G873" s="695"/>
      <c r="H873" s="695"/>
      <c r="I873" s="695"/>
      <c r="J873" s="731"/>
      <c r="K873" s="695"/>
      <c r="L873" s="686"/>
      <c r="M873" s="686"/>
      <c r="N873" s="686"/>
      <c r="O873" s="686"/>
      <c r="P873" s="686"/>
      <c r="Q873" s="666"/>
      <c r="R873" s="686"/>
      <c r="S873" s="686"/>
      <c r="T873" s="688"/>
      <c r="U873" s="688"/>
      <c r="V873" s="686"/>
      <c r="W873" s="686"/>
      <c r="X873" s="686"/>
      <c r="Y873" s="686"/>
      <c r="Z873" s="686"/>
      <c r="AA873" s="669"/>
      <c r="AB873" s="695"/>
      <c r="AC873" s="669"/>
    </row>
    <row r="874" ht="18.0" customHeight="1">
      <c r="A874" s="695"/>
      <c r="B874" s="695"/>
      <c r="C874" s="695"/>
      <c r="D874" s="695"/>
      <c r="E874" s="695"/>
      <c r="F874" s="686"/>
      <c r="G874" s="695"/>
      <c r="H874" s="695"/>
      <c r="I874" s="695"/>
      <c r="J874" s="731"/>
      <c r="K874" s="695"/>
      <c r="L874" s="686"/>
      <c r="M874" s="686"/>
      <c r="N874" s="686"/>
      <c r="O874" s="686"/>
      <c r="P874" s="686"/>
      <c r="Q874" s="666"/>
      <c r="R874" s="686"/>
      <c r="S874" s="686"/>
      <c r="T874" s="688"/>
      <c r="U874" s="688"/>
      <c r="V874" s="686"/>
      <c r="W874" s="686"/>
      <c r="X874" s="686"/>
      <c r="Y874" s="686"/>
      <c r="Z874" s="686"/>
      <c r="AA874" s="669"/>
      <c r="AB874" s="695"/>
      <c r="AC874" s="669"/>
    </row>
    <row r="875" ht="18.0" customHeight="1">
      <c r="A875" s="695"/>
      <c r="B875" s="695"/>
      <c r="C875" s="695"/>
      <c r="D875" s="695"/>
      <c r="E875" s="695"/>
      <c r="F875" s="686"/>
      <c r="G875" s="695"/>
      <c r="H875" s="695"/>
      <c r="I875" s="695"/>
      <c r="J875" s="731"/>
      <c r="K875" s="695"/>
      <c r="L875" s="686"/>
      <c r="M875" s="686"/>
      <c r="N875" s="686"/>
      <c r="O875" s="686"/>
      <c r="P875" s="686"/>
      <c r="Q875" s="666"/>
      <c r="R875" s="686"/>
      <c r="S875" s="686"/>
      <c r="T875" s="688"/>
      <c r="U875" s="688"/>
      <c r="V875" s="686"/>
      <c r="W875" s="686"/>
      <c r="X875" s="686"/>
      <c r="Y875" s="686"/>
      <c r="Z875" s="686"/>
      <c r="AA875" s="669"/>
      <c r="AB875" s="695"/>
      <c r="AC875" s="669"/>
    </row>
    <row r="876" ht="18.0" customHeight="1">
      <c r="A876" s="695"/>
      <c r="B876" s="695"/>
      <c r="C876" s="695"/>
      <c r="D876" s="695"/>
      <c r="E876" s="695"/>
      <c r="F876" s="686"/>
      <c r="G876" s="695"/>
      <c r="H876" s="695"/>
      <c r="I876" s="695"/>
      <c r="J876" s="731"/>
      <c r="K876" s="695"/>
      <c r="L876" s="686"/>
      <c r="M876" s="686"/>
      <c r="N876" s="686"/>
      <c r="O876" s="686"/>
      <c r="P876" s="686"/>
      <c r="Q876" s="666"/>
      <c r="R876" s="686"/>
      <c r="S876" s="686"/>
      <c r="T876" s="688"/>
      <c r="U876" s="688"/>
      <c r="V876" s="686"/>
      <c r="W876" s="686"/>
      <c r="X876" s="686"/>
      <c r="Y876" s="686"/>
      <c r="Z876" s="686"/>
      <c r="AA876" s="669"/>
      <c r="AB876" s="695"/>
      <c r="AC876" s="669"/>
    </row>
    <row r="877" ht="18.0" customHeight="1">
      <c r="A877" s="695"/>
      <c r="B877" s="695"/>
      <c r="C877" s="695"/>
      <c r="D877" s="695"/>
      <c r="E877" s="695"/>
      <c r="F877" s="686"/>
      <c r="G877" s="695"/>
      <c r="H877" s="695"/>
      <c r="I877" s="695"/>
      <c r="J877" s="731"/>
      <c r="K877" s="695"/>
      <c r="L877" s="686"/>
      <c r="M877" s="686"/>
      <c r="N877" s="686"/>
      <c r="O877" s="686"/>
      <c r="P877" s="686"/>
      <c r="Q877" s="666"/>
      <c r="R877" s="686"/>
      <c r="S877" s="686"/>
      <c r="T877" s="688"/>
      <c r="U877" s="688"/>
      <c r="V877" s="686"/>
      <c r="W877" s="686"/>
      <c r="X877" s="686"/>
      <c r="Y877" s="686"/>
      <c r="Z877" s="686"/>
      <c r="AA877" s="669"/>
      <c r="AB877" s="695"/>
      <c r="AC877" s="669"/>
    </row>
    <row r="878" ht="18.0" customHeight="1">
      <c r="A878" s="695"/>
      <c r="B878" s="695"/>
      <c r="C878" s="695"/>
      <c r="D878" s="695"/>
      <c r="E878" s="695"/>
      <c r="F878" s="686"/>
      <c r="G878" s="695"/>
      <c r="H878" s="695"/>
      <c r="I878" s="695"/>
      <c r="J878" s="731"/>
      <c r="K878" s="695"/>
      <c r="L878" s="686"/>
      <c r="M878" s="686"/>
      <c r="N878" s="686"/>
      <c r="O878" s="686"/>
      <c r="P878" s="686"/>
      <c r="Q878" s="666"/>
      <c r="R878" s="686"/>
      <c r="S878" s="686"/>
      <c r="T878" s="688"/>
      <c r="U878" s="688"/>
      <c r="V878" s="686"/>
      <c r="W878" s="686"/>
      <c r="X878" s="686"/>
      <c r="Y878" s="686"/>
      <c r="Z878" s="686"/>
      <c r="AA878" s="669"/>
      <c r="AB878" s="695"/>
      <c r="AC878" s="669"/>
    </row>
    <row r="879" ht="18.0" customHeight="1">
      <c r="A879" s="695"/>
      <c r="B879" s="695"/>
      <c r="C879" s="695"/>
      <c r="D879" s="695"/>
      <c r="E879" s="695"/>
      <c r="F879" s="686"/>
      <c r="G879" s="695"/>
      <c r="H879" s="695"/>
      <c r="I879" s="695"/>
      <c r="J879" s="731"/>
      <c r="K879" s="695"/>
      <c r="L879" s="686"/>
      <c r="M879" s="686"/>
      <c r="N879" s="686"/>
      <c r="O879" s="686"/>
      <c r="P879" s="686"/>
      <c r="Q879" s="666"/>
      <c r="R879" s="686"/>
      <c r="S879" s="686"/>
      <c r="T879" s="688"/>
      <c r="U879" s="688"/>
      <c r="V879" s="686"/>
      <c r="W879" s="686"/>
      <c r="X879" s="686"/>
      <c r="Y879" s="686"/>
      <c r="Z879" s="686"/>
      <c r="AA879" s="669"/>
      <c r="AB879" s="695"/>
      <c r="AC879" s="669"/>
    </row>
    <row r="880" ht="18.0" customHeight="1">
      <c r="A880" s="695"/>
      <c r="B880" s="695"/>
      <c r="C880" s="695"/>
      <c r="D880" s="695"/>
      <c r="E880" s="695"/>
      <c r="F880" s="686"/>
      <c r="G880" s="695"/>
      <c r="H880" s="695"/>
      <c r="I880" s="695"/>
      <c r="J880" s="731"/>
      <c r="K880" s="695"/>
      <c r="L880" s="686"/>
      <c r="M880" s="686"/>
      <c r="N880" s="686"/>
      <c r="O880" s="686"/>
      <c r="P880" s="686"/>
      <c r="Q880" s="666"/>
      <c r="R880" s="686"/>
      <c r="S880" s="686"/>
      <c r="T880" s="688"/>
      <c r="U880" s="688"/>
      <c r="V880" s="686"/>
      <c r="W880" s="686"/>
      <c r="X880" s="686"/>
      <c r="Y880" s="686"/>
      <c r="Z880" s="686"/>
      <c r="AA880" s="669"/>
      <c r="AB880" s="695"/>
      <c r="AC880" s="669"/>
    </row>
    <row r="881" ht="18.0" customHeight="1">
      <c r="A881" s="695"/>
      <c r="B881" s="695"/>
      <c r="C881" s="695"/>
      <c r="D881" s="695"/>
      <c r="E881" s="695"/>
      <c r="F881" s="686"/>
      <c r="G881" s="695"/>
      <c r="H881" s="695"/>
      <c r="I881" s="695"/>
      <c r="J881" s="731"/>
      <c r="K881" s="695"/>
      <c r="L881" s="686"/>
      <c r="M881" s="686"/>
      <c r="N881" s="686"/>
      <c r="O881" s="686"/>
      <c r="P881" s="686"/>
      <c r="Q881" s="666"/>
      <c r="R881" s="686"/>
      <c r="S881" s="686"/>
      <c r="T881" s="688"/>
      <c r="U881" s="688"/>
      <c r="V881" s="686"/>
      <c r="W881" s="686"/>
      <c r="X881" s="686"/>
      <c r="Y881" s="686"/>
      <c r="Z881" s="686"/>
      <c r="AA881" s="669"/>
      <c r="AB881" s="695"/>
      <c r="AC881" s="669"/>
    </row>
    <row r="882" ht="18.0" customHeight="1">
      <c r="A882" s="695"/>
      <c r="B882" s="695"/>
      <c r="C882" s="695"/>
      <c r="D882" s="695"/>
      <c r="E882" s="695"/>
      <c r="F882" s="686"/>
      <c r="G882" s="695"/>
      <c r="H882" s="695"/>
      <c r="I882" s="695"/>
      <c r="J882" s="731"/>
      <c r="K882" s="695"/>
      <c r="L882" s="686"/>
      <c r="M882" s="686"/>
      <c r="N882" s="686"/>
      <c r="O882" s="686"/>
      <c r="P882" s="686"/>
      <c r="Q882" s="666"/>
      <c r="R882" s="686"/>
      <c r="S882" s="686"/>
      <c r="T882" s="688"/>
      <c r="U882" s="688"/>
      <c r="V882" s="686"/>
      <c r="W882" s="686"/>
      <c r="X882" s="686"/>
      <c r="Y882" s="686"/>
      <c r="Z882" s="686"/>
      <c r="AA882" s="669"/>
      <c r="AB882" s="695"/>
      <c r="AC882" s="669"/>
    </row>
    <row r="883" ht="18.0" customHeight="1">
      <c r="A883" s="695"/>
      <c r="B883" s="695"/>
      <c r="C883" s="695"/>
      <c r="D883" s="695"/>
      <c r="E883" s="695"/>
      <c r="F883" s="686"/>
      <c r="G883" s="695"/>
      <c r="H883" s="695"/>
      <c r="I883" s="695"/>
      <c r="J883" s="731"/>
      <c r="K883" s="695"/>
      <c r="L883" s="686"/>
      <c r="M883" s="686"/>
      <c r="N883" s="686"/>
      <c r="O883" s="686"/>
      <c r="P883" s="686"/>
      <c r="Q883" s="666"/>
      <c r="R883" s="686"/>
      <c r="S883" s="686"/>
      <c r="T883" s="688"/>
      <c r="U883" s="688"/>
      <c r="V883" s="686"/>
      <c r="W883" s="686"/>
      <c r="X883" s="686"/>
      <c r="Y883" s="686"/>
      <c r="Z883" s="686"/>
      <c r="AA883" s="669"/>
      <c r="AB883" s="695"/>
      <c r="AC883" s="669"/>
    </row>
    <row r="884" ht="18.0" customHeight="1">
      <c r="A884" s="695"/>
      <c r="B884" s="695"/>
      <c r="C884" s="695"/>
      <c r="D884" s="695"/>
      <c r="E884" s="695"/>
      <c r="F884" s="686"/>
      <c r="G884" s="695"/>
      <c r="H884" s="695"/>
      <c r="I884" s="695"/>
      <c r="J884" s="731"/>
      <c r="K884" s="695"/>
      <c r="L884" s="686"/>
      <c r="M884" s="686"/>
      <c r="N884" s="686"/>
      <c r="O884" s="686"/>
      <c r="P884" s="686"/>
      <c r="Q884" s="666"/>
      <c r="R884" s="686"/>
      <c r="S884" s="686"/>
      <c r="T884" s="688"/>
      <c r="U884" s="688"/>
      <c r="V884" s="686"/>
      <c r="W884" s="686"/>
      <c r="X884" s="686"/>
      <c r="Y884" s="686"/>
      <c r="Z884" s="686"/>
      <c r="AA884" s="669"/>
      <c r="AB884" s="695"/>
      <c r="AC884" s="669"/>
    </row>
    <row r="885" ht="18.0" customHeight="1">
      <c r="A885" s="695"/>
      <c r="B885" s="695"/>
      <c r="C885" s="695"/>
      <c r="D885" s="695"/>
      <c r="E885" s="695"/>
      <c r="F885" s="686"/>
      <c r="G885" s="695"/>
      <c r="H885" s="695"/>
      <c r="I885" s="695"/>
      <c r="J885" s="731"/>
      <c r="K885" s="695"/>
      <c r="L885" s="686"/>
      <c r="M885" s="686"/>
      <c r="N885" s="686"/>
      <c r="O885" s="686"/>
      <c r="P885" s="686"/>
      <c r="Q885" s="666"/>
      <c r="R885" s="686"/>
      <c r="S885" s="686"/>
      <c r="T885" s="688"/>
      <c r="U885" s="688"/>
      <c r="V885" s="686"/>
      <c r="W885" s="686"/>
      <c r="X885" s="686"/>
      <c r="Y885" s="686"/>
      <c r="Z885" s="686"/>
      <c r="AA885" s="669"/>
      <c r="AB885" s="695"/>
      <c r="AC885" s="669"/>
    </row>
    <row r="886" ht="18.0" customHeight="1">
      <c r="A886" s="695"/>
      <c r="B886" s="695"/>
      <c r="C886" s="695"/>
      <c r="D886" s="695"/>
      <c r="E886" s="695"/>
      <c r="F886" s="686"/>
      <c r="G886" s="695"/>
      <c r="H886" s="695"/>
      <c r="I886" s="695"/>
      <c r="J886" s="731"/>
      <c r="K886" s="695"/>
      <c r="L886" s="686"/>
      <c r="M886" s="686"/>
      <c r="N886" s="686"/>
      <c r="O886" s="686"/>
      <c r="P886" s="686"/>
      <c r="Q886" s="666"/>
      <c r="R886" s="686"/>
      <c r="S886" s="686"/>
      <c r="T886" s="688"/>
      <c r="U886" s="688"/>
      <c r="V886" s="686"/>
      <c r="W886" s="686"/>
      <c r="X886" s="686"/>
      <c r="Y886" s="686"/>
      <c r="Z886" s="686"/>
      <c r="AA886" s="669"/>
      <c r="AB886" s="695"/>
      <c r="AC886" s="669"/>
    </row>
    <row r="887" ht="18.0" customHeight="1">
      <c r="A887" s="695"/>
      <c r="B887" s="695"/>
      <c r="C887" s="695"/>
      <c r="D887" s="695"/>
      <c r="E887" s="695"/>
      <c r="F887" s="686"/>
      <c r="G887" s="695"/>
      <c r="H887" s="695"/>
      <c r="I887" s="695"/>
      <c r="J887" s="731"/>
      <c r="K887" s="695"/>
      <c r="L887" s="686"/>
      <c r="M887" s="686"/>
      <c r="N887" s="686"/>
      <c r="O887" s="686"/>
      <c r="P887" s="686"/>
      <c r="Q887" s="666"/>
      <c r="R887" s="686"/>
      <c r="S887" s="686"/>
      <c r="T887" s="688"/>
      <c r="U887" s="688"/>
      <c r="V887" s="686"/>
      <c r="W887" s="686"/>
      <c r="X887" s="686"/>
      <c r="Y887" s="686"/>
      <c r="Z887" s="686"/>
      <c r="AA887" s="669"/>
      <c r="AB887" s="695"/>
      <c r="AC887" s="669"/>
    </row>
    <row r="888" ht="18.0" customHeight="1">
      <c r="A888" s="695"/>
      <c r="B888" s="695"/>
      <c r="C888" s="695"/>
      <c r="D888" s="695"/>
      <c r="E888" s="695"/>
      <c r="F888" s="686"/>
      <c r="G888" s="695"/>
      <c r="H888" s="695"/>
      <c r="I888" s="695"/>
      <c r="J888" s="731"/>
      <c r="K888" s="695"/>
      <c r="L888" s="686"/>
      <c r="M888" s="686"/>
      <c r="N888" s="686"/>
      <c r="O888" s="686"/>
      <c r="P888" s="686"/>
      <c r="Q888" s="666"/>
      <c r="R888" s="686"/>
      <c r="S888" s="686"/>
      <c r="T888" s="688"/>
      <c r="U888" s="688"/>
      <c r="V888" s="686"/>
      <c r="W888" s="686"/>
      <c r="X888" s="686"/>
      <c r="Y888" s="686"/>
      <c r="Z888" s="686"/>
      <c r="AA888" s="669"/>
      <c r="AB888" s="695"/>
      <c r="AC888" s="669"/>
    </row>
    <row r="889" ht="18.0" customHeight="1">
      <c r="A889" s="695"/>
      <c r="B889" s="695"/>
      <c r="C889" s="695"/>
      <c r="D889" s="695"/>
      <c r="E889" s="695"/>
      <c r="F889" s="686"/>
      <c r="G889" s="695"/>
      <c r="H889" s="695"/>
      <c r="I889" s="695"/>
      <c r="J889" s="731"/>
      <c r="K889" s="695"/>
      <c r="L889" s="686"/>
      <c r="M889" s="686"/>
      <c r="N889" s="686"/>
      <c r="O889" s="686"/>
      <c r="P889" s="686"/>
      <c r="Q889" s="666"/>
      <c r="R889" s="686"/>
      <c r="S889" s="686"/>
      <c r="T889" s="688"/>
      <c r="U889" s="688"/>
      <c r="V889" s="686"/>
      <c r="W889" s="686"/>
      <c r="X889" s="686"/>
      <c r="Y889" s="686"/>
      <c r="Z889" s="686"/>
      <c r="AA889" s="669"/>
      <c r="AB889" s="695"/>
      <c r="AC889" s="669"/>
    </row>
    <row r="890" ht="18.0" customHeight="1">
      <c r="A890" s="695"/>
      <c r="B890" s="695"/>
      <c r="C890" s="695"/>
      <c r="D890" s="695"/>
      <c r="E890" s="695"/>
      <c r="F890" s="686"/>
      <c r="G890" s="695"/>
      <c r="H890" s="695"/>
      <c r="I890" s="695"/>
      <c r="J890" s="731"/>
      <c r="K890" s="695"/>
      <c r="L890" s="686"/>
      <c r="M890" s="686"/>
      <c r="N890" s="686"/>
      <c r="O890" s="686"/>
      <c r="P890" s="686"/>
      <c r="Q890" s="666"/>
      <c r="R890" s="686"/>
      <c r="S890" s="686"/>
      <c r="T890" s="688"/>
      <c r="U890" s="688"/>
      <c r="V890" s="686"/>
      <c r="W890" s="686"/>
      <c r="X890" s="686"/>
      <c r="Y890" s="686"/>
      <c r="Z890" s="686"/>
      <c r="AA890" s="669"/>
      <c r="AB890" s="695"/>
      <c r="AC890" s="669"/>
    </row>
    <row r="891" ht="18.0" customHeight="1">
      <c r="A891" s="695"/>
      <c r="B891" s="695"/>
      <c r="C891" s="695"/>
      <c r="D891" s="695"/>
      <c r="E891" s="695"/>
      <c r="F891" s="686"/>
      <c r="G891" s="695"/>
      <c r="H891" s="695"/>
      <c r="I891" s="695"/>
      <c r="J891" s="731"/>
      <c r="K891" s="695"/>
      <c r="L891" s="686"/>
      <c r="M891" s="686"/>
      <c r="N891" s="686"/>
      <c r="O891" s="686"/>
      <c r="P891" s="686"/>
      <c r="Q891" s="666"/>
      <c r="R891" s="686"/>
      <c r="S891" s="686"/>
      <c r="T891" s="688"/>
      <c r="U891" s="688"/>
      <c r="V891" s="686"/>
      <c r="W891" s="686"/>
      <c r="X891" s="686"/>
      <c r="Y891" s="686"/>
      <c r="Z891" s="686"/>
      <c r="AA891" s="669"/>
      <c r="AB891" s="695"/>
      <c r="AC891" s="669"/>
    </row>
    <row r="892" ht="18.0" customHeight="1">
      <c r="A892" s="695"/>
      <c r="B892" s="695"/>
      <c r="C892" s="695"/>
      <c r="D892" s="695"/>
      <c r="E892" s="695"/>
      <c r="F892" s="686"/>
      <c r="G892" s="695"/>
      <c r="H892" s="695"/>
      <c r="I892" s="695"/>
      <c r="J892" s="731"/>
      <c r="K892" s="695"/>
      <c r="L892" s="686"/>
      <c r="M892" s="686"/>
      <c r="N892" s="686"/>
      <c r="O892" s="686"/>
      <c r="P892" s="686"/>
      <c r="Q892" s="666"/>
      <c r="R892" s="686"/>
      <c r="S892" s="686"/>
      <c r="T892" s="688"/>
      <c r="U892" s="688"/>
      <c r="V892" s="686"/>
      <c r="W892" s="686"/>
      <c r="X892" s="686"/>
      <c r="Y892" s="686"/>
      <c r="Z892" s="686"/>
      <c r="AA892" s="669"/>
      <c r="AB892" s="695"/>
      <c r="AC892" s="669"/>
    </row>
    <row r="893" ht="18.0" customHeight="1">
      <c r="A893" s="695"/>
      <c r="B893" s="695"/>
      <c r="C893" s="695"/>
      <c r="D893" s="695"/>
      <c r="E893" s="695"/>
      <c r="F893" s="686"/>
      <c r="G893" s="695"/>
      <c r="H893" s="695"/>
      <c r="I893" s="695"/>
      <c r="J893" s="731"/>
      <c r="K893" s="695"/>
      <c r="L893" s="686"/>
      <c r="M893" s="686"/>
      <c r="N893" s="686"/>
      <c r="O893" s="686"/>
      <c r="P893" s="686"/>
      <c r="Q893" s="666"/>
      <c r="R893" s="686"/>
      <c r="S893" s="686"/>
      <c r="T893" s="688"/>
      <c r="U893" s="688"/>
      <c r="V893" s="686"/>
      <c r="W893" s="686"/>
      <c r="X893" s="686"/>
      <c r="Y893" s="686"/>
      <c r="Z893" s="686"/>
      <c r="AA893" s="669"/>
      <c r="AB893" s="695"/>
      <c r="AC893" s="669"/>
    </row>
    <row r="894" ht="18.0" customHeight="1">
      <c r="A894" s="695"/>
      <c r="B894" s="695"/>
      <c r="C894" s="695"/>
      <c r="D894" s="695"/>
      <c r="E894" s="695"/>
      <c r="F894" s="686"/>
      <c r="G894" s="695"/>
      <c r="H894" s="695"/>
      <c r="I894" s="695"/>
      <c r="J894" s="731"/>
      <c r="K894" s="695"/>
      <c r="L894" s="686"/>
      <c r="M894" s="686"/>
      <c r="N894" s="686"/>
      <c r="O894" s="686"/>
      <c r="P894" s="686"/>
      <c r="Q894" s="666"/>
      <c r="R894" s="686"/>
      <c r="S894" s="686"/>
      <c r="T894" s="688"/>
      <c r="U894" s="688"/>
      <c r="V894" s="686"/>
      <c r="W894" s="686"/>
      <c r="X894" s="686"/>
      <c r="Y894" s="686"/>
      <c r="Z894" s="686"/>
      <c r="AA894" s="669"/>
      <c r="AB894" s="695"/>
      <c r="AC894" s="669"/>
    </row>
    <row r="895" ht="18.0" customHeight="1">
      <c r="A895" s="695"/>
      <c r="B895" s="695"/>
      <c r="C895" s="695"/>
      <c r="D895" s="695"/>
      <c r="E895" s="695"/>
      <c r="F895" s="686"/>
      <c r="G895" s="695"/>
      <c r="H895" s="695"/>
      <c r="I895" s="695"/>
      <c r="J895" s="731"/>
      <c r="K895" s="695"/>
      <c r="L895" s="686"/>
      <c r="M895" s="686"/>
      <c r="N895" s="686"/>
      <c r="O895" s="686"/>
      <c r="P895" s="686"/>
      <c r="Q895" s="666"/>
      <c r="R895" s="686"/>
      <c r="S895" s="686"/>
      <c r="T895" s="688"/>
      <c r="U895" s="688"/>
      <c r="V895" s="686"/>
      <c r="W895" s="686"/>
      <c r="X895" s="686"/>
      <c r="Y895" s="686"/>
      <c r="Z895" s="686"/>
      <c r="AA895" s="669"/>
      <c r="AB895" s="695"/>
      <c r="AC895" s="669"/>
    </row>
    <row r="896" ht="18.0" customHeight="1">
      <c r="A896" s="695"/>
      <c r="B896" s="695"/>
      <c r="C896" s="695"/>
      <c r="D896" s="695"/>
      <c r="E896" s="695"/>
      <c r="F896" s="686"/>
      <c r="G896" s="695"/>
      <c r="H896" s="695"/>
      <c r="I896" s="695"/>
      <c r="J896" s="731"/>
      <c r="K896" s="695"/>
      <c r="L896" s="686"/>
      <c r="M896" s="686"/>
      <c r="N896" s="686"/>
      <c r="O896" s="686"/>
      <c r="P896" s="686"/>
      <c r="Q896" s="666"/>
      <c r="R896" s="686"/>
      <c r="S896" s="686"/>
      <c r="T896" s="688"/>
      <c r="U896" s="688"/>
      <c r="V896" s="686"/>
      <c r="W896" s="686"/>
      <c r="X896" s="686"/>
      <c r="Y896" s="686"/>
      <c r="Z896" s="686"/>
      <c r="AA896" s="669"/>
      <c r="AB896" s="695"/>
      <c r="AC896" s="669"/>
    </row>
    <row r="897" ht="18.0" customHeight="1">
      <c r="A897" s="695"/>
      <c r="B897" s="695"/>
      <c r="C897" s="695"/>
      <c r="D897" s="695"/>
      <c r="E897" s="695"/>
      <c r="F897" s="686"/>
      <c r="G897" s="695"/>
      <c r="H897" s="695"/>
      <c r="I897" s="695"/>
      <c r="J897" s="731"/>
      <c r="K897" s="695"/>
      <c r="L897" s="686"/>
      <c r="M897" s="686"/>
      <c r="N897" s="686"/>
      <c r="O897" s="686"/>
      <c r="P897" s="686"/>
      <c r="Q897" s="666"/>
      <c r="R897" s="686"/>
      <c r="S897" s="686"/>
      <c r="T897" s="688"/>
      <c r="U897" s="688"/>
      <c r="V897" s="686"/>
      <c r="W897" s="686"/>
      <c r="X897" s="686"/>
      <c r="Y897" s="686"/>
      <c r="Z897" s="686"/>
      <c r="AA897" s="669"/>
      <c r="AB897" s="695"/>
      <c r="AC897" s="669"/>
    </row>
    <row r="898" ht="18.0" customHeight="1">
      <c r="A898" s="695"/>
      <c r="B898" s="695"/>
      <c r="C898" s="695"/>
      <c r="D898" s="695"/>
      <c r="E898" s="695"/>
      <c r="F898" s="686"/>
      <c r="G898" s="695"/>
      <c r="H898" s="695"/>
      <c r="I898" s="695"/>
      <c r="J898" s="731"/>
      <c r="K898" s="695"/>
      <c r="L898" s="686"/>
      <c r="M898" s="686"/>
      <c r="N898" s="686"/>
      <c r="O898" s="686"/>
      <c r="P898" s="686"/>
      <c r="Q898" s="666"/>
      <c r="R898" s="686"/>
      <c r="S898" s="686"/>
      <c r="T898" s="688"/>
      <c r="U898" s="688"/>
      <c r="V898" s="686"/>
      <c r="W898" s="686"/>
      <c r="X898" s="686"/>
      <c r="Y898" s="686"/>
      <c r="Z898" s="686"/>
      <c r="AA898" s="669"/>
      <c r="AB898" s="695"/>
      <c r="AC898" s="669"/>
    </row>
    <row r="899" ht="18.0" customHeight="1">
      <c r="A899" s="695"/>
      <c r="B899" s="695"/>
      <c r="C899" s="695"/>
      <c r="D899" s="695"/>
      <c r="E899" s="695"/>
      <c r="F899" s="686"/>
      <c r="G899" s="695"/>
      <c r="H899" s="695"/>
      <c r="I899" s="695"/>
      <c r="J899" s="731"/>
      <c r="K899" s="695"/>
      <c r="L899" s="686"/>
      <c r="M899" s="686"/>
      <c r="N899" s="686"/>
      <c r="O899" s="686"/>
      <c r="P899" s="686"/>
      <c r="Q899" s="666"/>
      <c r="R899" s="686"/>
      <c r="S899" s="686"/>
      <c r="T899" s="688"/>
      <c r="U899" s="688"/>
      <c r="V899" s="686"/>
      <c r="W899" s="686"/>
      <c r="X899" s="686"/>
      <c r="Y899" s="686"/>
      <c r="Z899" s="686"/>
      <c r="AA899" s="669"/>
      <c r="AB899" s="695"/>
      <c r="AC899" s="669"/>
    </row>
    <row r="900" ht="18.0" customHeight="1">
      <c r="A900" s="695"/>
      <c r="B900" s="695"/>
      <c r="C900" s="695"/>
      <c r="D900" s="695"/>
      <c r="E900" s="695"/>
      <c r="F900" s="686"/>
      <c r="G900" s="695"/>
      <c r="H900" s="695"/>
      <c r="I900" s="695"/>
      <c r="J900" s="731"/>
      <c r="K900" s="695"/>
      <c r="L900" s="686"/>
      <c r="M900" s="686"/>
      <c r="N900" s="686"/>
      <c r="O900" s="686"/>
      <c r="P900" s="686"/>
      <c r="Q900" s="666"/>
      <c r="R900" s="686"/>
      <c r="S900" s="686"/>
      <c r="T900" s="688"/>
      <c r="U900" s="688"/>
      <c r="V900" s="686"/>
      <c r="W900" s="686"/>
      <c r="X900" s="686"/>
      <c r="Y900" s="686"/>
      <c r="Z900" s="686"/>
      <c r="AA900" s="669"/>
      <c r="AB900" s="695"/>
      <c r="AC900" s="669"/>
    </row>
    <row r="901" ht="18.0" customHeight="1">
      <c r="A901" s="695"/>
      <c r="B901" s="695"/>
      <c r="C901" s="695"/>
      <c r="D901" s="695"/>
      <c r="E901" s="695"/>
      <c r="F901" s="686"/>
      <c r="G901" s="695"/>
      <c r="H901" s="695"/>
      <c r="I901" s="695"/>
      <c r="J901" s="731"/>
      <c r="K901" s="695"/>
      <c r="L901" s="686"/>
      <c r="M901" s="686"/>
      <c r="N901" s="686"/>
      <c r="O901" s="686"/>
      <c r="P901" s="686"/>
      <c r="Q901" s="666"/>
      <c r="R901" s="686"/>
      <c r="S901" s="686"/>
      <c r="T901" s="688"/>
      <c r="U901" s="688"/>
      <c r="V901" s="686"/>
      <c r="W901" s="686"/>
      <c r="X901" s="686"/>
      <c r="Y901" s="686"/>
      <c r="Z901" s="686"/>
      <c r="AA901" s="669"/>
      <c r="AB901" s="695"/>
      <c r="AC901" s="669"/>
    </row>
    <row r="902" ht="18.0" customHeight="1">
      <c r="A902" s="695"/>
      <c r="B902" s="695"/>
      <c r="C902" s="695"/>
      <c r="D902" s="695"/>
      <c r="E902" s="695"/>
      <c r="F902" s="686"/>
      <c r="G902" s="695"/>
      <c r="H902" s="695"/>
      <c r="I902" s="695"/>
      <c r="J902" s="731"/>
      <c r="K902" s="695"/>
      <c r="L902" s="686"/>
      <c r="M902" s="686"/>
      <c r="N902" s="686"/>
      <c r="O902" s="686"/>
      <c r="P902" s="686"/>
      <c r="Q902" s="666"/>
      <c r="R902" s="686"/>
      <c r="S902" s="686"/>
      <c r="T902" s="688"/>
      <c r="U902" s="688"/>
      <c r="V902" s="686"/>
      <c r="W902" s="686"/>
      <c r="X902" s="686"/>
      <c r="Y902" s="686"/>
      <c r="Z902" s="686"/>
      <c r="AA902" s="669"/>
      <c r="AB902" s="695"/>
      <c r="AC902" s="669"/>
    </row>
    <row r="903" ht="18.0" customHeight="1">
      <c r="A903" s="695"/>
      <c r="B903" s="695"/>
      <c r="C903" s="695"/>
      <c r="D903" s="695"/>
      <c r="E903" s="695"/>
      <c r="F903" s="686"/>
      <c r="G903" s="695"/>
      <c r="H903" s="695"/>
      <c r="I903" s="695"/>
      <c r="J903" s="731"/>
      <c r="K903" s="695"/>
      <c r="L903" s="686"/>
      <c r="M903" s="686"/>
      <c r="N903" s="686"/>
      <c r="O903" s="686"/>
      <c r="P903" s="686"/>
      <c r="Q903" s="666"/>
      <c r="R903" s="686"/>
      <c r="S903" s="686"/>
      <c r="T903" s="688"/>
      <c r="U903" s="688"/>
      <c r="V903" s="686"/>
      <c r="W903" s="686"/>
      <c r="X903" s="686"/>
      <c r="Y903" s="686"/>
      <c r="Z903" s="686"/>
      <c r="AA903" s="669"/>
      <c r="AB903" s="695"/>
      <c r="AC903" s="669"/>
    </row>
    <row r="904" ht="18.0" customHeight="1">
      <c r="A904" s="695"/>
      <c r="B904" s="695"/>
      <c r="C904" s="695"/>
      <c r="D904" s="695"/>
      <c r="E904" s="695"/>
      <c r="F904" s="686"/>
      <c r="G904" s="695"/>
      <c r="H904" s="695"/>
      <c r="I904" s="695"/>
      <c r="J904" s="731"/>
      <c r="K904" s="695"/>
      <c r="L904" s="686"/>
      <c r="M904" s="686"/>
      <c r="N904" s="686"/>
      <c r="O904" s="686"/>
      <c r="P904" s="686"/>
      <c r="Q904" s="666"/>
      <c r="R904" s="686"/>
      <c r="S904" s="686"/>
      <c r="T904" s="688"/>
      <c r="U904" s="688"/>
      <c r="V904" s="686"/>
      <c r="W904" s="686"/>
      <c r="X904" s="686"/>
      <c r="Y904" s="686"/>
      <c r="Z904" s="686"/>
      <c r="AA904" s="669"/>
      <c r="AB904" s="695"/>
      <c r="AC904" s="669"/>
    </row>
    <row r="905" ht="18.0" customHeight="1">
      <c r="A905" s="695"/>
      <c r="B905" s="695"/>
      <c r="C905" s="695"/>
      <c r="D905" s="695"/>
      <c r="E905" s="695"/>
      <c r="F905" s="686"/>
      <c r="G905" s="695"/>
      <c r="H905" s="695"/>
      <c r="I905" s="695"/>
      <c r="J905" s="731"/>
      <c r="K905" s="695"/>
      <c r="L905" s="686"/>
      <c r="M905" s="686"/>
      <c r="N905" s="686"/>
      <c r="O905" s="686"/>
      <c r="P905" s="686"/>
      <c r="Q905" s="666"/>
      <c r="R905" s="686"/>
      <c r="S905" s="686"/>
      <c r="T905" s="688"/>
      <c r="U905" s="688"/>
      <c r="V905" s="686"/>
      <c r="W905" s="686"/>
      <c r="X905" s="686"/>
      <c r="Y905" s="686"/>
      <c r="Z905" s="686"/>
      <c r="AA905" s="669"/>
      <c r="AB905" s="695"/>
      <c r="AC905" s="669"/>
    </row>
    <row r="906" ht="18.0" customHeight="1">
      <c r="A906" s="695"/>
      <c r="B906" s="695"/>
      <c r="C906" s="695"/>
      <c r="D906" s="695"/>
      <c r="E906" s="695"/>
      <c r="F906" s="686"/>
      <c r="G906" s="695"/>
      <c r="H906" s="695"/>
      <c r="I906" s="695"/>
      <c r="J906" s="731"/>
      <c r="K906" s="695"/>
      <c r="L906" s="686"/>
      <c r="M906" s="686"/>
      <c r="N906" s="686"/>
      <c r="O906" s="686"/>
      <c r="P906" s="686"/>
      <c r="Q906" s="666"/>
      <c r="R906" s="686"/>
      <c r="S906" s="686"/>
      <c r="T906" s="688"/>
      <c r="U906" s="688"/>
      <c r="V906" s="686"/>
      <c r="W906" s="686"/>
      <c r="X906" s="686"/>
      <c r="Y906" s="686"/>
      <c r="Z906" s="686"/>
      <c r="AA906" s="669"/>
      <c r="AB906" s="695"/>
      <c r="AC906" s="669"/>
    </row>
    <row r="907" ht="18.0" customHeight="1">
      <c r="A907" s="695"/>
      <c r="B907" s="695"/>
      <c r="C907" s="695"/>
      <c r="D907" s="695"/>
      <c r="E907" s="695"/>
      <c r="F907" s="686"/>
      <c r="G907" s="695"/>
      <c r="H907" s="695"/>
      <c r="I907" s="695"/>
      <c r="J907" s="731"/>
      <c r="K907" s="695"/>
      <c r="L907" s="686"/>
      <c r="M907" s="686"/>
      <c r="N907" s="686"/>
      <c r="O907" s="686"/>
      <c r="P907" s="686"/>
      <c r="Q907" s="666"/>
      <c r="R907" s="686"/>
      <c r="S907" s="686"/>
      <c r="T907" s="688"/>
      <c r="U907" s="688"/>
      <c r="V907" s="686"/>
      <c r="W907" s="686"/>
      <c r="X907" s="686"/>
      <c r="Y907" s="686"/>
      <c r="Z907" s="686"/>
      <c r="AA907" s="669"/>
      <c r="AB907" s="695"/>
      <c r="AC907" s="669"/>
    </row>
    <row r="908" ht="18.0" customHeight="1">
      <c r="A908" s="695"/>
      <c r="B908" s="695"/>
      <c r="C908" s="695"/>
      <c r="D908" s="695"/>
      <c r="E908" s="695"/>
      <c r="F908" s="686"/>
      <c r="G908" s="695"/>
      <c r="H908" s="695"/>
      <c r="I908" s="695"/>
      <c r="J908" s="731"/>
      <c r="K908" s="695"/>
      <c r="L908" s="686"/>
      <c r="M908" s="686"/>
      <c r="N908" s="686"/>
      <c r="O908" s="686"/>
      <c r="P908" s="686"/>
      <c r="Q908" s="666"/>
      <c r="R908" s="686"/>
      <c r="S908" s="686"/>
      <c r="T908" s="688"/>
      <c r="U908" s="688"/>
      <c r="V908" s="686"/>
      <c r="W908" s="686"/>
      <c r="X908" s="686"/>
      <c r="Y908" s="686"/>
      <c r="Z908" s="686"/>
      <c r="AA908" s="669"/>
      <c r="AB908" s="695"/>
      <c r="AC908" s="669"/>
    </row>
    <row r="909" ht="18.0" customHeight="1">
      <c r="A909" s="695"/>
      <c r="B909" s="695"/>
      <c r="C909" s="695"/>
      <c r="D909" s="695"/>
      <c r="E909" s="695"/>
      <c r="F909" s="686"/>
      <c r="G909" s="695"/>
      <c r="H909" s="695"/>
      <c r="I909" s="695"/>
      <c r="J909" s="731"/>
      <c r="K909" s="695"/>
      <c r="L909" s="686"/>
      <c r="M909" s="686"/>
      <c r="N909" s="686"/>
      <c r="O909" s="686"/>
      <c r="P909" s="686"/>
      <c r="Q909" s="666"/>
      <c r="R909" s="686"/>
      <c r="S909" s="686"/>
      <c r="T909" s="688"/>
      <c r="U909" s="688"/>
      <c r="V909" s="686"/>
      <c r="W909" s="686"/>
      <c r="X909" s="686"/>
      <c r="Y909" s="686"/>
      <c r="Z909" s="686"/>
      <c r="AA909" s="669"/>
      <c r="AB909" s="695"/>
      <c r="AC909" s="669"/>
    </row>
    <row r="910" ht="18.0" customHeight="1">
      <c r="A910" s="695"/>
      <c r="B910" s="695"/>
      <c r="C910" s="695"/>
      <c r="D910" s="695"/>
      <c r="E910" s="695"/>
      <c r="F910" s="686"/>
      <c r="G910" s="695"/>
      <c r="H910" s="695"/>
      <c r="I910" s="695"/>
      <c r="J910" s="731"/>
      <c r="K910" s="695"/>
      <c r="L910" s="686"/>
      <c r="M910" s="686"/>
      <c r="N910" s="686"/>
      <c r="O910" s="686"/>
      <c r="P910" s="686"/>
      <c r="Q910" s="666"/>
      <c r="R910" s="686"/>
      <c r="S910" s="686"/>
      <c r="T910" s="688"/>
      <c r="U910" s="688"/>
      <c r="V910" s="686"/>
      <c r="W910" s="686"/>
      <c r="X910" s="686"/>
      <c r="Y910" s="686"/>
      <c r="Z910" s="686"/>
      <c r="AA910" s="669"/>
      <c r="AB910" s="695"/>
      <c r="AC910" s="669"/>
    </row>
    <row r="911" ht="18.0" customHeight="1">
      <c r="A911" s="695"/>
      <c r="B911" s="695"/>
      <c r="C911" s="695"/>
      <c r="D911" s="695"/>
      <c r="E911" s="695"/>
      <c r="F911" s="686"/>
      <c r="G911" s="695"/>
      <c r="H911" s="695"/>
      <c r="I911" s="695"/>
      <c r="J911" s="731"/>
      <c r="K911" s="695"/>
      <c r="L911" s="686"/>
      <c r="M911" s="686"/>
      <c r="N911" s="686"/>
      <c r="O911" s="686"/>
      <c r="P911" s="686"/>
      <c r="Q911" s="666"/>
      <c r="R911" s="686"/>
      <c r="S911" s="686"/>
      <c r="T911" s="688"/>
      <c r="U911" s="688"/>
      <c r="V911" s="686"/>
      <c r="W911" s="686"/>
      <c r="X911" s="686"/>
      <c r="Y911" s="686"/>
      <c r="Z911" s="686"/>
      <c r="AA911" s="669"/>
      <c r="AB911" s="695"/>
      <c r="AC911" s="669"/>
    </row>
    <row r="912" ht="18.0" customHeight="1">
      <c r="A912" s="695"/>
      <c r="B912" s="695"/>
      <c r="C912" s="695"/>
      <c r="D912" s="695"/>
      <c r="E912" s="695"/>
      <c r="F912" s="686"/>
      <c r="G912" s="695"/>
      <c r="H912" s="695"/>
      <c r="I912" s="695"/>
      <c r="J912" s="731"/>
      <c r="K912" s="695"/>
      <c r="L912" s="686"/>
      <c r="M912" s="686"/>
      <c r="N912" s="686"/>
      <c r="O912" s="686"/>
      <c r="P912" s="686"/>
      <c r="Q912" s="666"/>
      <c r="R912" s="686"/>
      <c r="S912" s="686"/>
      <c r="T912" s="688"/>
      <c r="U912" s="688"/>
      <c r="V912" s="686"/>
      <c r="W912" s="686"/>
      <c r="X912" s="686"/>
      <c r="Y912" s="686"/>
      <c r="Z912" s="686"/>
      <c r="AA912" s="669"/>
      <c r="AB912" s="695"/>
      <c r="AC912" s="669"/>
    </row>
    <row r="913" ht="18.0" customHeight="1">
      <c r="A913" s="695"/>
      <c r="B913" s="695"/>
      <c r="C913" s="695"/>
      <c r="D913" s="695"/>
      <c r="E913" s="695"/>
      <c r="F913" s="686"/>
      <c r="G913" s="695"/>
      <c r="H913" s="695"/>
      <c r="I913" s="695"/>
      <c r="J913" s="731"/>
      <c r="K913" s="695"/>
      <c r="L913" s="686"/>
      <c r="M913" s="686"/>
      <c r="N913" s="686"/>
      <c r="O913" s="686"/>
      <c r="P913" s="686"/>
      <c r="Q913" s="666"/>
      <c r="R913" s="686"/>
      <c r="S913" s="686"/>
      <c r="T913" s="688"/>
      <c r="U913" s="688"/>
      <c r="V913" s="686"/>
      <c r="W913" s="686"/>
      <c r="X913" s="686"/>
      <c r="Y913" s="686"/>
      <c r="Z913" s="686"/>
      <c r="AA913" s="669"/>
      <c r="AB913" s="695"/>
      <c r="AC913" s="669"/>
    </row>
    <row r="914" ht="18.0" customHeight="1">
      <c r="A914" s="695"/>
      <c r="B914" s="695"/>
      <c r="C914" s="695"/>
      <c r="D914" s="695"/>
      <c r="E914" s="695"/>
      <c r="F914" s="686"/>
      <c r="G914" s="695"/>
      <c r="H914" s="695"/>
      <c r="I914" s="695"/>
      <c r="J914" s="731"/>
      <c r="K914" s="695"/>
      <c r="L914" s="686"/>
      <c r="M914" s="686"/>
      <c r="N914" s="686"/>
      <c r="O914" s="686"/>
      <c r="P914" s="686"/>
      <c r="Q914" s="666"/>
      <c r="R914" s="686"/>
      <c r="S914" s="686"/>
      <c r="T914" s="688"/>
      <c r="U914" s="688"/>
      <c r="V914" s="686"/>
      <c r="W914" s="686"/>
      <c r="X914" s="686"/>
      <c r="Y914" s="686"/>
      <c r="Z914" s="686"/>
      <c r="AA914" s="669"/>
      <c r="AB914" s="695"/>
      <c r="AC914" s="669"/>
    </row>
    <row r="915" ht="18.0" customHeight="1">
      <c r="A915" s="695"/>
      <c r="B915" s="695"/>
      <c r="C915" s="695"/>
      <c r="D915" s="695"/>
      <c r="E915" s="695"/>
      <c r="F915" s="686"/>
      <c r="G915" s="695"/>
      <c r="H915" s="695"/>
      <c r="I915" s="695"/>
      <c r="J915" s="731"/>
      <c r="K915" s="695"/>
      <c r="L915" s="686"/>
      <c r="M915" s="686"/>
      <c r="N915" s="686"/>
      <c r="O915" s="686"/>
      <c r="P915" s="686"/>
      <c r="Q915" s="666"/>
      <c r="R915" s="686"/>
      <c r="S915" s="686"/>
      <c r="T915" s="688"/>
      <c r="U915" s="688"/>
      <c r="V915" s="686"/>
      <c r="W915" s="686"/>
      <c r="X915" s="686"/>
      <c r="Y915" s="686"/>
      <c r="Z915" s="686"/>
      <c r="AA915" s="669"/>
      <c r="AB915" s="695"/>
      <c r="AC915" s="669"/>
    </row>
    <row r="916" ht="18.0" customHeight="1">
      <c r="A916" s="695"/>
      <c r="B916" s="695"/>
      <c r="C916" s="695"/>
      <c r="D916" s="695"/>
      <c r="E916" s="695"/>
      <c r="F916" s="686"/>
      <c r="G916" s="695"/>
      <c r="H916" s="695"/>
      <c r="I916" s="695"/>
      <c r="J916" s="731"/>
      <c r="K916" s="695"/>
      <c r="L916" s="686"/>
      <c r="M916" s="686"/>
      <c r="N916" s="686"/>
      <c r="O916" s="686"/>
      <c r="P916" s="686"/>
      <c r="Q916" s="666"/>
      <c r="R916" s="686"/>
      <c r="S916" s="686"/>
      <c r="T916" s="688"/>
      <c r="U916" s="688"/>
      <c r="V916" s="686"/>
      <c r="W916" s="686"/>
      <c r="X916" s="686"/>
      <c r="Y916" s="686"/>
      <c r="Z916" s="686"/>
      <c r="AA916" s="669"/>
      <c r="AB916" s="695"/>
      <c r="AC916" s="669"/>
    </row>
    <row r="917" ht="18.0" customHeight="1">
      <c r="A917" s="695"/>
      <c r="B917" s="695"/>
      <c r="C917" s="695"/>
      <c r="D917" s="695"/>
      <c r="E917" s="695"/>
      <c r="F917" s="686"/>
      <c r="G917" s="695"/>
      <c r="H917" s="695"/>
      <c r="I917" s="695"/>
      <c r="J917" s="731"/>
      <c r="K917" s="695"/>
      <c r="L917" s="686"/>
      <c r="M917" s="686"/>
      <c r="N917" s="686"/>
      <c r="O917" s="686"/>
      <c r="P917" s="686"/>
      <c r="Q917" s="666"/>
      <c r="R917" s="686"/>
      <c r="S917" s="686"/>
      <c r="T917" s="688"/>
      <c r="U917" s="688"/>
      <c r="V917" s="686"/>
      <c r="W917" s="686"/>
      <c r="X917" s="686"/>
      <c r="Y917" s="686"/>
      <c r="Z917" s="686"/>
      <c r="AA917" s="669"/>
      <c r="AB917" s="695"/>
      <c r="AC917" s="669"/>
    </row>
    <row r="918" ht="18.0" customHeight="1">
      <c r="A918" s="695"/>
      <c r="B918" s="695"/>
      <c r="C918" s="695"/>
      <c r="D918" s="695"/>
      <c r="E918" s="695"/>
      <c r="F918" s="686"/>
      <c r="G918" s="695"/>
      <c r="H918" s="695"/>
      <c r="I918" s="695"/>
      <c r="J918" s="731"/>
      <c r="K918" s="695"/>
      <c r="L918" s="686"/>
      <c r="M918" s="686"/>
      <c r="N918" s="686"/>
      <c r="O918" s="686"/>
      <c r="P918" s="686"/>
      <c r="Q918" s="666"/>
      <c r="R918" s="686"/>
      <c r="S918" s="686"/>
      <c r="T918" s="688"/>
      <c r="U918" s="688"/>
      <c r="V918" s="686"/>
      <c r="W918" s="686"/>
      <c r="X918" s="686"/>
      <c r="Y918" s="686"/>
      <c r="Z918" s="686"/>
      <c r="AA918" s="669"/>
      <c r="AB918" s="695"/>
      <c r="AC918" s="669"/>
    </row>
    <row r="919" ht="18.0" customHeight="1">
      <c r="A919" s="695"/>
      <c r="B919" s="695"/>
      <c r="C919" s="695"/>
      <c r="D919" s="695"/>
      <c r="E919" s="695"/>
      <c r="F919" s="686"/>
      <c r="G919" s="695"/>
      <c r="H919" s="695"/>
      <c r="I919" s="695"/>
      <c r="J919" s="731"/>
      <c r="K919" s="695"/>
      <c r="L919" s="686"/>
      <c r="M919" s="686"/>
      <c r="N919" s="686"/>
      <c r="O919" s="686"/>
      <c r="P919" s="686"/>
      <c r="Q919" s="666"/>
      <c r="R919" s="686"/>
      <c r="S919" s="686"/>
      <c r="T919" s="688"/>
      <c r="U919" s="688"/>
      <c r="V919" s="686"/>
      <c r="W919" s="686"/>
      <c r="X919" s="686"/>
      <c r="Y919" s="686"/>
      <c r="Z919" s="686"/>
      <c r="AA919" s="669"/>
      <c r="AB919" s="695"/>
      <c r="AC919" s="669"/>
    </row>
    <row r="920" ht="18.0" customHeight="1">
      <c r="A920" s="695"/>
      <c r="B920" s="695"/>
      <c r="C920" s="695"/>
      <c r="D920" s="695"/>
      <c r="E920" s="695"/>
      <c r="F920" s="686"/>
      <c r="G920" s="695"/>
      <c r="H920" s="695"/>
      <c r="I920" s="695"/>
      <c r="J920" s="731"/>
      <c r="K920" s="695"/>
      <c r="L920" s="686"/>
      <c r="M920" s="686"/>
      <c r="N920" s="686"/>
      <c r="O920" s="686"/>
      <c r="P920" s="686"/>
      <c r="Q920" s="666"/>
      <c r="R920" s="686"/>
      <c r="S920" s="686"/>
      <c r="T920" s="688"/>
      <c r="U920" s="688"/>
      <c r="V920" s="686"/>
      <c r="W920" s="686"/>
      <c r="X920" s="686"/>
      <c r="Y920" s="686"/>
      <c r="Z920" s="686"/>
      <c r="AA920" s="669"/>
      <c r="AB920" s="695"/>
      <c r="AC920" s="669"/>
    </row>
    <row r="921" ht="18.0" customHeight="1">
      <c r="A921" s="695"/>
      <c r="B921" s="695"/>
      <c r="C921" s="695"/>
      <c r="D921" s="695"/>
      <c r="E921" s="695"/>
      <c r="F921" s="686"/>
      <c r="G921" s="695"/>
      <c r="H921" s="695"/>
      <c r="I921" s="695"/>
      <c r="J921" s="731"/>
      <c r="K921" s="695"/>
      <c r="L921" s="686"/>
      <c r="M921" s="686"/>
      <c r="N921" s="686"/>
      <c r="O921" s="686"/>
      <c r="P921" s="686"/>
      <c r="Q921" s="666"/>
      <c r="R921" s="686"/>
      <c r="S921" s="686"/>
      <c r="T921" s="688"/>
      <c r="U921" s="688"/>
      <c r="V921" s="686"/>
      <c r="W921" s="686"/>
      <c r="X921" s="686"/>
      <c r="Y921" s="686"/>
      <c r="Z921" s="686"/>
      <c r="AA921" s="669"/>
      <c r="AB921" s="695"/>
      <c r="AC921" s="669"/>
    </row>
    <row r="922" ht="18.0" customHeight="1">
      <c r="A922" s="695"/>
      <c r="B922" s="695"/>
      <c r="C922" s="695"/>
      <c r="D922" s="695"/>
      <c r="E922" s="695"/>
      <c r="F922" s="686"/>
      <c r="G922" s="695"/>
      <c r="H922" s="695"/>
      <c r="I922" s="695"/>
      <c r="J922" s="731"/>
      <c r="K922" s="695"/>
      <c r="L922" s="686"/>
      <c r="M922" s="686"/>
      <c r="N922" s="686"/>
      <c r="O922" s="686"/>
      <c r="P922" s="686"/>
      <c r="Q922" s="666"/>
      <c r="R922" s="686"/>
      <c r="S922" s="686"/>
      <c r="T922" s="688"/>
      <c r="U922" s="688"/>
      <c r="V922" s="686"/>
      <c r="W922" s="686"/>
      <c r="X922" s="686"/>
      <c r="Y922" s="686"/>
      <c r="Z922" s="686"/>
      <c r="AA922" s="669"/>
      <c r="AB922" s="695"/>
      <c r="AC922" s="669"/>
    </row>
    <row r="923" ht="18.0" customHeight="1">
      <c r="A923" s="695"/>
      <c r="B923" s="695"/>
      <c r="C923" s="695"/>
      <c r="D923" s="695"/>
      <c r="E923" s="695"/>
      <c r="F923" s="686"/>
      <c r="G923" s="695"/>
      <c r="H923" s="695"/>
      <c r="I923" s="695"/>
      <c r="J923" s="731"/>
      <c r="K923" s="695"/>
      <c r="L923" s="686"/>
      <c r="M923" s="686"/>
      <c r="N923" s="686"/>
      <c r="O923" s="686"/>
      <c r="P923" s="686"/>
      <c r="Q923" s="666"/>
      <c r="R923" s="686"/>
      <c r="S923" s="686"/>
      <c r="T923" s="688"/>
      <c r="U923" s="688"/>
      <c r="V923" s="686"/>
      <c r="W923" s="686"/>
      <c r="X923" s="686"/>
      <c r="Y923" s="686"/>
      <c r="Z923" s="686"/>
      <c r="AA923" s="669"/>
      <c r="AB923" s="695"/>
      <c r="AC923" s="669"/>
    </row>
    <row r="924" ht="18.0" customHeight="1">
      <c r="A924" s="695"/>
      <c r="B924" s="695"/>
      <c r="C924" s="695"/>
      <c r="D924" s="695"/>
      <c r="E924" s="695"/>
      <c r="F924" s="686"/>
      <c r="G924" s="695"/>
      <c r="H924" s="695"/>
      <c r="I924" s="695"/>
      <c r="J924" s="731"/>
      <c r="K924" s="695"/>
      <c r="L924" s="686"/>
      <c r="M924" s="686"/>
      <c r="N924" s="686"/>
      <c r="O924" s="686"/>
      <c r="P924" s="686"/>
      <c r="Q924" s="666"/>
      <c r="R924" s="686"/>
      <c r="S924" s="686"/>
      <c r="T924" s="688"/>
      <c r="U924" s="688"/>
      <c r="V924" s="686"/>
      <c r="W924" s="686"/>
      <c r="X924" s="686"/>
      <c r="Y924" s="686"/>
      <c r="Z924" s="686"/>
      <c r="AA924" s="669"/>
      <c r="AB924" s="695"/>
      <c r="AC924" s="669"/>
    </row>
    <row r="925" ht="18.0" customHeight="1">
      <c r="A925" s="695"/>
      <c r="B925" s="695"/>
      <c r="C925" s="695"/>
      <c r="D925" s="695"/>
      <c r="E925" s="695"/>
      <c r="F925" s="686"/>
      <c r="G925" s="695"/>
      <c r="H925" s="695"/>
      <c r="I925" s="695"/>
      <c r="J925" s="731"/>
      <c r="K925" s="695"/>
      <c r="L925" s="686"/>
      <c r="M925" s="686"/>
      <c r="N925" s="686"/>
      <c r="O925" s="686"/>
      <c r="P925" s="686"/>
      <c r="Q925" s="666"/>
      <c r="R925" s="686"/>
      <c r="S925" s="686"/>
      <c r="T925" s="688"/>
      <c r="U925" s="688"/>
      <c r="V925" s="686"/>
      <c r="W925" s="686"/>
      <c r="X925" s="686"/>
      <c r="Y925" s="686"/>
      <c r="Z925" s="686"/>
      <c r="AA925" s="669"/>
      <c r="AB925" s="695"/>
      <c r="AC925" s="669"/>
    </row>
    <row r="926" ht="18.0" customHeight="1">
      <c r="A926" s="695"/>
      <c r="B926" s="695"/>
      <c r="C926" s="695"/>
      <c r="D926" s="695"/>
      <c r="E926" s="695"/>
      <c r="F926" s="686"/>
      <c r="G926" s="695"/>
      <c r="H926" s="695"/>
      <c r="I926" s="695"/>
      <c r="J926" s="731"/>
      <c r="K926" s="695"/>
      <c r="L926" s="686"/>
      <c r="M926" s="686"/>
      <c r="N926" s="686"/>
      <c r="O926" s="686"/>
      <c r="P926" s="686"/>
      <c r="Q926" s="666"/>
      <c r="R926" s="686"/>
      <c r="S926" s="686"/>
      <c r="T926" s="688"/>
      <c r="U926" s="688"/>
      <c r="V926" s="686"/>
      <c r="W926" s="686"/>
      <c r="X926" s="686"/>
      <c r="Y926" s="686"/>
      <c r="Z926" s="686"/>
      <c r="AA926" s="669"/>
      <c r="AB926" s="695"/>
      <c r="AC926" s="669"/>
    </row>
    <row r="927" ht="18.0" customHeight="1">
      <c r="A927" s="695"/>
      <c r="B927" s="695"/>
      <c r="C927" s="695"/>
      <c r="D927" s="695"/>
      <c r="E927" s="695"/>
      <c r="F927" s="686"/>
      <c r="G927" s="695"/>
      <c r="H927" s="695"/>
      <c r="I927" s="695"/>
      <c r="J927" s="731"/>
      <c r="K927" s="695"/>
      <c r="L927" s="686"/>
      <c r="M927" s="686"/>
      <c r="N927" s="686"/>
      <c r="O927" s="686"/>
      <c r="P927" s="686"/>
      <c r="Q927" s="666"/>
      <c r="R927" s="686"/>
      <c r="S927" s="686"/>
      <c r="T927" s="688"/>
      <c r="U927" s="688"/>
      <c r="V927" s="686"/>
      <c r="W927" s="686"/>
      <c r="X927" s="686"/>
      <c r="Y927" s="686"/>
      <c r="Z927" s="686"/>
      <c r="AA927" s="669"/>
      <c r="AB927" s="695"/>
      <c r="AC927" s="669"/>
    </row>
    <row r="928" ht="18.0" customHeight="1">
      <c r="A928" s="695"/>
      <c r="B928" s="695"/>
      <c r="C928" s="695"/>
      <c r="D928" s="695"/>
      <c r="E928" s="695"/>
      <c r="F928" s="686"/>
      <c r="G928" s="695"/>
      <c r="H928" s="695"/>
      <c r="I928" s="695"/>
      <c r="J928" s="731"/>
      <c r="K928" s="695"/>
      <c r="L928" s="686"/>
      <c r="M928" s="686"/>
      <c r="N928" s="686"/>
      <c r="O928" s="686"/>
      <c r="P928" s="686"/>
      <c r="Q928" s="666"/>
      <c r="R928" s="686"/>
      <c r="S928" s="686"/>
      <c r="T928" s="688"/>
      <c r="U928" s="688"/>
      <c r="V928" s="686"/>
      <c r="W928" s="686"/>
      <c r="X928" s="686"/>
      <c r="Y928" s="686"/>
      <c r="Z928" s="686"/>
      <c r="AA928" s="669"/>
      <c r="AB928" s="695"/>
      <c r="AC928" s="669"/>
    </row>
    <row r="929" ht="18.0" customHeight="1">
      <c r="A929" s="695"/>
      <c r="B929" s="695"/>
      <c r="C929" s="695"/>
      <c r="D929" s="695"/>
      <c r="E929" s="695"/>
      <c r="F929" s="686"/>
      <c r="G929" s="695"/>
      <c r="H929" s="695"/>
      <c r="I929" s="695"/>
      <c r="J929" s="731"/>
      <c r="K929" s="695"/>
      <c r="L929" s="686"/>
      <c r="M929" s="686"/>
      <c r="N929" s="686"/>
      <c r="O929" s="686"/>
      <c r="P929" s="686"/>
      <c r="Q929" s="666"/>
      <c r="R929" s="686"/>
      <c r="S929" s="686"/>
      <c r="T929" s="688"/>
      <c r="U929" s="688"/>
      <c r="V929" s="686"/>
      <c r="W929" s="686"/>
      <c r="X929" s="686"/>
      <c r="Y929" s="686"/>
      <c r="Z929" s="686"/>
      <c r="AA929" s="669"/>
      <c r="AB929" s="695"/>
      <c r="AC929" s="669"/>
    </row>
    <row r="930" ht="18.0" customHeight="1">
      <c r="A930" s="695"/>
      <c r="B930" s="695"/>
      <c r="C930" s="695"/>
      <c r="D930" s="695"/>
      <c r="E930" s="695"/>
      <c r="F930" s="686"/>
      <c r="G930" s="695"/>
      <c r="H930" s="695"/>
      <c r="I930" s="695"/>
      <c r="J930" s="731"/>
      <c r="K930" s="695"/>
      <c r="L930" s="686"/>
      <c r="M930" s="686"/>
      <c r="N930" s="686"/>
      <c r="O930" s="686"/>
      <c r="P930" s="686"/>
      <c r="Q930" s="666"/>
      <c r="R930" s="686"/>
      <c r="S930" s="686"/>
      <c r="T930" s="688"/>
      <c r="U930" s="688"/>
      <c r="V930" s="686"/>
      <c r="W930" s="686"/>
      <c r="X930" s="686"/>
      <c r="Y930" s="686"/>
      <c r="Z930" s="686"/>
      <c r="AA930" s="669"/>
      <c r="AB930" s="695"/>
      <c r="AC930" s="669"/>
    </row>
    <row r="931" ht="18.0" customHeight="1">
      <c r="A931" s="695"/>
      <c r="B931" s="695"/>
      <c r="C931" s="695"/>
      <c r="D931" s="695"/>
      <c r="E931" s="695"/>
      <c r="F931" s="686"/>
      <c r="G931" s="695"/>
      <c r="H931" s="695"/>
      <c r="I931" s="695"/>
      <c r="J931" s="731"/>
      <c r="K931" s="695"/>
      <c r="L931" s="686"/>
      <c r="M931" s="686"/>
      <c r="N931" s="686"/>
      <c r="O931" s="686"/>
      <c r="P931" s="686"/>
      <c r="Q931" s="666"/>
      <c r="R931" s="686"/>
      <c r="S931" s="686"/>
      <c r="T931" s="688"/>
      <c r="U931" s="688"/>
      <c r="V931" s="686"/>
      <c r="W931" s="686"/>
      <c r="X931" s="686"/>
      <c r="Y931" s="686"/>
      <c r="Z931" s="686"/>
      <c r="AA931" s="669"/>
      <c r="AB931" s="695"/>
      <c r="AC931" s="669"/>
    </row>
    <row r="932" ht="18.0" customHeight="1">
      <c r="A932" s="695"/>
      <c r="B932" s="695"/>
      <c r="C932" s="695"/>
      <c r="D932" s="695"/>
      <c r="E932" s="695"/>
      <c r="F932" s="686"/>
      <c r="G932" s="695"/>
      <c r="H932" s="695"/>
      <c r="I932" s="695"/>
      <c r="J932" s="731"/>
      <c r="K932" s="695"/>
      <c r="L932" s="686"/>
      <c r="M932" s="686"/>
      <c r="N932" s="686"/>
      <c r="O932" s="686"/>
      <c r="P932" s="686"/>
      <c r="Q932" s="666"/>
      <c r="R932" s="686"/>
      <c r="S932" s="686"/>
      <c r="T932" s="688"/>
      <c r="U932" s="688"/>
      <c r="V932" s="686"/>
      <c r="W932" s="686"/>
      <c r="X932" s="686"/>
      <c r="Y932" s="686"/>
      <c r="Z932" s="686"/>
      <c r="AA932" s="669"/>
      <c r="AB932" s="695"/>
      <c r="AC932" s="669"/>
    </row>
    <row r="933" ht="18.0" customHeight="1">
      <c r="A933" s="695"/>
      <c r="B933" s="695"/>
      <c r="C933" s="695"/>
      <c r="D933" s="695"/>
      <c r="E933" s="695"/>
      <c r="F933" s="686"/>
      <c r="G933" s="695"/>
      <c r="H933" s="695"/>
      <c r="I933" s="695"/>
      <c r="J933" s="731"/>
      <c r="K933" s="695"/>
      <c r="L933" s="686"/>
      <c r="M933" s="686"/>
      <c r="N933" s="686"/>
      <c r="O933" s="686"/>
      <c r="P933" s="686"/>
      <c r="Q933" s="666"/>
      <c r="R933" s="686"/>
      <c r="S933" s="686"/>
      <c r="T933" s="688"/>
      <c r="U933" s="688"/>
      <c r="V933" s="686"/>
      <c r="W933" s="686"/>
      <c r="X933" s="686"/>
      <c r="Y933" s="686"/>
      <c r="Z933" s="686"/>
      <c r="AA933" s="669"/>
      <c r="AB933" s="695"/>
      <c r="AC933" s="669"/>
    </row>
    <row r="934" ht="18.0" customHeight="1">
      <c r="A934" s="695"/>
      <c r="B934" s="695"/>
      <c r="C934" s="695"/>
      <c r="D934" s="695"/>
      <c r="E934" s="695"/>
      <c r="F934" s="686"/>
      <c r="G934" s="695"/>
      <c r="H934" s="695"/>
      <c r="I934" s="695"/>
      <c r="J934" s="731"/>
      <c r="K934" s="695"/>
      <c r="L934" s="686"/>
      <c r="M934" s="686"/>
      <c r="N934" s="686"/>
      <c r="O934" s="686"/>
      <c r="P934" s="686"/>
      <c r="Q934" s="666"/>
      <c r="R934" s="686"/>
      <c r="S934" s="686"/>
      <c r="T934" s="688"/>
      <c r="U934" s="688"/>
      <c r="V934" s="686"/>
      <c r="W934" s="686"/>
      <c r="X934" s="686"/>
      <c r="Y934" s="686"/>
      <c r="Z934" s="686"/>
      <c r="AA934" s="669"/>
      <c r="AB934" s="695"/>
      <c r="AC934" s="669"/>
    </row>
    <row r="935" ht="18.0" customHeight="1">
      <c r="A935" s="695"/>
      <c r="B935" s="695"/>
      <c r="C935" s="695"/>
      <c r="D935" s="695"/>
      <c r="E935" s="695"/>
      <c r="F935" s="686"/>
      <c r="G935" s="695"/>
      <c r="H935" s="695"/>
      <c r="I935" s="695"/>
      <c r="J935" s="731"/>
      <c r="K935" s="695"/>
      <c r="L935" s="686"/>
      <c r="M935" s="686"/>
      <c r="N935" s="686"/>
      <c r="O935" s="686"/>
      <c r="P935" s="686"/>
      <c r="Q935" s="666"/>
      <c r="R935" s="686"/>
      <c r="S935" s="686"/>
      <c r="T935" s="688"/>
      <c r="U935" s="688"/>
      <c r="V935" s="686"/>
      <c r="W935" s="686"/>
      <c r="X935" s="686"/>
      <c r="Y935" s="686"/>
      <c r="Z935" s="686"/>
      <c r="AA935" s="669"/>
      <c r="AB935" s="695"/>
      <c r="AC935" s="669"/>
    </row>
    <row r="936" ht="18.0" customHeight="1">
      <c r="A936" s="695"/>
      <c r="B936" s="695"/>
      <c r="C936" s="695"/>
      <c r="D936" s="695"/>
      <c r="E936" s="695"/>
      <c r="F936" s="686"/>
      <c r="G936" s="695"/>
      <c r="H936" s="695"/>
      <c r="I936" s="695"/>
      <c r="J936" s="731"/>
      <c r="K936" s="695"/>
      <c r="L936" s="686"/>
      <c r="M936" s="686"/>
      <c r="N936" s="686"/>
      <c r="O936" s="686"/>
      <c r="P936" s="686"/>
      <c r="Q936" s="666"/>
      <c r="R936" s="686"/>
      <c r="S936" s="686"/>
      <c r="T936" s="688"/>
      <c r="U936" s="688"/>
      <c r="V936" s="686"/>
      <c r="W936" s="686"/>
      <c r="X936" s="686"/>
      <c r="Y936" s="686"/>
      <c r="Z936" s="686"/>
      <c r="AA936" s="669"/>
      <c r="AB936" s="695"/>
      <c r="AC936" s="669"/>
    </row>
    <row r="937" ht="18.0" customHeight="1">
      <c r="A937" s="695"/>
      <c r="B937" s="695"/>
      <c r="C937" s="695"/>
      <c r="D937" s="695"/>
      <c r="E937" s="695"/>
      <c r="F937" s="686"/>
      <c r="G937" s="695"/>
      <c r="H937" s="695"/>
      <c r="I937" s="695"/>
      <c r="J937" s="731"/>
      <c r="K937" s="695"/>
      <c r="L937" s="686"/>
      <c r="M937" s="686"/>
      <c r="N937" s="686"/>
      <c r="O937" s="686"/>
      <c r="P937" s="686"/>
      <c r="Q937" s="666"/>
      <c r="R937" s="686"/>
      <c r="S937" s="686"/>
      <c r="T937" s="688"/>
      <c r="U937" s="688"/>
      <c r="V937" s="686"/>
      <c r="W937" s="686"/>
      <c r="X937" s="686"/>
      <c r="Y937" s="686"/>
      <c r="Z937" s="686"/>
      <c r="AA937" s="669"/>
      <c r="AB937" s="695"/>
      <c r="AC937" s="669"/>
    </row>
    <row r="938" ht="18.0" customHeight="1">
      <c r="A938" s="695"/>
      <c r="B938" s="695"/>
      <c r="C938" s="695"/>
      <c r="D938" s="695"/>
      <c r="E938" s="695"/>
      <c r="F938" s="686"/>
      <c r="G938" s="695"/>
      <c r="H938" s="695"/>
      <c r="I938" s="695"/>
      <c r="J938" s="731"/>
      <c r="K938" s="695"/>
      <c r="L938" s="686"/>
      <c r="M938" s="686"/>
      <c r="N938" s="686"/>
      <c r="O938" s="686"/>
      <c r="P938" s="686"/>
      <c r="Q938" s="666"/>
      <c r="R938" s="686"/>
      <c r="S938" s="686"/>
      <c r="T938" s="688"/>
      <c r="U938" s="688"/>
      <c r="V938" s="686"/>
      <c r="W938" s="686"/>
      <c r="X938" s="686"/>
      <c r="Y938" s="686"/>
      <c r="Z938" s="686"/>
      <c r="AA938" s="669"/>
      <c r="AB938" s="695"/>
      <c r="AC938" s="669"/>
    </row>
    <row r="939" ht="18.0" customHeight="1">
      <c r="A939" s="695"/>
      <c r="B939" s="695"/>
      <c r="C939" s="695"/>
      <c r="D939" s="695"/>
      <c r="E939" s="695"/>
      <c r="F939" s="686"/>
      <c r="G939" s="695"/>
      <c r="H939" s="695"/>
      <c r="I939" s="695"/>
      <c r="J939" s="731"/>
      <c r="K939" s="695"/>
      <c r="L939" s="686"/>
      <c r="M939" s="686"/>
      <c r="N939" s="686"/>
      <c r="O939" s="686"/>
      <c r="P939" s="686"/>
      <c r="Q939" s="666"/>
      <c r="R939" s="686"/>
      <c r="S939" s="686"/>
      <c r="T939" s="688"/>
      <c r="U939" s="688"/>
      <c r="V939" s="686"/>
      <c r="W939" s="686"/>
      <c r="X939" s="686"/>
      <c r="Y939" s="686"/>
      <c r="Z939" s="686"/>
      <c r="AA939" s="669"/>
      <c r="AB939" s="695"/>
      <c r="AC939" s="669"/>
    </row>
    <row r="940" ht="18.0" customHeight="1">
      <c r="A940" s="695"/>
      <c r="B940" s="695"/>
      <c r="C940" s="695"/>
      <c r="D940" s="695"/>
      <c r="E940" s="695"/>
      <c r="F940" s="686"/>
      <c r="G940" s="695"/>
      <c r="H940" s="695"/>
      <c r="I940" s="695"/>
      <c r="J940" s="731"/>
      <c r="K940" s="695"/>
      <c r="L940" s="686"/>
      <c r="M940" s="686"/>
      <c r="N940" s="686"/>
      <c r="O940" s="686"/>
      <c r="P940" s="686"/>
      <c r="Q940" s="666"/>
      <c r="R940" s="686"/>
      <c r="S940" s="686"/>
      <c r="T940" s="688"/>
      <c r="U940" s="688"/>
      <c r="V940" s="686"/>
      <c r="W940" s="686"/>
      <c r="X940" s="686"/>
      <c r="Y940" s="686"/>
      <c r="Z940" s="686"/>
      <c r="AA940" s="669"/>
      <c r="AB940" s="695"/>
      <c r="AC940" s="669"/>
    </row>
    <row r="941" ht="18.0" customHeight="1">
      <c r="A941" s="695"/>
      <c r="B941" s="695"/>
      <c r="C941" s="695"/>
      <c r="D941" s="695"/>
      <c r="E941" s="695"/>
      <c r="F941" s="686"/>
      <c r="G941" s="695"/>
      <c r="H941" s="695"/>
      <c r="I941" s="695"/>
      <c r="J941" s="731"/>
      <c r="K941" s="695"/>
      <c r="L941" s="686"/>
      <c r="M941" s="686"/>
      <c r="N941" s="686"/>
      <c r="O941" s="686"/>
      <c r="P941" s="686"/>
      <c r="Q941" s="666"/>
      <c r="R941" s="686"/>
      <c r="S941" s="686"/>
      <c r="T941" s="688"/>
      <c r="U941" s="688"/>
      <c r="V941" s="686"/>
      <c r="W941" s="686"/>
      <c r="X941" s="686"/>
      <c r="Y941" s="686"/>
      <c r="Z941" s="686"/>
      <c r="AA941" s="669"/>
      <c r="AB941" s="695"/>
      <c r="AC941" s="669"/>
    </row>
    <row r="942" ht="18.0" customHeight="1">
      <c r="A942" s="695"/>
      <c r="B942" s="695"/>
      <c r="C942" s="695"/>
      <c r="D942" s="695"/>
      <c r="E942" s="695"/>
      <c r="F942" s="686"/>
      <c r="G942" s="695"/>
      <c r="H942" s="695"/>
      <c r="I942" s="695"/>
      <c r="J942" s="731"/>
      <c r="K942" s="695"/>
      <c r="L942" s="686"/>
      <c r="M942" s="686"/>
      <c r="N942" s="686"/>
      <c r="O942" s="686"/>
      <c r="P942" s="686"/>
      <c r="Q942" s="666"/>
      <c r="R942" s="686"/>
      <c r="S942" s="686"/>
      <c r="T942" s="688"/>
      <c r="U942" s="688"/>
      <c r="V942" s="686"/>
      <c r="W942" s="686"/>
      <c r="X942" s="686"/>
      <c r="Y942" s="686"/>
      <c r="Z942" s="686"/>
      <c r="AA942" s="669"/>
      <c r="AB942" s="695"/>
      <c r="AC942" s="669"/>
    </row>
    <row r="943" ht="18.0" customHeight="1">
      <c r="A943" s="695"/>
      <c r="B943" s="695"/>
      <c r="C943" s="695"/>
      <c r="D943" s="695"/>
      <c r="E943" s="695"/>
      <c r="F943" s="686"/>
      <c r="G943" s="695"/>
      <c r="H943" s="695"/>
      <c r="I943" s="695"/>
      <c r="J943" s="731"/>
      <c r="K943" s="695"/>
      <c r="L943" s="686"/>
      <c r="M943" s="686"/>
      <c r="N943" s="686"/>
      <c r="O943" s="686"/>
      <c r="P943" s="686"/>
      <c r="Q943" s="666"/>
      <c r="R943" s="686"/>
      <c r="S943" s="686"/>
      <c r="T943" s="688"/>
      <c r="U943" s="688"/>
      <c r="V943" s="686"/>
      <c r="W943" s="686"/>
      <c r="X943" s="686"/>
      <c r="Y943" s="686"/>
      <c r="Z943" s="686"/>
      <c r="AA943" s="669"/>
      <c r="AB943" s="695"/>
      <c r="AC943" s="669"/>
    </row>
    <row r="944" ht="18.0" customHeight="1">
      <c r="A944" s="695"/>
      <c r="B944" s="695"/>
      <c r="C944" s="695"/>
      <c r="D944" s="695"/>
      <c r="E944" s="695"/>
      <c r="F944" s="686"/>
      <c r="G944" s="695"/>
      <c r="H944" s="695"/>
      <c r="I944" s="695"/>
      <c r="J944" s="731"/>
      <c r="K944" s="695"/>
      <c r="L944" s="686"/>
      <c r="M944" s="686"/>
      <c r="N944" s="686"/>
      <c r="O944" s="686"/>
      <c r="P944" s="686"/>
      <c r="Q944" s="666"/>
      <c r="R944" s="686"/>
      <c r="S944" s="686"/>
      <c r="T944" s="688"/>
      <c r="U944" s="688"/>
      <c r="V944" s="686"/>
      <c r="W944" s="686"/>
      <c r="X944" s="686"/>
      <c r="Y944" s="686"/>
      <c r="Z944" s="686"/>
      <c r="AA944" s="669"/>
      <c r="AB944" s="695"/>
      <c r="AC944" s="669"/>
    </row>
    <row r="945" ht="18.0" customHeight="1">
      <c r="A945" s="695"/>
      <c r="B945" s="695"/>
      <c r="C945" s="695"/>
      <c r="D945" s="695"/>
      <c r="E945" s="695"/>
      <c r="F945" s="686"/>
      <c r="G945" s="695"/>
      <c r="H945" s="695"/>
      <c r="I945" s="695"/>
      <c r="J945" s="731"/>
      <c r="K945" s="695"/>
      <c r="L945" s="686"/>
      <c r="M945" s="686"/>
      <c r="N945" s="686"/>
      <c r="O945" s="686"/>
      <c r="P945" s="686"/>
      <c r="Q945" s="666"/>
      <c r="R945" s="686"/>
      <c r="S945" s="686"/>
      <c r="T945" s="688"/>
      <c r="U945" s="688"/>
      <c r="V945" s="686"/>
      <c r="W945" s="686"/>
      <c r="X945" s="686"/>
      <c r="Y945" s="686"/>
      <c r="Z945" s="686"/>
      <c r="AA945" s="669"/>
      <c r="AB945" s="695"/>
      <c r="AC945" s="669"/>
    </row>
    <row r="946" ht="18.0" customHeight="1">
      <c r="A946" s="695"/>
      <c r="B946" s="695"/>
      <c r="C946" s="695"/>
      <c r="D946" s="695"/>
      <c r="E946" s="695"/>
      <c r="F946" s="686"/>
      <c r="G946" s="695"/>
      <c r="H946" s="695"/>
      <c r="I946" s="695"/>
      <c r="J946" s="731"/>
      <c r="K946" s="695"/>
      <c r="L946" s="686"/>
      <c r="M946" s="686"/>
      <c r="N946" s="686"/>
      <c r="O946" s="686"/>
      <c r="P946" s="686"/>
      <c r="Q946" s="666"/>
      <c r="R946" s="686"/>
      <c r="S946" s="686"/>
      <c r="T946" s="688"/>
      <c r="U946" s="688"/>
      <c r="V946" s="686"/>
      <c r="W946" s="686"/>
      <c r="X946" s="686"/>
      <c r="Y946" s="686"/>
      <c r="Z946" s="686"/>
      <c r="AA946" s="669"/>
      <c r="AB946" s="695"/>
      <c r="AC946" s="669"/>
    </row>
    <row r="947" ht="18.0" customHeight="1">
      <c r="A947" s="695"/>
      <c r="B947" s="695"/>
      <c r="C947" s="695"/>
      <c r="D947" s="695"/>
      <c r="E947" s="695"/>
      <c r="F947" s="686"/>
      <c r="G947" s="695"/>
      <c r="H947" s="695"/>
      <c r="I947" s="695"/>
      <c r="J947" s="731"/>
      <c r="K947" s="695"/>
      <c r="L947" s="686"/>
      <c r="M947" s="686"/>
      <c r="N947" s="686"/>
      <c r="O947" s="686"/>
      <c r="P947" s="686"/>
      <c r="Q947" s="666"/>
      <c r="R947" s="686"/>
      <c r="S947" s="686"/>
      <c r="T947" s="688"/>
      <c r="U947" s="688"/>
      <c r="V947" s="686"/>
      <c r="W947" s="686"/>
      <c r="X947" s="686"/>
      <c r="Y947" s="686"/>
      <c r="Z947" s="686"/>
      <c r="AA947" s="669"/>
      <c r="AB947" s="695"/>
      <c r="AC947" s="669"/>
    </row>
    <row r="948" ht="18.0" customHeight="1">
      <c r="A948" s="695"/>
      <c r="B948" s="695"/>
      <c r="C948" s="695"/>
      <c r="D948" s="695"/>
      <c r="E948" s="695"/>
      <c r="F948" s="686"/>
      <c r="G948" s="695"/>
      <c r="H948" s="695"/>
      <c r="I948" s="695"/>
      <c r="J948" s="731"/>
      <c r="K948" s="695"/>
      <c r="L948" s="686"/>
      <c r="M948" s="686"/>
      <c r="N948" s="686"/>
      <c r="O948" s="686"/>
      <c r="P948" s="686"/>
      <c r="Q948" s="666"/>
      <c r="R948" s="686"/>
      <c r="S948" s="686"/>
      <c r="T948" s="688"/>
      <c r="U948" s="688"/>
      <c r="V948" s="686"/>
      <c r="W948" s="686"/>
      <c r="X948" s="686"/>
      <c r="Y948" s="686"/>
      <c r="Z948" s="686"/>
      <c r="AA948" s="669"/>
      <c r="AB948" s="695"/>
      <c r="AC948" s="669"/>
    </row>
    <row r="949" ht="18.0" customHeight="1">
      <c r="A949" s="695"/>
      <c r="B949" s="695"/>
      <c r="C949" s="695"/>
      <c r="D949" s="695"/>
      <c r="E949" s="695"/>
      <c r="F949" s="686"/>
      <c r="G949" s="695"/>
      <c r="H949" s="695"/>
      <c r="I949" s="695"/>
      <c r="J949" s="731"/>
      <c r="K949" s="695"/>
      <c r="L949" s="686"/>
      <c r="M949" s="686"/>
      <c r="N949" s="686"/>
      <c r="O949" s="686"/>
      <c r="P949" s="686"/>
      <c r="Q949" s="666"/>
      <c r="R949" s="686"/>
      <c r="S949" s="686"/>
      <c r="T949" s="688"/>
      <c r="U949" s="688"/>
      <c r="V949" s="686"/>
      <c r="W949" s="686"/>
      <c r="X949" s="686"/>
      <c r="Y949" s="686"/>
      <c r="Z949" s="686"/>
      <c r="AA949" s="669"/>
      <c r="AB949" s="695"/>
      <c r="AC949" s="669"/>
    </row>
    <row r="950" ht="18.0" customHeight="1">
      <c r="A950" s="695"/>
      <c r="B950" s="695"/>
      <c r="C950" s="695"/>
      <c r="D950" s="695"/>
      <c r="E950" s="695"/>
      <c r="F950" s="686"/>
      <c r="G950" s="695"/>
      <c r="H950" s="695"/>
      <c r="I950" s="695"/>
      <c r="J950" s="731"/>
      <c r="K950" s="695"/>
      <c r="L950" s="686"/>
      <c r="M950" s="686"/>
      <c r="N950" s="686"/>
      <c r="O950" s="686"/>
      <c r="P950" s="686"/>
      <c r="Q950" s="666"/>
      <c r="R950" s="686"/>
      <c r="S950" s="686"/>
      <c r="T950" s="688"/>
      <c r="U950" s="688"/>
      <c r="V950" s="686"/>
      <c r="W950" s="686"/>
      <c r="X950" s="686"/>
      <c r="Y950" s="686"/>
      <c r="Z950" s="686"/>
      <c r="AA950" s="669"/>
      <c r="AB950" s="695"/>
      <c r="AC950" s="669"/>
    </row>
    <row r="951" ht="18.0" customHeight="1">
      <c r="A951" s="695"/>
      <c r="B951" s="695"/>
      <c r="C951" s="695"/>
      <c r="D951" s="695"/>
      <c r="E951" s="695"/>
      <c r="F951" s="686"/>
      <c r="G951" s="695"/>
      <c r="H951" s="695"/>
      <c r="I951" s="695"/>
      <c r="J951" s="731"/>
      <c r="K951" s="695"/>
      <c r="L951" s="686"/>
      <c r="M951" s="686"/>
      <c r="N951" s="686"/>
      <c r="O951" s="686"/>
      <c r="P951" s="686"/>
      <c r="Q951" s="666"/>
      <c r="R951" s="686"/>
      <c r="S951" s="686"/>
      <c r="T951" s="688"/>
      <c r="U951" s="688"/>
      <c r="V951" s="686"/>
      <c r="W951" s="686"/>
      <c r="X951" s="686"/>
      <c r="Y951" s="686"/>
      <c r="Z951" s="686"/>
      <c r="AA951" s="669"/>
      <c r="AB951" s="695"/>
      <c r="AC951" s="669"/>
    </row>
    <row r="952" ht="18.0" customHeight="1">
      <c r="A952" s="695"/>
      <c r="B952" s="695"/>
      <c r="C952" s="695"/>
      <c r="D952" s="695"/>
      <c r="E952" s="695"/>
      <c r="F952" s="686"/>
      <c r="G952" s="695"/>
      <c r="H952" s="695"/>
      <c r="I952" s="695"/>
      <c r="J952" s="731"/>
      <c r="K952" s="695"/>
      <c r="L952" s="686"/>
      <c r="M952" s="686"/>
      <c r="N952" s="686"/>
      <c r="O952" s="686"/>
      <c r="P952" s="686"/>
      <c r="Q952" s="666"/>
      <c r="R952" s="686"/>
      <c r="S952" s="686"/>
      <c r="T952" s="688"/>
      <c r="U952" s="688"/>
      <c r="V952" s="686"/>
      <c r="W952" s="686"/>
      <c r="X952" s="686"/>
      <c r="Y952" s="686"/>
      <c r="Z952" s="686"/>
      <c r="AA952" s="669"/>
      <c r="AB952" s="695"/>
      <c r="AC952" s="669"/>
    </row>
    <row r="953" ht="18.0" customHeight="1">
      <c r="A953" s="695"/>
      <c r="B953" s="695"/>
      <c r="C953" s="695"/>
      <c r="D953" s="695"/>
      <c r="E953" s="695"/>
      <c r="F953" s="686"/>
      <c r="G953" s="695"/>
      <c r="H953" s="695"/>
      <c r="I953" s="695"/>
      <c r="J953" s="731"/>
      <c r="K953" s="695"/>
      <c r="L953" s="686"/>
      <c r="M953" s="686"/>
      <c r="N953" s="686"/>
      <c r="O953" s="686"/>
      <c r="P953" s="686"/>
      <c r="Q953" s="666"/>
      <c r="R953" s="686"/>
      <c r="S953" s="686"/>
      <c r="T953" s="688"/>
      <c r="U953" s="688"/>
      <c r="V953" s="686"/>
      <c r="W953" s="686"/>
      <c r="X953" s="686"/>
      <c r="Y953" s="686"/>
      <c r="Z953" s="686"/>
      <c r="AA953" s="669"/>
      <c r="AB953" s="695"/>
      <c r="AC953" s="669"/>
    </row>
    <row r="954" ht="18.0" customHeight="1">
      <c r="A954" s="695"/>
      <c r="B954" s="695"/>
      <c r="C954" s="695"/>
      <c r="D954" s="695"/>
      <c r="E954" s="695"/>
      <c r="F954" s="686"/>
      <c r="G954" s="695"/>
      <c r="H954" s="695"/>
      <c r="I954" s="695"/>
      <c r="J954" s="731"/>
      <c r="K954" s="695"/>
      <c r="L954" s="686"/>
      <c r="M954" s="686"/>
      <c r="N954" s="686"/>
      <c r="O954" s="686"/>
      <c r="P954" s="686"/>
      <c r="Q954" s="666"/>
      <c r="R954" s="686"/>
      <c r="S954" s="686"/>
      <c r="T954" s="688"/>
      <c r="U954" s="688"/>
      <c r="V954" s="686"/>
      <c r="W954" s="686"/>
      <c r="X954" s="686"/>
      <c r="Y954" s="686"/>
      <c r="Z954" s="686"/>
      <c r="AA954" s="669"/>
      <c r="AB954" s="695"/>
      <c r="AC954" s="669"/>
    </row>
    <row r="955" ht="18.0" customHeight="1">
      <c r="A955" s="695"/>
      <c r="B955" s="695"/>
      <c r="C955" s="695"/>
      <c r="D955" s="695"/>
      <c r="E955" s="695"/>
      <c r="F955" s="686"/>
      <c r="G955" s="695"/>
      <c r="H955" s="695"/>
      <c r="I955" s="695"/>
      <c r="J955" s="731"/>
      <c r="K955" s="695"/>
      <c r="L955" s="686"/>
      <c r="M955" s="686"/>
      <c r="N955" s="686"/>
      <c r="O955" s="686"/>
      <c r="P955" s="686"/>
      <c r="Q955" s="666"/>
      <c r="R955" s="686"/>
      <c r="S955" s="686"/>
      <c r="T955" s="688"/>
      <c r="U955" s="688"/>
      <c r="V955" s="686"/>
      <c r="W955" s="686"/>
      <c r="X955" s="686"/>
      <c r="Y955" s="686"/>
      <c r="Z955" s="686"/>
      <c r="AA955" s="669"/>
      <c r="AB955" s="695"/>
      <c r="AC955" s="669"/>
    </row>
    <row r="956" ht="18.0" customHeight="1">
      <c r="A956" s="695"/>
      <c r="B956" s="695"/>
      <c r="C956" s="695"/>
      <c r="D956" s="695"/>
      <c r="E956" s="695"/>
      <c r="F956" s="686"/>
      <c r="G956" s="695"/>
      <c r="H956" s="695"/>
      <c r="I956" s="695"/>
      <c r="J956" s="731"/>
      <c r="K956" s="695"/>
      <c r="L956" s="686"/>
      <c r="M956" s="686"/>
      <c r="N956" s="686"/>
      <c r="O956" s="686"/>
      <c r="P956" s="686"/>
      <c r="Q956" s="666"/>
      <c r="R956" s="686"/>
      <c r="S956" s="686"/>
      <c r="T956" s="688"/>
      <c r="U956" s="688"/>
      <c r="V956" s="686"/>
      <c r="W956" s="686"/>
      <c r="X956" s="686"/>
      <c r="Y956" s="686"/>
      <c r="Z956" s="686"/>
      <c r="AA956" s="669"/>
      <c r="AB956" s="695"/>
      <c r="AC956" s="669"/>
    </row>
    <row r="957" ht="18.0" customHeight="1">
      <c r="A957" s="695"/>
      <c r="B957" s="695"/>
      <c r="C957" s="695"/>
      <c r="D957" s="695"/>
      <c r="E957" s="695"/>
      <c r="F957" s="686"/>
      <c r="G957" s="695"/>
      <c r="H957" s="695"/>
      <c r="I957" s="695"/>
      <c r="J957" s="731"/>
      <c r="K957" s="695"/>
      <c r="L957" s="686"/>
      <c r="M957" s="686"/>
      <c r="N957" s="686"/>
      <c r="O957" s="686"/>
      <c r="P957" s="686"/>
      <c r="Q957" s="666"/>
      <c r="R957" s="686"/>
      <c r="S957" s="686"/>
      <c r="T957" s="688"/>
      <c r="U957" s="688"/>
      <c r="V957" s="686"/>
      <c r="W957" s="686"/>
      <c r="X957" s="686"/>
      <c r="Y957" s="686"/>
      <c r="Z957" s="686"/>
      <c r="AA957" s="669"/>
      <c r="AB957" s="695"/>
      <c r="AC957" s="669"/>
    </row>
    <row r="958" ht="18.0" customHeight="1">
      <c r="A958" s="695"/>
      <c r="B958" s="695"/>
      <c r="C958" s="695"/>
      <c r="D958" s="695"/>
      <c r="E958" s="695"/>
      <c r="F958" s="686"/>
      <c r="G958" s="695"/>
      <c r="H958" s="695"/>
      <c r="I958" s="695"/>
      <c r="J958" s="731"/>
      <c r="K958" s="695"/>
      <c r="L958" s="686"/>
      <c r="M958" s="686"/>
      <c r="N958" s="686"/>
      <c r="O958" s="686"/>
      <c r="P958" s="686"/>
      <c r="Q958" s="666"/>
      <c r="R958" s="686"/>
      <c r="S958" s="686"/>
      <c r="T958" s="688"/>
      <c r="U958" s="688"/>
      <c r="V958" s="686"/>
      <c r="W958" s="686"/>
      <c r="X958" s="686"/>
      <c r="Y958" s="686"/>
      <c r="Z958" s="686"/>
      <c r="AA958" s="669"/>
      <c r="AB958" s="695"/>
      <c r="AC958" s="669"/>
    </row>
    <row r="959" ht="18.0" customHeight="1">
      <c r="A959" s="695"/>
      <c r="B959" s="695"/>
      <c r="C959" s="695"/>
      <c r="D959" s="695"/>
      <c r="E959" s="695"/>
      <c r="F959" s="686"/>
      <c r="G959" s="695"/>
      <c r="H959" s="695"/>
      <c r="I959" s="695"/>
      <c r="J959" s="731"/>
      <c r="K959" s="695"/>
      <c r="L959" s="686"/>
      <c r="M959" s="686"/>
      <c r="N959" s="686"/>
      <c r="O959" s="686"/>
      <c r="P959" s="686"/>
      <c r="Q959" s="666"/>
      <c r="R959" s="686"/>
      <c r="S959" s="686"/>
      <c r="T959" s="688"/>
      <c r="U959" s="688"/>
      <c r="V959" s="686"/>
      <c r="W959" s="686"/>
      <c r="X959" s="686"/>
      <c r="Y959" s="686"/>
      <c r="Z959" s="686"/>
      <c r="AA959" s="669"/>
      <c r="AB959" s="695"/>
      <c r="AC959" s="669"/>
    </row>
    <row r="960" ht="18.0" customHeight="1">
      <c r="A960" s="695"/>
      <c r="B960" s="695"/>
      <c r="C960" s="695"/>
      <c r="D960" s="695"/>
      <c r="E960" s="695"/>
      <c r="F960" s="686"/>
      <c r="G960" s="695"/>
      <c r="H960" s="695"/>
      <c r="I960" s="695"/>
      <c r="J960" s="731"/>
      <c r="K960" s="695"/>
      <c r="L960" s="686"/>
      <c r="M960" s="686"/>
      <c r="N960" s="686"/>
      <c r="O960" s="686"/>
      <c r="P960" s="686"/>
      <c r="Q960" s="666"/>
      <c r="R960" s="686"/>
      <c r="S960" s="686"/>
      <c r="T960" s="688"/>
      <c r="U960" s="688"/>
      <c r="V960" s="686"/>
      <c r="W960" s="686"/>
      <c r="X960" s="686"/>
      <c r="Y960" s="686"/>
      <c r="Z960" s="686"/>
      <c r="AA960" s="669"/>
      <c r="AB960" s="695"/>
      <c r="AC960" s="669"/>
    </row>
    <row r="961" ht="18.0" customHeight="1">
      <c r="A961" s="695"/>
      <c r="B961" s="695"/>
      <c r="C961" s="695"/>
      <c r="D961" s="695"/>
      <c r="E961" s="695"/>
      <c r="F961" s="686"/>
      <c r="G961" s="695"/>
      <c r="H961" s="695"/>
      <c r="I961" s="695"/>
      <c r="J961" s="731"/>
      <c r="K961" s="695"/>
      <c r="L961" s="686"/>
      <c r="M961" s="686"/>
      <c r="N961" s="686"/>
      <c r="O961" s="686"/>
      <c r="P961" s="686"/>
      <c r="Q961" s="666"/>
      <c r="R961" s="686"/>
      <c r="S961" s="686"/>
      <c r="T961" s="688"/>
      <c r="U961" s="688"/>
      <c r="V961" s="686"/>
      <c r="W961" s="686"/>
      <c r="X961" s="686"/>
      <c r="Y961" s="686"/>
      <c r="Z961" s="686"/>
      <c r="AA961" s="669"/>
      <c r="AB961" s="695"/>
      <c r="AC961" s="669"/>
    </row>
    <row r="962" ht="18.0" customHeight="1">
      <c r="A962" s="695"/>
      <c r="B962" s="695"/>
      <c r="C962" s="695"/>
      <c r="D962" s="695"/>
      <c r="E962" s="695"/>
      <c r="F962" s="686"/>
      <c r="G962" s="695"/>
      <c r="H962" s="695"/>
      <c r="I962" s="695"/>
      <c r="J962" s="731"/>
      <c r="K962" s="695"/>
      <c r="L962" s="686"/>
      <c r="M962" s="686"/>
      <c r="N962" s="686"/>
      <c r="O962" s="686"/>
      <c r="P962" s="686"/>
      <c r="Q962" s="666"/>
      <c r="R962" s="686"/>
      <c r="S962" s="686"/>
      <c r="T962" s="688"/>
      <c r="U962" s="688"/>
      <c r="V962" s="686"/>
      <c r="W962" s="686"/>
      <c r="X962" s="686"/>
      <c r="Y962" s="686"/>
      <c r="Z962" s="686"/>
      <c r="AA962" s="669"/>
      <c r="AB962" s="695"/>
      <c r="AC962" s="669"/>
    </row>
    <row r="963" ht="18.0" customHeight="1">
      <c r="A963" s="695"/>
      <c r="B963" s="695"/>
      <c r="C963" s="695"/>
      <c r="D963" s="695"/>
      <c r="E963" s="695"/>
      <c r="F963" s="686"/>
      <c r="G963" s="695"/>
      <c r="H963" s="695"/>
      <c r="I963" s="695"/>
      <c r="J963" s="731"/>
      <c r="K963" s="695"/>
      <c r="L963" s="686"/>
      <c r="M963" s="686"/>
      <c r="N963" s="686"/>
      <c r="O963" s="686"/>
      <c r="P963" s="686"/>
      <c r="Q963" s="666"/>
      <c r="R963" s="686"/>
      <c r="S963" s="686"/>
      <c r="T963" s="688"/>
      <c r="U963" s="688"/>
      <c r="V963" s="686"/>
      <c r="W963" s="686"/>
      <c r="X963" s="686"/>
      <c r="Y963" s="686"/>
      <c r="Z963" s="686"/>
      <c r="AA963" s="669"/>
      <c r="AB963" s="695"/>
      <c r="AC963" s="669"/>
    </row>
    <row r="964" ht="18.0" customHeight="1">
      <c r="A964" s="695"/>
      <c r="B964" s="695"/>
      <c r="C964" s="695"/>
      <c r="D964" s="695"/>
      <c r="E964" s="695"/>
      <c r="F964" s="686"/>
      <c r="G964" s="695"/>
      <c r="H964" s="695"/>
      <c r="I964" s="695"/>
      <c r="J964" s="731"/>
      <c r="K964" s="695"/>
      <c r="L964" s="686"/>
      <c r="M964" s="686"/>
      <c r="N964" s="686"/>
      <c r="O964" s="686"/>
      <c r="P964" s="686"/>
      <c r="Q964" s="666"/>
      <c r="R964" s="686"/>
      <c r="S964" s="686"/>
      <c r="T964" s="688"/>
      <c r="U964" s="688"/>
      <c r="V964" s="686"/>
      <c r="W964" s="686"/>
      <c r="X964" s="686"/>
      <c r="Y964" s="686"/>
      <c r="Z964" s="686"/>
      <c r="AA964" s="669"/>
      <c r="AB964" s="695"/>
      <c r="AC964" s="669"/>
    </row>
    <row r="965" ht="18.0" customHeight="1">
      <c r="A965" s="695"/>
      <c r="B965" s="695"/>
      <c r="C965" s="695"/>
      <c r="D965" s="695"/>
      <c r="E965" s="695"/>
      <c r="F965" s="686"/>
      <c r="G965" s="695"/>
      <c r="H965" s="695"/>
      <c r="I965" s="695"/>
      <c r="J965" s="731"/>
      <c r="K965" s="695"/>
      <c r="L965" s="686"/>
      <c r="M965" s="686"/>
      <c r="N965" s="686"/>
      <c r="O965" s="686"/>
      <c r="P965" s="686"/>
      <c r="Q965" s="666"/>
      <c r="R965" s="686"/>
      <c r="S965" s="686"/>
      <c r="T965" s="688"/>
      <c r="U965" s="688"/>
      <c r="V965" s="686"/>
      <c r="W965" s="686"/>
      <c r="X965" s="686"/>
      <c r="Y965" s="686"/>
      <c r="Z965" s="686"/>
      <c r="AA965" s="669"/>
      <c r="AB965" s="695"/>
      <c r="AC965" s="669"/>
    </row>
    <row r="966" ht="18.0" customHeight="1">
      <c r="A966" s="695"/>
      <c r="B966" s="695"/>
      <c r="C966" s="695"/>
      <c r="D966" s="695"/>
      <c r="E966" s="695"/>
      <c r="F966" s="686"/>
      <c r="G966" s="695"/>
      <c r="H966" s="695"/>
      <c r="I966" s="695"/>
      <c r="J966" s="731"/>
      <c r="K966" s="695"/>
      <c r="L966" s="686"/>
      <c r="M966" s="686"/>
      <c r="N966" s="686"/>
      <c r="O966" s="686"/>
      <c r="P966" s="686"/>
      <c r="Q966" s="666"/>
      <c r="R966" s="686"/>
      <c r="S966" s="686"/>
      <c r="T966" s="688"/>
      <c r="U966" s="688"/>
      <c r="V966" s="686"/>
      <c r="W966" s="686"/>
      <c r="X966" s="686"/>
      <c r="Y966" s="686"/>
      <c r="Z966" s="686"/>
      <c r="AA966" s="669"/>
      <c r="AB966" s="695"/>
      <c r="AC966" s="669"/>
    </row>
    <row r="967" ht="18.0" customHeight="1">
      <c r="A967" s="695"/>
      <c r="B967" s="695"/>
      <c r="C967" s="695"/>
      <c r="D967" s="695"/>
      <c r="E967" s="695"/>
      <c r="F967" s="686"/>
      <c r="G967" s="695"/>
      <c r="H967" s="695"/>
      <c r="I967" s="695"/>
      <c r="J967" s="731"/>
      <c r="K967" s="695"/>
      <c r="L967" s="686"/>
      <c r="M967" s="686"/>
      <c r="N967" s="686"/>
      <c r="O967" s="686"/>
      <c r="P967" s="686"/>
      <c r="Q967" s="666"/>
      <c r="R967" s="686"/>
      <c r="S967" s="686"/>
      <c r="T967" s="688"/>
      <c r="U967" s="688"/>
      <c r="V967" s="686"/>
      <c r="W967" s="686"/>
      <c r="X967" s="686"/>
      <c r="Y967" s="686"/>
      <c r="Z967" s="686"/>
      <c r="AA967" s="669"/>
      <c r="AB967" s="695"/>
      <c r="AC967" s="669"/>
    </row>
    <row r="968" ht="18.0" customHeight="1">
      <c r="A968" s="695"/>
      <c r="B968" s="695"/>
      <c r="C968" s="695"/>
      <c r="D968" s="695"/>
      <c r="E968" s="695"/>
      <c r="F968" s="686"/>
      <c r="G968" s="695"/>
      <c r="H968" s="695"/>
      <c r="I968" s="695"/>
      <c r="J968" s="731"/>
      <c r="K968" s="695"/>
      <c r="L968" s="686"/>
      <c r="M968" s="686"/>
      <c r="N968" s="686"/>
      <c r="O968" s="686"/>
      <c r="P968" s="686"/>
      <c r="Q968" s="666"/>
      <c r="R968" s="686"/>
      <c r="S968" s="686"/>
      <c r="T968" s="688"/>
      <c r="U968" s="688"/>
      <c r="V968" s="686"/>
      <c r="W968" s="686"/>
      <c r="X968" s="686"/>
      <c r="Y968" s="686"/>
      <c r="Z968" s="686"/>
      <c r="AA968" s="669"/>
      <c r="AB968" s="695"/>
      <c r="AC968" s="669"/>
    </row>
    <row r="969" ht="18.0" customHeight="1">
      <c r="A969" s="695"/>
      <c r="B969" s="695"/>
      <c r="C969" s="695"/>
      <c r="D969" s="695"/>
      <c r="E969" s="695"/>
      <c r="F969" s="686"/>
      <c r="G969" s="695"/>
      <c r="H969" s="695"/>
      <c r="I969" s="695"/>
      <c r="J969" s="731"/>
      <c r="K969" s="695"/>
      <c r="L969" s="686"/>
      <c r="M969" s="686"/>
      <c r="N969" s="686"/>
      <c r="O969" s="686"/>
      <c r="P969" s="686"/>
      <c r="Q969" s="666"/>
      <c r="R969" s="686"/>
      <c r="S969" s="686"/>
      <c r="T969" s="688"/>
      <c r="U969" s="688"/>
      <c r="V969" s="686"/>
      <c r="W969" s="686"/>
      <c r="X969" s="686"/>
      <c r="Y969" s="686"/>
      <c r="Z969" s="686"/>
      <c r="AA969" s="669"/>
      <c r="AB969" s="695"/>
      <c r="AC969" s="669"/>
    </row>
    <row r="970" ht="18.0" customHeight="1">
      <c r="A970" s="695"/>
      <c r="B970" s="695"/>
      <c r="C970" s="695"/>
      <c r="D970" s="695"/>
      <c r="E970" s="695"/>
      <c r="F970" s="686"/>
      <c r="G970" s="695"/>
      <c r="H970" s="695"/>
      <c r="I970" s="695"/>
      <c r="J970" s="731"/>
      <c r="K970" s="695"/>
      <c r="L970" s="686"/>
      <c r="M970" s="686"/>
      <c r="N970" s="686"/>
      <c r="O970" s="686"/>
      <c r="P970" s="686"/>
      <c r="Q970" s="666"/>
      <c r="R970" s="686"/>
      <c r="S970" s="686"/>
      <c r="T970" s="688"/>
      <c r="U970" s="688"/>
      <c r="V970" s="686"/>
      <c r="W970" s="686"/>
      <c r="X970" s="686"/>
      <c r="Y970" s="686"/>
      <c r="Z970" s="686"/>
      <c r="AA970" s="669"/>
      <c r="AB970" s="695"/>
      <c r="AC970" s="669"/>
    </row>
    <row r="971" ht="18.0" customHeight="1">
      <c r="A971" s="695"/>
      <c r="B971" s="695"/>
      <c r="C971" s="695"/>
      <c r="D971" s="695"/>
      <c r="E971" s="695"/>
      <c r="F971" s="686"/>
      <c r="G971" s="695"/>
      <c r="H971" s="695"/>
      <c r="I971" s="695"/>
      <c r="J971" s="731"/>
      <c r="K971" s="695"/>
      <c r="L971" s="686"/>
      <c r="M971" s="686"/>
      <c r="N971" s="686"/>
      <c r="O971" s="686"/>
      <c r="P971" s="686"/>
      <c r="Q971" s="666"/>
      <c r="R971" s="686"/>
      <c r="S971" s="686"/>
      <c r="T971" s="688"/>
      <c r="U971" s="688"/>
      <c r="V971" s="686"/>
      <c r="W971" s="686"/>
      <c r="X971" s="686"/>
      <c r="Y971" s="686"/>
      <c r="Z971" s="686"/>
      <c r="AA971" s="669"/>
      <c r="AB971" s="695"/>
      <c r="AC971" s="669"/>
    </row>
    <row r="972" ht="18.0" customHeight="1">
      <c r="A972" s="695"/>
      <c r="B972" s="695"/>
      <c r="C972" s="695"/>
      <c r="D972" s="695"/>
      <c r="E972" s="695"/>
      <c r="F972" s="686"/>
      <c r="G972" s="695"/>
      <c r="H972" s="695"/>
      <c r="I972" s="695"/>
      <c r="J972" s="731"/>
      <c r="K972" s="695"/>
      <c r="L972" s="686"/>
      <c r="M972" s="686"/>
      <c r="N972" s="686"/>
      <c r="O972" s="686"/>
      <c r="P972" s="686"/>
      <c r="Q972" s="666"/>
      <c r="R972" s="686"/>
      <c r="S972" s="686"/>
      <c r="T972" s="688"/>
      <c r="U972" s="688"/>
      <c r="V972" s="686"/>
      <c r="W972" s="686"/>
      <c r="X972" s="686"/>
      <c r="Y972" s="686"/>
      <c r="Z972" s="686"/>
      <c r="AA972" s="669"/>
      <c r="AB972" s="695"/>
      <c r="AC972" s="669"/>
    </row>
    <row r="973" ht="18.0" customHeight="1">
      <c r="A973" s="695"/>
      <c r="B973" s="695"/>
      <c r="C973" s="695"/>
      <c r="D973" s="695"/>
      <c r="E973" s="695"/>
      <c r="F973" s="686"/>
      <c r="G973" s="695"/>
      <c r="H973" s="695"/>
      <c r="I973" s="695"/>
      <c r="J973" s="731"/>
      <c r="K973" s="695"/>
      <c r="L973" s="686"/>
      <c r="M973" s="686"/>
      <c r="N973" s="686"/>
      <c r="O973" s="686"/>
      <c r="P973" s="686"/>
      <c r="Q973" s="666"/>
      <c r="R973" s="686"/>
      <c r="S973" s="686"/>
      <c r="T973" s="688"/>
      <c r="U973" s="688"/>
      <c r="V973" s="686"/>
      <c r="W973" s="686"/>
      <c r="X973" s="686"/>
      <c r="Y973" s="686"/>
      <c r="Z973" s="686"/>
      <c r="AA973" s="669"/>
      <c r="AB973" s="695"/>
      <c r="AC973" s="669"/>
    </row>
    <row r="974" ht="18.0" customHeight="1">
      <c r="A974" s="695"/>
      <c r="B974" s="695"/>
      <c r="C974" s="695"/>
      <c r="D974" s="695"/>
      <c r="E974" s="695"/>
      <c r="F974" s="686"/>
      <c r="G974" s="695"/>
      <c r="H974" s="695"/>
      <c r="I974" s="695"/>
      <c r="J974" s="731"/>
      <c r="K974" s="695"/>
      <c r="L974" s="686"/>
      <c r="M974" s="686"/>
      <c r="N974" s="686"/>
      <c r="O974" s="686"/>
      <c r="P974" s="686"/>
      <c r="Q974" s="666"/>
      <c r="R974" s="686"/>
      <c r="S974" s="686"/>
      <c r="T974" s="688"/>
      <c r="U974" s="688"/>
      <c r="V974" s="686"/>
      <c r="W974" s="686"/>
      <c r="X974" s="686"/>
      <c r="Y974" s="686"/>
      <c r="Z974" s="686"/>
      <c r="AA974" s="669"/>
      <c r="AB974" s="695"/>
      <c r="AC974" s="669"/>
    </row>
    <row r="975" ht="18.0" customHeight="1">
      <c r="A975" s="695"/>
      <c r="B975" s="695"/>
      <c r="C975" s="695"/>
      <c r="D975" s="695"/>
      <c r="E975" s="695"/>
      <c r="F975" s="686"/>
      <c r="G975" s="695"/>
      <c r="H975" s="695"/>
      <c r="I975" s="695"/>
      <c r="J975" s="731"/>
      <c r="K975" s="695"/>
      <c r="L975" s="686"/>
      <c r="M975" s="686"/>
      <c r="N975" s="686"/>
      <c r="O975" s="686"/>
      <c r="P975" s="686"/>
      <c r="Q975" s="666"/>
      <c r="R975" s="686"/>
      <c r="S975" s="686"/>
      <c r="T975" s="688"/>
      <c r="U975" s="688"/>
      <c r="V975" s="686"/>
      <c r="W975" s="686"/>
      <c r="X975" s="686"/>
      <c r="Y975" s="686"/>
      <c r="Z975" s="686"/>
      <c r="AA975" s="669"/>
      <c r="AB975" s="695"/>
      <c r="AC975" s="669"/>
    </row>
    <row r="976" ht="18.0" customHeight="1">
      <c r="A976" s="695"/>
      <c r="B976" s="695"/>
      <c r="C976" s="695"/>
      <c r="D976" s="695"/>
      <c r="E976" s="695"/>
      <c r="F976" s="686"/>
      <c r="G976" s="695"/>
      <c r="H976" s="695"/>
      <c r="I976" s="695"/>
      <c r="J976" s="731"/>
      <c r="K976" s="695"/>
      <c r="L976" s="686"/>
      <c r="M976" s="686"/>
      <c r="N976" s="686"/>
      <c r="O976" s="686"/>
      <c r="P976" s="686"/>
      <c r="Q976" s="666"/>
      <c r="R976" s="686"/>
      <c r="S976" s="686"/>
      <c r="T976" s="688"/>
      <c r="U976" s="688"/>
      <c r="V976" s="686"/>
      <c r="W976" s="686"/>
      <c r="X976" s="686"/>
      <c r="Y976" s="686"/>
      <c r="Z976" s="686"/>
      <c r="AA976" s="669"/>
      <c r="AB976" s="695"/>
      <c r="AC976" s="669"/>
    </row>
    <row r="977" ht="18.0" customHeight="1">
      <c r="A977" s="695"/>
      <c r="B977" s="695"/>
      <c r="C977" s="695"/>
      <c r="D977" s="695"/>
      <c r="E977" s="695"/>
      <c r="F977" s="686"/>
      <c r="G977" s="695"/>
      <c r="H977" s="695"/>
      <c r="I977" s="695"/>
      <c r="J977" s="731"/>
      <c r="K977" s="695"/>
      <c r="L977" s="686"/>
      <c r="M977" s="686"/>
      <c r="N977" s="686"/>
      <c r="O977" s="686"/>
      <c r="P977" s="686"/>
      <c r="Q977" s="666"/>
      <c r="R977" s="686"/>
      <c r="S977" s="686"/>
      <c r="T977" s="688"/>
      <c r="U977" s="688"/>
      <c r="V977" s="686"/>
      <c r="W977" s="686"/>
      <c r="X977" s="686"/>
      <c r="Y977" s="686"/>
      <c r="Z977" s="686"/>
      <c r="AA977" s="669"/>
      <c r="AB977" s="695"/>
      <c r="AC977" s="669"/>
    </row>
    <row r="978" ht="18.0" customHeight="1">
      <c r="A978" s="695"/>
      <c r="B978" s="695"/>
      <c r="C978" s="695"/>
      <c r="D978" s="695"/>
      <c r="E978" s="695"/>
      <c r="F978" s="686"/>
      <c r="G978" s="695"/>
      <c r="H978" s="695"/>
      <c r="I978" s="695"/>
      <c r="J978" s="731"/>
      <c r="K978" s="695"/>
      <c r="L978" s="686"/>
      <c r="M978" s="686"/>
      <c r="N978" s="686"/>
      <c r="O978" s="686"/>
      <c r="P978" s="686"/>
      <c r="Q978" s="666"/>
      <c r="R978" s="686"/>
      <c r="S978" s="686"/>
      <c r="T978" s="688"/>
      <c r="U978" s="688"/>
      <c r="V978" s="686"/>
      <c r="W978" s="686"/>
      <c r="X978" s="686"/>
      <c r="Y978" s="686"/>
      <c r="Z978" s="686"/>
      <c r="AA978" s="669"/>
      <c r="AB978" s="695"/>
      <c r="AC978" s="669"/>
    </row>
    <row r="979" ht="18.0" customHeight="1">
      <c r="A979" s="695"/>
      <c r="B979" s="695"/>
      <c r="C979" s="695"/>
      <c r="D979" s="695"/>
      <c r="E979" s="695"/>
      <c r="F979" s="686"/>
      <c r="G979" s="695"/>
      <c r="H979" s="695"/>
      <c r="I979" s="695"/>
      <c r="J979" s="731"/>
      <c r="K979" s="695"/>
      <c r="L979" s="686"/>
      <c r="M979" s="686"/>
      <c r="N979" s="686"/>
      <c r="O979" s="686"/>
      <c r="P979" s="686"/>
      <c r="Q979" s="666"/>
      <c r="R979" s="686"/>
      <c r="S979" s="686"/>
      <c r="T979" s="688"/>
      <c r="U979" s="688"/>
      <c r="V979" s="686"/>
      <c r="W979" s="686"/>
      <c r="X979" s="686"/>
      <c r="Y979" s="686"/>
      <c r="Z979" s="686"/>
      <c r="AA979" s="669"/>
      <c r="AB979" s="695"/>
      <c r="AC979" s="669"/>
    </row>
    <row r="980" ht="18.0" customHeight="1">
      <c r="A980" s="695"/>
      <c r="B980" s="695"/>
      <c r="C980" s="695"/>
      <c r="D980" s="695"/>
      <c r="E980" s="695"/>
      <c r="F980" s="686"/>
      <c r="G980" s="695"/>
      <c r="H980" s="695"/>
      <c r="I980" s="695"/>
      <c r="J980" s="731"/>
      <c r="K980" s="695"/>
      <c r="L980" s="686"/>
      <c r="M980" s="686"/>
      <c r="N980" s="686"/>
      <c r="O980" s="686"/>
      <c r="P980" s="686"/>
      <c r="Q980" s="666"/>
      <c r="R980" s="686"/>
      <c r="S980" s="686"/>
      <c r="T980" s="688"/>
      <c r="U980" s="688"/>
      <c r="V980" s="686"/>
      <c r="W980" s="686"/>
      <c r="X980" s="686"/>
      <c r="Y980" s="686"/>
      <c r="Z980" s="686"/>
      <c r="AA980" s="669"/>
      <c r="AB980" s="695"/>
      <c r="AC980" s="669"/>
    </row>
    <row r="981" ht="18.0" customHeight="1">
      <c r="A981" s="695"/>
      <c r="B981" s="695"/>
      <c r="C981" s="695"/>
      <c r="D981" s="695"/>
      <c r="E981" s="695"/>
      <c r="F981" s="686"/>
      <c r="G981" s="695"/>
      <c r="H981" s="695"/>
      <c r="I981" s="695"/>
      <c r="J981" s="731"/>
      <c r="K981" s="695"/>
      <c r="L981" s="686"/>
      <c r="M981" s="686"/>
      <c r="N981" s="686"/>
      <c r="O981" s="686"/>
      <c r="P981" s="686"/>
      <c r="Q981" s="666"/>
      <c r="R981" s="686"/>
      <c r="S981" s="686"/>
      <c r="T981" s="688"/>
      <c r="U981" s="688"/>
      <c r="V981" s="686"/>
      <c r="W981" s="686"/>
      <c r="X981" s="686"/>
      <c r="Y981" s="686"/>
      <c r="Z981" s="686"/>
      <c r="AA981" s="669"/>
      <c r="AB981" s="695"/>
      <c r="AC981" s="669"/>
    </row>
    <row r="982" ht="18.0" customHeight="1">
      <c r="A982" s="695"/>
      <c r="B982" s="695"/>
      <c r="C982" s="695"/>
      <c r="D982" s="695"/>
      <c r="E982" s="695"/>
      <c r="F982" s="686"/>
      <c r="G982" s="695"/>
      <c r="H982" s="695"/>
      <c r="I982" s="695"/>
      <c r="J982" s="731"/>
      <c r="K982" s="695"/>
      <c r="L982" s="686"/>
      <c r="M982" s="686"/>
      <c r="N982" s="686"/>
      <c r="O982" s="686"/>
      <c r="P982" s="686"/>
      <c r="Q982" s="666"/>
      <c r="R982" s="686"/>
      <c r="S982" s="686"/>
      <c r="T982" s="688"/>
      <c r="U982" s="688"/>
      <c r="V982" s="686"/>
      <c r="W982" s="686"/>
      <c r="X982" s="686"/>
      <c r="Y982" s="686"/>
      <c r="Z982" s="686"/>
      <c r="AA982" s="669"/>
      <c r="AB982" s="695"/>
      <c r="AC982" s="669"/>
    </row>
    <row r="983" ht="18.0" customHeight="1">
      <c r="A983" s="695"/>
      <c r="B983" s="695"/>
      <c r="C983" s="695"/>
      <c r="D983" s="695"/>
      <c r="E983" s="695"/>
      <c r="F983" s="686"/>
      <c r="G983" s="695"/>
      <c r="H983" s="695"/>
      <c r="I983" s="695"/>
      <c r="J983" s="731"/>
      <c r="K983" s="695"/>
      <c r="L983" s="686"/>
      <c r="M983" s="686"/>
      <c r="N983" s="686"/>
      <c r="O983" s="686"/>
      <c r="P983" s="686"/>
      <c r="Q983" s="666"/>
      <c r="R983" s="686"/>
      <c r="S983" s="686"/>
      <c r="T983" s="688"/>
      <c r="U983" s="688"/>
      <c r="V983" s="686"/>
      <c r="W983" s="686"/>
      <c r="X983" s="686"/>
      <c r="Y983" s="686"/>
      <c r="Z983" s="686"/>
      <c r="AA983" s="669"/>
      <c r="AB983" s="695"/>
      <c r="AC983" s="669"/>
    </row>
    <row r="984" ht="18.0" customHeight="1">
      <c r="A984" s="695"/>
      <c r="B984" s="695"/>
      <c r="C984" s="695"/>
      <c r="D984" s="695"/>
      <c r="E984" s="695"/>
      <c r="F984" s="686"/>
      <c r="G984" s="695"/>
      <c r="H984" s="695"/>
      <c r="I984" s="695"/>
      <c r="J984" s="731"/>
      <c r="K984" s="695"/>
      <c r="L984" s="686"/>
      <c r="M984" s="686"/>
      <c r="N984" s="686"/>
      <c r="O984" s="686"/>
      <c r="P984" s="686"/>
      <c r="Q984" s="666"/>
      <c r="R984" s="686"/>
      <c r="S984" s="686"/>
      <c r="T984" s="688"/>
      <c r="U984" s="688"/>
      <c r="V984" s="686"/>
      <c r="W984" s="686"/>
      <c r="X984" s="686"/>
      <c r="Y984" s="686"/>
      <c r="Z984" s="686"/>
      <c r="AA984" s="669"/>
      <c r="AB984" s="695"/>
      <c r="AC984" s="669"/>
    </row>
    <row r="985" ht="18.0" customHeight="1">
      <c r="A985" s="695"/>
      <c r="B985" s="695"/>
      <c r="C985" s="695"/>
      <c r="D985" s="695"/>
      <c r="E985" s="695"/>
      <c r="F985" s="686"/>
      <c r="G985" s="695"/>
      <c r="H985" s="695"/>
      <c r="I985" s="695"/>
      <c r="J985" s="731"/>
      <c r="K985" s="695"/>
      <c r="L985" s="686"/>
      <c r="M985" s="686"/>
      <c r="N985" s="686"/>
      <c r="O985" s="686"/>
      <c r="P985" s="686"/>
      <c r="Q985" s="666"/>
      <c r="R985" s="686"/>
      <c r="S985" s="686"/>
      <c r="T985" s="688"/>
      <c r="U985" s="688"/>
      <c r="V985" s="686"/>
      <c r="W985" s="686"/>
      <c r="X985" s="686"/>
      <c r="Y985" s="686"/>
      <c r="Z985" s="686"/>
      <c r="AA985" s="669"/>
      <c r="AB985" s="695"/>
      <c r="AC985" s="669"/>
    </row>
    <row r="986" ht="18.0" customHeight="1">
      <c r="A986" s="695"/>
      <c r="B986" s="695"/>
      <c r="C986" s="695"/>
      <c r="D986" s="695"/>
      <c r="E986" s="695"/>
      <c r="F986" s="686"/>
      <c r="G986" s="695"/>
      <c r="H986" s="695"/>
      <c r="I986" s="695"/>
      <c r="J986" s="731"/>
      <c r="K986" s="695"/>
      <c r="L986" s="686"/>
      <c r="M986" s="686"/>
      <c r="N986" s="686"/>
      <c r="O986" s="686"/>
      <c r="P986" s="686"/>
      <c r="Q986" s="666"/>
      <c r="R986" s="686"/>
      <c r="S986" s="686"/>
      <c r="T986" s="688"/>
      <c r="U986" s="688"/>
      <c r="V986" s="686"/>
      <c r="W986" s="686"/>
      <c r="X986" s="686"/>
      <c r="Y986" s="686"/>
      <c r="Z986" s="686"/>
      <c r="AA986" s="669"/>
      <c r="AB986" s="695"/>
      <c r="AC986" s="669"/>
    </row>
    <row r="987" ht="18.0" customHeight="1">
      <c r="A987" s="695"/>
      <c r="B987" s="695"/>
      <c r="C987" s="695"/>
      <c r="D987" s="695"/>
      <c r="E987" s="695"/>
      <c r="F987" s="686"/>
      <c r="G987" s="695"/>
      <c r="H987" s="695"/>
      <c r="I987" s="695"/>
      <c r="J987" s="731"/>
      <c r="K987" s="695"/>
      <c r="L987" s="686"/>
      <c r="M987" s="686"/>
      <c r="N987" s="686"/>
      <c r="O987" s="686"/>
      <c r="P987" s="686"/>
      <c r="Q987" s="666"/>
      <c r="R987" s="686"/>
      <c r="S987" s="686"/>
      <c r="T987" s="688"/>
      <c r="U987" s="688"/>
      <c r="V987" s="686"/>
      <c r="W987" s="686"/>
      <c r="X987" s="686"/>
      <c r="Y987" s="686"/>
      <c r="Z987" s="686"/>
      <c r="AA987" s="669"/>
      <c r="AB987" s="695"/>
      <c r="AC987" s="669"/>
    </row>
    <row r="988" ht="18.0" customHeight="1">
      <c r="A988" s="695"/>
      <c r="B988" s="695"/>
      <c r="C988" s="695"/>
      <c r="D988" s="695"/>
      <c r="E988" s="695"/>
      <c r="F988" s="686"/>
      <c r="G988" s="695"/>
      <c r="H988" s="695"/>
      <c r="I988" s="695"/>
      <c r="J988" s="731"/>
      <c r="K988" s="695"/>
      <c r="L988" s="686"/>
      <c r="M988" s="686"/>
      <c r="N988" s="686"/>
      <c r="O988" s="686"/>
      <c r="P988" s="686"/>
      <c r="Q988" s="666"/>
      <c r="R988" s="686"/>
      <c r="S988" s="686"/>
      <c r="T988" s="688"/>
      <c r="U988" s="688"/>
      <c r="V988" s="686"/>
      <c r="W988" s="686"/>
      <c r="X988" s="686"/>
      <c r="Y988" s="686"/>
      <c r="Z988" s="686"/>
      <c r="AA988" s="669"/>
      <c r="AB988" s="695"/>
      <c r="AC988" s="669"/>
    </row>
    <row r="989" ht="18.0" customHeight="1">
      <c r="A989" s="695"/>
      <c r="B989" s="695"/>
      <c r="C989" s="695"/>
      <c r="D989" s="695"/>
      <c r="E989" s="695"/>
      <c r="F989" s="686"/>
      <c r="G989" s="695"/>
      <c r="H989" s="695"/>
      <c r="I989" s="695"/>
      <c r="J989" s="731"/>
      <c r="K989" s="695"/>
      <c r="L989" s="686"/>
      <c r="M989" s="686"/>
      <c r="N989" s="686"/>
      <c r="O989" s="686"/>
      <c r="P989" s="686"/>
      <c r="Q989" s="666"/>
      <c r="R989" s="686"/>
      <c r="S989" s="686"/>
      <c r="T989" s="688"/>
      <c r="U989" s="688"/>
      <c r="V989" s="686"/>
      <c r="W989" s="686"/>
      <c r="X989" s="686"/>
      <c r="Y989" s="686"/>
      <c r="Z989" s="686"/>
      <c r="AA989" s="669"/>
      <c r="AB989" s="695"/>
      <c r="AC989" s="669"/>
    </row>
    <row r="990" ht="18.0" customHeight="1">
      <c r="A990" s="695"/>
      <c r="B990" s="695"/>
      <c r="C990" s="695"/>
      <c r="D990" s="695"/>
      <c r="E990" s="695"/>
      <c r="F990" s="686"/>
      <c r="G990" s="695"/>
      <c r="H990" s="695"/>
      <c r="I990" s="695"/>
      <c r="J990" s="731"/>
      <c r="K990" s="695"/>
      <c r="L990" s="686"/>
      <c r="M990" s="686"/>
      <c r="N990" s="686"/>
      <c r="O990" s="686"/>
      <c r="P990" s="686"/>
      <c r="Q990" s="666"/>
      <c r="R990" s="686"/>
      <c r="S990" s="686"/>
      <c r="T990" s="688"/>
      <c r="U990" s="688"/>
      <c r="V990" s="686"/>
      <c r="W990" s="686"/>
      <c r="X990" s="686"/>
      <c r="Y990" s="686"/>
      <c r="Z990" s="686"/>
      <c r="AA990" s="669"/>
      <c r="AB990" s="695"/>
      <c r="AC990" s="669"/>
    </row>
    <row r="991" ht="18.0" customHeight="1">
      <c r="A991" s="695"/>
      <c r="B991" s="695"/>
      <c r="C991" s="695"/>
      <c r="D991" s="695"/>
      <c r="E991" s="695"/>
      <c r="F991" s="686"/>
      <c r="G991" s="695"/>
      <c r="H991" s="695"/>
      <c r="I991" s="695"/>
      <c r="J991" s="731"/>
      <c r="K991" s="695"/>
      <c r="L991" s="686"/>
      <c r="M991" s="686"/>
      <c r="N991" s="686"/>
      <c r="O991" s="686"/>
      <c r="P991" s="686"/>
      <c r="Q991" s="666"/>
      <c r="R991" s="686"/>
      <c r="S991" s="686"/>
      <c r="T991" s="688"/>
      <c r="U991" s="688"/>
      <c r="V991" s="686"/>
      <c r="W991" s="686"/>
      <c r="X991" s="686"/>
      <c r="Y991" s="686"/>
      <c r="Z991" s="686"/>
      <c r="AA991" s="669"/>
      <c r="AB991" s="695"/>
      <c r="AC991" s="669"/>
    </row>
    <row r="992" ht="18.0" customHeight="1">
      <c r="A992" s="695"/>
      <c r="B992" s="695"/>
      <c r="C992" s="695"/>
      <c r="D992" s="695"/>
      <c r="E992" s="695"/>
      <c r="F992" s="686"/>
      <c r="G992" s="695"/>
      <c r="H992" s="695"/>
      <c r="I992" s="695"/>
      <c r="J992" s="731"/>
      <c r="K992" s="695"/>
      <c r="L992" s="686"/>
      <c r="M992" s="686"/>
      <c r="N992" s="686"/>
      <c r="O992" s="686"/>
      <c r="P992" s="686"/>
      <c r="Q992" s="666"/>
      <c r="R992" s="686"/>
      <c r="S992" s="686"/>
      <c r="T992" s="688"/>
      <c r="U992" s="688"/>
      <c r="V992" s="686"/>
      <c r="W992" s="686"/>
      <c r="X992" s="686"/>
      <c r="Y992" s="686"/>
      <c r="Z992" s="686"/>
      <c r="AA992" s="669"/>
      <c r="AB992" s="695"/>
      <c r="AC992" s="669"/>
    </row>
    <row r="993" ht="18.0" customHeight="1">
      <c r="A993" s="695"/>
      <c r="B993" s="695"/>
      <c r="C993" s="695"/>
      <c r="D993" s="695"/>
      <c r="E993" s="695"/>
      <c r="F993" s="686"/>
      <c r="G993" s="695"/>
      <c r="H993" s="695"/>
      <c r="I993" s="695"/>
      <c r="J993" s="731"/>
      <c r="K993" s="695"/>
      <c r="L993" s="686"/>
      <c r="M993" s="686"/>
      <c r="N993" s="686"/>
      <c r="O993" s="686"/>
      <c r="P993" s="686"/>
      <c r="Q993" s="666"/>
      <c r="R993" s="686"/>
      <c r="S993" s="686"/>
      <c r="T993" s="688"/>
      <c r="U993" s="688"/>
      <c r="V993" s="686"/>
      <c r="W993" s="686"/>
      <c r="X993" s="686"/>
      <c r="Y993" s="686"/>
      <c r="Z993" s="686"/>
      <c r="AA993" s="669"/>
      <c r="AB993" s="695"/>
      <c r="AC993" s="669"/>
    </row>
    <row r="994" ht="18.0" customHeight="1">
      <c r="A994" s="695"/>
      <c r="B994" s="695"/>
      <c r="C994" s="695"/>
      <c r="D994" s="695"/>
      <c r="E994" s="695"/>
      <c r="F994" s="686"/>
      <c r="G994" s="695"/>
      <c r="H994" s="695"/>
      <c r="I994" s="695"/>
      <c r="J994" s="731"/>
      <c r="K994" s="695"/>
      <c r="L994" s="686"/>
      <c r="M994" s="686"/>
      <c r="N994" s="686"/>
      <c r="O994" s="686"/>
      <c r="P994" s="686"/>
      <c r="Q994" s="666"/>
      <c r="R994" s="686"/>
      <c r="S994" s="686"/>
      <c r="T994" s="688"/>
      <c r="U994" s="688"/>
      <c r="V994" s="686"/>
      <c r="W994" s="686"/>
      <c r="X994" s="686"/>
      <c r="Y994" s="686"/>
      <c r="Z994" s="686"/>
      <c r="AA994" s="669"/>
      <c r="AB994" s="695"/>
      <c r="AC994" s="669"/>
    </row>
    <row r="995" ht="18.0" customHeight="1">
      <c r="A995" s="695"/>
      <c r="B995" s="695"/>
      <c r="C995" s="695"/>
      <c r="D995" s="695"/>
      <c r="E995" s="695"/>
      <c r="F995" s="686"/>
      <c r="G995" s="695"/>
      <c r="H995" s="695"/>
      <c r="I995" s="695"/>
      <c r="J995" s="731"/>
      <c r="K995" s="695"/>
      <c r="L995" s="686"/>
      <c r="M995" s="686"/>
      <c r="N995" s="686"/>
      <c r="O995" s="686"/>
      <c r="P995" s="686"/>
      <c r="Q995" s="666"/>
      <c r="R995" s="686"/>
      <c r="S995" s="686"/>
      <c r="T995" s="688"/>
      <c r="U995" s="688"/>
      <c r="V995" s="686"/>
      <c r="W995" s="686"/>
      <c r="X995" s="686"/>
      <c r="Y995" s="686"/>
      <c r="Z995" s="686"/>
      <c r="AA995" s="669"/>
      <c r="AB995" s="695"/>
      <c r="AC995" s="669"/>
    </row>
    <row r="996" ht="18.0" customHeight="1">
      <c r="A996" s="695"/>
      <c r="B996" s="695"/>
      <c r="C996" s="695"/>
      <c r="D996" s="695"/>
      <c r="E996" s="695"/>
      <c r="F996" s="686"/>
      <c r="G996" s="695"/>
      <c r="H996" s="695"/>
      <c r="I996" s="695"/>
      <c r="J996" s="731"/>
      <c r="K996" s="695"/>
      <c r="L996" s="686"/>
      <c r="M996" s="686"/>
      <c r="N996" s="686"/>
      <c r="O996" s="686"/>
      <c r="P996" s="686"/>
      <c r="Q996" s="666"/>
      <c r="R996" s="686"/>
      <c r="S996" s="686"/>
      <c r="T996" s="688"/>
      <c r="U996" s="688"/>
      <c r="V996" s="686"/>
      <c r="W996" s="686"/>
      <c r="X996" s="686"/>
      <c r="Y996" s="686"/>
      <c r="Z996" s="686"/>
      <c r="AA996" s="669"/>
      <c r="AB996" s="695"/>
      <c r="AC996" s="669"/>
    </row>
    <row r="997" ht="18.0" customHeight="1">
      <c r="A997" s="695"/>
      <c r="B997" s="695"/>
      <c r="C997" s="695"/>
      <c r="D997" s="695"/>
      <c r="E997" s="695"/>
      <c r="F997" s="686"/>
      <c r="G997" s="695"/>
      <c r="H997" s="695"/>
      <c r="I997" s="695"/>
      <c r="J997" s="731"/>
      <c r="K997" s="695"/>
      <c r="L997" s="686"/>
      <c r="M997" s="686"/>
      <c r="N997" s="686"/>
      <c r="O997" s="686"/>
      <c r="P997" s="686"/>
      <c r="Q997" s="666"/>
      <c r="R997" s="686"/>
      <c r="S997" s="686"/>
      <c r="T997" s="688"/>
      <c r="U997" s="688"/>
      <c r="V997" s="686"/>
      <c r="W997" s="686"/>
      <c r="X997" s="686"/>
      <c r="Y997" s="686"/>
      <c r="Z997" s="686"/>
      <c r="AA997" s="669"/>
      <c r="AB997" s="695"/>
      <c r="AC997" s="669"/>
    </row>
    <row r="998" ht="18.0" customHeight="1">
      <c r="A998" s="695"/>
      <c r="B998" s="695"/>
      <c r="C998" s="695"/>
      <c r="D998" s="695"/>
      <c r="E998" s="695"/>
      <c r="F998" s="686"/>
      <c r="G998" s="695"/>
      <c r="H998" s="695"/>
      <c r="I998" s="695"/>
      <c r="J998" s="731"/>
      <c r="K998" s="695"/>
      <c r="L998" s="686"/>
      <c r="M998" s="686"/>
      <c r="N998" s="686"/>
      <c r="O998" s="686"/>
      <c r="P998" s="686"/>
      <c r="Q998" s="666"/>
      <c r="R998" s="686"/>
      <c r="S998" s="686"/>
      <c r="T998" s="688"/>
      <c r="U998" s="688"/>
      <c r="V998" s="686"/>
      <c r="W998" s="686"/>
      <c r="X998" s="686"/>
      <c r="Y998" s="686"/>
      <c r="Z998" s="686"/>
      <c r="AA998" s="669"/>
      <c r="AB998" s="695"/>
      <c r="AC998" s="669"/>
    </row>
    <row r="999" ht="18.0" customHeight="1">
      <c r="A999" s="695"/>
      <c r="B999" s="695"/>
      <c r="C999" s="695"/>
      <c r="D999" s="695"/>
      <c r="E999" s="695"/>
      <c r="F999" s="686"/>
      <c r="G999" s="695"/>
      <c r="H999" s="695"/>
      <c r="I999" s="695"/>
      <c r="J999" s="731"/>
      <c r="K999" s="695"/>
      <c r="L999" s="686"/>
      <c r="M999" s="686"/>
      <c r="N999" s="686"/>
      <c r="O999" s="686"/>
      <c r="P999" s="686"/>
      <c r="Q999" s="666"/>
      <c r="R999" s="686"/>
      <c r="S999" s="686"/>
      <c r="T999" s="688"/>
      <c r="U999" s="688"/>
      <c r="V999" s="686"/>
      <c r="W999" s="686"/>
      <c r="X999" s="686"/>
      <c r="Y999" s="686"/>
      <c r="Z999" s="686"/>
      <c r="AA999" s="669"/>
      <c r="AB999" s="695"/>
      <c r="AC999" s="669"/>
    </row>
    <row r="1000" ht="18.0" customHeight="1">
      <c r="A1000" s="695"/>
      <c r="B1000" s="695"/>
      <c r="C1000" s="695"/>
      <c r="D1000" s="695"/>
      <c r="E1000" s="695"/>
      <c r="F1000" s="686"/>
      <c r="G1000" s="695"/>
      <c r="H1000" s="695"/>
      <c r="I1000" s="695"/>
      <c r="J1000" s="731"/>
      <c r="K1000" s="695"/>
      <c r="L1000" s="686"/>
      <c r="M1000" s="686"/>
      <c r="N1000" s="686"/>
      <c r="O1000" s="686"/>
      <c r="P1000" s="686"/>
      <c r="Q1000" s="666"/>
      <c r="R1000" s="686"/>
      <c r="S1000" s="686"/>
      <c r="T1000" s="688"/>
      <c r="U1000" s="688"/>
      <c r="V1000" s="686"/>
      <c r="W1000" s="686"/>
      <c r="X1000" s="686"/>
      <c r="Y1000" s="686"/>
      <c r="Z1000" s="686"/>
      <c r="AA1000" s="669"/>
      <c r="AB1000" s="695"/>
      <c r="AC1000" s="669"/>
    </row>
    <row r="1001" ht="18.0" customHeight="1">
      <c r="A1001" s="695"/>
      <c r="B1001" s="695"/>
      <c r="C1001" s="695"/>
      <c r="D1001" s="695"/>
      <c r="E1001" s="695"/>
      <c r="F1001" s="686"/>
      <c r="G1001" s="695"/>
      <c r="H1001" s="695"/>
      <c r="I1001" s="695"/>
      <c r="J1001" s="731"/>
      <c r="K1001" s="695"/>
      <c r="L1001" s="686"/>
      <c r="M1001" s="686"/>
      <c r="N1001" s="686"/>
      <c r="O1001" s="686"/>
      <c r="P1001" s="686"/>
      <c r="Q1001" s="666"/>
      <c r="R1001" s="686"/>
      <c r="S1001" s="686"/>
      <c r="T1001" s="688"/>
      <c r="U1001" s="688"/>
      <c r="V1001" s="686"/>
      <c r="W1001" s="686"/>
      <c r="X1001" s="686"/>
      <c r="Y1001" s="686"/>
      <c r="Z1001" s="686"/>
      <c r="AA1001" s="669"/>
      <c r="AB1001" s="695"/>
      <c r="AC1001" s="669"/>
    </row>
    <row r="1002" ht="18.0" customHeight="1">
      <c r="A1002" s="695"/>
      <c r="B1002" s="695"/>
      <c r="C1002" s="695"/>
      <c r="D1002" s="695"/>
      <c r="E1002" s="695"/>
      <c r="F1002" s="686"/>
      <c r="G1002" s="695"/>
      <c r="H1002" s="695"/>
      <c r="I1002" s="695"/>
      <c r="J1002" s="731"/>
      <c r="K1002" s="695"/>
      <c r="L1002" s="686"/>
      <c r="M1002" s="686"/>
      <c r="N1002" s="686"/>
      <c r="O1002" s="686"/>
      <c r="P1002" s="686"/>
      <c r="Q1002" s="666"/>
      <c r="R1002" s="686"/>
      <c r="S1002" s="686"/>
      <c r="T1002" s="688"/>
      <c r="U1002" s="688"/>
      <c r="V1002" s="686"/>
      <c r="W1002" s="686"/>
      <c r="X1002" s="686"/>
      <c r="Y1002" s="686"/>
      <c r="Z1002" s="686"/>
      <c r="AA1002" s="669"/>
      <c r="AB1002" s="695"/>
      <c r="AC1002" s="669"/>
    </row>
    <row r="1003" ht="18.0" customHeight="1">
      <c r="A1003" s="695"/>
      <c r="B1003" s="695"/>
      <c r="C1003" s="695"/>
      <c r="D1003" s="695"/>
      <c r="E1003" s="695"/>
      <c r="F1003" s="686"/>
      <c r="G1003" s="695"/>
      <c r="H1003" s="695"/>
      <c r="I1003" s="695"/>
      <c r="J1003" s="731"/>
      <c r="K1003" s="695"/>
      <c r="L1003" s="686"/>
      <c r="M1003" s="686"/>
      <c r="N1003" s="686"/>
      <c r="O1003" s="686"/>
      <c r="P1003" s="686"/>
      <c r="Q1003" s="666"/>
      <c r="R1003" s="686"/>
      <c r="S1003" s="686"/>
      <c r="T1003" s="688"/>
      <c r="U1003" s="688"/>
      <c r="V1003" s="686"/>
      <c r="W1003" s="686"/>
      <c r="X1003" s="686"/>
      <c r="Y1003" s="686"/>
      <c r="Z1003" s="686"/>
      <c r="AA1003" s="669"/>
      <c r="AB1003" s="695"/>
      <c r="AC1003" s="669"/>
    </row>
    <row r="1004" ht="18.0" customHeight="1">
      <c r="A1004" s="695"/>
      <c r="B1004" s="695"/>
      <c r="C1004" s="695"/>
      <c r="D1004" s="695"/>
      <c r="E1004" s="695"/>
      <c r="F1004" s="686"/>
      <c r="G1004" s="695"/>
      <c r="H1004" s="695"/>
      <c r="I1004" s="695"/>
      <c r="J1004" s="731"/>
      <c r="K1004" s="695"/>
      <c r="L1004" s="686"/>
      <c r="M1004" s="686"/>
      <c r="N1004" s="686"/>
      <c r="O1004" s="686"/>
      <c r="P1004" s="686"/>
      <c r="Q1004" s="666"/>
      <c r="R1004" s="686"/>
      <c r="S1004" s="686"/>
      <c r="T1004" s="688"/>
      <c r="U1004" s="688"/>
      <c r="V1004" s="686"/>
      <c r="W1004" s="686"/>
      <c r="X1004" s="686"/>
      <c r="Y1004" s="686"/>
      <c r="Z1004" s="686"/>
      <c r="AA1004" s="669"/>
      <c r="AB1004" s="695"/>
      <c r="AC1004" s="669"/>
    </row>
    <row r="1005" ht="18.0" customHeight="1">
      <c r="A1005" s="695"/>
      <c r="B1005" s="695"/>
      <c r="C1005" s="695"/>
      <c r="D1005" s="695"/>
      <c r="E1005" s="695"/>
      <c r="F1005" s="686"/>
      <c r="G1005" s="695"/>
      <c r="H1005" s="695"/>
      <c r="I1005" s="695"/>
      <c r="J1005" s="731"/>
      <c r="K1005" s="695"/>
      <c r="L1005" s="686"/>
      <c r="M1005" s="686"/>
      <c r="N1005" s="686"/>
      <c r="O1005" s="686"/>
      <c r="P1005" s="686"/>
      <c r="Q1005" s="666"/>
      <c r="R1005" s="686"/>
      <c r="S1005" s="686"/>
      <c r="T1005" s="688"/>
      <c r="U1005" s="688"/>
      <c r="V1005" s="686"/>
      <c r="W1005" s="686"/>
      <c r="X1005" s="686"/>
      <c r="Y1005" s="686"/>
      <c r="Z1005" s="686"/>
      <c r="AA1005" s="669"/>
      <c r="AB1005" s="695"/>
      <c r="AC1005" s="669"/>
    </row>
    <row r="1006" ht="18.0" customHeight="1">
      <c r="A1006" s="695"/>
      <c r="B1006" s="695"/>
      <c r="C1006" s="695"/>
      <c r="D1006" s="695"/>
      <c r="E1006" s="695"/>
      <c r="F1006" s="686"/>
      <c r="G1006" s="695"/>
      <c r="H1006" s="695"/>
      <c r="I1006" s="695"/>
      <c r="J1006" s="731"/>
      <c r="K1006" s="695"/>
      <c r="L1006" s="686"/>
      <c r="M1006" s="686"/>
      <c r="N1006" s="686"/>
      <c r="O1006" s="686"/>
      <c r="P1006" s="686"/>
      <c r="Q1006" s="666"/>
      <c r="R1006" s="686"/>
      <c r="S1006" s="686"/>
      <c r="T1006" s="688"/>
      <c r="U1006" s="688"/>
      <c r="V1006" s="686"/>
      <c r="W1006" s="686"/>
      <c r="X1006" s="686"/>
      <c r="Y1006" s="686"/>
      <c r="Z1006" s="686"/>
      <c r="AA1006" s="669"/>
      <c r="AB1006" s="695"/>
      <c r="AC1006" s="669"/>
    </row>
    <row r="1007" ht="18.0" customHeight="1">
      <c r="A1007" s="695"/>
      <c r="B1007" s="695"/>
      <c r="C1007" s="695"/>
      <c r="D1007" s="695"/>
      <c r="E1007" s="695"/>
      <c r="F1007" s="686"/>
      <c r="G1007" s="695"/>
      <c r="H1007" s="695"/>
      <c r="I1007" s="695"/>
      <c r="J1007" s="731"/>
      <c r="K1007" s="695"/>
      <c r="L1007" s="686"/>
      <c r="M1007" s="686"/>
      <c r="N1007" s="686"/>
      <c r="O1007" s="686"/>
      <c r="P1007" s="686"/>
      <c r="Q1007" s="666"/>
      <c r="R1007" s="686"/>
      <c r="S1007" s="686"/>
      <c r="T1007" s="688"/>
      <c r="U1007" s="688"/>
      <c r="V1007" s="686"/>
      <c r="W1007" s="686"/>
      <c r="X1007" s="686"/>
      <c r="Y1007" s="686"/>
      <c r="Z1007" s="686"/>
      <c r="AA1007" s="669"/>
      <c r="AB1007" s="695"/>
      <c r="AC1007" s="669"/>
    </row>
    <row r="1008" ht="18.0" customHeight="1">
      <c r="A1008" s="695"/>
      <c r="B1008" s="695"/>
      <c r="C1008" s="695"/>
      <c r="D1008" s="695"/>
      <c r="E1008" s="695"/>
      <c r="F1008" s="686"/>
      <c r="G1008" s="695"/>
      <c r="H1008" s="695"/>
      <c r="I1008" s="695"/>
      <c r="J1008" s="731"/>
      <c r="K1008" s="695"/>
      <c r="L1008" s="686"/>
      <c r="M1008" s="686"/>
      <c r="N1008" s="686"/>
      <c r="O1008" s="686"/>
      <c r="P1008" s="686"/>
      <c r="Q1008" s="666"/>
      <c r="R1008" s="686"/>
      <c r="S1008" s="686"/>
      <c r="T1008" s="688"/>
      <c r="U1008" s="688"/>
      <c r="V1008" s="686"/>
      <c r="W1008" s="686"/>
      <c r="X1008" s="686"/>
      <c r="Y1008" s="686"/>
      <c r="Z1008" s="686"/>
      <c r="AA1008" s="669"/>
      <c r="AB1008" s="695"/>
      <c r="AC1008" s="669"/>
    </row>
    <row r="1009" ht="18.0" customHeight="1">
      <c r="A1009" s="695"/>
      <c r="B1009" s="695"/>
      <c r="C1009" s="695"/>
      <c r="D1009" s="695"/>
      <c r="E1009" s="695"/>
      <c r="F1009" s="686"/>
      <c r="G1009" s="695"/>
      <c r="H1009" s="695"/>
      <c r="I1009" s="695"/>
      <c r="J1009" s="731"/>
      <c r="K1009" s="695"/>
      <c r="L1009" s="686"/>
      <c r="M1009" s="686"/>
      <c r="N1009" s="686"/>
      <c r="O1009" s="686"/>
      <c r="P1009" s="686"/>
      <c r="Q1009" s="666"/>
      <c r="R1009" s="686"/>
      <c r="S1009" s="686"/>
      <c r="T1009" s="688"/>
      <c r="U1009" s="688"/>
      <c r="V1009" s="686"/>
      <c r="W1009" s="686"/>
      <c r="X1009" s="686"/>
      <c r="Y1009" s="686"/>
      <c r="Z1009" s="686"/>
      <c r="AA1009" s="669"/>
      <c r="AB1009" s="695"/>
      <c r="AC1009" s="669"/>
    </row>
    <row r="1010" ht="18.0" customHeight="1">
      <c r="A1010" s="695"/>
      <c r="B1010" s="695"/>
      <c r="C1010" s="695"/>
      <c r="D1010" s="695"/>
      <c r="E1010" s="695"/>
      <c r="F1010" s="686"/>
      <c r="G1010" s="695"/>
      <c r="H1010" s="695"/>
      <c r="I1010" s="695"/>
      <c r="J1010" s="731"/>
      <c r="K1010" s="695"/>
      <c r="L1010" s="686"/>
      <c r="M1010" s="686"/>
      <c r="N1010" s="686"/>
      <c r="O1010" s="686"/>
      <c r="P1010" s="686"/>
      <c r="Q1010" s="666"/>
      <c r="R1010" s="686"/>
      <c r="S1010" s="686"/>
      <c r="T1010" s="688"/>
      <c r="U1010" s="688"/>
      <c r="V1010" s="686"/>
      <c r="W1010" s="686"/>
      <c r="X1010" s="686"/>
      <c r="Y1010" s="686"/>
      <c r="Z1010" s="686"/>
      <c r="AA1010" s="669"/>
      <c r="AB1010" s="695"/>
      <c r="AC1010" s="669"/>
    </row>
    <row r="1011" ht="18.0" customHeight="1">
      <c r="A1011" s="695"/>
      <c r="B1011" s="695"/>
      <c r="C1011" s="695"/>
      <c r="D1011" s="695"/>
      <c r="E1011" s="695"/>
      <c r="F1011" s="686"/>
      <c r="G1011" s="695"/>
      <c r="H1011" s="695"/>
      <c r="I1011" s="695"/>
      <c r="J1011" s="731"/>
      <c r="K1011" s="695"/>
      <c r="L1011" s="686"/>
      <c r="M1011" s="686"/>
      <c r="N1011" s="686"/>
      <c r="O1011" s="686"/>
      <c r="P1011" s="686"/>
      <c r="Q1011" s="666"/>
      <c r="R1011" s="686"/>
      <c r="S1011" s="686"/>
      <c r="T1011" s="688"/>
      <c r="U1011" s="688"/>
      <c r="V1011" s="686"/>
      <c r="W1011" s="686"/>
      <c r="X1011" s="686"/>
      <c r="Y1011" s="686"/>
      <c r="Z1011" s="686"/>
      <c r="AA1011" s="669"/>
      <c r="AB1011" s="695"/>
      <c r="AC1011" s="669"/>
    </row>
    <row r="1012" ht="18.0" customHeight="1">
      <c r="A1012" s="695"/>
      <c r="B1012" s="695"/>
      <c r="C1012" s="695"/>
      <c r="D1012" s="695"/>
      <c r="E1012" s="695"/>
      <c r="F1012" s="686"/>
      <c r="G1012" s="695"/>
      <c r="H1012" s="695"/>
      <c r="I1012" s="695"/>
      <c r="J1012" s="731"/>
      <c r="K1012" s="695"/>
      <c r="L1012" s="686"/>
      <c r="M1012" s="686"/>
      <c r="N1012" s="686"/>
      <c r="O1012" s="686"/>
      <c r="P1012" s="686"/>
      <c r="Q1012" s="666"/>
      <c r="R1012" s="686"/>
      <c r="S1012" s="686"/>
      <c r="T1012" s="688"/>
      <c r="U1012" s="688"/>
      <c r="V1012" s="686"/>
      <c r="W1012" s="686"/>
      <c r="X1012" s="686"/>
      <c r="Y1012" s="686"/>
      <c r="Z1012" s="686"/>
      <c r="AA1012" s="669"/>
      <c r="AB1012" s="695"/>
      <c r="AC1012" s="669"/>
    </row>
    <row r="1013" ht="18.0" customHeight="1">
      <c r="A1013" s="695"/>
      <c r="B1013" s="695"/>
      <c r="C1013" s="695"/>
      <c r="D1013" s="695"/>
      <c r="E1013" s="695"/>
      <c r="F1013" s="686"/>
      <c r="G1013" s="695"/>
      <c r="H1013" s="695"/>
      <c r="I1013" s="695"/>
      <c r="J1013" s="731"/>
      <c r="K1013" s="695"/>
      <c r="L1013" s="686"/>
      <c r="M1013" s="686"/>
      <c r="N1013" s="686"/>
      <c r="O1013" s="686"/>
      <c r="P1013" s="686"/>
      <c r="Q1013" s="666"/>
      <c r="R1013" s="686"/>
      <c r="S1013" s="686"/>
      <c r="T1013" s="688"/>
      <c r="U1013" s="688"/>
      <c r="V1013" s="686"/>
      <c r="W1013" s="686"/>
      <c r="X1013" s="686"/>
      <c r="Y1013" s="686"/>
      <c r="Z1013" s="686"/>
      <c r="AA1013" s="669"/>
      <c r="AB1013" s="695"/>
      <c r="AC1013" s="669"/>
    </row>
    <row r="1014" ht="18.0" customHeight="1">
      <c r="A1014" s="695"/>
      <c r="B1014" s="695"/>
      <c r="C1014" s="695"/>
      <c r="D1014" s="695"/>
      <c r="E1014" s="695"/>
      <c r="F1014" s="686"/>
      <c r="G1014" s="695"/>
      <c r="H1014" s="695"/>
      <c r="I1014" s="695"/>
      <c r="J1014" s="731"/>
      <c r="K1014" s="695"/>
      <c r="L1014" s="686"/>
      <c r="M1014" s="686"/>
      <c r="N1014" s="686"/>
      <c r="O1014" s="686"/>
      <c r="P1014" s="686"/>
      <c r="Q1014" s="666"/>
      <c r="R1014" s="686"/>
      <c r="S1014" s="686"/>
      <c r="T1014" s="688"/>
      <c r="U1014" s="688"/>
      <c r="V1014" s="686"/>
      <c r="W1014" s="686"/>
      <c r="X1014" s="686"/>
      <c r="Y1014" s="686"/>
      <c r="Z1014" s="686"/>
      <c r="AA1014" s="669"/>
      <c r="AB1014" s="695"/>
      <c r="AC1014" s="669"/>
    </row>
    <row r="1015" ht="18.0" customHeight="1">
      <c r="A1015" s="695"/>
      <c r="B1015" s="695"/>
      <c r="C1015" s="695"/>
      <c r="D1015" s="695"/>
      <c r="E1015" s="695"/>
      <c r="F1015" s="686"/>
      <c r="G1015" s="695"/>
      <c r="H1015" s="695"/>
      <c r="I1015" s="695"/>
      <c r="J1015" s="731"/>
      <c r="K1015" s="695"/>
      <c r="L1015" s="686"/>
      <c r="M1015" s="686"/>
      <c r="N1015" s="686"/>
      <c r="O1015" s="686"/>
      <c r="P1015" s="686"/>
      <c r="Q1015" s="666"/>
      <c r="R1015" s="686"/>
      <c r="S1015" s="686"/>
      <c r="T1015" s="688"/>
      <c r="U1015" s="688"/>
      <c r="V1015" s="686"/>
      <c r="W1015" s="686"/>
      <c r="X1015" s="686"/>
      <c r="Y1015" s="686"/>
      <c r="Z1015" s="686"/>
      <c r="AA1015" s="669"/>
      <c r="AB1015" s="695"/>
      <c r="AC1015" s="669"/>
    </row>
    <row r="1016" ht="18.0" customHeight="1">
      <c r="A1016" s="695"/>
      <c r="B1016" s="695"/>
      <c r="C1016" s="695"/>
      <c r="D1016" s="695"/>
      <c r="E1016" s="695"/>
      <c r="F1016" s="686"/>
      <c r="G1016" s="695"/>
      <c r="H1016" s="695"/>
      <c r="I1016" s="695"/>
      <c r="J1016" s="731"/>
      <c r="K1016" s="695"/>
      <c r="L1016" s="686"/>
      <c r="M1016" s="686"/>
      <c r="N1016" s="686"/>
      <c r="O1016" s="686"/>
      <c r="P1016" s="686"/>
      <c r="Q1016" s="666"/>
      <c r="R1016" s="686"/>
      <c r="S1016" s="686"/>
      <c r="T1016" s="688"/>
      <c r="U1016" s="688"/>
      <c r="V1016" s="686"/>
      <c r="W1016" s="686"/>
      <c r="X1016" s="686"/>
      <c r="Y1016" s="686"/>
      <c r="Z1016" s="686"/>
      <c r="AA1016" s="669"/>
      <c r="AB1016" s="695"/>
      <c r="AC1016" s="669"/>
    </row>
    <row r="1017" ht="18.0" customHeight="1">
      <c r="A1017" s="695"/>
      <c r="B1017" s="695"/>
      <c r="C1017" s="695"/>
      <c r="D1017" s="695"/>
      <c r="E1017" s="695"/>
      <c r="F1017" s="686"/>
      <c r="G1017" s="695"/>
      <c r="H1017" s="695"/>
      <c r="I1017" s="695"/>
      <c r="J1017" s="731"/>
      <c r="K1017" s="695"/>
      <c r="L1017" s="686"/>
      <c r="M1017" s="686"/>
      <c r="N1017" s="686"/>
      <c r="O1017" s="686"/>
      <c r="P1017" s="686"/>
      <c r="Q1017" s="666"/>
      <c r="R1017" s="686"/>
      <c r="S1017" s="686"/>
      <c r="T1017" s="688"/>
      <c r="U1017" s="688"/>
      <c r="V1017" s="686"/>
      <c r="W1017" s="686"/>
      <c r="X1017" s="686"/>
      <c r="Y1017" s="686"/>
      <c r="Z1017" s="686"/>
      <c r="AA1017" s="669"/>
      <c r="AB1017" s="695"/>
      <c r="AC1017" s="669"/>
    </row>
    <row r="1018" ht="18.0" customHeight="1">
      <c r="A1018" s="695"/>
      <c r="B1018" s="695"/>
      <c r="C1018" s="695"/>
      <c r="D1018" s="695"/>
      <c r="E1018" s="695"/>
      <c r="F1018" s="686"/>
      <c r="G1018" s="695"/>
      <c r="H1018" s="695"/>
      <c r="I1018" s="695"/>
      <c r="J1018" s="731"/>
      <c r="K1018" s="695"/>
      <c r="L1018" s="686"/>
      <c r="M1018" s="686"/>
      <c r="N1018" s="686"/>
      <c r="O1018" s="686"/>
      <c r="P1018" s="686"/>
      <c r="Q1018" s="666"/>
      <c r="R1018" s="686"/>
      <c r="S1018" s="686"/>
      <c r="T1018" s="688"/>
      <c r="U1018" s="688"/>
      <c r="V1018" s="686"/>
      <c r="W1018" s="686"/>
      <c r="X1018" s="686"/>
      <c r="Y1018" s="686"/>
      <c r="Z1018" s="686"/>
      <c r="AA1018" s="669"/>
      <c r="AB1018" s="695"/>
      <c r="AC1018" s="669"/>
    </row>
    <row r="1019" ht="18.0" customHeight="1">
      <c r="A1019" s="695"/>
      <c r="B1019" s="695"/>
      <c r="C1019" s="695"/>
      <c r="D1019" s="695"/>
      <c r="E1019" s="695"/>
      <c r="F1019" s="686"/>
      <c r="G1019" s="695"/>
      <c r="H1019" s="695"/>
      <c r="I1019" s="695"/>
      <c r="J1019" s="731"/>
      <c r="K1019" s="695"/>
      <c r="L1019" s="686"/>
      <c r="M1019" s="686"/>
      <c r="N1019" s="686"/>
      <c r="O1019" s="686"/>
      <c r="P1019" s="686"/>
      <c r="Q1019" s="666"/>
      <c r="R1019" s="686"/>
      <c r="S1019" s="686"/>
      <c r="T1019" s="688"/>
      <c r="U1019" s="688"/>
      <c r="V1019" s="686"/>
      <c r="W1019" s="686"/>
      <c r="X1019" s="686"/>
      <c r="Y1019" s="686"/>
      <c r="Z1019" s="686"/>
      <c r="AA1019" s="669"/>
      <c r="AB1019" s="695"/>
      <c r="AC1019" s="669"/>
    </row>
    <row r="1020" ht="18.0" customHeight="1">
      <c r="A1020" s="695"/>
      <c r="B1020" s="695"/>
      <c r="C1020" s="695"/>
      <c r="D1020" s="695"/>
      <c r="E1020" s="695"/>
      <c r="F1020" s="686"/>
      <c r="G1020" s="695"/>
      <c r="H1020" s="695"/>
      <c r="I1020" s="695"/>
      <c r="J1020" s="731"/>
      <c r="K1020" s="695"/>
      <c r="L1020" s="686"/>
      <c r="M1020" s="686"/>
      <c r="N1020" s="686"/>
      <c r="O1020" s="686"/>
      <c r="P1020" s="686"/>
      <c r="Q1020" s="666"/>
      <c r="R1020" s="686"/>
      <c r="S1020" s="686"/>
      <c r="T1020" s="688"/>
      <c r="U1020" s="688"/>
      <c r="V1020" s="686"/>
      <c r="W1020" s="686"/>
      <c r="X1020" s="686"/>
      <c r="Y1020" s="686"/>
      <c r="Z1020" s="686"/>
      <c r="AA1020" s="669"/>
      <c r="AB1020" s="695"/>
      <c r="AC1020" s="669"/>
    </row>
    <row r="1021" ht="18.0" customHeight="1">
      <c r="A1021" s="695"/>
      <c r="B1021" s="695"/>
      <c r="C1021" s="695"/>
      <c r="D1021" s="695"/>
      <c r="E1021" s="695"/>
      <c r="F1021" s="686"/>
      <c r="G1021" s="695"/>
      <c r="H1021" s="695"/>
      <c r="I1021" s="695"/>
      <c r="J1021" s="731"/>
      <c r="K1021" s="695"/>
      <c r="L1021" s="686"/>
      <c r="M1021" s="686"/>
      <c r="N1021" s="686"/>
      <c r="O1021" s="686"/>
      <c r="P1021" s="686"/>
      <c r="Q1021" s="666"/>
      <c r="R1021" s="686"/>
      <c r="S1021" s="686"/>
      <c r="T1021" s="688"/>
      <c r="U1021" s="688"/>
      <c r="V1021" s="686"/>
      <c r="W1021" s="686"/>
      <c r="X1021" s="686"/>
      <c r="Y1021" s="686"/>
      <c r="Z1021" s="686"/>
      <c r="AA1021" s="669"/>
      <c r="AB1021" s="695"/>
      <c r="AC1021" s="669"/>
    </row>
    <row r="1022" ht="18.0" customHeight="1">
      <c r="A1022" s="695"/>
      <c r="B1022" s="695"/>
      <c r="C1022" s="695"/>
      <c r="D1022" s="695"/>
      <c r="E1022" s="695"/>
      <c r="F1022" s="686"/>
      <c r="G1022" s="695"/>
      <c r="H1022" s="695"/>
      <c r="I1022" s="695"/>
      <c r="J1022" s="731"/>
      <c r="K1022" s="695"/>
      <c r="L1022" s="686"/>
      <c r="M1022" s="686"/>
      <c r="N1022" s="686"/>
      <c r="O1022" s="686"/>
      <c r="P1022" s="686"/>
      <c r="Q1022" s="666"/>
      <c r="R1022" s="686"/>
      <c r="S1022" s="686"/>
      <c r="T1022" s="688"/>
      <c r="U1022" s="688"/>
      <c r="V1022" s="686"/>
      <c r="W1022" s="686"/>
      <c r="X1022" s="686"/>
      <c r="Y1022" s="686"/>
      <c r="Z1022" s="686"/>
      <c r="AA1022" s="669"/>
      <c r="AB1022" s="695"/>
      <c r="AC1022" s="669"/>
    </row>
    <row r="1023" ht="18.0" customHeight="1">
      <c r="A1023" s="695"/>
      <c r="B1023" s="695"/>
      <c r="C1023" s="695"/>
      <c r="D1023" s="695"/>
      <c r="E1023" s="695"/>
      <c r="F1023" s="686"/>
      <c r="G1023" s="695"/>
      <c r="H1023" s="695"/>
      <c r="I1023" s="695"/>
      <c r="J1023" s="731"/>
      <c r="K1023" s="695"/>
      <c r="L1023" s="686"/>
      <c r="M1023" s="686"/>
      <c r="N1023" s="686"/>
      <c r="O1023" s="686"/>
      <c r="P1023" s="686"/>
      <c r="Q1023" s="666"/>
      <c r="R1023" s="686"/>
      <c r="S1023" s="686"/>
      <c r="T1023" s="688"/>
      <c r="U1023" s="688"/>
      <c r="V1023" s="686"/>
      <c r="W1023" s="686"/>
      <c r="X1023" s="686"/>
      <c r="Y1023" s="686"/>
      <c r="Z1023" s="686"/>
      <c r="AA1023" s="669"/>
      <c r="AB1023" s="695"/>
      <c r="AC1023" s="669"/>
    </row>
    <row r="1024" ht="18.0" customHeight="1">
      <c r="A1024" s="695"/>
      <c r="B1024" s="695"/>
      <c r="C1024" s="695"/>
      <c r="D1024" s="695"/>
      <c r="E1024" s="695"/>
      <c r="F1024" s="686"/>
      <c r="G1024" s="695"/>
      <c r="H1024" s="695"/>
      <c r="I1024" s="695"/>
      <c r="J1024" s="731"/>
      <c r="K1024" s="695"/>
      <c r="L1024" s="686"/>
      <c r="M1024" s="686"/>
      <c r="N1024" s="686"/>
      <c r="O1024" s="686"/>
      <c r="P1024" s="686"/>
      <c r="Q1024" s="666"/>
      <c r="R1024" s="686"/>
      <c r="S1024" s="686"/>
      <c r="T1024" s="688"/>
      <c r="U1024" s="688"/>
      <c r="V1024" s="686"/>
      <c r="W1024" s="686"/>
      <c r="X1024" s="686"/>
      <c r="Y1024" s="686"/>
      <c r="Z1024" s="686"/>
      <c r="AA1024" s="669"/>
      <c r="AB1024" s="695"/>
      <c r="AC1024" s="669"/>
    </row>
    <row r="1025" ht="18.0" customHeight="1">
      <c r="A1025" s="695"/>
      <c r="B1025" s="695"/>
      <c r="C1025" s="695"/>
      <c r="D1025" s="695"/>
      <c r="E1025" s="695"/>
      <c r="F1025" s="686"/>
      <c r="G1025" s="695"/>
      <c r="H1025" s="695"/>
      <c r="I1025" s="695"/>
      <c r="J1025" s="731"/>
      <c r="K1025" s="695"/>
      <c r="L1025" s="686"/>
      <c r="M1025" s="686"/>
      <c r="N1025" s="686"/>
      <c r="O1025" s="686"/>
      <c r="P1025" s="686"/>
      <c r="Q1025" s="666"/>
      <c r="R1025" s="686"/>
      <c r="S1025" s="686"/>
      <c r="T1025" s="688"/>
      <c r="U1025" s="688"/>
      <c r="V1025" s="686"/>
      <c r="W1025" s="686"/>
      <c r="X1025" s="686"/>
      <c r="Y1025" s="686"/>
      <c r="Z1025" s="686"/>
      <c r="AA1025" s="669"/>
      <c r="AB1025" s="695"/>
      <c r="AC1025" s="669"/>
    </row>
    <row r="1026" ht="18.0" customHeight="1">
      <c r="A1026" s="695"/>
      <c r="B1026" s="695"/>
      <c r="C1026" s="695"/>
      <c r="D1026" s="695"/>
      <c r="E1026" s="695"/>
      <c r="F1026" s="686"/>
      <c r="G1026" s="695"/>
      <c r="H1026" s="695"/>
      <c r="I1026" s="695"/>
      <c r="J1026" s="731"/>
      <c r="K1026" s="695"/>
      <c r="L1026" s="686"/>
      <c r="M1026" s="686"/>
      <c r="N1026" s="686"/>
      <c r="O1026" s="686"/>
      <c r="P1026" s="686"/>
      <c r="Q1026" s="666"/>
      <c r="R1026" s="686"/>
      <c r="S1026" s="686"/>
      <c r="T1026" s="688"/>
      <c r="U1026" s="688"/>
      <c r="V1026" s="686"/>
      <c r="W1026" s="686"/>
      <c r="X1026" s="686"/>
      <c r="Y1026" s="686"/>
      <c r="Z1026" s="686"/>
      <c r="AA1026" s="669"/>
      <c r="AB1026" s="695"/>
      <c r="AC1026" s="669"/>
    </row>
    <row r="1027" ht="18.0" customHeight="1">
      <c r="A1027" s="695"/>
      <c r="B1027" s="695"/>
      <c r="C1027" s="695"/>
      <c r="D1027" s="695"/>
      <c r="E1027" s="695"/>
      <c r="F1027" s="686"/>
      <c r="G1027" s="695"/>
      <c r="H1027" s="695"/>
      <c r="I1027" s="695"/>
      <c r="J1027" s="731"/>
      <c r="K1027" s="695"/>
      <c r="L1027" s="686"/>
      <c r="M1027" s="686"/>
      <c r="N1027" s="686"/>
      <c r="O1027" s="686"/>
      <c r="P1027" s="686"/>
      <c r="Q1027" s="666"/>
      <c r="R1027" s="686"/>
      <c r="S1027" s="686"/>
      <c r="T1027" s="688"/>
      <c r="U1027" s="688"/>
      <c r="V1027" s="686"/>
      <c r="W1027" s="686"/>
      <c r="X1027" s="686"/>
      <c r="Y1027" s="686"/>
      <c r="Z1027" s="686"/>
      <c r="AA1027" s="669"/>
      <c r="AB1027" s="695"/>
      <c r="AC1027" s="669"/>
    </row>
    <row r="1028" ht="18.0" customHeight="1">
      <c r="A1028" s="695"/>
      <c r="B1028" s="695"/>
      <c r="C1028" s="695"/>
      <c r="D1028" s="695"/>
      <c r="E1028" s="695"/>
      <c r="F1028" s="686"/>
      <c r="G1028" s="695"/>
      <c r="H1028" s="695"/>
      <c r="I1028" s="695"/>
      <c r="J1028" s="731"/>
      <c r="K1028" s="695"/>
      <c r="L1028" s="686"/>
      <c r="M1028" s="686"/>
      <c r="N1028" s="686"/>
      <c r="O1028" s="686"/>
      <c r="P1028" s="686"/>
      <c r="Q1028" s="666"/>
      <c r="R1028" s="686"/>
      <c r="S1028" s="686"/>
      <c r="T1028" s="688"/>
      <c r="U1028" s="688"/>
      <c r="V1028" s="686"/>
      <c r="W1028" s="686"/>
      <c r="X1028" s="686"/>
      <c r="Y1028" s="686"/>
      <c r="Z1028" s="686"/>
      <c r="AA1028" s="669"/>
      <c r="AB1028" s="695"/>
      <c r="AC1028" s="669"/>
    </row>
    <row r="1029" ht="18.0" customHeight="1">
      <c r="A1029" s="695"/>
      <c r="B1029" s="695"/>
      <c r="C1029" s="695"/>
      <c r="D1029" s="695"/>
      <c r="E1029" s="695"/>
      <c r="F1029" s="686"/>
      <c r="G1029" s="695"/>
      <c r="H1029" s="695"/>
      <c r="I1029" s="695"/>
      <c r="J1029" s="731"/>
      <c r="K1029" s="695"/>
      <c r="L1029" s="686"/>
      <c r="M1029" s="686"/>
      <c r="N1029" s="686"/>
      <c r="O1029" s="686"/>
      <c r="P1029" s="686"/>
      <c r="Q1029" s="666"/>
      <c r="R1029" s="686"/>
      <c r="S1029" s="686"/>
      <c r="T1029" s="688"/>
      <c r="U1029" s="688"/>
      <c r="V1029" s="686"/>
      <c r="W1029" s="686"/>
      <c r="X1029" s="686"/>
      <c r="Y1029" s="686"/>
      <c r="Z1029" s="686"/>
      <c r="AA1029" s="669"/>
      <c r="AB1029" s="695"/>
      <c r="AC1029" s="669"/>
    </row>
    <row r="1030" ht="18.0" customHeight="1">
      <c r="A1030" s="695"/>
      <c r="B1030" s="695"/>
      <c r="C1030" s="695"/>
      <c r="D1030" s="695"/>
      <c r="E1030" s="695"/>
      <c r="F1030" s="686"/>
      <c r="G1030" s="695"/>
      <c r="H1030" s="695"/>
      <c r="I1030" s="695"/>
      <c r="J1030" s="731"/>
      <c r="K1030" s="695"/>
      <c r="L1030" s="686"/>
      <c r="M1030" s="686"/>
      <c r="N1030" s="686"/>
      <c r="O1030" s="686"/>
      <c r="P1030" s="686"/>
      <c r="Q1030" s="666"/>
      <c r="R1030" s="686"/>
      <c r="S1030" s="686"/>
      <c r="T1030" s="688"/>
      <c r="U1030" s="688"/>
      <c r="V1030" s="686"/>
      <c r="W1030" s="686"/>
      <c r="X1030" s="686"/>
      <c r="Y1030" s="686"/>
      <c r="Z1030" s="686"/>
      <c r="AA1030" s="669"/>
      <c r="AB1030" s="695"/>
      <c r="AC1030" s="669"/>
    </row>
    <row r="1031" ht="18.0" customHeight="1">
      <c r="A1031" s="695"/>
      <c r="B1031" s="695"/>
      <c r="C1031" s="695"/>
      <c r="D1031" s="695"/>
      <c r="E1031" s="695"/>
      <c r="F1031" s="686"/>
      <c r="G1031" s="695"/>
      <c r="H1031" s="695"/>
      <c r="I1031" s="695"/>
      <c r="J1031" s="731"/>
      <c r="K1031" s="695"/>
      <c r="L1031" s="686"/>
      <c r="M1031" s="686"/>
      <c r="N1031" s="686"/>
      <c r="O1031" s="686"/>
      <c r="P1031" s="686"/>
      <c r="Q1031" s="666"/>
      <c r="R1031" s="686"/>
      <c r="S1031" s="686"/>
      <c r="T1031" s="688"/>
      <c r="U1031" s="688"/>
      <c r="V1031" s="686"/>
      <c r="W1031" s="686"/>
      <c r="X1031" s="686"/>
      <c r="Y1031" s="686"/>
      <c r="Z1031" s="686"/>
      <c r="AA1031" s="669"/>
      <c r="AB1031" s="695"/>
      <c r="AC1031" s="669"/>
    </row>
    <row r="1032" ht="18.0" customHeight="1">
      <c r="A1032" s="695"/>
      <c r="B1032" s="695"/>
      <c r="C1032" s="695"/>
      <c r="D1032" s="695"/>
      <c r="E1032" s="695"/>
      <c r="F1032" s="686"/>
      <c r="G1032" s="695"/>
      <c r="H1032" s="695"/>
      <c r="I1032" s="695"/>
      <c r="J1032" s="731"/>
      <c r="K1032" s="695"/>
      <c r="L1032" s="686"/>
      <c r="M1032" s="686"/>
      <c r="N1032" s="686"/>
      <c r="O1032" s="686"/>
      <c r="P1032" s="686"/>
      <c r="Q1032" s="666"/>
      <c r="R1032" s="686"/>
      <c r="S1032" s="686"/>
      <c r="T1032" s="688"/>
      <c r="U1032" s="688"/>
      <c r="V1032" s="686"/>
      <c r="W1032" s="686"/>
      <c r="X1032" s="686"/>
      <c r="Y1032" s="686"/>
      <c r="Z1032" s="686"/>
      <c r="AA1032" s="669"/>
      <c r="AB1032" s="695"/>
      <c r="AC1032" s="669"/>
    </row>
    <row r="1033" ht="18.0" customHeight="1">
      <c r="A1033" s="695"/>
      <c r="B1033" s="695"/>
      <c r="C1033" s="695"/>
      <c r="D1033" s="695"/>
      <c r="E1033" s="695"/>
      <c r="F1033" s="686"/>
      <c r="G1033" s="695"/>
      <c r="H1033" s="695"/>
      <c r="I1033" s="695"/>
      <c r="J1033" s="731"/>
      <c r="K1033" s="695"/>
      <c r="L1033" s="686"/>
      <c r="M1033" s="686"/>
      <c r="N1033" s="686"/>
      <c r="O1033" s="686"/>
      <c r="P1033" s="686"/>
      <c r="Q1033" s="666"/>
      <c r="R1033" s="686"/>
      <c r="S1033" s="686"/>
      <c r="T1033" s="688"/>
      <c r="U1033" s="688"/>
      <c r="V1033" s="686"/>
      <c r="W1033" s="686"/>
      <c r="X1033" s="686"/>
      <c r="Y1033" s="686"/>
      <c r="Z1033" s="686"/>
      <c r="AA1033" s="669"/>
      <c r="AB1033" s="695"/>
      <c r="AC1033" s="669"/>
    </row>
    <row r="1034" ht="18.0" customHeight="1">
      <c r="A1034" s="695"/>
      <c r="B1034" s="695"/>
      <c r="C1034" s="695"/>
      <c r="D1034" s="695"/>
      <c r="E1034" s="695"/>
      <c r="F1034" s="686"/>
      <c r="G1034" s="695"/>
      <c r="H1034" s="695"/>
      <c r="I1034" s="695"/>
      <c r="J1034" s="731"/>
      <c r="K1034" s="695"/>
      <c r="L1034" s="686"/>
      <c r="M1034" s="686"/>
      <c r="N1034" s="686"/>
      <c r="O1034" s="686"/>
      <c r="P1034" s="686"/>
      <c r="Q1034" s="666"/>
      <c r="R1034" s="686"/>
      <c r="S1034" s="686"/>
      <c r="T1034" s="688"/>
      <c r="U1034" s="688"/>
      <c r="V1034" s="686"/>
      <c r="W1034" s="686"/>
      <c r="X1034" s="686"/>
      <c r="Y1034" s="686"/>
      <c r="Z1034" s="686"/>
      <c r="AA1034" s="669"/>
      <c r="AB1034" s="695"/>
      <c r="AC1034" s="669"/>
    </row>
    <row r="1035" ht="18.0" customHeight="1">
      <c r="A1035" s="695"/>
      <c r="B1035" s="695"/>
      <c r="C1035" s="695"/>
      <c r="D1035" s="695"/>
      <c r="E1035" s="695"/>
      <c r="F1035" s="686"/>
      <c r="G1035" s="695"/>
      <c r="H1035" s="695"/>
      <c r="I1035" s="695"/>
      <c r="J1035" s="731"/>
      <c r="K1035" s="695"/>
      <c r="L1035" s="686"/>
      <c r="M1035" s="686"/>
      <c r="N1035" s="686"/>
      <c r="O1035" s="686"/>
      <c r="P1035" s="686"/>
      <c r="Q1035" s="666"/>
      <c r="R1035" s="686"/>
      <c r="S1035" s="686"/>
      <c r="T1035" s="688"/>
      <c r="U1035" s="688"/>
      <c r="V1035" s="686"/>
      <c r="W1035" s="686"/>
      <c r="X1035" s="686"/>
      <c r="Y1035" s="686"/>
      <c r="Z1035" s="686"/>
      <c r="AA1035" s="669"/>
      <c r="AB1035" s="695"/>
      <c r="AC1035" s="669"/>
    </row>
    <row r="1036" ht="18.0" customHeight="1">
      <c r="A1036" s="695"/>
      <c r="B1036" s="695"/>
      <c r="C1036" s="695"/>
      <c r="D1036" s="695"/>
      <c r="E1036" s="695"/>
      <c r="F1036" s="686"/>
      <c r="G1036" s="695"/>
      <c r="H1036" s="695"/>
      <c r="I1036" s="695"/>
      <c r="J1036" s="731"/>
      <c r="K1036" s="695"/>
      <c r="L1036" s="686"/>
      <c r="M1036" s="686"/>
      <c r="N1036" s="686"/>
      <c r="O1036" s="686"/>
      <c r="P1036" s="686"/>
      <c r="Q1036" s="666"/>
      <c r="R1036" s="686"/>
      <c r="S1036" s="686"/>
      <c r="T1036" s="688"/>
      <c r="U1036" s="688"/>
      <c r="V1036" s="686"/>
      <c r="W1036" s="686"/>
      <c r="X1036" s="686"/>
      <c r="Y1036" s="686"/>
      <c r="Z1036" s="686"/>
      <c r="AA1036" s="669"/>
      <c r="AB1036" s="695"/>
      <c r="AC1036" s="669"/>
    </row>
    <row r="1037" ht="18.0" customHeight="1">
      <c r="A1037" s="695"/>
      <c r="B1037" s="695"/>
      <c r="C1037" s="695"/>
      <c r="D1037" s="695"/>
      <c r="E1037" s="695"/>
      <c r="F1037" s="686"/>
      <c r="G1037" s="695"/>
      <c r="H1037" s="695"/>
      <c r="I1037" s="695"/>
      <c r="J1037" s="731"/>
      <c r="K1037" s="695"/>
      <c r="L1037" s="686"/>
      <c r="M1037" s="686"/>
      <c r="N1037" s="686"/>
      <c r="O1037" s="686"/>
      <c r="P1037" s="686"/>
      <c r="Q1037" s="666"/>
      <c r="R1037" s="686"/>
      <c r="S1037" s="686"/>
      <c r="T1037" s="688"/>
      <c r="U1037" s="688"/>
      <c r="V1037" s="686"/>
      <c r="W1037" s="686"/>
      <c r="X1037" s="686"/>
      <c r="Y1037" s="686"/>
      <c r="Z1037" s="686"/>
      <c r="AA1037" s="669"/>
      <c r="AB1037" s="695"/>
      <c r="AC1037" s="669"/>
    </row>
    <row r="1038" ht="18.0" customHeight="1">
      <c r="A1038" s="695"/>
      <c r="B1038" s="695"/>
      <c r="C1038" s="695"/>
      <c r="D1038" s="695"/>
      <c r="E1038" s="695"/>
      <c r="F1038" s="686"/>
      <c r="G1038" s="695"/>
      <c r="H1038" s="695"/>
      <c r="I1038" s="695"/>
      <c r="J1038" s="731"/>
      <c r="K1038" s="695"/>
      <c r="L1038" s="686"/>
      <c r="M1038" s="686"/>
      <c r="N1038" s="686"/>
      <c r="O1038" s="686"/>
      <c r="P1038" s="686"/>
      <c r="Q1038" s="666"/>
      <c r="R1038" s="686"/>
      <c r="S1038" s="686"/>
      <c r="T1038" s="688"/>
      <c r="U1038" s="688"/>
      <c r="V1038" s="686"/>
      <c r="W1038" s="686"/>
      <c r="X1038" s="686"/>
      <c r="Y1038" s="686"/>
      <c r="Z1038" s="686"/>
      <c r="AA1038" s="669"/>
      <c r="AB1038" s="695"/>
      <c r="AC1038" s="669"/>
    </row>
    <row r="1039" ht="18.0" customHeight="1">
      <c r="A1039" s="695"/>
      <c r="B1039" s="695"/>
      <c r="C1039" s="695"/>
      <c r="D1039" s="695"/>
      <c r="E1039" s="695"/>
      <c r="F1039" s="686"/>
      <c r="G1039" s="695"/>
      <c r="H1039" s="695"/>
      <c r="I1039" s="695"/>
      <c r="J1039" s="731"/>
      <c r="K1039" s="695"/>
      <c r="L1039" s="686"/>
      <c r="M1039" s="686"/>
      <c r="N1039" s="686"/>
      <c r="O1039" s="686"/>
      <c r="P1039" s="686"/>
      <c r="Q1039" s="666"/>
      <c r="R1039" s="686"/>
      <c r="S1039" s="686"/>
      <c r="T1039" s="688"/>
      <c r="U1039" s="688"/>
      <c r="V1039" s="686"/>
      <c r="W1039" s="686"/>
      <c r="X1039" s="686"/>
      <c r="Y1039" s="686"/>
      <c r="Z1039" s="686"/>
      <c r="AA1039" s="669"/>
      <c r="AB1039" s="695"/>
      <c r="AC1039" s="669"/>
    </row>
    <row r="1040" ht="18.0" customHeight="1">
      <c r="A1040" s="695"/>
      <c r="B1040" s="695"/>
      <c r="C1040" s="695"/>
      <c r="D1040" s="695"/>
      <c r="E1040" s="695"/>
      <c r="F1040" s="686"/>
      <c r="G1040" s="695"/>
      <c r="H1040" s="695"/>
      <c r="I1040" s="695"/>
      <c r="J1040" s="731"/>
      <c r="K1040" s="695"/>
      <c r="L1040" s="686"/>
      <c r="M1040" s="686"/>
      <c r="N1040" s="686"/>
      <c r="O1040" s="686"/>
      <c r="P1040" s="686"/>
      <c r="Q1040" s="666"/>
      <c r="R1040" s="686"/>
      <c r="S1040" s="686"/>
      <c r="T1040" s="688"/>
      <c r="U1040" s="688"/>
      <c r="V1040" s="686"/>
      <c r="W1040" s="686"/>
      <c r="X1040" s="686"/>
      <c r="Y1040" s="686"/>
      <c r="Z1040" s="686"/>
      <c r="AA1040" s="669"/>
      <c r="AB1040" s="695"/>
      <c r="AC1040" s="669"/>
    </row>
    <row r="1041" ht="18.0" customHeight="1">
      <c r="A1041" s="695"/>
      <c r="B1041" s="695"/>
      <c r="C1041" s="695"/>
      <c r="D1041" s="695"/>
      <c r="E1041" s="695"/>
      <c r="F1041" s="686"/>
      <c r="G1041" s="695"/>
      <c r="H1041" s="695"/>
      <c r="I1041" s="695"/>
      <c r="J1041" s="731"/>
      <c r="K1041" s="695"/>
      <c r="L1041" s="686"/>
      <c r="M1041" s="686"/>
      <c r="N1041" s="686"/>
      <c r="O1041" s="686"/>
      <c r="P1041" s="686"/>
      <c r="Q1041" s="666"/>
      <c r="R1041" s="686"/>
      <c r="S1041" s="686"/>
      <c r="T1041" s="688"/>
      <c r="U1041" s="688"/>
      <c r="V1041" s="686"/>
      <c r="W1041" s="686"/>
      <c r="X1041" s="686"/>
      <c r="Y1041" s="686"/>
      <c r="Z1041" s="686"/>
      <c r="AA1041" s="669"/>
      <c r="AB1041" s="695"/>
      <c r="AC1041" s="669"/>
    </row>
    <row r="1042" ht="18.0" customHeight="1">
      <c r="A1042" s="695"/>
      <c r="B1042" s="695"/>
      <c r="C1042" s="695"/>
      <c r="D1042" s="695"/>
      <c r="E1042" s="695"/>
      <c r="F1042" s="686"/>
      <c r="G1042" s="695"/>
      <c r="H1042" s="695"/>
      <c r="I1042" s="695"/>
      <c r="J1042" s="731"/>
      <c r="K1042" s="695"/>
      <c r="L1042" s="686"/>
      <c r="M1042" s="686"/>
      <c r="N1042" s="686"/>
      <c r="O1042" s="686"/>
      <c r="P1042" s="686"/>
      <c r="Q1042" s="666"/>
      <c r="R1042" s="686"/>
      <c r="S1042" s="686"/>
      <c r="T1042" s="688"/>
      <c r="U1042" s="688"/>
      <c r="V1042" s="686"/>
      <c r="W1042" s="686"/>
      <c r="X1042" s="686"/>
      <c r="Y1042" s="686"/>
      <c r="Z1042" s="686"/>
      <c r="AA1042" s="669"/>
      <c r="AB1042" s="695"/>
      <c r="AC1042" s="669"/>
    </row>
    <row r="1043" ht="18.0" customHeight="1">
      <c r="A1043" s="695"/>
      <c r="B1043" s="695"/>
      <c r="C1043" s="695"/>
      <c r="D1043" s="695"/>
      <c r="E1043" s="695"/>
      <c r="F1043" s="686"/>
      <c r="G1043" s="695"/>
      <c r="H1043" s="695"/>
      <c r="I1043" s="695"/>
      <c r="J1043" s="731"/>
      <c r="K1043" s="695"/>
      <c r="L1043" s="686"/>
      <c r="M1043" s="686"/>
      <c r="N1043" s="686"/>
      <c r="O1043" s="686"/>
      <c r="P1043" s="686"/>
      <c r="Q1043" s="666"/>
      <c r="R1043" s="686"/>
      <c r="S1043" s="686"/>
      <c r="T1043" s="688"/>
      <c r="U1043" s="688"/>
      <c r="V1043" s="686"/>
      <c r="W1043" s="686"/>
      <c r="X1043" s="686"/>
      <c r="Y1043" s="686"/>
      <c r="Z1043" s="686"/>
      <c r="AA1043" s="669"/>
      <c r="AB1043" s="695"/>
      <c r="AC1043" s="669"/>
    </row>
    <row r="1044" ht="18.0" customHeight="1">
      <c r="A1044" s="695"/>
      <c r="B1044" s="695"/>
      <c r="C1044" s="695"/>
      <c r="D1044" s="695"/>
      <c r="E1044" s="695"/>
      <c r="F1044" s="686"/>
      <c r="G1044" s="695"/>
      <c r="H1044" s="695"/>
      <c r="I1044" s="695"/>
      <c r="J1044" s="731"/>
      <c r="K1044" s="695"/>
      <c r="L1044" s="686"/>
      <c r="M1044" s="686"/>
      <c r="N1044" s="686"/>
      <c r="O1044" s="686"/>
      <c r="P1044" s="686"/>
      <c r="Q1044" s="666"/>
      <c r="R1044" s="686"/>
      <c r="S1044" s="686"/>
      <c r="T1044" s="688"/>
      <c r="U1044" s="688"/>
      <c r="V1044" s="686"/>
      <c r="W1044" s="686"/>
      <c r="X1044" s="686"/>
      <c r="Y1044" s="686"/>
      <c r="Z1044" s="686"/>
      <c r="AA1044" s="669"/>
      <c r="AB1044" s="695"/>
      <c r="AC1044" s="669"/>
    </row>
    <row r="1045" ht="18.0" customHeight="1">
      <c r="A1045" s="695"/>
      <c r="B1045" s="695"/>
      <c r="C1045" s="695"/>
      <c r="D1045" s="695"/>
      <c r="E1045" s="695"/>
      <c r="F1045" s="686"/>
      <c r="G1045" s="695"/>
      <c r="H1045" s="695"/>
      <c r="I1045" s="695"/>
      <c r="J1045" s="731"/>
      <c r="K1045" s="695"/>
      <c r="L1045" s="686"/>
      <c r="M1045" s="686"/>
      <c r="N1045" s="686"/>
      <c r="O1045" s="686"/>
      <c r="P1045" s="686"/>
      <c r="Q1045" s="666"/>
      <c r="R1045" s="686"/>
      <c r="S1045" s="686"/>
      <c r="T1045" s="688"/>
      <c r="U1045" s="688"/>
      <c r="V1045" s="686"/>
      <c r="W1045" s="686"/>
      <c r="X1045" s="686"/>
      <c r="Y1045" s="686"/>
      <c r="Z1045" s="686"/>
      <c r="AA1045" s="669"/>
      <c r="AB1045" s="695"/>
      <c r="AC1045" s="669"/>
    </row>
    <row r="1046" ht="18.0" customHeight="1">
      <c r="A1046" s="695"/>
      <c r="B1046" s="695"/>
      <c r="C1046" s="695"/>
      <c r="D1046" s="695"/>
      <c r="E1046" s="695"/>
      <c r="F1046" s="686"/>
      <c r="G1046" s="695"/>
      <c r="H1046" s="695"/>
      <c r="I1046" s="695"/>
      <c r="J1046" s="731"/>
      <c r="K1046" s="695"/>
      <c r="L1046" s="686"/>
      <c r="M1046" s="686"/>
      <c r="N1046" s="686"/>
      <c r="O1046" s="686"/>
      <c r="P1046" s="686"/>
      <c r="Q1046" s="666"/>
      <c r="R1046" s="686"/>
      <c r="S1046" s="686"/>
      <c r="T1046" s="688"/>
      <c r="U1046" s="688"/>
      <c r="V1046" s="686"/>
      <c r="W1046" s="686"/>
      <c r="X1046" s="686"/>
      <c r="Y1046" s="686"/>
      <c r="Z1046" s="686"/>
      <c r="AA1046" s="669"/>
      <c r="AB1046" s="695"/>
      <c r="AC1046" s="669"/>
    </row>
    <row r="1047" ht="18.0" customHeight="1">
      <c r="A1047" s="695"/>
      <c r="B1047" s="695"/>
      <c r="C1047" s="695"/>
      <c r="D1047" s="695"/>
      <c r="E1047" s="695"/>
      <c r="F1047" s="686"/>
      <c r="G1047" s="695"/>
      <c r="H1047" s="695"/>
      <c r="I1047" s="695"/>
      <c r="J1047" s="731"/>
      <c r="K1047" s="695"/>
      <c r="L1047" s="686"/>
      <c r="M1047" s="686"/>
      <c r="N1047" s="686"/>
      <c r="O1047" s="686"/>
      <c r="P1047" s="686"/>
      <c r="Q1047" s="666"/>
      <c r="R1047" s="686"/>
      <c r="S1047" s="686"/>
      <c r="T1047" s="688"/>
      <c r="U1047" s="688"/>
      <c r="V1047" s="686"/>
      <c r="W1047" s="686"/>
      <c r="X1047" s="686"/>
      <c r="Y1047" s="686"/>
      <c r="Z1047" s="686"/>
      <c r="AA1047" s="669"/>
      <c r="AB1047" s="695"/>
      <c r="AC1047" s="669"/>
    </row>
    <row r="1048" ht="18.0" customHeight="1">
      <c r="A1048" s="695"/>
      <c r="B1048" s="695"/>
      <c r="C1048" s="695"/>
      <c r="D1048" s="695"/>
      <c r="E1048" s="695"/>
      <c r="F1048" s="686"/>
      <c r="G1048" s="695"/>
      <c r="H1048" s="695"/>
      <c r="I1048" s="695"/>
      <c r="J1048" s="731"/>
      <c r="K1048" s="695"/>
      <c r="L1048" s="686"/>
      <c r="M1048" s="686"/>
      <c r="N1048" s="686"/>
      <c r="O1048" s="686"/>
      <c r="P1048" s="686"/>
      <c r="Q1048" s="666"/>
      <c r="R1048" s="686"/>
      <c r="S1048" s="686"/>
      <c r="T1048" s="688"/>
      <c r="U1048" s="688"/>
      <c r="V1048" s="686"/>
      <c r="W1048" s="686"/>
      <c r="X1048" s="686"/>
      <c r="Y1048" s="686"/>
      <c r="Z1048" s="686"/>
      <c r="AA1048" s="669"/>
      <c r="AB1048" s="695"/>
      <c r="AC1048" s="669"/>
    </row>
    <row r="1049" ht="18.0" customHeight="1">
      <c r="A1049" s="695"/>
      <c r="B1049" s="695"/>
      <c r="C1049" s="695"/>
      <c r="D1049" s="695"/>
      <c r="E1049" s="695"/>
      <c r="F1049" s="686"/>
      <c r="G1049" s="695"/>
      <c r="H1049" s="695"/>
      <c r="I1049" s="695"/>
      <c r="J1049" s="731"/>
      <c r="K1049" s="695"/>
      <c r="L1049" s="686"/>
      <c r="M1049" s="686"/>
      <c r="N1049" s="686"/>
      <c r="O1049" s="686"/>
      <c r="P1049" s="686"/>
      <c r="Q1049" s="666"/>
      <c r="R1049" s="686"/>
      <c r="S1049" s="686"/>
      <c r="T1049" s="688"/>
      <c r="U1049" s="688"/>
      <c r="V1049" s="686"/>
      <c r="W1049" s="686"/>
      <c r="X1049" s="686"/>
      <c r="Y1049" s="686"/>
      <c r="Z1049" s="686"/>
      <c r="AA1049" s="669"/>
      <c r="AB1049" s="695"/>
      <c r="AC1049" s="669"/>
    </row>
    <row r="1050" ht="18.0" customHeight="1">
      <c r="A1050" s="695"/>
      <c r="B1050" s="695"/>
      <c r="C1050" s="695"/>
      <c r="D1050" s="695"/>
      <c r="E1050" s="695"/>
      <c r="F1050" s="686"/>
      <c r="G1050" s="695"/>
      <c r="H1050" s="695"/>
      <c r="I1050" s="695"/>
      <c r="J1050" s="731"/>
      <c r="K1050" s="695"/>
      <c r="L1050" s="686"/>
      <c r="M1050" s="686"/>
      <c r="N1050" s="686"/>
      <c r="O1050" s="686"/>
      <c r="P1050" s="686"/>
      <c r="Q1050" s="666"/>
      <c r="R1050" s="686"/>
      <c r="S1050" s="686"/>
      <c r="T1050" s="688"/>
      <c r="U1050" s="688"/>
      <c r="V1050" s="686"/>
      <c r="W1050" s="686"/>
      <c r="X1050" s="686"/>
      <c r="Y1050" s="686"/>
      <c r="Z1050" s="686"/>
      <c r="AA1050" s="669"/>
      <c r="AB1050" s="695"/>
      <c r="AC1050" s="669"/>
    </row>
    <row r="1051" ht="18.0" customHeight="1">
      <c r="A1051" s="695"/>
      <c r="B1051" s="695"/>
      <c r="C1051" s="695"/>
      <c r="D1051" s="695"/>
      <c r="E1051" s="695"/>
      <c r="F1051" s="686"/>
      <c r="G1051" s="695"/>
      <c r="H1051" s="695"/>
      <c r="I1051" s="695"/>
      <c r="J1051" s="731"/>
      <c r="K1051" s="695"/>
      <c r="L1051" s="686"/>
      <c r="M1051" s="686"/>
      <c r="N1051" s="686"/>
      <c r="O1051" s="686"/>
      <c r="P1051" s="686"/>
      <c r="Q1051" s="666"/>
      <c r="R1051" s="686"/>
      <c r="S1051" s="686"/>
      <c r="T1051" s="688"/>
      <c r="U1051" s="688"/>
      <c r="V1051" s="686"/>
      <c r="W1051" s="686"/>
      <c r="X1051" s="686"/>
      <c r="Y1051" s="686"/>
      <c r="Z1051" s="686"/>
      <c r="AA1051" s="669"/>
      <c r="AB1051" s="695"/>
      <c r="AC1051" s="669"/>
    </row>
    <row r="1052" ht="18.0" customHeight="1">
      <c r="A1052" s="695"/>
      <c r="B1052" s="695"/>
      <c r="C1052" s="695"/>
      <c r="D1052" s="695"/>
      <c r="E1052" s="695"/>
      <c r="F1052" s="686"/>
      <c r="G1052" s="695"/>
      <c r="H1052" s="695"/>
      <c r="I1052" s="695"/>
      <c r="J1052" s="731"/>
      <c r="K1052" s="695"/>
      <c r="L1052" s="686"/>
      <c r="M1052" s="686"/>
      <c r="N1052" s="686"/>
      <c r="O1052" s="686"/>
      <c r="P1052" s="686"/>
      <c r="Q1052" s="666"/>
      <c r="R1052" s="686"/>
      <c r="S1052" s="686"/>
      <c r="T1052" s="688"/>
      <c r="U1052" s="688"/>
      <c r="V1052" s="686"/>
      <c r="W1052" s="686"/>
      <c r="X1052" s="686"/>
      <c r="Y1052" s="686"/>
      <c r="Z1052" s="686"/>
      <c r="AA1052" s="669"/>
      <c r="AB1052" s="695"/>
      <c r="AC1052" s="669"/>
    </row>
    <row r="1053" ht="18.0" customHeight="1">
      <c r="A1053" s="695"/>
      <c r="B1053" s="695"/>
      <c r="C1053" s="695"/>
      <c r="D1053" s="695"/>
      <c r="E1053" s="695"/>
      <c r="F1053" s="686"/>
      <c r="G1053" s="695"/>
      <c r="H1053" s="695"/>
      <c r="I1053" s="695"/>
      <c r="J1053" s="731"/>
      <c r="K1053" s="695"/>
      <c r="L1053" s="686"/>
      <c r="M1053" s="686"/>
      <c r="N1053" s="686"/>
      <c r="O1053" s="686"/>
      <c r="P1053" s="686"/>
      <c r="Q1053" s="666"/>
      <c r="R1053" s="686"/>
      <c r="S1053" s="686"/>
      <c r="T1053" s="688"/>
      <c r="U1053" s="688"/>
      <c r="V1053" s="686"/>
      <c r="W1053" s="686"/>
      <c r="X1053" s="686"/>
      <c r="Y1053" s="686"/>
      <c r="Z1053" s="686"/>
      <c r="AA1053" s="669"/>
      <c r="AB1053" s="695"/>
      <c r="AC1053" s="669"/>
    </row>
    <row r="1054" ht="18.0" customHeight="1">
      <c r="A1054" s="695"/>
      <c r="B1054" s="695"/>
      <c r="C1054" s="695"/>
      <c r="D1054" s="695"/>
      <c r="E1054" s="695"/>
      <c r="F1054" s="686"/>
      <c r="G1054" s="695"/>
      <c r="H1054" s="695"/>
      <c r="I1054" s="695"/>
      <c r="J1054" s="731"/>
      <c r="K1054" s="695"/>
      <c r="L1054" s="686"/>
      <c r="M1054" s="686"/>
      <c r="N1054" s="686"/>
      <c r="O1054" s="686"/>
      <c r="P1054" s="686"/>
      <c r="Q1054" s="666"/>
      <c r="R1054" s="686"/>
      <c r="S1054" s="686"/>
      <c r="T1054" s="688"/>
      <c r="U1054" s="688"/>
      <c r="V1054" s="686"/>
      <c r="W1054" s="686"/>
      <c r="X1054" s="686"/>
      <c r="Y1054" s="686"/>
      <c r="Z1054" s="686"/>
      <c r="AA1054" s="669"/>
      <c r="AB1054" s="695"/>
      <c r="AC1054" s="669"/>
    </row>
    <row r="1055" ht="18.0" customHeight="1">
      <c r="A1055" s="695"/>
      <c r="B1055" s="695"/>
      <c r="C1055" s="695"/>
      <c r="D1055" s="695"/>
      <c r="E1055" s="695"/>
      <c r="F1055" s="686"/>
      <c r="G1055" s="695"/>
      <c r="H1055" s="695"/>
      <c r="I1055" s="695"/>
      <c r="J1055" s="731"/>
      <c r="K1055" s="695"/>
      <c r="L1055" s="686"/>
      <c r="M1055" s="686"/>
      <c r="N1055" s="686"/>
      <c r="O1055" s="686"/>
      <c r="P1055" s="686"/>
      <c r="Q1055" s="666"/>
      <c r="R1055" s="686"/>
      <c r="S1055" s="686"/>
      <c r="T1055" s="688"/>
      <c r="U1055" s="688"/>
      <c r="V1055" s="686"/>
      <c r="W1055" s="686"/>
      <c r="X1055" s="686"/>
      <c r="Y1055" s="686"/>
      <c r="Z1055" s="686"/>
      <c r="AA1055" s="669"/>
      <c r="AB1055" s="695"/>
      <c r="AC1055" s="669"/>
    </row>
    <row r="1056" ht="18.0" customHeight="1">
      <c r="A1056" s="695"/>
      <c r="B1056" s="695"/>
      <c r="C1056" s="695"/>
      <c r="D1056" s="695"/>
      <c r="E1056" s="695"/>
      <c r="F1056" s="686"/>
      <c r="G1056" s="695"/>
      <c r="H1056" s="695"/>
      <c r="I1056" s="695"/>
      <c r="J1056" s="731"/>
      <c r="K1056" s="695"/>
      <c r="L1056" s="686"/>
      <c r="M1056" s="686"/>
      <c r="N1056" s="686"/>
      <c r="O1056" s="686"/>
      <c r="P1056" s="686"/>
      <c r="Q1056" s="666"/>
      <c r="R1056" s="686"/>
      <c r="S1056" s="686"/>
      <c r="T1056" s="688"/>
      <c r="U1056" s="688"/>
      <c r="V1056" s="686"/>
      <c r="W1056" s="686"/>
      <c r="X1056" s="686"/>
      <c r="Y1056" s="686"/>
      <c r="Z1056" s="686"/>
      <c r="AA1056" s="669"/>
      <c r="AB1056" s="695"/>
      <c r="AC1056" s="669"/>
    </row>
    <row r="1057" ht="18.0" customHeight="1">
      <c r="A1057" s="695"/>
      <c r="B1057" s="695"/>
      <c r="C1057" s="695"/>
      <c r="D1057" s="695"/>
      <c r="E1057" s="695"/>
      <c r="F1057" s="686"/>
      <c r="G1057" s="695"/>
      <c r="H1057" s="695"/>
      <c r="I1057" s="695"/>
      <c r="J1057" s="731"/>
      <c r="K1057" s="695"/>
      <c r="L1057" s="686"/>
      <c r="M1057" s="686"/>
      <c r="N1057" s="686"/>
      <c r="O1057" s="686"/>
      <c r="P1057" s="686"/>
      <c r="Q1057" s="666"/>
      <c r="R1057" s="686"/>
      <c r="S1057" s="686"/>
      <c r="T1057" s="688"/>
      <c r="U1057" s="688"/>
      <c r="V1057" s="686"/>
      <c r="W1057" s="686"/>
      <c r="X1057" s="686"/>
      <c r="Y1057" s="686"/>
      <c r="Z1057" s="686"/>
      <c r="AA1057" s="669"/>
      <c r="AB1057" s="695"/>
      <c r="AC1057" s="669"/>
    </row>
    <row r="1058" ht="18.0" customHeight="1">
      <c r="A1058" s="695"/>
      <c r="B1058" s="695"/>
      <c r="C1058" s="695"/>
      <c r="D1058" s="695"/>
      <c r="E1058" s="695"/>
      <c r="F1058" s="686"/>
      <c r="G1058" s="695"/>
      <c r="H1058" s="695"/>
      <c r="I1058" s="695"/>
      <c r="J1058" s="731"/>
      <c r="K1058" s="695"/>
      <c r="L1058" s="686"/>
      <c r="M1058" s="686"/>
      <c r="N1058" s="686"/>
      <c r="O1058" s="686"/>
      <c r="P1058" s="686"/>
      <c r="Q1058" s="666"/>
      <c r="R1058" s="686"/>
      <c r="S1058" s="686"/>
      <c r="T1058" s="688"/>
      <c r="U1058" s="688"/>
      <c r="V1058" s="686"/>
      <c r="W1058" s="686"/>
      <c r="X1058" s="686"/>
      <c r="Y1058" s="686"/>
      <c r="Z1058" s="686"/>
      <c r="AA1058" s="669"/>
      <c r="AB1058" s="695"/>
      <c r="AC1058" s="669"/>
    </row>
    <row r="1059" ht="18.0" customHeight="1">
      <c r="A1059" s="695"/>
      <c r="B1059" s="695"/>
      <c r="C1059" s="695"/>
      <c r="D1059" s="695"/>
      <c r="E1059" s="695"/>
      <c r="F1059" s="686"/>
      <c r="G1059" s="695"/>
      <c r="H1059" s="695"/>
      <c r="I1059" s="695"/>
      <c r="J1059" s="731"/>
      <c r="K1059" s="695"/>
      <c r="L1059" s="686"/>
      <c r="M1059" s="686"/>
      <c r="N1059" s="686"/>
      <c r="O1059" s="686"/>
      <c r="P1059" s="686"/>
      <c r="Q1059" s="666"/>
      <c r="R1059" s="686"/>
      <c r="S1059" s="686"/>
      <c r="T1059" s="688"/>
      <c r="U1059" s="688"/>
      <c r="V1059" s="686"/>
      <c r="W1059" s="686"/>
      <c r="X1059" s="686"/>
      <c r="Y1059" s="686"/>
      <c r="Z1059" s="686"/>
      <c r="AA1059" s="669"/>
      <c r="AB1059" s="695"/>
      <c r="AC1059" s="669"/>
    </row>
    <row r="1060" ht="18.0" customHeight="1">
      <c r="A1060" s="695"/>
      <c r="B1060" s="695"/>
      <c r="C1060" s="695"/>
      <c r="D1060" s="695"/>
      <c r="E1060" s="695"/>
      <c r="F1060" s="686"/>
      <c r="G1060" s="695"/>
      <c r="H1060" s="695"/>
      <c r="I1060" s="695"/>
      <c r="J1060" s="731"/>
      <c r="K1060" s="695"/>
      <c r="L1060" s="686"/>
      <c r="M1060" s="686"/>
      <c r="N1060" s="686"/>
      <c r="O1060" s="686"/>
      <c r="P1060" s="686"/>
      <c r="Q1060" s="666"/>
      <c r="R1060" s="686"/>
      <c r="S1060" s="686"/>
      <c r="T1060" s="688"/>
      <c r="U1060" s="688"/>
      <c r="V1060" s="686"/>
      <c r="W1060" s="686"/>
      <c r="X1060" s="686"/>
      <c r="Y1060" s="686"/>
      <c r="Z1060" s="686"/>
      <c r="AA1060" s="669"/>
      <c r="AB1060" s="695"/>
      <c r="AC1060" s="669"/>
    </row>
    <row r="1061" ht="18.0" customHeight="1">
      <c r="A1061" s="695"/>
      <c r="B1061" s="695"/>
      <c r="C1061" s="695"/>
      <c r="D1061" s="695"/>
      <c r="E1061" s="695"/>
      <c r="F1061" s="686"/>
      <c r="G1061" s="695"/>
      <c r="H1061" s="695"/>
      <c r="I1061" s="695"/>
      <c r="J1061" s="731"/>
      <c r="K1061" s="695"/>
      <c r="L1061" s="686"/>
      <c r="M1061" s="686"/>
      <c r="N1061" s="686"/>
      <c r="O1061" s="686"/>
      <c r="P1061" s="686"/>
      <c r="Q1061" s="666"/>
      <c r="R1061" s="686"/>
      <c r="S1061" s="686"/>
      <c r="T1061" s="688"/>
      <c r="U1061" s="688"/>
      <c r="V1061" s="686"/>
      <c r="W1061" s="686"/>
      <c r="X1061" s="686"/>
      <c r="Y1061" s="686"/>
      <c r="Z1061" s="686"/>
      <c r="AA1061" s="669"/>
      <c r="AB1061" s="695"/>
      <c r="AC1061" s="669"/>
    </row>
    <row r="1062" ht="18.0" customHeight="1">
      <c r="A1062" s="695"/>
      <c r="B1062" s="695"/>
      <c r="C1062" s="695"/>
      <c r="D1062" s="695"/>
      <c r="E1062" s="695"/>
      <c r="F1062" s="686"/>
      <c r="G1062" s="695"/>
      <c r="H1062" s="695"/>
      <c r="I1062" s="695"/>
      <c r="J1062" s="731"/>
      <c r="K1062" s="695"/>
      <c r="L1062" s="686"/>
      <c r="M1062" s="686"/>
      <c r="N1062" s="686"/>
      <c r="O1062" s="686"/>
      <c r="P1062" s="686"/>
      <c r="Q1062" s="666"/>
      <c r="R1062" s="686"/>
      <c r="S1062" s="686"/>
      <c r="T1062" s="688"/>
      <c r="U1062" s="688"/>
      <c r="V1062" s="686"/>
      <c r="W1062" s="686"/>
      <c r="X1062" s="686"/>
      <c r="Y1062" s="686"/>
      <c r="Z1062" s="686"/>
      <c r="AA1062" s="669"/>
      <c r="AB1062" s="695"/>
      <c r="AC1062" s="669"/>
    </row>
    <row r="1063" ht="18.0" customHeight="1">
      <c r="A1063" s="695"/>
      <c r="B1063" s="695"/>
      <c r="C1063" s="695"/>
      <c r="D1063" s="695"/>
      <c r="E1063" s="695"/>
      <c r="F1063" s="686"/>
      <c r="G1063" s="695"/>
      <c r="H1063" s="695"/>
      <c r="I1063" s="695"/>
      <c r="J1063" s="731"/>
      <c r="K1063" s="695"/>
      <c r="L1063" s="686"/>
      <c r="M1063" s="686"/>
      <c r="N1063" s="686"/>
      <c r="O1063" s="686"/>
      <c r="P1063" s="686"/>
      <c r="Q1063" s="666"/>
      <c r="R1063" s="686"/>
      <c r="S1063" s="686"/>
      <c r="T1063" s="688"/>
      <c r="U1063" s="688"/>
      <c r="V1063" s="686"/>
      <c r="W1063" s="686"/>
      <c r="X1063" s="686"/>
      <c r="Y1063" s="686"/>
      <c r="Z1063" s="686"/>
      <c r="AA1063" s="669"/>
      <c r="AB1063" s="695"/>
      <c r="AC1063" s="669"/>
    </row>
    <row r="1064" ht="18.0" customHeight="1">
      <c r="A1064" s="695"/>
      <c r="B1064" s="695"/>
      <c r="C1064" s="695"/>
      <c r="D1064" s="695"/>
      <c r="E1064" s="695"/>
      <c r="F1064" s="686"/>
      <c r="G1064" s="695"/>
      <c r="H1064" s="695"/>
      <c r="I1064" s="695"/>
      <c r="J1064" s="731"/>
      <c r="K1064" s="695"/>
      <c r="L1064" s="686"/>
      <c r="M1064" s="686"/>
      <c r="N1064" s="686"/>
      <c r="O1064" s="686"/>
      <c r="P1064" s="686"/>
      <c r="Q1064" s="666"/>
      <c r="R1064" s="686"/>
      <c r="S1064" s="686"/>
      <c r="T1064" s="688"/>
      <c r="U1064" s="688"/>
      <c r="V1064" s="686"/>
      <c r="W1064" s="686"/>
      <c r="X1064" s="686"/>
      <c r="Y1064" s="686"/>
      <c r="Z1064" s="686"/>
      <c r="AA1064" s="669"/>
      <c r="AB1064" s="695"/>
      <c r="AC1064" s="669"/>
    </row>
    <row r="1065" ht="18.0" customHeight="1">
      <c r="A1065" s="695"/>
      <c r="B1065" s="695"/>
      <c r="C1065" s="695"/>
      <c r="D1065" s="695"/>
      <c r="E1065" s="695"/>
      <c r="F1065" s="686"/>
      <c r="G1065" s="695"/>
      <c r="H1065" s="695"/>
      <c r="I1065" s="695"/>
      <c r="J1065" s="731"/>
      <c r="K1065" s="695"/>
      <c r="L1065" s="686"/>
      <c r="M1065" s="686"/>
      <c r="N1065" s="686"/>
      <c r="O1065" s="686"/>
      <c r="P1065" s="686"/>
      <c r="Q1065" s="666"/>
      <c r="R1065" s="686"/>
      <c r="S1065" s="686"/>
      <c r="T1065" s="688"/>
      <c r="U1065" s="688"/>
      <c r="V1065" s="686"/>
      <c r="W1065" s="686"/>
      <c r="X1065" s="686"/>
      <c r="Y1065" s="686"/>
      <c r="Z1065" s="686"/>
      <c r="AA1065" s="669"/>
      <c r="AB1065" s="695"/>
      <c r="AC1065" s="669"/>
    </row>
    <row r="1066" ht="18.0" customHeight="1">
      <c r="A1066" s="695"/>
      <c r="B1066" s="695"/>
      <c r="C1066" s="695"/>
      <c r="D1066" s="695"/>
      <c r="E1066" s="695"/>
      <c r="F1066" s="686"/>
      <c r="G1066" s="695"/>
      <c r="H1066" s="695"/>
      <c r="I1066" s="695"/>
      <c r="J1066" s="731"/>
      <c r="K1066" s="695"/>
      <c r="L1066" s="686"/>
      <c r="M1066" s="686"/>
      <c r="N1066" s="686"/>
      <c r="O1066" s="686"/>
      <c r="P1066" s="686"/>
      <c r="Q1066" s="666"/>
      <c r="R1066" s="686"/>
      <c r="S1066" s="686"/>
      <c r="T1066" s="688"/>
      <c r="U1066" s="688"/>
      <c r="V1066" s="686"/>
      <c r="W1066" s="686"/>
      <c r="X1066" s="686"/>
      <c r="Y1066" s="686"/>
      <c r="Z1066" s="686"/>
      <c r="AA1066" s="669"/>
      <c r="AB1066" s="695"/>
      <c r="AC1066" s="669"/>
    </row>
    <row r="1067" ht="18.0" customHeight="1">
      <c r="A1067" s="695"/>
      <c r="B1067" s="695"/>
      <c r="C1067" s="695"/>
      <c r="D1067" s="695"/>
      <c r="E1067" s="695"/>
      <c r="F1067" s="686"/>
      <c r="G1067" s="695"/>
      <c r="H1067" s="695"/>
      <c r="I1067" s="695"/>
      <c r="J1067" s="731"/>
      <c r="K1067" s="695"/>
      <c r="L1067" s="686"/>
      <c r="M1067" s="686"/>
      <c r="N1067" s="686"/>
      <c r="O1067" s="686"/>
      <c r="P1067" s="686"/>
      <c r="Q1067" s="666"/>
      <c r="R1067" s="686"/>
      <c r="S1067" s="686"/>
      <c r="T1067" s="688"/>
      <c r="U1067" s="688"/>
      <c r="V1067" s="686"/>
      <c r="W1067" s="686"/>
      <c r="X1067" s="686"/>
      <c r="Y1067" s="686"/>
      <c r="Z1067" s="686"/>
      <c r="AA1067" s="669"/>
      <c r="AB1067" s="695"/>
      <c r="AC1067" s="669"/>
    </row>
    <row r="1068" ht="18.0" customHeight="1">
      <c r="A1068" s="695"/>
      <c r="B1068" s="695"/>
      <c r="C1068" s="695"/>
      <c r="D1068" s="695"/>
      <c r="E1068" s="695"/>
      <c r="F1068" s="686"/>
      <c r="G1068" s="695"/>
      <c r="H1068" s="695"/>
      <c r="I1068" s="695"/>
      <c r="J1068" s="731"/>
      <c r="K1068" s="695"/>
      <c r="L1068" s="686"/>
      <c r="M1068" s="686"/>
      <c r="N1068" s="686"/>
      <c r="O1068" s="686"/>
      <c r="P1068" s="686"/>
      <c r="Q1068" s="666"/>
      <c r="R1068" s="686"/>
      <c r="S1068" s="686"/>
      <c r="T1068" s="688"/>
      <c r="U1068" s="688"/>
      <c r="V1068" s="686"/>
      <c r="W1068" s="686"/>
      <c r="X1068" s="686"/>
      <c r="Y1068" s="686"/>
      <c r="Z1068" s="686"/>
      <c r="AA1068" s="669"/>
      <c r="AB1068" s="695"/>
      <c r="AC1068" s="669"/>
    </row>
    <row r="1069" ht="18.0" customHeight="1">
      <c r="A1069" s="695"/>
      <c r="B1069" s="695"/>
      <c r="C1069" s="695"/>
      <c r="D1069" s="695"/>
      <c r="E1069" s="695"/>
      <c r="F1069" s="686"/>
      <c r="G1069" s="695"/>
      <c r="H1069" s="695"/>
      <c r="I1069" s="695"/>
      <c r="J1069" s="731"/>
      <c r="K1069" s="695"/>
      <c r="L1069" s="686"/>
      <c r="M1069" s="686"/>
      <c r="N1069" s="686"/>
      <c r="O1069" s="686"/>
      <c r="P1069" s="686"/>
      <c r="Q1069" s="666"/>
      <c r="R1069" s="686"/>
      <c r="S1069" s="686"/>
      <c r="T1069" s="688"/>
      <c r="U1069" s="688"/>
      <c r="V1069" s="686"/>
      <c r="W1069" s="686"/>
      <c r="X1069" s="686"/>
      <c r="Y1069" s="686"/>
      <c r="Z1069" s="686"/>
      <c r="AA1069" s="669"/>
      <c r="AB1069" s="695"/>
      <c r="AC1069" s="669"/>
    </row>
    <row r="1070" ht="18.0" customHeight="1">
      <c r="A1070" s="695"/>
      <c r="B1070" s="695"/>
      <c r="C1070" s="695"/>
      <c r="D1070" s="695"/>
      <c r="E1070" s="695"/>
      <c r="F1070" s="686"/>
      <c r="G1070" s="695"/>
      <c r="H1070" s="695"/>
      <c r="I1070" s="695"/>
      <c r="J1070" s="731"/>
      <c r="K1070" s="695"/>
      <c r="L1070" s="686"/>
      <c r="M1070" s="686"/>
      <c r="N1070" s="686"/>
      <c r="O1070" s="686"/>
      <c r="P1070" s="686"/>
      <c r="Q1070" s="666"/>
      <c r="R1070" s="686"/>
      <c r="S1070" s="686"/>
      <c r="T1070" s="688"/>
      <c r="U1070" s="688"/>
      <c r="V1070" s="686"/>
      <c r="W1070" s="686"/>
      <c r="X1070" s="686"/>
      <c r="Y1070" s="686"/>
      <c r="Z1070" s="686"/>
      <c r="AA1070" s="669"/>
      <c r="AB1070" s="695"/>
      <c r="AC1070" s="669"/>
    </row>
    <row r="1071" ht="18.0" customHeight="1">
      <c r="A1071" s="695"/>
      <c r="B1071" s="695"/>
      <c r="C1071" s="695"/>
      <c r="D1071" s="695"/>
      <c r="E1071" s="695"/>
      <c r="F1071" s="686"/>
      <c r="G1071" s="695"/>
      <c r="H1071" s="695"/>
      <c r="I1071" s="695"/>
      <c r="J1071" s="731"/>
      <c r="K1071" s="695"/>
      <c r="L1071" s="686"/>
      <c r="M1071" s="686"/>
      <c r="N1071" s="686"/>
      <c r="O1071" s="686"/>
      <c r="P1071" s="686"/>
      <c r="Q1071" s="666"/>
      <c r="R1071" s="686"/>
      <c r="S1071" s="686"/>
      <c r="T1071" s="688"/>
      <c r="U1071" s="688"/>
      <c r="V1071" s="686"/>
      <c r="W1071" s="686"/>
      <c r="X1071" s="686"/>
      <c r="Y1071" s="686"/>
      <c r="Z1071" s="686"/>
      <c r="AA1071" s="669"/>
      <c r="AB1071" s="695"/>
      <c r="AC1071" s="669"/>
    </row>
    <row r="1072" ht="18.0" customHeight="1">
      <c r="A1072" s="695"/>
      <c r="B1072" s="695"/>
      <c r="C1072" s="695"/>
      <c r="D1072" s="695"/>
      <c r="E1072" s="695"/>
      <c r="F1072" s="686"/>
      <c r="G1072" s="695"/>
      <c r="H1072" s="695"/>
      <c r="I1072" s="695"/>
      <c r="J1072" s="731"/>
      <c r="K1072" s="695"/>
      <c r="L1072" s="686"/>
      <c r="M1072" s="686"/>
      <c r="N1072" s="686"/>
      <c r="O1072" s="686"/>
      <c r="P1072" s="686"/>
      <c r="Q1072" s="666"/>
      <c r="R1072" s="686"/>
      <c r="S1072" s="686"/>
      <c r="T1072" s="688"/>
      <c r="U1072" s="688"/>
      <c r="V1072" s="686"/>
      <c r="W1072" s="686"/>
      <c r="X1072" s="686"/>
      <c r="Y1072" s="686"/>
      <c r="Z1072" s="686"/>
      <c r="AA1072" s="669"/>
      <c r="AB1072" s="695"/>
      <c r="AC1072" s="669"/>
    </row>
    <row r="1073" ht="18.0" customHeight="1">
      <c r="A1073" s="695"/>
      <c r="B1073" s="695"/>
      <c r="C1073" s="695"/>
      <c r="D1073" s="695"/>
      <c r="E1073" s="695"/>
      <c r="F1073" s="686"/>
      <c r="G1073" s="695"/>
      <c r="H1073" s="695"/>
      <c r="I1073" s="695"/>
      <c r="J1073" s="731"/>
      <c r="K1073" s="695"/>
      <c r="L1073" s="686"/>
      <c r="M1073" s="686"/>
      <c r="N1073" s="686"/>
      <c r="O1073" s="686"/>
      <c r="P1073" s="686"/>
      <c r="Q1073" s="666"/>
      <c r="R1073" s="686"/>
      <c r="S1073" s="686"/>
      <c r="T1073" s="688"/>
      <c r="U1073" s="688"/>
      <c r="V1073" s="686"/>
      <c r="W1073" s="686"/>
      <c r="X1073" s="686"/>
      <c r="Y1073" s="686"/>
      <c r="Z1073" s="686"/>
      <c r="AA1073" s="669"/>
      <c r="AB1073" s="695"/>
      <c r="AC1073" s="669"/>
    </row>
    <row r="1074" ht="18.0" customHeight="1">
      <c r="A1074" s="695"/>
      <c r="B1074" s="695"/>
      <c r="C1074" s="695"/>
      <c r="D1074" s="695"/>
      <c r="E1074" s="695"/>
      <c r="F1074" s="686"/>
      <c r="G1074" s="695"/>
      <c r="H1074" s="695"/>
      <c r="I1074" s="695"/>
      <c r="J1074" s="731"/>
      <c r="K1074" s="695"/>
      <c r="L1074" s="686"/>
      <c r="M1074" s="686"/>
      <c r="N1074" s="686"/>
      <c r="O1074" s="686"/>
      <c r="P1074" s="686"/>
      <c r="Q1074" s="666"/>
      <c r="R1074" s="686"/>
      <c r="S1074" s="686"/>
      <c r="T1074" s="688"/>
      <c r="U1074" s="688"/>
      <c r="V1074" s="686"/>
      <c r="W1074" s="686"/>
      <c r="X1074" s="686"/>
      <c r="Y1074" s="686"/>
      <c r="Z1074" s="686"/>
      <c r="AA1074" s="669"/>
      <c r="AB1074" s="695"/>
      <c r="AC1074" s="669"/>
    </row>
    <row r="1075" ht="18.0" customHeight="1">
      <c r="A1075" s="695"/>
      <c r="B1075" s="695"/>
      <c r="C1075" s="695"/>
      <c r="D1075" s="695"/>
      <c r="E1075" s="695"/>
      <c r="F1075" s="686"/>
      <c r="G1075" s="695"/>
      <c r="H1075" s="695"/>
      <c r="I1075" s="695"/>
      <c r="J1075" s="731"/>
      <c r="K1075" s="695"/>
      <c r="L1075" s="686"/>
      <c r="M1075" s="686"/>
      <c r="N1075" s="686"/>
      <c r="O1075" s="686"/>
      <c r="P1075" s="686"/>
      <c r="Q1075" s="666"/>
      <c r="R1075" s="686"/>
      <c r="S1075" s="686"/>
      <c r="T1075" s="688"/>
      <c r="U1075" s="688"/>
      <c r="V1075" s="686"/>
      <c r="W1075" s="686"/>
      <c r="X1075" s="686"/>
      <c r="Y1075" s="686"/>
      <c r="Z1075" s="686"/>
      <c r="AA1075" s="669"/>
      <c r="AB1075" s="695"/>
      <c r="AC1075" s="669"/>
    </row>
    <row r="1076" ht="18.0" customHeight="1">
      <c r="A1076" s="695"/>
      <c r="B1076" s="695"/>
      <c r="C1076" s="695"/>
      <c r="D1076" s="695"/>
      <c r="E1076" s="695"/>
      <c r="F1076" s="686"/>
      <c r="G1076" s="695"/>
      <c r="H1076" s="695"/>
      <c r="I1076" s="695"/>
      <c r="J1076" s="731"/>
      <c r="K1076" s="695"/>
      <c r="L1076" s="686"/>
      <c r="M1076" s="686"/>
      <c r="N1076" s="686"/>
      <c r="O1076" s="686"/>
      <c r="P1076" s="686"/>
      <c r="Q1076" s="666"/>
      <c r="R1076" s="686"/>
      <c r="S1076" s="686"/>
      <c r="T1076" s="688"/>
      <c r="U1076" s="688"/>
      <c r="V1076" s="686"/>
      <c r="W1076" s="686"/>
      <c r="X1076" s="686"/>
      <c r="Y1076" s="686"/>
      <c r="Z1076" s="686"/>
      <c r="AA1076" s="669"/>
      <c r="AB1076" s="695"/>
      <c r="AC1076" s="669"/>
    </row>
    <row r="1077" ht="18.0" customHeight="1">
      <c r="A1077" s="695"/>
      <c r="B1077" s="695"/>
      <c r="C1077" s="695"/>
      <c r="D1077" s="695"/>
      <c r="E1077" s="695"/>
      <c r="F1077" s="686"/>
      <c r="G1077" s="695"/>
      <c r="H1077" s="695"/>
      <c r="I1077" s="695"/>
      <c r="J1077" s="731"/>
      <c r="K1077" s="695"/>
      <c r="L1077" s="686"/>
      <c r="M1077" s="686"/>
      <c r="N1077" s="686"/>
      <c r="O1077" s="686"/>
      <c r="P1077" s="686"/>
      <c r="Q1077" s="666"/>
      <c r="R1077" s="686"/>
      <c r="S1077" s="686"/>
      <c r="T1077" s="688"/>
      <c r="U1077" s="688"/>
      <c r="V1077" s="686"/>
      <c r="W1077" s="686"/>
      <c r="X1077" s="686"/>
      <c r="Y1077" s="686"/>
      <c r="Z1077" s="686"/>
      <c r="AA1077" s="669"/>
      <c r="AB1077" s="695"/>
      <c r="AC1077" s="669"/>
    </row>
    <row r="1078" ht="18.0" customHeight="1">
      <c r="A1078" s="695"/>
      <c r="B1078" s="695"/>
      <c r="C1078" s="695"/>
      <c r="D1078" s="695"/>
      <c r="E1078" s="695"/>
      <c r="F1078" s="686"/>
      <c r="G1078" s="695"/>
      <c r="H1078" s="695"/>
      <c r="I1078" s="695"/>
      <c r="J1078" s="731"/>
      <c r="K1078" s="695"/>
      <c r="L1078" s="686"/>
      <c r="M1078" s="686"/>
      <c r="N1078" s="686"/>
      <c r="O1078" s="686"/>
      <c r="P1078" s="686"/>
      <c r="Q1078" s="666"/>
      <c r="R1078" s="686"/>
      <c r="S1078" s="686"/>
      <c r="T1078" s="688"/>
      <c r="U1078" s="688"/>
      <c r="V1078" s="686"/>
      <c r="W1078" s="686"/>
      <c r="X1078" s="686"/>
      <c r="Y1078" s="686"/>
      <c r="Z1078" s="686"/>
      <c r="AA1078" s="669"/>
      <c r="AB1078" s="695"/>
      <c r="AC1078" s="669"/>
    </row>
    <row r="1079" ht="18.0" customHeight="1">
      <c r="A1079" s="695"/>
      <c r="B1079" s="695"/>
      <c r="C1079" s="695"/>
      <c r="D1079" s="695"/>
      <c r="E1079" s="695"/>
      <c r="F1079" s="686"/>
      <c r="G1079" s="695"/>
      <c r="H1079" s="695"/>
      <c r="I1079" s="695"/>
      <c r="J1079" s="731"/>
      <c r="K1079" s="695"/>
      <c r="L1079" s="686"/>
      <c r="M1079" s="686"/>
      <c r="N1079" s="686"/>
      <c r="O1079" s="686"/>
      <c r="P1079" s="686"/>
      <c r="Q1079" s="666"/>
      <c r="R1079" s="686"/>
      <c r="S1079" s="686"/>
      <c r="T1079" s="688"/>
      <c r="U1079" s="688"/>
      <c r="V1079" s="686"/>
      <c r="W1079" s="686"/>
      <c r="X1079" s="686"/>
      <c r="Y1079" s="686"/>
      <c r="Z1079" s="686"/>
      <c r="AA1079" s="669"/>
      <c r="AB1079" s="695"/>
      <c r="AC1079" s="669"/>
    </row>
    <row r="1080" ht="18.0" customHeight="1">
      <c r="A1080" s="695"/>
      <c r="B1080" s="695"/>
      <c r="C1080" s="695"/>
      <c r="D1080" s="695"/>
      <c r="E1080" s="695"/>
      <c r="F1080" s="686"/>
      <c r="G1080" s="695"/>
      <c r="H1080" s="695"/>
      <c r="I1080" s="695"/>
      <c r="J1080" s="731"/>
      <c r="K1080" s="695"/>
      <c r="L1080" s="686"/>
      <c r="M1080" s="686"/>
      <c r="N1080" s="686"/>
      <c r="O1080" s="686"/>
      <c r="P1080" s="686"/>
      <c r="Q1080" s="666"/>
      <c r="R1080" s="686"/>
      <c r="S1080" s="686"/>
      <c r="T1080" s="688"/>
      <c r="U1080" s="688"/>
      <c r="V1080" s="686"/>
      <c r="W1080" s="686"/>
      <c r="X1080" s="686"/>
      <c r="Y1080" s="686"/>
      <c r="Z1080" s="686"/>
      <c r="AA1080" s="669"/>
      <c r="AB1080" s="695"/>
      <c r="AC1080" s="669"/>
    </row>
    <row r="1081" ht="18.0" customHeight="1">
      <c r="A1081" s="695"/>
      <c r="B1081" s="695"/>
      <c r="C1081" s="695"/>
      <c r="D1081" s="695"/>
      <c r="E1081" s="695"/>
      <c r="F1081" s="686"/>
      <c r="G1081" s="695"/>
      <c r="H1081" s="695"/>
      <c r="I1081" s="695"/>
      <c r="J1081" s="731"/>
      <c r="K1081" s="695"/>
      <c r="L1081" s="686"/>
      <c r="M1081" s="686"/>
      <c r="N1081" s="686"/>
      <c r="O1081" s="686"/>
      <c r="P1081" s="686"/>
      <c r="Q1081" s="666"/>
      <c r="R1081" s="686"/>
      <c r="S1081" s="686"/>
      <c r="T1081" s="688"/>
      <c r="U1081" s="688"/>
      <c r="V1081" s="686"/>
      <c r="W1081" s="686"/>
      <c r="X1081" s="686"/>
      <c r="Y1081" s="686"/>
      <c r="Z1081" s="686"/>
      <c r="AA1081" s="669"/>
      <c r="AB1081" s="695"/>
      <c r="AC1081" s="669"/>
    </row>
    <row r="1082" ht="18.0" customHeight="1">
      <c r="A1082" s="695"/>
      <c r="B1082" s="695"/>
      <c r="C1082" s="695"/>
      <c r="D1082" s="695"/>
      <c r="E1082" s="695"/>
      <c r="F1082" s="686"/>
      <c r="G1082" s="695"/>
      <c r="H1082" s="695"/>
      <c r="I1082" s="695"/>
      <c r="J1082" s="731"/>
      <c r="K1082" s="695"/>
      <c r="L1082" s="686"/>
      <c r="M1082" s="686"/>
      <c r="N1082" s="686"/>
      <c r="O1082" s="686"/>
      <c r="P1082" s="686"/>
      <c r="Q1082" s="666"/>
      <c r="R1082" s="686"/>
      <c r="S1082" s="686"/>
      <c r="T1082" s="688"/>
      <c r="U1082" s="688"/>
      <c r="V1082" s="686"/>
      <c r="W1082" s="686"/>
      <c r="X1082" s="686"/>
      <c r="Y1082" s="686"/>
      <c r="Z1082" s="686"/>
      <c r="AA1082" s="669"/>
      <c r="AB1082" s="695"/>
      <c r="AC1082" s="669"/>
    </row>
    <row r="1083" ht="18.0" customHeight="1">
      <c r="A1083" s="695"/>
      <c r="B1083" s="695"/>
      <c r="C1083" s="695"/>
      <c r="D1083" s="695"/>
      <c r="E1083" s="695"/>
      <c r="F1083" s="686"/>
      <c r="G1083" s="695"/>
      <c r="H1083" s="695"/>
      <c r="I1083" s="695"/>
      <c r="J1083" s="731"/>
      <c r="K1083" s="695"/>
      <c r="L1083" s="686"/>
      <c r="M1083" s="686"/>
      <c r="N1083" s="686"/>
      <c r="O1083" s="686"/>
      <c r="P1083" s="686"/>
      <c r="Q1083" s="666"/>
      <c r="R1083" s="686"/>
      <c r="S1083" s="686"/>
      <c r="T1083" s="688"/>
      <c r="U1083" s="688"/>
      <c r="V1083" s="686"/>
      <c r="W1083" s="686"/>
      <c r="X1083" s="686"/>
      <c r="Y1083" s="686"/>
      <c r="Z1083" s="686"/>
      <c r="AA1083" s="669"/>
      <c r="AB1083" s="695"/>
      <c r="AC1083" s="669"/>
    </row>
    <row r="1084" ht="18.0" customHeight="1">
      <c r="A1084" s="695"/>
      <c r="B1084" s="695"/>
      <c r="C1084" s="695"/>
      <c r="D1084" s="695"/>
      <c r="E1084" s="695"/>
      <c r="F1084" s="686"/>
      <c r="G1084" s="695"/>
      <c r="H1084" s="695"/>
      <c r="I1084" s="695"/>
      <c r="J1084" s="731"/>
      <c r="K1084" s="695"/>
      <c r="L1084" s="686"/>
      <c r="M1084" s="686"/>
      <c r="N1084" s="686"/>
      <c r="O1084" s="686"/>
      <c r="P1084" s="686"/>
      <c r="Q1084" s="666"/>
      <c r="R1084" s="686"/>
      <c r="S1084" s="686"/>
      <c r="T1084" s="688"/>
      <c r="U1084" s="688"/>
      <c r="V1084" s="686"/>
      <c r="W1084" s="686"/>
      <c r="X1084" s="686"/>
      <c r="Y1084" s="686"/>
      <c r="Z1084" s="686"/>
      <c r="AA1084" s="669"/>
      <c r="AB1084" s="695"/>
      <c r="AC1084" s="669"/>
    </row>
    <row r="1085" ht="18.0" customHeight="1">
      <c r="A1085" s="695"/>
      <c r="B1085" s="695"/>
      <c r="C1085" s="695"/>
      <c r="D1085" s="695"/>
      <c r="E1085" s="695"/>
      <c r="F1085" s="686"/>
      <c r="G1085" s="695"/>
      <c r="H1085" s="695"/>
      <c r="I1085" s="695"/>
      <c r="J1085" s="731"/>
      <c r="K1085" s="695"/>
      <c r="L1085" s="686"/>
      <c r="M1085" s="686"/>
      <c r="N1085" s="686"/>
      <c r="O1085" s="686"/>
      <c r="P1085" s="686"/>
      <c r="Q1085" s="666"/>
      <c r="R1085" s="686"/>
      <c r="S1085" s="686"/>
      <c r="T1085" s="688"/>
      <c r="U1085" s="688"/>
      <c r="V1085" s="686"/>
      <c r="W1085" s="686"/>
      <c r="X1085" s="686"/>
      <c r="Y1085" s="686"/>
      <c r="Z1085" s="686"/>
      <c r="AA1085" s="669"/>
      <c r="AB1085" s="695"/>
      <c r="AC1085" s="669"/>
    </row>
    <row r="1086" ht="18.0" customHeight="1">
      <c r="A1086" s="695"/>
      <c r="B1086" s="695"/>
      <c r="C1086" s="695"/>
      <c r="D1086" s="695"/>
      <c r="E1086" s="695"/>
      <c r="F1086" s="686"/>
      <c r="G1086" s="695"/>
      <c r="H1086" s="695"/>
      <c r="I1086" s="695"/>
      <c r="J1086" s="731"/>
      <c r="K1086" s="695"/>
      <c r="L1086" s="686"/>
      <c r="M1086" s="686"/>
      <c r="N1086" s="686"/>
      <c r="O1086" s="686"/>
      <c r="P1086" s="686"/>
      <c r="Q1086" s="666"/>
      <c r="R1086" s="686"/>
      <c r="S1086" s="686"/>
      <c r="T1086" s="688"/>
      <c r="U1086" s="688"/>
      <c r="V1086" s="686"/>
      <c r="W1086" s="686"/>
      <c r="X1086" s="686"/>
      <c r="Y1086" s="686"/>
      <c r="Z1086" s="686"/>
      <c r="AA1086" s="669"/>
      <c r="AB1086" s="695"/>
      <c r="AC1086" s="669"/>
    </row>
    <row r="1087" ht="18.0" customHeight="1">
      <c r="A1087" s="695"/>
      <c r="B1087" s="695"/>
      <c r="C1087" s="695"/>
      <c r="D1087" s="695"/>
      <c r="E1087" s="695"/>
      <c r="F1087" s="686"/>
      <c r="G1087" s="695"/>
      <c r="H1087" s="695"/>
      <c r="I1087" s="695"/>
      <c r="J1087" s="731"/>
      <c r="K1087" s="695"/>
      <c r="L1087" s="686"/>
      <c r="M1087" s="686"/>
      <c r="N1087" s="686"/>
      <c r="O1087" s="686"/>
      <c r="P1087" s="686"/>
      <c r="Q1087" s="666"/>
      <c r="R1087" s="686"/>
      <c r="S1087" s="686"/>
      <c r="T1087" s="688"/>
      <c r="U1087" s="688"/>
      <c r="V1087" s="686"/>
      <c r="W1087" s="686"/>
      <c r="X1087" s="686"/>
      <c r="Y1087" s="686"/>
      <c r="Z1087" s="686"/>
      <c r="AA1087" s="669"/>
      <c r="AB1087" s="695"/>
      <c r="AC1087" s="669"/>
    </row>
    <row r="1088" ht="18.0" customHeight="1">
      <c r="A1088" s="695"/>
      <c r="B1088" s="695"/>
      <c r="C1088" s="695"/>
      <c r="D1088" s="695"/>
      <c r="E1088" s="695"/>
      <c r="F1088" s="686"/>
      <c r="G1088" s="695"/>
      <c r="H1088" s="695"/>
      <c r="I1088" s="695"/>
      <c r="J1088" s="731"/>
      <c r="K1088" s="695"/>
      <c r="L1088" s="686"/>
      <c r="M1088" s="686"/>
      <c r="N1088" s="686"/>
      <c r="O1088" s="686"/>
      <c r="P1088" s="686"/>
      <c r="Q1088" s="666"/>
      <c r="R1088" s="686"/>
      <c r="S1088" s="686"/>
      <c r="T1088" s="688"/>
      <c r="U1088" s="688"/>
      <c r="V1088" s="686"/>
      <c r="W1088" s="686"/>
      <c r="X1088" s="686"/>
      <c r="Y1088" s="686"/>
      <c r="Z1088" s="686"/>
      <c r="AA1088" s="669"/>
      <c r="AB1088" s="695"/>
      <c r="AC1088" s="669"/>
    </row>
    <row r="1089" ht="18.0" customHeight="1">
      <c r="A1089" s="695"/>
      <c r="B1089" s="695"/>
      <c r="C1089" s="695"/>
      <c r="D1089" s="695"/>
      <c r="E1089" s="695"/>
      <c r="F1089" s="686"/>
      <c r="G1089" s="695"/>
      <c r="H1089" s="695"/>
      <c r="I1089" s="695"/>
      <c r="J1089" s="731"/>
      <c r="K1089" s="695"/>
      <c r="L1089" s="686"/>
      <c r="M1089" s="686"/>
      <c r="N1089" s="686"/>
      <c r="O1089" s="686"/>
      <c r="P1089" s="686"/>
      <c r="Q1089" s="666"/>
      <c r="R1089" s="686"/>
      <c r="S1089" s="686"/>
      <c r="T1089" s="688"/>
      <c r="U1089" s="688"/>
      <c r="V1089" s="686"/>
      <c r="W1089" s="686"/>
      <c r="X1089" s="686"/>
      <c r="Y1089" s="686"/>
      <c r="Z1089" s="686"/>
      <c r="AA1089" s="669"/>
      <c r="AB1089" s="695"/>
      <c r="AC1089" s="669"/>
    </row>
    <row r="1090" ht="18.0" customHeight="1">
      <c r="A1090" s="695"/>
      <c r="B1090" s="695"/>
      <c r="C1090" s="695"/>
      <c r="D1090" s="695"/>
      <c r="E1090" s="695"/>
      <c r="F1090" s="686"/>
      <c r="G1090" s="695"/>
      <c r="H1090" s="695"/>
      <c r="I1090" s="695"/>
      <c r="J1090" s="731"/>
      <c r="K1090" s="695"/>
      <c r="L1090" s="686"/>
      <c r="M1090" s="686"/>
      <c r="N1090" s="686"/>
      <c r="O1090" s="686"/>
      <c r="P1090" s="686"/>
      <c r="Q1090" s="666"/>
      <c r="R1090" s="686"/>
      <c r="S1090" s="686"/>
      <c r="T1090" s="688"/>
      <c r="U1090" s="688"/>
      <c r="V1090" s="686"/>
      <c r="W1090" s="686"/>
      <c r="X1090" s="686"/>
      <c r="Y1090" s="686"/>
      <c r="Z1090" s="686"/>
      <c r="AA1090" s="669"/>
      <c r="AB1090" s="695"/>
      <c r="AC1090" s="669"/>
    </row>
    <row r="1091" ht="18.0" customHeight="1">
      <c r="A1091" s="695"/>
      <c r="B1091" s="695"/>
      <c r="C1091" s="695"/>
      <c r="D1091" s="695"/>
      <c r="E1091" s="695"/>
      <c r="F1091" s="686"/>
      <c r="G1091" s="695"/>
      <c r="H1091" s="695"/>
      <c r="I1091" s="695"/>
      <c r="J1091" s="731"/>
      <c r="K1091" s="695"/>
      <c r="L1091" s="686"/>
      <c r="M1091" s="686"/>
      <c r="N1091" s="686"/>
      <c r="O1091" s="686"/>
      <c r="P1091" s="686"/>
      <c r="Q1091" s="666"/>
      <c r="R1091" s="686"/>
      <c r="S1091" s="686"/>
      <c r="T1091" s="688"/>
      <c r="U1091" s="688"/>
      <c r="V1091" s="686"/>
      <c r="W1091" s="686"/>
      <c r="X1091" s="686"/>
      <c r="Y1091" s="686"/>
      <c r="Z1091" s="686"/>
      <c r="AA1091" s="669"/>
      <c r="AB1091" s="695"/>
      <c r="AC1091" s="669"/>
    </row>
    <row r="1092" ht="18.0" customHeight="1">
      <c r="A1092" s="695"/>
      <c r="B1092" s="695"/>
      <c r="C1092" s="695"/>
      <c r="D1092" s="695"/>
      <c r="E1092" s="695"/>
      <c r="F1092" s="686"/>
      <c r="G1092" s="695"/>
      <c r="H1092" s="695"/>
      <c r="I1092" s="695"/>
      <c r="J1092" s="731"/>
      <c r="K1092" s="695"/>
      <c r="L1092" s="686"/>
      <c r="M1092" s="686"/>
      <c r="N1092" s="686"/>
      <c r="O1092" s="686"/>
      <c r="P1092" s="686"/>
      <c r="Q1092" s="666"/>
      <c r="R1092" s="686"/>
      <c r="S1092" s="686"/>
      <c r="T1092" s="688"/>
      <c r="U1092" s="688"/>
      <c r="V1092" s="686"/>
      <c r="W1092" s="686"/>
      <c r="X1092" s="686"/>
      <c r="Y1092" s="686"/>
      <c r="Z1092" s="686"/>
      <c r="AA1092" s="669"/>
      <c r="AB1092" s="695"/>
      <c r="AC1092" s="669"/>
    </row>
    <row r="1093" ht="18.0" customHeight="1">
      <c r="A1093" s="695"/>
      <c r="B1093" s="695"/>
      <c r="C1093" s="695"/>
      <c r="D1093" s="695"/>
      <c r="E1093" s="695"/>
      <c r="F1093" s="686"/>
      <c r="G1093" s="695"/>
      <c r="H1093" s="695"/>
      <c r="I1093" s="695"/>
      <c r="J1093" s="731"/>
      <c r="K1093" s="695"/>
      <c r="L1093" s="686"/>
      <c r="M1093" s="686"/>
      <c r="N1093" s="686"/>
      <c r="O1093" s="686"/>
      <c r="P1093" s="686"/>
      <c r="Q1093" s="666"/>
      <c r="R1093" s="686"/>
      <c r="S1093" s="686"/>
      <c r="T1093" s="688"/>
      <c r="U1093" s="688"/>
      <c r="V1093" s="686"/>
      <c r="W1093" s="686"/>
      <c r="X1093" s="686"/>
      <c r="Y1093" s="686"/>
      <c r="Z1093" s="686"/>
      <c r="AA1093" s="669"/>
      <c r="AB1093" s="695"/>
      <c r="AC1093" s="669"/>
    </row>
    <row r="1094" ht="18.0" customHeight="1">
      <c r="A1094" s="695"/>
      <c r="B1094" s="695"/>
      <c r="C1094" s="695"/>
      <c r="D1094" s="695"/>
      <c r="E1094" s="695"/>
      <c r="F1094" s="686"/>
      <c r="G1094" s="695"/>
      <c r="H1094" s="695"/>
      <c r="I1094" s="695"/>
      <c r="J1094" s="731"/>
      <c r="K1094" s="695"/>
      <c r="L1094" s="686"/>
      <c r="M1094" s="686"/>
      <c r="N1094" s="686"/>
      <c r="O1094" s="686"/>
      <c r="P1094" s="686"/>
      <c r="Q1094" s="666"/>
      <c r="R1094" s="686"/>
      <c r="S1094" s="686"/>
      <c r="T1094" s="688"/>
      <c r="U1094" s="688"/>
      <c r="V1094" s="686"/>
      <c r="W1094" s="686"/>
      <c r="X1094" s="686"/>
      <c r="Y1094" s="686"/>
      <c r="Z1094" s="686"/>
      <c r="AA1094" s="669"/>
      <c r="AB1094" s="695"/>
      <c r="AC1094" s="669"/>
    </row>
    <row r="1095" ht="18.0" customHeight="1">
      <c r="A1095" s="695"/>
      <c r="B1095" s="695"/>
      <c r="C1095" s="695"/>
      <c r="D1095" s="695"/>
      <c r="E1095" s="695"/>
      <c r="F1095" s="686"/>
      <c r="G1095" s="695"/>
      <c r="H1095" s="695"/>
      <c r="I1095" s="695"/>
      <c r="J1095" s="731"/>
      <c r="K1095" s="695"/>
      <c r="L1095" s="686"/>
      <c r="M1095" s="686"/>
      <c r="N1095" s="686"/>
      <c r="O1095" s="686"/>
      <c r="P1095" s="686"/>
      <c r="Q1095" s="666"/>
      <c r="R1095" s="686"/>
      <c r="S1095" s="686"/>
      <c r="T1095" s="688"/>
      <c r="U1095" s="688"/>
      <c r="V1095" s="686"/>
      <c r="W1095" s="686"/>
      <c r="X1095" s="686"/>
      <c r="Y1095" s="686"/>
      <c r="Z1095" s="686"/>
      <c r="AA1095" s="669"/>
      <c r="AB1095" s="695"/>
      <c r="AC1095" s="669"/>
    </row>
    <row r="1096" ht="18.0" customHeight="1">
      <c r="A1096" s="695"/>
      <c r="B1096" s="695"/>
      <c r="C1096" s="695"/>
      <c r="D1096" s="695"/>
      <c r="E1096" s="695"/>
      <c r="F1096" s="686"/>
      <c r="G1096" s="695"/>
      <c r="H1096" s="695"/>
      <c r="I1096" s="695"/>
      <c r="J1096" s="731"/>
      <c r="K1096" s="695"/>
      <c r="L1096" s="686"/>
      <c r="M1096" s="686"/>
      <c r="N1096" s="686"/>
      <c r="O1096" s="686"/>
      <c r="P1096" s="686"/>
      <c r="Q1096" s="666"/>
      <c r="R1096" s="686"/>
      <c r="S1096" s="686"/>
      <c r="T1096" s="688"/>
      <c r="U1096" s="688"/>
      <c r="V1096" s="686"/>
      <c r="W1096" s="686"/>
      <c r="X1096" s="686"/>
      <c r="Y1096" s="686"/>
      <c r="Z1096" s="686"/>
      <c r="AA1096" s="669"/>
      <c r="AB1096" s="695"/>
      <c r="AC1096" s="669"/>
    </row>
    <row r="1097" ht="18.0" customHeight="1">
      <c r="A1097" s="695"/>
      <c r="B1097" s="695"/>
      <c r="C1097" s="695"/>
      <c r="D1097" s="695"/>
      <c r="E1097" s="695"/>
      <c r="F1097" s="686"/>
      <c r="G1097" s="695"/>
      <c r="H1097" s="695"/>
      <c r="I1097" s="695"/>
      <c r="J1097" s="731"/>
      <c r="K1097" s="695"/>
      <c r="L1097" s="686"/>
      <c r="M1097" s="686"/>
      <c r="N1097" s="686"/>
      <c r="O1097" s="686"/>
      <c r="P1097" s="686"/>
      <c r="Q1097" s="666"/>
      <c r="R1097" s="686"/>
      <c r="S1097" s="686"/>
      <c r="T1097" s="688"/>
      <c r="U1097" s="688"/>
      <c r="V1097" s="686"/>
      <c r="W1097" s="686"/>
      <c r="X1097" s="686"/>
      <c r="Y1097" s="686"/>
      <c r="Z1097" s="686"/>
      <c r="AA1097" s="669"/>
      <c r="AB1097" s="695"/>
      <c r="AC1097" s="669"/>
    </row>
    <row r="1098" ht="18.0" customHeight="1">
      <c r="A1098" s="695"/>
      <c r="B1098" s="695"/>
      <c r="C1098" s="695"/>
      <c r="D1098" s="695"/>
      <c r="E1098" s="695"/>
      <c r="F1098" s="686"/>
      <c r="G1098" s="695"/>
      <c r="H1098" s="695"/>
      <c r="I1098" s="695"/>
      <c r="J1098" s="731"/>
      <c r="K1098" s="695"/>
      <c r="L1098" s="686"/>
      <c r="M1098" s="686"/>
      <c r="N1098" s="686"/>
      <c r="O1098" s="686"/>
      <c r="P1098" s="686"/>
      <c r="Q1098" s="666"/>
      <c r="R1098" s="686"/>
      <c r="S1098" s="686"/>
      <c r="T1098" s="688"/>
      <c r="U1098" s="688"/>
      <c r="V1098" s="686"/>
      <c r="W1098" s="686"/>
      <c r="X1098" s="686"/>
      <c r="Y1098" s="686"/>
      <c r="Z1098" s="686"/>
      <c r="AA1098" s="669"/>
      <c r="AB1098" s="695"/>
      <c r="AC1098" s="669"/>
    </row>
    <row r="1099" ht="18.0" customHeight="1">
      <c r="A1099" s="695"/>
      <c r="B1099" s="695"/>
      <c r="C1099" s="695"/>
      <c r="D1099" s="695"/>
      <c r="E1099" s="695"/>
      <c r="F1099" s="686"/>
      <c r="G1099" s="695"/>
      <c r="H1099" s="695"/>
      <c r="I1099" s="695"/>
      <c r="J1099" s="731"/>
      <c r="K1099" s="695"/>
      <c r="L1099" s="686"/>
      <c r="M1099" s="686"/>
      <c r="N1099" s="686"/>
      <c r="O1099" s="686"/>
      <c r="P1099" s="686"/>
      <c r="Q1099" s="666"/>
      <c r="R1099" s="686"/>
      <c r="S1099" s="686"/>
      <c r="T1099" s="688"/>
      <c r="U1099" s="688"/>
      <c r="V1099" s="686"/>
      <c r="W1099" s="686"/>
      <c r="X1099" s="686"/>
      <c r="Y1099" s="686"/>
      <c r="Z1099" s="686"/>
      <c r="AA1099" s="669"/>
      <c r="AB1099" s="695"/>
      <c r="AC1099" s="669"/>
    </row>
    <row r="1100" ht="18.0" customHeight="1">
      <c r="A1100" s="695"/>
      <c r="B1100" s="695"/>
      <c r="C1100" s="695"/>
      <c r="D1100" s="695"/>
      <c r="E1100" s="695"/>
      <c r="F1100" s="686"/>
      <c r="G1100" s="695"/>
      <c r="H1100" s="695"/>
      <c r="I1100" s="695"/>
      <c r="J1100" s="731"/>
      <c r="K1100" s="695"/>
      <c r="L1100" s="686"/>
      <c r="M1100" s="686"/>
      <c r="N1100" s="686"/>
      <c r="O1100" s="686"/>
      <c r="P1100" s="686"/>
      <c r="Q1100" s="666"/>
      <c r="R1100" s="686"/>
      <c r="S1100" s="686"/>
      <c r="T1100" s="688"/>
      <c r="U1100" s="688"/>
      <c r="V1100" s="686"/>
      <c r="W1100" s="686"/>
      <c r="X1100" s="686"/>
      <c r="Y1100" s="686"/>
      <c r="Z1100" s="686"/>
      <c r="AA1100" s="669"/>
      <c r="AB1100" s="695"/>
      <c r="AC1100" s="669"/>
    </row>
    <row r="1101" ht="18.0" customHeight="1">
      <c r="A1101" s="695"/>
      <c r="B1101" s="695"/>
      <c r="C1101" s="695"/>
      <c r="D1101" s="695"/>
      <c r="E1101" s="695"/>
      <c r="F1101" s="686"/>
      <c r="G1101" s="695"/>
      <c r="H1101" s="695"/>
      <c r="I1101" s="695"/>
      <c r="J1101" s="731"/>
      <c r="K1101" s="695"/>
      <c r="L1101" s="686"/>
      <c r="M1101" s="686"/>
      <c r="N1101" s="686"/>
      <c r="O1101" s="686"/>
      <c r="P1101" s="686"/>
      <c r="Q1101" s="666"/>
      <c r="R1101" s="686"/>
      <c r="S1101" s="686"/>
      <c r="T1101" s="688"/>
      <c r="U1101" s="688"/>
      <c r="V1101" s="686"/>
      <c r="W1101" s="686"/>
      <c r="X1101" s="686"/>
      <c r="Y1101" s="686"/>
      <c r="Z1101" s="686"/>
      <c r="AA1101" s="669"/>
      <c r="AB1101" s="695"/>
      <c r="AC1101" s="669"/>
    </row>
    <row r="1102" ht="18.0" customHeight="1">
      <c r="A1102" s="695"/>
      <c r="B1102" s="695"/>
      <c r="C1102" s="695"/>
      <c r="D1102" s="695"/>
      <c r="E1102" s="695"/>
      <c r="F1102" s="686"/>
      <c r="G1102" s="695"/>
      <c r="H1102" s="695"/>
      <c r="I1102" s="695"/>
      <c r="J1102" s="731"/>
      <c r="K1102" s="695"/>
      <c r="L1102" s="686"/>
      <c r="M1102" s="686"/>
      <c r="N1102" s="686"/>
      <c r="O1102" s="686"/>
      <c r="P1102" s="686"/>
      <c r="Q1102" s="666"/>
      <c r="R1102" s="686"/>
      <c r="S1102" s="686"/>
      <c r="T1102" s="688"/>
      <c r="U1102" s="688"/>
      <c r="V1102" s="686"/>
      <c r="W1102" s="686"/>
      <c r="X1102" s="686"/>
      <c r="Y1102" s="686"/>
      <c r="Z1102" s="686"/>
      <c r="AA1102" s="669"/>
      <c r="AB1102" s="695"/>
      <c r="AC1102" s="669"/>
    </row>
    <row r="1103" ht="18.0" customHeight="1">
      <c r="A1103" s="695"/>
      <c r="B1103" s="695"/>
      <c r="C1103" s="695"/>
      <c r="D1103" s="695"/>
      <c r="E1103" s="695"/>
      <c r="F1103" s="686"/>
      <c r="G1103" s="695"/>
      <c r="H1103" s="695"/>
      <c r="I1103" s="695"/>
      <c r="J1103" s="731"/>
      <c r="K1103" s="695"/>
      <c r="L1103" s="686"/>
      <c r="M1103" s="686"/>
      <c r="N1103" s="686"/>
      <c r="O1103" s="686"/>
      <c r="P1103" s="686"/>
      <c r="Q1103" s="666"/>
      <c r="R1103" s="686"/>
      <c r="S1103" s="686"/>
      <c r="T1103" s="688"/>
      <c r="U1103" s="688"/>
      <c r="V1103" s="686"/>
      <c r="W1103" s="686"/>
      <c r="X1103" s="686"/>
      <c r="Y1103" s="686"/>
      <c r="Z1103" s="686"/>
      <c r="AA1103" s="669"/>
      <c r="AB1103" s="695"/>
      <c r="AC1103" s="669"/>
    </row>
    <row r="1104" ht="18.0" customHeight="1">
      <c r="A1104" s="695"/>
      <c r="B1104" s="695"/>
      <c r="C1104" s="695"/>
      <c r="D1104" s="695"/>
      <c r="E1104" s="695"/>
      <c r="F1104" s="686"/>
      <c r="G1104" s="695"/>
      <c r="H1104" s="695"/>
      <c r="I1104" s="695"/>
      <c r="J1104" s="731"/>
      <c r="K1104" s="695"/>
      <c r="L1104" s="686"/>
      <c r="M1104" s="686"/>
      <c r="N1104" s="686"/>
      <c r="O1104" s="686"/>
      <c r="P1104" s="686"/>
      <c r="Q1104" s="666"/>
      <c r="R1104" s="686"/>
      <c r="S1104" s="686"/>
      <c r="T1104" s="688"/>
      <c r="U1104" s="688"/>
      <c r="V1104" s="686"/>
      <c r="W1104" s="686"/>
      <c r="X1104" s="686"/>
      <c r="Y1104" s="686"/>
      <c r="Z1104" s="686"/>
      <c r="AA1104" s="669"/>
      <c r="AB1104" s="695"/>
      <c r="AC1104" s="669"/>
    </row>
    <row r="1105" ht="18.0" customHeight="1">
      <c r="A1105" s="695"/>
      <c r="B1105" s="695"/>
      <c r="C1105" s="695"/>
      <c r="D1105" s="695"/>
      <c r="E1105" s="695"/>
      <c r="F1105" s="686"/>
      <c r="G1105" s="695"/>
      <c r="H1105" s="695"/>
      <c r="I1105" s="695"/>
      <c r="J1105" s="731"/>
      <c r="K1105" s="695"/>
      <c r="L1105" s="686"/>
      <c r="M1105" s="686"/>
      <c r="N1105" s="686"/>
      <c r="O1105" s="686"/>
      <c r="P1105" s="686"/>
      <c r="Q1105" s="666"/>
      <c r="R1105" s="686"/>
      <c r="S1105" s="686"/>
      <c r="T1105" s="688"/>
      <c r="U1105" s="688"/>
      <c r="V1105" s="686"/>
      <c r="W1105" s="686"/>
      <c r="X1105" s="686"/>
      <c r="Y1105" s="686"/>
      <c r="Z1105" s="686"/>
      <c r="AA1105" s="669"/>
      <c r="AB1105" s="695"/>
      <c r="AC1105" s="669"/>
    </row>
    <row r="1106" ht="18.0" customHeight="1">
      <c r="A1106" s="695"/>
      <c r="B1106" s="695"/>
      <c r="C1106" s="695"/>
      <c r="D1106" s="695"/>
      <c r="E1106" s="695"/>
      <c r="F1106" s="686"/>
      <c r="G1106" s="695"/>
      <c r="H1106" s="695"/>
      <c r="I1106" s="695"/>
      <c r="J1106" s="731"/>
      <c r="K1106" s="695"/>
      <c r="L1106" s="686"/>
      <c r="M1106" s="686"/>
      <c r="N1106" s="686"/>
      <c r="O1106" s="686"/>
      <c r="P1106" s="686"/>
      <c r="Q1106" s="666"/>
      <c r="R1106" s="686"/>
      <c r="S1106" s="686"/>
      <c r="T1106" s="688"/>
      <c r="U1106" s="688"/>
      <c r="V1106" s="686"/>
      <c r="W1106" s="686"/>
      <c r="X1106" s="686"/>
      <c r="Y1106" s="686"/>
      <c r="Z1106" s="686"/>
      <c r="AA1106" s="669"/>
      <c r="AB1106" s="695"/>
      <c r="AC1106" s="669"/>
    </row>
    <row r="1107" ht="18.0" customHeight="1">
      <c r="A1107" s="695"/>
      <c r="B1107" s="695"/>
      <c r="C1107" s="695"/>
      <c r="D1107" s="695"/>
      <c r="E1107" s="695"/>
      <c r="F1107" s="686"/>
      <c r="G1107" s="695"/>
      <c r="H1107" s="695"/>
      <c r="I1107" s="695"/>
      <c r="J1107" s="731"/>
      <c r="K1107" s="695"/>
      <c r="L1107" s="686"/>
      <c r="M1107" s="686"/>
      <c r="N1107" s="686"/>
      <c r="O1107" s="686"/>
      <c r="P1107" s="686"/>
      <c r="Q1107" s="666"/>
      <c r="R1107" s="686"/>
      <c r="S1107" s="686"/>
      <c r="T1107" s="688"/>
      <c r="U1107" s="688"/>
      <c r="V1107" s="686"/>
      <c r="W1107" s="686"/>
      <c r="X1107" s="686"/>
      <c r="Y1107" s="686"/>
      <c r="Z1107" s="686"/>
      <c r="AA1107" s="669"/>
      <c r="AB1107" s="695"/>
      <c r="AC1107" s="669"/>
    </row>
    <row r="1108" ht="18.0" customHeight="1">
      <c r="A1108" s="695"/>
      <c r="B1108" s="695"/>
      <c r="C1108" s="695"/>
      <c r="D1108" s="695"/>
      <c r="E1108" s="695"/>
      <c r="F1108" s="686"/>
      <c r="G1108" s="695"/>
      <c r="H1108" s="695"/>
      <c r="I1108" s="695"/>
      <c r="J1108" s="731"/>
      <c r="K1108" s="695"/>
      <c r="L1108" s="686"/>
      <c r="M1108" s="686"/>
      <c r="N1108" s="686"/>
      <c r="O1108" s="686"/>
      <c r="P1108" s="686"/>
      <c r="Q1108" s="666"/>
      <c r="R1108" s="686"/>
      <c r="S1108" s="686"/>
      <c r="T1108" s="688"/>
      <c r="U1108" s="688"/>
      <c r="V1108" s="686"/>
      <c r="W1108" s="686"/>
      <c r="X1108" s="686"/>
      <c r="Y1108" s="686"/>
      <c r="Z1108" s="686"/>
      <c r="AA1108" s="669"/>
      <c r="AB1108" s="695"/>
      <c r="AC1108" s="669"/>
    </row>
    <row r="1109" ht="18.0" customHeight="1">
      <c r="A1109" s="695"/>
      <c r="B1109" s="695"/>
      <c r="C1109" s="695"/>
      <c r="D1109" s="695"/>
      <c r="E1109" s="695"/>
      <c r="F1109" s="686"/>
      <c r="G1109" s="695"/>
      <c r="H1109" s="695"/>
      <c r="I1109" s="695"/>
      <c r="J1109" s="731"/>
      <c r="K1109" s="695"/>
      <c r="L1109" s="686"/>
      <c r="M1109" s="686"/>
      <c r="N1109" s="686"/>
      <c r="O1109" s="686"/>
      <c r="P1109" s="686"/>
      <c r="Q1109" s="666"/>
      <c r="R1109" s="686"/>
      <c r="S1109" s="686"/>
      <c r="T1109" s="688"/>
      <c r="U1109" s="688"/>
      <c r="V1109" s="686"/>
      <c r="W1109" s="686"/>
      <c r="X1109" s="686"/>
      <c r="Y1109" s="686"/>
      <c r="Z1109" s="686"/>
      <c r="AA1109" s="669"/>
      <c r="AB1109" s="695"/>
      <c r="AC1109" s="669"/>
    </row>
    <row r="1110" ht="18.0" customHeight="1">
      <c r="A1110" s="695"/>
      <c r="B1110" s="695"/>
      <c r="C1110" s="695"/>
      <c r="D1110" s="695"/>
      <c r="E1110" s="695"/>
      <c r="F1110" s="686"/>
      <c r="G1110" s="695"/>
      <c r="H1110" s="695"/>
      <c r="I1110" s="695"/>
      <c r="J1110" s="731"/>
      <c r="K1110" s="695"/>
      <c r="L1110" s="686"/>
      <c r="M1110" s="686"/>
      <c r="N1110" s="686"/>
      <c r="O1110" s="686"/>
      <c r="P1110" s="686"/>
      <c r="Q1110" s="666"/>
      <c r="R1110" s="686"/>
      <c r="S1110" s="686"/>
      <c r="T1110" s="688"/>
      <c r="U1110" s="688"/>
      <c r="V1110" s="686"/>
      <c r="W1110" s="686"/>
      <c r="X1110" s="686"/>
      <c r="Y1110" s="686"/>
      <c r="Z1110" s="686"/>
      <c r="AA1110" s="669"/>
      <c r="AB1110" s="695"/>
      <c r="AC1110" s="669"/>
    </row>
    <row r="1111" ht="18.0" customHeight="1">
      <c r="A1111" s="695"/>
      <c r="B1111" s="695"/>
      <c r="C1111" s="695"/>
      <c r="D1111" s="695"/>
      <c r="E1111" s="695"/>
      <c r="F1111" s="686"/>
      <c r="G1111" s="695"/>
      <c r="H1111" s="695"/>
      <c r="I1111" s="695"/>
      <c r="J1111" s="731"/>
      <c r="K1111" s="695"/>
      <c r="L1111" s="686"/>
      <c r="M1111" s="686"/>
      <c r="N1111" s="686"/>
      <c r="O1111" s="686"/>
      <c r="P1111" s="686"/>
      <c r="Q1111" s="666"/>
      <c r="R1111" s="686"/>
      <c r="S1111" s="686"/>
      <c r="T1111" s="688"/>
      <c r="U1111" s="688"/>
      <c r="V1111" s="686"/>
      <c r="W1111" s="686"/>
      <c r="X1111" s="686"/>
      <c r="Y1111" s="686"/>
      <c r="Z1111" s="686"/>
      <c r="AA1111" s="669"/>
      <c r="AB1111" s="695"/>
      <c r="AC1111" s="669"/>
    </row>
    <row r="1112" ht="18.0" customHeight="1">
      <c r="A1112" s="695"/>
      <c r="B1112" s="695"/>
      <c r="C1112" s="695"/>
      <c r="D1112" s="695"/>
      <c r="E1112" s="695"/>
      <c r="F1112" s="686"/>
      <c r="G1112" s="695"/>
      <c r="H1112" s="695"/>
      <c r="I1112" s="695"/>
      <c r="J1112" s="731"/>
      <c r="K1112" s="695"/>
      <c r="L1112" s="686"/>
      <c r="M1112" s="686"/>
      <c r="N1112" s="686"/>
      <c r="O1112" s="686"/>
      <c r="P1112" s="686"/>
      <c r="Q1112" s="666"/>
      <c r="R1112" s="686"/>
      <c r="S1112" s="686"/>
      <c r="T1112" s="688"/>
      <c r="U1112" s="688"/>
      <c r="V1112" s="686"/>
      <c r="W1112" s="686"/>
      <c r="X1112" s="686"/>
      <c r="Y1112" s="686"/>
      <c r="Z1112" s="686"/>
      <c r="AA1112" s="669"/>
      <c r="AB1112" s="695"/>
      <c r="AC1112" s="669"/>
    </row>
    <row r="1113" ht="18.0" customHeight="1">
      <c r="A1113" s="695"/>
      <c r="B1113" s="695"/>
      <c r="C1113" s="695"/>
      <c r="D1113" s="695"/>
      <c r="E1113" s="695"/>
      <c r="F1113" s="686"/>
      <c r="G1113" s="695"/>
      <c r="H1113" s="695"/>
      <c r="I1113" s="695"/>
      <c r="J1113" s="731"/>
      <c r="K1113" s="695"/>
      <c r="L1113" s="686"/>
      <c r="M1113" s="686"/>
      <c r="N1113" s="686"/>
      <c r="O1113" s="686"/>
      <c r="P1113" s="686"/>
      <c r="Q1113" s="666"/>
      <c r="R1113" s="686"/>
      <c r="S1113" s="686"/>
      <c r="T1113" s="688"/>
      <c r="U1113" s="688"/>
      <c r="V1113" s="686"/>
      <c r="W1113" s="686"/>
      <c r="X1113" s="686"/>
      <c r="Y1113" s="686"/>
      <c r="Z1113" s="686"/>
      <c r="AA1113" s="669"/>
      <c r="AB1113" s="695"/>
      <c r="AC1113" s="669"/>
    </row>
    <row r="1114" ht="18.0" customHeight="1">
      <c r="A1114" s="695"/>
      <c r="B1114" s="695"/>
      <c r="C1114" s="695"/>
      <c r="D1114" s="695"/>
      <c r="E1114" s="695"/>
      <c r="F1114" s="686"/>
      <c r="G1114" s="695"/>
      <c r="H1114" s="695"/>
      <c r="I1114" s="695"/>
      <c r="J1114" s="731"/>
      <c r="K1114" s="695"/>
      <c r="L1114" s="686"/>
      <c r="M1114" s="686"/>
      <c r="N1114" s="686"/>
      <c r="O1114" s="686"/>
      <c r="P1114" s="686"/>
      <c r="Q1114" s="666"/>
      <c r="R1114" s="686"/>
      <c r="S1114" s="686"/>
      <c r="T1114" s="688"/>
      <c r="U1114" s="688"/>
      <c r="V1114" s="686"/>
      <c r="W1114" s="686"/>
      <c r="X1114" s="686"/>
      <c r="Y1114" s="686"/>
      <c r="Z1114" s="686"/>
      <c r="AA1114" s="669"/>
      <c r="AB1114" s="695"/>
      <c r="AC1114" s="669"/>
    </row>
    <row r="1115" ht="18.0" customHeight="1">
      <c r="A1115" s="695"/>
      <c r="B1115" s="695"/>
      <c r="C1115" s="695"/>
      <c r="D1115" s="695"/>
      <c r="E1115" s="695"/>
      <c r="F1115" s="686"/>
      <c r="G1115" s="695"/>
      <c r="H1115" s="695"/>
      <c r="I1115" s="695"/>
      <c r="J1115" s="731"/>
      <c r="K1115" s="695"/>
      <c r="L1115" s="686"/>
      <c r="M1115" s="686"/>
      <c r="N1115" s="686"/>
      <c r="O1115" s="686"/>
      <c r="P1115" s="686"/>
      <c r="Q1115" s="666"/>
      <c r="R1115" s="686"/>
      <c r="S1115" s="686"/>
      <c r="T1115" s="688"/>
      <c r="U1115" s="688"/>
      <c r="V1115" s="686"/>
      <c r="W1115" s="686"/>
      <c r="X1115" s="686"/>
      <c r="Y1115" s="686"/>
      <c r="Z1115" s="686"/>
      <c r="AA1115" s="669"/>
      <c r="AB1115" s="695"/>
      <c r="AC1115" s="669"/>
    </row>
    <row r="1116" ht="18.0" customHeight="1">
      <c r="A1116" s="695"/>
      <c r="B1116" s="695"/>
      <c r="C1116" s="695"/>
      <c r="D1116" s="695"/>
      <c r="E1116" s="695"/>
      <c r="F1116" s="686"/>
      <c r="G1116" s="695"/>
      <c r="H1116" s="695"/>
      <c r="I1116" s="695"/>
      <c r="J1116" s="731"/>
      <c r="K1116" s="695"/>
      <c r="L1116" s="686"/>
      <c r="M1116" s="686"/>
      <c r="N1116" s="686"/>
      <c r="O1116" s="686"/>
      <c r="P1116" s="686"/>
      <c r="Q1116" s="666"/>
      <c r="R1116" s="686"/>
      <c r="S1116" s="686"/>
      <c r="T1116" s="688"/>
      <c r="U1116" s="688"/>
      <c r="V1116" s="686"/>
      <c r="W1116" s="686"/>
      <c r="X1116" s="686"/>
      <c r="Y1116" s="686"/>
      <c r="Z1116" s="686"/>
      <c r="AA1116" s="669"/>
      <c r="AB1116" s="695"/>
      <c r="AC1116" s="669"/>
    </row>
    <row r="1117" ht="18.0" customHeight="1">
      <c r="A1117" s="695"/>
      <c r="B1117" s="695"/>
      <c r="C1117" s="695"/>
      <c r="D1117" s="695"/>
      <c r="E1117" s="695"/>
      <c r="F1117" s="686"/>
      <c r="G1117" s="695"/>
      <c r="H1117" s="695"/>
      <c r="I1117" s="695"/>
      <c r="J1117" s="731"/>
      <c r="K1117" s="695"/>
      <c r="L1117" s="686"/>
      <c r="M1117" s="686"/>
      <c r="N1117" s="686"/>
      <c r="O1117" s="686"/>
      <c r="P1117" s="686"/>
      <c r="Q1117" s="666"/>
      <c r="R1117" s="686"/>
      <c r="S1117" s="686"/>
      <c r="T1117" s="688"/>
      <c r="U1117" s="688"/>
      <c r="V1117" s="686"/>
      <c r="W1117" s="686"/>
      <c r="X1117" s="686"/>
      <c r="Y1117" s="686"/>
      <c r="Z1117" s="686"/>
      <c r="AA1117" s="669"/>
      <c r="AB1117" s="695"/>
      <c r="AC1117" s="669"/>
    </row>
    <row r="1118" ht="18.0" customHeight="1">
      <c r="A1118" s="695"/>
      <c r="B1118" s="695"/>
      <c r="C1118" s="695"/>
      <c r="D1118" s="695"/>
      <c r="E1118" s="695"/>
      <c r="F1118" s="686"/>
      <c r="G1118" s="695"/>
      <c r="H1118" s="695"/>
      <c r="I1118" s="695"/>
      <c r="J1118" s="731"/>
      <c r="K1118" s="695"/>
      <c r="L1118" s="686"/>
      <c r="M1118" s="686"/>
      <c r="N1118" s="686"/>
      <c r="O1118" s="686"/>
      <c r="P1118" s="686"/>
      <c r="Q1118" s="666"/>
      <c r="R1118" s="686"/>
      <c r="S1118" s="686"/>
      <c r="T1118" s="688"/>
      <c r="U1118" s="688"/>
      <c r="V1118" s="686"/>
      <c r="W1118" s="686"/>
      <c r="X1118" s="686"/>
      <c r="Y1118" s="686"/>
      <c r="Z1118" s="686"/>
      <c r="AA1118" s="669"/>
      <c r="AB1118" s="695"/>
      <c r="AC1118" s="669"/>
    </row>
    <row r="1119" ht="18.0" customHeight="1">
      <c r="A1119" s="695"/>
      <c r="B1119" s="695"/>
      <c r="C1119" s="695"/>
      <c r="D1119" s="695"/>
      <c r="E1119" s="695"/>
      <c r="F1119" s="686"/>
      <c r="G1119" s="695"/>
      <c r="H1119" s="695"/>
      <c r="I1119" s="695"/>
      <c r="J1119" s="731"/>
      <c r="K1119" s="695"/>
      <c r="L1119" s="686"/>
      <c r="M1119" s="686"/>
      <c r="N1119" s="686"/>
      <c r="O1119" s="686"/>
      <c r="P1119" s="686"/>
      <c r="Q1119" s="666"/>
      <c r="R1119" s="686"/>
      <c r="S1119" s="686"/>
      <c r="T1119" s="688"/>
      <c r="U1119" s="688"/>
      <c r="V1119" s="686"/>
      <c r="W1119" s="686"/>
      <c r="X1119" s="686"/>
      <c r="Y1119" s="686"/>
      <c r="Z1119" s="686"/>
      <c r="AA1119" s="669"/>
      <c r="AB1119" s="695"/>
      <c r="AC1119" s="669"/>
    </row>
    <row r="1120" ht="18.0" customHeight="1">
      <c r="A1120" s="695"/>
      <c r="B1120" s="695"/>
      <c r="C1120" s="695"/>
      <c r="D1120" s="695"/>
      <c r="E1120" s="695"/>
      <c r="F1120" s="686"/>
      <c r="G1120" s="695"/>
      <c r="H1120" s="695"/>
      <c r="I1120" s="695"/>
      <c r="J1120" s="731"/>
      <c r="K1120" s="695"/>
      <c r="L1120" s="686"/>
      <c r="M1120" s="686"/>
      <c r="N1120" s="686"/>
      <c r="O1120" s="686"/>
      <c r="P1120" s="686"/>
      <c r="Q1120" s="666"/>
      <c r="R1120" s="686"/>
      <c r="S1120" s="686"/>
      <c r="T1120" s="688"/>
      <c r="U1120" s="688"/>
      <c r="V1120" s="686"/>
      <c r="W1120" s="686"/>
      <c r="X1120" s="686"/>
      <c r="Y1120" s="686"/>
      <c r="Z1120" s="686"/>
      <c r="AA1120" s="669"/>
      <c r="AB1120" s="695"/>
      <c r="AC1120" s="669"/>
    </row>
    <row r="1121" ht="18.0" customHeight="1">
      <c r="A1121" s="695"/>
      <c r="B1121" s="695"/>
      <c r="C1121" s="695"/>
      <c r="D1121" s="695"/>
      <c r="E1121" s="695"/>
      <c r="F1121" s="686"/>
      <c r="G1121" s="695"/>
      <c r="H1121" s="695"/>
      <c r="I1121" s="695"/>
      <c r="J1121" s="731"/>
      <c r="K1121" s="695"/>
      <c r="L1121" s="686"/>
      <c r="M1121" s="686"/>
      <c r="N1121" s="686"/>
      <c r="O1121" s="686"/>
      <c r="P1121" s="686"/>
      <c r="Q1121" s="666"/>
      <c r="R1121" s="686"/>
      <c r="S1121" s="686"/>
      <c r="T1121" s="688"/>
      <c r="U1121" s="688"/>
      <c r="V1121" s="686"/>
      <c r="W1121" s="686"/>
      <c r="X1121" s="686"/>
      <c r="Y1121" s="686"/>
      <c r="Z1121" s="686"/>
      <c r="AA1121" s="669"/>
      <c r="AB1121" s="695"/>
      <c r="AC1121" s="669"/>
    </row>
    <row r="1122" ht="18.0" customHeight="1">
      <c r="A1122" s="695"/>
      <c r="B1122" s="695"/>
      <c r="C1122" s="695"/>
      <c r="D1122" s="695"/>
      <c r="E1122" s="695"/>
      <c r="F1122" s="686"/>
      <c r="G1122" s="695"/>
      <c r="H1122" s="695"/>
      <c r="I1122" s="695"/>
      <c r="J1122" s="731"/>
      <c r="K1122" s="695"/>
      <c r="L1122" s="686"/>
      <c r="M1122" s="686"/>
      <c r="N1122" s="686"/>
      <c r="O1122" s="686"/>
      <c r="P1122" s="686"/>
      <c r="Q1122" s="666"/>
      <c r="R1122" s="686"/>
      <c r="S1122" s="686"/>
      <c r="T1122" s="688"/>
      <c r="U1122" s="688"/>
      <c r="V1122" s="686"/>
      <c r="W1122" s="686"/>
      <c r="X1122" s="686"/>
      <c r="Y1122" s="686"/>
      <c r="Z1122" s="686"/>
      <c r="AA1122" s="669"/>
      <c r="AB1122" s="695"/>
      <c r="AC1122" s="669"/>
    </row>
    <row r="1123" ht="18.0" customHeight="1">
      <c r="A1123" s="695"/>
      <c r="B1123" s="695"/>
      <c r="C1123" s="695"/>
      <c r="D1123" s="695"/>
      <c r="E1123" s="695"/>
      <c r="F1123" s="686"/>
      <c r="G1123" s="695"/>
      <c r="H1123" s="695"/>
      <c r="I1123" s="695"/>
      <c r="J1123" s="731"/>
      <c r="K1123" s="695"/>
      <c r="L1123" s="686"/>
      <c r="M1123" s="686"/>
      <c r="N1123" s="686"/>
      <c r="O1123" s="686"/>
      <c r="P1123" s="686"/>
      <c r="Q1123" s="666"/>
      <c r="R1123" s="686"/>
      <c r="S1123" s="686"/>
      <c r="T1123" s="688"/>
      <c r="U1123" s="688"/>
      <c r="V1123" s="686"/>
      <c r="W1123" s="686"/>
      <c r="X1123" s="686"/>
      <c r="Y1123" s="686"/>
      <c r="Z1123" s="686"/>
      <c r="AA1123" s="669"/>
      <c r="AB1123" s="695"/>
      <c r="AC1123" s="669"/>
    </row>
    <row r="1124" ht="18.0" customHeight="1">
      <c r="A1124" s="695"/>
      <c r="B1124" s="695"/>
      <c r="C1124" s="695"/>
      <c r="D1124" s="695"/>
      <c r="E1124" s="695"/>
      <c r="F1124" s="686"/>
      <c r="G1124" s="695"/>
      <c r="H1124" s="695"/>
      <c r="I1124" s="695"/>
      <c r="J1124" s="731"/>
      <c r="K1124" s="695"/>
      <c r="L1124" s="686"/>
      <c r="M1124" s="686"/>
      <c r="N1124" s="686"/>
      <c r="O1124" s="686"/>
      <c r="P1124" s="686"/>
      <c r="Q1124" s="666"/>
      <c r="R1124" s="686"/>
      <c r="S1124" s="686"/>
      <c r="T1124" s="688"/>
      <c r="U1124" s="688"/>
      <c r="V1124" s="686"/>
      <c r="W1124" s="686"/>
      <c r="X1124" s="686"/>
      <c r="Y1124" s="686"/>
      <c r="Z1124" s="686"/>
      <c r="AA1124" s="669"/>
      <c r="AB1124" s="695"/>
      <c r="AC1124" s="669"/>
    </row>
    <row r="1125" ht="18.0" customHeight="1">
      <c r="A1125" s="695"/>
      <c r="B1125" s="695"/>
      <c r="C1125" s="695"/>
      <c r="D1125" s="695"/>
      <c r="E1125" s="695"/>
      <c r="F1125" s="686"/>
      <c r="G1125" s="695"/>
      <c r="H1125" s="695"/>
      <c r="I1125" s="695"/>
      <c r="J1125" s="731"/>
      <c r="K1125" s="695"/>
      <c r="L1125" s="686"/>
      <c r="M1125" s="686"/>
      <c r="N1125" s="686"/>
      <c r="O1125" s="686"/>
      <c r="P1125" s="686"/>
      <c r="Q1125" s="666"/>
      <c r="R1125" s="686"/>
      <c r="S1125" s="686"/>
      <c r="T1125" s="688"/>
      <c r="U1125" s="688"/>
      <c r="V1125" s="686"/>
      <c r="W1125" s="686"/>
      <c r="X1125" s="686"/>
      <c r="Y1125" s="686"/>
      <c r="Z1125" s="686"/>
      <c r="AA1125" s="669"/>
      <c r="AB1125" s="695"/>
      <c r="AC1125" s="669"/>
    </row>
    <row r="1126" ht="18.0" customHeight="1">
      <c r="A1126" s="695"/>
      <c r="B1126" s="695"/>
      <c r="C1126" s="695"/>
      <c r="D1126" s="695"/>
      <c r="E1126" s="695"/>
      <c r="F1126" s="686"/>
      <c r="G1126" s="695"/>
      <c r="H1126" s="695"/>
      <c r="I1126" s="695"/>
      <c r="J1126" s="731"/>
      <c r="K1126" s="695"/>
      <c r="L1126" s="686"/>
      <c r="M1126" s="686"/>
      <c r="N1126" s="686"/>
      <c r="O1126" s="686"/>
      <c r="P1126" s="686"/>
      <c r="Q1126" s="666"/>
      <c r="R1126" s="686"/>
      <c r="S1126" s="686"/>
      <c r="T1126" s="688"/>
      <c r="U1126" s="688"/>
      <c r="V1126" s="686"/>
      <c r="W1126" s="686"/>
      <c r="X1126" s="686"/>
      <c r="Y1126" s="686"/>
      <c r="Z1126" s="686"/>
      <c r="AA1126" s="669"/>
      <c r="AB1126" s="695"/>
      <c r="AC1126" s="669"/>
    </row>
    <row r="1127" ht="18.0" customHeight="1">
      <c r="A1127" s="695"/>
      <c r="B1127" s="695"/>
      <c r="C1127" s="695"/>
      <c r="D1127" s="695"/>
      <c r="E1127" s="695"/>
      <c r="F1127" s="686"/>
      <c r="G1127" s="695"/>
      <c r="H1127" s="695"/>
      <c r="I1127" s="695"/>
      <c r="J1127" s="731"/>
      <c r="K1127" s="695"/>
      <c r="L1127" s="686"/>
      <c r="M1127" s="686"/>
      <c r="N1127" s="686"/>
      <c r="O1127" s="686"/>
      <c r="P1127" s="686"/>
      <c r="Q1127" s="666"/>
      <c r="R1127" s="686"/>
      <c r="S1127" s="686"/>
      <c r="T1127" s="688"/>
      <c r="U1127" s="688"/>
      <c r="V1127" s="686"/>
      <c r="W1127" s="686"/>
      <c r="X1127" s="686"/>
      <c r="Y1127" s="686"/>
      <c r="Z1127" s="686"/>
      <c r="AA1127" s="669"/>
      <c r="AB1127" s="695"/>
      <c r="AC1127" s="669"/>
    </row>
    <row r="1128" ht="18.0" customHeight="1">
      <c r="A1128" s="695"/>
      <c r="B1128" s="695"/>
      <c r="C1128" s="695"/>
      <c r="D1128" s="695"/>
      <c r="E1128" s="695"/>
      <c r="F1128" s="686"/>
      <c r="G1128" s="695"/>
      <c r="H1128" s="695"/>
      <c r="I1128" s="695"/>
      <c r="J1128" s="731"/>
      <c r="K1128" s="695"/>
      <c r="L1128" s="686"/>
      <c r="M1128" s="686"/>
      <c r="N1128" s="686"/>
      <c r="O1128" s="686"/>
      <c r="P1128" s="686"/>
      <c r="Q1128" s="666"/>
      <c r="R1128" s="686"/>
      <c r="S1128" s="686"/>
      <c r="T1128" s="688"/>
      <c r="U1128" s="688"/>
      <c r="V1128" s="686"/>
      <c r="W1128" s="686"/>
      <c r="X1128" s="686"/>
      <c r="Y1128" s="686"/>
      <c r="Z1128" s="686"/>
      <c r="AA1128" s="669"/>
      <c r="AB1128" s="695"/>
      <c r="AC1128" s="669"/>
    </row>
    <row r="1129" ht="18.0" customHeight="1">
      <c r="A1129" s="695"/>
      <c r="B1129" s="695"/>
      <c r="C1129" s="695"/>
      <c r="D1129" s="695"/>
      <c r="E1129" s="695"/>
      <c r="F1129" s="686"/>
      <c r="G1129" s="695"/>
      <c r="H1129" s="695"/>
      <c r="I1129" s="695"/>
      <c r="J1129" s="731"/>
      <c r="K1129" s="695"/>
      <c r="L1129" s="686"/>
      <c r="M1129" s="686"/>
      <c r="N1129" s="686"/>
      <c r="O1129" s="686"/>
      <c r="P1129" s="686"/>
      <c r="Q1129" s="666"/>
      <c r="R1129" s="686"/>
      <c r="S1129" s="686"/>
      <c r="T1129" s="688"/>
      <c r="U1129" s="688"/>
      <c r="V1129" s="686"/>
      <c r="W1129" s="686"/>
      <c r="X1129" s="686"/>
      <c r="Y1129" s="686"/>
      <c r="Z1129" s="686"/>
      <c r="AA1129" s="669"/>
      <c r="AB1129" s="695"/>
      <c r="AC1129" s="669"/>
    </row>
    <row r="1130" ht="18.0" customHeight="1">
      <c r="A1130" s="695"/>
      <c r="B1130" s="695"/>
      <c r="C1130" s="695"/>
      <c r="D1130" s="695"/>
      <c r="E1130" s="695"/>
      <c r="F1130" s="686"/>
      <c r="G1130" s="695"/>
      <c r="H1130" s="695"/>
      <c r="I1130" s="695"/>
      <c r="J1130" s="731"/>
      <c r="K1130" s="695"/>
      <c r="L1130" s="686"/>
      <c r="M1130" s="686"/>
      <c r="N1130" s="686"/>
      <c r="O1130" s="686"/>
      <c r="P1130" s="686"/>
      <c r="Q1130" s="666"/>
      <c r="R1130" s="686"/>
      <c r="S1130" s="686"/>
      <c r="T1130" s="688"/>
      <c r="U1130" s="688"/>
      <c r="V1130" s="686"/>
      <c r="W1130" s="686"/>
      <c r="X1130" s="686"/>
      <c r="Y1130" s="686"/>
      <c r="Z1130" s="686"/>
      <c r="AA1130" s="669"/>
      <c r="AB1130" s="695"/>
      <c r="AC1130" s="669"/>
    </row>
    <row r="1131" ht="18.0" customHeight="1">
      <c r="A1131" s="695"/>
      <c r="B1131" s="695"/>
      <c r="C1131" s="695"/>
      <c r="D1131" s="695"/>
      <c r="E1131" s="695"/>
      <c r="F1131" s="686"/>
      <c r="G1131" s="695"/>
      <c r="H1131" s="695"/>
      <c r="I1131" s="695"/>
      <c r="J1131" s="731"/>
      <c r="K1131" s="695"/>
      <c r="L1131" s="686"/>
      <c r="M1131" s="686"/>
      <c r="N1131" s="686"/>
      <c r="O1131" s="686"/>
      <c r="P1131" s="686"/>
      <c r="Q1131" s="666"/>
      <c r="R1131" s="686"/>
      <c r="S1131" s="686"/>
      <c r="T1131" s="688"/>
      <c r="U1131" s="688"/>
      <c r="V1131" s="686"/>
      <c r="W1131" s="686"/>
      <c r="X1131" s="686"/>
      <c r="Y1131" s="686"/>
      <c r="Z1131" s="686"/>
      <c r="AA1131" s="669"/>
      <c r="AB1131" s="695"/>
      <c r="AC1131" s="669"/>
    </row>
    <row r="1132" ht="18.0" customHeight="1">
      <c r="A1132" s="695"/>
      <c r="B1132" s="695"/>
      <c r="C1132" s="695"/>
      <c r="D1132" s="695"/>
      <c r="E1132" s="695"/>
      <c r="F1132" s="686"/>
      <c r="G1132" s="695"/>
      <c r="H1132" s="695"/>
      <c r="I1132" s="695"/>
      <c r="J1132" s="731"/>
      <c r="K1132" s="695"/>
      <c r="L1132" s="686"/>
      <c r="M1132" s="686"/>
      <c r="N1132" s="686"/>
      <c r="O1132" s="686"/>
      <c r="P1132" s="686"/>
      <c r="Q1132" s="666"/>
      <c r="R1132" s="686"/>
      <c r="S1132" s="686"/>
      <c r="T1132" s="688"/>
      <c r="U1132" s="688"/>
      <c r="V1132" s="686"/>
      <c r="W1132" s="686"/>
      <c r="X1132" s="686"/>
      <c r="Y1132" s="686"/>
      <c r="Z1132" s="686"/>
      <c r="AA1132" s="669"/>
      <c r="AB1132" s="695"/>
      <c r="AC1132" s="669"/>
    </row>
    <row r="1133" ht="18.0" customHeight="1">
      <c r="A1133" s="695"/>
      <c r="B1133" s="695"/>
      <c r="C1133" s="695"/>
      <c r="D1133" s="695"/>
      <c r="E1133" s="695"/>
      <c r="F1133" s="686"/>
      <c r="G1133" s="695"/>
      <c r="H1133" s="695"/>
      <c r="I1133" s="695"/>
      <c r="J1133" s="731"/>
      <c r="K1133" s="695"/>
      <c r="L1133" s="686"/>
      <c r="M1133" s="686"/>
      <c r="N1133" s="686"/>
      <c r="O1133" s="686"/>
      <c r="P1133" s="686"/>
      <c r="Q1133" s="666"/>
      <c r="R1133" s="686"/>
      <c r="S1133" s="686"/>
      <c r="T1133" s="688"/>
      <c r="U1133" s="688"/>
      <c r="V1133" s="686"/>
      <c r="W1133" s="686"/>
      <c r="X1133" s="686"/>
      <c r="Y1133" s="686"/>
      <c r="Z1133" s="686"/>
      <c r="AA1133" s="669"/>
      <c r="AB1133" s="695"/>
      <c r="AC1133" s="669"/>
    </row>
    <row r="1134" ht="18.0" customHeight="1">
      <c r="A1134" s="695"/>
      <c r="B1134" s="695"/>
      <c r="C1134" s="695"/>
      <c r="D1134" s="695"/>
      <c r="E1134" s="695"/>
      <c r="F1134" s="686"/>
      <c r="G1134" s="695"/>
      <c r="H1134" s="695"/>
      <c r="I1134" s="695"/>
      <c r="J1134" s="731"/>
      <c r="K1134" s="695"/>
      <c r="L1134" s="686"/>
      <c r="M1134" s="686"/>
      <c r="N1134" s="686"/>
      <c r="O1134" s="686"/>
      <c r="P1134" s="686"/>
      <c r="Q1134" s="666"/>
      <c r="R1134" s="686"/>
      <c r="S1134" s="686"/>
      <c r="T1134" s="688"/>
      <c r="U1134" s="688"/>
      <c r="V1134" s="686"/>
      <c r="W1134" s="686"/>
      <c r="X1134" s="686"/>
      <c r="Y1134" s="686"/>
      <c r="Z1134" s="686"/>
      <c r="AA1134" s="669"/>
      <c r="AB1134" s="695"/>
      <c r="AC1134" s="669"/>
    </row>
    <row r="1135" ht="18.0" customHeight="1">
      <c r="A1135" s="695"/>
      <c r="B1135" s="695"/>
      <c r="C1135" s="695"/>
      <c r="D1135" s="695"/>
      <c r="E1135" s="695"/>
      <c r="F1135" s="686"/>
      <c r="G1135" s="695"/>
      <c r="H1135" s="695"/>
      <c r="I1135" s="695"/>
      <c r="J1135" s="731"/>
      <c r="K1135" s="695"/>
      <c r="L1135" s="686"/>
      <c r="M1135" s="686"/>
      <c r="N1135" s="686"/>
      <c r="O1135" s="686"/>
      <c r="P1135" s="686"/>
      <c r="Q1135" s="666"/>
      <c r="R1135" s="686"/>
      <c r="S1135" s="686"/>
      <c r="T1135" s="688"/>
      <c r="U1135" s="688"/>
      <c r="V1135" s="686"/>
      <c r="W1135" s="686"/>
      <c r="X1135" s="686"/>
      <c r="Y1135" s="686"/>
      <c r="Z1135" s="686"/>
      <c r="AA1135" s="669"/>
      <c r="AB1135" s="695"/>
      <c r="AC1135" s="669"/>
    </row>
    <row r="1136" ht="18.0" customHeight="1">
      <c r="A1136" s="695"/>
      <c r="B1136" s="695"/>
      <c r="C1136" s="695"/>
      <c r="D1136" s="695"/>
      <c r="E1136" s="695"/>
      <c r="F1136" s="686"/>
      <c r="G1136" s="695"/>
      <c r="H1136" s="695"/>
      <c r="I1136" s="695"/>
      <c r="J1136" s="731"/>
      <c r="K1136" s="695"/>
      <c r="L1136" s="686"/>
      <c r="M1136" s="686"/>
      <c r="N1136" s="686"/>
      <c r="O1136" s="686"/>
      <c r="P1136" s="686"/>
      <c r="Q1136" s="666"/>
      <c r="R1136" s="686"/>
      <c r="S1136" s="686"/>
      <c r="T1136" s="688"/>
      <c r="U1136" s="688"/>
      <c r="V1136" s="686"/>
      <c r="W1136" s="686"/>
      <c r="X1136" s="686"/>
      <c r="Y1136" s="686"/>
      <c r="Z1136" s="686"/>
      <c r="AA1136" s="669"/>
      <c r="AB1136" s="695"/>
      <c r="AC1136" s="669"/>
    </row>
    <row r="1137" ht="18.0" customHeight="1">
      <c r="A1137" s="695"/>
      <c r="B1137" s="695"/>
      <c r="C1137" s="695"/>
      <c r="D1137" s="695"/>
      <c r="E1137" s="695"/>
      <c r="F1137" s="686"/>
      <c r="G1137" s="695"/>
      <c r="H1137" s="695"/>
      <c r="I1137" s="695"/>
      <c r="J1137" s="731"/>
      <c r="K1137" s="695"/>
      <c r="L1137" s="686"/>
      <c r="M1137" s="686"/>
      <c r="N1137" s="686"/>
      <c r="O1137" s="686"/>
      <c r="P1137" s="686"/>
      <c r="Q1137" s="666"/>
      <c r="R1137" s="686"/>
      <c r="S1137" s="686"/>
      <c r="T1137" s="688"/>
      <c r="U1137" s="688"/>
      <c r="V1137" s="686"/>
      <c r="W1137" s="686"/>
      <c r="X1137" s="686"/>
      <c r="Y1137" s="686"/>
      <c r="Z1137" s="686"/>
      <c r="AA1137" s="669"/>
      <c r="AB1137" s="695"/>
      <c r="AC1137" s="669"/>
    </row>
    <row r="1138" ht="18.0" customHeight="1">
      <c r="A1138" s="695"/>
      <c r="B1138" s="695"/>
      <c r="C1138" s="695"/>
      <c r="D1138" s="695"/>
      <c r="E1138" s="695"/>
      <c r="F1138" s="686"/>
      <c r="G1138" s="695"/>
      <c r="H1138" s="695"/>
      <c r="I1138" s="695"/>
      <c r="J1138" s="731"/>
      <c r="K1138" s="695"/>
      <c r="L1138" s="686"/>
      <c r="M1138" s="686"/>
      <c r="N1138" s="686"/>
      <c r="O1138" s="686"/>
      <c r="P1138" s="686"/>
      <c r="Q1138" s="666"/>
      <c r="R1138" s="686"/>
      <c r="S1138" s="686"/>
      <c r="T1138" s="688"/>
      <c r="U1138" s="688"/>
      <c r="V1138" s="686"/>
      <c r="W1138" s="686"/>
      <c r="X1138" s="686"/>
      <c r="Y1138" s="686"/>
      <c r="Z1138" s="686"/>
      <c r="AA1138" s="669"/>
      <c r="AB1138" s="695"/>
      <c r="AC1138" s="669"/>
    </row>
    <row r="1139" ht="18.0" customHeight="1">
      <c r="A1139" s="695"/>
      <c r="B1139" s="695"/>
      <c r="C1139" s="695"/>
      <c r="D1139" s="695"/>
      <c r="E1139" s="695"/>
      <c r="F1139" s="686"/>
      <c r="G1139" s="695"/>
      <c r="H1139" s="695"/>
      <c r="I1139" s="695"/>
      <c r="J1139" s="731"/>
      <c r="K1139" s="695"/>
      <c r="L1139" s="686"/>
      <c r="M1139" s="686"/>
      <c r="N1139" s="686"/>
      <c r="O1139" s="686"/>
      <c r="P1139" s="686"/>
      <c r="Q1139" s="666"/>
      <c r="R1139" s="686"/>
      <c r="S1139" s="686"/>
      <c r="T1139" s="688"/>
      <c r="U1139" s="688"/>
      <c r="V1139" s="686"/>
      <c r="W1139" s="686"/>
      <c r="X1139" s="686"/>
      <c r="Y1139" s="686"/>
      <c r="Z1139" s="686"/>
      <c r="AA1139" s="669"/>
      <c r="AB1139" s="695"/>
      <c r="AC1139" s="669"/>
    </row>
    <row r="1140" ht="18.0" customHeight="1">
      <c r="A1140" s="695"/>
      <c r="B1140" s="695"/>
      <c r="C1140" s="695"/>
      <c r="D1140" s="695"/>
      <c r="E1140" s="695"/>
      <c r="F1140" s="686"/>
      <c r="G1140" s="695"/>
      <c r="H1140" s="695"/>
      <c r="I1140" s="695"/>
      <c r="J1140" s="731"/>
      <c r="K1140" s="695"/>
      <c r="L1140" s="686"/>
      <c r="M1140" s="686"/>
      <c r="N1140" s="686"/>
      <c r="O1140" s="686"/>
      <c r="P1140" s="686"/>
      <c r="Q1140" s="666"/>
      <c r="R1140" s="686"/>
      <c r="S1140" s="686"/>
      <c r="T1140" s="688"/>
      <c r="U1140" s="688"/>
      <c r="V1140" s="686"/>
      <c r="W1140" s="686"/>
      <c r="X1140" s="686"/>
      <c r="Y1140" s="686"/>
      <c r="Z1140" s="686"/>
      <c r="AA1140" s="669"/>
      <c r="AB1140" s="695"/>
      <c r="AC1140" s="669"/>
    </row>
    <row r="1141" ht="18.0" customHeight="1">
      <c r="A1141" s="695"/>
      <c r="B1141" s="695"/>
      <c r="C1141" s="695"/>
      <c r="D1141" s="695"/>
      <c r="E1141" s="695"/>
      <c r="F1141" s="686"/>
      <c r="G1141" s="695"/>
      <c r="H1141" s="695"/>
      <c r="I1141" s="695"/>
      <c r="J1141" s="731"/>
      <c r="K1141" s="695"/>
      <c r="L1141" s="686"/>
      <c r="M1141" s="686"/>
      <c r="N1141" s="686"/>
      <c r="O1141" s="686"/>
      <c r="P1141" s="686"/>
      <c r="Q1141" s="666"/>
      <c r="R1141" s="686"/>
      <c r="S1141" s="686"/>
      <c r="T1141" s="688"/>
      <c r="U1141" s="688"/>
      <c r="V1141" s="686"/>
      <c r="W1141" s="686"/>
      <c r="X1141" s="686"/>
      <c r="Y1141" s="686"/>
      <c r="Z1141" s="686"/>
      <c r="AA1141" s="669"/>
      <c r="AB1141" s="695"/>
      <c r="AC1141" s="669"/>
    </row>
    <row r="1142" ht="18.0" customHeight="1">
      <c r="A1142" s="695"/>
      <c r="B1142" s="695"/>
      <c r="C1142" s="695"/>
      <c r="D1142" s="695"/>
      <c r="E1142" s="695"/>
      <c r="F1142" s="686"/>
      <c r="G1142" s="695"/>
      <c r="H1142" s="695"/>
      <c r="I1142" s="695"/>
      <c r="J1142" s="731"/>
      <c r="K1142" s="695"/>
      <c r="L1142" s="686"/>
      <c r="M1142" s="686"/>
      <c r="N1142" s="686"/>
      <c r="O1142" s="686"/>
      <c r="P1142" s="686"/>
      <c r="Q1142" s="666"/>
      <c r="R1142" s="686"/>
      <c r="S1142" s="686"/>
      <c r="T1142" s="688"/>
      <c r="U1142" s="688"/>
      <c r="V1142" s="686"/>
      <c r="W1142" s="686"/>
      <c r="X1142" s="686"/>
      <c r="Y1142" s="686"/>
      <c r="Z1142" s="686"/>
      <c r="AA1142" s="669"/>
      <c r="AB1142" s="695"/>
      <c r="AC1142" s="669"/>
    </row>
    <row r="1143" ht="18.0" customHeight="1">
      <c r="A1143" s="695"/>
      <c r="B1143" s="695"/>
      <c r="C1143" s="695"/>
      <c r="D1143" s="695"/>
      <c r="E1143" s="695"/>
      <c r="F1143" s="686"/>
      <c r="G1143" s="695"/>
      <c r="H1143" s="695"/>
      <c r="I1143" s="695"/>
      <c r="J1143" s="731"/>
      <c r="K1143" s="695"/>
      <c r="L1143" s="686"/>
      <c r="M1143" s="686"/>
      <c r="N1143" s="686"/>
      <c r="O1143" s="686"/>
      <c r="P1143" s="686"/>
      <c r="Q1143" s="666"/>
      <c r="R1143" s="686"/>
      <c r="S1143" s="686"/>
      <c r="T1143" s="688"/>
      <c r="U1143" s="688"/>
      <c r="V1143" s="686"/>
      <c r="W1143" s="686"/>
      <c r="X1143" s="686"/>
      <c r="Y1143" s="686"/>
      <c r="Z1143" s="686"/>
      <c r="AA1143" s="669"/>
      <c r="AB1143" s="695"/>
      <c r="AC1143" s="669"/>
    </row>
    <row r="1144" ht="18.0" customHeight="1">
      <c r="A1144" s="695"/>
      <c r="B1144" s="695"/>
      <c r="C1144" s="695"/>
      <c r="D1144" s="695"/>
      <c r="E1144" s="695"/>
      <c r="F1144" s="686"/>
      <c r="G1144" s="695"/>
      <c r="H1144" s="695"/>
      <c r="I1144" s="695"/>
      <c r="J1144" s="731"/>
      <c r="K1144" s="695"/>
      <c r="L1144" s="686"/>
      <c r="M1144" s="686"/>
      <c r="N1144" s="686"/>
      <c r="O1144" s="686"/>
      <c r="P1144" s="686"/>
      <c r="Q1144" s="666"/>
      <c r="R1144" s="686"/>
      <c r="S1144" s="686"/>
      <c r="T1144" s="688"/>
      <c r="U1144" s="688"/>
      <c r="V1144" s="686"/>
      <c r="W1144" s="686"/>
      <c r="X1144" s="686"/>
      <c r="Y1144" s="686"/>
      <c r="Z1144" s="686"/>
      <c r="AA1144" s="669"/>
      <c r="AB1144" s="695"/>
      <c r="AC1144" s="669"/>
    </row>
    <row r="1145" ht="18.0" customHeight="1">
      <c r="A1145" s="695"/>
      <c r="B1145" s="695"/>
      <c r="C1145" s="695"/>
      <c r="D1145" s="695"/>
      <c r="E1145" s="695"/>
      <c r="F1145" s="686"/>
      <c r="G1145" s="695"/>
      <c r="H1145" s="695"/>
      <c r="I1145" s="695"/>
      <c r="J1145" s="731"/>
      <c r="K1145" s="695"/>
      <c r="L1145" s="686"/>
      <c r="M1145" s="686"/>
      <c r="N1145" s="686"/>
      <c r="O1145" s="686"/>
      <c r="P1145" s="686"/>
      <c r="Q1145" s="666"/>
      <c r="R1145" s="686"/>
      <c r="S1145" s="686"/>
      <c r="T1145" s="688"/>
      <c r="U1145" s="688"/>
      <c r="V1145" s="686"/>
      <c r="W1145" s="686"/>
      <c r="X1145" s="686"/>
      <c r="Y1145" s="686"/>
      <c r="Z1145" s="686"/>
      <c r="AA1145" s="669"/>
      <c r="AB1145" s="695"/>
      <c r="AC1145" s="669"/>
    </row>
    <row r="1146" ht="18.0" customHeight="1">
      <c r="A1146" s="695"/>
      <c r="B1146" s="695"/>
      <c r="C1146" s="695"/>
      <c r="D1146" s="695"/>
      <c r="E1146" s="695"/>
      <c r="F1146" s="686"/>
      <c r="G1146" s="695"/>
      <c r="H1146" s="695"/>
      <c r="I1146" s="695"/>
      <c r="J1146" s="731"/>
      <c r="K1146" s="695"/>
      <c r="L1146" s="686"/>
      <c r="M1146" s="686"/>
      <c r="N1146" s="686"/>
      <c r="O1146" s="686"/>
      <c r="P1146" s="686"/>
      <c r="Q1146" s="666"/>
      <c r="R1146" s="686"/>
      <c r="S1146" s="686"/>
      <c r="T1146" s="688"/>
      <c r="U1146" s="688"/>
      <c r="V1146" s="686"/>
      <c r="W1146" s="686"/>
      <c r="X1146" s="686"/>
      <c r="Y1146" s="686"/>
      <c r="Z1146" s="686"/>
      <c r="AA1146" s="669"/>
      <c r="AB1146" s="695"/>
      <c r="AC1146" s="669"/>
    </row>
    <row r="1147" ht="18.0" customHeight="1">
      <c r="A1147" s="695"/>
      <c r="B1147" s="695"/>
      <c r="C1147" s="695"/>
      <c r="D1147" s="695"/>
      <c r="E1147" s="695"/>
      <c r="F1147" s="686"/>
      <c r="G1147" s="695"/>
      <c r="H1147" s="695"/>
      <c r="I1147" s="695"/>
      <c r="J1147" s="731"/>
      <c r="K1147" s="695"/>
      <c r="L1147" s="686"/>
      <c r="M1147" s="686"/>
      <c r="N1147" s="686"/>
      <c r="O1147" s="686"/>
      <c r="P1147" s="686"/>
      <c r="Q1147" s="666"/>
      <c r="R1147" s="686"/>
      <c r="S1147" s="686"/>
      <c r="T1147" s="688"/>
      <c r="U1147" s="688"/>
      <c r="V1147" s="686"/>
      <c r="W1147" s="686"/>
      <c r="X1147" s="686"/>
      <c r="Y1147" s="686"/>
      <c r="Z1147" s="686"/>
      <c r="AA1147" s="669"/>
      <c r="AB1147" s="695"/>
      <c r="AC1147" s="669"/>
    </row>
    <row r="1148" ht="18.0" customHeight="1">
      <c r="A1148" s="695"/>
      <c r="B1148" s="695"/>
      <c r="C1148" s="695"/>
      <c r="D1148" s="695"/>
      <c r="E1148" s="695"/>
      <c r="F1148" s="686"/>
      <c r="G1148" s="695"/>
      <c r="H1148" s="695"/>
      <c r="I1148" s="695"/>
      <c r="J1148" s="731"/>
      <c r="K1148" s="695"/>
      <c r="L1148" s="686"/>
      <c r="M1148" s="686"/>
      <c r="N1148" s="686"/>
      <c r="O1148" s="686"/>
      <c r="P1148" s="686"/>
      <c r="Q1148" s="666"/>
      <c r="R1148" s="686"/>
      <c r="S1148" s="686"/>
      <c r="T1148" s="688"/>
      <c r="U1148" s="688"/>
      <c r="V1148" s="686"/>
      <c r="W1148" s="686"/>
      <c r="X1148" s="686"/>
      <c r="Y1148" s="686"/>
      <c r="Z1148" s="686"/>
      <c r="AA1148" s="669"/>
      <c r="AB1148" s="695"/>
      <c r="AC1148" s="669"/>
    </row>
    <row r="1149" ht="18.0" customHeight="1">
      <c r="A1149" s="695"/>
      <c r="B1149" s="695"/>
      <c r="C1149" s="695"/>
      <c r="D1149" s="695"/>
      <c r="E1149" s="695"/>
      <c r="F1149" s="686"/>
      <c r="G1149" s="695"/>
      <c r="H1149" s="695"/>
      <c r="I1149" s="695"/>
      <c r="J1149" s="731"/>
      <c r="K1149" s="695"/>
      <c r="L1149" s="686"/>
      <c r="M1149" s="686"/>
      <c r="N1149" s="686"/>
      <c r="O1149" s="686"/>
      <c r="P1149" s="686"/>
      <c r="Q1149" s="666"/>
      <c r="R1149" s="686"/>
      <c r="S1149" s="686"/>
      <c r="T1149" s="688"/>
      <c r="U1149" s="688"/>
      <c r="V1149" s="686"/>
      <c r="W1149" s="686"/>
      <c r="X1149" s="686"/>
      <c r="Y1149" s="686"/>
      <c r="Z1149" s="686"/>
      <c r="AA1149" s="669"/>
      <c r="AB1149" s="695"/>
      <c r="AC1149" s="669"/>
    </row>
    <row r="1150" ht="18.0" customHeight="1">
      <c r="A1150" s="695"/>
      <c r="B1150" s="695"/>
      <c r="C1150" s="695"/>
      <c r="D1150" s="695"/>
      <c r="E1150" s="695"/>
      <c r="F1150" s="686"/>
      <c r="G1150" s="695"/>
      <c r="H1150" s="695"/>
      <c r="I1150" s="695"/>
      <c r="J1150" s="731"/>
      <c r="K1150" s="695"/>
      <c r="L1150" s="686"/>
      <c r="M1150" s="686"/>
      <c r="N1150" s="686"/>
      <c r="O1150" s="686"/>
      <c r="P1150" s="686"/>
      <c r="Q1150" s="666"/>
      <c r="R1150" s="686"/>
      <c r="S1150" s="686"/>
      <c r="T1150" s="688"/>
      <c r="U1150" s="688"/>
      <c r="V1150" s="686"/>
      <c r="W1150" s="686"/>
      <c r="X1150" s="686"/>
      <c r="Y1150" s="686"/>
      <c r="Z1150" s="686"/>
      <c r="AA1150" s="669"/>
      <c r="AB1150" s="695"/>
      <c r="AC1150" s="669"/>
    </row>
    <row r="1151" ht="18.0" customHeight="1">
      <c r="A1151" s="695"/>
      <c r="B1151" s="695"/>
      <c r="C1151" s="695"/>
      <c r="D1151" s="695"/>
      <c r="E1151" s="695"/>
      <c r="F1151" s="686"/>
      <c r="G1151" s="695"/>
      <c r="H1151" s="695"/>
      <c r="I1151" s="695"/>
      <c r="J1151" s="731"/>
      <c r="K1151" s="695"/>
      <c r="L1151" s="686"/>
      <c r="M1151" s="686"/>
      <c r="N1151" s="686"/>
      <c r="O1151" s="686"/>
      <c r="P1151" s="686"/>
      <c r="Q1151" s="666"/>
      <c r="R1151" s="686"/>
      <c r="S1151" s="686"/>
      <c r="T1151" s="688"/>
      <c r="U1151" s="688"/>
      <c r="V1151" s="686"/>
      <c r="W1151" s="686"/>
      <c r="X1151" s="686"/>
      <c r="Y1151" s="686"/>
      <c r="Z1151" s="686"/>
      <c r="AA1151" s="669"/>
      <c r="AB1151" s="695"/>
      <c r="AC1151" s="669"/>
    </row>
    <row r="1152" ht="18.0" customHeight="1">
      <c r="A1152" s="695"/>
      <c r="B1152" s="695"/>
      <c r="C1152" s="695"/>
      <c r="D1152" s="695"/>
      <c r="E1152" s="695"/>
      <c r="F1152" s="686"/>
      <c r="G1152" s="695"/>
      <c r="H1152" s="695"/>
      <c r="I1152" s="695"/>
      <c r="J1152" s="731"/>
      <c r="K1152" s="695"/>
      <c r="L1152" s="686"/>
      <c r="M1152" s="686"/>
      <c r="N1152" s="686"/>
      <c r="O1152" s="686"/>
      <c r="P1152" s="686"/>
      <c r="Q1152" s="666"/>
      <c r="R1152" s="686"/>
      <c r="S1152" s="686"/>
      <c r="T1152" s="688"/>
      <c r="U1152" s="688"/>
      <c r="V1152" s="686"/>
      <c r="W1152" s="686"/>
      <c r="X1152" s="686"/>
      <c r="Y1152" s="686"/>
      <c r="Z1152" s="686"/>
      <c r="AA1152" s="669"/>
      <c r="AB1152" s="695"/>
      <c r="AC1152" s="669"/>
    </row>
    <row r="1153" ht="18.0" customHeight="1">
      <c r="A1153" s="695"/>
      <c r="B1153" s="695"/>
      <c r="C1153" s="695"/>
      <c r="D1153" s="695"/>
      <c r="E1153" s="695"/>
      <c r="F1153" s="686"/>
      <c r="G1153" s="695"/>
      <c r="H1153" s="695"/>
      <c r="I1153" s="695"/>
      <c r="J1153" s="731"/>
      <c r="K1153" s="695"/>
      <c r="L1153" s="686"/>
      <c r="M1153" s="686"/>
      <c r="N1153" s="686"/>
      <c r="O1153" s="686"/>
      <c r="P1153" s="686"/>
      <c r="Q1153" s="666"/>
      <c r="R1153" s="686"/>
      <c r="S1153" s="686"/>
      <c r="T1153" s="688"/>
      <c r="U1153" s="688"/>
      <c r="V1153" s="686"/>
      <c r="W1153" s="686"/>
      <c r="X1153" s="686"/>
      <c r="Y1153" s="686"/>
      <c r="Z1153" s="686"/>
      <c r="AA1153" s="669"/>
      <c r="AB1153" s="695"/>
      <c r="AC1153" s="669"/>
    </row>
    <row r="1154" ht="18.0" customHeight="1">
      <c r="A1154" s="695"/>
      <c r="B1154" s="695"/>
      <c r="C1154" s="695"/>
      <c r="D1154" s="695"/>
      <c r="E1154" s="695"/>
      <c r="F1154" s="686"/>
      <c r="G1154" s="695"/>
      <c r="H1154" s="695"/>
      <c r="I1154" s="695"/>
      <c r="J1154" s="731"/>
      <c r="K1154" s="695"/>
      <c r="L1154" s="686"/>
      <c r="M1154" s="686"/>
      <c r="N1154" s="686"/>
      <c r="O1154" s="686"/>
      <c r="P1154" s="686"/>
      <c r="Q1154" s="666"/>
      <c r="R1154" s="686"/>
      <c r="S1154" s="686"/>
      <c r="T1154" s="688"/>
      <c r="U1154" s="688"/>
      <c r="V1154" s="686"/>
      <c r="W1154" s="686"/>
      <c r="X1154" s="686"/>
      <c r="Y1154" s="686"/>
      <c r="Z1154" s="686"/>
      <c r="AA1154" s="669"/>
      <c r="AB1154" s="695"/>
      <c r="AC1154" s="669"/>
    </row>
    <row r="1155" ht="18.0" customHeight="1">
      <c r="A1155" s="695"/>
      <c r="B1155" s="695"/>
      <c r="C1155" s="695"/>
      <c r="D1155" s="695"/>
      <c r="E1155" s="695"/>
      <c r="F1155" s="686"/>
      <c r="G1155" s="695"/>
      <c r="H1155" s="695"/>
      <c r="I1155" s="695"/>
      <c r="J1155" s="731"/>
      <c r="K1155" s="695"/>
      <c r="L1155" s="686"/>
      <c r="M1155" s="686"/>
      <c r="N1155" s="686"/>
      <c r="O1155" s="686"/>
      <c r="P1155" s="686"/>
      <c r="Q1155" s="666"/>
      <c r="R1155" s="686"/>
      <c r="S1155" s="686"/>
      <c r="T1155" s="688"/>
      <c r="U1155" s="688"/>
      <c r="V1155" s="686"/>
      <c r="W1155" s="686"/>
      <c r="X1155" s="686"/>
      <c r="Y1155" s="686"/>
      <c r="Z1155" s="686"/>
      <c r="AA1155" s="669"/>
      <c r="AB1155" s="695"/>
      <c r="AC1155" s="669"/>
    </row>
    <row r="1156" ht="18.0" customHeight="1">
      <c r="A1156" s="695"/>
      <c r="B1156" s="695"/>
      <c r="C1156" s="695"/>
      <c r="D1156" s="695"/>
      <c r="E1156" s="695"/>
      <c r="F1156" s="686"/>
      <c r="G1156" s="695"/>
      <c r="H1156" s="695"/>
      <c r="I1156" s="695"/>
      <c r="J1156" s="731"/>
      <c r="K1156" s="695"/>
      <c r="L1156" s="686"/>
      <c r="M1156" s="686"/>
      <c r="N1156" s="686"/>
      <c r="O1156" s="686"/>
      <c r="P1156" s="686"/>
      <c r="Q1156" s="666"/>
      <c r="R1156" s="686"/>
      <c r="S1156" s="686"/>
      <c r="T1156" s="688"/>
      <c r="U1156" s="688"/>
      <c r="V1156" s="686"/>
      <c r="W1156" s="686"/>
      <c r="X1156" s="686"/>
      <c r="Y1156" s="686"/>
      <c r="Z1156" s="686"/>
      <c r="AA1156" s="669"/>
      <c r="AB1156" s="695"/>
      <c r="AC1156" s="669"/>
    </row>
    <row r="1157" ht="18.0" customHeight="1">
      <c r="A1157" s="695"/>
      <c r="B1157" s="695"/>
      <c r="C1157" s="695"/>
      <c r="D1157" s="695"/>
      <c r="E1157" s="695"/>
      <c r="F1157" s="686"/>
      <c r="G1157" s="695"/>
      <c r="H1157" s="695"/>
      <c r="I1157" s="695"/>
      <c r="J1157" s="731"/>
      <c r="K1157" s="695"/>
      <c r="L1157" s="686"/>
      <c r="M1157" s="686"/>
      <c r="N1157" s="686"/>
      <c r="O1157" s="686"/>
      <c r="P1157" s="686"/>
      <c r="Q1157" s="666"/>
      <c r="R1157" s="686"/>
      <c r="S1157" s="686"/>
      <c r="T1157" s="688"/>
      <c r="U1157" s="688"/>
      <c r="V1157" s="686"/>
      <c r="W1157" s="686"/>
      <c r="X1157" s="686"/>
      <c r="Y1157" s="686"/>
      <c r="Z1157" s="686"/>
      <c r="AA1157" s="669"/>
      <c r="AB1157" s="695"/>
      <c r="AC1157" s="669"/>
    </row>
    <row r="1158" ht="18.0" customHeight="1">
      <c r="A1158" s="695"/>
      <c r="B1158" s="695"/>
      <c r="C1158" s="695"/>
      <c r="D1158" s="695"/>
      <c r="E1158" s="695"/>
      <c r="F1158" s="686"/>
      <c r="G1158" s="695"/>
      <c r="H1158" s="695"/>
      <c r="I1158" s="695"/>
      <c r="J1158" s="731"/>
      <c r="K1158" s="695"/>
      <c r="L1158" s="686"/>
      <c r="M1158" s="686"/>
      <c r="N1158" s="686"/>
      <c r="O1158" s="686"/>
      <c r="P1158" s="686"/>
      <c r="Q1158" s="666"/>
      <c r="R1158" s="686"/>
      <c r="S1158" s="686"/>
      <c r="T1158" s="688"/>
      <c r="U1158" s="688"/>
      <c r="V1158" s="686"/>
      <c r="W1158" s="686"/>
      <c r="X1158" s="686"/>
      <c r="Y1158" s="686"/>
      <c r="Z1158" s="686"/>
      <c r="AA1158" s="669"/>
      <c r="AB1158" s="695"/>
      <c r="AC1158" s="669"/>
    </row>
    <row r="1159" ht="18.0" customHeight="1">
      <c r="A1159" s="695"/>
      <c r="B1159" s="695"/>
      <c r="C1159" s="695"/>
      <c r="D1159" s="695"/>
      <c r="E1159" s="695"/>
      <c r="F1159" s="686"/>
      <c r="G1159" s="695"/>
      <c r="H1159" s="695"/>
      <c r="I1159" s="695"/>
      <c r="J1159" s="731"/>
      <c r="K1159" s="695"/>
      <c r="L1159" s="686"/>
      <c r="M1159" s="686"/>
      <c r="N1159" s="686"/>
      <c r="O1159" s="686"/>
      <c r="P1159" s="686"/>
      <c r="Q1159" s="666"/>
      <c r="R1159" s="686"/>
      <c r="S1159" s="686"/>
      <c r="T1159" s="688"/>
      <c r="U1159" s="688"/>
      <c r="V1159" s="686"/>
      <c r="W1159" s="686"/>
      <c r="X1159" s="686"/>
      <c r="Y1159" s="686"/>
      <c r="Z1159" s="686"/>
      <c r="AA1159" s="669"/>
      <c r="AB1159" s="695"/>
      <c r="AC1159" s="669"/>
    </row>
    <row r="1160" ht="18.0" customHeight="1">
      <c r="A1160" s="695"/>
      <c r="B1160" s="695"/>
      <c r="C1160" s="695"/>
      <c r="D1160" s="695"/>
      <c r="E1160" s="695"/>
      <c r="F1160" s="686"/>
      <c r="G1160" s="695"/>
      <c r="H1160" s="695"/>
      <c r="I1160" s="695"/>
      <c r="J1160" s="731"/>
      <c r="K1160" s="695"/>
      <c r="L1160" s="686"/>
      <c r="M1160" s="686"/>
      <c r="N1160" s="686"/>
      <c r="O1160" s="686"/>
      <c r="P1160" s="686"/>
      <c r="Q1160" s="666"/>
      <c r="R1160" s="686"/>
      <c r="S1160" s="686"/>
      <c r="T1160" s="688"/>
      <c r="U1160" s="688"/>
      <c r="V1160" s="686"/>
      <c r="W1160" s="686"/>
      <c r="X1160" s="686"/>
      <c r="Y1160" s="686"/>
      <c r="Z1160" s="686"/>
      <c r="AA1160" s="669"/>
      <c r="AB1160" s="695"/>
      <c r="AC1160" s="669"/>
    </row>
    <row r="1161" ht="18.0" customHeight="1">
      <c r="A1161" s="695"/>
      <c r="B1161" s="695"/>
      <c r="C1161" s="695"/>
      <c r="D1161" s="695"/>
      <c r="E1161" s="695"/>
      <c r="F1161" s="686"/>
      <c r="G1161" s="695"/>
      <c r="H1161" s="695"/>
      <c r="I1161" s="695"/>
      <c r="J1161" s="731"/>
      <c r="K1161" s="695"/>
      <c r="L1161" s="686"/>
      <c r="M1161" s="686"/>
      <c r="N1161" s="686"/>
      <c r="O1161" s="686"/>
      <c r="P1161" s="686"/>
      <c r="Q1161" s="666"/>
      <c r="R1161" s="686"/>
      <c r="S1161" s="686"/>
      <c r="T1161" s="688"/>
      <c r="U1161" s="688"/>
      <c r="V1161" s="686"/>
      <c r="W1161" s="686"/>
      <c r="X1161" s="686"/>
      <c r="Y1161" s="686"/>
      <c r="Z1161" s="686"/>
      <c r="AA1161" s="669"/>
      <c r="AB1161" s="695"/>
      <c r="AC1161" s="669"/>
    </row>
    <row r="1162" ht="18.0" customHeight="1">
      <c r="A1162" s="695"/>
      <c r="B1162" s="695"/>
      <c r="C1162" s="695"/>
      <c r="D1162" s="695"/>
      <c r="E1162" s="695"/>
      <c r="F1162" s="686"/>
      <c r="G1162" s="695"/>
      <c r="H1162" s="695"/>
      <c r="I1162" s="695"/>
      <c r="J1162" s="731"/>
      <c r="K1162" s="695"/>
      <c r="L1162" s="686"/>
      <c r="M1162" s="686"/>
      <c r="N1162" s="686"/>
      <c r="O1162" s="686"/>
      <c r="P1162" s="686"/>
      <c r="Q1162" s="666"/>
      <c r="R1162" s="686"/>
      <c r="S1162" s="686"/>
      <c r="T1162" s="688"/>
      <c r="U1162" s="688"/>
      <c r="V1162" s="686"/>
      <c r="W1162" s="686"/>
      <c r="X1162" s="686"/>
      <c r="Y1162" s="686"/>
      <c r="Z1162" s="686"/>
      <c r="AA1162" s="669"/>
      <c r="AB1162" s="695"/>
      <c r="AC1162" s="669"/>
    </row>
    <row r="1163" ht="18.0" customHeight="1">
      <c r="A1163" s="695"/>
      <c r="B1163" s="695"/>
      <c r="C1163" s="695"/>
      <c r="D1163" s="695"/>
      <c r="E1163" s="695"/>
      <c r="F1163" s="686"/>
      <c r="G1163" s="695"/>
      <c r="H1163" s="695"/>
      <c r="I1163" s="695"/>
      <c r="J1163" s="731"/>
      <c r="K1163" s="695"/>
      <c r="L1163" s="686"/>
      <c r="M1163" s="686"/>
      <c r="N1163" s="686"/>
      <c r="O1163" s="686"/>
      <c r="P1163" s="686"/>
      <c r="Q1163" s="666"/>
      <c r="R1163" s="686"/>
      <c r="S1163" s="686"/>
      <c r="T1163" s="688"/>
      <c r="U1163" s="688"/>
      <c r="V1163" s="686"/>
      <c r="W1163" s="686"/>
      <c r="X1163" s="686"/>
      <c r="Y1163" s="686"/>
      <c r="Z1163" s="686"/>
      <c r="AA1163" s="669"/>
      <c r="AB1163" s="695"/>
      <c r="AC1163" s="669"/>
    </row>
    <row r="1164" ht="18.0" customHeight="1">
      <c r="A1164" s="695"/>
      <c r="B1164" s="695"/>
      <c r="C1164" s="695"/>
      <c r="D1164" s="695"/>
      <c r="E1164" s="695"/>
      <c r="F1164" s="686"/>
      <c r="G1164" s="695"/>
      <c r="H1164" s="695"/>
      <c r="I1164" s="695"/>
      <c r="J1164" s="731"/>
      <c r="K1164" s="695"/>
      <c r="L1164" s="686"/>
      <c r="M1164" s="686"/>
      <c r="N1164" s="686"/>
      <c r="O1164" s="686"/>
      <c r="P1164" s="686"/>
      <c r="Q1164" s="666"/>
      <c r="R1164" s="686"/>
      <c r="S1164" s="686"/>
      <c r="T1164" s="688"/>
      <c r="U1164" s="688"/>
      <c r="V1164" s="686"/>
      <c r="W1164" s="686"/>
      <c r="X1164" s="686"/>
      <c r="Y1164" s="686"/>
      <c r="Z1164" s="686"/>
      <c r="AA1164" s="669"/>
      <c r="AB1164" s="695"/>
      <c r="AC1164" s="669"/>
    </row>
    <row r="1165" ht="18.0" customHeight="1">
      <c r="A1165" s="695"/>
      <c r="B1165" s="695"/>
      <c r="C1165" s="695"/>
      <c r="D1165" s="695"/>
      <c r="E1165" s="695"/>
      <c r="F1165" s="686"/>
      <c r="G1165" s="695"/>
      <c r="H1165" s="695"/>
      <c r="I1165" s="695"/>
      <c r="J1165" s="731"/>
      <c r="K1165" s="695"/>
      <c r="L1165" s="686"/>
      <c r="M1165" s="686"/>
      <c r="N1165" s="686"/>
      <c r="O1165" s="686"/>
      <c r="P1165" s="686"/>
      <c r="Q1165" s="666"/>
      <c r="R1165" s="686"/>
      <c r="S1165" s="686"/>
      <c r="T1165" s="688"/>
      <c r="U1165" s="688"/>
      <c r="V1165" s="686"/>
      <c r="W1165" s="686"/>
      <c r="X1165" s="686"/>
      <c r="Y1165" s="686"/>
      <c r="Z1165" s="686"/>
      <c r="AA1165" s="669"/>
      <c r="AB1165" s="695"/>
      <c r="AC1165" s="669"/>
    </row>
    <row r="1166" ht="18.0" customHeight="1">
      <c r="A1166" s="695"/>
      <c r="B1166" s="695"/>
      <c r="C1166" s="695"/>
      <c r="D1166" s="695"/>
      <c r="E1166" s="695"/>
      <c r="F1166" s="686"/>
      <c r="G1166" s="695"/>
      <c r="H1166" s="695"/>
      <c r="I1166" s="695"/>
      <c r="J1166" s="731"/>
      <c r="K1166" s="695"/>
      <c r="L1166" s="686"/>
      <c r="M1166" s="686"/>
      <c r="N1166" s="686"/>
      <c r="O1166" s="686"/>
      <c r="P1166" s="686"/>
      <c r="Q1166" s="666"/>
      <c r="R1166" s="686"/>
      <c r="S1166" s="686"/>
      <c r="T1166" s="688"/>
      <c r="U1166" s="688"/>
      <c r="V1166" s="686"/>
      <c r="W1166" s="686"/>
      <c r="X1166" s="686"/>
      <c r="Y1166" s="686"/>
      <c r="Z1166" s="686"/>
      <c r="AA1166" s="669"/>
      <c r="AB1166" s="695"/>
      <c r="AC1166" s="669"/>
    </row>
    <row r="1167" ht="18.0" customHeight="1">
      <c r="A1167" s="695"/>
      <c r="B1167" s="695"/>
      <c r="C1167" s="695"/>
      <c r="D1167" s="695"/>
      <c r="E1167" s="695"/>
      <c r="F1167" s="686"/>
      <c r="G1167" s="695"/>
      <c r="H1167" s="695"/>
      <c r="I1167" s="695"/>
      <c r="J1167" s="731"/>
      <c r="K1167" s="695"/>
      <c r="L1167" s="686"/>
      <c r="M1167" s="686"/>
      <c r="N1167" s="686"/>
      <c r="O1167" s="686"/>
      <c r="P1167" s="686"/>
      <c r="Q1167" s="666"/>
      <c r="R1167" s="686"/>
      <c r="S1167" s="686"/>
      <c r="T1167" s="688"/>
      <c r="U1167" s="688"/>
      <c r="V1167" s="686"/>
      <c r="W1167" s="686"/>
      <c r="X1167" s="686"/>
      <c r="Y1167" s="686"/>
      <c r="Z1167" s="686"/>
      <c r="AA1167" s="669"/>
      <c r="AB1167" s="695"/>
      <c r="AC1167" s="669"/>
    </row>
    <row r="1168" ht="18.0" customHeight="1">
      <c r="A1168" s="695"/>
      <c r="B1168" s="695"/>
      <c r="C1168" s="695"/>
      <c r="D1168" s="695"/>
      <c r="E1168" s="695"/>
      <c r="F1168" s="686"/>
      <c r="G1168" s="695"/>
      <c r="H1168" s="695"/>
      <c r="I1168" s="695"/>
      <c r="J1168" s="731"/>
      <c r="K1168" s="695"/>
      <c r="L1168" s="686"/>
      <c r="M1168" s="686"/>
      <c r="N1168" s="686"/>
      <c r="O1168" s="686"/>
      <c r="P1168" s="686"/>
      <c r="Q1168" s="666"/>
      <c r="R1168" s="686"/>
      <c r="S1168" s="686"/>
      <c r="T1168" s="688"/>
      <c r="U1168" s="688"/>
      <c r="V1168" s="686"/>
      <c r="W1168" s="686"/>
      <c r="X1168" s="686"/>
      <c r="Y1168" s="686"/>
      <c r="Z1168" s="686"/>
      <c r="AA1168" s="669"/>
      <c r="AB1168" s="695"/>
      <c r="AC1168" s="669"/>
    </row>
    <row r="1169" ht="18.0" customHeight="1">
      <c r="A1169" s="695"/>
      <c r="B1169" s="695"/>
      <c r="C1169" s="695"/>
      <c r="D1169" s="695"/>
      <c r="E1169" s="695"/>
      <c r="F1169" s="686"/>
      <c r="G1169" s="695"/>
      <c r="H1169" s="695"/>
      <c r="I1169" s="695"/>
      <c r="J1169" s="731"/>
      <c r="K1169" s="695"/>
      <c r="L1169" s="686"/>
      <c r="M1169" s="686"/>
      <c r="N1169" s="686"/>
      <c r="O1169" s="686"/>
      <c r="P1169" s="686"/>
      <c r="Q1169" s="666"/>
      <c r="R1169" s="686"/>
      <c r="S1169" s="686"/>
      <c r="T1169" s="688"/>
      <c r="U1169" s="688"/>
      <c r="V1169" s="686"/>
      <c r="W1169" s="686"/>
      <c r="X1169" s="686"/>
      <c r="Y1169" s="686"/>
      <c r="Z1169" s="686"/>
      <c r="AA1169" s="669"/>
      <c r="AB1169" s="695"/>
      <c r="AC1169" s="669"/>
    </row>
    <row r="1170" ht="18.0" customHeight="1">
      <c r="A1170" s="695"/>
      <c r="B1170" s="695"/>
      <c r="C1170" s="695"/>
      <c r="D1170" s="695"/>
      <c r="E1170" s="695"/>
      <c r="F1170" s="686"/>
      <c r="G1170" s="695"/>
      <c r="H1170" s="695"/>
      <c r="I1170" s="695"/>
      <c r="J1170" s="731"/>
      <c r="K1170" s="695"/>
      <c r="L1170" s="686"/>
      <c r="M1170" s="686"/>
      <c r="N1170" s="686"/>
      <c r="O1170" s="686"/>
      <c r="P1170" s="686"/>
      <c r="Q1170" s="666"/>
      <c r="R1170" s="686"/>
      <c r="S1170" s="686"/>
      <c r="T1170" s="688"/>
      <c r="U1170" s="688"/>
      <c r="V1170" s="686"/>
      <c r="W1170" s="686"/>
      <c r="X1170" s="686"/>
      <c r="Y1170" s="686"/>
      <c r="Z1170" s="686"/>
      <c r="AA1170" s="669"/>
      <c r="AB1170" s="695"/>
      <c r="AC1170" s="669"/>
    </row>
    <row r="1171" ht="18.0" customHeight="1">
      <c r="A1171" s="695"/>
      <c r="B1171" s="695"/>
      <c r="C1171" s="695"/>
      <c r="D1171" s="695"/>
      <c r="E1171" s="695"/>
      <c r="F1171" s="686"/>
      <c r="G1171" s="695"/>
      <c r="H1171" s="695"/>
      <c r="I1171" s="695"/>
      <c r="J1171" s="731"/>
      <c r="K1171" s="695"/>
      <c r="L1171" s="686"/>
      <c r="M1171" s="686"/>
      <c r="N1171" s="686"/>
      <c r="O1171" s="686"/>
      <c r="P1171" s="686"/>
      <c r="Q1171" s="666"/>
      <c r="R1171" s="686"/>
      <c r="S1171" s="686"/>
      <c r="T1171" s="688"/>
      <c r="U1171" s="688"/>
      <c r="V1171" s="686"/>
      <c r="W1171" s="686"/>
      <c r="X1171" s="686"/>
      <c r="Y1171" s="686"/>
      <c r="Z1171" s="686"/>
      <c r="AA1171" s="669"/>
      <c r="AB1171" s="695"/>
      <c r="AC1171" s="669"/>
    </row>
    <row r="1172" ht="18.0" customHeight="1">
      <c r="A1172" s="695"/>
      <c r="B1172" s="695"/>
      <c r="C1172" s="695"/>
      <c r="D1172" s="695"/>
      <c r="E1172" s="695"/>
      <c r="F1172" s="686"/>
      <c r="G1172" s="695"/>
      <c r="H1172" s="695"/>
      <c r="I1172" s="695"/>
      <c r="J1172" s="731"/>
      <c r="K1172" s="695"/>
      <c r="L1172" s="686"/>
      <c r="M1172" s="686"/>
      <c r="N1172" s="686"/>
      <c r="O1172" s="686"/>
      <c r="P1172" s="686"/>
      <c r="Q1172" s="666"/>
      <c r="R1172" s="686"/>
      <c r="S1172" s="686"/>
      <c r="T1172" s="688"/>
      <c r="U1172" s="688"/>
      <c r="V1172" s="686"/>
      <c r="W1172" s="686"/>
      <c r="X1172" s="686"/>
      <c r="Y1172" s="686"/>
      <c r="Z1172" s="686"/>
      <c r="AA1172" s="669"/>
      <c r="AB1172" s="695"/>
      <c r="AC1172" s="669"/>
    </row>
    <row r="1173" ht="18.0" customHeight="1">
      <c r="A1173" s="695"/>
      <c r="B1173" s="695"/>
      <c r="C1173" s="695"/>
      <c r="D1173" s="695"/>
      <c r="E1173" s="695"/>
      <c r="F1173" s="686"/>
      <c r="G1173" s="695"/>
      <c r="H1173" s="695"/>
      <c r="I1173" s="695"/>
      <c r="J1173" s="731"/>
      <c r="K1173" s="695"/>
      <c r="L1173" s="686"/>
      <c r="M1173" s="686"/>
      <c r="N1173" s="686"/>
      <c r="O1173" s="686"/>
      <c r="P1173" s="686"/>
      <c r="Q1173" s="666"/>
      <c r="R1173" s="686"/>
      <c r="S1173" s="686"/>
      <c r="T1173" s="688"/>
      <c r="U1173" s="688"/>
      <c r="V1173" s="686"/>
      <c r="W1173" s="686"/>
      <c r="X1173" s="686"/>
      <c r="Y1173" s="686"/>
      <c r="Z1173" s="686"/>
      <c r="AA1173" s="669"/>
      <c r="AB1173" s="695"/>
      <c r="AC1173" s="669"/>
    </row>
    <row r="1174" ht="18.0" customHeight="1">
      <c r="A1174" s="695"/>
      <c r="B1174" s="695"/>
      <c r="C1174" s="695"/>
      <c r="D1174" s="695"/>
      <c r="E1174" s="695"/>
      <c r="F1174" s="686"/>
      <c r="G1174" s="695"/>
      <c r="H1174" s="695"/>
      <c r="I1174" s="695"/>
      <c r="J1174" s="731"/>
      <c r="K1174" s="695"/>
      <c r="L1174" s="686"/>
      <c r="M1174" s="686"/>
      <c r="N1174" s="686"/>
      <c r="O1174" s="686"/>
      <c r="P1174" s="686"/>
      <c r="Q1174" s="666"/>
      <c r="R1174" s="686"/>
      <c r="S1174" s="686"/>
      <c r="T1174" s="688"/>
      <c r="U1174" s="688"/>
      <c r="V1174" s="686"/>
      <c r="W1174" s="686"/>
      <c r="X1174" s="686"/>
      <c r="Y1174" s="686"/>
      <c r="Z1174" s="686"/>
      <c r="AA1174" s="669"/>
      <c r="AB1174" s="695"/>
      <c r="AC1174" s="669"/>
    </row>
    <row r="1175" ht="18.0" customHeight="1">
      <c r="A1175" s="695"/>
      <c r="B1175" s="695"/>
      <c r="C1175" s="695"/>
      <c r="D1175" s="695"/>
      <c r="E1175" s="695"/>
      <c r="F1175" s="686"/>
      <c r="G1175" s="695"/>
      <c r="H1175" s="695"/>
      <c r="I1175" s="695"/>
      <c r="J1175" s="731"/>
      <c r="K1175" s="695"/>
      <c r="L1175" s="686"/>
      <c r="M1175" s="686"/>
      <c r="N1175" s="686"/>
      <c r="O1175" s="686"/>
      <c r="P1175" s="686"/>
      <c r="Q1175" s="666"/>
      <c r="R1175" s="686"/>
      <c r="S1175" s="686"/>
      <c r="T1175" s="688"/>
      <c r="U1175" s="688"/>
      <c r="V1175" s="686"/>
      <c r="W1175" s="686"/>
      <c r="X1175" s="686"/>
      <c r="Y1175" s="686"/>
      <c r="Z1175" s="686"/>
      <c r="AA1175" s="669"/>
      <c r="AB1175" s="695"/>
      <c r="AC1175" s="669"/>
    </row>
    <row r="1176" ht="18.0" customHeight="1">
      <c r="A1176" s="695"/>
      <c r="B1176" s="695"/>
      <c r="C1176" s="695"/>
      <c r="D1176" s="695"/>
      <c r="E1176" s="695"/>
      <c r="F1176" s="686"/>
      <c r="G1176" s="695"/>
      <c r="H1176" s="695"/>
      <c r="I1176" s="695"/>
      <c r="J1176" s="731"/>
      <c r="K1176" s="695"/>
      <c r="L1176" s="686"/>
      <c r="M1176" s="686"/>
      <c r="N1176" s="686"/>
      <c r="O1176" s="686"/>
      <c r="P1176" s="686"/>
      <c r="Q1176" s="666"/>
      <c r="R1176" s="686"/>
      <c r="S1176" s="686"/>
      <c r="T1176" s="688"/>
      <c r="U1176" s="688"/>
      <c r="V1176" s="686"/>
      <c r="W1176" s="686"/>
      <c r="X1176" s="686"/>
      <c r="Y1176" s="686"/>
      <c r="Z1176" s="686"/>
      <c r="AA1176" s="669"/>
      <c r="AB1176" s="695"/>
      <c r="AC1176" s="669"/>
    </row>
    <row r="1177" ht="18.0" customHeight="1">
      <c r="A1177" s="695"/>
      <c r="B1177" s="695"/>
      <c r="C1177" s="695"/>
      <c r="D1177" s="695"/>
      <c r="E1177" s="695"/>
      <c r="F1177" s="686"/>
      <c r="G1177" s="695"/>
      <c r="H1177" s="695"/>
      <c r="I1177" s="695"/>
      <c r="J1177" s="731"/>
      <c r="K1177" s="695"/>
      <c r="L1177" s="686"/>
      <c r="M1177" s="686"/>
      <c r="N1177" s="686"/>
      <c r="O1177" s="686"/>
      <c r="P1177" s="686"/>
      <c r="Q1177" s="666"/>
      <c r="R1177" s="686"/>
      <c r="S1177" s="686"/>
      <c r="T1177" s="688"/>
      <c r="U1177" s="688"/>
      <c r="V1177" s="686"/>
      <c r="W1177" s="686"/>
      <c r="X1177" s="686"/>
      <c r="Y1177" s="686"/>
      <c r="Z1177" s="686"/>
      <c r="AA1177" s="669"/>
      <c r="AB1177" s="695"/>
      <c r="AC1177" s="669"/>
    </row>
    <row r="1178" ht="18.0" customHeight="1">
      <c r="A1178" s="695"/>
      <c r="B1178" s="695"/>
      <c r="C1178" s="695"/>
      <c r="D1178" s="695"/>
      <c r="E1178" s="695"/>
      <c r="F1178" s="686"/>
      <c r="G1178" s="695"/>
      <c r="H1178" s="695"/>
      <c r="I1178" s="695"/>
      <c r="J1178" s="731"/>
      <c r="K1178" s="695"/>
      <c r="L1178" s="686"/>
      <c r="M1178" s="686"/>
      <c r="N1178" s="686"/>
      <c r="O1178" s="686"/>
      <c r="P1178" s="686"/>
      <c r="Q1178" s="666"/>
      <c r="R1178" s="686"/>
      <c r="S1178" s="686"/>
      <c r="T1178" s="688"/>
      <c r="U1178" s="688"/>
      <c r="V1178" s="686"/>
      <c r="W1178" s="686"/>
      <c r="X1178" s="686"/>
      <c r="Y1178" s="686"/>
      <c r="Z1178" s="686"/>
      <c r="AA1178" s="669"/>
      <c r="AB1178" s="695"/>
      <c r="AC1178" s="669"/>
    </row>
    <row r="1179" ht="18.0" customHeight="1">
      <c r="A1179" s="695"/>
      <c r="B1179" s="695"/>
      <c r="C1179" s="695"/>
      <c r="D1179" s="695"/>
      <c r="E1179" s="695"/>
      <c r="F1179" s="686"/>
      <c r="G1179" s="695"/>
      <c r="H1179" s="695"/>
      <c r="I1179" s="695"/>
      <c r="J1179" s="731"/>
      <c r="K1179" s="695"/>
      <c r="L1179" s="686"/>
      <c r="M1179" s="686"/>
      <c r="N1179" s="686"/>
      <c r="O1179" s="686"/>
      <c r="P1179" s="686"/>
      <c r="Q1179" s="666"/>
      <c r="R1179" s="686"/>
      <c r="S1179" s="686"/>
      <c r="T1179" s="688"/>
      <c r="U1179" s="688"/>
      <c r="V1179" s="686"/>
      <c r="W1179" s="686"/>
      <c r="X1179" s="686"/>
      <c r="Y1179" s="686"/>
      <c r="Z1179" s="686"/>
      <c r="AA1179" s="669"/>
      <c r="AB1179" s="695"/>
      <c r="AC1179" s="669"/>
    </row>
    <row r="1180" ht="18.0" customHeight="1">
      <c r="A1180" s="695"/>
      <c r="B1180" s="695"/>
      <c r="C1180" s="695"/>
      <c r="D1180" s="695"/>
      <c r="E1180" s="695"/>
      <c r="F1180" s="686"/>
      <c r="G1180" s="695"/>
      <c r="H1180" s="695"/>
      <c r="I1180" s="695"/>
      <c r="J1180" s="731"/>
      <c r="K1180" s="695"/>
      <c r="L1180" s="686"/>
      <c r="M1180" s="686"/>
      <c r="N1180" s="686"/>
      <c r="O1180" s="686"/>
      <c r="P1180" s="686"/>
      <c r="Q1180" s="666"/>
      <c r="R1180" s="686"/>
      <c r="S1180" s="686"/>
      <c r="T1180" s="688"/>
      <c r="U1180" s="688"/>
      <c r="V1180" s="686"/>
      <c r="W1180" s="686"/>
      <c r="X1180" s="686"/>
      <c r="Y1180" s="686"/>
      <c r="Z1180" s="686"/>
      <c r="AA1180" s="669"/>
      <c r="AB1180" s="695"/>
      <c r="AC1180" s="669"/>
    </row>
    <row r="1181" ht="18.0" customHeight="1">
      <c r="A1181" s="695"/>
      <c r="B1181" s="695"/>
      <c r="C1181" s="695"/>
      <c r="D1181" s="695"/>
      <c r="E1181" s="695"/>
      <c r="F1181" s="686"/>
      <c r="G1181" s="695"/>
      <c r="H1181" s="695"/>
      <c r="I1181" s="695"/>
      <c r="J1181" s="731"/>
      <c r="K1181" s="695"/>
      <c r="L1181" s="686"/>
      <c r="M1181" s="686"/>
      <c r="N1181" s="686"/>
      <c r="O1181" s="686"/>
      <c r="P1181" s="686"/>
      <c r="Q1181" s="666"/>
      <c r="R1181" s="686"/>
      <c r="S1181" s="686"/>
      <c r="T1181" s="688"/>
      <c r="U1181" s="688"/>
      <c r="V1181" s="686"/>
      <c r="W1181" s="686"/>
      <c r="X1181" s="686"/>
      <c r="Y1181" s="686"/>
      <c r="Z1181" s="686"/>
      <c r="AA1181" s="669"/>
      <c r="AB1181" s="695"/>
      <c r="AC1181" s="669"/>
    </row>
    <row r="1182" ht="18.0" customHeight="1">
      <c r="A1182" s="695"/>
      <c r="B1182" s="695"/>
      <c r="C1182" s="695"/>
      <c r="D1182" s="695"/>
      <c r="E1182" s="695"/>
      <c r="F1182" s="686"/>
      <c r="G1182" s="695"/>
      <c r="H1182" s="695"/>
      <c r="I1182" s="695"/>
      <c r="J1182" s="731"/>
      <c r="K1182" s="695"/>
      <c r="L1182" s="686"/>
      <c r="M1182" s="686"/>
      <c r="N1182" s="686"/>
      <c r="O1182" s="686"/>
      <c r="P1182" s="686"/>
      <c r="Q1182" s="666"/>
      <c r="R1182" s="686"/>
      <c r="S1182" s="686"/>
      <c r="T1182" s="688"/>
      <c r="U1182" s="688"/>
      <c r="V1182" s="686"/>
      <c r="W1182" s="686"/>
      <c r="X1182" s="686"/>
      <c r="Y1182" s="686"/>
      <c r="Z1182" s="686"/>
      <c r="AA1182" s="669"/>
      <c r="AB1182" s="695"/>
      <c r="AC1182" s="669"/>
    </row>
    <row r="1183" ht="18.0" customHeight="1">
      <c r="A1183" s="695"/>
      <c r="B1183" s="695"/>
      <c r="C1183" s="695"/>
      <c r="D1183" s="695"/>
      <c r="E1183" s="695"/>
      <c r="F1183" s="686"/>
      <c r="G1183" s="695"/>
      <c r="H1183" s="695"/>
      <c r="I1183" s="695"/>
      <c r="J1183" s="731"/>
      <c r="K1183" s="695"/>
      <c r="L1183" s="686"/>
      <c r="M1183" s="686"/>
      <c r="N1183" s="686"/>
      <c r="O1183" s="686"/>
      <c r="P1183" s="686"/>
      <c r="Q1183" s="666"/>
      <c r="R1183" s="686"/>
      <c r="S1183" s="686"/>
      <c r="T1183" s="688"/>
      <c r="U1183" s="688"/>
      <c r="V1183" s="686"/>
      <c r="W1183" s="686"/>
      <c r="X1183" s="686"/>
      <c r="Y1183" s="686"/>
      <c r="Z1183" s="686"/>
      <c r="AA1183" s="669"/>
      <c r="AB1183" s="695"/>
      <c r="AC1183" s="669"/>
    </row>
    <row r="1184" ht="18.0" customHeight="1">
      <c r="A1184" s="695"/>
      <c r="B1184" s="695"/>
      <c r="C1184" s="695"/>
      <c r="D1184" s="695"/>
      <c r="E1184" s="695"/>
      <c r="F1184" s="686"/>
      <c r="G1184" s="695"/>
      <c r="H1184" s="695"/>
      <c r="I1184" s="695"/>
      <c r="J1184" s="731"/>
      <c r="K1184" s="695"/>
      <c r="L1184" s="686"/>
      <c r="M1184" s="686"/>
      <c r="N1184" s="686"/>
      <c r="O1184" s="686"/>
      <c r="P1184" s="686"/>
      <c r="Q1184" s="666"/>
      <c r="R1184" s="686"/>
      <c r="S1184" s="686"/>
      <c r="T1184" s="688"/>
      <c r="U1184" s="688"/>
      <c r="V1184" s="686"/>
      <c r="W1184" s="686"/>
      <c r="X1184" s="686"/>
      <c r="Y1184" s="686"/>
      <c r="Z1184" s="686"/>
      <c r="AA1184" s="669"/>
      <c r="AB1184" s="695"/>
      <c r="AC1184" s="669"/>
    </row>
    <row r="1185" ht="18.0" customHeight="1">
      <c r="A1185" s="695"/>
      <c r="B1185" s="695"/>
      <c r="C1185" s="695"/>
      <c r="D1185" s="695"/>
      <c r="E1185" s="695"/>
      <c r="F1185" s="686"/>
      <c r="G1185" s="695"/>
      <c r="H1185" s="695"/>
      <c r="I1185" s="695"/>
      <c r="J1185" s="731"/>
      <c r="K1185" s="695"/>
      <c r="L1185" s="686"/>
      <c r="M1185" s="686"/>
      <c r="N1185" s="686"/>
      <c r="O1185" s="686"/>
      <c r="P1185" s="686"/>
      <c r="Q1185" s="666"/>
      <c r="R1185" s="686"/>
      <c r="S1185" s="686"/>
      <c r="T1185" s="688"/>
      <c r="U1185" s="688"/>
      <c r="V1185" s="686"/>
      <c r="W1185" s="686"/>
      <c r="X1185" s="686"/>
      <c r="Y1185" s="686"/>
      <c r="Z1185" s="686"/>
      <c r="AA1185" s="669"/>
      <c r="AB1185" s="695"/>
      <c r="AC1185" s="669"/>
    </row>
    <row r="1186" ht="18.0" customHeight="1">
      <c r="A1186" s="695"/>
      <c r="B1186" s="695"/>
      <c r="C1186" s="695"/>
      <c r="D1186" s="695"/>
      <c r="E1186" s="695"/>
      <c r="F1186" s="686"/>
      <c r="G1186" s="695"/>
      <c r="H1186" s="695"/>
      <c r="I1186" s="695"/>
      <c r="J1186" s="731"/>
      <c r="K1186" s="695"/>
      <c r="L1186" s="686"/>
      <c r="M1186" s="686"/>
      <c r="N1186" s="686"/>
      <c r="O1186" s="686"/>
      <c r="P1186" s="686"/>
      <c r="Q1186" s="666"/>
      <c r="R1186" s="686"/>
      <c r="S1186" s="686"/>
      <c r="T1186" s="688"/>
      <c r="U1186" s="688"/>
      <c r="V1186" s="686"/>
      <c r="W1186" s="686"/>
      <c r="X1186" s="686"/>
      <c r="Y1186" s="686"/>
      <c r="Z1186" s="686"/>
      <c r="AA1186" s="669"/>
      <c r="AB1186" s="695"/>
      <c r="AC1186" s="669"/>
    </row>
    <row r="1187" ht="18.0" customHeight="1">
      <c r="A1187" s="695"/>
      <c r="B1187" s="695"/>
      <c r="C1187" s="695"/>
      <c r="D1187" s="695"/>
      <c r="E1187" s="695"/>
      <c r="F1187" s="686"/>
      <c r="G1187" s="695"/>
      <c r="H1187" s="695"/>
      <c r="I1187" s="695"/>
      <c r="J1187" s="731"/>
      <c r="K1187" s="695"/>
      <c r="L1187" s="686"/>
      <c r="M1187" s="686"/>
      <c r="N1187" s="686"/>
      <c r="O1187" s="686"/>
      <c r="P1187" s="686"/>
      <c r="Q1187" s="666"/>
      <c r="R1187" s="686"/>
      <c r="S1187" s="686"/>
      <c r="T1187" s="688"/>
      <c r="U1187" s="688"/>
      <c r="V1187" s="686"/>
      <c r="W1187" s="686"/>
      <c r="X1187" s="686"/>
      <c r="Y1187" s="686"/>
      <c r="Z1187" s="686"/>
      <c r="AA1187" s="669"/>
      <c r="AB1187" s="695"/>
      <c r="AC1187" s="669"/>
    </row>
    <row r="1188" ht="18.0" customHeight="1">
      <c r="A1188" s="695"/>
      <c r="B1188" s="695"/>
      <c r="C1188" s="695"/>
      <c r="D1188" s="695"/>
      <c r="E1188" s="695"/>
      <c r="F1188" s="686"/>
      <c r="G1188" s="695"/>
      <c r="H1188" s="695"/>
      <c r="I1188" s="695"/>
      <c r="J1188" s="731"/>
      <c r="K1188" s="695"/>
      <c r="L1188" s="686"/>
      <c r="M1188" s="686"/>
      <c r="N1188" s="686"/>
      <c r="O1188" s="686"/>
      <c r="P1188" s="686"/>
      <c r="Q1188" s="666"/>
      <c r="R1188" s="686"/>
      <c r="S1188" s="686"/>
      <c r="T1188" s="688"/>
      <c r="U1188" s="688"/>
      <c r="V1188" s="686"/>
      <c r="W1188" s="686"/>
      <c r="X1188" s="686"/>
      <c r="Y1188" s="686"/>
      <c r="Z1188" s="686"/>
      <c r="AA1188" s="669"/>
      <c r="AB1188" s="695"/>
      <c r="AC1188" s="669"/>
    </row>
    <row r="1189" ht="18.0" customHeight="1">
      <c r="A1189" s="695"/>
      <c r="B1189" s="695"/>
      <c r="C1189" s="695"/>
      <c r="D1189" s="695"/>
      <c r="E1189" s="695"/>
      <c r="F1189" s="686"/>
      <c r="G1189" s="695"/>
      <c r="H1189" s="695"/>
      <c r="I1189" s="695"/>
      <c r="J1189" s="731"/>
      <c r="K1189" s="695"/>
      <c r="L1189" s="686"/>
      <c r="M1189" s="686"/>
      <c r="N1189" s="686"/>
      <c r="O1189" s="686"/>
      <c r="P1189" s="686"/>
      <c r="Q1189" s="666"/>
      <c r="R1189" s="686"/>
      <c r="S1189" s="686"/>
      <c r="T1189" s="688"/>
      <c r="U1189" s="688"/>
      <c r="V1189" s="686"/>
      <c r="W1189" s="686"/>
      <c r="X1189" s="686"/>
      <c r="Y1189" s="686"/>
      <c r="Z1189" s="686"/>
      <c r="AA1189" s="669"/>
      <c r="AB1189" s="695"/>
      <c r="AC1189" s="669"/>
    </row>
    <row r="1190" ht="18.0" customHeight="1">
      <c r="A1190" s="695"/>
      <c r="B1190" s="695"/>
      <c r="C1190" s="695"/>
      <c r="D1190" s="695"/>
      <c r="E1190" s="695"/>
      <c r="F1190" s="686"/>
      <c r="G1190" s="695"/>
      <c r="H1190" s="695"/>
      <c r="I1190" s="695"/>
      <c r="J1190" s="731"/>
      <c r="K1190" s="695"/>
      <c r="L1190" s="686"/>
      <c r="M1190" s="686"/>
      <c r="N1190" s="686"/>
      <c r="O1190" s="686"/>
      <c r="P1190" s="686"/>
      <c r="Q1190" s="666"/>
      <c r="R1190" s="686"/>
      <c r="S1190" s="686"/>
      <c r="T1190" s="688"/>
      <c r="U1190" s="688"/>
      <c r="V1190" s="686"/>
      <c r="W1190" s="686"/>
      <c r="X1190" s="686"/>
      <c r="Y1190" s="686"/>
      <c r="Z1190" s="686"/>
      <c r="AA1190" s="669"/>
      <c r="AB1190" s="695"/>
      <c r="AC1190" s="669"/>
    </row>
    <row r="1191" ht="18.0" customHeight="1">
      <c r="A1191" s="695"/>
      <c r="B1191" s="695"/>
      <c r="C1191" s="695"/>
      <c r="D1191" s="695"/>
      <c r="E1191" s="695"/>
      <c r="F1191" s="686"/>
      <c r="G1191" s="695"/>
      <c r="H1191" s="695"/>
      <c r="I1191" s="695"/>
      <c r="J1191" s="731"/>
      <c r="K1191" s="695"/>
      <c r="L1191" s="686"/>
      <c r="M1191" s="686"/>
      <c r="N1191" s="686"/>
      <c r="O1191" s="686"/>
      <c r="P1191" s="686"/>
      <c r="Q1191" s="666"/>
      <c r="R1191" s="686"/>
      <c r="S1191" s="686"/>
      <c r="T1191" s="688"/>
      <c r="U1191" s="688"/>
      <c r="V1191" s="686"/>
      <c r="W1191" s="686"/>
      <c r="X1191" s="686"/>
      <c r="Y1191" s="686"/>
      <c r="Z1191" s="686"/>
      <c r="AA1191" s="669"/>
      <c r="AB1191" s="695"/>
      <c r="AC1191" s="669"/>
    </row>
    <row r="1192" ht="18.0" customHeight="1">
      <c r="A1192" s="695"/>
      <c r="B1192" s="695"/>
      <c r="C1192" s="695"/>
      <c r="D1192" s="695"/>
      <c r="E1192" s="695"/>
      <c r="F1192" s="686"/>
      <c r="G1192" s="695"/>
      <c r="H1192" s="695"/>
      <c r="I1192" s="695"/>
      <c r="J1192" s="731"/>
      <c r="K1192" s="695"/>
      <c r="L1192" s="686"/>
      <c r="M1192" s="686"/>
      <c r="N1192" s="686"/>
      <c r="O1192" s="686"/>
      <c r="P1192" s="686"/>
      <c r="Q1192" s="666"/>
      <c r="R1192" s="686"/>
      <c r="S1192" s="686"/>
      <c r="T1192" s="688"/>
      <c r="U1192" s="688"/>
      <c r="V1192" s="686"/>
      <c r="W1192" s="686"/>
      <c r="X1192" s="686"/>
      <c r="Y1192" s="686"/>
      <c r="Z1192" s="686"/>
      <c r="AA1192" s="669"/>
      <c r="AB1192" s="695"/>
      <c r="AC1192" s="669"/>
    </row>
    <row r="1193" ht="18.0" customHeight="1">
      <c r="A1193" s="695"/>
      <c r="B1193" s="695"/>
      <c r="C1193" s="695"/>
      <c r="D1193" s="695"/>
      <c r="E1193" s="695"/>
      <c r="F1193" s="686"/>
      <c r="G1193" s="695"/>
      <c r="H1193" s="695"/>
      <c r="I1193" s="695"/>
      <c r="J1193" s="731"/>
      <c r="K1193" s="695"/>
      <c r="L1193" s="686"/>
      <c r="M1193" s="686"/>
      <c r="N1193" s="686"/>
      <c r="O1193" s="686"/>
      <c r="P1193" s="686"/>
      <c r="Q1193" s="666"/>
      <c r="R1193" s="686"/>
      <c r="S1193" s="686"/>
      <c r="T1193" s="688"/>
      <c r="U1193" s="688"/>
      <c r="V1193" s="686"/>
      <c r="W1193" s="686"/>
      <c r="X1193" s="686"/>
      <c r="Y1193" s="686"/>
      <c r="Z1193" s="686"/>
      <c r="AA1193" s="669"/>
      <c r="AB1193" s="695"/>
      <c r="AC1193" s="669"/>
    </row>
    <row r="1194" ht="18.0" customHeight="1">
      <c r="A1194" s="695"/>
      <c r="B1194" s="695"/>
      <c r="C1194" s="695"/>
      <c r="D1194" s="695"/>
      <c r="E1194" s="695"/>
      <c r="F1194" s="686"/>
      <c r="G1194" s="695"/>
      <c r="H1194" s="695"/>
      <c r="I1194" s="695"/>
      <c r="J1194" s="731"/>
      <c r="K1194" s="695"/>
      <c r="L1194" s="686"/>
      <c r="M1194" s="686"/>
      <c r="N1194" s="686"/>
      <c r="O1194" s="686"/>
      <c r="P1194" s="686"/>
      <c r="Q1194" s="666"/>
      <c r="R1194" s="686"/>
      <c r="S1194" s="686"/>
      <c r="T1194" s="688"/>
      <c r="U1194" s="688"/>
      <c r="V1194" s="686"/>
      <c r="W1194" s="686"/>
      <c r="X1194" s="686"/>
      <c r="Y1194" s="686"/>
      <c r="Z1194" s="686"/>
      <c r="AA1194" s="669"/>
      <c r="AB1194" s="695"/>
      <c r="AC1194" s="669"/>
    </row>
    <row r="1195" ht="18.0" customHeight="1">
      <c r="A1195" s="695"/>
      <c r="B1195" s="695"/>
      <c r="C1195" s="695"/>
      <c r="D1195" s="695"/>
      <c r="E1195" s="695"/>
      <c r="F1195" s="686"/>
      <c r="G1195" s="695"/>
      <c r="H1195" s="695"/>
      <c r="I1195" s="695"/>
      <c r="J1195" s="731"/>
      <c r="K1195" s="695"/>
      <c r="L1195" s="686"/>
      <c r="M1195" s="686"/>
      <c r="N1195" s="686"/>
      <c r="O1195" s="686"/>
      <c r="P1195" s="686"/>
      <c r="Q1195" s="666"/>
      <c r="R1195" s="686"/>
      <c r="S1195" s="686"/>
      <c r="T1195" s="688"/>
      <c r="U1195" s="688"/>
      <c r="V1195" s="686"/>
      <c r="W1195" s="686"/>
      <c r="X1195" s="686"/>
      <c r="Y1195" s="686"/>
      <c r="Z1195" s="686"/>
      <c r="AA1195" s="669"/>
      <c r="AB1195" s="695"/>
      <c r="AC1195" s="669"/>
    </row>
    <row r="1196" ht="18.0" customHeight="1">
      <c r="A1196" s="695"/>
      <c r="B1196" s="695"/>
      <c r="C1196" s="695"/>
      <c r="D1196" s="695"/>
      <c r="E1196" s="695"/>
      <c r="F1196" s="686"/>
      <c r="G1196" s="695"/>
      <c r="H1196" s="695"/>
      <c r="I1196" s="695"/>
      <c r="J1196" s="731"/>
      <c r="K1196" s="695"/>
      <c r="L1196" s="686"/>
      <c r="M1196" s="686"/>
      <c r="N1196" s="686"/>
      <c r="O1196" s="686"/>
      <c r="P1196" s="686"/>
      <c r="Q1196" s="666"/>
      <c r="R1196" s="686"/>
      <c r="S1196" s="686"/>
      <c r="T1196" s="688"/>
      <c r="U1196" s="688"/>
      <c r="V1196" s="686"/>
      <c r="W1196" s="686"/>
      <c r="X1196" s="686"/>
      <c r="Y1196" s="686"/>
      <c r="Z1196" s="686"/>
      <c r="AA1196" s="669"/>
      <c r="AB1196" s="695"/>
      <c r="AC1196" s="669"/>
    </row>
    <row r="1197" ht="18.0" customHeight="1">
      <c r="A1197" s="695"/>
      <c r="B1197" s="695"/>
      <c r="C1197" s="695"/>
      <c r="D1197" s="695"/>
      <c r="E1197" s="695"/>
      <c r="F1197" s="686"/>
      <c r="G1197" s="695"/>
      <c r="H1197" s="695"/>
      <c r="I1197" s="695"/>
      <c r="J1197" s="731"/>
      <c r="K1197" s="695"/>
      <c r="L1197" s="686"/>
      <c r="M1197" s="686"/>
      <c r="N1197" s="686"/>
      <c r="O1197" s="686"/>
      <c r="P1197" s="686"/>
      <c r="Q1197" s="666"/>
      <c r="R1197" s="686"/>
      <c r="S1197" s="686"/>
      <c r="T1197" s="688"/>
      <c r="U1197" s="688"/>
      <c r="V1197" s="686"/>
      <c r="W1197" s="686"/>
      <c r="X1197" s="686"/>
      <c r="Y1197" s="686"/>
      <c r="Z1197" s="686"/>
      <c r="AA1197" s="669"/>
      <c r="AB1197" s="695"/>
      <c r="AC1197" s="669"/>
    </row>
    <row r="1198" ht="18.0" customHeight="1">
      <c r="A1198" s="695"/>
      <c r="B1198" s="695"/>
      <c r="C1198" s="695"/>
      <c r="D1198" s="695"/>
      <c r="E1198" s="695"/>
      <c r="F1198" s="686"/>
      <c r="G1198" s="695"/>
      <c r="H1198" s="695"/>
      <c r="I1198" s="695"/>
      <c r="J1198" s="731"/>
      <c r="K1198" s="695"/>
      <c r="L1198" s="686"/>
      <c r="M1198" s="686"/>
      <c r="N1198" s="686"/>
      <c r="O1198" s="686"/>
      <c r="P1198" s="686"/>
      <c r="Q1198" s="666"/>
      <c r="R1198" s="686"/>
      <c r="S1198" s="686"/>
      <c r="T1198" s="688"/>
      <c r="U1198" s="688"/>
      <c r="V1198" s="686"/>
      <c r="W1198" s="686"/>
      <c r="X1198" s="686"/>
      <c r="Y1198" s="686"/>
      <c r="Z1198" s="686"/>
      <c r="AA1198" s="669"/>
      <c r="AB1198" s="695"/>
      <c r="AC1198" s="669"/>
    </row>
    <row r="1199" ht="18.0" customHeight="1">
      <c r="A1199" s="695"/>
      <c r="B1199" s="695"/>
      <c r="C1199" s="695"/>
      <c r="D1199" s="695"/>
      <c r="E1199" s="695"/>
      <c r="F1199" s="686"/>
      <c r="G1199" s="695"/>
      <c r="H1199" s="695"/>
      <c r="I1199" s="695"/>
      <c r="J1199" s="731"/>
      <c r="K1199" s="695"/>
      <c r="L1199" s="686"/>
      <c r="M1199" s="686"/>
      <c r="N1199" s="686"/>
      <c r="O1199" s="686"/>
      <c r="P1199" s="686"/>
      <c r="Q1199" s="666"/>
      <c r="R1199" s="686"/>
      <c r="S1199" s="686"/>
      <c r="T1199" s="688"/>
      <c r="U1199" s="688"/>
      <c r="V1199" s="686"/>
      <c r="W1199" s="686"/>
      <c r="X1199" s="686"/>
      <c r="Y1199" s="686"/>
      <c r="Z1199" s="686"/>
      <c r="AA1199" s="669"/>
      <c r="AB1199" s="695"/>
      <c r="AC1199" s="669"/>
    </row>
    <row r="1200" ht="18.0" customHeight="1">
      <c r="A1200" s="695"/>
      <c r="B1200" s="695"/>
      <c r="C1200" s="695"/>
      <c r="D1200" s="695"/>
      <c r="E1200" s="695"/>
      <c r="F1200" s="686"/>
      <c r="G1200" s="695"/>
      <c r="H1200" s="695"/>
      <c r="I1200" s="695"/>
      <c r="J1200" s="731"/>
      <c r="K1200" s="695"/>
      <c r="L1200" s="686"/>
      <c r="M1200" s="686"/>
      <c r="N1200" s="686"/>
      <c r="O1200" s="686"/>
      <c r="P1200" s="686"/>
      <c r="Q1200" s="666"/>
      <c r="R1200" s="686"/>
      <c r="S1200" s="686"/>
      <c r="T1200" s="688"/>
      <c r="U1200" s="688"/>
      <c r="V1200" s="686"/>
      <c r="W1200" s="686"/>
      <c r="X1200" s="686"/>
      <c r="Y1200" s="686"/>
      <c r="Z1200" s="686"/>
      <c r="AA1200" s="669"/>
      <c r="AB1200" s="695"/>
      <c r="AC1200" s="669"/>
    </row>
    <row r="1201" ht="18.0" customHeight="1">
      <c r="A1201" s="695"/>
      <c r="B1201" s="695"/>
      <c r="C1201" s="695"/>
      <c r="D1201" s="695"/>
      <c r="E1201" s="695"/>
      <c r="F1201" s="686"/>
      <c r="G1201" s="695"/>
      <c r="H1201" s="695"/>
      <c r="I1201" s="695"/>
      <c r="J1201" s="731"/>
      <c r="K1201" s="695"/>
      <c r="L1201" s="686"/>
      <c r="M1201" s="686"/>
      <c r="N1201" s="686"/>
      <c r="O1201" s="686"/>
      <c r="P1201" s="686"/>
      <c r="Q1201" s="666"/>
      <c r="R1201" s="686"/>
      <c r="S1201" s="686"/>
      <c r="T1201" s="688"/>
      <c r="U1201" s="688"/>
      <c r="V1201" s="686"/>
      <c r="W1201" s="686"/>
      <c r="X1201" s="686"/>
      <c r="Y1201" s="686"/>
      <c r="Z1201" s="686"/>
      <c r="AA1201" s="669"/>
      <c r="AB1201" s="695"/>
      <c r="AC1201" s="669"/>
    </row>
    <row r="1202" ht="18.0" customHeight="1">
      <c r="A1202" s="695"/>
      <c r="B1202" s="695"/>
      <c r="C1202" s="695"/>
      <c r="D1202" s="695"/>
      <c r="E1202" s="695"/>
      <c r="F1202" s="686"/>
      <c r="G1202" s="695"/>
      <c r="H1202" s="695"/>
      <c r="I1202" s="695"/>
      <c r="J1202" s="731"/>
      <c r="K1202" s="695"/>
      <c r="L1202" s="686"/>
      <c r="M1202" s="686"/>
      <c r="N1202" s="686"/>
      <c r="O1202" s="686"/>
      <c r="P1202" s="686"/>
      <c r="Q1202" s="666"/>
      <c r="R1202" s="686"/>
      <c r="S1202" s="686"/>
      <c r="T1202" s="688"/>
      <c r="U1202" s="688"/>
      <c r="V1202" s="686"/>
      <c r="W1202" s="686"/>
      <c r="X1202" s="686"/>
      <c r="Y1202" s="686"/>
      <c r="Z1202" s="686"/>
      <c r="AA1202" s="669"/>
      <c r="AB1202" s="695"/>
      <c r="AC1202" s="669"/>
    </row>
    <row r="1203" ht="18.0" customHeight="1">
      <c r="A1203" s="695"/>
      <c r="B1203" s="695"/>
      <c r="C1203" s="695"/>
      <c r="D1203" s="695"/>
      <c r="E1203" s="695"/>
      <c r="F1203" s="686"/>
      <c r="G1203" s="695"/>
      <c r="H1203" s="695"/>
      <c r="I1203" s="695"/>
      <c r="J1203" s="731"/>
      <c r="K1203" s="695"/>
      <c r="L1203" s="686"/>
      <c r="M1203" s="686"/>
      <c r="N1203" s="686"/>
      <c r="O1203" s="686"/>
      <c r="P1203" s="686"/>
      <c r="Q1203" s="666"/>
      <c r="R1203" s="686"/>
      <c r="S1203" s="686"/>
      <c r="T1203" s="688"/>
      <c r="U1203" s="688"/>
      <c r="V1203" s="686"/>
      <c r="W1203" s="686"/>
      <c r="X1203" s="686"/>
      <c r="Y1203" s="686"/>
      <c r="Z1203" s="686"/>
      <c r="AA1203" s="669"/>
      <c r="AB1203" s="695"/>
      <c r="AC1203" s="669"/>
    </row>
    <row r="1204" ht="18.0" customHeight="1">
      <c r="A1204" s="695"/>
      <c r="B1204" s="695"/>
      <c r="C1204" s="695"/>
      <c r="D1204" s="695"/>
      <c r="E1204" s="695"/>
      <c r="F1204" s="686"/>
      <c r="G1204" s="695"/>
      <c r="H1204" s="695"/>
      <c r="I1204" s="695"/>
      <c r="J1204" s="731"/>
      <c r="K1204" s="695"/>
      <c r="L1204" s="686"/>
      <c r="M1204" s="686"/>
      <c r="N1204" s="686"/>
      <c r="O1204" s="686"/>
      <c r="P1204" s="686"/>
      <c r="Q1204" s="666"/>
      <c r="R1204" s="686"/>
      <c r="S1204" s="686"/>
      <c r="T1204" s="688"/>
      <c r="U1204" s="688"/>
      <c r="V1204" s="686"/>
      <c r="W1204" s="686"/>
      <c r="X1204" s="686"/>
      <c r="Y1204" s="686"/>
      <c r="Z1204" s="686"/>
      <c r="AA1204" s="669"/>
      <c r="AB1204" s="695"/>
      <c r="AC1204" s="669"/>
    </row>
    <row r="1205" ht="18.0" customHeight="1">
      <c r="A1205" s="695"/>
      <c r="B1205" s="695"/>
      <c r="C1205" s="695"/>
      <c r="D1205" s="695"/>
      <c r="E1205" s="695"/>
      <c r="F1205" s="686"/>
      <c r="G1205" s="695"/>
      <c r="H1205" s="695"/>
      <c r="I1205" s="695"/>
      <c r="J1205" s="731"/>
      <c r="K1205" s="695"/>
      <c r="L1205" s="686"/>
      <c r="M1205" s="686"/>
      <c r="N1205" s="686"/>
      <c r="O1205" s="686"/>
      <c r="P1205" s="686"/>
      <c r="Q1205" s="666"/>
      <c r="R1205" s="686"/>
      <c r="S1205" s="686"/>
      <c r="T1205" s="688"/>
      <c r="U1205" s="688"/>
      <c r="V1205" s="686"/>
      <c r="W1205" s="686"/>
      <c r="X1205" s="686"/>
      <c r="Y1205" s="686"/>
      <c r="Z1205" s="686"/>
      <c r="AA1205" s="669"/>
      <c r="AB1205" s="695"/>
      <c r="AC1205" s="669"/>
    </row>
    <row r="1206" ht="18.0" customHeight="1">
      <c r="A1206" s="695"/>
      <c r="B1206" s="695"/>
      <c r="C1206" s="695"/>
      <c r="D1206" s="695"/>
      <c r="E1206" s="695"/>
      <c r="F1206" s="686"/>
      <c r="G1206" s="695"/>
      <c r="H1206" s="695"/>
      <c r="I1206" s="695"/>
      <c r="J1206" s="731"/>
      <c r="K1206" s="695"/>
      <c r="L1206" s="686"/>
      <c r="M1206" s="686"/>
      <c r="N1206" s="686"/>
      <c r="O1206" s="686"/>
      <c r="P1206" s="686"/>
      <c r="Q1206" s="666"/>
      <c r="R1206" s="686"/>
      <c r="S1206" s="686"/>
      <c r="T1206" s="688"/>
      <c r="U1206" s="688"/>
      <c r="V1206" s="686"/>
      <c r="W1206" s="686"/>
      <c r="X1206" s="686"/>
      <c r="Y1206" s="686"/>
      <c r="Z1206" s="686"/>
      <c r="AA1206" s="669"/>
      <c r="AB1206" s="695"/>
      <c r="AC1206" s="669"/>
    </row>
    <row r="1207" ht="18.0" customHeight="1">
      <c r="A1207" s="695"/>
      <c r="B1207" s="695"/>
      <c r="C1207" s="695"/>
      <c r="D1207" s="695"/>
      <c r="E1207" s="695"/>
      <c r="F1207" s="686"/>
      <c r="G1207" s="695"/>
      <c r="H1207" s="695"/>
      <c r="I1207" s="695"/>
      <c r="J1207" s="731"/>
      <c r="K1207" s="695"/>
      <c r="L1207" s="686"/>
      <c r="M1207" s="686"/>
      <c r="N1207" s="686"/>
      <c r="O1207" s="686"/>
      <c r="P1207" s="686"/>
      <c r="Q1207" s="666"/>
      <c r="R1207" s="686"/>
      <c r="S1207" s="686"/>
      <c r="T1207" s="688"/>
      <c r="U1207" s="688"/>
      <c r="V1207" s="686"/>
      <c r="W1207" s="686"/>
      <c r="X1207" s="686"/>
      <c r="Y1207" s="686"/>
      <c r="Z1207" s="686"/>
      <c r="AA1207" s="669"/>
      <c r="AB1207" s="695"/>
      <c r="AC1207" s="669"/>
    </row>
    <row r="1208" ht="18.0" customHeight="1">
      <c r="A1208" s="695"/>
      <c r="B1208" s="695"/>
      <c r="C1208" s="695"/>
      <c r="D1208" s="695"/>
      <c r="E1208" s="695"/>
      <c r="F1208" s="686"/>
      <c r="G1208" s="695"/>
      <c r="H1208" s="695"/>
      <c r="I1208" s="695"/>
      <c r="J1208" s="731"/>
      <c r="K1208" s="695"/>
      <c r="L1208" s="686"/>
      <c r="M1208" s="686"/>
      <c r="N1208" s="686"/>
      <c r="O1208" s="686"/>
      <c r="P1208" s="686"/>
      <c r="Q1208" s="666"/>
      <c r="R1208" s="686"/>
      <c r="S1208" s="686"/>
      <c r="T1208" s="688"/>
      <c r="U1208" s="688"/>
      <c r="V1208" s="686"/>
      <c r="W1208" s="686"/>
      <c r="X1208" s="686"/>
      <c r="Y1208" s="686"/>
      <c r="Z1208" s="686"/>
      <c r="AA1208" s="669"/>
      <c r="AB1208" s="695"/>
      <c r="AC1208" s="669"/>
    </row>
    <row r="1209" ht="18.0" customHeight="1">
      <c r="A1209" s="695"/>
      <c r="B1209" s="695"/>
      <c r="C1209" s="695"/>
      <c r="D1209" s="695"/>
      <c r="E1209" s="695"/>
      <c r="F1209" s="686"/>
      <c r="G1209" s="695"/>
      <c r="H1209" s="695"/>
      <c r="I1209" s="695"/>
      <c r="J1209" s="731"/>
      <c r="K1209" s="695"/>
      <c r="L1209" s="686"/>
      <c r="M1209" s="686"/>
      <c r="N1209" s="686"/>
      <c r="O1209" s="686"/>
      <c r="P1209" s="686"/>
      <c r="Q1209" s="666"/>
      <c r="R1209" s="686"/>
      <c r="S1209" s="686"/>
      <c r="T1209" s="688"/>
      <c r="U1209" s="688"/>
      <c r="V1209" s="686"/>
      <c r="W1209" s="686"/>
      <c r="X1209" s="686"/>
      <c r="Y1209" s="686"/>
      <c r="Z1209" s="686"/>
      <c r="AA1209" s="669"/>
      <c r="AB1209" s="695"/>
      <c r="AC1209" s="669"/>
    </row>
    <row r="1210" ht="18.0" customHeight="1">
      <c r="A1210" s="695"/>
      <c r="B1210" s="695"/>
      <c r="C1210" s="695"/>
      <c r="D1210" s="695"/>
      <c r="E1210" s="695"/>
      <c r="F1210" s="686"/>
      <c r="G1210" s="695"/>
      <c r="H1210" s="695"/>
      <c r="I1210" s="695"/>
      <c r="J1210" s="731"/>
      <c r="K1210" s="695"/>
      <c r="L1210" s="686"/>
      <c r="M1210" s="686"/>
      <c r="N1210" s="686"/>
      <c r="O1210" s="686"/>
      <c r="P1210" s="686"/>
      <c r="Q1210" s="666"/>
      <c r="R1210" s="686"/>
      <c r="S1210" s="686"/>
      <c r="T1210" s="688"/>
      <c r="U1210" s="688"/>
      <c r="V1210" s="686"/>
      <c r="W1210" s="686"/>
      <c r="X1210" s="686"/>
      <c r="Y1210" s="686"/>
      <c r="Z1210" s="686"/>
      <c r="AA1210" s="669"/>
      <c r="AB1210" s="695"/>
      <c r="AC1210" s="669"/>
    </row>
    <row r="1211" ht="18.0" customHeight="1">
      <c r="A1211" s="695"/>
      <c r="B1211" s="695"/>
      <c r="C1211" s="695"/>
      <c r="D1211" s="695"/>
      <c r="E1211" s="695"/>
      <c r="F1211" s="686"/>
      <c r="G1211" s="695"/>
      <c r="H1211" s="695"/>
      <c r="I1211" s="695"/>
      <c r="J1211" s="731"/>
      <c r="K1211" s="695"/>
      <c r="L1211" s="686"/>
      <c r="M1211" s="686"/>
      <c r="N1211" s="686"/>
      <c r="O1211" s="686"/>
      <c r="P1211" s="686"/>
      <c r="Q1211" s="666"/>
      <c r="R1211" s="686"/>
      <c r="S1211" s="686"/>
      <c r="T1211" s="688"/>
      <c r="U1211" s="688"/>
      <c r="V1211" s="686"/>
      <c r="W1211" s="686"/>
      <c r="X1211" s="686"/>
      <c r="Y1211" s="686"/>
      <c r="Z1211" s="686"/>
      <c r="AA1211" s="669"/>
      <c r="AB1211" s="695"/>
      <c r="AC1211" s="669"/>
    </row>
    <row r="1212" ht="18.0" customHeight="1">
      <c r="A1212" s="695"/>
      <c r="B1212" s="695"/>
      <c r="C1212" s="695"/>
      <c r="D1212" s="695"/>
      <c r="E1212" s="695"/>
      <c r="F1212" s="686"/>
      <c r="G1212" s="695"/>
      <c r="H1212" s="695"/>
      <c r="I1212" s="695"/>
      <c r="J1212" s="731"/>
      <c r="K1212" s="695"/>
      <c r="L1212" s="686"/>
      <c r="M1212" s="686"/>
      <c r="N1212" s="686"/>
      <c r="O1212" s="686"/>
      <c r="P1212" s="686"/>
      <c r="Q1212" s="666"/>
      <c r="R1212" s="686"/>
      <c r="S1212" s="686"/>
      <c r="T1212" s="688"/>
      <c r="U1212" s="688"/>
      <c r="V1212" s="686"/>
      <c r="W1212" s="686"/>
      <c r="X1212" s="686"/>
      <c r="Y1212" s="686"/>
      <c r="Z1212" s="686"/>
      <c r="AA1212" s="669"/>
      <c r="AB1212" s="695"/>
      <c r="AC1212" s="669"/>
    </row>
    <row r="1213" ht="18.0" customHeight="1">
      <c r="A1213" s="695"/>
      <c r="B1213" s="695"/>
      <c r="C1213" s="695"/>
      <c r="D1213" s="695"/>
      <c r="E1213" s="695"/>
      <c r="F1213" s="686"/>
      <c r="G1213" s="695"/>
      <c r="H1213" s="695"/>
      <c r="I1213" s="695"/>
      <c r="J1213" s="731"/>
      <c r="K1213" s="695"/>
      <c r="L1213" s="686"/>
      <c r="M1213" s="686"/>
      <c r="N1213" s="686"/>
      <c r="O1213" s="686"/>
      <c r="P1213" s="686"/>
      <c r="Q1213" s="666"/>
      <c r="R1213" s="686"/>
      <c r="S1213" s="686"/>
      <c r="T1213" s="688"/>
      <c r="U1213" s="688"/>
      <c r="V1213" s="686"/>
      <c r="W1213" s="686"/>
      <c r="X1213" s="686"/>
      <c r="Y1213" s="686"/>
      <c r="Z1213" s="686"/>
      <c r="AA1213" s="669"/>
      <c r="AB1213" s="695"/>
      <c r="AC1213" s="669"/>
    </row>
    <row r="1214" ht="18.0" customHeight="1">
      <c r="A1214" s="695"/>
      <c r="B1214" s="695"/>
      <c r="C1214" s="695"/>
      <c r="D1214" s="695"/>
      <c r="E1214" s="695"/>
      <c r="F1214" s="686"/>
      <c r="G1214" s="695"/>
      <c r="H1214" s="695"/>
      <c r="I1214" s="695"/>
      <c r="J1214" s="731"/>
      <c r="K1214" s="695"/>
      <c r="L1214" s="686"/>
      <c r="M1214" s="686"/>
      <c r="N1214" s="686"/>
      <c r="O1214" s="686"/>
      <c r="P1214" s="686"/>
      <c r="Q1214" s="666"/>
      <c r="R1214" s="686"/>
      <c r="S1214" s="686"/>
      <c r="T1214" s="688"/>
      <c r="U1214" s="688"/>
      <c r="V1214" s="686"/>
      <c r="W1214" s="686"/>
      <c r="X1214" s="686"/>
      <c r="Y1214" s="686"/>
      <c r="Z1214" s="686"/>
      <c r="AA1214" s="669"/>
      <c r="AB1214" s="695"/>
      <c r="AC1214" s="669"/>
    </row>
    <row r="1215" ht="18.0" customHeight="1">
      <c r="A1215" s="695"/>
      <c r="B1215" s="695"/>
      <c r="C1215" s="695"/>
      <c r="D1215" s="695"/>
      <c r="E1215" s="695"/>
      <c r="F1215" s="686"/>
      <c r="G1215" s="695"/>
      <c r="H1215" s="695"/>
      <c r="I1215" s="695"/>
      <c r="J1215" s="731"/>
      <c r="K1215" s="695"/>
      <c r="L1215" s="686"/>
      <c r="M1215" s="686"/>
      <c r="N1215" s="686"/>
      <c r="O1215" s="686"/>
      <c r="P1215" s="686"/>
      <c r="Q1215" s="666"/>
      <c r="R1215" s="686"/>
      <c r="S1215" s="686"/>
      <c r="T1215" s="688"/>
      <c r="U1215" s="688"/>
      <c r="V1215" s="686"/>
      <c r="W1215" s="686"/>
      <c r="X1215" s="686"/>
      <c r="Y1215" s="686"/>
      <c r="Z1215" s="686"/>
      <c r="AA1215" s="669"/>
      <c r="AB1215" s="695"/>
      <c r="AC1215" s="669"/>
    </row>
    <row r="1216" ht="18.0" customHeight="1">
      <c r="A1216" s="695"/>
      <c r="B1216" s="695"/>
      <c r="C1216" s="695"/>
      <c r="D1216" s="695"/>
      <c r="E1216" s="695"/>
      <c r="F1216" s="686"/>
      <c r="G1216" s="695"/>
      <c r="H1216" s="695"/>
      <c r="I1216" s="695"/>
      <c r="J1216" s="731"/>
      <c r="K1216" s="695"/>
      <c r="L1216" s="686"/>
      <c r="M1216" s="686"/>
      <c r="N1216" s="686"/>
      <c r="O1216" s="686"/>
      <c r="P1216" s="686"/>
      <c r="Q1216" s="666"/>
      <c r="R1216" s="686"/>
      <c r="S1216" s="686"/>
      <c r="T1216" s="688"/>
      <c r="U1216" s="688"/>
      <c r="V1216" s="686"/>
      <c r="W1216" s="686"/>
      <c r="X1216" s="686"/>
      <c r="Y1216" s="686"/>
      <c r="Z1216" s="686"/>
      <c r="AA1216" s="669"/>
      <c r="AB1216" s="695"/>
      <c r="AC1216" s="669"/>
    </row>
    <row r="1217" ht="18.0" customHeight="1">
      <c r="A1217" s="695"/>
      <c r="B1217" s="695"/>
      <c r="C1217" s="695"/>
      <c r="D1217" s="695"/>
      <c r="E1217" s="695"/>
      <c r="F1217" s="686"/>
      <c r="G1217" s="695"/>
      <c r="H1217" s="695"/>
      <c r="I1217" s="695"/>
      <c r="J1217" s="731"/>
      <c r="K1217" s="695"/>
      <c r="L1217" s="686"/>
      <c r="M1217" s="686"/>
      <c r="N1217" s="686"/>
      <c r="O1217" s="686"/>
      <c r="P1217" s="686"/>
      <c r="Q1217" s="666"/>
      <c r="R1217" s="686"/>
      <c r="S1217" s="686"/>
      <c r="T1217" s="688"/>
      <c r="U1217" s="688"/>
      <c r="V1217" s="686"/>
      <c r="W1217" s="686"/>
      <c r="X1217" s="686"/>
      <c r="Y1217" s="686"/>
      <c r="Z1217" s="686"/>
      <c r="AA1217" s="669"/>
      <c r="AB1217" s="695"/>
      <c r="AC1217" s="669"/>
    </row>
    <row r="1218" ht="18.0" customHeight="1">
      <c r="A1218" s="695"/>
      <c r="B1218" s="695"/>
      <c r="C1218" s="695"/>
      <c r="D1218" s="695"/>
      <c r="E1218" s="695"/>
      <c r="F1218" s="686"/>
      <c r="G1218" s="695"/>
      <c r="H1218" s="695"/>
      <c r="I1218" s="695"/>
      <c r="J1218" s="731"/>
      <c r="K1218" s="695"/>
      <c r="L1218" s="686"/>
      <c r="M1218" s="686"/>
      <c r="N1218" s="686"/>
      <c r="O1218" s="686"/>
      <c r="P1218" s="686"/>
      <c r="Q1218" s="666"/>
      <c r="R1218" s="686"/>
      <c r="S1218" s="686"/>
      <c r="T1218" s="688"/>
      <c r="U1218" s="688"/>
      <c r="V1218" s="686"/>
      <c r="W1218" s="686"/>
      <c r="X1218" s="686"/>
      <c r="Y1218" s="686"/>
      <c r="Z1218" s="686"/>
      <c r="AA1218" s="669"/>
      <c r="AB1218" s="695"/>
      <c r="AC1218" s="669"/>
    </row>
    <row r="1219" ht="18.0" customHeight="1">
      <c r="A1219" s="695"/>
      <c r="B1219" s="695"/>
      <c r="C1219" s="695"/>
      <c r="D1219" s="695"/>
      <c r="E1219" s="695"/>
      <c r="F1219" s="686"/>
      <c r="G1219" s="695"/>
      <c r="H1219" s="695"/>
      <c r="I1219" s="695"/>
      <c r="J1219" s="731"/>
      <c r="K1219" s="695"/>
      <c r="L1219" s="686"/>
      <c r="M1219" s="686"/>
      <c r="N1219" s="686"/>
      <c r="O1219" s="686"/>
      <c r="P1219" s="686"/>
      <c r="Q1219" s="666"/>
      <c r="R1219" s="686"/>
      <c r="S1219" s="686"/>
      <c r="T1219" s="688"/>
      <c r="U1219" s="688"/>
      <c r="V1219" s="686"/>
      <c r="W1219" s="686"/>
      <c r="X1219" s="686"/>
      <c r="Y1219" s="686"/>
      <c r="Z1219" s="686"/>
      <c r="AA1219" s="669"/>
      <c r="AB1219" s="695"/>
      <c r="AC1219" s="669"/>
    </row>
    <row r="1220" ht="18.0" customHeight="1">
      <c r="A1220" s="695"/>
      <c r="B1220" s="695"/>
      <c r="C1220" s="695"/>
      <c r="D1220" s="695"/>
      <c r="E1220" s="695"/>
      <c r="F1220" s="686"/>
      <c r="G1220" s="695"/>
      <c r="H1220" s="695"/>
      <c r="I1220" s="695"/>
      <c r="J1220" s="731"/>
      <c r="K1220" s="695"/>
      <c r="L1220" s="686"/>
      <c r="M1220" s="686"/>
      <c r="N1220" s="686"/>
      <c r="O1220" s="686"/>
      <c r="P1220" s="686"/>
      <c r="Q1220" s="666"/>
      <c r="R1220" s="686"/>
      <c r="S1220" s="686"/>
      <c r="T1220" s="688"/>
      <c r="U1220" s="688"/>
      <c r="V1220" s="686"/>
      <c r="W1220" s="686"/>
      <c r="X1220" s="686"/>
      <c r="Y1220" s="686"/>
      <c r="Z1220" s="686"/>
      <c r="AA1220" s="669"/>
      <c r="AB1220" s="695"/>
      <c r="AC1220" s="669"/>
    </row>
    <row r="1221" ht="18.0" customHeight="1">
      <c r="A1221" s="695"/>
      <c r="B1221" s="695"/>
      <c r="C1221" s="695"/>
      <c r="D1221" s="695"/>
      <c r="E1221" s="695"/>
      <c r="F1221" s="686"/>
      <c r="G1221" s="695"/>
      <c r="H1221" s="695"/>
      <c r="I1221" s="695"/>
      <c r="J1221" s="731"/>
      <c r="K1221" s="695"/>
      <c r="L1221" s="686"/>
      <c r="M1221" s="686"/>
      <c r="N1221" s="686"/>
      <c r="O1221" s="686"/>
      <c r="P1221" s="686"/>
      <c r="Q1221" s="666"/>
      <c r="R1221" s="686"/>
      <c r="S1221" s="686"/>
      <c r="T1221" s="688"/>
      <c r="U1221" s="688"/>
      <c r="V1221" s="686"/>
      <c r="W1221" s="686"/>
      <c r="X1221" s="686"/>
      <c r="Y1221" s="686"/>
      <c r="Z1221" s="686"/>
      <c r="AA1221" s="669"/>
      <c r="AB1221" s="695"/>
      <c r="AC1221" s="669"/>
    </row>
    <row r="1222" ht="18.0" customHeight="1">
      <c r="A1222" s="695"/>
      <c r="B1222" s="695"/>
      <c r="C1222" s="695"/>
      <c r="D1222" s="695"/>
      <c r="E1222" s="695"/>
      <c r="F1222" s="686"/>
      <c r="G1222" s="695"/>
      <c r="H1222" s="695"/>
      <c r="I1222" s="695"/>
      <c r="J1222" s="731"/>
      <c r="K1222" s="695"/>
      <c r="L1222" s="686"/>
      <c r="M1222" s="686"/>
      <c r="N1222" s="686"/>
      <c r="O1222" s="686"/>
      <c r="P1222" s="686"/>
      <c r="Q1222" s="666"/>
      <c r="R1222" s="686"/>
      <c r="S1222" s="686"/>
      <c r="T1222" s="688"/>
      <c r="U1222" s="688"/>
      <c r="V1222" s="686"/>
      <c r="W1222" s="686"/>
      <c r="X1222" s="686"/>
      <c r="Y1222" s="686"/>
      <c r="Z1222" s="686"/>
      <c r="AA1222" s="669"/>
      <c r="AB1222" s="695"/>
      <c r="AC1222" s="669"/>
    </row>
    <row r="1223" ht="18.0" customHeight="1">
      <c r="A1223" s="695"/>
      <c r="B1223" s="695"/>
      <c r="C1223" s="695"/>
      <c r="D1223" s="695"/>
      <c r="E1223" s="695"/>
      <c r="F1223" s="686"/>
      <c r="G1223" s="695"/>
      <c r="H1223" s="695"/>
      <c r="I1223" s="695"/>
      <c r="J1223" s="731"/>
      <c r="K1223" s="695"/>
      <c r="L1223" s="686"/>
      <c r="M1223" s="686"/>
      <c r="N1223" s="686"/>
      <c r="O1223" s="686"/>
      <c r="P1223" s="686"/>
      <c r="Q1223" s="666"/>
      <c r="R1223" s="686"/>
      <c r="S1223" s="686"/>
      <c r="T1223" s="688"/>
      <c r="U1223" s="688"/>
      <c r="V1223" s="686"/>
      <c r="W1223" s="686"/>
      <c r="X1223" s="686"/>
      <c r="Y1223" s="686"/>
      <c r="Z1223" s="686"/>
      <c r="AA1223" s="669"/>
      <c r="AB1223" s="695"/>
      <c r="AC1223" s="669"/>
    </row>
    <row r="1224" ht="18.0" customHeight="1">
      <c r="A1224" s="695"/>
      <c r="B1224" s="695"/>
      <c r="C1224" s="695"/>
      <c r="D1224" s="695"/>
      <c r="E1224" s="695"/>
      <c r="F1224" s="686"/>
      <c r="G1224" s="695"/>
      <c r="H1224" s="695"/>
      <c r="I1224" s="695"/>
      <c r="J1224" s="731"/>
      <c r="K1224" s="695"/>
      <c r="L1224" s="686"/>
      <c r="M1224" s="686"/>
      <c r="N1224" s="686"/>
      <c r="O1224" s="686"/>
      <c r="P1224" s="686"/>
      <c r="Q1224" s="666"/>
      <c r="R1224" s="686"/>
      <c r="S1224" s="686"/>
      <c r="T1224" s="688"/>
      <c r="U1224" s="688"/>
      <c r="V1224" s="686"/>
      <c r="W1224" s="686"/>
      <c r="X1224" s="686"/>
      <c r="Y1224" s="686"/>
      <c r="Z1224" s="686"/>
      <c r="AA1224" s="669"/>
      <c r="AB1224" s="695"/>
      <c r="AC1224" s="669"/>
    </row>
    <row r="1225" ht="18.0" customHeight="1">
      <c r="A1225" s="695"/>
      <c r="B1225" s="695"/>
      <c r="C1225" s="695"/>
      <c r="D1225" s="695"/>
      <c r="E1225" s="695"/>
      <c r="F1225" s="686"/>
      <c r="G1225" s="695"/>
      <c r="H1225" s="695"/>
      <c r="I1225" s="695"/>
      <c r="J1225" s="731"/>
      <c r="K1225" s="695"/>
      <c r="L1225" s="686"/>
      <c r="M1225" s="686"/>
      <c r="N1225" s="686"/>
      <c r="O1225" s="686"/>
      <c r="P1225" s="686"/>
      <c r="Q1225" s="666"/>
      <c r="R1225" s="686"/>
      <c r="S1225" s="686"/>
      <c r="T1225" s="688"/>
      <c r="U1225" s="688"/>
      <c r="V1225" s="686"/>
      <c r="W1225" s="686"/>
      <c r="X1225" s="686"/>
      <c r="Y1225" s="686"/>
      <c r="Z1225" s="686"/>
      <c r="AA1225" s="669"/>
      <c r="AB1225" s="695"/>
      <c r="AC1225" s="669"/>
    </row>
    <row r="1226" ht="18.0" customHeight="1">
      <c r="A1226" s="695"/>
      <c r="B1226" s="695"/>
      <c r="C1226" s="695"/>
      <c r="D1226" s="695"/>
      <c r="E1226" s="695"/>
      <c r="F1226" s="686"/>
      <c r="G1226" s="695"/>
      <c r="H1226" s="695"/>
      <c r="I1226" s="695"/>
      <c r="J1226" s="731"/>
      <c r="K1226" s="695"/>
      <c r="L1226" s="686"/>
      <c r="M1226" s="686"/>
      <c r="N1226" s="686"/>
      <c r="O1226" s="686"/>
      <c r="P1226" s="686"/>
      <c r="Q1226" s="666"/>
      <c r="R1226" s="686"/>
      <c r="S1226" s="686"/>
      <c r="T1226" s="688"/>
      <c r="U1226" s="688"/>
      <c r="V1226" s="686"/>
      <c r="W1226" s="686"/>
      <c r="X1226" s="686"/>
      <c r="Y1226" s="686"/>
      <c r="Z1226" s="686"/>
      <c r="AA1226" s="669"/>
      <c r="AB1226" s="695"/>
      <c r="AC1226" s="669"/>
    </row>
    <row r="1227" ht="18.0" customHeight="1">
      <c r="A1227" s="695"/>
      <c r="B1227" s="695"/>
      <c r="C1227" s="695"/>
      <c r="D1227" s="695"/>
      <c r="E1227" s="695"/>
      <c r="F1227" s="686"/>
      <c r="G1227" s="695"/>
      <c r="H1227" s="695"/>
      <c r="I1227" s="695"/>
      <c r="J1227" s="731"/>
      <c r="K1227" s="695"/>
      <c r="L1227" s="686"/>
      <c r="M1227" s="686"/>
      <c r="N1227" s="686"/>
      <c r="O1227" s="686"/>
      <c r="P1227" s="686"/>
      <c r="Q1227" s="666"/>
      <c r="R1227" s="686"/>
      <c r="S1227" s="686"/>
      <c r="T1227" s="688"/>
      <c r="U1227" s="688"/>
      <c r="V1227" s="686"/>
      <c r="W1227" s="686"/>
      <c r="X1227" s="686"/>
      <c r="Y1227" s="686"/>
      <c r="Z1227" s="686"/>
      <c r="AA1227" s="669"/>
      <c r="AB1227" s="695"/>
      <c r="AC1227" s="669"/>
    </row>
    <row r="1228" ht="18.0" customHeight="1">
      <c r="A1228" s="695"/>
      <c r="B1228" s="695"/>
      <c r="C1228" s="695"/>
      <c r="D1228" s="695"/>
      <c r="E1228" s="695"/>
      <c r="F1228" s="686"/>
      <c r="G1228" s="695"/>
      <c r="H1228" s="695"/>
      <c r="I1228" s="695"/>
      <c r="J1228" s="731"/>
      <c r="K1228" s="695"/>
      <c r="L1228" s="686"/>
      <c r="M1228" s="686"/>
      <c r="N1228" s="686"/>
      <c r="O1228" s="686"/>
      <c r="P1228" s="686"/>
      <c r="Q1228" s="666"/>
      <c r="R1228" s="686"/>
      <c r="S1228" s="686"/>
      <c r="T1228" s="688"/>
      <c r="U1228" s="688"/>
      <c r="V1228" s="686"/>
      <c r="W1228" s="686"/>
      <c r="X1228" s="686"/>
      <c r="Y1228" s="686"/>
      <c r="Z1228" s="686"/>
      <c r="AA1228" s="669"/>
      <c r="AB1228" s="695"/>
      <c r="AC1228" s="669"/>
    </row>
    <row r="1229" ht="18.0" customHeight="1">
      <c r="A1229" s="695"/>
      <c r="B1229" s="695"/>
      <c r="C1229" s="695"/>
      <c r="D1229" s="695"/>
      <c r="E1229" s="695"/>
      <c r="F1229" s="686"/>
      <c r="G1229" s="695"/>
      <c r="H1229" s="695"/>
      <c r="I1229" s="695"/>
      <c r="J1229" s="731"/>
      <c r="K1229" s="695"/>
      <c r="L1229" s="686"/>
      <c r="M1229" s="686"/>
      <c r="N1229" s="686"/>
      <c r="O1229" s="686"/>
      <c r="P1229" s="686"/>
      <c r="Q1229" s="666"/>
      <c r="R1229" s="686"/>
      <c r="S1229" s="686"/>
      <c r="T1229" s="688"/>
      <c r="U1229" s="688"/>
      <c r="V1229" s="686"/>
      <c r="W1229" s="686"/>
      <c r="X1229" s="686"/>
      <c r="Y1229" s="686"/>
      <c r="Z1229" s="686"/>
      <c r="AA1229" s="669"/>
      <c r="AB1229" s="695"/>
      <c r="AC1229" s="669"/>
    </row>
    <row r="1230" ht="18.0" customHeight="1">
      <c r="A1230" s="695"/>
      <c r="B1230" s="695"/>
      <c r="C1230" s="695"/>
      <c r="D1230" s="695"/>
      <c r="E1230" s="695"/>
      <c r="F1230" s="686"/>
      <c r="G1230" s="695"/>
      <c r="H1230" s="695"/>
      <c r="I1230" s="695"/>
      <c r="J1230" s="731"/>
      <c r="K1230" s="695"/>
      <c r="L1230" s="686"/>
      <c r="M1230" s="686"/>
      <c r="N1230" s="686"/>
      <c r="O1230" s="686"/>
      <c r="P1230" s="686"/>
      <c r="Q1230" s="666"/>
      <c r="R1230" s="686"/>
      <c r="S1230" s="686"/>
      <c r="T1230" s="688"/>
      <c r="U1230" s="688"/>
      <c r="V1230" s="686"/>
      <c r="W1230" s="686"/>
      <c r="X1230" s="686"/>
      <c r="Y1230" s="686"/>
      <c r="Z1230" s="686"/>
      <c r="AA1230" s="669"/>
      <c r="AB1230" s="695"/>
      <c r="AC1230" s="669"/>
    </row>
    <row r="1231" ht="18.0" customHeight="1">
      <c r="A1231" s="695"/>
      <c r="B1231" s="695"/>
      <c r="C1231" s="695"/>
      <c r="D1231" s="695"/>
      <c r="E1231" s="695"/>
      <c r="F1231" s="686"/>
      <c r="G1231" s="695"/>
      <c r="H1231" s="695"/>
      <c r="I1231" s="695"/>
      <c r="J1231" s="731"/>
      <c r="K1231" s="695"/>
      <c r="L1231" s="686"/>
      <c r="M1231" s="686"/>
      <c r="N1231" s="686"/>
      <c r="O1231" s="686"/>
      <c r="P1231" s="686"/>
      <c r="Q1231" s="666"/>
      <c r="R1231" s="686"/>
      <c r="S1231" s="686"/>
      <c r="T1231" s="688"/>
      <c r="U1231" s="688"/>
      <c r="V1231" s="686"/>
      <c r="W1231" s="686"/>
      <c r="X1231" s="686"/>
      <c r="Y1231" s="686"/>
      <c r="Z1231" s="686"/>
      <c r="AA1231" s="669"/>
      <c r="AB1231" s="695"/>
      <c r="AC1231" s="669"/>
    </row>
    <row r="1232" ht="18.0" customHeight="1">
      <c r="A1232" s="695"/>
      <c r="B1232" s="695"/>
      <c r="C1232" s="695"/>
      <c r="D1232" s="695"/>
      <c r="E1232" s="695"/>
      <c r="F1232" s="686"/>
      <c r="G1232" s="695"/>
      <c r="H1232" s="695"/>
      <c r="I1232" s="695"/>
      <c r="J1232" s="731"/>
      <c r="K1232" s="695"/>
      <c r="L1232" s="686"/>
      <c r="M1232" s="686"/>
      <c r="N1232" s="686"/>
      <c r="O1232" s="686"/>
      <c r="P1232" s="686"/>
      <c r="Q1232" s="666"/>
      <c r="R1232" s="686"/>
      <c r="S1232" s="686"/>
      <c r="T1232" s="688"/>
      <c r="U1232" s="688"/>
      <c r="V1232" s="686"/>
      <c r="W1232" s="686"/>
      <c r="X1232" s="686"/>
      <c r="Y1232" s="686"/>
      <c r="Z1232" s="686"/>
      <c r="AA1232" s="669"/>
      <c r="AB1232" s="695"/>
      <c r="AC1232" s="669"/>
    </row>
    <row r="1233" ht="18.0" customHeight="1">
      <c r="A1233" s="695"/>
      <c r="B1233" s="695"/>
      <c r="C1233" s="695"/>
      <c r="D1233" s="695"/>
      <c r="E1233" s="695"/>
      <c r="F1233" s="686"/>
      <c r="G1233" s="695"/>
      <c r="H1233" s="695"/>
      <c r="I1233" s="695"/>
      <c r="J1233" s="731"/>
      <c r="K1233" s="695"/>
      <c r="L1233" s="686"/>
      <c r="M1233" s="686"/>
      <c r="N1233" s="686"/>
      <c r="O1233" s="686"/>
      <c r="P1233" s="686"/>
      <c r="Q1233" s="666"/>
      <c r="R1233" s="686"/>
      <c r="S1233" s="686"/>
      <c r="T1233" s="688"/>
      <c r="U1233" s="688"/>
      <c r="V1233" s="686"/>
      <c r="W1233" s="686"/>
      <c r="X1233" s="686"/>
      <c r="Y1233" s="686"/>
      <c r="Z1233" s="686"/>
      <c r="AA1233" s="669"/>
      <c r="AB1233" s="695"/>
      <c r="AC1233" s="669"/>
    </row>
    <row r="1234" ht="18.0" customHeight="1">
      <c r="A1234" s="695"/>
      <c r="B1234" s="695"/>
      <c r="C1234" s="695"/>
      <c r="D1234" s="695"/>
      <c r="E1234" s="695"/>
      <c r="F1234" s="686"/>
      <c r="G1234" s="695"/>
      <c r="H1234" s="695"/>
      <c r="I1234" s="695"/>
      <c r="J1234" s="731"/>
      <c r="K1234" s="695"/>
      <c r="L1234" s="686"/>
      <c r="M1234" s="686"/>
      <c r="N1234" s="686"/>
      <c r="O1234" s="686"/>
      <c r="P1234" s="686"/>
      <c r="Q1234" s="666"/>
      <c r="R1234" s="686"/>
      <c r="S1234" s="686"/>
      <c r="T1234" s="688"/>
      <c r="U1234" s="688"/>
      <c r="V1234" s="686"/>
      <c r="W1234" s="686"/>
      <c r="X1234" s="686"/>
      <c r="Y1234" s="686"/>
      <c r="Z1234" s="686"/>
      <c r="AA1234" s="669"/>
      <c r="AB1234" s="695"/>
      <c r="AC1234" s="669"/>
    </row>
    <row r="1235" ht="18.0" customHeight="1">
      <c r="A1235" s="695"/>
      <c r="B1235" s="695"/>
      <c r="C1235" s="695"/>
      <c r="D1235" s="695"/>
      <c r="E1235" s="695"/>
      <c r="F1235" s="686"/>
      <c r="G1235" s="695"/>
      <c r="H1235" s="695"/>
      <c r="I1235" s="695"/>
      <c r="J1235" s="731"/>
      <c r="K1235" s="695"/>
      <c r="L1235" s="686"/>
      <c r="M1235" s="686"/>
      <c r="N1235" s="686"/>
      <c r="O1235" s="686"/>
      <c r="P1235" s="686"/>
      <c r="Q1235" s="666"/>
      <c r="R1235" s="686"/>
      <c r="S1235" s="686"/>
      <c r="T1235" s="688"/>
      <c r="U1235" s="688"/>
      <c r="V1235" s="686"/>
      <c r="W1235" s="686"/>
      <c r="X1235" s="686"/>
      <c r="Y1235" s="686"/>
      <c r="Z1235" s="686"/>
      <c r="AA1235" s="669"/>
      <c r="AB1235" s="695"/>
      <c r="AC1235" s="669"/>
    </row>
    <row r="1236" ht="18.0" customHeight="1">
      <c r="A1236" s="695"/>
      <c r="B1236" s="695"/>
      <c r="C1236" s="695"/>
      <c r="D1236" s="695"/>
      <c r="E1236" s="695"/>
      <c r="F1236" s="686"/>
      <c r="G1236" s="695"/>
      <c r="H1236" s="695"/>
      <c r="I1236" s="695"/>
      <c r="J1236" s="731"/>
      <c r="K1236" s="695"/>
      <c r="L1236" s="686"/>
      <c r="M1236" s="686"/>
      <c r="N1236" s="686"/>
      <c r="O1236" s="686"/>
      <c r="P1236" s="686"/>
      <c r="Q1236" s="666"/>
      <c r="R1236" s="686"/>
      <c r="S1236" s="686"/>
      <c r="T1236" s="688"/>
      <c r="U1236" s="688"/>
      <c r="V1236" s="686"/>
      <c r="W1236" s="686"/>
      <c r="X1236" s="686"/>
      <c r="Y1236" s="686"/>
      <c r="Z1236" s="686"/>
      <c r="AA1236" s="669"/>
      <c r="AB1236" s="695"/>
      <c r="AC1236" s="669"/>
    </row>
    <row r="1237" ht="18.0" customHeight="1">
      <c r="A1237" s="695"/>
      <c r="B1237" s="695"/>
      <c r="C1237" s="695"/>
      <c r="D1237" s="695"/>
      <c r="E1237" s="695"/>
      <c r="F1237" s="686"/>
      <c r="G1237" s="695"/>
      <c r="H1237" s="695"/>
      <c r="I1237" s="695"/>
      <c r="J1237" s="731"/>
      <c r="K1237" s="695"/>
      <c r="L1237" s="686"/>
      <c r="M1237" s="686"/>
      <c r="N1237" s="686"/>
      <c r="O1237" s="686"/>
      <c r="P1237" s="686"/>
      <c r="Q1237" s="666"/>
      <c r="R1237" s="686"/>
      <c r="S1237" s="686"/>
      <c r="T1237" s="688"/>
      <c r="U1237" s="688"/>
      <c r="V1237" s="686"/>
      <c r="W1237" s="686"/>
      <c r="X1237" s="686"/>
      <c r="Y1237" s="686"/>
      <c r="Z1237" s="686"/>
      <c r="AA1237" s="669"/>
      <c r="AB1237" s="695"/>
      <c r="AC1237" s="669"/>
    </row>
    <row r="1238" ht="18.0" customHeight="1">
      <c r="A1238" s="695"/>
      <c r="B1238" s="695"/>
      <c r="C1238" s="695"/>
      <c r="D1238" s="695"/>
      <c r="E1238" s="695"/>
      <c r="F1238" s="686"/>
      <c r="G1238" s="695"/>
      <c r="H1238" s="695"/>
      <c r="I1238" s="695"/>
      <c r="J1238" s="731"/>
      <c r="K1238" s="695"/>
      <c r="L1238" s="686"/>
      <c r="M1238" s="686"/>
      <c r="N1238" s="686"/>
      <c r="O1238" s="686"/>
      <c r="P1238" s="686"/>
      <c r="Q1238" s="666"/>
      <c r="R1238" s="686"/>
      <c r="S1238" s="686"/>
      <c r="T1238" s="688"/>
      <c r="U1238" s="688"/>
      <c r="V1238" s="686"/>
      <c r="W1238" s="686"/>
      <c r="X1238" s="686"/>
      <c r="Y1238" s="686"/>
      <c r="Z1238" s="686"/>
      <c r="AA1238" s="669"/>
      <c r="AB1238" s="695"/>
      <c r="AC1238" s="669"/>
    </row>
    <row r="1239" ht="18.0" customHeight="1">
      <c r="A1239" s="695"/>
      <c r="B1239" s="695"/>
      <c r="C1239" s="695"/>
      <c r="D1239" s="695"/>
      <c r="E1239" s="695"/>
      <c r="F1239" s="686"/>
      <c r="G1239" s="695"/>
      <c r="H1239" s="695"/>
      <c r="I1239" s="695"/>
      <c r="J1239" s="731"/>
      <c r="K1239" s="695"/>
      <c r="L1239" s="686"/>
      <c r="M1239" s="686"/>
      <c r="N1239" s="686"/>
      <c r="O1239" s="686"/>
      <c r="P1239" s="686"/>
      <c r="Q1239" s="666"/>
      <c r="R1239" s="686"/>
      <c r="S1239" s="686"/>
      <c r="T1239" s="688"/>
      <c r="U1239" s="688"/>
      <c r="V1239" s="686"/>
      <c r="W1239" s="686"/>
      <c r="X1239" s="686"/>
      <c r="Y1239" s="686"/>
      <c r="Z1239" s="686"/>
      <c r="AA1239" s="669"/>
      <c r="AB1239" s="695"/>
      <c r="AC1239" s="669"/>
    </row>
    <row r="1240" ht="18.0" customHeight="1">
      <c r="A1240" s="695"/>
      <c r="B1240" s="695"/>
      <c r="C1240" s="695"/>
      <c r="D1240" s="695"/>
      <c r="E1240" s="695"/>
      <c r="F1240" s="686"/>
      <c r="G1240" s="695"/>
      <c r="H1240" s="695"/>
      <c r="I1240" s="695"/>
      <c r="J1240" s="731"/>
      <c r="K1240" s="695"/>
      <c r="L1240" s="686"/>
      <c r="M1240" s="686"/>
      <c r="N1240" s="686"/>
      <c r="O1240" s="686"/>
      <c r="P1240" s="686"/>
      <c r="Q1240" s="666"/>
      <c r="R1240" s="686"/>
      <c r="S1240" s="686"/>
      <c r="T1240" s="688"/>
      <c r="U1240" s="688"/>
      <c r="V1240" s="686"/>
      <c r="W1240" s="686"/>
      <c r="X1240" s="686"/>
      <c r="Y1240" s="686"/>
      <c r="Z1240" s="686"/>
      <c r="AA1240" s="669"/>
      <c r="AB1240" s="695"/>
      <c r="AC1240" s="669"/>
    </row>
    <row r="1241" ht="18.0" customHeight="1">
      <c r="A1241" s="695"/>
      <c r="B1241" s="695"/>
      <c r="C1241" s="695"/>
      <c r="D1241" s="695"/>
      <c r="E1241" s="695"/>
      <c r="F1241" s="686"/>
      <c r="G1241" s="695"/>
      <c r="H1241" s="695"/>
      <c r="I1241" s="695"/>
      <c r="J1241" s="731"/>
      <c r="K1241" s="695"/>
      <c r="L1241" s="686"/>
      <c r="M1241" s="686"/>
      <c r="N1241" s="686"/>
      <c r="O1241" s="686"/>
      <c r="P1241" s="686"/>
      <c r="Q1241" s="666"/>
      <c r="R1241" s="686"/>
      <c r="S1241" s="686"/>
      <c r="T1241" s="688"/>
      <c r="U1241" s="688"/>
      <c r="V1241" s="686"/>
      <c r="W1241" s="686"/>
      <c r="X1241" s="686"/>
      <c r="Y1241" s="686"/>
      <c r="Z1241" s="686"/>
      <c r="AA1241" s="669"/>
      <c r="AB1241" s="695"/>
      <c r="AC1241" s="669"/>
    </row>
    <row r="1242" ht="18.0" customHeight="1">
      <c r="A1242" s="695"/>
      <c r="B1242" s="695"/>
      <c r="C1242" s="695"/>
      <c r="D1242" s="695"/>
      <c r="E1242" s="695"/>
      <c r="F1242" s="686"/>
      <c r="G1242" s="695"/>
      <c r="H1242" s="695"/>
      <c r="I1242" s="695"/>
      <c r="J1242" s="731"/>
      <c r="K1242" s="695"/>
      <c r="L1242" s="686"/>
      <c r="M1242" s="686"/>
      <c r="N1242" s="686"/>
      <c r="O1242" s="686"/>
      <c r="P1242" s="686"/>
      <c r="Q1242" s="666"/>
      <c r="R1242" s="686"/>
      <c r="S1242" s="686"/>
      <c r="T1242" s="688"/>
      <c r="U1242" s="688"/>
      <c r="V1242" s="686"/>
      <c r="W1242" s="686"/>
      <c r="X1242" s="686"/>
      <c r="Y1242" s="686"/>
      <c r="Z1242" s="686"/>
      <c r="AA1242" s="669"/>
      <c r="AB1242" s="695"/>
      <c r="AC1242" s="669"/>
    </row>
    <row r="1243" ht="18.0" customHeight="1">
      <c r="A1243" s="695"/>
      <c r="B1243" s="695"/>
      <c r="C1243" s="695"/>
      <c r="D1243" s="695"/>
      <c r="E1243" s="695"/>
      <c r="F1243" s="686"/>
      <c r="G1243" s="695"/>
      <c r="H1243" s="695"/>
      <c r="I1243" s="695"/>
      <c r="J1243" s="731"/>
      <c r="K1243" s="695"/>
      <c r="L1243" s="686"/>
      <c r="M1243" s="686"/>
      <c r="N1243" s="686"/>
      <c r="O1243" s="686"/>
      <c r="P1243" s="686"/>
      <c r="Q1243" s="666"/>
      <c r="R1243" s="686"/>
      <c r="S1243" s="686"/>
      <c r="T1243" s="688"/>
      <c r="U1243" s="688"/>
      <c r="V1243" s="686"/>
      <c r="W1243" s="686"/>
      <c r="X1243" s="686"/>
      <c r="Y1243" s="686"/>
      <c r="Z1243" s="686"/>
      <c r="AA1243" s="669"/>
      <c r="AB1243" s="695"/>
      <c r="AC1243" s="669"/>
    </row>
    <row r="1244" ht="18.0" customHeight="1">
      <c r="A1244" s="695"/>
      <c r="B1244" s="695"/>
      <c r="C1244" s="695"/>
      <c r="D1244" s="695"/>
      <c r="E1244" s="695"/>
      <c r="F1244" s="686"/>
      <c r="G1244" s="695"/>
      <c r="H1244" s="695"/>
      <c r="I1244" s="695"/>
      <c r="J1244" s="731"/>
      <c r="K1244" s="695"/>
      <c r="L1244" s="686"/>
      <c r="M1244" s="686"/>
      <c r="N1244" s="686"/>
      <c r="O1244" s="686"/>
      <c r="P1244" s="686"/>
      <c r="Q1244" s="666"/>
      <c r="R1244" s="686"/>
      <c r="S1244" s="686"/>
      <c r="T1244" s="688"/>
      <c r="U1244" s="688"/>
      <c r="V1244" s="686"/>
      <c r="W1244" s="686"/>
      <c r="X1244" s="686"/>
      <c r="Y1244" s="686"/>
      <c r="Z1244" s="686"/>
      <c r="AA1244" s="669"/>
      <c r="AB1244" s="695"/>
      <c r="AC1244" s="669"/>
    </row>
    <row r="1245" ht="18.0" customHeight="1">
      <c r="A1245" s="695"/>
      <c r="B1245" s="695"/>
      <c r="C1245" s="695"/>
      <c r="D1245" s="695"/>
      <c r="E1245" s="695"/>
      <c r="F1245" s="686"/>
      <c r="G1245" s="695"/>
      <c r="H1245" s="695"/>
      <c r="I1245" s="695"/>
      <c r="J1245" s="731"/>
      <c r="K1245" s="695"/>
      <c r="L1245" s="686"/>
      <c r="M1245" s="686"/>
      <c r="N1245" s="686"/>
      <c r="O1245" s="686"/>
      <c r="P1245" s="686"/>
      <c r="Q1245" s="666"/>
      <c r="R1245" s="686"/>
      <c r="S1245" s="686"/>
      <c r="T1245" s="688"/>
      <c r="U1245" s="688"/>
      <c r="V1245" s="686"/>
      <c r="W1245" s="686"/>
      <c r="X1245" s="686"/>
      <c r="Y1245" s="686"/>
      <c r="Z1245" s="686"/>
      <c r="AA1245" s="669"/>
      <c r="AB1245" s="695"/>
      <c r="AC1245" s="669"/>
    </row>
    <row r="1246" ht="18.0" customHeight="1">
      <c r="A1246" s="695"/>
      <c r="B1246" s="695"/>
      <c r="C1246" s="695"/>
      <c r="D1246" s="695"/>
      <c r="E1246" s="695"/>
      <c r="F1246" s="686"/>
      <c r="G1246" s="695"/>
      <c r="H1246" s="695"/>
      <c r="I1246" s="695"/>
      <c r="J1246" s="731"/>
      <c r="K1246" s="695"/>
      <c r="L1246" s="686"/>
      <c r="M1246" s="686"/>
      <c r="N1246" s="686"/>
      <c r="O1246" s="686"/>
      <c r="P1246" s="686"/>
      <c r="Q1246" s="666"/>
      <c r="R1246" s="686"/>
      <c r="S1246" s="686"/>
      <c r="T1246" s="688"/>
      <c r="U1246" s="688"/>
      <c r="V1246" s="686"/>
      <c r="W1246" s="686"/>
      <c r="X1246" s="686"/>
      <c r="Y1246" s="686"/>
      <c r="Z1246" s="686"/>
      <c r="AA1246" s="669"/>
      <c r="AB1246" s="695"/>
      <c r="AC1246" s="669"/>
    </row>
    <row r="1247" ht="18.0" customHeight="1">
      <c r="A1247" s="695"/>
      <c r="B1247" s="695"/>
      <c r="C1247" s="695"/>
      <c r="D1247" s="695"/>
      <c r="E1247" s="695"/>
      <c r="F1247" s="686"/>
      <c r="G1247" s="695"/>
      <c r="H1247" s="695"/>
      <c r="I1247" s="695"/>
      <c r="J1247" s="731"/>
      <c r="K1247" s="695"/>
      <c r="L1247" s="686"/>
      <c r="M1247" s="686"/>
      <c r="N1247" s="686"/>
      <c r="O1247" s="686"/>
      <c r="P1247" s="686"/>
      <c r="Q1247" s="666"/>
      <c r="R1247" s="686"/>
      <c r="S1247" s="686"/>
      <c r="T1247" s="688"/>
      <c r="U1247" s="688"/>
      <c r="V1247" s="686"/>
      <c r="W1247" s="686"/>
      <c r="X1247" s="686"/>
      <c r="Y1247" s="686"/>
      <c r="Z1247" s="686"/>
      <c r="AA1247" s="669"/>
      <c r="AB1247" s="695"/>
      <c r="AC1247" s="669"/>
    </row>
    <row r="1248" ht="18.0" customHeight="1">
      <c r="A1248" s="695"/>
      <c r="B1248" s="695"/>
      <c r="C1248" s="695"/>
      <c r="D1248" s="695"/>
      <c r="E1248" s="695"/>
      <c r="F1248" s="686"/>
      <c r="G1248" s="695"/>
      <c r="H1248" s="695"/>
      <c r="I1248" s="695"/>
      <c r="J1248" s="731"/>
      <c r="K1248" s="695"/>
      <c r="L1248" s="686"/>
      <c r="M1248" s="686"/>
      <c r="N1248" s="686"/>
      <c r="O1248" s="686"/>
      <c r="P1248" s="686"/>
      <c r="Q1248" s="666"/>
      <c r="R1248" s="686"/>
      <c r="S1248" s="686"/>
      <c r="T1248" s="688"/>
      <c r="U1248" s="688"/>
      <c r="V1248" s="686"/>
      <c r="W1248" s="686"/>
      <c r="X1248" s="686"/>
      <c r="Y1248" s="686"/>
      <c r="Z1248" s="686"/>
      <c r="AA1248" s="669"/>
      <c r="AB1248" s="695"/>
      <c r="AC1248" s="669"/>
    </row>
    <row r="1249" ht="18.0" customHeight="1">
      <c r="A1249" s="695"/>
      <c r="B1249" s="695"/>
      <c r="C1249" s="695"/>
      <c r="D1249" s="695"/>
      <c r="E1249" s="695"/>
      <c r="F1249" s="686"/>
      <c r="G1249" s="695"/>
      <c r="H1249" s="695"/>
      <c r="I1249" s="695"/>
      <c r="J1249" s="731"/>
      <c r="K1249" s="695"/>
      <c r="L1249" s="686"/>
      <c r="M1249" s="686"/>
      <c r="N1249" s="686"/>
      <c r="O1249" s="686"/>
      <c r="P1249" s="686"/>
      <c r="Q1249" s="666"/>
      <c r="R1249" s="686"/>
      <c r="S1249" s="686"/>
      <c r="T1249" s="688"/>
      <c r="U1249" s="688"/>
      <c r="V1249" s="686"/>
      <c r="W1249" s="686"/>
      <c r="X1249" s="686"/>
      <c r="Y1249" s="686"/>
      <c r="Z1249" s="686"/>
      <c r="AA1249" s="669"/>
      <c r="AB1249" s="695"/>
      <c r="AC1249" s="669"/>
    </row>
    <row r="1250" ht="18.0" customHeight="1">
      <c r="A1250" s="695"/>
      <c r="B1250" s="695"/>
      <c r="C1250" s="695"/>
      <c r="D1250" s="695"/>
      <c r="E1250" s="695"/>
      <c r="F1250" s="686"/>
      <c r="G1250" s="695"/>
      <c r="H1250" s="695"/>
      <c r="I1250" s="695"/>
      <c r="J1250" s="731"/>
      <c r="K1250" s="695"/>
      <c r="L1250" s="686"/>
      <c r="M1250" s="686"/>
      <c r="N1250" s="686"/>
      <c r="O1250" s="686"/>
      <c r="P1250" s="686"/>
      <c r="Q1250" s="666"/>
      <c r="R1250" s="686"/>
      <c r="S1250" s="686"/>
      <c r="T1250" s="688"/>
      <c r="U1250" s="688"/>
      <c r="V1250" s="686"/>
      <c r="W1250" s="686"/>
      <c r="X1250" s="686"/>
      <c r="Y1250" s="686"/>
      <c r="Z1250" s="686"/>
      <c r="AA1250" s="669"/>
      <c r="AB1250" s="695"/>
      <c r="AC1250" s="669"/>
    </row>
    <row r="1251" ht="18.0" customHeight="1">
      <c r="A1251" s="695"/>
      <c r="B1251" s="695"/>
      <c r="C1251" s="695"/>
      <c r="D1251" s="695"/>
      <c r="E1251" s="695"/>
      <c r="F1251" s="686"/>
      <c r="G1251" s="695"/>
      <c r="H1251" s="695"/>
      <c r="I1251" s="695"/>
      <c r="J1251" s="731"/>
      <c r="K1251" s="695"/>
      <c r="L1251" s="686"/>
      <c r="M1251" s="686"/>
      <c r="N1251" s="686"/>
      <c r="O1251" s="686"/>
      <c r="P1251" s="686"/>
      <c r="Q1251" s="666"/>
      <c r="R1251" s="686"/>
      <c r="S1251" s="686"/>
      <c r="T1251" s="688"/>
      <c r="U1251" s="688"/>
      <c r="V1251" s="686"/>
      <c r="W1251" s="686"/>
      <c r="X1251" s="686"/>
      <c r="Y1251" s="686"/>
      <c r="Z1251" s="686"/>
      <c r="AA1251" s="669"/>
      <c r="AB1251" s="695"/>
      <c r="AC1251" s="669"/>
    </row>
    <row r="1252" ht="18.0" customHeight="1">
      <c r="A1252" s="695"/>
      <c r="B1252" s="695"/>
      <c r="C1252" s="695"/>
      <c r="D1252" s="695"/>
      <c r="E1252" s="695"/>
      <c r="F1252" s="686"/>
      <c r="G1252" s="695"/>
      <c r="H1252" s="695"/>
      <c r="I1252" s="695"/>
      <c r="J1252" s="731"/>
      <c r="K1252" s="695"/>
      <c r="L1252" s="686"/>
      <c r="M1252" s="686"/>
      <c r="N1252" s="686"/>
      <c r="O1252" s="686"/>
      <c r="P1252" s="686"/>
      <c r="Q1252" s="666"/>
      <c r="R1252" s="686"/>
      <c r="S1252" s="686"/>
      <c r="T1252" s="688"/>
      <c r="U1252" s="688"/>
      <c r="V1252" s="686"/>
      <c r="W1252" s="686"/>
      <c r="X1252" s="686"/>
      <c r="Y1252" s="686"/>
      <c r="Z1252" s="686"/>
      <c r="AA1252" s="669"/>
      <c r="AB1252" s="695"/>
      <c r="AC1252" s="669"/>
    </row>
    <row r="1253" ht="18.0" customHeight="1">
      <c r="A1253" s="695"/>
      <c r="B1253" s="695"/>
      <c r="C1253" s="695"/>
      <c r="D1253" s="695"/>
      <c r="E1253" s="695"/>
      <c r="F1253" s="686"/>
      <c r="G1253" s="695"/>
      <c r="H1253" s="695"/>
      <c r="I1253" s="695"/>
      <c r="J1253" s="731"/>
      <c r="K1253" s="695"/>
      <c r="L1253" s="686"/>
      <c r="M1253" s="686"/>
      <c r="N1253" s="686"/>
      <c r="O1253" s="686"/>
      <c r="P1253" s="686"/>
      <c r="Q1253" s="666"/>
      <c r="R1253" s="686"/>
      <c r="S1253" s="686"/>
      <c r="T1253" s="688"/>
      <c r="U1253" s="688"/>
      <c r="V1253" s="686"/>
      <c r="W1253" s="686"/>
      <c r="X1253" s="686"/>
      <c r="Y1253" s="686"/>
      <c r="Z1253" s="686"/>
      <c r="AA1253" s="669"/>
      <c r="AB1253" s="695"/>
      <c r="AC1253" s="669"/>
    </row>
    <row r="1254" ht="18.0" customHeight="1">
      <c r="A1254" s="695"/>
      <c r="B1254" s="695"/>
      <c r="C1254" s="695"/>
      <c r="D1254" s="695"/>
      <c r="E1254" s="695"/>
      <c r="F1254" s="686"/>
      <c r="G1254" s="695"/>
      <c r="H1254" s="695"/>
      <c r="I1254" s="695"/>
      <c r="J1254" s="731"/>
      <c r="K1254" s="695"/>
      <c r="L1254" s="686"/>
      <c r="M1254" s="686"/>
      <c r="N1254" s="686"/>
      <c r="O1254" s="686"/>
      <c r="P1254" s="686"/>
      <c r="Q1254" s="666"/>
      <c r="R1254" s="686"/>
      <c r="S1254" s="686"/>
      <c r="T1254" s="688"/>
      <c r="U1254" s="688"/>
      <c r="V1254" s="686"/>
      <c r="W1254" s="686"/>
      <c r="X1254" s="686"/>
      <c r="Y1254" s="686"/>
      <c r="Z1254" s="686"/>
      <c r="AA1254" s="669"/>
      <c r="AB1254" s="695"/>
      <c r="AC1254" s="669"/>
    </row>
    <row r="1255" ht="18.0" customHeight="1">
      <c r="A1255" s="695"/>
      <c r="B1255" s="695"/>
      <c r="C1255" s="695"/>
      <c r="D1255" s="695"/>
      <c r="E1255" s="695"/>
      <c r="F1255" s="686"/>
      <c r="G1255" s="695"/>
      <c r="H1255" s="695"/>
      <c r="I1255" s="695"/>
      <c r="J1255" s="731"/>
      <c r="K1255" s="695"/>
      <c r="L1255" s="686"/>
      <c r="M1255" s="686"/>
      <c r="N1255" s="686"/>
      <c r="O1255" s="686"/>
      <c r="P1255" s="686"/>
      <c r="Q1255" s="666"/>
      <c r="R1255" s="686"/>
      <c r="S1255" s="686"/>
      <c r="T1255" s="688"/>
      <c r="U1255" s="688"/>
      <c r="V1255" s="686"/>
      <c r="W1255" s="686"/>
      <c r="X1255" s="686"/>
      <c r="Y1255" s="686"/>
      <c r="Z1255" s="686"/>
      <c r="AA1255" s="669"/>
      <c r="AB1255" s="695"/>
      <c r="AC1255" s="669"/>
    </row>
    <row r="1256" ht="18.0" customHeight="1">
      <c r="A1256" s="695"/>
      <c r="B1256" s="695"/>
      <c r="C1256" s="695"/>
      <c r="D1256" s="695"/>
      <c r="E1256" s="695"/>
      <c r="F1256" s="686"/>
      <c r="G1256" s="695"/>
      <c r="H1256" s="695"/>
      <c r="I1256" s="695"/>
      <c r="J1256" s="731"/>
      <c r="K1256" s="695"/>
      <c r="L1256" s="686"/>
      <c r="M1256" s="686"/>
      <c r="N1256" s="686"/>
      <c r="O1256" s="686"/>
      <c r="P1256" s="686"/>
      <c r="Q1256" s="666"/>
      <c r="R1256" s="686"/>
      <c r="S1256" s="686"/>
      <c r="T1256" s="688"/>
      <c r="U1256" s="688"/>
      <c r="V1256" s="686"/>
      <c r="W1256" s="686"/>
      <c r="X1256" s="686"/>
      <c r="Y1256" s="686"/>
      <c r="Z1256" s="686"/>
      <c r="AA1256" s="669"/>
      <c r="AB1256" s="695"/>
      <c r="AC1256" s="669"/>
    </row>
    <row r="1257" ht="18.0" customHeight="1">
      <c r="A1257" s="695"/>
      <c r="B1257" s="695"/>
      <c r="C1257" s="695"/>
      <c r="D1257" s="695"/>
      <c r="E1257" s="695"/>
      <c r="F1257" s="686"/>
      <c r="G1257" s="695"/>
      <c r="H1257" s="695"/>
      <c r="I1257" s="695"/>
      <c r="J1257" s="731"/>
      <c r="K1257" s="695"/>
      <c r="L1257" s="686"/>
      <c r="M1257" s="686"/>
      <c r="N1257" s="686"/>
      <c r="O1257" s="686"/>
      <c r="P1257" s="686"/>
      <c r="Q1257" s="666"/>
      <c r="R1257" s="686"/>
      <c r="S1257" s="686"/>
      <c r="T1257" s="688"/>
      <c r="U1257" s="688"/>
      <c r="V1257" s="686"/>
      <c r="W1257" s="686"/>
      <c r="X1257" s="686"/>
      <c r="Y1257" s="686"/>
      <c r="Z1257" s="686"/>
      <c r="AA1257" s="669"/>
      <c r="AB1257" s="695"/>
      <c r="AC1257" s="669"/>
    </row>
    <row r="1258" ht="18.0" customHeight="1">
      <c r="A1258" s="695"/>
      <c r="B1258" s="695"/>
      <c r="C1258" s="695"/>
      <c r="D1258" s="695"/>
      <c r="E1258" s="695"/>
      <c r="F1258" s="686"/>
      <c r="G1258" s="695"/>
      <c r="H1258" s="695"/>
      <c r="I1258" s="695"/>
      <c r="J1258" s="731"/>
      <c r="K1258" s="695"/>
      <c r="L1258" s="686"/>
      <c r="M1258" s="686"/>
      <c r="N1258" s="686"/>
      <c r="O1258" s="686"/>
      <c r="P1258" s="686"/>
      <c r="Q1258" s="666"/>
      <c r="R1258" s="686"/>
      <c r="S1258" s="686"/>
      <c r="T1258" s="688"/>
      <c r="U1258" s="688"/>
      <c r="V1258" s="686"/>
      <c r="W1258" s="686"/>
      <c r="X1258" s="686"/>
      <c r="Y1258" s="686"/>
      <c r="Z1258" s="686"/>
      <c r="AA1258" s="669"/>
      <c r="AB1258" s="695"/>
      <c r="AC1258" s="669"/>
    </row>
    <row r="1259" ht="18.0" customHeight="1">
      <c r="A1259" s="695"/>
      <c r="B1259" s="695"/>
      <c r="C1259" s="695"/>
      <c r="D1259" s="695"/>
      <c r="E1259" s="695"/>
      <c r="F1259" s="686"/>
      <c r="G1259" s="695"/>
      <c r="H1259" s="695"/>
      <c r="I1259" s="695"/>
      <c r="J1259" s="731"/>
      <c r="K1259" s="695"/>
      <c r="L1259" s="686"/>
      <c r="M1259" s="686"/>
      <c r="N1259" s="686"/>
      <c r="O1259" s="686"/>
      <c r="P1259" s="686"/>
      <c r="Q1259" s="666"/>
      <c r="R1259" s="686"/>
      <c r="S1259" s="686"/>
      <c r="T1259" s="688"/>
      <c r="U1259" s="688"/>
      <c r="V1259" s="686"/>
      <c r="W1259" s="686"/>
      <c r="X1259" s="686"/>
      <c r="Y1259" s="686"/>
      <c r="Z1259" s="686"/>
      <c r="AA1259" s="669"/>
      <c r="AB1259" s="695"/>
      <c r="AC1259" s="669"/>
    </row>
    <row r="1260" ht="18.0" customHeight="1">
      <c r="A1260" s="695"/>
      <c r="B1260" s="695"/>
      <c r="C1260" s="695"/>
      <c r="D1260" s="695"/>
      <c r="E1260" s="695"/>
      <c r="F1260" s="686"/>
      <c r="G1260" s="695"/>
      <c r="H1260" s="695"/>
      <c r="I1260" s="695"/>
      <c r="J1260" s="731"/>
      <c r="K1260" s="695"/>
      <c r="L1260" s="686"/>
      <c r="M1260" s="686"/>
      <c r="N1260" s="686"/>
      <c r="O1260" s="686"/>
      <c r="P1260" s="686"/>
      <c r="Q1260" s="666"/>
      <c r="R1260" s="686"/>
      <c r="S1260" s="686"/>
      <c r="T1260" s="688"/>
      <c r="U1260" s="688"/>
      <c r="V1260" s="686"/>
      <c r="W1260" s="686"/>
      <c r="X1260" s="686"/>
      <c r="Y1260" s="686"/>
      <c r="Z1260" s="686"/>
      <c r="AA1260" s="669"/>
      <c r="AB1260" s="695"/>
      <c r="AC1260" s="669"/>
    </row>
    <row r="1261" ht="18.0" customHeight="1">
      <c r="A1261" s="695"/>
      <c r="B1261" s="695"/>
      <c r="C1261" s="695"/>
      <c r="D1261" s="695"/>
      <c r="E1261" s="695"/>
      <c r="F1261" s="686"/>
      <c r="G1261" s="695"/>
      <c r="H1261" s="695"/>
      <c r="I1261" s="695"/>
      <c r="J1261" s="731"/>
      <c r="K1261" s="695"/>
      <c r="L1261" s="686"/>
      <c r="M1261" s="686"/>
      <c r="N1261" s="686"/>
      <c r="O1261" s="686"/>
      <c r="P1261" s="686"/>
      <c r="Q1261" s="666"/>
      <c r="R1261" s="686"/>
      <c r="S1261" s="686"/>
      <c r="T1261" s="688"/>
      <c r="U1261" s="688"/>
      <c r="V1261" s="686"/>
      <c r="W1261" s="686"/>
      <c r="X1261" s="686"/>
      <c r="Y1261" s="686"/>
      <c r="Z1261" s="686"/>
      <c r="AA1261" s="669"/>
      <c r="AB1261" s="695"/>
      <c r="AC1261" s="669"/>
    </row>
    <row r="1262" ht="18.0" customHeight="1">
      <c r="A1262" s="695"/>
      <c r="B1262" s="695"/>
      <c r="C1262" s="695"/>
      <c r="D1262" s="695"/>
      <c r="E1262" s="695"/>
      <c r="F1262" s="686"/>
      <c r="G1262" s="695"/>
      <c r="H1262" s="695"/>
      <c r="I1262" s="695"/>
      <c r="J1262" s="731"/>
      <c r="K1262" s="695"/>
      <c r="L1262" s="686"/>
      <c r="M1262" s="686"/>
      <c r="N1262" s="686"/>
      <c r="O1262" s="686"/>
      <c r="P1262" s="686"/>
      <c r="Q1262" s="666"/>
      <c r="R1262" s="686"/>
      <c r="S1262" s="686"/>
      <c r="T1262" s="688"/>
      <c r="U1262" s="688"/>
      <c r="V1262" s="686"/>
      <c r="W1262" s="686"/>
      <c r="X1262" s="686"/>
      <c r="Y1262" s="686"/>
      <c r="Z1262" s="686"/>
      <c r="AA1262" s="669"/>
      <c r="AB1262" s="695"/>
      <c r="AC1262" s="669"/>
    </row>
    <row r="1263" ht="18.0" customHeight="1">
      <c r="A1263" s="695"/>
      <c r="B1263" s="695"/>
      <c r="C1263" s="695"/>
      <c r="D1263" s="695"/>
      <c r="E1263" s="695"/>
      <c r="F1263" s="686"/>
      <c r="G1263" s="695"/>
      <c r="H1263" s="695"/>
      <c r="I1263" s="695"/>
      <c r="J1263" s="731"/>
      <c r="K1263" s="695"/>
      <c r="L1263" s="686"/>
      <c r="M1263" s="686"/>
      <c r="N1263" s="686"/>
      <c r="O1263" s="686"/>
      <c r="P1263" s="686"/>
      <c r="Q1263" s="666"/>
      <c r="R1263" s="686"/>
      <c r="S1263" s="686"/>
      <c r="T1263" s="688"/>
      <c r="U1263" s="688"/>
      <c r="V1263" s="686"/>
      <c r="W1263" s="686"/>
      <c r="X1263" s="686"/>
      <c r="Y1263" s="686"/>
      <c r="Z1263" s="686"/>
      <c r="AA1263" s="669"/>
      <c r="AB1263" s="695"/>
      <c r="AC1263" s="669"/>
    </row>
    <row r="1264" ht="18.0" customHeight="1">
      <c r="A1264" s="695"/>
      <c r="B1264" s="695"/>
      <c r="C1264" s="695"/>
      <c r="D1264" s="695"/>
      <c r="E1264" s="695"/>
      <c r="F1264" s="686"/>
      <c r="G1264" s="695"/>
      <c r="H1264" s="695"/>
      <c r="I1264" s="695"/>
      <c r="J1264" s="731"/>
      <c r="K1264" s="695"/>
      <c r="L1264" s="686"/>
      <c r="M1264" s="686"/>
      <c r="N1264" s="686"/>
      <c r="O1264" s="686"/>
      <c r="P1264" s="686"/>
      <c r="Q1264" s="666"/>
      <c r="R1264" s="686"/>
      <c r="S1264" s="686"/>
      <c r="T1264" s="688"/>
      <c r="U1264" s="688"/>
      <c r="V1264" s="686"/>
      <c r="W1264" s="686"/>
      <c r="X1264" s="686"/>
      <c r="Y1264" s="686"/>
      <c r="Z1264" s="686"/>
      <c r="AA1264" s="669"/>
      <c r="AB1264" s="695"/>
      <c r="AC1264" s="669"/>
    </row>
    <row r="1265" ht="18.0" customHeight="1">
      <c r="A1265" s="695"/>
      <c r="B1265" s="695"/>
      <c r="C1265" s="695"/>
      <c r="D1265" s="695"/>
      <c r="E1265" s="695"/>
      <c r="F1265" s="686"/>
      <c r="G1265" s="695"/>
      <c r="H1265" s="695"/>
      <c r="I1265" s="695"/>
      <c r="J1265" s="731"/>
      <c r="K1265" s="695"/>
      <c r="L1265" s="686"/>
      <c r="M1265" s="686"/>
      <c r="N1265" s="686"/>
      <c r="O1265" s="686"/>
      <c r="P1265" s="686"/>
      <c r="Q1265" s="666"/>
      <c r="R1265" s="686"/>
      <c r="S1265" s="686"/>
      <c r="T1265" s="688"/>
      <c r="U1265" s="688"/>
      <c r="V1265" s="686"/>
      <c r="W1265" s="686"/>
      <c r="X1265" s="686"/>
      <c r="Y1265" s="686"/>
      <c r="Z1265" s="686"/>
      <c r="AA1265" s="669"/>
      <c r="AB1265" s="695"/>
      <c r="AC1265" s="669"/>
    </row>
    <row r="1266" ht="18.0" customHeight="1">
      <c r="A1266" s="695"/>
      <c r="B1266" s="695"/>
      <c r="C1266" s="695"/>
      <c r="D1266" s="695"/>
      <c r="E1266" s="695"/>
      <c r="F1266" s="686"/>
      <c r="G1266" s="695"/>
      <c r="H1266" s="695"/>
      <c r="I1266" s="695"/>
      <c r="J1266" s="731"/>
      <c r="K1266" s="695"/>
      <c r="L1266" s="686"/>
      <c r="M1266" s="686"/>
      <c r="N1266" s="686"/>
      <c r="O1266" s="686"/>
      <c r="P1266" s="686"/>
      <c r="Q1266" s="666"/>
      <c r="R1266" s="686"/>
      <c r="S1266" s="686"/>
      <c r="T1266" s="688"/>
      <c r="U1266" s="688"/>
      <c r="V1266" s="686"/>
      <c r="W1266" s="686"/>
      <c r="X1266" s="686"/>
      <c r="Y1266" s="686"/>
      <c r="Z1266" s="686"/>
      <c r="AA1266" s="669"/>
      <c r="AB1266" s="695"/>
      <c r="AC1266" s="669"/>
    </row>
    <row r="1267" ht="18.0" customHeight="1">
      <c r="A1267" s="695"/>
      <c r="B1267" s="695"/>
      <c r="C1267" s="695"/>
      <c r="D1267" s="695"/>
      <c r="E1267" s="695"/>
      <c r="F1267" s="686"/>
      <c r="G1267" s="695"/>
      <c r="H1267" s="695"/>
      <c r="I1267" s="695"/>
      <c r="J1267" s="731"/>
      <c r="K1267" s="695"/>
      <c r="L1267" s="686"/>
      <c r="M1267" s="686"/>
      <c r="N1267" s="686"/>
      <c r="O1267" s="686"/>
      <c r="P1267" s="686"/>
      <c r="Q1267" s="666"/>
      <c r="R1267" s="686"/>
      <c r="S1267" s="686"/>
      <c r="T1267" s="688"/>
      <c r="U1267" s="688"/>
      <c r="V1267" s="686"/>
      <c r="W1267" s="686"/>
      <c r="X1267" s="686"/>
      <c r="Y1267" s="686"/>
      <c r="Z1267" s="686"/>
      <c r="AA1267" s="669"/>
      <c r="AB1267" s="695"/>
      <c r="AC1267" s="669"/>
    </row>
    <row r="1268" ht="18.0" customHeight="1">
      <c r="A1268" s="695"/>
      <c r="B1268" s="695"/>
      <c r="C1268" s="695"/>
      <c r="D1268" s="695"/>
      <c r="E1268" s="695"/>
      <c r="F1268" s="686"/>
      <c r="G1268" s="695"/>
      <c r="H1268" s="695"/>
      <c r="I1268" s="695"/>
      <c r="J1268" s="731"/>
      <c r="K1268" s="695"/>
      <c r="L1268" s="686"/>
      <c r="M1268" s="686"/>
      <c r="N1268" s="686"/>
      <c r="O1268" s="686"/>
      <c r="P1268" s="686"/>
      <c r="Q1268" s="666"/>
      <c r="R1268" s="686"/>
      <c r="S1268" s="686"/>
      <c r="T1268" s="688"/>
      <c r="U1268" s="688"/>
      <c r="V1268" s="686"/>
      <c r="W1268" s="686"/>
      <c r="X1268" s="686"/>
      <c r="Y1268" s="686"/>
      <c r="Z1268" s="686"/>
      <c r="AA1268" s="669"/>
      <c r="AB1268" s="695"/>
      <c r="AC1268" s="669"/>
    </row>
    <row r="1269" ht="18.0" customHeight="1">
      <c r="A1269" s="695"/>
      <c r="B1269" s="695"/>
      <c r="C1269" s="695"/>
      <c r="D1269" s="695"/>
      <c r="E1269" s="695"/>
      <c r="F1269" s="686"/>
      <c r="G1269" s="695"/>
      <c r="H1269" s="695"/>
      <c r="I1269" s="695"/>
      <c r="J1269" s="731"/>
      <c r="K1269" s="695"/>
      <c r="L1269" s="686"/>
      <c r="M1269" s="686"/>
      <c r="N1269" s="686"/>
      <c r="O1269" s="686"/>
      <c r="P1269" s="686"/>
      <c r="Q1269" s="666"/>
      <c r="R1269" s="686"/>
      <c r="S1269" s="686"/>
      <c r="T1269" s="688"/>
      <c r="U1269" s="688"/>
      <c r="V1269" s="686"/>
      <c r="W1269" s="686"/>
      <c r="X1269" s="686"/>
      <c r="Y1269" s="686"/>
      <c r="Z1269" s="686"/>
      <c r="AA1269" s="669"/>
      <c r="AB1269" s="695"/>
      <c r="AC1269" s="669"/>
    </row>
    <row r="1270" ht="18.0" customHeight="1">
      <c r="A1270" s="695"/>
      <c r="B1270" s="695"/>
      <c r="C1270" s="695"/>
      <c r="D1270" s="695"/>
      <c r="E1270" s="695"/>
      <c r="F1270" s="686"/>
      <c r="G1270" s="695"/>
      <c r="H1270" s="695"/>
      <c r="I1270" s="695"/>
      <c r="J1270" s="731"/>
      <c r="K1270" s="695"/>
      <c r="L1270" s="686"/>
      <c r="M1270" s="686"/>
      <c r="N1270" s="686"/>
      <c r="O1270" s="686"/>
      <c r="P1270" s="686"/>
      <c r="Q1270" s="666"/>
      <c r="R1270" s="686"/>
      <c r="S1270" s="686"/>
      <c r="T1270" s="688"/>
      <c r="U1270" s="688"/>
      <c r="V1270" s="686"/>
      <c r="W1270" s="686"/>
      <c r="X1270" s="686"/>
      <c r="Y1270" s="686"/>
      <c r="Z1270" s="686"/>
      <c r="AA1270" s="669"/>
      <c r="AB1270" s="695"/>
      <c r="AC1270" s="669"/>
    </row>
    <row r="1271" ht="18.0" customHeight="1">
      <c r="A1271" s="695"/>
      <c r="B1271" s="695"/>
      <c r="C1271" s="695"/>
      <c r="D1271" s="695"/>
      <c r="E1271" s="695"/>
      <c r="F1271" s="686"/>
      <c r="G1271" s="695"/>
      <c r="H1271" s="695"/>
      <c r="I1271" s="695"/>
      <c r="J1271" s="731"/>
      <c r="K1271" s="695"/>
      <c r="L1271" s="686"/>
      <c r="M1271" s="686"/>
      <c r="N1271" s="686"/>
      <c r="O1271" s="686"/>
      <c r="P1271" s="686"/>
      <c r="Q1271" s="666"/>
      <c r="R1271" s="686"/>
      <c r="S1271" s="686"/>
      <c r="T1271" s="688"/>
      <c r="U1271" s="688"/>
      <c r="V1271" s="686"/>
      <c r="W1271" s="686"/>
      <c r="X1271" s="686"/>
      <c r="Y1271" s="686"/>
      <c r="Z1271" s="686"/>
      <c r="AA1271" s="669"/>
      <c r="AB1271" s="695"/>
      <c r="AC1271" s="669"/>
    </row>
    <row r="1272" ht="18.0" customHeight="1">
      <c r="A1272" s="695"/>
      <c r="B1272" s="695"/>
      <c r="C1272" s="695"/>
      <c r="D1272" s="695"/>
      <c r="E1272" s="695"/>
      <c r="F1272" s="686"/>
      <c r="G1272" s="695"/>
      <c r="H1272" s="695"/>
      <c r="I1272" s="695"/>
      <c r="J1272" s="731"/>
      <c r="K1272" s="695"/>
      <c r="L1272" s="686"/>
      <c r="M1272" s="686"/>
      <c r="N1272" s="686"/>
      <c r="O1272" s="686"/>
      <c r="P1272" s="686"/>
      <c r="Q1272" s="666"/>
      <c r="R1272" s="686"/>
      <c r="S1272" s="686"/>
      <c r="T1272" s="688"/>
      <c r="U1272" s="688"/>
      <c r="V1272" s="686"/>
      <c r="W1272" s="686"/>
      <c r="X1272" s="686"/>
      <c r="Y1272" s="686"/>
      <c r="Z1272" s="686"/>
      <c r="AA1272" s="669"/>
      <c r="AB1272" s="695"/>
      <c r="AC1272" s="669"/>
    </row>
    <row r="1273" ht="18.0" customHeight="1">
      <c r="A1273" s="695"/>
      <c r="B1273" s="695"/>
      <c r="C1273" s="695"/>
      <c r="D1273" s="695"/>
      <c r="E1273" s="695"/>
      <c r="F1273" s="686"/>
      <c r="G1273" s="695"/>
      <c r="H1273" s="695"/>
      <c r="I1273" s="695"/>
      <c r="J1273" s="731"/>
      <c r="K1273" s="695"/>
      <c r="L1273" s="686"/>
      <c r="M1273" s="686"/>
      <c r="N1273" s="686"/>
      <c r="O1273" s="686"/>
      <c r="P1273" s="686"/>
      <c r="Q1273" s="666"/>
      <c r="R1273" s="686"/>
      <c r="S1273" s="686"/>
      <c r="T1273" s="688"/>
      <c r="U1273" s="688"/>
      <c r="V1273" s="686"/>
      <c r="W1273" s="686"/>
      <c r="X1273" s="686"/>
      <c r="Y1273" s="686"/>
      <c r="Z1273" s="686"/>
      <c r="AA1273" s="669"/>
      <c r="AB1273" s="695"/>
      <c r="AC1273" s="669"/>
    </row>
    <row r="1274" ht="18.0" customHeight="1">
      <c r="A1274" s="695"/>
      <c r="B1274" s="695"/>
      <c r="C1274" s="695"/>
      <c r="D1274" s="695"/>
      <c r="E1274" s="695"/>
      <c r="F1274" s="686"/>
      <c r="G1274" s="695"/>
      <c r="H1274" s="695"/>
      <c r="I1274" s="695"/>
      <c r="J1274" s="731"/>
      <c r="K1274" s="695"/>
      <c r="L1274" s="686"/>
      <c r="M1274" s="686"/>
      <c r="N1274" s="686"/>
      <c r="O1274" s="686"/>
      <c r="P1274" s="686"/>
      <c r="Q1274" s="666"/>
      <c r="R1274" s="686"/>
      <c r="S1274" s="686"/>
      <c r="T1274" s="688"/>
      <c r="U1274" s="688"/>
      <c r="V1274" s="686"/>
      <c r="W1274" s="686"/>
      <c r="X1274" s="686"/>
      <c r="Y1274" s="686"/>
      <c r="Z1274" s="686"/>
      <c r="AA1274" s="669"/>
      <c r="AB1274" s="695"/>
      <c r="AC1274" s="669"/>
    </row>
    <row r="1275" ht="18.0" customHeight="1">
      <c r="A1275" s="695"/>
      <c r="B1275" s="695"/>
      <c r="C1275" s="695"/>
      <c r="D1275" s="695"/>
      <c r="E1275" s="695"/>
      <c r="F1275" s="686"/>
      <c r="G1275" s="695"/>
      <c r="H1275" s="695"/>
      <c r="I1275" s="695"/>
      <c r="J1275" s="731"/>
      <c r="K1275" s="695"/>
      <c r="L1275" s="686"/>
      <c r="M1275" s="686"/>
      <c r="N1275" s="686"/>
      <c r="O1275" s="686"/>
      <c r="P1275" s="686"/>
      <c r="Q1275" s="666"/>
      <c r="R1275" s="686"/>
      <c r="S1275" s="686"/>
      <c r="T1275" s="688"/>
      <c r="U1275" s="688"/>
      <c r="V1275" s="686"/>
      <c r="W1275" s="686"/>
      <c r="X1275" s="686"/>
      <c r="Y1275" s="686"/>
      <c r="Z1275" s="686"/>
      <c r="AA1275" s="669"/>
      <c r="AB1275" s="695"/>
      <c r="AC1275" s="669"/>
    </row>
    <row r="1276" ht="18.0" customHeight="1">
      <c r="A1276" s="695"/>
      <c r="B1276" s="695"/>
      <c r="C1276" s="695"/>
      <c r="D1276" s="695"/>
      <c r="E1276" s="695"/>
      <c r="F1276" s="686"/>
      <c r="G1276" s="695"/>
      <c r="H1276" s="695"/>
      <c r="I1276" s="695"/>
      <c r="J1276" s="731"/>
      <c r="K1276" s="695"/>
      <c r="L1276" s="686"/>
      <c r="M1276" s="686"/>
      <c r="N1276" s="686"/>
      <c r="O1276" s="686"/>
      <c r="P1276" s="686"/>
      <c r="Q1276" s="666"/>
      <c r="R1276" s="686"/>
      <c r="S1276" s="686"/>
      <c r="T1276" s="688"/>
      <c r="U1276" s="688"/>
      <c r="V1276" s="686"/>
      <c r="W1276" s="686"/>
      <c r="X1276" s="686"/>
      <c r="Y1276" s="686"/>
      <c r="Z1276" s="686"/>
      <c r="AA1276" s="669"/>
      <c r="AB1276" s="695"/>
      <c r="AC1276" s="669"/>
    </row>
    <row r="1277" ht="18.0" customHeight="1">
      <c r="A1277" s="695"/>
      <c r="B1277" s="695"/>
      <c r="C1277" s="695"/>
      <c r="D1277" s="695"/>
      <c r="E1277" s="695"/>
      <c r="F1277" s="686"/>
      <c r="G1277" s="695"/>
      <c r="H1277" s="695"/>
      <c r="I1277" s="695"/>
      <c r="J1277" s="731"/>
      <c r="K1277" s="695"/>
      <c r="L1277" s="686"/>
      <c r="M1277" s="686"/>
      <c r="N1277" s="686"/>
      <c r="O1277" s="686"/>
      <c r="P1277" s="686"/>
      <c r="Q1277" s="666"/>
      <c r="R1277" s="686"/>
      <c r="S1277" s="686"/>
      <c r="T1277" s="688"/>
      <c r="U1277" s="688"/>
      <c r="V1277" s="686"/>
      <c r="W1277" s="686"/>
      <c r="X1277" s="686"/>
      <c r="Y1277" s="686"/>
      <c r="Z1277" s="686"/>
      <c r="AA1277" s="669"/>
      <c r="AB1277" s="695"/>
      <c r="AC1277" s="669"/>
    </row>
    <row r="1278" ht="18.0" customHeight="1">
      <c r="A1278" s="695"/>
      <c r="B1278" s="695"/>
      <c r="C1278" s="695"/>
      <c r="D1278" s="695"/>
      <c r="E1278" s="695"/>
      <c r="F1278" s="686"/>
      <c r="G1278" s="695"/>
      <c r="H1278" s="695"/>
      <c r="I1278" s="695"/>
      <c r="J1278" s="731"/>
      <c r="K1278" s="695"/>
      <c r="L1278" s="686"/>
      <c r="M1278" s="686"/>
      <c r="N1278" s="686"/>
      <c r="O1278" s="686"/>
      <c r="P1278" s="686"/>
      <c r="Q1278" s="666"/>
      <c r="R1278" s="686"/>
      <c r="S1278" s="686"/>
      <c r="T1278" s="688"/>
      <c r="U1278" s="688"/>
      <c r="V1278" s="686"/>
      <c r="W1278" s="686"/>
      <c r="X1278" s="686"/>
      <c r="Y1278" s="686"/>
      <c r="Z1278" s="686"/>
      <c r="AA1278" s="669"/>
      <c r="AB1278" s="695"/>
      <c r="AC1278" s="669"/>
    </row>
    <row r="1279" ht="18.0" customHeight="1">
      <c r="A1279" s="695"/>
      <c r="B1279" s="695"/>
      <c r="C1279" s="695"/>
      <c r="D1279" s="695"/>
      <c r="E1279" s="695"/>
      <c r="F1279" s="686"/>
      <c r="G1279" s="695"/>
      <c r="H1279" s="695"/>
      <c r="I1279" s="695"/>
      <c r="J1279" s="731"/>
      <c r="K1279" s="695"/>
      <c r="L1279" s="686"/>
      <c r="M1279" s="686"/>
      <c r="N1279" s="686"/>
      <c r="O1279" s="686"/>
      <c r="P1279" s="686"/>
      <c r="Q1279" s="666"/>
      <c r="R1279" s="686"/>
      <c r="S1279" s="686"/>
      <c r="T1279" s="688"/>
      <c r="U1279" s="688"/>
      <c r="V1279" s="686"/>
      <c r="W1279" s="686"/>
      <c r="X1279" s="686"/>
      <c r="Y1279" s="686"/>
      <c r="Z1279" s="686"/>
      <c r="AA1279" s="669"/>
      <c r="AB1279" s="695"/>
      <c r="AC1279" s="669"/>
    </row>
    <row r="1280" ht="18.0" customHeight="1">
      <c r="A1280" s="695"/>
      <c r="B1280" s="695"/>
      <c r="C1280" s="695"/>
      <c r="D1280" s="695"/>
      <c r="E1280" s="695"/>
      <c r="F1280" s="686"/>
      <c r="G1280" s="695"/>
      <c r="H1280" s="695"/>
      <c r="I1280" s="695"/>
      <c r="J1280" s="731"/>
      <c r="K1280" s="695"/>
      <c r="L1280" s="686"/>
      <c r="M1280" s="686"/>
      <c r="N1280" s="686"/>
      <c r="O1280" s="686"/>
      <c r="P1280" s="686"/>
      <c r="Q1280" s="666"/>
      <c r="R1280" s="686"/>
      <c r="S1280" s="686"/>
      <c r="T1280" s="688"/>
      <c r="U1280" s="688"/>
      <c r="V1280" s="686"/>
      <c r="W1280" s="686"/>
      <c r="X1280" s="686"/>
      <c r="Y1280" s="686"/>
      <c r="Z1280" s="686"/>
      <c r="AA1280" s="669"/>
      <c r="AB1280" s="695"/>
      <c r="AC1280" s="669"/>
    </row>
    <row r="1281" ht="18.0" customHeight="1">
      <c r="A1281" s="695"/>
      <c r="B1281" s="695"/>
      <c r="C1281" s="695"/>
      <c r="D1281" s="695"/>
      <c r="E1281" s="695"/>
      <c r="F1281" s="686"/>
      <c r="G1281" s="695"/>
      <c r="H1281" s="695"/>
      <c r="I1281" s="695"/>
      <c r="J1281" s="731"/>
      <c r="K1281" s="695"/>
      <c r="L1281" s="686"/>
      <c r="M1281" s="686"/>
      <c r="N1281" s="686"/>
      <c r="O1281" s="686"/>
      <c r="P1281" s="686"/>
      <c r="Q1281" s="666"/>
      <c r="R1281" s="686"/>
      <c r="S1281" s="686"/>
      <c r="T1281" s="688"/>
      <c r="U1281" s="688"/>
      <c r="V1281" s="686"/>
      <c r="W1281" s="686"/>
      <c r="X1281" s="686"/>
      <c r="Y1281" s="686"/>
      <c r="Z1281" s="686"/>
      <c r="AA1281" s="669"/>
      <c r="AB1281" s="695"/>
      <c r="AC1281" s="669"/>
    </row>
    <row r="1282" ht="18.0" customHeight="1">
      <c r="A1282" s="695"/>
      <c r="B1282" s="695"/>
      <c r="C1282" s="695"/>
      <c r="D1282" s="695"/>
      <c r="E1282" s="695"/>
      <c r="F1282" s="686"/>
      <c r="G1282" s="695"/>
      <c r="H1282" s="695"/>
      <c r="I1282" s="695"/>
      <c r="J1282" s="731"/>
      <c r="K1282" s="695"/>
      <c r="L1282" s="686"/>
      <c r="M1282" s="686"/>
      <c r="N1282" s="686"/>
      <c r="O1282" s="686"/>
      <c r="P1282" s="686"/>
      <c r="Q1282" s="666"/>
      <c r="R1282" s="686"/>
      <c r="S1282" s="686"/>
      <c r="T1282" s="688"/>
      <c r="U1282" s="688"/>
      <c r="V1282" s="686"/>
      <c r="W1282" s="686"/>
      <c r="X1282" s="686"/>
      <c r="Y1282" s="686"/>
      <c r="Z1282" s="686"/>
      <c r="AA1282" s="669"/>
      <c r="AB1282" s="695"/>
      <c r="AC1282" s="669"/>
    </row>
    <row r="1283" ht="18.0" customHeight="1">
      <c r="A1283" s="695"/>
      <c r="B1283" s="695"/>
      <c r="C1283" s="695"/>
      <c r="D1283" s="695"/>
      <c r="E1283" s="695"/>
      <c r="F1283" s="686"/>
      <c r="G1283" s="695"/>
      <c r="H1283" s="695"/>
      <c r="I1283" s="695"/>
      <c r="J1283" s="731"/>
      <c r="K1283" s="695"/>
      <c r="L1283" s="686"/>
      <c r="M1283" s="686"/>
      <c r="N1283" s="686"/>
      <c r="O1283" s="686"/>
      <c r="P1283" s="686"/>
      <c r="Q1283" s="666"/>
      <c r="R1283" s="686"/>
      <c r="S1283" s="686"/>
      <c r="T1283" s="688"/>
      <c r="U1283" s="688"/>
      <c r="V1283" s="686"/>
      <c r="W1283" s="686"/>
      <c r="X1283" s="686"/>
      <c r="Y1283" s="686"/>
      <c r="Z1283" s="686"/>
      <c r="AA1283" s="669"/>
      <c r="AB1283" s="695"/>
      <c r="AC1283" s="669"/>
    </row>
    <row r="1284" ht="18.0" customHeight="1">
      <c r="A1284" s="695"/>
      <c r="B1284" s="695"/>
      <c r="C1284" s="695"/>
      <c r="D1284" s="695"/>
      <c r="E1284" s="695"/>
      <c r="F1284" s="686"/>
      <c r="G1284" s="695"/>
      <c r="H1284" s="695"/>
      <c r="I1284" s="695"/>
      <c r="J1284" s="731"/>
      <c r="K1284" s="695"/>
      <c r="L1284" s="686"/>
      <c r="M1284" s="686"/>
      <c r="N1284" s="686"/>
      <c r="O1284" s="686"/>
      <c r="P1284" s="686"/>
      <c r="Q1284" s="666"/>
      <c r="R1284" s="686"/>
      <c r="S1284" s="686"/>
      <c r="T1284" s="688"/>
      <c r="U1284" s="688"/>
      <c r="V1284" s="686"/>
      <c r="W1284" s="686"/>
      <c r="X1284" s="686"/>
      <c r="Y1284" s="686"/>
      <c r="Z1284" s="686"/>
      <c r="AA1284" s="669"/>
      <c r="AB1284" s="695"/>
      <c r="AC1284" s="669"/>
    </row>
    <row r="1285" ht="18.0" customHeight="1">
      <c r="A1285" s="695"/>
      <c r="B1285" s="695"/>
      <c r="C1285" s="695"/>
      <c r="D1285" s="695"/>
      <c r="E1285" s="695"/>
      <c r="F1285" s="686"/>
      <c r="G1285" s="695"/>
      <c r="H1285" s="695"/>
      <c r="I1285" s="695"/>
      <c r="J1285" s="731"/>
      <c r="K1285" s="695"/>
      <c r="L1285" s="686"/>
      <c r="M1285" s="686"/>
      <c r="N1285" s="686"/>
      <c r="O1285" s="686"/>
      <c r="P1285" s="686"/>
      <c r="Q1285" s="666"/>
      <c r="R1285" s="686"/>
      <c r="S1285" s="686"/>
      <c r="T1285" s="688"/>
      <c r="U1285" s="688"/>
      <c r="V1285" s="686"/>
      <c r="W1285" s="686"/>
      <c r="X1285" s="686"/>
      <c r="Y1285" s="686"/>
      <c r="Z1285" s="686"/>
      <c r="AA1285" s="669"/>
      <c r="AB1285" s="695"/>
      <c r="AC1285" s="669"/>
    </row>
    <row r="1286" ht="18.0" customHeight="1">
      <c r="A1286" s="695"/>
      <c r="B1286" s="695"/>
      <c r="C1286" s="695"/>
      <c r="D1286" s="695"/>
      <c r="E1286" s="695"/>
      <c r="F1286" s="686"/>
      <c r="G1286" s="695"/>
      <c r="H1286" s="695"/>
      <c r="I1286" s="695"/>
      <c r="J1286" s="731"/>
      <c r="K1286" s="695"/>
      <c r="L1286" s="686"/>
      <c r="M1286" s="686"/>
      <c r="N1286" s="686"/>
      <c r="O1286" s="686"/>
      <c r="P1286" s="686"/>
      <c r="Q1286" s="666"/>
      <c r="R1286" s="686"/>
      <c r="S1286" s="686"/>
      <c r="T1286" s="688"/>
      <c r="U1286" s="688"/>
      <c r="V1286" s="686"/>
      <c r="W1286" s="686"/>
      <c r="X1286" s="686"/>
      <c r="Y1286" s="686"/>
      <c r="Z1286" s="686"/>
      <c r="AA1286" s="669"/>
      <c r="AB1286" s="695"/>
      <c r="AC1286" s="669"/>
    </row>
    <row r="1287" ht="18.0" customHeight="1">
      <c r="A1287" s="695"/>
      <c r="B1287" s="695"/>
      <c r="C1287" s="695"/>
      <c r="D1287" s="695"/>
      <c r="E1287" s="695"/>
      <c r="F1287" s="686"/>
      <c r="G1287" s="695"/>
      <c r="H1287" s="695"/>
      <c r="I1287" s="695"/>
      <c r="J1287" s="731"/>
      <c r="K1287" s="695"/>
      <c r="L1287" s="686"/>
      <c r="M1287" s="686"/>
      <c r="N1287" s="686"/>
      <c r="O1287" s="686"/>
      <c r="P1287" s="686"/>
      <c r="Q1287" s="666"/>
      <c r="R1287" s="686"/>
      <c r="S1287" s="686"/>
      <c r="T1287" s="688"/>
      <c r="U1287" s="688"/>
      <c r="V1287" s="686"/>
      <c r="W1287" s="686"/>
      <c r="X1287" s="686"/>
      <c r="Y1287" s="686"/>
      <c r="Z1287" s="686"/>
      <c r="AA1287" s="669"/>
      <c r="AB1287" s="695"/>
      <c r="AC1287" s="669"/>
    </row>
    <row r="1288" ht="18.0" customHeight="1">
      <c r="A1288" s="695"/>
      <c r="B1288" s="695"/>
      <c r="C1288" s="695"/>
      <c r="D1288" s="695"/>
      <c r="E1288" s="695"/>
      <c r="F1288" s="686"/>
      <c r="G1288" s="695"/>
      <c r="H1288" s="695"/>
      <c r="I1288" s="695"/>
      <c r="J1288" s="731"/>
      <c r="K1288" s="695"/>
      <c r="L1288" s="686"/>
      <c r="M1288" s="686"/>
      <c r="N1288" s="686"/>
      <c r="O1288" s="686"/>
      <c r="P1288" s="686"/>
      <c r="Q1288" s="666"/>
      <c r="R1288" s="686"/>
      <c r="S1288" s="686"/>
      <c r="T1288" s="688"/>
      <c r="U1288" s="688"/>
      <c r="V1288" s="686"/>
      <c r="W1288" s="686"/>
      <c r="X1288" s="686"/>
      <c r="Y1288" s="686"/>
      <c r="Z1288" s="686"/>
      <c r="AA1288" s="669"/>
      <c r="AB1288" s="695"/>
      <c r="AC1288" s="669"/>
    </row>
    <row r="1289" ht="18.0" customHeight="1">
      <c r="A1289" s="695"/>
      <c r="B1289" s="695"/>
      <c r="C1289" s="695"/>
      <c r="D1289" s="695"/>
      <c r="E1289" s="695"/>
      <c r="F1289" s="686"/>
      <c r="G1289" s="695"/>
      <c r="H1289" s="695"/>
      <c r="I1289" s="695"/>
      <c r="J1289" s="731"/>
      <c r="K1289" s="695"/>
      <c r="L1289" s="686"/>
      <c r="M1289" s="686"/>
      <c r="N1289" s="686"/>
      <c r="O1289" s="686"/>
      <c r="P1289" s="686"/>
      <c r="Q1289" s="666"/>
      <c r="R1289" s="686"/>
      <c r="S1289" s="686"/>
      <c r="T1289" s="688"/>
      <c r="U1289" s="688"/>
      <c r="V1289" s="686"/>
      <c r="W1289" s="686"/>
      <c r="X1289" s="686"/>
      <c r="Y1289" s="686"/>
      <c r="Z1289" s="686"/>
      <c r="AA1289" s="669"/>
      <c r="AB1289" s="695"/>
      <c r="AC1289" s="669"/>
    </row>
    <row r="1290" ht="18.0" customHeight="1">
      <c r="A1290" s="695"/>
      <c r="B1290" s="695"/>
      <c r="C1290" s="695"/>
      <c r="D1290" s="695"/>
      <c r="E1290" s="695"/>
      <c r="F1290" s="686"/>
      <c r="G1290" s="695"/>
      <c r="H1290" s="695"/>
      <c r="I1290" s="695"/>
      <c r="J1290" s="731"/>
      <c r="K1290" s="695"/>
      <c r="L1290" s="686"/>
      <c r="M1290" s="686"/>
      <c r="N1290" s="686"/>
      <c r="O1290" s="686"/>
      <c r="P1290" s="686"/>
      <c r="Q1290" s="666"/>
      <c r="R1290" s="686"/>
      <c r="S1290" s="686"/>
      <c r="T1290" s="688"/>
      <c r="U1290" s="688"/>
      <c r="V1290" s="686"/>
      <c r="W1290" s="686"/>
      <c r="X1290" s="686"/>
      <c r="Y1290" s="686"/>
      <c r="Z1290" s="686"/>
      <c r="AA1290" s="669"/>
      <c r="AB1290" s="695"/>
      <c r="AC1290" s="669"/>
    </row>
    <row r="1291" ht="18.0" customHeight="1">
      <c r="A1291" s="695"/>
      <c r="B1291" s="695"/>
      <c r="C1291" s="695"/>
      <c r="D1291" s="695"/>
      <c r="E1291" s="695"/>
      <c r="F1291" s="686"/>
      <c r="G1291" s="695"/>
      <c r="H1291" s="695"/>
      <c r="I1291" s="695"/>
      <c r="J1291" s="731"/>
      <c r="K1291" s="695"/>
      <c r="L1291" s="686"/>
      <c r="M1291" s="686"/>
      <c r="N1291" s="686"/>
      <c r="O1291" s="686"/>
      <c r="P1291" s="686"/>
      <c r="Q1291" s="666"/>
      <c r="R1291" s="686"/>
      <c r="S1291" s="686"/>
      <c r="T1291" s="688"/>
      <c r="U1291" s="688"/>
      <c r="V1291" s="686"/>
      <c r="W1291" s="686"/>
      <c r="X1291" s="686"/>
      <c r="Y1291" s="686"/>
      <c r="Z1291" s="686"/>
      <c r="AA1291" s="669"/>
      <c r="AB1291" s="695"/>
      <c r="AC1291" s="669"/>
    </row>
    <row r="1292" ht="18.0" customHeight="1">
      <c r="A1292" s="695"/>
      <c r="B1292" s="695"/>
      <c r="C1292" s="695"/>
      <c r="D1292" s="695"/>
      <c r="E1292" s="695"/>
      <c r="F1292" s="686"/>
      <c r="G1292" s="695"/>
      <c r="H1292" s="695"/>
      <c r="I1292" s="695"/>
      <c r="J1292" s="731"/>
      <c r="K1292" s="695"/>
      <c r="L1292" s="686"/>
      <c r="M1292" s="686"/>
      <c r="N1292" s="686"/>
      <c r="O1292" s="686"/>
      <c r="P1292" s="686"/>
      <c r="Q1292" s="666"/>
      <c r="R1292" s="686"/>
      <c r="S1292" s="686"/>
      <c r="T1292" s="688"/>
      <c r="U1292" s="688"/>
      <c r="V1292" s="686"/>
      <c r="W1292" s="686"/>
      <c r="X1292" s="686"/>
      <c r="Y1292" s="686"/>
      <c r="Z1292" s="686"/>
      <c r="AA1292" s="669"/>
      <c r="AB1292" s="695"/>
      <c r="AC1292" s="669"/>
    </row>
    <row r="1293" ht="18.0" customHeight="1">
      <c r="A1293" s="695"/>
      <c r="B1293" s="695"/>
      <c r="C1293" s="695"/>
      <c r="D1293" s="695"/>
      <c r="E1293" s="695"/>
      <c r="F1293" s="686"/>
      <c r="G1293" s="695"/>
      <c r="H1293" s="695"/>
      <c r="I1293" s="695"/>
      <c r="J1293" s="731"/>
      <c r="K1293" s="695"/>
      <c r="L1293" s="686"/>
      <c r="M1293" s="686"/>
      <c r="N1293" s="686"/>
      <c r="O1293" s="686"/>
      <c r="P1293" s="686"/>
      <c r="Q1293" s="666"/>
      <c r="R1293" s="686"/>
      <c r="S1293" s="686"/>
      <c r="T1293" s="688"/>
      <c r="U1293" s="688"/>
      <c r="V1293" s="686"/>
      <c r="W1293" s="686"/>
      <c r="X1293" s="686"/>
      <c r="Y1293" s="686"/>
      <c r="Z1293" s="686"/>
      <c r="AA1293" s="669"/>
      <c r="AB1293" s="695"/>
      <c r="AC1293" s="669"/>
    </row>
    <row r="1294" ht="18.0" customHeight="1">
      <c r="A1294" s="695"/>
      <c r="B1294" s="695"/>
      <c r="C1294" s="695"/>
      <c r="D1294" s="695"/>
      <c r="E1294" s="695"/>
      <c r="F1294" s="686"/>
      <c r="G1294" s="695"/>
      <c r="H1294" s="695"/>
      <c r="I1294" s="695"/>
      <c r="J1294" s="731"/>
      <c r="K1294" s="695"/>
      <c r="L1294" s="686"/>
      <c r="M1294" s="686"/>
      <c r="N1294" s="686"/>
      <c r="O1294" s="686"/>
      <c r="P1294" s="686"/>
      <c r="Q1294" s="666"/>
      <c r="R1294" s="686"/>
      <c r="S1294" s="686"/>
      <c r="T1294" s="688"/>
      <c r="U1294" s="688"/>
      <c r="V1294" s="686"/>
      <c r="W1294" s="686"/>
      <c r="X1294" s="686"/>
      <c r="Y1294" s="686"/>
      <c r="Z1294" s="686"/>
      <c r="AA1294" s="669"/>
      <c r="AB1294" s="695"/>
      <c r="AC1294" s="669"/>
    </row>
    <row r="1295" ht="18.0" customHeight="1">
      <c r="A1295" s="695"/>
      <c r="B1295" s="695"/>
      <c r="C1295" s="695"/>
      <c r="D1295" s="695"/>
      <c r="E1295" s="695"/>
      <c r="F1295" s="686"/>
      <c r="G1295" s="695"/>
      <c r="H1295" s="695"/>
      <c r="I1295" s="695"/>
      <c r="J1295" s="731"/>
      <c r="K1295" s="695"/>
      <c r="L1295" s="686"/>
      <c r="M1295" s="686"/>
      <c r="N1295" s="686"/>
      <c r="O1295" s="686"/>
      <c r="P1295" s="686"/>
      <c r="Q1295" s="666"/>
      <c r="R1295" s="686"/>
      <c r="S1295" s="686"/>
      <c r="T1295" s="688"/>
      <c r="U1295" s="688"/>
      <c r="V1295" s="686"/>
      <c r="W1295" s="686"/>
      <c r="X1295" s="686"/>
      <c r="Y1295" s="686"/>
      <c r="Z1295" s="686"/>
      <c r="AA1295" s="669"/>
      <c r="AB1295" s="695"/>
      <c r="AC1295" s="669"/>
    </row>
    <row r="1296" ht="18.0" customHeight="1">
      <c r="A1296" s="695"/>
      <c r="B1296" s="695"/>
      <c r="C1296" s="695"/>
      <c r="D1296" s="695"/>
      <c r="E1296" s="695"/>
      <c r="F1296" s="686"/>
      <c r="G1296" s="695"/>
      <c r="H1296" s="695"/>
      <c r="I1296" s="695"/>
      <c r="J1296" s="731"/>
      <c r="K1296" s="695"/>
      <c r="L1296" s="686"/>
      <c r="M1296" s="686"/>
      <c r="N1296" s="686"/>
      <c r="O1296" s="686"/>
      <c r="P1296" s="686"/>
      <c r="Q1296" s="666"/>
      <c r="R1296" s="686"/>
      <c r="S1296" s="686"/>
      <c r="T1296" s="688"/>
      <c r="U1296" s="688"/>
      <c r="V1296" s="686"/>
      <c r="W1296" s="686"/>
      <c r="X1296" s="686"/>
      <c r="Y1296" s="686"/>
      <c r="Z1296" s="686"/>
      <c r="AA1296" s="669"/>
      <c r="AB1296" s="695"/>
      <c r="AC1296" s="669"/>
    </row>
    <row r="1297" ht="18.0" customHeight="1">
      <c r="A1297" s="695"/>
      <c r="B1297" s="695"/>
      <c r="C1297" s="695"/>
      <c r="D1297" s="695"/>
      <c r="E1297" s="695"/>
      <c r="F1297" s="686"/>
      <c r="G1297" s="695"/>
      <c r="H1297" s="695"/>
      <c r="I1297" s="695"/>
      <c r="J1297" s="731"/>
      <c r="K1297" s="695"/>
      <c r="L1297" s="686"/>
      <c r="M1297" s="686"/>
      <c r="N1297" s="686"/>
      <c r="O1297" s="686"/>
      <c r="P1297" s="686"/>
      <c r="Q1297" s="666"/>
      <c r="R1297" s="686"/>
      <c r="S1297" s="686"/>
      <c r="T1297" s="688"/>
      <c r="U1297" s="688"/>
      <c r="V1297" s="686"/>
      <c r="W1297" s="686"/>
      <c r="X1297" s="686"/>
      <c r="Y1297" s="686"/>
      <c r="Z1297" s="686"/>
      <c r="AA1297" s="669"/>
      <c r="AB1297" s="695"/>
      <c r="AC1297" s="669"/>
    </row>
    <row r="1298" ht="18.0" customHeight="1">
      <c r="A1298" s="695"/>
      <c r="B1298" s="695"/>
      <c r="C1298" s="695"/>
      <c r="D1298" s="695"/>
      <c r="E1298" s="695"/>
      <c r="F1298" s="686"/>
      <c r="G1298" s="695"/>
      <c r="H1298" s="695"/>
      <c r="I1298" s="695"/>
      <c r="J1298" s="731"/>
      <c r="K1298" s="695"/>
      <c r="L1298" s="686"/>
      <c r="M1298" s="686"/>
      <c r="N1298" s="686"/>
      <c r="O1298" s="686"/>
      <c r="P1298" s="686"/>
      <c r="Q1298" s="666"/>
      <c r="R1298" s="686"/>
      <c r="S1298" s="686"/>
      <c r="T1298" s="688"/>
      <c r="U1298" s="688"/>
      <c r="V1298" s="686"/>
      <c r="W1298" s="686"/>
      <c r="X1298" s="686"/>
      <c r="Y1298" s="686"/>
      <c r="Z1298" s="686"/>
      <c r="AA1298" s="669"/>
      <c r="AB1298" s="695"/>
      <c r="AC1298" s="669"/>
    </row>
    <row r="1299" ht="18.0" customHeight="1">
      <c r="A1299" s="695"/>
      <c r="B1299" s="695"/>
      <c r="C1299" s="695"/>
      <c r="D1299" s="695"/>
      <c r="E1299" s="695"/>
      <c r="F1299" s="686"/>
      <c r="G1299" s="695"/>
      <c r="H1299" s="695"/>
      <c r="I1299" s="695"/>
      <c r="J1299" s="731"/>
      <c r="K1299" s="695"/>
      <c r="L1299" s="686"/>
      <c r="M1299" s="686"/>
      <c r="N1299" s="686"/>
      <c r="O1299" s="686"/>
      <c r="P1299" s="686"/>
      <c r="Q1299" s="666"/>
      <c r="R1299" s="686"/>
      <c r="S1299" s="686"/>
      <c r="T1299" s="688"/>
      <c r="U1299" s="688"/>
      <c r="V1299" s="686"/>
      <c r="W1299" s="686"/>
      <c r="X1299" s="686"/>
      <c r="Y1299" s="686"/>
      <c r="Z1299" s="686"/>
      <c r="AA1299" s="669"/>
      <c r="AB1299" s="695"/>
      <c r="AC1299" s="669"/>
    </row>
    <row r="1300" ht="18.0" customHeight="1">
      <c r="A1300" s="695"/>
      <c r="B1300" s="695"/>
      <c r="C1300" s="695"/>
      <c r="D1300" s="695"/>
      <c r="E1300" s="695"/>
      <c r="F1300" s="686"/>
      <c r="G1300" s="695"/>
      <c r="H1300" s="695"/>
      <c r="I1300" s="695"/>
      <c r="J1300" s="731"/>
      <c r="K1300" s="695"/>
      <c r="L1300" s="686"/>
      <c r="M1300" s="686"/>
      <c r="N1300" s="686"/>
      <c r="O1300" s="686"/>
      <c r="P1300" s="686"/>
      <c r="Q1300" s="666"/>
      <c r="R1300" s="686"/>
      <c r="S1300" s="686"/>
      <c r="T1300" s="688"/>
      <c r="U1300" s="688"/>
      <c r="V1300" s="686"/>
      <c r="W1300" s="686"/>
      <c r="X1300" s="686"/>
      <c r="Y1300" s="686"/>
      <c r="Z1300" s="686"/>
      <c r="AA1300" s="669"/>
      <c r="AB1300" s="695"/>
      <c r="AC1300" s="669"/>
    </row>
    <row r="1301" ht="18.0" customHeight="1">
      <c r="A1301" s="695"/>
      <c r="B1301" s="695"/>
      <c r="C1301" s="695"/>
      <c r="D1301" s="695"/>
      <c r="E1301" s="695"/>
      <c r="F1301" s="686"/>
      <c r="G1301" s="695"/>
      <c r="H1301" s="695"/>
      <c r="I1301" s="695"/>
      <c r="J1301" s="731"/>
      <c r="K1301" s="695"/>
      <c r="L1301" s="686"/>
      <c r="M1301" s="686"/>
      <c r="N1301" s="686"/>
      <c r="O1301" s="686"/>
      <c r="P1301" s="686"/>
      <c r="Q1301" s="666"/>
      <c r="R1301" s="686"/>
      <c r="S1301" s="686"/>
      <c r="T1301" s="688"/>
      <c r="U1301" s="688"/>
      <c r="V1301" s="686"/>
      <c r="W1301" s="686"/>
      <c r="X1301" s="686"/>
      <c r="Y1301" s="686"/>
      <c r="Z1301" s="686"/>
      <c r="AA1301" s="669"/>
      <c r="AB1301" s="695"/>
      <c r="AC1301" s="669"/>
    </row>
    <row r="1302" ht="18.0" customHeight="1">
      <c r="A1302" s="695"/>
      <c r="B1302" s="695"/>
      <c r="C1302" s="695"/>
      <c r="D1302" s="695"/>
      <c r="E1302" s="695"/>
      <c r="F1302" s="686"/>
      <c r="G1302" s="695"/>
      <c r="H1302" s="695"/>
      <c r="I1302" s="695"/>
      <c r="J1302" s="731"/>
      <c r="K1302" s="695"/>
      <c r="L1302" s="686"/>
      <c r="M1302" s="686"/>
      <c r="N1302" s="686"/>
      <c r="O1302" s="686"/>
      <c r="P1302" s="686"/>
      <c r="Q1302" s="666"/>
      <c r="R1302" s="686"/>
      <c r="S1302" s="686"/>
      <c r="T1302" s="688"/>
      <c r="U1302" s="688"/>
      <c r="V1302" s="686"/>
      <c r="W1302" s="686"/>
      <c r="X1302" s="686"/>
      <c r="Y1302" s="686"/>
      <c r="Z1302" s="686"/>
      <c r="AA1302" s="669"/>
      <c r="AB1302" s="695"/>
      <c r="AC1302" s="669"/>
    </row>
    <row r="1303" ht="18.0" customHeight="1">
      <c r="A1303" s="695"/>
      <c r="B1303" s="695"/>
      <c r="C1303" s="695"/>
      <c r="D1303" s="695"/>
      <c r="E1303" s="695"/>
      <c r="F1303" s="686"/>
      <c r="G1303" s="695"/>
      <c r="H1303" s="695"/>
      <c r="I1303" s="695"/>
      <c r="J1303" s="731"/>
      <c r="K1303" s="695"/>
      <c r="L1303" s="686"/>
      <c r="M1303" s="686"/>
      <c r="N1303" s="686"/>
      <c r="O1303" s="686"/>
      <c r="P1303" s="686"/>
      <c r="Q1303" s="666"/>
      <c r="R1303" s="686"/>
      <c r="S1303" s="686"/>
      <c r="T1303" s="688"/>
      <c r="U1303" s="688"/>
      <c r="V1303" s="686"/>
      <c r="W1303" s="686"/>
      <c r="X1303" s="686"/>
      <c r="Y1303" s="686"/>
      <c r="Z1303" s="686"/>
      <c r="AA1303" s="669"/>
      <c r="AB1303" s="695"/>
      <c r="AC1303" s="669"/>
    </row>
    <row r="1304" ht="18.0" customHeight="1">
      <c r="A1304" s="695"/>
      <c r="B1304" s="695"/>
      <c r="C1304" s="695"/>
      <c r="D1304" s="695"/>
      <c r="E1304" s="695"/>
      <c r="F1304" s="686"/>
      <c r="G1304" s="695"/>
      <c r="H1304" s="695"/>
      <c r="I1304" s="695"/>
      <c r="J1304" s="731"/>
      <c r="K1304" s="695"/>
      <c r="L1304" s="686"/>
      <c r="M1304" s="686"/>
      <c r="N1304" s="686"/>
      <c r="O1304" s="686"/>
      <c r="P1304" s="686"/>
      <c r="Q1304" s="666"/>
      <c r="R1304" s="686"/>
      <c r="S1304" s="686"/>
      <c r="T1304" s="688"/>
      <c r="U1304" s="688"/>
      <c r="V1304" s="686"/>
      <c r="W1304" s="686"/>
      <c r="X1304" s="686"/>
      <c r="Y1304" s="686"/>
      <c r="Z1304" s="686"/>
      <c r="AA1304" s="669"/>
      <c r="AB1304" s="695"/>
      <c r="AC1304" s="669"/>
    </row>
    <row r="1305" ht="18.0" customHeight="1">
      <c r="A1305" s="695"/>
      <c r="B1305" s="695"/>
      <c r="C1305" s="695"/>
      <c r="D1305" s="695"/>
      <c r="E1305" s="695"/>
      <c r="F1305" s="686"/>
      <c r="G1305" s="695"/>
      <c r="H1305" s="695"/>
      <c r="I1305" s="695"/>
      <c r="J1305" s="731"/>
      <c r="K1305" s="695"/>
      <c r="L1305" s="686"/>
      <c r="M1305" s="686"/>
      <c r="N1305" s="686"/>
      <c r="O1305" s="686"/>
      <c r="P1305" s="686"/>
      <c r="Q1305" s="666"/>
      <c r="R1305" s="686"/>
      <c r="S1305" s="686"/>
      <c r="T1305" s="688"/>
      <c r="U1305" s="688"/>
      <c r="V1305" s="686"/>
      <c r="W1305" s="686"/>
      <c r="X1305" s="686"/>
      <c r="Y1305" s="686"/>
      <c r="Z1305" s="686"/>
      <c r="AA1305" s="669"/>
      <c r="AB1305" s="695"/>
      <c r="AC1305" s="669"/>
    </row>
    <row r="1306" ht="18.0" customHeight="1">
      <c r="A1306" s="695"/>
      <c r="B1306" s="695"/>
      <c r="C1306" s="695"/>
      <c r="D1306" s="695"/>
      <c r="E1306" s="695"/>
      <c r="F1306" s="686"/>
      <c r="G1306" s="695"/>
      <c r="H1306" s="695"/>
      <c r="I1306" s="695"/>
      <c r="J1306" s="731"/>
      <c r="K1306" s="695"/>
      <c r="L1306" s="686"/>
      <c r="M1306" s="686"/>
      <c r="N1306" s="686"/>
      <c r="O1306" s="686"/>
      <c r="P1306" s="686"/>
      <c r="Q1306" s="666"/>
      <c r="R1306" s="686"/>
      <c r="S1306" s="686"/>
      <c r="T1306" s="688"/>
      <c r="U1306" s="688"/>
      <c r="V1306" s="686"/>
      <c r="W1306" s="686"/>
      <c r="X1306" s="686"/>
      <c r="Y1306" s="686"/>
      <c r="Z1306" s="686"/>
      <c r="AA1306" s="669"/>
      <c r="AB1306" s="695"/>
      <c r="AC1306" s="669"/>
    </row>
    <row r="1307" ht="18.0" customHeight="1">
      <c r="A1307" s="695"/>
      <c r="B1307" s="695"/>
      <c r="C1307" s="695"/>
      <c r="D1307" s="695"/>
      <c r="E1307" s="695"/>
      <c r="F1307" s="686"/>
      <c r="G1307" s="695"/>
      <c r="H1307" s="695"/>
      <c r="I1307" s="695"/>
      <c r="J1307" s="731"/>
      <c r="K1307" s="695"/>
      <c r="L1307" s="686"/>
      <c r="M1307" s="686"/>
      <c r="N1307" s="686"/>
      <c r="O1307" s="686"/>
      <c r="P1307" s="686"/>
      <c r="Q1307" s="666"/>
      <c r="R1307" s="686"/>
      <c r="S1307" s="686"/>
      <c r="T1307" s="688"/>
      <c r="U1307" s="688"/>
      <c r="V1307" s="686"/>
      <c r="W1307" s="686"/>
      <c r="X1307" s="686"/>
      <c r="Y1307" s="686"/>
      <c r="Z1307" s="686"/>
      <c r="AA1307" s="669"/>
      <c r="AB1307" s="695"/>
      <c r="AC1307" s="669"/>
    </row>
    <row r="1308" ht="18.0" customHeight="1">
      <c r="A1308" s="695"/>
      <c r="B1308" s="695"/>
      <c r="C1308" s="695"/>
      <c r="D1308" s="695"/>
      <c r="E1308" s="695"/>
      <c r="F1308" s="686"/>
      <c r="G1308" s="695"/>
      <c r="H1308" s="695"/>
      <c r="I1308" s="695"/>
      <c r="J1308" s="731"/>
      <c r="K1308" s="695"/>
      <c r="L1308" s="686"/>
      <c r="M1308" s="686"/>
      <c r="N1308" s="686"/>
      <c r="O1308" s="686"/>
      <c r="P1308" s="686"/>
      <c r="Q1308" s="666"/>
      <c r="R1308" s="686"/>
      <c r="S1308" s="686"/>
      <c r="T1308" s="688"/>
      <c r="U1308" s="688"/>
      <c r="V1308" s="686"/>
      <c r="W1308" s="686"/>
      <c r="X1308" s="686"/>
      <c r="Y1308" s="686"/>
      <c r="Z1308" s="686"/>
      <c r="AA1308" s="669"/>
      <c r="AB1308" s="695"/>
      <c r="AC1308" s="669"/>
    </row>
    <row r="1309" ht="18.0" customHeight="1">
      <c r="A1309" s="695"/>
      <c r="B1309" s="695"/>
      <c r="C1309" s="695"/>
      <c r="D1309" s="695"/>
      <c r="E1309" s="695"/>
      <c r="F1309" s="686"/>
      <c r="G1309" s="695"/>
      <c r="H1309" s="695"/>
      <c r="I1309" s="695"/>
      <c r="J1309" s="731"/>
      <c r="K1309" s="695"/>
      <c r="L1309" s="686"/>
      <c r="M1309" s="686"/>
      <c r="N1309" s="686"/>
      <c r="O1309" s="686"/>
      <c r="P1309" s="686"/>
      <c r="Q1309" s="666"/>
      <c r="R1309" s="686"/>
      <c r="S1309" s="686"/>
      <c r="T1309" s="688"/>
      <c r="U1309" s="688"/>
      <c r="V1309" s="686"/>
      <c r="W1309" s="686"/>
      <c r="X1309" s="686"/>
      <c r="Y1309" s="686"/>
      <c r="Z1309" s="686"/>
      <c r="AA1309" s="669"/>
      <c r="AB1309" s="695"/>
      <c r="AC1309" s="669"/>
    </row>
    <row r="1310" ht="18.0" customHeight="1">
      <c r="A1310" s="695"/>
      <c r="B1310" s="695"/>
      <c r="C1310" s="695"/>
      <c r="D1310" s="695"/>
      <c r="E1310" s="695"/>
      <c r="F1310" s="686"/>
      <c r="G1310" s="695"/>
      <c r="H1310" s="695"/>
      <c r="I1310" s="695"/>
      <c r="J1310" s="731"/>
      <c r="K1310" s="695"/>
      <c r="L1310" s="686"/>
      <c r="M1310" s="686"/>
      <c r="N1310" s="686"/>
      <c r="O1310" s="686"/>
      <c r="P1310" s="686"/>
      <c r="Q1310" s="666"/>
      <c r="R1310" s="686"/>
      <c r="S1310" s="686"/>
      <c r="T1310" s="688"/>
      <c r="U1310" s="688"/>
      <c r="V1310" s="686"/>
      <c r="W1310" s="686"/>
      <c r="X1310" s="686"/>
      <c r="Y1310" s="686"/>
      <c r="Z1310" s="686"/>
      <c r="AA1310" s="669"/>
      <c r="AB1310" s="695"/>
      <c r="AC1310" s="669"/>
    </row>
    <row r="1311" ht="18.0" customHeight="1">
      <c r="A1311" s="695"/>
      <c r="B1311" s="695"/>
      <c r="C1311" s="695"/>
      <c r="D1311" s="695"/>
      <c r="E1311" s="695"/>
      <c r="F1311" s="686"/>
      <c r="G1311" s="695"/>
      <c r="H1311" s="695"/>
      <c r="I1311" s="695"/>
      <c r="J1311" s="731"/>
      <c r="K1311" s="695"/>
      <c r="L1311" s="686"/>
      <c r="M1311" s="686"/>
      <c r="N1311" s="686"/>
      <c r="O1311" s="686"/>
      <c r="P1311" s="686"/>
      <c r="Q1311" s="666"/>
      <c r="R1311" s="686"/>
      <c r="S1311" s="686"/>
      <c r="T1311" s="688"/>
      <c r="U1311" s="688"/>
      <c r="V1311" s="686"/>
      <c r="W1311" s="686"/>
      <c r="X1311" s="686"/>
      <c r="Y1311" s="686"/>
      <c r="Z1311" s="686"/>
      <c r="AA1311" s="669"/>
      <c r="AB1311" s="695"/>
      <c r="AC1311" s="669"/>
    </row>
    <row r="1312" ht="18.0" customHeight="1">
      <c r="A1312" s="695"/>
      <c r="B1312" s="695"/>
      <c r="C1312" s="695"/>
      <c r="D1312" s="695"/>
      <c r="E1312" s="695"/>
      <c r="F1312" s="686"/>
      <c r="G1312" s="695"/>
      <c r="H1312" s="695"/>
      <c r="I1312" s="695"/>
      <c r="J1312" s="731"/>
      <c r="K1312" s="695"/>
      <c r="L1312" s="686"/>
      <c r="M1312" s="686"/>
      <c r="N1312" s="686"/>
      <c r="O1312" s="686"/>
      <c r="P1312" s="686"/>
      <c r="Q1312" s="666"/>
      <c r="R1312" s="686"/>
      <c r="S1312" s="686"/>
      <c r="T1312" s="688"/>
      <c r="U1312" s="688"/>
      <c r="V1312" s="686"/>
      <c r="W1312" s="686"/>
      <c r="X1312" s="686"/>
      <c r="Y1312" s="686"/>
      <c r="Z1312" s="686"/>
      <c r="AA1312" s="669"/>
      <c r="AB1312" s="695"/>
      <c r="AC1312" s="669"/>
    </row>
    <row r="1313" ht="18.0" customHeight="1">
      <c r="A1313" s="695"/>
      <c r="B1313" s="695"/>
      <c r="C1313" s="695"/>
      <c r="D1313" s="695"/>
      <c r="E1313" s="695"/>
      <c r="F1313" s="686"/>
      <c r="G1313" s="695"/>
      <c r="H1313" s="695"/>
      <c r="I1313" s="695"/>
      <c r="J1313" s="731"/>
      <c r="K1313" s="695"/>
      <c r="L1313" s="686"/>
      <c r="M1313" s="686"/>
      <c r="N1313" s="686"/>
      <c r="O1313" s="686"/>
      <c r="P1313" s="686"/>
      <c r="Q1313" s="666"/>
      <c r="R1313" s="686"/>
      <c r="S1313" s="686"/>
      <c r="T1313" s="688"/>
      <c r="U1313" s="688"/>
      <c r="V1313" s="686"/>
      <c r="W1313" s="686"/>
      <c r="X1313" s="686"/>
      <c r="Y1313" s="686"/>
      <c r="Z1313" s="686"/>
      <c r="AA1313" s="669"/>
      <c r="AB1313" s="695"/>
      <c r="AC1313" s="669"/>
    </row>
    <row r="1314" ht="18.0" customHeight="1">
      <c r="A1314" s="695"/>
      <c r="B1314" s="695"/>
      <c r="C1314" s="695"/>
      <c r="D1314" s="695"/>
      <c r="E1314" s="695"/>
      <c r="F1314" s="686"/>
      <c r="G1314" s="695"/>
      <c r="H1314" s="695"/>
      <c r="I1314" s="695"/>
      <c r="J1314" s="731"/>
      <c r="K1314" s="695"/>
      <c r="L1314" s="686"/>
      <c r="M1314" s="686"/>
      <c r="N1314" s="686"/>
      <c r="O1314" s="686"/>
      <c r="P1314" s="686"/>
      <c r="Q1314" s="666"/>
      <c r="R1314" s="686"/>
      <c r="S1314" s="686"/>
      <c r="T1314" s="688"/>
      <c r="U1314" s="688"/>
      <c r="V1314" s="686"/>
      <c r="W1314" s="686"/>
      <c r="X1314" s="686"/>
      <c r="Y1314" s="686"/>
      <c r="Z1314" s="686"/>
      <c r="AA1314" s="669"/>
      <c r="AB1314" s="695"/>
      <c r="AC1314" s="669"/>
    </row>
    <row r="1315" ht="18.0" customHeight="1">
      <c r="A1315" s="695"/>
      <c r="B1315" s="695"/>
      <c r="C1315" s="695"/>
      <c r="D1315" s="695"/>
      <c r="E1315" s="695"/>
      <c r="F1315" s="686"/>
      <c r="G1315" s="695"/>
      <c r="H1315" s="695"/>
      <c r="I1315" s="695"/>
      <c r="J1315" s="731"/>
      <c r="K1315" s="695"/>
      <c r="L1315" s="686"/>
      <c r="M1315" s="686"/>
      <c r="N1315" s="686"/>
      <c r="O1315" s="686"/>
      <c r="P1315" s="686"/>
      <c r="Q1315" s="666"/>
      <c r="R1315" s="686"/>
      <c r="S1315" s="686"/>
      <c r="T1315" s="688"/>
      <c r="U1315" s="688"/>
      <c r="V1315" s="686"/>
      <c r="W1315" s="686"/>
      <c r="X1315" s="686"/>
      <c r="Y1315" s="686"/>
      <c r="Z1315" s="686"/>
      <c r="AA1315" s="669"/>
      <c r="AB1315" s="695"/>
      <c r="AC1315" s="669"/>
    </row>
    <row r="1316" ht="18.0" customHeight="1">
      <c r="A1316" s="695"/>
      <c r="B1316" s="695"/>
      <c r="C1316" s="695"/>
      <c r="D1316" s="695"/>
      <c r="E1316" s="695"/>
      <c r="F1316" s="686"/>
      <c r="G1316" s="695"/>
      <c r="H1316" s="695"/>
      <c r="I1316" s="695"/>
      <c r="J1316" s="731"/>
      <c r="K1316" s="695"/>
      <c r="L1316" s="686"/>
      <c r="M1316" s="686"/>
      <c r="N1316" s="686"/>
      <c r="O1316" s="686"/>
      <c r="P1316" s="686"/>
      <c r="Q1316" s="666"/>
      <c r="R1316" s="686"/>
      <c r="S1316" s="686"/>
      <c r="T1316" s="688"/>
      <c r="U1316" s="688"/>
      <c r="V1316" s="686"/>
      <c r="W1316" s="686"/>
      <c r="X1316" s="686"/>
      <c r="Y1316" s="686"/>
      <c r="Z1316" s="686"/>
      <c r="AA1316" s="669"/>
      <c r="AB1316" s="695"/>
      <c r="AC1316" s="669"/>
    </row>
    <row r="1317" ht="18.0" customHeight="1">
      <c r="A1317" s="695"/>
      <c r="B1317" s="695"/>
      <c r="C1317" s="695"/>
      <c r="D1317" s="695"/>
      <c r="E1317" s="695"/>
      <c r="F1317" s="686"/>
      <c r="G1317" s="695"/>
      <c r="H1317" s="695"/>
      <c r="I1317" s="695"/>
      <c r="J1317" s="731"/>
      <c r="K1317" s="695"/>
      <c r="L1317" s="686"/>
      <c r="M1317" s="686"/>
      <c r="N1317" s="686"/>
      <c r="O1317" s="686"/>
      <c r="P1317" s="686"/>
      <c r="Q1317" s="666"/>
      <c r="R1317" s="686"/>
      <c r="S1317" s="686"/>
      <c r="T1317" s="688"/>
      <c r="U1317" s="688"/>
      <c r="V1317" s="686"/>
      <c r="W1317" s="686"/>
      <c r="X1317" s="686"/>
      <c r="Y1317" s="686"/>
      <c r="Z1317" s="686"/>
      <c r="AA1317" s="669"/>
      <c r="AB1317" s="695"/>
      <c r="AC1317" s="669"/>
    </row>
    <row r="1318" ht="18.0" customHeight="1">
      <c r="A1318" s="695"/>
      <c r="B1318" s="695"/>
      <c r="C1318" s="695"/>
      <c r="D1318" s="695"/>
      <c r="E1318" s="695"/>
      <c r="F1318" s="686"/>
      <c r="G1318" s="695"/>
      <c r="H1318" s="695"/>
      <c r="I1318" s="695"/>
      <c r="J1318" s="731"/>
      <c r="K1318" s="695"/>
      <c r="L1318" s="686"/>
      <c r="M1318" s="686"/>
      <c r="N1318" s="686"/>
      <c r="O1318" s="686"/>
      <c r="P1318" s="686"/>
      <c r="Q1318" s="666"/>
      <c r="R1318" s="686"/>
      <c r="S1318" s="686"/>
      <c r="T1318" s="688"/>
      <c r="U1318" s="688"/>
      <c r="V1318" s="686"/>
      <c r="W1318" s="686"/>
      <c r="X1318" s="686"/>
      <c r="Y1318" s="686"/>
      <c r="Z1318" s="686"/>
      <c r="AA1318" s="669"/>
      <c r="AB1318" s="695"/>
      <c r="AC1318" s="669"/>
    </row>
    <row r="1319" ht="18.0" customHeight="1">
      <c r="A1319" s="695"/>
      <c r="B1319" s="695"/>
      <c r="C1319" s="695"/>
      <c r="D1319" s="695"/>
      <c r="E1319" s="695"/>
      <c r="F1319" s="686"/>
      <c r="G1319" s="695"/>
      <c r="H1319" s="695"/>
      <c r="I1319" s="695"/>
      <c r="J1319" s="731"/>
      <c r="K1319" s="695"/>
      <c r="L1319" s="686"/>
      <c r="M1319" s="686"/>
      <c r="N1319" s="686"/>
      <c r="O1319" s="686"/>
      <c r="P1319" s="686"/>
      <c r="Q1319" s="666"/>
      <c r="R1319" s="686"/>
      <c r="S1319" s="686"/>
      <c r="T1319" s="688"/>
      <c r="U1319" s="688"/>
      <c r="V1319" s="686"/>
      <c r="W1319" s="686"/>
      <c r="X1319" s="686"/>
      <c r="Y1319" s="686"/>
      <c r="Z1319" s="686"/>
      <c r="AA1319" s="669"/>
      <c r="AB1319" s="695"/>
      <c r="AC1319" s="669"/>
    </row>
    <row r="1320" ht="18.0" customHeight="1">
      <c r="A1320" s="695"/>
      <c r="B1320" s="695"/>
      <c r="C1320" s="695"/>
      <c r="D1320" s="695"/>
      <c r="E1320" s="695"/>
      <c r="F1320" s="686"/>
      <c r="G1320" s="695"/>
      <c r="H1320" s="695"/>
      <c r="I1320" s="695"/>
      <c r="J1320" s="731"/>
      <c r="K1320" s="695"/>
      <c r="L1320" s="686"/>
      <c r="M1320" s="686"/>
      <c r="N1320" s="686"/>
      <c r="O1320" s="686"/>
      <c r="P1320" s="686"/>
      <c r="Q1320" s="666"/>
      <c r="R1320" s="686"/>
      <c r="S1320" s="686"/>
      <c r="T1320" s="688"/>
      <c r="U1320" s="688"/>
      <c r="V1320" s="686"/>
      <c r="W1320" s="686"/>
      <c r="X1320" s="686"/>
      <c r="Y1320" s="686"/>
      <c r="Z1320" s="686"/>
      <c r="AA1320" s="669"/>
      <c r="AB1320" s="695"/>
      <c r="AC1320" s="669"/>
    </row>
    <row r="1321" ht="18.0" customHeight="1">
      <c r="A1321" s="695"/>
      <c r="B1321" s="695"/>
      <c r="C1321" s="695"/>
      <c r="D1321" s="695"/>
      <c r="E1321" s="695"/>
      <c r="F1321" s="686"/>
      <c r="G1321" s="695"/>
      <c r="H1321" s="695"/>
      <c r="I1321" s="695"/>
      <c r="J1321" s="731"/>
      <c r="K1321" s="695"/>
      <c r="L1321" s="686"/>
      <c r="M1321" s="686"/>
      <c r="N1321" s="686"/>
      <c r="O1321" s="686"/>
      <c r="P1321" s="686"/>
      <c r="Q1321" s="666"/>
      <c r="R1321" s="686"/>
      <c r="S1321" s="686"/>
      <c r="T1321" s="688"/>
      <c r="U1321" s="688"/>
      <c r="V1321" s="686"/>
      <c r="W1321" s="686"/>
      <c r="X1321" s="686"/>
      <c r="Y1321" s="686"/>
      <c r="Z1321" s="686"/>
      <c r="AA1321" s="669"/>
      <c r="AB1321" s="695"/>
      <c r="AC1321" s="669"/>
    </row>
    <row r="1322" ht="18.0" customHeight="1">
      <c r="A1322" s="695"/>
      <c r="B1322" s="695"/>
      <c r="C1322" s="695"/>
      <c r="D1322" s="695"/>
      <c r="E1322" s="695"/>
      <c r="F1322" s="686"/>
      <c r="G1322" s="695"/>
      <c r="H1322" s="695"/>
      <c r="I1322" s="695"/>
      <c r="J1322" s="731"/>
      <c r="K1322" s="695"/>
      <c r="L1322" s="686"/>
      <c r="M1322" s="686"/>
      <c r="N1322" s="686"/>
      <c r="O1322" s="686"/>
      <c r="P1322" s="686"/>
      <c r="Q1322" s="666"/>
      <c r="R1322" s="686"/>
      <c r="S1322" s="686"/>
      <c r="T1322" s="688"/>
      <c r="U1322" s="688"/>
      <c r="V1322" s="686"/>
      <c r="W1322" s="686"/>
      <c r="X1322" s="686"/>
      <c r="Y1322" s="686"/>
      <c r="Z1322" s="686"/>
      <c r="AA1322" s="669"/>
      <c r="AB1322" s="695"/>
      <c r="AC1322" s="669"/>
    </row>
    <row r="1323" ht="18.0" customHeight="1">
      <c r="A1323" s="695"/>
      <c r="B1323" s="695"/>
      <c r="C1323" s="695"/>
      <c r="D1323" s="695"/>
      <c r="E1323" s="695"/>
      <c r="F1323" s="686"/>
      <c r="G1323" s="695"/>
      <c r="H1323" s="695"/>
      <c r="I1323" s="695"/>
      <c r="J1323" s="731"/>
      <c r="K1323" s="695"/>
      <c r="L1323" s="686"/>
      <c r="M1323" s="686"/>
      <c r="N1323" s="686"/>
      <c r="O1323" s="686"/>
      <c r="P1323" s="686"/>
      <c r="Q1323" s="666"/>
      <c r="R1323" s="686"/>
      <c r="S1323" s="686"/>
      <c r="T1323" s="688"/>
      <c r="U1323" s="688"/>
      <c r="V1323" s="686"/>
      <c r="W1323" s="686"/>
      <c r="X1323" s="686"/>
      <c r="Y1323" s="686"/>
      <c r="Z1323" s="686"/>
      <c r="AA1323" s="669"/>
      <c r="AB1323" s="695"/>
      <c r="AC1323" s="669"/>
    </row>
    <row r="1324" ht="18.0" customHeight="1">
      <c r="A1324" s="695"/>
      <c r="B1324" s="695"/>
      <c r="C1324" s="695"/>
      <c r="D1324" s="695"/>
      <c r="E1324" s="695"/>
      <c r="F1324" s="686"/>
      <c r="G1324" s="695"/>
      <c r="H1324" s="695"/>
      <c r="I1324" s="695"/>
      <c r="J1324" s="731"/>
      <c r="K1324" s="695"/>
      <c r="L1324" s="686"/>
      <c r="M1324" s="686"/>
      <c r="N1324" s="686"/>
      <c r="O1324" s="686"/>
      <c r="P1324" s="686"/>
      <c r="Q1324" s="666"/>
      <c r="R1324" s="686"/>
      <c r="S1324" s="686"/>
      <c r="T1324" s="688"/>
      <c r="U1324" s="688"/>
      <c r="V1324" s="686"/>
      <c r="W1324" s="686"/>
      <c r="X1324" s="686"/>
      <c r="Y1324" s="686"/>
      <c r="Z1324" s="686"/>
      <c r="AA1324" s="669"/>
      <c r="AB1324" s="695"/>
      <c r="AC1324" s="669"/>
    </row>
    <row r="1325" ht="18.0" customHeight="1">
      <c r="A1325" s="695"/>
      <c r="B1325" s="695"/>
      <c r="C1325" s="695"/>
      <c r="D1325" s="695"/>
      <c r="E1325" s="695"/>
      <c r="F1325" s="686"/>
      <c r="G1325" s="695"/>
      <c r="H1325" s="695"/>
      <c r="I1325" s="695"/>
      <c r="J1325" s="731"/>
      <c r="K1325" s="695"/>
      <c r="L1325" s="686"/>
      <c r="M1325" s="686"/>
      <c r="N1325" s="686"/>
      <c r="O1325" s="686"/>
      <c r="P1325" s="686"/>
      <c r="Q1325" s="666"/>
      <c r="R1325" s="686"/>
      <c r="S1325" s="686"/>
      <c r="T1325" s="688"/>
      <c r="U1325" s="688"/>
      <c r="V1325" s="686"/>
      <c r="W1325" s="686"/>
      <c r="X1325" s="686"/>
      <c r="Y1325" s="686"/>
      <c r="Z1325" s="686"/>
      <c r="AA1325" s="669"/>
      <c r="AB1325" s="695"/>
      <c r="AC1325" s="669"/>
    </row>
    <row r="1326" ht="18.0" customHeight="1">
      <c r="A1326" s="695"/>
      <c r="B1326" s="695"/>
      <c r="C1326" s="695"/>
      <c r="D1326" s="695"/>
      <c r="E1326" s="695"/>
      <c r="F1326" s="686"/>
      <c r="G1326" s="695"/>
      <c r="H1326" s="695"/>
      <c r="I1326" s="695"/>
      <c r="J1326" s="731"/>
      <c r="K1326" s="695"/>
      <c r="L1326" s="686"/>
      <c r="M1326" s="686"/>
      <c r="N1326" s="686"/>
      <c r="O1326" s="686"/>
      <c r="P1326" s="686"/>
      <c r="Q1326" s="666"/>
      <c r="R1326" s="686"/>
      <c r="S1326" s="686"/>
      <c r="T1326" s="688"/>
      <c r="U1326" s="688"/>
      <c r="V1326" s="686"/>
      <c r="W1326" s="686"/>
      <c r="X1326" s="686"/>
      <c r="Y1326" s="686"/>
      <c r="Z1326" s="686"/>
      <c r="AA1326" s="669"/>
      <c r="AB1326" s="695"/>
      <c r="AC1326" s="669"/>
    </row>
    <row r="1327" ht="18.0" customHeight="1">
      <c r="A1327" s="695"/>
      <c r="B1327" s="695"/>
      <c r="C1327" s="695"/>
      <c r="D1327" s="695"/>
      <c r="E1327" s="695"/>
      <c r="F1327" s="686"/>
      <c r="G1327" s="695"/>
      <c r="H1327" s="695"/>
      <c r="I1327" s="695"/>
      <c r="J1327" s="731"/>
      <c r="K1327" s="695"/>
      <c r="L1327" s="686"/>
      <c r="M1327" s="686"/>
      <c r="N1327" s="686"/>
      <c r="O1327" s="686"/>
      <c r="P1327" s="686"/>
      <c r="Q1327" s="666"/>
      <c r="R1327" s="686"/>
      <c r="S1327" s="686"/>
      <c r="T1327" s="688"/>
      <c r="U1327" s="688"/>
      <c r="V1327" s="686"/>
      <c r="W1327" s="686"/>
      <c r="X1327" s="686"/>
      <c r="Y1327" s="686"/>
      <c r="Z1327" s="686"/>
      <c r="AA1327" s="669"/>
      <c r="AB1327" s="695"/>
      <c r="AC1327" s="669"/>
    </row>
    <row r="1328" ht="18.0" customHeight="1">
      <c r="A1328" s="695"/>
      <c r="B1328" s="695"/>
      <c r="C1328" s="695"/>
      <c r="D1328" s="695"/>
      <c r="E1328" s="695"/>
      <c r="F1328" s="686"/>
      <c r="G1328" s="695"/>
      <c r="H1328" s="695"/>
      <c r="I1328" s="695"/>
      <c r="J1328" s="731"/>
      <c r="K1328" s="695"/>
      <c r="L1328" s="686"/>
      <c r="M1328" s="686"/>
      <c r="N1328" s="686"/>
      <c r="O1328" s="686"/>
      <c r="P1328" s="686"/>
      <c r="Q1328" s="666"/>
      <c r="R1328" s="686"/>
      <c r="S1328" s="686"/>
      <c r="T1328" s="688"/>
      <c r="U1328" s="688"/>
      <c r="V1328" s="686"/>
      <c r="W1328" s="686"/>
      <c r="X1328" s="686"/>
      <c r="Y1328" s="686"/>
      <c r="Z1328" s="686"/>
      <c r="AA1328" s="669"/>
      <c r="AB1328" s="695"/>
      <c r="AC1328" s="669"/>
    </row>
    <row r="1329" ht="18.0" customHeight="1">
      <c r="A1329" s="695"/>
      <c r="B1329" s="695"/>
      <c r="C1329" s="695"/>
      <c r="D1329" s="695"/>
      <c r="E1329" s="695"/>
      <c r="F1329" s="686"/>
      <c r="G1329" s="695"/>
      <c r="H1329" s="695"/>
      <c r="I1329" s="695"/>
      <c r="J1329" s="731"/>
      <c r="K1329" s="695"/>
      <c r="L1329" s="686"/>
      <c r="M1329" s="686"/>
      <c r="N1329" s="686"/>
      <c r="O1329" s="686"/>
      <c r="P1329" s="686"/>
      <c r="Q1329" s="666"/>
      <c r="R1329" s="686"/>
      <c r="S1329" s="686"/>
      <c r="T1329" s="688"/>
      <c r="U1329" s="688"/>
      <c r="V1329" s="686"/>
      <c r="W1329" s="686"/>
      <c r="X1329" s="686"/>
      <c r="Y1329" s="686"/>
      <c r="Z1329" s="686"/>
      <c r="AA1329" s="669"/>
      <c r="AB1329" s="695"/>
      <c r="AC1329" s="669"/>
    </row>
    <row r="1330" ht="18.0" customHeight="1">
      <c r="A1330" s="695"/>
      <c r="B1330" s="695"/>
      <c r="C1330" s="695"/>
      <c r="D1330" s="695"/>
      <c r="E1330" s="695"/>
      <c r="F1330" s="686"/>
      <c r="G1330" s="695"/>
      <c r="H1330" s="695"/>
      <c r="I1330" s="695"/>
      <c r="J1330" s="731"/>
      <c r="K1330" s="695"/>
      <c r="L1330" s="686"/>
      <c r="M1330" s="686"/>
      <c r="N1330" s="686"/>
      <c r="O1330" s="686"/>
      <c r="P1330" s="686"/>
      <c r="Q1330" s="666"/>
      <c r="R1330" s="686"/>
      <c r="S1330" s="686"/>
      <c r="T1330" s="688"/>
      <c r="U1330" s="688"/>
      <c r="V1330" s="686"/>
      <c r="W1330" s="686"/>
      <c r="X1330" s="686"/>
      <c r="Y1330" s="686"/>
      <c r="Z1330" s="686"/>
      <c r="AA1330" s="669"/>
      <c r="AB1330" s="695"/>
      <c r="AC1330" s="669"/>
    </row>
    <row r="1331" ht="18.0" customHeight="1">
      <c r="A1331" s="695"/>
      <c r="B1331" s="695"/>
      <c r="C1331" s="695"/>
      <c r="D1331" s="695"/>
      <c r="E1331" s="695"/>
      <c r="F1331" s="686"/>
      <c r="G1331" s="695"/>
      <c r="H1331" s="695"/>
      <c r="I1331" s="695"/>
      <c r="J1331" s="731"/>
      <c r="K1331" s="695"/>
      <c r="L1331" s="686"/>
      <c r="M1331" s="686"/>
      <c r="N1331" s="686"/>
      <c r="O1331" s="686"/>
      <c r="P1331" s="686"/>
      <c r="Q1331" s="666"/>
      <c r="R1331" s="686"/>
      <c r="S1331" s="686"/>
      <c r="T1331" s="688"/>
      <c r="U1331" s="688"/>
      <c r="V1331" s="686"/>
      <c r="W1331" s="686"/>
      <c r="X1331" s="686"/>
      <c r="Y1331" s="686"/>
      <c r="Z1331" s="686"/>
      <c r="AA1331" s="669"/>
      <c r="AB1331" s="695"/>
      <c r="AC1331" s="669"/>
    </row>
    <row r="1332" ht="18.0" customHeight="1">
      <c r="A1332" s="695"/>
      <c r="B1332" s="695"/>
      <c r="C1332" s="695"/>
      <c r="D1332" s="695"/>
      <c r="E1332" s="695"/>
      <c r="F1332" s="686"/>
      <c r="G1332" s="695"/>
      <c r="H1332" s="695"/>
      <c r="I1332" s="695"/>
      <c r="J1332" s="731"/>
      <c r="K1332" s="695"/>
      <c r="L1332" s="686"/>
      <c r="M1332" s="686"/>
      <c r="N1332" s="686"/>
      <c r="O1332" s="686"/>
      <c r="P1332" s="686"/>
      <c r="Q1332" s="666"/>
      <c r="R1332" s="686"/>
      <c r="S1332" s="686"/>
      <c r="T1332" s="688"/>
      <c r="U1332" s="688"/>
      <c r="V1332" s="686"/>
      <c r="W1332" s="686"/>
      <c r="X1332" s="686"/>
      <c r="Y1332" s="686"/>
      <c r="Z1332" s="686"/>
      <c r="AA1332" s="669"/>
      <c r="AB1332" s="695"/>
      <c r="AC1332" s="669"/>
    </row>
    <row r="1333" ht="18.0" customHeight="1">
      <c r="A1333" s="695"/>
      <c r="B1333" s="695"/>
      <c r="C1333" s="695"/>
      <c r="D1333" s="695"/>
      <c r="E1333" s="695"/>
      <c r="F1333" s="686"/>
      <c r="G1333" s="695"/>
      <c r="H1333" s="695"/>
      <c r="I1333" s="695"/>
      <c r="J1333" s="731"/>
      <c r="K1333" s="695"/>
      <c r="L1333" s="686"/>
      <c r="M1333" s="686"/>
      <c r="N1333" s="686"/>
      <c r="O1333" s="686"/>
      <c r="P1333" s="686"/>
      <c r="Q1333" s="666"/>
      <c r="R1333" s="686"/>
      <c r="S1333" s="686"/>
      <c r="T1333" s="688"/>
      <c r="U1333" s="688"/>
      <c r="V1333" s="686"/>
      <c r="W1333" s="686"/>
      <c r="X1333" s="686"/>
      <c r="Y1333" s="686"/>
      <c r="Z1333" s="686"/>
      <c r="AA1333" s="669"/>
      <c r="AB1333" s="695"/>
      <c r="AC1333" s="669"/>
    </row>
    <row r="1334" ht="18.0" customHeight="1">
      <c r="A1334" s="695"/>
      <c r="B1334" s="695"/>
      <c r="C1334" s="695"/>
      <c r="D1334" s="695"/>
      <c r="E1334" s="695"/>
      <c r="F1334" s="686"/>
      <c r="G1334" s="695"/>
      <c r="H1334" s="695"/>
      <c r="I1334" s="695"/>
      <c r="J1334" s="731"/>
      <c r="K1334" s="695"/>
      <c r="L1334" s="686"/>
      <c r="M1334" s="686"/>
      <c r="N1334" s="686"/>
      <c r="O1334" s="686"/>
      <c r="P1334" s="686"/>
      <c r="Q1334" s="666"/>
      <c r="R1334" s="686"/>
      <c r="S1334" s="686"/>
      <c r="T1334" s="688"/>
      <c r="U1334" s="688"/>
      <c r="V1334" s="686"/>
      <c r="W1334" s="686"/>
      <c r="X1334" s="686"/>
      <c r="Y1334" s="686"/>
      <c r="Z1334" s="686"/>
      <c r="AA1334" s="669"/>
      <c r="AB1334" s="695"/>
      <c r="AC1334" s="669"/>
    </row>
    <row r="1335" ht="18.0" customHeight="1">
      <c r="A1335" s="695"/>
      <c r="B1335" s="695"/>
      <c r="C1335" s="695"/>
      <c r="D1335" s="695"/>
      <c r="E1335" s="695"/>
      <c r="F1335" s="686"/>
      <c r="G1335" s="695"/>
      <c r="H1335" s="695"/>
      <c r="I1335" s="695"/>
      <c r="J1335" s="731"/>
      <c r="K1335" s="695"/>
      <c r="L1335" s="686"/>
      <c r="M1335" s="686"/>
      <c r="N1335" s="686"/>
      <c r="O1335" s="686"/>
      <c r="P1335" s="686"/>
      <c r="Q1335" s="666"/>
      <c r="R1335" s="686"/>
      <c r="S1335" s="686"/>
      <c r="T1335" s="688"/>
      <c r="U1335" s="688"/>
      <c r="V1335" s="686"/>
      <c r="W1335" s="686"/>
      <c r="X1335" s="686"/>
      <c r="Y1335" s="686"/>
      <c r="Z1335" s="686"/>
      <c r="AA1335" s="669"/>
      <c r="AB1335" s="695"/>
      <c r="AC1335" s="669"/>
    </row>
    <row r="1336" ht="18.0" customHeight="1">
      <c r="A1336" s="695"/>
      <c r="B1336" s="695"/>
      <c r="C1336" s="695"/>
      <c r="D1336" s="695"/>
      <c r="E1336" s="695"/>
      <c r="F1336" s="686"/>
      <c r="G1336" s="695"/>
      <c r="H1336" s="695"/>
      <c r="I1336" s="695"/>
      <c r="J1336" s="731"/>
      <c r="K1336" s="695"/>
      <c r="L1336" s="686"/>
      <c r="M1336" s="686"/>
      <c r="N1336" s="686"/>
      <c r="O1336" s="686"/>
      <c r="P1336" s="686"/>
      <c r="Q1336" s="666"/>
      <c r="R1336" s="686"/>
      <c r="S1336" s="686"/>
      <c r="T1336" s="688"/>
      <c r="U1336" s="688"/>
      <c r="V1336" s="686"/>
      <c r="W1336" s="686"/>
      <c r="X1336" s="686"/>
      <c r="Y1336" s="686"/>
      <c r="Z1336" s="686"/>
      <c r="AA1336" s="669"/>
      <c r="AB1336" s="695"/>
      <c r="AC1336" s="669"/>
    </row>
    <row r="1337" ht="18.0" customHeight="1">
      <c r="A1337" s="695"/>
      <c r="B1337" s="695"/>
      <c r="C1337" s="695"/>
      <c r="D1337" s="695"/>
      <c r="E1337" s="695"/>
      <c r="F1337" s="686"/>
      <c r="G1337" s="695"/>
      <c r="H1337" s="695"/>
      <c r="I1337" s="695"/>
      <c r="J1337" s="731"/>
      <c r="K1337" s="695"/>
      <c r="L1337" s="686"/>
      <c r="M1337" s="686"/>
      <c r="N1337" s="686"/>
      <c r="O1337" s="686"/>
      <c r="P1337" s="686"/>
      <c r="Q1337" s="666"/>
      <c r="R1337" s="686"/>
      <c r="S1337" s="686"/>
      <c r="T1337" s="688"/>
      <c r="U1337" s="688"/>
      <c r="V1337" s="686"/>
      <c r="W1337" s="686"/>
      <c r="X1337" s="686"/>
      <c r="Y1337" s="686"/>
      <c r="Z1337" s="686"/>
      <c r="AA1337" s="669"/>
      <c r="AB1337" s="695"/>
      <c r="AC1337" s="669"/>
    </row>
    <row r="1338" ht="18.0" customHeight="1">
      <c r="A1338" s="695"/>
      <c r="B1338" s="695"/>
      <c r="C1338" s="695"/>
      <c r="D1338" s="695"/>
      <c r="E1338" s="695"/>
      <c r="F1338" s="686"/>
      <c r="G1338" s="695"/>
      <c r="H1338" s="695"/>
      <c r="I1338" s="695"/>
      <c r="J1338" s="731"/>
      <c r="K1338" s="695"/>
      <c r="L1338" s="686"/>
      <c r="M1338" s="686"/>
      <c r="N1338" s="686"/>
      <c r="O1338" s="686"/>
      <c r="P1338" s="686"/>
      <c r="Q1338" s="666"/>
      <c r="R1338" s="686"/>
      <c r="S1338" s="686"/>
      <c r="T1338" s="688"/>
      <c r="U1338" s="688"/>
      <c r="V1338" s="686"/>
      <c r="W1338" s="686"/>
      <c r="X1338" s="686"/>
      <c r="Y1338" s="686"/>
      <c r="Z1338" s="686"/>
      <c r="AA1338" s="669"/>
      <c r="AB1338" s="695"/>
      <c r="AC1338" s="669"/>
    </row>
    <row r="1339" ht="18.0" customHeight="1">
      <c r="A1339" s="695"/>
      <c r="B1339" s="695"/>
      <c r="C1339" s="695"/>
      <c r="D1339" s="695"/>
      <c r="E1339" s="695"/>
      <c r="F1339" s="686"/>
      <c r="G1339" s="695"/>
      <c r="H1339" s="695"/>
      <c r="I1339" s="695"/>
      <c r="J1339" s="731"/>
      <c r="K1339" s="695"/>
      <c r="L1339" s="686"/>
      <c r="M1339" s="686"/>
      <c r="N1339" s="686"/>
      <c r="O1339" s="686"/>
      <c r="P1339" s="686"/>
      <c r="Q1339" s="666"/>
      <c r="R1339" s="686"/>
      <c r="S1339" s="686"/>
      <c r="T1339" s="688"/>
      <c r="U1339" s="688"/>
      <c r="V1339" s="686"/>
      <c r="W1339" s="686"/>
      <c r="X1339" s="686"/>
      <c r="Y1339" s="686"/>
      <c r="Z1339" s="686"/>
      <c r="AA1339" s="669"/>
      <c r="AB1339" s="695"/>
      <c r="AC1339" s="669"/>
    </row>
    <row r="1340" ht="18.0" customHeight="1">
      <c r="A1340" s="695"/>
      <c r="B1340" s="695"/>
      <c r="C1340" s="695"/>
      <c r="D1340" s="695"/>
      <c r="E1340" s="695"/>
      <c r="F1340" s="686"/>
      <c r="G1340" s="695"/>
      <c r="H1340" s="695"/>
      <c r="I1340" s="695"/>
      <c r="J1340" s="731"/>
      <c r="K1340" s="695"/>
      <c r="L1340" s="686"/>
      <c r="M1340" s="686"/>
      <c r="N1340" s="686"/>
      <c r="O1340" s="686"/>
      <c r="P1340" s="686"/>
      <c r="Q1340" s="666"/>
      <c r="R1340" s="686"/>
      <c r="S1340" s="686"/>
      <c r="T1340" s="688"/>
      <c r="U1340" s="688"/>
      <c r="V1340" s="686"/>
      <c r="W1340" s="686"/>
      <c r="X1340" s="686"/>
      <c r="Y1340" s="686"/>
      <c r="Z1340" s="686"/>
      <c r="AA1340" s="669"/>
      <c r="AB1340" s="695"/>
      <c r="AC1340" s="669"/>
    </row>
  </sheetData>
  <customSheetViews>
    <customSheetView guid="{E0C371E4-27D6-40E5-BF94-8AE9D307DDDB}" filter="1" showAutoFilter="1">
      <autoFilter ref="$A$9:$P$132"/>
    </customSheetView>
  </customSheetViews>
  <mergeCells count="5">
    <mergeCell ref="A1:AC1"/>
    <mergeCell ref="A2:AC2"/>
    <mergeCell ref="A3:AC3"/>
    <mergeCell ref="A4:P4"/>
    <mergeCell ref="R4:Z4"/>
  </mergeCells>
  <conditionalFormatting sqref="F11:F27 F29:F67 G31 G66 F69:F189 AA190:AA191 F192:F1340 H292">
    <cfRule type="colorScale" priority="1">
      <colorScale>
        <cfvo type="formula" val="215"/>
        <cfvo type="percentile" val="50"/>
        <cfvo type="formula" val="300"/>
        <color rgb="FF57BB8A"/>
        <color rgb="FFFFD666"/>
        <color rgb="FFE67C73"/>
      </colorScale>
    </cfRule>
  </conditionalFormatting>
  <conditionalFormatting sqref="I8:I27 I29:I30 I32:I1340">
    <cfRule type="colorScale" priority="2">
      <colorScale>
        <cfvo type="formula" val="1"/>
        <cfvo type="formula" val="2"/>
        <cfvo type="formula" val="4"/>
        <color rgb="FF57BB8A"/>
        <color rgb="FFFFD666"/>
        <color rgb="FFE67C73"/>
      </colorScale>
    </cfRule>
  </conditionalFormatting>
  <conditionalFormatting sqref="G10 G14:G30 H30:H31 G32:G65 H34:H35 G67:G1340 H73 H77:H78 H104 H113 H138 H149:H151 H171 H184 H188:H189 H195 H217 H228 H272 H283:H284 H292 H297 H313 H325">
    <cfRule type="containsText" dxfId="9" priority="3" operator="containsText" text="Pass">
      <formula>NOT(ISERROR(SEARCH(("Pass"),(G10))))</formula>
    </cfRule>
  </conditionalFormatting>
  <conditionalFormatting sqref="G10 G14:G30 H30:H31 G32:G65 H34:H35 G67:G1340 H73 H77:H78 H104 H113 H138 H149:H151 H171 H184 H188:H189 H195 H217 H228 H272 H283:H284 H292 H297 H313 H325">
    <cfRule type="containsText" dxfId="20" priority="4" operator="containsText" text="n/a">
      <formula>NOT(ISERROR(SEARCH(("n/a"),(G10))))</formula>
    </cfRule>
  </conditionalFormatting>
  <conditionalFormatting sqref="H10 H14:H29 I31 G32 H32:H1340 G39 G44:G45 G48 G55:G56 G70:G73 G75:G78 G85">
    <cfRule type="containsText" dxfId="20" priority="5" operator="containsText" text="n/a">
      <formula>NOT(ISERROR(SEARCH(("n/a"),(H10))))</formula>
    </cfRule>
  </conditionalFormatting>
  <conditionalFormatting sqref="H10 H14:H29 I31 G32 H32:H1340 G39 G44:G45 G48 G55:G56 G70:G73 G75:G78 G85">
    <cfRule type="colorScale" priority="6">
      <colorScale>
        <cfvo type="formula" val="400"/>
        <cfvo type="percentile" val="50"/>
        <cfvo type="formula" val="800"/>
        <color rgb="FF57BB8A"/>
        <color rgb="FFFFD666"/>
        <color rgb="FFE67C73"/>
      </colorScale>
    </cfRule>
  </conditionalFormatting>
  <conditionalFormatting sqref="E6:E7">
    <cfRule type="notContainsBlanks" dxfId="9" priority="7">
      <formula>LEN(TRIM(E6))&gt;0</formula>
    </cfRule>
  </conditionalFormatting>
  <dataValidations>
    <dataValidation type="list" allowBlank="1" showErrorMessage="1" sqref="J12:J13">
      <formula1>"Y,2nd,3rd,4th,N"</formula1>
    </dataValidation>
    <dataValidation type="list" allowBlank="1" showErrorMessage="1" sqref="J63">
      <formula1>"Y,N,N/A"</formula1>
    </dataValidation>
    <dataValidation type="list" allowBlank="1" showErrorMessage="1" sqref="B6:B16 B18:B35 B37:B93 B95:B146 B148:B150 B152:B164 B166:B202 B204:B216 B218:B226 B228:B241 B243:B266 B268:B286 B288:B297 B299 B301:B1340">
      <formula1>"MD,DO,MBBS"</formula1>
    </dataValidation>
    <dataValidation type="list" allowBlank="1" showErrorMessage="1" sqref="M151">
      <formula1>"0,1,2,3,4,5,6,7,8"</formula1>
    </dataValidation>
    <dataValidation type="list" allowBlank="1" showErrorMessage="1" sqref="B17 B36 B94 B203 B242 B267 B287 B300">
      <formula1>"MD,DO,MBBS,IMG"</formula1>
    </dataValidation>
    <dataValidation type="list" allowBlank="1" showErrorMessage="1" sqref="J6:L11 K12:L13 P6:P27 J14:L62 K63:L63 J64:L67 K68:L68 J69:L108 J109 L109 J110:L150 P29:P150 J152:L181 J183:L1340 P152:P1340">
      <formula1>"Y,N"</formula1>
    </dataValidation>
    <dataValidation type="list" allowBlank="1" showErrorMessage="1" sqref="M175">
      <formula1>"0,1,2,3,4,5,6,7,8,9"</formula1>
    </dataValidation>
    <dataValidation type="list" allowBlank="1" showErrorMessage="1" sqref="B147 B165 B227">
      <formula1>"MD,DO,MBBS,IMG"</formula1>
    </dataValidation>
    <dataValidation type="list" allowBlank="1" showErrorMessage="1" sqref="I151">
      <formula1>"1st,2nd,3rd,4th"</formula1>
    </dataValidation>
    <dataValidation type="list" allowBlank="1" showErrorMessage="1" sqref="B298">
      <formula1>"MD,DO"</formula1>
    </dataValidation>
    <dataValidation type="list" allowBlank="1" showErrorMessage="1" sqref="M6:M16 M18:M24 J68 M26:M150 M152:M174 M176:M218 M220:M1340">
      <formula1>"0,1,2,3,4,5,6,7,8"</formula1>
    </dataValidation>
    <dataValidation type="list" allowBlank="1" showErrorMessage="1" sqref="I8:I27 I29:I30 I32:I150 I152:I1340">
      <formula1>"1st,2nd,3rd,4th"</formula1>
    </dataValidation>
    <dataValidation type="list" allowBlank="1" showErrorMessage="1" sqref="J182:L182">
      <formula1>"Y,N,N/A"</formula1>
    </dataValidation>
    <dataValidation type="list" allowBlank="1" showErrorMessage="1" sqref="M25">
      <formula1>"0,1,2,3,4,5,6,7,8,P/F only"</formula1>
    </dataValidation>
    <dataValidation type="list" allowBlank="1" showErrorMessage="1" sqref="J151:L151 P151">
      <formula1>"Y,N"</formula1>
    </dataValidation>
    <dataValidation type="list" allowBlank="1" showErrorMessage="1" sqref="B151">
      <formula1>"MD,DO,MBBS"</formula1>
    </dataValidation>
    <dataValidation type="list" allowBlank="1" showErrorMessage="1" sqref="K109">
      <formula1>"Y,N,No chapter"</formula1>
    </dataValidation>
    <dataValidation type="list" allowBlank="1" showErrorMessage="1" sqref="AB95">
      <formula1>"Categorical,Preliminary,SOAP (Cat),SOAP (Prelim),Unmatched,Matched Other Specialty,Scrambled (Prelim)"</formula1>
    </dataValidation>
    <dataValidation type="list" allowBlank="1" showErrorMessage="1" sqref="E6:E27 E29:E150 E152:E189 Z190:Z191 E192:E241 E243:E1340">
      <formula1>"1,2,3,N/A"</formula1>
    </dataValidation>
    <dataValidation type="list" allowBlank="1" showErrorMessage="1" sqref="B217">
      <formula1>"MD,DO,MBBS,USIMG,IMG"</formula1>
    </dataValidation>
    <dataValidation type="list" allowBlank="1" showErrorMessage="1" sqref="M17">
      <formula1>"0,1,2,3,4,5,6,7,8,N/A"</formula1>
    </dataValidation>
    <dataValidation type="list" allowBlank="1" showErrorMessage="1" sqref="E242">
      <formula1>"1,2,3"</formula1>
    </dataValidation>
    <dataValidation type="list" allowBlank="1" showErrorMessage="1" sqref="AB151">
      <formula1>"Categorical,Preliminary,SOAP (Cat),SOAP (Prelim),Unmatched,Matched Other Specialty"</formula1>
    </dataValidation>
    <dataValidation type="list" allowBlank="1" showErrorMessage="1" sqref="M219">
      <formula1>"0,1,2,3,4,5,6,7,8,n/a"</formula1>
    </dataValidation>
    <dataValidation type="list" allowBlank="1" showErrorMessage="1" sqref="E151">
      <formula1>"1,2,3,N/A"</formula1>
    </dataValidation>
    <dataValidation type="list" allowBlank="1" showErrorMessage="1" sqref="AB6:AB94 AB96:AB150 AB152:AB281 AB284:AB1340">
      <formula1>"Categorical,Preliminary,SOAP (Cat),SOAP (Prelim),Unmatched,Matched Other Specialty"</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0.13"/>
    <col customWidth="1" min="2" max="2" width="35.63"/>
    <col customWidth="1" min="3" max="3" width="38.0"/>
    <col customWidth="1" min="4" max="4" width="42.63"/>
  </cols>
  <sheetData>
    <row r="1">
      <c r="A1" s="31"/>
    </row>
    <row r="2">
      <c r="A2" s="732" t="s">
        <v>4325</v>
      </c>
    </row>
    <row r="3">
      <c r="A3" s="733"/>
    </row>
    <row r="4">
      <c r="A4" s="734" t="s">
        <v>4330</v>
      </c>
      <c r="B4" s="734" t="s">
        <v>4332</v>
      </c>
      <c r="C4" s="734" t="s">
        <v>4335</v>
      </c>
      <c r="D4" s="735" t="s">
        <v>4337</v>
      </c>
    </row>
    <row r="5">
      <c r="A5" s="736"/>
      <c r="B5" s="737"/>
      <c r="C5" s="738"/>
      <c r="D5" s="739"/>
    </row>
    <row r="6">
      <c r="A6" s="736">
        <v>45541.0</v>
      </c>
      <c r="B6" s="737"/>
      <c r="C6" s="738" t="s">
        <v>4341</v>
      </c>
      <c r="D6" s="737" t="s">
        <v>4342</v>
      </c>
    </row>
    <row r="7">
      <c r="A7" s="736">
        <v>45560.0</v>
      </c>
      <c r="C7" s="740" t="s">
        <v>4343</v>
      </c>
      <c r="D7" s="741" t="s">
        <v>4345</v>
      </c>
    </row>
    <row r="8">
      <c r="A8" s="736">
        <v>45560.0</v>
      </c>
      <c r="C8" s="740" t="s">
        <v>4349</v>
      </c>
      <c r="D8" s="739"/>
    </row>
    <row r="9">
      <c r="A9" s="736">
        <v>45560.0</v>
      </c>
      <c r="B9" s="741" t="s">
        <v>4351</v>
      </c>
      <c r="C9" s="740" t="s">
        <v>4352</v>
      </c>
      <c r="D9" s="740"/>
    </row>
    <row r="10">
      <c r="A10" s="736">
        <v>45560.0</v>
      </c>
      <c r="B10" s="741" t="s">
        <v>4354</v>
      </c>
      <c r="C10" s="740" t="s">
        <v>4356</v>
      </c>
      <c r="D10" s="739"/>
    </row>
    <row r="11">
      <c r="A11" s="736">
        <v>45560.0</v>
      </c>
      <c r="B11" s="741" t="s">
        <v>4357</v>
      </c>
      <c r="C11" s="740" t="s">
        <v>4358</v>
      </c>
      <c r="D11" s="743"/>
    </row>
    <row r="12">
      <c r="A12" s="736">
        <v>45565.0</v>
      </c>
      <c r="B12" s="741" t="s">
        <v>4359</v>
      </c>
      <c r="C12" s="740" t="s">
        <v>4360</v>
      </c>
      <c r="D12" s="739"/>
    </row>
    <row r="13">
      <c r="A13" s="736">
        <v>45565.0</v>
      </c>
      <c r="B13" s="745" t="s">
        <v>4362</v>
      </c>
      <c r="C13" s="740"/>
      <c r="D13" s="739"/>
    </row>
    <row r="14">
      <c r="A14" s="736">
        <v>45566.0</v>
      </c>
      <c r="B14" s="741" t="s">
        <v>4366</v>
      </c>
      <c r="C14" s="740" t="s">
        <v>4368</v>
      </c>
      <c r="D14" s="739" t="s">
        <v>4369</v>
      </c>
    </row>
    <row r="15">
      <c r="A15" s="736">
        <v>45566.0</v>
      </c>
      <c r="B15" s="746" t="s">
        <v>4370</v>
      </c>
      <c r="C15" s="740" t="s">
        <v>4371</v>
      </c>
      <c r="D15" s="739"/>
    </row>
    <row r="16">
      <c r="A16" s="736">
        <v>45571.0</v>
      </c>
      <c r="B16" s="741" t="s">
        <v>4373</v>
      </c>
      <c r="C16" s="740" t="s">
        <v>4374</v>
      </c>
      <c r="D16" s="739" t="s">
        <v>4375</v>
      </c>
    </row>
    <row r="17">
      <c r="A17" s="736">
        <v>45572.0</v>
      </c>
      <c r="B17" s="741" t="s">
        <v>4376</v>
      </c>
      <c r="C17" s="740" t="s">
        <v>4378</v>
      </c>
      <c r="D17" s="739"/>
    </row>
    <row r="18">
      <c r="A18" s="736">
        <v>45573.0</v>
      </c>
      <c r="B18" s="741" t="s">
        <v>4379</v>
      </c>
      <c r="C18" s="184" t="s">
        <v>4380</v>
      </c>
      <c r="D18" s="739" t="s">
        <v>4382</v>
      </c>
    </row>
    <row r="19">
      <c r="A19" s="736">
        <v>45574.0</v>
      </c>
      <c r="B19" s="741" t="s">
        <v>4383</v>
      </c>
      <c r="C19" s="740" t="s">
        <v>4385</v>
      </c>
      <c r="D19" s="739" t="s">
        <v>4386</v>
      </c>
    </row>
    <row r="20">
      <c r="A20" s="736">
        <v>45575.0</v>
      </c>
      <c r="B20" s="747" t="s">
        <v>4387</v>
      </c>
      <c r="C20" s="741" t="s">
        <v>4388</v>
      </c>
      <c r="D20" s="739"/>
    </row>
    <row r="21">
      <c r="A21" s="736">
        <v>45575.0</v>
      </c>
      <c r="B21" s="741" t="s">
        <v>4390</v>
      </c>
      <c r="C21" s="740" t="s">
        <v>4392</v>
      </c>
      <c r="D21" s="739"/>
    </row>
    <row r="22">
      <c r="A22" s="736">
        <v>45576.0</v>
      </c>
      <c r="B22" s="741" t="s">
        <v>4393</v>
      </c>
      <c r="C22" s="740" t="s">
        <v>4394</v>
      </c>
      <c r="D22" s="739"/>
    </row>
    <row r="23">
      <c r="A23" s="736">
        <v>45576.0</v>
      </c>
      <c r="B23" s="741" t="s">
        <v>4395</v>
      </c>
      <c r="C23" s="740"/>
      <c r="D23" s="739"/>
    </row>
    <row r="24">
      <c r="A24" s="736">
        <v>45579.0</v>
      </c>
      <c r="B24" s="741" t="s">
        <v>4397</v>
      </c>
      <c r="C24" s="740" t="s">
        <v>4398</v>
      </c>
      <c r="D24" s="739" t="s">
        <v>4399</v>
      </c>
    </row>
    <row r="25">
      <c r="A25" s="736">
        <v>45586.0</v>
      </c>
      <c r="B25" s="741" t="s">
        <v>4402</v>
      </c>
      <c r="C25" s="740" t="s">
        <v>4404</v>
      </c>
      <c r="D25" s="739"/>
    </row>
    <row r="26">
      <c r="A26" s="736">
        <v>45586.0</v>
      </c>
      <c r="B26" s="741" t="s">
        <v>4405</v>
      </c>
      <c r="C26" s="740" t="s">
        <v>572</v>
      </c>
      <c r="D26" s="739"/>
    </row>
    <row r="27">
      <c r="A27" s="736">
        <v>45588.0</v>
      </c>
      <c r="B27" s="741" t="s">
        <v>4406</v>
      </c>
      <c r="C27" s="740" t="s">
        <v>4407</v>
      </c>
      <c r="D27" s="739"/>
    </row>
    <row r="28">
      <c r="A28" s="736">
        <v>45588.0</v>
      </c>
      <c r="B28" s="741" t="s">
        <v>4408</v>
      </c>
      <c r="C28" s="740" t="s">
        <v>4409</v>
      </c>
      <c r="D28" s="739" t="s">
        <v>4411</v>
      </c>
    </row>
    <row r="29">
      <c r="A29" s="736">
        <v>45589.0</v>
      </c>
      <c r="B29" s="751" t="s">
        <v>4414</v>
      </c>
      <c r="C29" s="740" t="s">
        <v>4417</v>
      </c>
      <c r="D29" s="739"/>
    </row>
    <row r="30">
      <c r="A30" s="736">
        <v>45589.0</v>
      </c>
      <c r="B30" s="751" t="s">
        <v>4418</v>
      </c>
      <c r="C30" s="740" t="s">
        <v>4419</v>
      </c>
      <c r="D30" s="739" t="s">
        <v>4420</v>
      </c>
    </row>
    <row r="31">
      <c r="A31" s="736">
        <v>45590.0</v>
      </c>
      <c r="B31" s="751" t="s">
        <v>4426</v>
      </c>
      <c r="C31" s="740" t="s">
        <v>4427</v>
      </c>
      <c r="D31" s="739" t="s">
        <v>4428</v>
      </c>
    </row>
    <row r="32">
      <c r="A32" s="736">
        <v>45591.0</v>
      </c>
      <c r="B32" s="751" t="s">
        <v>4429</v>
      </c>
      <c r="C32" s="740" t="s">
        <v>4430</v>
      </c>
      <c r="D32" s="739" t="s">
        <v>4431</v>
      </c>
    </row>
    <row r="33">
      <c r="A33" s="736">
        <v>45592.0</v>
      </c>
      <c r="B33" s="752" t="s">
        <v>4432</v>
      </c>
      <c r="C33" s="754" t="s">
        <v>4434</v>
      </c>
      <c r="D33" s="739"/>
    </row>
    <row r="34">
      <c r="A34" s="736">
        <v>45594.0</v>
      </c>
      <c r="B34" s="751" t="s">
        <v>4437</v>
      </c>
      <c r="C34" s="741" t="s">
        <v>4439</v>
      </c>
      <c r="D34" s="739"/>
    </row>
    <row r="35">
      <c r="A35" s="736">
        <v>45594.0</v>
      </c>
      <c r="B35" s="741" t="s">
        <v>4440</v>
      </c>
      <c r="C35" s="741" t="s">
        <v>4441</v>
      </c>
      <c r="D35" s="739"/>
    </row>
    <row r="36">
      <c r="A36" s="736">
        <v>45594.0</v>
      </c>
      <c r="B36" s="754" t="s">
        <v>4442</v>
      </c>
      <c r="C36" s="740" t="s">
        <v>4443</v>
      </c>
      <c r="D36" s="739"/>
    </row>
    <row r="37">
      <c r="A37" s="736">
        <v>45594.0</v>
      </c>
      <c r="B37" s="754" t="s">
        <v>4444</v>
      </c>
      <c r="C37" s="740" t="s">
        <v>4445</v>
      </c>
      <c r="D37" s="739" t="s">
        <v>4447</v>
      </c>
    </row>
    <row r="38">
      <c r="A38" s="736">
        <v>45594.0</v>
      </c>
      <c r="B38" s="754" t="s">
        <v>4449</v>
      </c>
      <c r="C38" s="740" t="s">
        <v>4451</v>
      </c>
      <c r="D38" s="162" t="s">
        <v>4452</v>
      </c>
    </row>
    <row r="39">
      <c r="A39" s="736">
        <v>45594.0</v>
      </c>
      <c r="B39" s="754" t="s">
        <v>4453</v>
      </c>
      <c r="C39" s="740" t="s">
        <v>4454</v>
      </c>
      <c r="D39" s="162" t="s">
        <v>4455</v>
      </c>
    </row>
    <row r="40">
      <c r="A40" s="736">
        <v>45594.0</v>
      </c>
      <c r="B40" s="754" t="s">
        <v>4456</v>
      </c>
      <c r="C40" s="740" t="s">
        <v>4457</v>
      </c>
      <c r="D40" s="162" t="s">
        <v>4458</v>
      </c>
    </row>
    <row r="41">
      <c r="A41" s="736">
        <v>45594.0</v>
      </c>
      <c r="B41" s="754" t="s">
        <v>4460</v>
      </c>
      <c r="C41" s="740" t="s">
        <v>4462</v>
      </c>
      <c r="D41" s="739" t="s">
        <v>4464</v>
      </c>
    </row>
    <row r="42">
      <c r="A42" s="736">
        <v>45594.0</v>
      </c>
      <c r="B42" s="754" t="s">
        <v>4467</v>
      </c>
      <c r="C42" s="740" t="s">
        <v>4469</v>
      </c>
      <c r="D42" s="739" t="s">
        <v>4471</v>
      </c>
    </row>
    <row r="43">
      <c r="A43" s="736">
        <v>45594.0</v>
      </c>
      <c r="B43" s="754" t="s">
        <v>4473</v>
      </c>
      <c r="C43" s="740" t="s">
        <v>4474</v>
      </c>
      <c r="D43" s="162" t="s">
        <v>4475</v>
      </c>
    </row>
    <row r="44">
      <c r="A44" s="736">
        <v>45594.0</v>
      </c>
      <c r="B44" s="754" t="s">
        <v>4476</v>
      </c>
      <c r="C44" s="740" t="s">
        <v>4477</v>
      </c>
      <c r="D44" s="756"/>
    </row>
    <row r="45">
      <c r="A45" s="736">
        <v>45594.0</v>
      </c>
      <c r="B45" s="754" t="s">
        <v>4481</v>
      </c>
      <c r="C45" s="754" t="s">
        <v>4482</v>
      </c>
      <c r="D45" s="739"/>
    </row>
    <row r="46">
      <c r="A46" s="758">
        <v>45595.0</v>
      </c>
      <c r="B46" s="747" t="s">
        <v>4485</v>
      </c>
      <c r="C46" s="747" t="s">
        <v>4486</v>
      </c>
      <c r="D46" s="741"/>
    </row>
    <row r="47">
      <c r="A47" s="758">
        <v>45596.0</v>
      </c>
      <c r="B47" s="747" t="s">
        <v>4489</v>
      </c>
      <c r="C47" s="747"/>
      <c r="D47" s="741"/>
    </row>
    <row r="48">
      <c r="A48" s="758">
        <v>45597.0</v>
      </c>
      <c r="B48" s="747" t="s">
        <v>4491</v>
      </c>
      <c r="C48" s="747" t="s">
        <v>4492</v>
      </c>
      <c r="D48" s="741" t="s">
        <v>4493</v>
      </c>
    </row>
    <row r="49">
      <c r="A49" s="758">
        <v>45597.0</v>
      </c>
      <c r="B49" s="747" t="s">
        <v>4494</v>
      </c>
      <c r="C49" s="747" t="s">
        <v>4495</v>
      </c>
      <c r="D49" s="741"/>
    </row>
    <row r="50">
      <c r="A50" s="758">
        <v>45597.0</v>
      </c>
      <c r="B50" s="747" t="s">
        <v>4496</v>
      </c>
      <c r="C50" s="747" t="s">
        <v>4497</v>
      </c>
      <c r="D50" s="741"/>
    </row>
    <row r="51">
      <c r="A51" s="758">
        <v>45600.0</v>
      </c>
      <c r="B51" s="747" t="s">
        <v>4502</v>
      </c>
      <c r="C51" s="747" t="s">
        <v>4503</v>
      </c>
      <c r="D51" s="741"/>
    </row>
    <row r="52">
      <c r="A52" s="758">
        <v>45600.0</v>
      </c>
      <c r="B52" s="747" t="s">
        <v>4050</v>
      </c>
      <c r="C52" s="747" t="s">
        <v>4504</v>
      </c>
      <c r="D52" s="745" t="s">
        <v>4505</v>
      </c>
    </row>
    <row r="53">
      <c r="A53" s="758">
        <v>45600.0</v>
      </c>
      <c r="B53" s="747" t="s">
        <v>4507</v>
      </c>
      <c r="C53" s="747" t="s">
        <v>4509</v>
      </c>
      <c r="D53" s="741" t="s">
        <v>4511</v>
      </c>
    </row>
    <row r="54">
      <c r="A54" s="758">
        <v>45604.0</v>
      </c>
      <c r="B54" s="747" t="s">
        <v>4512</v>
      </c>
      <c r="C54" s="747" t="s">
        <v>4513</v>
      </c>
      <c r="D54" s="741"/>
    </row>
    <row r="55">
      <c r="A55" s="758">
        <v>45605.0</v>
      </c>
      <c r="B55" s="741" t="s">
        <v>4514</v>
      </c>
      <c r="C55" s="747" t="s">
        <v>4515</v>
      </c>
      <c r="D55" s="746" t="s">
        <v>4516</v>
      </c>
    </row>
    <row r="56">
      <c r="A56" s="758">
        <v>45606.0</v>
      </c>
      <c r="B56" s="759" t="s">
        <v>4518</v>
      </c>
      <c r="C56" s="747" t="s">
        <v>4521</v>
      </c>
      <c r="D56" s="741"/>
    </row>
    <row r="57">
      <c r="A57" s="758">
        <v>45607.0</v>
      </c>
      <c r="B57" s="752" t="s">
        <v>4523</v>
      </c>
      <c r="C57" s="747" t="s">
        <v>4524</v>
      </c>
      <c r="D57" s="741" t="s">
        <v>4525</v>
      </c>
    </row>
    <row r="58">
      <c r="A58" s="758">
        <v>45607.0</v>
      </c>
      <c r="B58" s="747" t="s">
        <v>4526</v>
      </c>
      <c r="C58" s="747" t="s">
        <v>4527</v>
      </c>
      <c r="D58" s="743"/>
    </row>
    <row r="59">
      <c r="A59" s="758"/>
      <c r="B59" s="747" t="s">
        <v>4528</v>
      </c>
      <c r="C59" s="760" t="s">
        <v>4529</v>
      </c>
      <c r="D59" s="761" t="s">
        <v>4531</v>
      </c>
    </row>
    <row r="60">
      <c r="A60" s="758">
        <v>45609.0</v>
      </c>
      <c r="B60" s="747" t="s">
        <v>4534</v>
      </c>
      <c r="C60" s="747" t="s">
        <v>4535</v>
      </c>
      <c r="D60" s="741" t="s">
        <v>4536</v>
      </c>
    </row>
    <row r="61">
      <c r="A61" s="758">
        <v>45609.0</v>
      </c>
      <c r="B61" s="747" t="s">
        <v>4537</v>
      </c>
      <c r="C61" s="747" t="s">
        <v>4538</v>
      </c>
      <c r="D61" s="741" t="s">
        <v>4539</v>
      </c>
    </row>
    <row r="62">
      <c r="A62" s="758">
        <v>45610.0</v>
      </c>
      <c r="B62" s="747" t="s">
        <v>4540</v>
      </c>
      <c r="C62" s="747" t="s">
        <v>4541</v>
      </c>
      <c r="D62" s="743"/>
    </row>
    <row r="63">
      <c r="A63" s="758">
        <v>45610.0</v>
      </c>
      <c r="B63" s="747" t="s">
        <v>4544</v>
      </c>
      <c r="C63" s="747" t="s">
        <v>4545</v>
      </c>
      <c r="D63" s="762" t="s">
        <v>4546</v>
      </c>
    </row>
    <row r="64">
      <c r="A64" s="758">
        <v>45610.0</v>
      </c>
      <c r="B64" s="747" t="s">
        <v>4547</v>
      </c>
      <c r="C64" s="747" t="s">
        <v>4548</v>
      </c>
      <c r="D64" s="763"/>
    </row>
    <row r="65">
      <c r="A65" s="758">
        <v>45610.0</v>
      </c>
      <c r="B65" s="747" t="s">
        <v>4550</v>
      </c>
      <c r="C65" s="747" t="s">
        <v>4551</v>
      </c>
      <c r="D65" s="762"/>
    </row>
    <row r="66">
      <c r="A66" s="758">
        <v>45611.0</v>
      </c>
      <c r="B66" s="747" t="s">
        <v>4553</v>
      </c>
      <c r="C66" s="747" t="s">
        <v>4555</v>
      </c>
      <c r="D66" s="763"/>
    </row>
    <row r="67">
      <c r="A67" s="758">
        <v>45602.0</v>
      </c>
      <c r="B67" s="747" t="s">
        <v>4556</v>
      </c>
      <c r="C67" s="747" t="s">
        <v>4557</v>
      </c>
      <c r="D67" s="763"/>
    </row>
    <row r="68">
      <c r="A68" s="758"/>
      <c r="B68" s="747"/>
      <c r="C68" s="747"/>
      <c r="D68" s="765"/>
    </row>
    <row r="69">
      <c r="A69" s="758">
        <v>45613.0</v>
      </c>
      <c r="B69" s="747" t="s">
        <v>4558</v>
      </c>
      <c r="C69" s="747" t="s">
        <v>4560</v>
      </c>
      <c r="D69" s="763"/>
    </row>
    <row r="70">
      <c r="A70" s="758">
        <v>45614.0</v>
      </c>
      <c r="B70" s="747" t="s">
        <v>4566</v>
      </c>
      <c r="C70" s="747" t="s">
        <v>4568</v>
      </c>
      <c r="D70" s="766" t="s">
        <v>4571</v>
      </c>
    </row>
    <row r="71">
      <c r="A71" s="758">
        <v>45615.0</v>
      </c>
      <c r="B71" s="747" t="s">
        <v>4575</v>
      </c>
      <c r="C71" s="747" t="s">
        <v>4577</v>
      </c>
      <c r="D71" s="763"/>
    </row>
    <row r="72">
      <c r="A72" s="758">
        <v>45615.0</v>
      </c>
      <c r="B72" s="747" t="s">
        <v>4578</v>
      </c>
      <c r="C72" s="747" t="s">
        <v>4579</v>
      </c>
      <c r="D72" s="763"/>
    </row>
    <row r="73" ht="60.0" customHeight="1">
      <c r="A73" s="758">
        <v>45615.0</v>
      </c>
      <c r="B73" s="747" t="s">
        <v>4580</v>
      </c>
      <c r="C73" s="747" t="s">
        <v>4581</v>
      </c>
      <c r="D73" s="762" t="s">
        <v>4582</v>
      </c>
    </row>
    <row r="74">
      <c r="A74" s="758">
        <v>45615.0</v>
      </c>
      <c r="B74" s="747" t="s">
        <v>4585</v>
      </c>
      <c r="C74" s="747" t="s">
        <v>4586</v>
      </c>
      <c r="D74" s="763"/>
    </row>
    <row r="75" ht="138.75" customHeight="1">
      <c r="A75" s="758">
        <v>45616.0</v>
      </c>
      <c r="B75" s="767" t="s">
        <v>4589</v>
      </c>
      <c r="C75" s="747" t="s">
        <v>4600</v>
      </c>
      <c r="D75" s="763"/>
    </row>
    <row r="76" ht="106.5" customHeight="1">
      <c r="A76" s="758">
        <v>45618.0</v>
      </c>
      <c r="B76" s="747" t="s">
        <v>4602</v>
      </c>
      <c r="C76" s="747" t="s">
        <v>4603</v>
      </c>
      <c r="D76" s="766" t="s">
        <v>4605</v>
      </c>
    </row>
    <row r="77">
      <c r="A77" s="758">
        <v>45618.0</v>
      </c>
      <c r="B77" s="747" t="s">
        <v>4608</v>
      </c>
      <c r="C77" s="770" t="s">
        <v>4609</v>
      </c>
      <c r="D77" s="763"/>
    </row>
    <row r="78">
      <c r="A78" s="758">
        <v>45620.0</v>
      </c>
      <c r="B78" s="747" t="s">
        <v>4629</v>
      </c>
      <c r="C78" s="747" t="s">
        <v>4631</v>
      </c>
      <c r="D78" s="766" t="s">
        <v>4633</v>
      </c>
    </row>
    <row r="79">
      <c r="A79" s="758"/>
      <c r="B79" s="747" t="s">
        <v>4635</v>
      </c>
      <c r="C79" s="747" t="s">
        <v>4637</v>
      </c>
      <c r="D79" s="763"/>
    </row>
    <row r="80">
      <c r="A80" s="758"/>
      <c r="B80" s="747" t="s">
        <v>4638</v>
      </c>
      <c r="C80" s="771" t="s">
        <v>4639</v>
      </c>
      <c r="D80" s="763"/>
    </row>
    <row r="81">
      <c r="A81" s="758">
        <v>45623.0</v>
      </c>
      <c r="B81" s="747" t="s">
        <v>4640</v>
      </c>
      <c r="C81" s="747" t="s">
        <v>4641</v>
      </c>
      <c r="D81" s="766"/>
    </row>
    <row r="82">
      <c r="A82" s="758"/>
      <c r="B82" s="747" t="s">
        <v>4642</v>
      </c>
      <c r="C82" s="747" t="s">
        <v>4643</v>
      </c>
      <c r="D82" s="766" t="s">
        <v>4646</v>
      </c>
    </row>
    <row r="83">
      <c r="A83" s="758">
        <v>45628.0</v>
      </c>
      <c r="B83" s="747" t="s">
        <v>4648</v>
      </c>
      <c r="C83" s="747" t="s">
        <v>4650</v>
      </c>
      <c r="D83" s="766" t="s">
        <v>4652</v>
      </c>
    </row>
    <row r="84">
      <c r="A84" s="758">
        <v>45628.0</v>
      </c>
      <c r="B84" s="747" t="s">
        <v>4653</v>
      </c>
      <c r="C84" s="747" t="s">
        <v>4654</v>
      </c>
      <c r="D84" s="763"/>
    </row>
    <row r="85">
      <c r="A85" s="772">
        <v>45628.0</v>
      </c>
      <c r="B85" s="747" t="s">
        <v>4655</v>
      </c>
      <c r="C85" s="771" t="s">
        <v>4656</v>
      </c>
      <c r="D85" s="741"/>
    </row>
    <row r="86">
      <c r="A86" s="773"/>
      <c r="B86" s="774"/>
      <c r="C86" s="177"/>
      <c r="D86" s="774"/>
    </row>
    <row r="87">
      <c r="A87" s="775">
        <v>45629.0</v>
      </c>
      <c r="B87" s="770" t="s">
        <v>4662</v>
      </c>
      <c r="C87" s="776" t="s">
        <v>4664</v>
      </c>
      <c r="D87" s="777" t="s">
        <v>4665</v>
      </c>
    </row>
    <row r="88">
      <c r="A88" s="775">
        <v>45630.0</v>
      </c>
      <c r="B88" s="778" t="s">
        <v>4666</v>
      </c>
      <c r="C88" s="776" t="s">
        <v>4668</v>
      </c>
      <c r="D88" s="777"/>
    </row>
    <row r="89">
      <c r="A89" s="775">
        <v>45633.0</v>
      </c>
      <c r="B89" s="779" t="s">
        <v>4671</v>
      </c>
      <c r="C89" s="776" t="s">
        <v>4673</v>
      </c>
      <c r="D89" s="777" t="s">
        <v>1655</v>
      </c>
    </row>
    <row r="90" ht="56.25" customHeight="1">
      <c r="A90" s="775">
        <v>45633.0</v>
      </c>
      <c r="B90" s="770" t="s">
        <v>4674</v>
      </c>
      <c r="C90" s="770" t="s">
        <v>4675</v>
      </c>
      <c r="D90" s="770"/>
    </row>
    <row r="91">
      <c r="A91" s="775">
        <v>45633.0</v>
      </c>
      <c r="B91" s="779" t="s">
        <v>4676</v>
      </c>
      <c r="C91" s="776" t="s">
        <v>4677</v>
      </c>
      <c r="D91" s="770"/>
    </row>
    <row r="92">
      <c r="A92" s="772">
        <v>45635.0</v>
      </c>
      <c r="B92" s="770" t="s">
        <v>4678</v>
      </c>
      <c r="C92" s="770" t="s">
        <v>4679</v>
      </c>
      <c r="D92" s="770"/>
    </row>
    <row r="93">
      <c r="A93" s="772">
        <v>45635.0</v>
      </c>
      <c r="B93" s="770" t="s">
        <v>4684</v>
      </c>
      <c r="C93" s="770" t="s">
        <v>4686</v>
      </c>
      <c r="D93" s="780"/>
    </row>
    <row r="94">
      <c r="A94" s="775">
        <v>45635.0</v>
      </c>
      <c r="B94" s="779" t="s">
        <v>4687</v>
      </c>
      <c r="C94" s="776" t="s">
        <v>4690</v>
      </c>
      <c r="D94" s="777"/>
    </row>
    <row r="95">
      <c r="A95" s="772">
        <v>45635.0</v>
      </c>
      <c r="B95" s="770" t="s">
        <v>4691</v>
      </c>
      <c r="C95" s="770" t="s">
        <v>4692</v>
      </c>
      <c r="D95" s="770" t="s">
        <v>4693</v>
      </c>
    </row>
    <row r="96">
      <c r="A96" s="772">
        <v>45638.0</v>
      </c>
      <c r="B96" s="770" t="s">
        <v>4694</v>
      </c>
      <c r="C96" s="770" t="s">
        <v>4695</v>
      </c>
      <c r="D96" s="770"/>
    </row>
    <row r="97">
      <c r="A97" s="772">
        <v>45639.0</v>
      </c>
      <c r="B97" s="782" t="s">
        <v>4699</v>
      </c>
      <c r="C97" s="782" t="s">
        <v>4702</v>
      </c>
      <c r="D97" s="782"/>
    </row>
    <row r="98">
      <c r="A98" s="775"/>
      <c r="B98" s="782" t="s">
        <v>4705</v>
      </c>
      <c r="C98" s="247" t="s">
        <v>4706</v>
      </c>
      <c r="D98" s="783"/>
    </row>
    <row r="99">
      <c r="A99" s="772">
        <v>45643.0</v>
      </c>
      <c r="B99" s="782" t="s">
        <v>4707</v>
      </c>
      <c r="C99" s="782" t="s">
        <v>4708</v>
      </c>
      <c r="D99" s="782" t="s">
        <v>4709</v>
      </c>
    </row>
    <row r="100">
      <c r="A100" s="775">
        <v>45644.0</v>
      </c>
      <c r="B100" s="784" t="s">
        <v>4710</v>
      </c>
      <c r="C100" s="247" t="s">
        <v>4713</v>
      </c>
      <c r="D100" s="783" t="s">
        <v>1655</v>
      </c>
    </row>
    <row r="101">
      <c r="A101" s="775">
        <v>45645.0</v>
      </c>
      <c r="B101" s="784" t="s">
        <v>4715</v>
      </c>
      <c r="C101" s="247" t="s">
        <v>4716</v>
      </c>
      <c r="D101" s="783"/>
    </row>
    <row r="102">
      <c r="A102" s="775">
        <v>45645.0</v>
      </c>
      <c r="B102" s="784" t="s">
        <v>2171</v>
      </c>
      <c r="C102" s="247" t="s">
        <v>4718</v>
      </c>
      <c r="D102" s="783"/>
    </row>
    <row r="103">
      <c r="A103" s="775">
        <v>45647.0</v>
      </c>
      <c r="B103" s="784" t="s">
        <v>4719</v>
      </c>
      <c r="C103" s="247" t="s">
        <v>4720</v>
      </c>
      <c r="D103" s="783" t="s">
        <v>4721</v>
      </c>
    </row>
    <row r="104">
      <c r="A104" s="775">
        <v>45660.0</v>
      </c>
      <c r="B104" s="784" t="s">
        <v>4724</v>
      </c>
      <c r="C104" s="247" t="s">
        <v>4725</v>
      </c>
      <c r="D104" s="783" t="s">
        <v>4727</v>
      </c>
    </row>
    <row r="105">
      <c r="A105" s="775">
        <v>45662.0</v>
      </c>
      <c r="B105" s="784" t="s">
        <v>4730</v>
      </c>
      <c r="C105" s="247" t="s">
        <v>4731</v>
      </c>
      <c r="D105" s="783"/>
    </row>
    <row r="106">
      <c r="A106" s="775"/>
      <c r="B106" s="784" t="s">
        <v>4732</v>
      </c>
      <c r="C106" s="247" t="s">
        <v>4733</v>
      </c>
      <c r="D106" s="783" t="s">
        <v>4734</v>
      </c>
    </row>
    <row r="107">
      <c r="A107" s="775">
        <v>45663.0</v>
      </c>
      <c r="B107" s="784" t="s">
        <v>4736</v>
      </c>
      <c r="C107" s="247" t="s">
        <v>4737</v>
      </c>
      <c r="D107" s="783" t="s">
        <v>4738</v>
      </c>
    </row>
    <row r="108">
      <c r="A108" s="775">
        <v>45665.0</v>
      </c>
      <c r="B108" s="784" t="s">
        <v>4740</v>
      </c>
      <c r="C108" s="247" t="s">
        <v>4742</v>
      </c>
      <c r="D108" s="783"/>
    </row>
    <row r="109">
      <c r="A109" s="775">
        <v>45665.0</v>
      </c>
      <c r="B109" s="784" t="s">
        <v>4743</v>
      </c>
      <c r="C109" s="247" t="s">
        <v>4744</v>
      </c>
      <c r="D109" s="783" t="s">
        <v>4745</v>
      </c>
    </row>
    <row r="110">
      <c r="A110" s="775">
        <v>45666.0</v>
      </c>
      <c r="B110" s="784" t="s">
        <v>4746</v>
      </c>
      <c r="C110" s="247" t="s">
        <v>4747</v>
      </c>
      <c r="D110" s="783"/>
    </row>
    <row r="111">
      <c r="A111" s="775">
        <v>45666.0</v>
      </c>
      <c r="B111" s="784" t="s">
        <v>4748</v>
      </c>
      <c r="C111" s="247" t="s">
        <v>4749</v>
      </c>
      <c r="D111" s="783"/>
    </row>
    <row r="112">
      <c r="A112" s="775">
        <v>45666.0</v>
      </c>
      <c r="B112" s="784" t="s">
        <v>4750</v>
      </c>
      <c r="C112" s="247" t="s">
        <v>4752</v>
      </c>
      <c r="D112" s="783"/>
    </row>
    <row r="113">
      <c r="A113" s="775">
        <v>45668.0</v>
      </c>
      <c r="B113" s="784" t="s">
        <v>4755</v>
      </c>
      <c r="C113" s="247" t="s">
        <v>4757</v>
      </c>
      <c r="D113" s="783"/>
    </row>
    <row r="114">
      <c r="A114" s="775">
        <v>45671.0</v>
      </c>
      <c r="B114" s="784" t="s">
        <v>4759</v>
      </c>
      <c r="C114" s="247" t="s">
        <v>4760</v>
      </c>
      <c r="D114" s="783"/>
    </row>
    <row r="115" ht="144.75" customHeight="1">
      <c r="A115" s="775">
        <v>45675.0</v>
      </c>
      <c r="B115" s="784" t="s">
        <v>4761</v>
      </c>
      <c r="C115" s="247" t="s">
        <v>4762</v>
      </c>
      <c r="D115" s="783"/>
    </row>
    <row r="116">
      <c r="A116" s="775">
        <v>45675.0</v>
      </c>
      <c r="B116" s="784" t="s">
        <v>4763</v>
      </c>
      <c r="C116" s="247" t="s">
        <v>4764</v>
      </c>
      <c r="D116" s="783"/>
    </row>
    <row r="117">
      <c r="A117" s="775">
        <v>45675.0</v>
      </c>
      <c r="B117" s="784" t="s">
        <v>4766</v>
      </c>
      <c r="C117" s="247" t="s">
        <v>4768</v>
      </c>
      <c r="D117" s="783"/>
    </row>
    <row r="118">
      <c r="A118" s="775">
        <v>45677.0</v>
      </c>
      <c r="B118" s="784" t="s">
        <v>4769</v>
      </c>
      <c r="C118" s="247"/>
      <c r="D118" s="783"/>
    </row>
    <row r="119">
      <c r="A119" s="775">
        <v>45677.0</v>
      </c>
      <c r="B119" s="784" t="s">
        <v>4771</v>
      </c>
      <c r="C119" s="247" t="s">
        <v>4772</v>
      </c>
      <c r="D119" s="783"/>
    </row>
    <row r="120">
      <c r="A120" s="775"/>
      <c r="B120" s="784" t="s">
        <v>4773</v>
      </c>
      <c r="C120" s="247" t="s">
        <v>1968</v>
      </c>
      <c r="D120" s="783"/>
    </row>
    <row r="121">
      <c r="A121" s="775">
        <v>45679.0</v>
      </c>
      <c r="B121" s="787" t="s">
        <v>4774</v>
      </c>
      <c r="C121" s="247" t="s">
        <v>4777</v>
      </c>
      <c r="D121" s="783"/>
    </row>
    <row r="122">
      <c r="A122" s="775">
        <v>45679.0</v>
      </c>
      <c r="B122" s="784" t="s">
        <v>4778</v>
      </c>
      <c r="C122" s="247" t="s">
        <v>4779</v>
      </c>
      <c r="D122" s="783"/>
    </row>
    <row r="123">
      <c r="A123" s="775">
        <v>45679.0</v>
      </c>
      <c r="B123" s="784" t="s">
        <v>4780</v>
      </c>
      <c r="C123" s="247" t="s">
        <v>4781</v>
      </c>
      <c r="D123" s="783"/>
    </row>
    <row r="124">
      <c r="A124" s="775">
        <v>45680.0</v>
      </c>
      <c r="B124" s="774" t="s">
        <v>4782</v>
      </c>
      <c r="C124" s="177" t="s">
        <v>4783</v>
      </c>
      <c r="D124" s="788"/>
    </row>
    <row r="125" ht="180.75" customHeight="1">
      <c r="A125" s="775">
        <v>45682.0</v>
      </c>
      <c r="B125" s="784" t="s">
        <v>4787</v>
      </c>
      <c r="C125" s="177" t="s">
        <v>4789</v>
      </c>
      <c r="D125" s="788"/>
    </row>
    <row r="126">
      <c r="A126" s="775">
        <v>45684.0</v>
      </c>
      <c r="B126" s="784" t="s">
        <v>4790</v>
      </c>
      <c r="C126" s="247" t="s">
        <v>4791</v>
      </c>
      <c r="D126" s="783"/>
    </row>
    <row r="127">
      <c r="A127" s="775">
        <v>45685.0</v>
      </c>
      <c r="B127" s="784" t="s">
        <v>4792</v>
      </c>
      <c r="C127" s="247" t="s">
        <v>4793</v>
      </c>
      <c r="D127" s="783"/>
    </row>
    <row r="128">
      <c r="A128" s="775">
        <v>45687.0</v>
      </c>
      <c r="B128" s="784" t="s">
        <v>4795</v>
      </c>
      <c r="C128" s="247" t="s">
        <v>4797</v>
      </c>
      <c r="D128" s="783"/>
    </row>
    <row r="129">
      <c r="A129" s="775">
        <v>45688.0</v>
      </c>
      <c r="B129" s="784" t="s">
        <v>4798</v>
      </c>
      <c r="C129" s="247" t="s">
        <v>4799</v>
      </c>
      <c r="D129" s="783"/>
    </row>
    <row r="130">
      <c r="A130" s="775">
        <v>45691.0</v>
      </c>
      <c r="B130" s="784" t="s">
        <v>4800</v>
      </c>
      <c r="C130" s="247" t="s">
        <v>4801</v>
      </c>
      <c r="D130" s="783"/>
    </row>
    <row r="131">
      <c r="A131" s="775">
        <v>45692.0</v>
      </c>
      <c r="B131" s="784" t="s">
        <v>4804</v>
      </c>
      <c r="C131" s="247" t="s">
        <v>4806</v>
      </c>
      <c r="D131" s="783" t="s">
        <v>4807</v>
      </c>
    </row>
    <row r="132">
      <c r="A132" s="775">
        <v>45693.0</v>
      </c>
      <c r="B132" s="784" t="s">
        <v>4810</v>
      </c>
      <c r="C132" s="247" t="s">
        <v>4811</v>
      </c>
      <c r="D132" s="783"/>
    </row>
    <row r="133">
      <c r="A133" s="775">
        <v>45693.0</v>
      </c>
      <c r="B133" s="784" t="s">
        <v>4812</v>
      </c>
      <c r="C133" s="247" t="s">
        <v>4813</v>
      </c>
      <c r="D133" s="783" t="s">
        <v>4814</v>
      </c>
    </row>
    <row r="134">
      <c r="A134" s="775">
        <v>45693.0</v>
      </c>
      <c r="B134" s="784" t="s">
        <v>4815</v>
      </c>
      <c r="C134" s="247" t="s">
        <v>4541</v>
      </c>
      <c r="D134" s="783"/>
    </row>
    <row r="135">
      <c r="A135" s="775">
        <v>45694.0</v>
      </c>
      <c r="B135" s="784" t="s">
        <v>4816</v>
      </c>
      <c r="C135" s="247" t="s">
        <v>4817</v>
      </c>
      <c r="D135" s="783"/>
    </row>
    <row r="136">
      <c r="A136" s="789">
        <v>45696.0</v>
      </c>
      <c r="B136" s="774" t="s">
        <v>4819</v>
      </c>
      <c r="C136" s="256" t="s">
        <v>4820</v>
      </c>
      <c r="D136" s="788"/>
    </row>
    <row r="137">
      <c r="A137" s="789">
        <v>45699.0</v>
      </c>
      <c r="B137" s="790" t="s">
        <v>4821</v>
      </c>
      <c r="C137" s="791" t="s">
        <v>4823</v>
      </c>
      <c r="D137" s="792"/>
    </row>
    <row r="138">
      <c r="A138" s="789">
        <v>45699.0</v>
      </c>
      <c r="B138" s="790" t="s">
        <v>4826</v>
      </c>
      <c r="C138" s="793" t="s">
        <v>4827</v>
      </c>
      <c r="D138" s="792"/>
    </row>
    <row r="139">
      <c r="A139" s="789">
        <v>45701.0</v>
      </c>
      <c r="B139" s="790" t="s">
        <v>4830</v>
      </c>
      <c r="C139" s="793" t="s">
        <v>4832</v>
      </c>
      <c r="D139" s="792" t="s">
        <v>4835</v>
      </c>
    </row>
    <row r="140">
      <c r="A140" s="789">
        <v>45721.0</v>
      </c>
      <c r="B140" s="790" t="s">
        <v>4836</v>
      </c>
      <c r="C140" s="793" t="s">
        <v>4837</v>
      </c>
      <c r="D140" s="792" t="s">
        <v>4838</v>
      </c>
    </row>
    <row r="141">
      <c r="A141" s="789">
        <v>45721.0</v>
      </c>
      <c r="B141" s="790" t="s">
        <v>4839</v>
      </c>
      <c r="C141" s="793" t="s">
        <v>4840</v>
      </c>
      <c r="D141" s="792" t="s">
        <v>4841</v>
      </c>
    </row>
    <row r="142">
      <c r="A142" s="789">
        <v>45721.0</v>
      </c>
      <c r="B142" s="790" t="s">
        <v>4845</v>
      </c>
      <c r="C142" s="793" t="s">
        <v>4846</v>
      </c>
      <c r="D142" s="792"/>
    </row>
    <row r="143">
      <c r="A143" s="789"/>
      <c r="B143" s="790" t="s">
        <v>4849</v>
      </c>
      <c r="C143" s="793" t="s">
        <v>4850</v>
      </c>
      <c r="D143" s="792"/>
    </row>
    <row r="144">
      <c r="A144" s="789">
        <v>45722.0</v>
      </c>
      <c r="B144" s="790" t="s">
        <v>4851</v>
      </c>
      <c r="C144" s="793" t="s">
        <v>4852</v>
      </c>
      <c r="D144" s="792" t="s">
        <v>4853</v>
      </c>
    </row>
    <row r="145">
      <c r="A145" s="789">
        <v>45735.0</v>
      </c>
      <c r="B145" s="790" t="s">
        <v>4854</v>
      </c>
      <c r="C145" s="793" t="s">
        <v>4855</v>
      </c>
      <c r="D145" s="792"/>
    </row>
    <row r="146">
      <c r="A146" s="789">
        <v>45741.0</v>
      </c>
      <c r="B146" s="790" t="s">
        <v>4857</v>
      </c>
      <c r="C146" s="793" t="s">
        <v>4859</v>
      </c>
      <c r="D146" s="792"/>
    </row>
    <row r="147">
      <c r="A147" s="789"/>
      <c r="B147" s="790"/>
      <c r="C147" s="793"/>
      <c r="D147" s="792"/>
    </row>
    <row r="148">
      <c r="A148" s="789"/>
      <c r="B148" s="790"/>
      <c r="C148" s="793"/>
      <c r="D148" s="792"/>
    </row>
    <row r="149">
      <c r="A149" s="789"/>
      <c r="B149" s="790"/>
      <c r="C149" s="793"/>
      <c r="D149" s="792"/>
    </row>
    <row r="150">
      <c r="A150" s="789"/>
      <c r="B150" s="790"/>
      <c r="C150" s="793"/>
      <c r="D150" s="792"/>
    </row>
    <row r="151">
      <c r="A151" s="789"/>
      <c r="B151" s="790"/>
      <c r="C151" s="793"/>
      <c r="D151" s="792"/>
    </row>
    <row r="152">
      <c r="A152" s="789"/>
      <c r="B152" s="790"/>
      <c r="C152" s="793"/>
      <c r="D152" s="792"/>
    </row>
    <row r="153">
      <c r="A153" s="789"/>
      <c r="B153" s="790"/>
      <c r="C153" s="793"/>
      <c r="D153" s="792"/>
    </row>
    <row r="154">
      <c r="A154" s="789"/>
      <c r="B154" s="790"/>
      <c r="C154" s="793"/>
      <c r="D154" s="792"/>
    </row>
    <row r="155">
      <c r="A155" s="789"/>
      <c r="B155" s="790"/>
      <c r="C155" s="793"/>
      <c r="D155" s="792"/>
    </row>
    <row r="156">
      <c r="A156" s="789"/>
      <c r="B156" s="790"/>
      <c r="C156" s="793"/>
      <c r="D156" s="792"/>
    </row>
    <row r="157">
      <c r="A157" s="789"/>
      <c r="B157" s="790"/>
      <c r="C157" s="793"/>
      <c r="D157" s="792"/>
    </row>
    <row r="158">
      <c r="A158" s="789"/>
      <c r="B158" s="790"/>
      <c r="C158" s="793"/>
      <c r="D158" s="792"/>
    </row>
    <row r="159">
      <c r="A159" s="789"/>
      <c r="B159" s="790"/>
      <c r="C159" s="793"/>
      <c r="D159" s="792"/>
    </row>
    <row r="160">
      <c r="A160" s="789"/>
      <c r="B160" s="790"/>
      <c r="C160" s="793"/>
      <c r="D160" s="792"/>
    </row>
    <row r="161">
      <c r="A161" s="789"/>
      <c r="B161" s="790"/>
      <c r="C161" s="793"/>
      <c r="D161" s="792"/>
    </row>
    <row r="162">
      <c r="A162" s="789"/>
      <c r="B162" s="790"/>
      <c r="C162" s="793"/>
      <c r="D162" s="792"/>
    </row>
    <row r="163">
      <c r="A163" s="789"/>
      <c r="B163" s="790"/>
      <c r="C163" s="793"/>
      <c r="D163" s="792"/>
    </row>
    <row r="164">
      <c r="A164" s="789"/>
      <c r="B164" s="790"/>
      <c r="C164" s="793"/>
      <c r="D164" s="792"/>
    </row>
    <row r="165">
      <c r="A165" s="789"/>
      <c r="B165" s="790"/>
      <c r="C165" s="793"/>
      <c r="D165" s="792"/>
    </row>
    <row r="166">
      <c r="A166" s="789"/>
      <c r="B166" s="790"/>
      <c r="C166" s="793"/>
      <c r="D166" s="792"/>
    </row>
    <row r="167">
      <c r="A167" s="789"/>
      <c r="B167" s="790"/>
      <c r="C167" s="793"/>
      <c r="D167" s="792"/>
    </row>
    <row r="168">
      <c r="A168" s="789"/>
      <c r="B168" s="790"/>
      <c r="C168" s="793"/>
      <c r="D168" s="792"/>
    </row>
    <row r="169">
      <c r="A169" s="789"/>
      <c r="B169" s="790"/>
      <c r="C169" s="793"/>
      <c r="D169" s="792"/>
    </row>
    <row r="170">
      <c r="A170" s="789"/>
      <c r="B170" s="790"/>
      <c r="C170" s="793"/>
      <c r="D170" s="792"/>
    </row>
    <row r="171">
      <c r="A171" s="789"/>
      <c r="B171" s="790"/>
      <c r="C171" s="793"/>
      <c r="D171" s="792"/>
    </row>
    <row r="172">
      <c r="A172" s="789"/>
      <c r="B172" s="790"/>
      <c r="C172" s="793"/>
      <c r="D172" s="792"/>
    </row>
    <row r="173">
      <c r="A173" s="789"/>
      <c r="B173" s="790"/>
      <c r="C173" s="793"/>
      <c r="D173" s="792"/>
    </row>
    <row r="174">
      <c r="A174" s="789"/>
      <c r="B174" s="790"/>
      <c r="C174" s="793"/>
      <c r="D174" s="792"/>
    </row>
    <row r="175">
      <c r="A175" s="789"/>
      <c r="B175" s="790"/>
      <c r="C175" s="793"/>
      <c r="D175" s="792"/>
    </row>
    <row r="176">
      <c r="A176" s="789"/>
      <c r="B176" s="790"/>
      <c r="C176" s="793"/>
      <c r="D176" s="792"/>
    </row>
    <row r="177">
      <c r="A177" s="789"/>
      <c r="B177" s="790"/>
      <c r="C177" s="793"/>
      <c r="D177" s="792"/>
    </row>
    <row r="178">
      <c r="A178" s="789"/>
      <c r="B178" s="790"/>
      <c r="C178" s="793"/>
      <c r="D178" s="792"/>
    </row>
    <row r="179">
      <c r="A179" s="789"/>
      <c r="B179" s="790"/>
      <c r="C179" s="793"/>
      <c r="D179" s="792"/>
    </row>
    <row r="180">
      <c r="A180" s="789"/>
      <c r="B180" s="790"/>
      <c r="C180" s="793"/>
      <c r="D180" s="792"/>
    </row>
    <row r="181">
      <c r="A181" s="789"/>
      <c r="B181" s="790"/>
      <c r="C181" s="793"/>
      <c r="D181" s="792"/>
    </row>
    <row r="182">
      <c r="A182" s="789"/>
      <c r="B182" s="790"/>
      <c r="C182" s="793"/>
      <c r="D182" s="792"/>
    </row>
    <row r="183">
      <c r="A183" s="789"/>
      <c r="B183" s="790"/>
      <c r="C183" s="793"/>
      <c r="D183" s="792"/>
    </row>
    <row r="184">
      <c r="A184" s="789"/>
      <c r="B184" s="790"/>
      <c r="C184" s="793"/>
      <c r="D184" s="792"/>
    </row>
    <row r="185">
      <c r="A185" s="789"/>
      <c r="B185" s="790"/>
      <c r="C185" s="793"/>
      <c r="D185" s="792"/>
    </row>
    <row r="186">
      <c r="A186" s="789"/>
      <c r="B186" s="790"/>
      <c r="C186" s="793"/>
      <c r="D186" s="792"/>
    </row>
    <row r="187">
      <c r="A187" s="789"/>
      <c r="B187" s="790"/>
      <c r="C187" s="793"/>
      <c r="D187" s="792"/>
    </row>
    <row r="188">
      <c r="A188" s="789"/>
      <c r="B188" s="790"/>
      <c r="C188" s="793"/>
      <c r="D188" s="792"/>
    </row>
    <row r="189">
      <c r="A189" s="789"/>
      <c r="B189" s="790"/>
      <c r="C189" s="793"/>
      <c r="D189" s="792"/>
    </row>
    <row r="190">
      <c r="A190" s="789"/>
      <c r="B190" s="790"/>
      <c r="C190" s="793"/>
      <c r="D190" s="792"/>
    </row>
    <row r="191">
      <c r="A191" s="789"/>
      <c r="B191" s="790"/>
      <c r="C191" s="793"/>
      <c r="D191" s="792"/>
    </row>
    <row r="192">
      <c r="A192" s="789"/>
      <c r="B192" s="790"/>
      <c r="C192" s="793"/>
      <c r="D192" s="792"/>
    </row>
    <row r="193">
      <c r="A193" s="789"/>
      <c r="B193" s="790"/>
      <c r="C193" s="793"/>
      <c r="D193" s="792"/>
    </row>
  </sheetData>
  <mergeCells count="2">
    <mergeCell ref="A2:D2"/>
    <mergeCell ref="A3:D3"/>
  </mergeCells>
  <conditionalFormatting sqref="C5:C6">
    <cfRule type="expression" dxfId="12" priority="1">
      <formula>ISEVEN(ROW())</formula>
    </cfRule>
  </conditionalFormatting>
  <printOptions gridLines="1" horizontalCentered="1"/>
  <pageMargins bottom="0.75" footer="0.0" header="0.0" left="0.7" right="0.7" top="0.75"/>
  <pageSetup fitToHeight="0" cellComments="atEnd" orientation="landscape" pageOrder="overThenDown"/>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5.13"/>
    <col customWidth="1" min="5" max="5" width="15.88"/>
    <col customWidth="1" hidden="1" min="6" max="6" width="15.13"/>
    <col customWidth="1" min="7" max="11" width="15.13"/>
  </cols>
  <sheetData>
    <row r="1">
      <c r="A1" s="800" t="s">
        <v>4942</v>
      </c>
      <c r="B1" s="801"/>
      <c r="C1" s="801"/>
      <c r="D1" s="801"/>
      <c r="E1" s="801"/>
      <c r="F1" s="801"/>
      <c r="G1" s="801"/>
      <c r="H1" s="801"/>
      <c r="I1" s="801"/>
      <c r="J1" s="801"/>
      <c r="K1" s="801"/>
    </row>
    <row r="2">
      <c r="A2" s="804" t="s">
        <v>4947</v>
      </c>
      <c r="C2" s="806" t="str">
        <f>DATEDIF(TODAY(), DATE(2025, 3, 5), "D")</f>
        <v>#NUM!</v>
      </c>
      <c r="D2" s="807" t="s">
        <v>4964</v>
      </c>
      <c r="F2" s="808"/>
      <c r="G2" s="806" t="str">
        <f>DATEDIF(TODAY(), DATE(2025, 3, 17), "D")</f>
        <v>#NUM!</v>
      </c>
      <c r="H2" s="810" t="s">
        <v>4973</v>
      </c>
      <c r="J2" s="806" t="str">
        <f>DATEDIF(TODAY(), DATE(2025, 3, 21), "D")</f>
        <v>#NUM!</v>
      </c>
      <c r="K2" s="811"/>
    </row>
    <row r="3">
      <c r="A3" s="812" t="s">
        <v>4983</v>
      </c>
      <c r="B3" s="801"/>
      <c r="C3" s="801"/>
      <c r="D3" s="801"/>
      <c r="E3" s="813"/>
      <c r="F3" s="814"/>
      <c r="G3" s="815" t="s">
        <v>4987</v>
      </c>
      <c r="H3" s="801"/>
      <c r="I3" s="813"/>
      <c r="J3" s="816" t="s">
        <v>4989</v>
      </c>
      <c r="K3" s="817"/>
    </row>
    <row r="4" ht="15.75" customHeight="1">
      <c r="A4" s="818" t="s">
        <v>4995</v>
      </c>
      <c r="B4" s="801"/>
      <c r="C4" s="801"/>
      <c r="D4" s="801"/>
      <c r="E4" s="813"/>
      <c r="F4" s="819">
        <v>45350.0</v>
      </c>
      <c r="G4" s="820" t="s">
        <v>4999</v>
      </c>
      <c r="I4" s="821"/>
      <c r="J4" s="822" t="s">
        <v>5008</v>
      </c>
      <c r="K4" s="823"/>
    </row>
    <row r="5" ht="15.75" customHeight="1">
      <c r="A5" s="824" t="s">
        <v>5019</v>
      </c>
      <c r="B5" s="801"/>
      <c r="C5" s="801"/>
      <c r="D5" s="801"/>
      <c r="E5" s="813"/>
      <c r="F5" s="814">
        <v>45362.0</v>
      </c>
      <c r="G5" s="820" t="s">
        <v>5028</v>
      </c>
      <c r="I5" s="821"/>
      <c r="J5" s="822" t="s">
        <v>5041</v>
      </c>
      <c r="K5" s="823"/>
    </row>
    <row r="6" ht="15.75" customHeight="1">
      <c r="A6" s="824" t="s">
        <v>5046</v>
      </c>
      <c r="B6" s="801"/>
      <c r="C6" s="801"/>
      <c r="D6" s="801"/>
      <c r="E6" s="813"/>
      <c r="F6" s="814">
        <v>45366.0</v>
      </c>
      <c r="G6" s="820" t="s">
        <v>5048</v>
      </c>
      <c r="I6" s="821"/>
      <c r="J6" s="822" t="s">
        <v>5055</v>
      </c>
      <c r="K6" s="823"/>
    </row>
    <row r="7" ht="15.75" customHeight="1">
      <c r="A7" s="824" t="s">
        <v>5065</v>
      </c>
      <c r="B7" s="801"/>
      <c r="C7" s="801"/>
      <c r="D7" s="801"/>
      <c r="E7" s="813"/>
      <c r="F7" s="826"/>
      <c r="G7" s="827"/>
      <c r="I7" s="821"/>
      <c r="J7" s="822" t="s">
        <v>5071</v>
      </c>
      <c r="K7" s="823"/>
    </row>
    <row r="8" ht="15.75" customHeight="1">
      <c r="A8" s="824" t="s">
        <v>5079</v>
      </c>
      <c r="B8" s="801"/>
      <c r="C8" s="801"/>
      <c r="D8" s="801"/>
      <c r="E8" s="813"/>
      <c r="F8" s="826"/>
      <c r="G8" s="820" t="s">
        <v>5081</v>
      </c>
      <c r="I8" s="821"/>
      <c r="J8" s="822" t="s">
        <v>5086</v>
      </c>
      <c r="K8" s="823"/>
    </row>
    <row r="9" ht="15.75" customHeight="1">
      <c r="A9" s="824" t="s">
        <v>5093</v>
      </c>
      <c r="B9" s="801"/>
      <c r="C9" s="801"/>
      <c r="D9" s="801"/>
      <c r="E9" s="813"/>
      <c r="F9" s="826"/>
      <c r="G9" s="828"/>
      <c r="H9" s="829"/>
      <c r="I9" s="830"/>
      <c r="J9" s="822" t="s">
        <v>5098</v>
      </c>
      <c r="K9" s="823"/>
    </row>
    <row r="10">
      <c r="A10" s="831"/>
      <c r="B10" s="831"/>
      <c r="C10" s="831"/>
      <c r="D10" s="832"/>
      <c r="F10" s="831"/>
      <c r="G10" s="831"/>
      <c r="H10" s="833"/>
      <c r="I10" s="831"/>
      <c r="J10" s="834"/>
    </row>
    <row r="11">
      <c r="A11" s="835" t="s">
        <v>5109</v>
      </c>
      <c r="B11" s="836"/>
      <c r="C11" s="836"/>
      <c r="D11" s="836"/>
      <c r="E11" s="836"/>
      <c r="F11" s="836"/>
      <c r="G11" s="836"/>
      <c r="H11" s="836"/>
      <c r="I11" s="836"/>
      <c r="J11" s="836"/>
      <c r="K11" s="837"/>
    </row>
    <row r="12">
      <c r="A12" s="838" t="s">
        <v>5111</v>
      </c>
      <c r="B12" s="839"/>
      <c r="C12" s="839"/>
      <c r="D12" s="839"/>
      <c r="E12" s="839"/>
      <c r="F12" s="839"/>
      <c r="G12" s="839"/>
      <c r="H12" s="839"/>
      <c r="I12" s="839"/>
      <c r="J12" s="839"/>
      <c r="K12" s="840"/>
    </row>
    <row r="13">
      <c r="A13" s="831"/>
      <c r="B13" s="831"/>
      <c r="C13" s="831"/>
      <c r="D13" s="831"/>
      <c r="E13" s="831"/>
      <c r="F13" s="831"/>
      <c r="G13" s="831"/>
      <c r="H13" s="831"/>
      <c r="I13" s="831"/>
      <c r="J13" s="841"/>
      <c r="K13" s="841"/>
    </row>
    <row r="14">
      <c r="A14" s="842"/>
      <c r="B14" s="842"/>
      <c r="C14" s="842"/>
      <c r="D14" s="842"/>
      <c r="E14" s="842"/>
      <c r="F14" s="842"/>
      <c r="G14" s="842"/>
      <c r="H14" s="842"/>
      <c r="I14" s="842"/>
      <c r="J14" s="843"/>
      <c r="K14" s="843"/>
    </row>
    <row r="15">
      <c r="A15" s="844" t="s">
        <v>5123</v>
      </c>
      <c r="B15" s="652"/>
      <c r="C15" s="652"/>
      <c r="D15" s="652"/>
      <c r="E15" s="607"/>
      <c r="F15" s="845"/>
      <c r="G15" s="846" t="s">
        <v>5129</v>
      </c>
      <c r="H15" s="847"/>
      <c r="I15" s="847"/>
      <c r="J15" s="847"/>
      <c r="K15" s="848"/>
    </row>
    <row r="16">
      <c r="A16" s="31" t="s">
        <v>5132</v>
      </c>
      <c r="F16" s="849"/>
      <c r="G16" s="850"/>
      <c r="H16" s="850"/>
      <c r="I16" s="850"/>
      <c r="J16" s="850"/>
      <c r="K16" s="850"/>
    </row>
    <row r="17">
      <c r="A17" s="851" t="s">
        <v>5140</v>
      </c>
      <c r="B17" s="652"/>
      <c r="C17" s="652"/>
      <c r="D17" s="652"/>
      <c r="E17" s="607"/>
      <c r="F17" s="849"/>
      <c r="G17" s="851" t="s">
        <v>5146</v>
      </c>
      <c r="H17" s="652"/>
      <c r="I17" s="652"/>
      <c r="J17" s="652"/>
      <c r="K17" s="607"/>
    </row>
    <row r="18">
      <c r="F18" s="849"/>
      <c r="G18" s="851" t="s">
        <v>5151</v>
      </c>
      <c r="H18" s="652"/>
      <c r="I18" s="652"/>
      <c r="J18" s="652"/>
      <c r="K18" s="607"/>
    </row>
    <row r="19" ht="31.5" customHeight="1">
      <c r="A19" s="851" t="s">
        <v>5153</v>
      </c>
      <c r="B19" s="652"/>
      <c r="C19" s="652"/>
      <c r="D19" s="652"/>
      <c r="E19" s="607"/>
      <c r="F19" s="849"/>
      <c r="G19" s="853" t="s">
        <v>5155</v>
      </c>
    </row>
    <row r="20">
      <c r="A20" s="851" t="s">
        <v>5156</v>
      </c>
      <c r="B20" s="652"/>
      <c r="C20" s="652"/>
      <c r="D20" s="652"/>
      <c r="E20" s="607"/>
      <c r="F20" s="854"/>
      <c r="G20" s="851" t="s">
        <v>5161</v>
      </c>
      <c r="H20" s="652"/>
      <c r="I20" s="652"/>
      <c r="J20" s="652"/>
      <c r="K20" s="607"/>
    </row>
    <row r="21">
      <c r="A21" s="856"/>
      <c r="B21" s="652"/>
      <c r="C21" s="652"/>
      <c r="D21" s="652"/>
      <c r="E21" s="607"/>
      <c r="F21" s="854"/>
      <c r="G21" s="856"/>
      <c r="H21" s="652"/>
      <c r="I21" s="652"/>
      <c r="J21" s="652"/>
      <c r="K21" s="607"/>
    </row>
    <row r="22">
      <c r="A22" s="856"/>
      <c r="B22" s="652"/>
      <c r="C22" s="652"/>
      <c r="D22" s="652"/>
      <c r="E22" s="607"/>
      <c r="F22" s="854"/>
      <c r="G22" s="856"/>
      <c r="H22" s="652"/>
      <c r="I22" s="652"/>
      <c r="J22" s="652"/>
      <c r="K22" s="607"/>
    </row>
    <row r="23">
      <c r="A23" s="856"/>
      <c r="B23" s="652"/>
      <c r="C23" s="652"/>
      <c r="D23" s="652"/>
      <c r="E23" s="607"/>
      <c r="F23" s="854"/>
      <c r="G23" s="856"/>
      <c r="H23" s="652"/>
      <c r="I23" s="652"/>
      <c r="J23" s="652"/>
      <c r="K23" s="607"/>
    </row>
    <row r="24">
      <c r="A24" s="856"/>
      <c r="B24" s="652"/>
      <c r="C24" s="652"/>
      <c r="D24" s="652"/>
      <c r="E24" s="607"/>
      <c r="F24" s="854"/>
      <c r="G24" s="856"/>
      <c r="H24" s="652"/>
      <c r="I24" s="652"/>
      <c r="J24" s="652"/>
      <c r="K24" s="607"/>
    </row>
    <row r="25">
      <c r="A25" s="856"/>
      <c r="B25" s="652"/>
      <c r="C25" s="652"/>
      <c r="D25" s="652"/>
      <c r="E25" s="607"/>
      <c r="F25" s="854"/>
      <c r="G25" s="856"/>
      <c r="H25" s="652"/>
      <c r="I25" s="652"/>
      <c r="J25" s="652"/>
      <c r="K25" s="607"/>
    </row>
    <row r="26">
      <c r="A26" s="856"/>
      <c r="B26" s="652"/>
      <c r="C26" s="652"/>
      <c r="D26" s="652"/>
      <c r="E26" s="607"/>
      <c r="F26" s="854"/>
      <c r="G26" s="856"/>
      <c r="H26" s="652"/>
      <c r="I26" s="652"/>
      <c r="J26" s="652"/>
      <c r="K26" s="607"/>
    </row>
    <row r="27">
      <c r="A27" s="856"/>
      <c r="B27" s="652"/>
      <c r="C27" s="652"/>
      <c r="D27" s="652"/>
      <c r="E27" s="607"/>
      <c r="F27" s="854"/>
      <c r="G27" s="856"/>
      <c r="H27" s="652"/>
      <c r="I27" s="652"/>
      <c r="J27" s="652"/>
      <c r="K27" s="607"/>
    </row>
    <row r="28">
      <c r="A28" s="856"/>
      <c r="B28" s="652"/>
      <c r="C28" s="652"/>
      <c r="D28" s="652"/>
      <c r="E28" s="607"/>
      <c r="F28" s="854"/>
      <c r="G28" s="856"/>
      <c r="H28" s="652"/>
      <c r="I28" s="652"/>
      <c r="J28" s="652"/>
      <c r="K28" s="607"/>
    </row>
    <row r="29">
      <c r="A29" s="849"/>
      <c r="B29" s="849"/>
      <c r="C29" s="849"/>
      <c r="D29" s="849"/>
      <c r="E29" s="849"/>
      <c r="F29" s="849"/>
      <c r="G29" s="849"/>
      <c r="H29" s="849"/>
      <c r="I29" s="849"/>
      <c r="J29" s="849"/>
      <c r="K29" s="849"/>
    </row>
    <row r="30">
      <c r="A30" s="849"/>
      <c r="B30" s="849"/>
      <c r="C30" s="849"/>
      <c r="D30" s="849"/>
      <c r="E30" s="849"/>
      <c r="F30" s="849"/>
      <c r="G30" s="849"/>
      <c r="H30" s="849"/>
      <c r="I30" s="849"/>
      <c r="J30" s="849"/>
      <c r="K30" s="849"/>
    </row>
    <row r="31">
      <c r="A31" s="849"/>
      <c r="B31" s="849"/>
      <c r="C31" s="849"/>
      <c r="D31" s="849"/>
      <c r="E31" s="849"/>
      <c r="F31" s="849"/>
      <c r="G31" s="849"/>
      <c r="H31" s="849"/>
      <c r="I31" s="849"/>
      <c r="J31" s="849"/>
      <c r="K31" s="849"/>
    </row>
    <row r="32">
      <c r="A32" s="849"/>
      <c r="B32" s="849"/>
      <c r="C32" s="849"/>
      <c r="D32" s="849"/>
      <c r="E32" s="849"/>
      <c r="F32" s="849"/>
      <c r="G32" s="849"/>
      <c r="H32" s="849"/>
      <c r="I32" s="849"/>
      <c r="J32" s="849"/>
      <c r="K32" s="849"/>
    </row>
    <row r="33">
      <c r="A33" s="849"/>
      <c r="B33" s="849"/>
      <c r="C33" s="849"/>
      <c r="D33" s="849"/>
      <c r="E33" s="849"/>
      <c r="F33" s="849"/>
      <c r="G33" s="849"/>
      <c r="H33" s="849"/>
      <c r="I33" s="849"/>
      <c r="J33" s="849"/>
      <c r="K33" s="849"/>
    </row>
    <row r="34">
      <c r="A34" s="849"/>
      <c r="B34" s="849"/>
      <c r="C34" s="849"/>
      <c r="D34" s="849"/>
      <c r="E34" s="849"/>
      <c r="F34" s="849"/>
      <c r="G34" s="849"/>
      <c r="H34" s="849"/>
      <c r="I34" s="849"/>
      <c r="J34" s="849"/>
      <c r="K34" s="849"/>
    </row>
    <row r="35">
      <c r="A35" s="849"/>
      <c r="B35" s="849"/>
      <c r="C35" s="849"/>
      <c r="D35" s="849"/>
      <c r="E35" s="849"/>
      <c r="F35" s="849"/>
      <c r="G35" s="849"/>
      <c r="H35" s="849"/>
      <c r="I35" s="849"/>
      <c r="J35" s="849"/>
      <c r="K35" s="849"/>
    </row>
    <row r="36">
      <c r="A36" s="849"/>
      <c r="B36" s="849"/>
      <c r="C36" s="849"/>
      <c r="D36" s="849"/>
      <c r="E36" s="849"/>
      <c r="F36" s="849"/>
      <c r="G36" s="849"/>
      <c r="H36" s="849"/>
      <c r="I36" s="849"/>
      <c r="J36" s="849"/>
      <c r="K36" s="849"/>
    </row>
    <row r="37">
      <c r="A37" s="849"/>
      <c r="B37" s="849"/>
      <c r="C37" s="849"/>
      <c r="D37" s="849"/>
      <c r="E37" s="849"/>
      <c r="F37" s="849"/>
      <c r="G37" s="849"/>
      <c r="H37" s="849"/>
      <c r="I37" s="849"/>
      <c r="J37" s="849"/>
      <c r="K37" s="849"/>
    </row>
    <row r="38">
      <c r="A38" s="849"/>
      <c r="B38" s="849"/>
      <c r="C38" s="849"/>
      <c r="D38" s="849"/>
      <c r="E38" s="849"/>
      <c r="F38" s="849"/>
      <c r="G38" s="849"/>
      <c r="H38" s="849"/>
      <c r="I38" s="849"/>
      <c r="J38" s="849"/>
      <c r="K38" s="849"/>
    </row>
    <row r="39">
      <c r="A39" s="849"/>
      <c r="B39" s="849"/>
      <c r="C39" s="849"/>
      <c r="D39" s="849"/>
      <c r="E39" s="849"/>
      <c r="F39" s="849"/>
      <c r="G39" s="849"/>
      <c r="H39" s="849"/>
      <c r="I39" s="849"/>
      <c r="J39" s="849"/>
      <c r="K39" s="849"/>
    </row>
    <row r="40">
      <c r="A40" s="849"/>
      <c r="B40" s="849"/>
      <c r="C40" s="849"/>
      <c r="D40" s="849"/>
      <c r="E40" s="849"/>
      <c r="F40" s="849"/>
      <c r="G40" s="849"/>
      <c r="H40" s="849"/>
      <c r="I40" s="849"/>
      <c r="J40" s="849"/>
      <c r="K40" s="849"/>
    </row>
    <row r="41">
      <c r="A41" s="849"/>
      <c r="B41" s="849"/>
      <c r="C41" s="849"/>
      <c r="D41" s="849"/>
      <c r="E41" s="849"/>
      <c r="F41" s="849"/>
      <c r="G41" s="849"/>
      <c r="H41" s="849"/>
      <c r="I41" s="849"/>
      <c r="J41" s="849"/>
      <c r="K41" s="849"/>
    </row>
    <row r="42">
      <c r="A42" s="849"/>
      <c r="B42" s="849"/>
      <c r="C42" s="849"/>
      <c r="D42" s="849"/>
      <c r="E42" s="849"/>
      <c r="F42" s="849"/>
      <c r="G42" s="849"/>
      <c r="H42" s="849"/>
      <c r="I42" s="849"/>
      <c r="J42" s="849"/>
      <c r="K42" s="849"/>
    </row>
    <row r="43">
      <c r="A43" s="849"/>
      <c r="B43" s="849"/>
      <c r="C43" s="849"/>
      <c r="D43" s="849"/>
      <c r="E43" s="849"/>
      <c r="F43" s="849"/>
      <c r="G43" s="849"/>
      <c r="H43" s="849"/>
      <c r="I43" s="849"/>
      <c r="J43" s="849"/>
      <c r="K43" s="849"/>
    </row>
    <row r="44">
      <c r="A44" s="849"/>
      <c r="B44" s="849"/>
      <c r="C44" s="849"/>
      <c r="D44" s="849"/>
      <c r="E44" s="849"/>
      <c r="F44" s="849"/>
      <c r="G44" s="849"/>
      <c r="H44" s="849"/>
      <c r="I44" s="849"/>
      <c r="J44" s="849"/>
      <c r="K44" s="849"/>
    </row>
    <row r="45">
      <c r="A45" s="849"/>
      <c r="B45" s="849"/>
      <c r="C45" s="849"/>
      <c r="D45" s="849"/>
      <c r="E45" s="849"/>
      <c r="F45" s="849"/>
      <c r="G45" s="849"/>
      <c r="H45" s="849"/>
      <c r="I45" s="849"/>
      <c r="J45" s="849"/>
      <c r="K45" s="849"/>
    </row>
    <row r="46">
      <c r="A46" s="849"/>
      <c r="B46" s="849"/>
      <c r="C46" s="849"/>
      <c r="D46" s="849"/>
      <c r="E46" s="849"/>
      <c r="F46" s="849"/>
      <c r="G46" s="849"/>
      <c r="H46" s="849"/>
      <c r="I46" s="849"/>
      <c r="J46" s="849"/>
      <c r="K46" s="849"/>
    </row>
    <row r="47">
      <c r="A47" s="849"/>
      <c r="B47" s="849"/>
      <c r="C47" s="849"/>
      <c r="D47" s="849"/>
      <c r="E47" s="849"/>
      <c r="F47" s="849"/>
      <c r="G47" s="849"/>
      <c r="H47" s="849"/>
      <c r="I47" s="849"/>
      <c r="J47" s="849"/>
      <c r="K47" s="849"/>
    </row>
    <row r="48">
      <c r="A48" s="849"/>
      <c r="B48" s="849"/>
      <c r="C48" s="849"/>
      <c r="D48" s="849"/>
      <c r="E48" s="849"/>
      <c r="F48" s="849"/>
      <c r="G48" s="849"/>
      <c r="H48" s="849"/>
      <c r="I48" s="849"/>
      <c r="J48" s="849"/>
      <c r="K48" s="849"/>
    </row>
    <row r="49">
      <c r="A49" s="849"/>
      <c r="B49" s="849"/>
      <c r="C49" s="849"/>
      <c r="D49" s="849"/>
      <c r="E49" s="849"/>
      <c r="F49" s="849"/>
      <c r="G49" s="849"/>
      <c r="H49" s="849"/>
      <c r="I49" s="849"/>
      <c r="J49" s="849"/>
      <c r="K49" s="849"/>
    </row>
    <row r="50">
      <c r="A50" s="849"/>
      <c r="B50" s="849"/>
      <c r="C50" s="849"/>
      <c r="D50" s="849"/>
      <c r="E50" s="849"/>
      <c r="F50" s="849"/>
      <c r="G50" s="849"/>
      <c r="H50" s="849"/>
      <c r="I50" s="849"/>
      <c r="J50" s="849"/>
      <c r="K50" s="849"/>
    </row>
    <row r="51">
      <c r="A51" s="849"/>
      <c r="B51" s="849"/>
      <c r="C51" s="849"/>
      <c r="D51" s="849"/>
      <c r="E51" s="849"/>
      <c r="F51" s="849"/>
      <c r="G51" s="849"/>
      <c r="H51" s="849"/>
      <c r="I51" s="849"/>
      <c r="J51" s="849"/>
      <c r="K51" s="849"/>
    </row>
    <row r="52">
      <c r="A52" s="849"/>
      <c r="B52" s="849"/>
      <c r="C52" s="849"/>
      <c r="D52" s="849"/>
      <c r="E52" s="849"/>
      <c r="F52" s="849"/>
      <c r="G52" s="849"/>
      <c r="H52" s="849"/>
      <c r="I52" s="849"/>
      <c r="J52" s="849"/>
      <c r="K52" s="849"/>
    </row>
    <row r="53">
      <c r="A53" s="849"/>
      <c r="B53" s="849"/>
      <c r="C53" s="849"/>
      <c r="D53" s="849"/>
      <c r="E53" s="849"/>
      <c r="F53" s="849"/>
      <c r="G53" s="849"/>
      <c r="H53" s="849"/>
      <c r="I53" s="849"/>
      <c r="J53" s="849"/>
      <c r="K53" s="849"/>
    </row>
    <row r="54">
      <c r="A54" s="849"/>
      <c r="B54" s="849"/>
      <c r="C54" s="849"/>
      <c r="D54" s="849"/>
      <c r="E54" s="849"/>
      <c r="F54" s="849"/>
      <c r="G54" s="849"/>
      <c r="H54" s="849"/>
      <c r="I54" s="849"/>
      <c r="J54" s="849"/>
      <c r="K54" s="849"/>
    </row>
    <row r="55">
      <c r="A55" s="849"/>
      <c r="B55" s="849"/>
      <c r="C55" s="849"/>
      <c r="D55" s="849"/>
      <c r="E55" s="849"/>
      <c r="F55" s="849"/>
      <c r="G55" s="849"/>
      <c r="H55" s="849"/>
      <c r="I55" s="849"/>
      <c r="J55" s="849"/>
      <c r="K55" s="849"/>
    </row>
    <row r="56">
      <c r="A56" s="849"/>
      <c r="B56" s="849"/>
      <c r="C56" s="849"/>
      <c r="D56" s="849"/>
      <c r="E56" s="849"/>
      <c r="F56" s="849"/>
      <c r="G56" s="849"/>
      <c r="H56" s="849"/>
      <c r="I56" s="849"/>
      <c r="J56" s="849"/>
      <c r="K56" s="849"/>
    </row>
    <row r="57">
      <c r="A57" s="849"/>
      <c r="B57" s="849"/>
      <c r="C57" s="849"/>
      <c r="D57" s="849"/>
      <c r="E57" s="849"/>
      <c r="F57" s="849"/>
      <c r="G57" s="849"/>
      <c r="H57" s="849"/>
      <c r="I57" s="849"/>
      <c r="J57" s="849"/>
      <c r="K57" s="849"/>
    </row>
    <row r="58">
      <c r="A58" s="849"/>
      <c r="B58" s="849"/>
      <c r="C58" s="849"/>
      <c r="D58" s="849"/>
      <c r="E58" s="849"/>
      <c r="F58" s="849"/>
      <c r="G58" s="849"/>
      <c r="H58" s="849"/>
      <c r="I58" s="849"/>
      <c r="J58" s="849"/>
      <c r="K58" s="849"/>
    </row>
    <row r="59">
      <c r="A59" s="849"/>
      <c r="B59" s="849"/>
      <c r="C59" s="849"/>
      <c r="D59" s="849"/>
      <c r="E59" s="849"/>
      <c r="F59" s="849"/>
      <c r="G59" s="849"/>
      <c r="H59" s="849"/>
      <c r="I59" s="849"/>
      <c r="J59" s="849"/>
      <c r="K59" s="849"/>
    </row>
    <row r="60">
      <c r="A60" s="849"/>
      <c r="B60" s="849"/>
      <c r="C60" s="849"/>
      <c r="D60" s="849"/>
      <c r="E60" s="849"/>
      <c r="F60" s="849"/>
      <c r="G60" s="849"/>
      <c r="H60" s="849"/>
      <c r="I60" s="849"/>
      <c r="J60" s="849"/>
      <c r="K60" s="849"/>
    </row>
    <row r="61">
      <c r="A61" s="849"/>
      <c r="B61" s="849"/>
      <c r="C61" s="849"/>
      <c r="D61" s="849"/>
      <c r="E61" s="849"/>
      <c r="F61" s="849"/>
      <c r="G61" s="849"/>
      <c r="H61" s="849"/>
      <c r="I61" s="849"/>
      <c r="J61" s="849"/>
      <c r="K61" s="849"/>
    </row>
    <row r="62">
      <c r="A62" s="849"/>
      <c r="B62" s="849"/>
      <c r="C62" s="849"/>
      <c r="D62" s="849"/>
      <c r="E62" s="849"/>
      <c r="F62" s="849"/>
      <c r="G62" s="849"/>
      <c r="H62" s="849"/>
      <c r="I62" s="849"/>
      <c r="J62" s="849"/>
      <c r="K62" s="849"/>
    </row>
    <row r="63">
      <c r="A63" s="849"/>
      <c r="B63" s="849"/>
      <c r="C63" s="849"/>
      <c r="D63" s="849"/>
      <c r="E63" s="849"/>
      <c r="F63" s="849"/>
      <c r="G63" s="849"/>
      <c r="H63" s="849"/>
      <c r="I63" s="849"/>
      <c r="J63" s="849"/>
      <c r="K63" s="849"/>
    </row>
    <row r="64">
      <c r="A64" s="849"/>
      <c r="B64" s="849"/>
      <c r="C64" s="849"/>
      <c r="D64" s="849"/>
      <c r="E64" s="849"/>
      <c r="F64" s="849"/>
      <c r="G64" s="849"/>
      <c r="H64" s="849"/>
      <c r="I64" s="849"/>
      <c r="J64" s="849"/>
      <c r="K64" s="849"/>
    </row>
    <row r="65">
      <c r="A65" s="849"/>
      <c r="B65" s="849"/>
      <c r="C65" s="849"/>
      <c r="D65" s="849"/>
      <c r="E65" s="849"/>
      <c r="F65" s="849"/>
      <c r="G65" s="849"/>
      <c r="H65" s="849"/>
      <c r="I65" s="849"/>
      <c r="J65" s="849"/>
      <c r="K65" s="849"/>
    </row>
    <row r="66">
      <c r="A66" s="849"/>
      <c r="B66" s="849"/>
      <c r="C66" s="849"/>
      <c r="D66" s="849"/>
      <c r="E66" s="849"/>
      <c r="F66" s="849"/>
      <c r="G66" s="849"/>
      <c r="H66" s="849"/>
      <c r="I66" s="849"/>
      <c r="J66" s="849"/>
      <c r="K66" s="849"/>
    </row>
    <row r="67">
      <c r="A67" s="849"/>
      <c r="B67" s="849"/>
      <c r="C67" s="849"/>
      <c r="D67" s="849"/>
      <c r="E67" s="849"/>
      <c r="F67" s="849"/>
      <c r="G67" s="849"/>
      <c r="H67" s="849"/>
      <c r="I67" s="849"/>
      <c r="J67" s="849"/>
      <c r="K67" s="849"/>
    </row>
    <row r="68">
      <c r="A68" s="849"/>
      <c r="B68" s="849"/>
      <c r="C68" s="849"/>
      <c r="D68" s="849"/>
      <c r="E68" s="849"/>
      <c r="F68" s="849"/>
      <c r="G68" s="849"/>
      <c r="H68" s="849"/>
      <c r="I68" s="849"/>
      <c r="J68" s="849"/>
      <c r="K68" s="849"/>
    </row>
    <row r="69">
      <c r="A69" s="849"/>
      <c r="B69" s="849"/>
      <c r="C69" s="849"/>
      <c r="D69" s="849"/>
      <c r="E69" s="849"/>
      <c r="F69" s="849"/>
      <c r="G69" s="849"/>
      <c r="H69" s="849"/>
      <c r="I69" s="849"/>
      <c r="J69" s="849"/>
      <c r="K69" s="849"/>
    </row>
    <row r="70">
      <c r="A70" s="849"/>
      <c r="B70" s="849"/>
      <c r="C70" s="849"/>
      <c r="D70" s="849"/>
      <c r="E70" s="849"/>
      <c r="F70" s="849"/>
      <c r="G70" s="849"/>
      <c r="H70" s="849"/>
      <c r="I70" s="849"/>
      <c r="J70" s="849"/>
      <c r="K70" s="849"/>
    </row>
    <row r="71">
      <c r="A71" s="849"/>
      <c r="B71" s="849"/>
      <c r="C71" s="849"/>
      <c r="D71" s="849"/>
      <c r="E71" s="849"/>
      <c r="F71" s="849"/>
      <c r="G71" s="849"/>
      <c r="H71" s="849"/>
      <c r="I71" s="849"/>
      <c r="J71" s="849"/>
      <c r="K71" s="849"/>
    </row>
    <row r="72">
      <c r="A72" s="849"/>
      <c r="B72" s="849"/>
      <c r="C72" s="849"/>
      <c r="D72" s="849"/>
      <c r="E72" s="849"/>
      <c r="F72" s="849"/>
      <c r="G72" s="849"/>
      <c r="H72" s="849"/>
      <c r="I72" s="849"/>
      <c r="J72" s="849"/>
      <c r="K72" s="849"/>
    </row>
    <row r="73">
      <c r="A73" s="849"/>
      <c r="B73" s="849"/>
      <c r="C73" s="849"/>
      <c r="D73" s="849"/>
      <c r="E73" s="849"/>
      <c r="F73" s="849"/>
      <c r="G73" s="849"/>
      <c r="H73" s="849"/>
      <c r="I73" s="849"/>
      <c r="J73" s="849"/>
      <c r="K73" s="849"/>
    </row>
    <row r="74">
      <c r="A74" s="849"/>
      <c r="B74" s="849"/>
      <c r="C74" s="849"/>
      <c r="D74" s="849"/>
      <c r="E74" s="849"/>
      <c r="F74" s="849"/>
      <c r="G74" s="849"/>
      <c r="H74" s="849"/>
      <c r="I74" s="849"/>
      <c r="J74" s="849"/>
      <c r="K74" s="849"/>
    </row>
    <row r="75">
      <c r="A75" s="849"/>
      <c r="B75" s="849"/>
      <c r="C75" s="849"/>
      <c r="D75" s="849"/>
      <c r="E75" s="849"/>
      <c r="F75" s="849"/>
      <c r="G75" s="849"/>
      <c r="H75" s="849"/>
      <c r="I75" s="849"/>
      <c r="J75" s="849"/>
      <c r="K75" s="849"/>
    </row>
    <row r="76">
      <c r="A76" s="849"/>
      <c r="B76" s="849"/>
      <c r="C76" s="849"/>
      <c r="D76" s="849"/>
      <c r="E76" s="849"/>
      <c r="F76" s="849"/>
      <c r="G76" s="849"/>
      <c r="H76" s="849"/>
      <c r="I76" s="849"/>
      <c r="J76" s="849"/>
      <c r="K76" s="849"/>
    </row>
    <row r="77">
      <c r="A77" s="849"/>
      <c r="B77" s="849"/>
      <c r="C77" s="849"/>
      <c r="D77" s="849"/>
      <c r="E77" s="849"/>
      <c r="F77" s="849"/>
      <c r="G77" s="849"/>
      <c r="H77" s="849"/>
      <c r="I77" s="849"/>
      <c r="J77" s="849"/>
      <c r="K77" s="849"/>
    </row>
    <row r="78">
      <c r="A78" s="849"/>
      <c r="B78" s="849"/>
      <c r="C78" s="849"/>
      <c r="D78" s="849"/>
      <c r="E78" s="849"/>
      <c r="F78" s="849"/>
      <c r="G78" s="849"/>
      <c r="H78" s="849"/>
      <c r="I78" s="849"/>
      <c r="J78" s="849"/>
      <c r="K78" s="849"/>
    </row>
    <row r="79">
      <c r="A79" s="849"/>
      <c r="B79" s="849"/>
      <c r="C79" s="849"/>
      <c r="D79" s="849"/>
      <c r="E79" s="849"/>
      <c r="F79" s="849"/>
      <c r="G79" s="849"/>
      <c r="H79" s="849"/>
      <c r="I79" s="849"/>
      <c r="J79" s="849"/>
      <c r="K79" s="849"/>
    </row>
    <row r="80">
      <c r="A80" s="849"/>
      <c r="B80" s="849"/>
      <c r="C80" s="849"/>
      <c r="D80" s="849"/>
      <c r="E80" s="849"/>
      <c r="F80" s="849"/>
      <c r="G80" s="849"/>
      <c r="H80" s="849"/>
      <c r="I80" s="849"/>
      <c r="J80" s="849"/>
      <c r="K80" s="849"/>
    </row>
    <row r="81">
      <c r="A81" s="849"/>
      <c r="B81" s="849"/>
      <c r="C81" s="849"/>
      <c r="D81" s="849"/>
      <c r="E81" s="849"/>
      <c r="F81" s="849"/>
      <c r="G81" s="849"/>
      <c r="H81" s="849"/>
      <c r="I81" s="849"/>
      <c r="J81" s="849"/>
      <c r="K81" s="849"/>
    </row>
    <row r="82">
      <c r="A82" s="849"/>
      <c r="B82" s="849"/>
      <c r="C82" s="849"/>
      <c r="D82" s="849"/>
      <c r="E82" s="849"/>
      <c r="F82" s="849"/>
      <c r="G82" s="849"/>
      <c r="H82" s="849"/>
      <c r="I82" s="849"/>
      <c r="J82" s="849"/>
      <c r="K82" s="849"/>
    </row>
    <row r="83">
      <c r="A83" s="849"/>
      <c r="B83" s="849"/>
      <c r="C83" s="849"/>
      <c r="D83" s="849"/>
      <c r="E83" s="849"/>
      <c r="F83" s="849"/>
      <c r="G83" s="849"/>
      <c r="H83" s="849"/>
      <c r="I83" s="849"/>
      <c r="J83" s="849"/>
      <c r="K83" s="849"/>
    </row>
    <row r="84">
      <c r="A84" s="849"/>
      <c r="B84" s="849"/>
      <c r="C84" s="849"/>
      <c r="D84" s="849"/>
      <c r="E84" s="849"/>
      <c r="F84" s="849"/>
      <c r="G84" s="849"/>
      <c r="H84" s="849"/>
      <c r="I84" s="849"/>
      <c r="J84" s="849"/>
      <c r="K84" s="849"/>
    </row>
    <row r="85">
      <c r="A85" s="849"/>
      <c r="B85" s="849"/>
      <c r="C85" s="849"/>
      <c r="D85" s="849"/>
      <c r="E85" s="849"/>
      <c r="F85" s="849"/>
      <c r="G85" s="849"/>
      <c r="H85" s="849"/>
      <c r="I85" s="849"/>
      <c r="J85" s="849"/>
      <c r="K85" s="849"/>
    </row>
    <row r="86">
      <c r="A86" s="849"/>
      <c r="B86" s="849"/>
      <c r="C86" s="849"/>
      <c r="D86" s="849"/>
      <c r="E86" s="849"/>
      <c r="F86" s="849"/>
      <c r="G86" s="849"/>
      <c r="H86" s="849"/>
      <c r="I86" s="849"/>
      <c r="J86" s="849"/>
      <c r="K86" s="849"/>
    </row>
    <row r="87">
      <c r="A87" s="849"/>
      <c r="B87" s="849"/>
      <c r="C87" s="849"/>
      <c r="D87" s="849"/>
      <c r="E87" s="849"/>
      <c r="F87" s="849"/>
      <c r="G87" s="849"/>
      <c r="H87" s="849"/>
      <c r="I87" s="849"/>
      <c r="J87" s="849"/>
      <c r="K87" s="849"/>
    </row>
    <row r="88">
      <c r="A88" s="849"/>
      <c r="B88" s="849"/>
      <c r="C88" s="849"/>
      <c r="D88" s="849"/>
      <c r="E88" s="849"/>
      <c r="F88" s="849"/>
      <c r="G88" s="849"/>
      <c r="H88" s="849"/>
      <c r="I88" s="849"/>
      <c r="J88" s="849"/>
      <c r="K88" s="849"/>
    </row>
    <row r="89">
      <c r="A89" s="849"/>
      <c r="B89" s="849"/>
      <c r="C89" s="849"/>
      <c r="D89" s="849"/>
      <c r="E89" s="849"/>
      <c r="F89" s="849"/>
      <c r="G89" s="849"/>
      <c r="H89" s="849"/>
      <c r="I89" s="849"/>
      <c r="J89" s="849"/>
      <c r="K89" s="849"/>
    </row>
    <row r="90">
      <c r="A90" s="849"/>
      <c r="B90" s="849"/>
      <c r="C90" s="849"/>
      <c r="D90" s="849"/>
      <c r="E90" s="849"/>
      <c r="F90" s="849"/>
      <c r="G90" s="849"/>
      <c r="H90" s="849"/>
      <c r="I90" s="849"/>
      <c r="J90" s="849"/>
      <c r="K90" s="849"/>
    </row>
    <row r="91">
      <c r="A91" s="849"/>
      <c r="B91" s="849"/>
      <c r="C91" s="849"/>
      <c r="D91" s="849"/>
      <c r="E91" s="849"/>
      <c r="F91" s="849"/>
      <c r="G91" s="849"/>
      <c r="H91" s="849"/>
      <c r="I91" s="849"/>
      <c r="J91" s="849"/>
      <c r="K91" s="849"/>
    </row>
    <row r="92">
      <c r="A92" s="849"/>
      <c r="B92" s="849"/>
      <c r="C92" s="849"/>
      <c r="D92" s="849"/>
      <c r="E92" s="849"/>
      <c r="F92" s="849"/>
      <c r="G92" s="849"/>
      <c r="H92" s="849"/>
      <c r="I92" s="849"/>
      <c r="J92" s="849"/>
      <c r="K92" s="849"/>
    </row>
    <row r="93">
      <c r="A93" s="849"/>
      <c r="B93" s="849"/>
      <c r="C93" s="849"/>
      <c r="D93" s="849"/>
      <c r="E93" s="849"/>
      <c r="F93" s="849"/>
      <c r="G93" s="849"/>
      <c r="H93" s="849"/>
      <c r="I93" s="849"/>
      <c r="J93" s="849"/>
      <c r="K93" s="849"/>
    </row>
    <row r="94">
      <c r="A94" s="849"/>
      <c r="B94" s="849"/>
      <c r="C94" s="849"/>
      <c r="D94" s="849"/>
      <c r="E94" s="849"/>
      <c r="F94" s="849"/>
      <c r="G94" s="849"/>
      <c r="H94" s="849"/>
      <c r="I94" s="849"/>
      <c r="J94" s="849"/>
      <c r="K94" s="849"/>
    </row>
    <row r="95">
      <c r="A95" s="849"/>
      <c r="B95" s="849"/>
      <c r="C95" s="849"/>
      <c r="D95" s="849"/>
      <c r="E95" s="849"/>
      <c r="F95" s="849"/>
      <c r="G95" s="849"/>
      <c r="H95" s="849"/>
      <c r="I95" s="849"/>
      <c r="J95" s="849"/>
      <c r="K95" s="849"/>
    </row>
    <row r="96">
      <c r="A96" s="849"/>
      <c r="B96" s="849"/>
      <c r="C96" s="849"/>
      <c r="D96" s="849"/>
      <c r="E96" s="849"/>
      <c r="F96" s="849"/>
      <c r="G96" s="849"/>
      <c r="H96" s="849"/>
      <c r="I96" s="849"/>
      <c r="J96" s="849"/>
      <c r="K96" s="849"/>
    </row>
    <row r="97">
      <c r="A97" s="849"/>
      <c r="B97" s="849"/>
      <c r="C97" s="849"/>
      <c r="D97" s="849"/>
      <c r="E97" s="849"/>
      <c r="F97" s="849"/>
      <c r="G97" s="849"/>
      <c r="H97" s="849"/>
      <c r="I97" s="849"/>
      <c r="J97" s="849"/>
      <c r="K97" s="849"/>
    </row>
    <row r="98">
      <c r="A98" s="849"/>
      <c r="B98" s="849"/>
      <c r="C98" s="849"/>
      <c r="D98" s="849"/>
      <c r="E98" s="849"/>
      <c r="F98" s="849"/>
      <c r="G98" s="849"/>
      <c r="H98" s="849"/>
      <c r="I98" s="849"/>
      <c r="J98" s="849"/>
      <c r="K98" s="849"/>
    </row>
    <row r="99">
      <c r="A99" s="849"/>
      <c r="B99" s="849"/>
      <c r="C99" s="849"/>
      <c r="D99" s="849"/>
      <c r="E99" s="849"/>
      <c r="F99" s="849"/>
      <c r="G99" s="849"/>
      <c r="H99" s="849"/>
      <c r="I99" s="849"/>
      <c r="J99" s="849"/>
      <c r="K99" s="849"/>
    </row>
    <row r="100">
      <c r="A100" s="849"/>
      <c r="B100" s="849"/>
      <c r="C100" s="849"/>
      <c r="D100" s="849"/>
      <c r="E100" s="849"/>
      <c r="F100" s="849"/>
      <c r="G100" s="849"/>
      <c r="H100" s="849"/>
      <c r="I100" s="849"/>
      <c r="J100" s="849"/>
      <c r="K100" s="849"/>
    </row>
    <row r="101">
      <c r="A101" s="849"/>
      <c r="B101" s="849"/>
      <c r="C101" s="849"/>
      <c r="D101" s="849"/>
      <c r="E101" s="849"/>
      <c r="F101" s="849"/>
      <c r="G101" s="849"/>
      <c r="H101" s="849"/>
      <c r="I101" s="849"/>
      <c r="J101" s="849"/>
      <c r="K101" s="849"/>
    </row>
    <row r="102">
      <c r="A102" s="849"/>
      <c r="B102" s="849"/>
      <c r="C102" s="849"/>
      <c r="D102" s="849"/>
      <c r="E102" s="849"/>
      <c r="F102" s="849"/>
      <c r="G102" s="849"/>
      <c r="H102" s="849"/>
      <c r="I102" s="849"/>
      <c r="J102" s="849"/>
      <c r="K102" s="849"/>
    </row>
    <row r="103">
      <c r="A103" s="849"/>
      <c r="B103" s="849"/>
      <c r="C103" s="849"/>
      <c r="D103" s="849"/>
      <c r="E103" s="849"/>
      <c r="F103" s="849"/>
      <c r="G103" s="849"/>
      <c r="H103" s="849"/>
      <c r="I103" s="849"/>
      <c r="J103" s="849"/>
      <c r="K103" s="849"/>
    </row>
    <row r="104">
      <c r="A104" s="849"/>
      <c r="B104" s="849"/>
      <c r="C104" s="849"/>
      <c r="D104" s="849"/>
      <c r="E104" s="849"/>
      <c r="F104" s="849"/>
      <c r="G104" s="849"/>
      <c r="H104" s="849"/>
      <c r="I104" s="849"/>
      <c r="J104" s="849"/>
      <c r="K104" s="849"/>
    </row>
    <row r="105">
      <c r="A105" s="849"/>
      <c r="B105" s="849"/>
      <c r="C105" s="849"/>
      <c r="D105" s="849"/>
      <c r="E105" s="849"/>
      <c r="F105" s="849"/>
      <c r="G105" s="849"/>
      <c r="H105" s="849"/>
      <c r="I105" s="849"/>
      <c r="J105" s="849"/>
      <c r="K105" s="849"/>
    </row>
    <row r="106">
      <c r="A106" s="849"/>
      <c r="B106" s="849"/>
      <c r="C106" s="849"/>
      <c r="D106" s="849"/>
      <c r="E106" s="849"/>
      <c r="F106" s="849"/>
      <c r="G106" s="849"/>
      <c r="H106" s="849"/>
      <c r="I106" s="849"/>
      <c r="J106" s="849"/>
      <c r="K106" s="849"/>
    </row>
    <row r="107">
      <c r="A107" s="849"/>
      <c r="B107" s="849"/>
      <c r="C107" s="849"/>
      <c r="D107" s="849"/>
      <c r="E107" s="849"/>
      <c r="F107" s="849"/>
      <c r="G107" s="849"/>
      <c r="H107" s="849"/>
      <c r="I107" s="849"/>
      <c r="J107" s="849"/>
      <c r="K107" s="849"/>
    </row>
    <row r="108">
      <c r="A108" s="849"/>
      <c r="B108" s="849"/>
      <c r="C108" s="849"/>
      <c r="D108" s="849"/>
      <c r="E108" s="849"/>
      <c r="F108" s="849"/>
      <c r="G108" s="849"/>
      <c r="H108" s="849"/>
      <c r="I108" s="849"/>
      <c r="J108" s="849"/>
      <c r="K108" s="849"/>
    </row>
    <row r="109">
      <c r="A109" s="849"/>
      <c r="B109" s="849"/>
      <c r="C109" s="849"/>
      <c r="D109" s="849"/>
      <c r="E109" s="849"/>
      <c r="F109" s="849"/>
      <c r="G109" s="849"/>
      <c r="H109" s="849"/>
      <c r="I109" s="849"/>
      <c r="J109" s="849"/>
      <c r="K109" s="849"/>
    </row>
    <row r="110">
      <c r="A110" s="849"/>
      <c r="B110" s="849"/>
      <c r="C110" s="849"/>
      <c r="D110" s="849"/>
      <c r="E110" s="849"/>
      <c r="F110" s="849"/>
      <c r="G110" s="849"/>
      <c r="H110" s="849"/>
      <c r="I110" s="849"/>
      <c r="J110" s="849"/>
      <c r="K110" s="849"/>
    </row>
    <row r="111">
      <c r="A111" s="849"/>
      <c r="B111" s="849"/>
      <c r="C111" s="849"/>
      <c r="D111" s="849"/>
      <c r="E111" s="849"/>
      <c r="F111" s="849"/>
      <c r="G111" s="849"/>
      <c r="H111" s="849"/>
      <c r="I111" s="849"/>
      <c r="J111" s="849"/>
      <c r="K111" s="849"/>
    </row>
    <row r="112">
      <c r="A112" s="849"/>
      <c r="B112" s="849"/>
      <c r="C112" s="849"/>
      <c r="D112" s="849"/>
      <c r="E112" s="849"/>
      <c r="F112" s="849"/>
      <c r="G112" s="849"/>
      <c r="H112" s="849"/>
      <c r="I112" s="849"/>
      <c r="J112" s="849"/>
      <c r="K112" s="849"/>
    </row>
    <row r="113">
      <c r="A113" s="849"/>
      <c r="B113" s="849"/>
      <c r="C113" s="849"/>
      <c r="D113" s="849"/>
      <c r="E113" s="849"/>
      <c r="F113" s="849"/>
      <c r="G113" s="849"/>
      <c r="H113" s="849"/>
      <c r="I113" s="849"/>
      <c r="J113" s="849"/>
      <c r="K113" s="849"/>
    </row>
    <row r="114">
      <c r="A114" s="849"/>
      <c r="B114" s="849"/>
      <c r="C114" s="849"/>
      <c r="D114" s="849"/>
      <c r="E114" s="849"/>
      <c r="F114" s="849"/>
      <c r="G114" s="849"/>
      <c r="H114" s="849"/>
      <c r="I114" s="849"/>
      <c r="J114" s="849"/>
      <c r="K114" s="849"/>
    </row>
    <row r="115">
      <c r="A115" s="849"/>
      <c r="B115" s="849"/>
      <c r="C115" s="849"/>
      <c r="D115" s="849"/>
      <c r="E115" s="849"/>
      <c r="F115" s="849"/>
      <c r="G115" s="849"/>
      <c r="H115" s="849"/>
      <c r="I115" s="849"/>
      <c r="J115" s="849"/>
      <c r="K115" s="849"/>
    </row>
    <row r="116">
      <c r="A116" s="849"/>
      <c r="B116" s="849"/>
      <c r="C116" s="849"/>
      <c r="D116" s="849"/>
      <c r="E116" s="849"/>
      <c r="F116" s="849"/>
      <c r="G116" s="849"/>
      <c r="H116" s="849"/>
      <c r="I116" s="849"/>
      <c r="J116" s="849"/>
      <c r="K116" s="849"/>
    </row>
    <row r="117">
      <c r="A117" s="849"/>
      <c r="B117" s="849"/>
      <c r="C117" s="849"/>
      <c r="D117" s="849"/>
      <c r="E117" s="849"/>
      <c r="F117" s="849"/>
      <c r="G117" s="849"/>
      <c r="H117" s="849"/>
      <c r="I117" s="849"/>
      <c r="J117" s="849"/>
      <c r="K117" s="849"/>
    </row>
    <row r="118">
      <c r="A118" s="849"/>
      <c r="B118" s="849"/>
      <c r="C118" s="849"/>
      <c r="D118" s="849"/>
      <c r="E118" s="849"/>
      <c r="F118" s="849"/>
      <c r="G118" s="849"/>
      <c r="H118" s="849"/>
      <c r="I118" s="849"/>
      <c r="J118" s="849"/>
      <c r="K118" s="849"/>
    </row>
    <row r="119">
      <c r="A119" s="849"/>
      <c r="B119" s="849"/>
      <c r="C119" s="849"/>
      <c r="D119" s="849"/>
      <c r="E119" s="849"/>
      <c r="F119" s="849"/>
      <c r="G119" s="849"/>
      <c r="H119" s="849"/>
      <c r="I119" s="849"/>
      <c r="J119" s="849"/>
      <c r="K119" s="849"/>
    </row>
    <row r="120">
      <c r="A120" s="849"/>
      <c r="B120" s="849"/>
      <c r="C120" s="849"/>
      <c r="D120" s="849"/>
      <c r="E120" s="849"/>
      <c r="F120" s="849"/>
      <c r="G120" s="849"/>
      <c r="H120" s="849"/>
      <c r="I120" s="849"/>
      <c r="J120" s="849"/>
      <c r="K120" s="849"/>
    </row>
    <row r="121">
      <c r="A121" s="849"/>
      <c r="B121" s="849"/>
      <c r="C121" s="849"/>
      <c r="D121" s="849"/>
      <c r="E121" s="849"/>
      <c r="F121" s="849"/>
      <c r="G121" s="849"/>
      <c r="H121" s="849"/>
      <c r="I121" s="849"/>
      <c r="J121" s="849"/>
      <c r="K121" s="849"/>
    </row>
    <row r="122">
      <c r="A122" s="849"/>
      <c r="B122" s="849"/>
      <c r="C122" s="849"/>
      <c r="D122" s="849"/>
      <c r="E122" s="849"/>
      <c r="F122" s="849"/>
      <c r="G122" s="849"/>
      <c r="H122" s="849"/>
      <c r="I122" s="849"/>
      <c r="J122" s="849"/>
      <c r="K122" s="849"/>
    </row>
    <row r="123">
      <c r="A123" s="849"/>
      <c r="B123" s="849"/>
      <c r="C123" s="849"/>
      <c r="D123" s="849"/>
      <c r="E123" s="849"/>
      <c r="F123" s="849"/>
      <c r="G123" s="849"/>
      <c r="H123" s="849"/>
      <c r="I123" s="849"/>
      <c r="J123" s="849"/>
      <c r="K123" s="849"/>
    </row>
    <row r="124">
      <c r="A124" s="849"/>
      <c r="B124" s="849"/>
      <c r="C124" s="849"/>
      <c r="D124" s="849"/>
      <c r="E124" s="849"/>
      <c r="F124" s="849"/>
      <c r="G124" s="849"/>
      <c r="H124" s="849"/>
      <c r="I124" s="849"/>
      <c r="J124" s="849"/>
      <c r="K124" s="849"/>
    </row>
    <row r="125">
      <c r="A125" s="849"/>
      <c r="B125" s="849"/>
      <c r="C125" s="849"/>
      <c r="D125" s="849"/>
      <c r="E125" s="849"/>
      <c r="F125" s="849"/>
      <c r="G125" s="849"/>
      <c r="H125" s="849"/>
      <c r="I125" s="849"/>
      <c r="J125" s="849"/>
      <c r="K125" s="849"/>
    </row>
    <row r="126">
      <c r="A126" s="849"/>
      <c r="B126" s="849"/>
      <c r="C126" s="849"/>
      <c r="D126" s="849"/>
      <c r="E126" s="849"/>
      <c r="F126" s="849"/>
      <c r="G126" s="849"/>
      <c r="H126" s="849"/>
      <c r="I126" s="849"/>
      <c r="J126" s="849"/>
      <c r="K126" s="849"/>
    </row>
    <row r="127">
      <c r="A127" s="849"/>
      <c r="B127" s="849"/>
      <c r="C127" s="849"/>
      <c r="D127" s="849"/>
      <c r="E127" s="849"/>
      <c r="F127" s="849"/>
      <c r="G127" s="849"/>
      <c r="H127" s="849"/>
      <c r="I127" s="849"/>
      <c r="J127" s="849"/>
      <c r="K127" s="849"/>
    </row>
    <row r="128">
      <c r="A128" s="849"/>
      <c r="B128" s="849"/>
      <c r="C128" s="849"/>
      <c r="D128" s="849"/>
      <c r="E128" s="849"/>
      <c r="F128" s="849"/>
      <c r="G128" s="849"/>
      <c r="H128" s="849"/>
      <c r="I128" s="849"/>
      <c r="J128" s="849"/>
      <c r="K128" s="849"/>
    </row>
    <row r="129">
      <c r="A129" s="849"/>
      <c r="B129" s="849"/>
      <c r="C129" s="849"/>
      <c r="D129" s="849"/>
      <c r="E129" s="849"/>
      <c r="F129" s="849"/>
      <c r="G129" s="849"/>
      <c r="H129" s="849"/>
      <c r="I129" s="849"/>
      <c r="J129" s="849"/>
      <c r="K129" s="849"/>
    </row>
    <row r="130">
      <c r="A130" s="849"/>
      <c r="B130" s="849"/>
      <c r="C130" s="849"/>
      <c r="D130" s="849"/>
      <c r="E130" s="849"/>
      <c r="F130" s="849"/>
      <c r="G130" s="849"/>
      <c r="H130" s="849"/>
      <c r="I130" s="849"/>
      <c r="J130" s="849"/>
      <c r="K130" s="849"/>
    </row>
    <row r="131">
      <c r="A131" s="849"/>
      <c r="B131" s="849"/>
      <c r="C131" s="849"/>
      <c r="D131" s="849"/>
      <c r="E131" s="849"/>
      <c r="F131" s="849"/>
      <c r="G131" s="849"/>
      <c r="H131" s="849"/>
      <c r="I131" s="849"/>
      <c r="J131" s="849"/>
      <c r="K131" s="849"/>
    </row>
    <row r="132">
      <c r="A132" s="849"/>
      <c r="B132" s="849"/>
      <c r="C132" s="849"/>
      <c r="D132" s="849"/>
      <c r="E132" s="849"/>
      <c r="F132" s="849"/>
      <c r="G132" s="849"/>
      <c r="H132" s="849"/>
      <c r="I132" s="849"/>
      <c r="J132" s="849"/>
      <c r="K132" s="849"/>
    </row>
    <row r="133">
      <c r="A133" s="849"/>
      <c r="B133" s="849"/>
      <c r="C133" s="849"/>
      <c r="D133" s="849"/>
      <c r="E133" s="849"/>
      <c r="F133" s="849"/>
      <c r="G133" s="849"/>
      <c r="H133" s="849"/>
      <c r="I133" s="849"/>
      <c r="J133" s="849"/>
      <c r="K133" s="849"/>
    </row>
    <row r="134">
      <c r="A134" s="849"/>
      <c r="B134" s="849"/>
      <c r="C134" s="849"/>
      <c r="D134" s="849"/>
      <c r="E134" s="849"/>
      <c r="F134" s="849"/>
      <c r="G134" s="849"/>
      <c r="H134" s="849"/>
      <c r="I134" s="849"/>
      <c r="J134" s="849"/>
      <c r="K134" s="849"/>
    </row>
    <row r="135">
      <c r="A135" s="849"/>
      <c r="B135" s="849"/>
      <c r="C135" s="849"/>
      <c r="D135" s="849"/>
      <c r="E135" s="849"/>
      <c r="F135" s="849"/>
      <c r="G135" s="849"/>
      <c r="H135" s="849"/>
      <c r="I135" s="849"/>
      <c r="J135" s="849"/>
      <c r="K135" s="849"/>
    </row>
    <row r="136">
      <c r="A136" s="849"/>
      <c r="B136" s="849"/>
      <c r="C136" s="849"/>
      <c r="D136" s="849"/>
      <c r="E136" s="849"/>
      <c r="F136" s="849"/>
      <c r="G136" s="849"/>
      <c r="H136" s="849"/>
      <c r="I136" s="849"/>
      <c r="J136" s="849"/>
      <c r="K136" s="849"/>
    </row>
    <row r="137">
      <c r="A137" s="849"/>
      <c r="B137" s="849"/>
      <c r="C137" s="849"/>
      <c r="D137" s="849"/>
      <c r="E137" s="849"/>
      <c r="F137" s="849"/>
      <c r="G137" s="849"/>
      <c r="H137" s="849"/>
      <c r="I137" s="849"/>
      <c r="J137" s="849"/>
      <c r="K137" s="849"/>
    </row>
    <row r="138">
      <c r="A138" s="849"/>
      <c r="B138" s="849"/>
      <c r="C138" s="849"/>
      <c r="D138" s="849"/>
      <c r="E138" s="849"/>
      <c r="F138" s="849"/>
      <c r="G138" s="849"/>
      <c r="H138" s="849"/>
      <c r="I138" s="849"/>
      <c r="J138" s="849"/>
      <c r="K138" s="849"/>
    </row>
    <row r="139">
      <c r="A139" s="849"/>
      <c r="B139" s="849"/>
      <c r="C139" s="849"/>
      <c r="D139" s="849"/>
      <c r="E139" s="849"/>
      <c r="F139" s="849"/>
      <c r="G139" s="849"/>
      <c r="H139" s="849"/>
      <c r="I139" s="849"/>
      <c r="J139" s="849"/>
      <c r="K139" s="849"/>
    </row>
    <row r="140">
      <c r="A140" s="849"/>
      <c r="B140" s="849"/>
      <c r="C140" s="849"/>
      <c r="D140" s="849"/>
      <c r="E140" s="849"/>
      <c r="F140" s="849"/>
      <c r="G140" s="849"/>
      <c r="H140" s="849"/>
      <c r="I140" s="849"/>
      <c r="J140" s="849"/>
      <c r="K140" s="849"/>
    </row>
    <row r="141">
      <c r="A141" s="849"/>
      <c r="B141" s="849"/>
      <c r="C141" s="849"/>
      <c r="D141" s="849"/>
      <c r="E141" s="849"/>
      <c r="F141" s="849"/>
      <c r="G141" s="849"/>
      <c r="H141" s="849"/>
      <c r="I141" s="849"/>
      <c r="J141" s="849"/>
      <c r="K141" s="849"/>
    </row>
    <row r="142">
      <c r="A142" s="849"/>
      <c r="B142" s="849"/>
      <c r="C142" s="849"/>
      <c r="D142" s="849"/>
      <c r="E142" s="849"/>
      <c r="F142" s="849"/>
      <c r="G142" s="849"/>
      <c r="H142" s="849"/>
      <c r="I142" s="849"/>
      <c r="J142" s="849"/>
      <c r="K142" s="849"/>
    </row>
    <row r="143">
      <c r="A143" s="849"/>
      <c r="B143" s="849"/>
      <c r="C143" s="849"/>
      <c r="D143" s="849"/>
      <c r="E143" s="849"/>
      <c r="F143" s="849"/>
      <c r="G143" s="849"/>
      <c r="H143" s="849"/>
      <c r="I143" s="849"/>
      <c r="J143" s="849"/>
      <c r="K143" s="849"/>
    </row>
    <row r="144">
      <c r="A144" s="849"/>
      <c r="B144" s="849"/>
      <c r="C144" s="849"/>
      <c r="D144" s="849"/>
      <c r="E144" s="849"/>
      <c r="F144" s="849"/>
      <c r="G144" s="849"/>
      <c r="H144" s="849"/>
      <c r="I144" s="849"/>
      <c r="J144" s="849"/>
      <c r="K144" s="849"/>
    </row>
    <row r="145">
      <c r="A145" s="849"/>
      <c r="B145" s="849"/>
      <c r="C145" s="849"/>
      <c r="D145" s="849"/>
      <c r="E145" s="849"/>
      <c r="F145" s="849"/>
      <c r="G145" s="849"/>
      <c r="H145" s="849"/>
      <c r="I145" s="849"/>
      <c r="J145" s="849"/>
      <c r="K145" s="849"/>
    </row>
    <row r="146">
      <c r="A146" s="849"/>
      <c r="B146" s="849"/>
      <c r="C146" s="849"/>
      <c r="D146" s="849"/>
      <c r="E146" s="849"/>
      <c r="F146" s="849"/>
      <c r="G146" s="849"/>
      <c r="H146" s="849"/>
      <c r="I146" s="849"/>
      <c r="J146" s="849"/>
      <c r="K146" s="849"/>
    </row>
    <row r="147">
      <c r="A147" s="849"/>
      <c r="B147" s="849"/>
      <c r="C147" s="849"/>
      <c r="D147" s="849"/>
      <c r="E147" s="849"/>
      <c r="F147" s="849"/>
      <c r="G147" s="849"/>
      <c r="H147" s="849"/>
      <c r="I147" s="849"/>
      <c r="J147" s="849"/>
      <c r="K147" s="849"/>
    </row>
    <row r="148">
      <c r="A148" s="849"/>
      <c r="B148" s="849"/>
      <c r="C148" s="849"/>
      <c r="D148" s="849"/>
      <c r="E148" s="849"/>
      <c r="F148" s="849"/>
      <c r="G148" s="849"/>
      <c r="H148" s="849"/>
      <c r="I148" s="849"/>
      <c r="J148" s="849"/>
      <c r="K148" s="849"/>
    </row>
    <row r="149">
      <c r="A149" s="849"/>
      <c r="B149" s="849"/>
      <c r="C149" s="849"/>
      <c r="D149" s="849"/>
      <c r="E149" s="849"/>
      <c r="F149" s="849"/>
      <c r="G149" s="849"/>
      <c r="H149" s="849"/>
      <c r="I149" s="849"/>
      <c r="J149" s="849"/>
      <c r="K149" s="849"/>
    </row>
    <row r="150">
      <c r="A150" s="849"/>
      <c r="B150" s="849"/>
      <c r="C150" s="849"/>
      <c r="D150" s="849"/>
      <c r="E150" s="849"/>
      <c r="F150" s="849"/>
      <c r="G150" s="849"/>
      <c r="H150" s="849"/>
      <c r="I150" s="849"/>
      <c r="J150" s="849"/>
      <c r="K150" s="849"/>
    </row>
    <row r="151">
      <c r="A151" s="849"/>
      <c r="B151" s="849"/>
      <c r="C151" s="849"/>
      <c r="D151" s="849"/>
      <c r="E151" s="849"/>
      <c r="F151" s="849"/>
      <c r="G151" s="849"/>
      <c r="H151" s="849"/>
      <c r="I151" s="849"/>
      <c r="J151" s="849"/>
      <c r="K151" s="849"/>
    </row>
    <row r="152">
      <c r="A152" s="849"/>
      <c r="B152" s="849"/>
      <c r="C152" s="849"/>
      <c r="D152" s="849"/>
      <c r="E152" s="849"/>
      <c r="F152" s="849"/>
      <c r="G152" s="849"/>
      <c r="H152" s="849"/>
      <c r="I152" s="849"/>
      <c r="J152" s="849"/>
      <c r="K152" s="849"/>
    </row>
    <row r="153">
      <c r="A153" s="849"/>
      <c r="B153" s="849"/>
      <c r="C153" s="849"/>
      <c r="D153" s="849"/>
      <c r="E153" s="849"/>
      <c r="F153" s="849"/>
      <c r="G153" s="849"/>
      <c r="H153" s="849"/>
      <c r="I153" s="849"/>
      <c r="J153" s="849"/>
      <c r="K153" s="849"/>
    </row>
    <row r="154">
      <c r="A154" s="849"/>
      <c r="B154" s="849"/>
      <c r="C154" s="849"/>
      <c r="D154" s="849"/>
      <c r="E154" s="849"/>
      <c r="F154" s="849"/>
      <c r="G154" s="849"/>
      <c r="H154" s="849"/>
      <c r="I154" s="849"/>
      <c r="J154" s="849"/>
      <c r="K154" s="849"/>
    </row>
    <row r="155">
      <c r="A155" s="849"/>
      <c r="B155" s="849"/>
      <c r="C155" s="849"/>
      <c r="D155" s="849"/>
      <c r="E155" s="849"/>
      <c r="F155" s="849"/>
      <c r="G155" s="849"/>
      <c r="H155" s="849"/>
      <c r="I155" s="849"/>
      <c r="J155" s="849"/>
      <c r="K155" s="849"/>
    </row>
    <row r="156">
      <c r="A156" s="849"/>
      <c r="B156" s="849"/>
      <c r="C156" s="849"/>
      <c r="D156" s="849"/>
      <c r="E156" s="849"/>
      <c r="F156" s="849"/>
      <c r="G156" s="849"/>
      <c r="H156" s="849"/>
      <c r="I156" s="849"/>
      <c r="J156" s="849"/>
      <c r="K156" s="849"/>
    </row>
    <row r="157">
      <c r="A157" s="849"/>
      <c r="B157" s="849"/>
      <c r="C157" s="849"/>
      <c r="D157" s="849"/>
      <c r="E157" s="849"/>
      <c r="F157" s="849"/>
      <c r="G157" s="849"/>
      <c r="H157" s="849"/>
      <c r="I157" s="849"/>
      <c r="J157" s="849"/>
      <c r="K157" s="849"/>
    </row>
    <row r="158">
      <c r="A158" s="849"/>
      <c r="B158" s="849"/>
      <c r="C158" s="849"/>
      <c r="D158" s="849"/>
      <c r="E158" s="849"/>
      <c r="F158" s="849"/>
      <c r="G158" s="849"/>
      <c r="H158" s="849"/>
      <c r="I158" s="849"/>
      <c r="J158" s="849"/>
      <c r="K158" s="849"/>
    </row>
    <row r="159">
      <c r="A159" s="849"/>
      <c r="B159" s="849"/>
      <c r="C159" s="849"/>
      <c r="D159" s="849"/>
      <c r="E159" s="849"/>
      <c r="F159" s="849"/>
      <c r="G159" s="849"/>
      <c r="H159" s="849"/>
      <c r="I159" s="849"/>
      <c r="J159" s="849"/>
      <c r="K159" s="849"/>
    </row>
    <row r="160">
      <c r="A160" s="849"/>
      <c r="B160" s="849"/>
      <c r="C160" s="849"/>
      <c r="D160" s="849"/>
      <c r="E160" s="849"/>
      <c r="F160" s="849"/>
      <c r="G160" s="849"/>
      <c r="H160" s="849"/>
      <c r="I160" s="849"/>
      <c r="J160" s="849"/>
      <c r="K160" s="849"/>
    </row>
    <row r="161">
      <c r="A161" s="849"/>
      <c r="B161" s="849"/>
      <c r="C161" s="849"/>
      <c r="D161" s="849"/>
      <c r="E161" s="849"/>
      <c r="F161" s="849"/>
      <c r="G161" s="849"/>
      <c r="H161" s="849"/>
      <c r="I161" s="849"/>
      <c r="J161" s="849"/>
      <c r="K161" s="849"/>
    </row>
    <row r="162">
      <c r="A162" s="849"/>
      <c r="B162" s="849"/>
      <c r="C162" s="849"/>
      <c r="D162" s="849"/>
      <c r="E162" s="849"/>
      <c r="F162" s="849"/>
      <c r="G162" s="849"/>
      <c r="H162" s="849"/>
      <c r="I162" s="849"/>
      <c r="J162" s="849"/>
      <c r="K162" s="849"/>
    </row>
    <row r="163">
      <c r="A163" s="849"/>
      <c r="B163" s="849"/>
      <c r="C163" s="849"/>
      <c r="D163" s="849"/>
      <c r="E163" s="849"/>
      <c r="F163" s="849"/>
      <c r="G163" s="849"/>
      <c r="H163" s="849"/>
      <c r="I163" s="849"/>
      <c r="J163" s="849"/>
      <c r="K163" s="849"/>
    </row>
    <row r="164">
      <c r="A164" s="849"/>
      <c r="B164" s="849"/>
      <c r="C164" s="849"/>
      <c r="D164" s="849"/>
      <c r="E164" s="849"/>
      <c r="F164" s="849"/>
      <c r="G164" s="849"/>
      <c r="H164" s="849"/>
      <c r="I164" s="849"/>
      <c r="J164" s="849"/>
      <c r="K164" s="849"/>
    </row>
    <row r="165">
      <c r="A165" s="849"/>
      <c r="B165" s="849"/>
      <c r="C165" s="849"/>
      <c r="D165" s="849"/>
      <c r="E165" s="849"/>
      <c r="F165" s="849"/>
      <c r="G165" s="849"/>
      <c r="H165" s="849"/>
      <c r="I165" s="849"/>
      <c r="J165" s="849"/>
      <c r="K165" s="849"/>
    </row>
    <row r="166">
      <c r="A166" s="849"/>
      <c r="B166" s="849"/>
      <c r="C166" s="849"/>
      <c r="D166" s="849"/>
      <c r="E166" s="849"/>
      <c r="F166" s="849"/>
      <c r="G166" s="849"/>
      <c r="H166" s="849"/>
      <c r="I166" s="849"/>
      <c r="J166" s="849"/>
      <c r="K166" s="849"/>
    </row>
    <row r="167">
      <c r="A167" s="849"/>
      <c r="B167" s="849"/>
      <c r="C167" s="849"/>
      <c r="D167" s="849"/>
      <c r="E167" s="849"/>
      <c r="F167" s="849"/>
      <c r="G167" s="849"/>
      <c r="H167" s="849"/>
      <c r="I167" s="849"/>
      <c r="J167" s="849"/>
      <c r="K167" s="849"/>
    </row>
    <row r="168">
      <c r="A168" s="849"/>
      <c r="B168" s="849"/>
      <c r="C168" s="849"/>
      <c r="D168" s="849"/>
      <c r="E168" s="849"/>
      <c r="F168" s="849"/>
      <c r="G168" s="849"/>
      <c r="H168" s="849"/>
      <c r="I168" s="849"/>
      <c r="J168" s="849"/>
      <c r="K168" s="849"/>
    </row>
    <row r="169">
      <c r="A169" s="849"/>
      <c r="B169" s="849"/>
      <c r="C169" s="849"/>
      <c r="D169" s="849"/>
      <c r="E169" s="849"/>
      <c r="F169" s="849"/>
      <c r="G169" s="849"/>
      <c r="H169" s="849"/>
      <c r="I169" s="849"/>
      <c r="J169" s="849"/>
      <c r="K169" s="849"/>
    </row>
    <row r="170">
      <c r="A170" s="849"/>
      <c r="B170" s="849"/>
      <c r="C170" s="849"/>
      <c r="D170" s="849"/>
      <c r="E170" s="849"/>
      <c r="F170" s="849"/>
      <c r="G170" s="849"/>
      <c r="H170" s="849"/>
      <c r="I170" s="849"/>
      <c r="J170" s="849"/>
      <c r="K170" s="849"/>
    </row>
    <row r="171">
      <c r="A171" s="849"/>
      <c r="B171" s="849"/>
      <c r="C171" s="849"/>
      <c r="D171" s="849"/>
      <c r="E171" s="849"/>
      <c r="F171" s="849"/>
      <c r="G171" s="849"/>
      <c r="H171" s="849"/>
      <c r="I171" s="849"/>
      <c r="J171" s="849"/>
      <c r="K171" s="849"/>
    </row>
    <row r="172">
      <c r="A172" s="849"/>
      <c r="B172" s="849"/>
      <c r="C172" s="849"/>
      <c r="D172" s="849"/>
      <c r="E172" s="849"/>
      <c r="F172" s="849"/>
      <c r="G172" s="849"/>
      <c r="H172" s="849"/>
      <c r="I172" s="849"/>
      <c r="J172" s="849"/>
      <c r="K172" s="849"/>
    </row>
    <row r="173">
      <c r="A173" s="849"/>
      <c r="B173" s="849"/>
      <c r="C173" s="849"/>
      <c r="D173" s="849"/>
      <c r="E173" s="849"/>
      <c r="F173" s="849"/>
      <c r="G173" s="849"/>
      <c r="H173" s="849"/>
      <c r="I173" s="849"/>
      <c r="J173" s="849"/>
      <c r="K173" s="849"/>
    </row>
    <row r="174">
      <c r="A174" s="849"/>
      <c r="B174" s="849"/>
      <c r="C174" s="849"/>
      <c r="D174" s="849"/>
      <c r="E174" s="849"/>
      <c r="F174" s="849"/>
      <c r="G174" s="849"/>
      <c r="H174" s="849"/>
      <c r="I174" s="849"/>
      <c r="J174" s="849"/>
      <c r="K174" s="849"/>
    </row>
    <row r="175">
      <c r="A175" s="849"/>
      <c r="B175" s="849"/>
      <c r="C175" s="849"/>
      <c r="D175" s="849"/>
      <c r="E175" s="849"/>
      <c r="F175" s="849"/>
      <c r="G175" s="849"/>
      <c r="H175" s="849"/>
      <c r="I175" s="849"/>
      <c r="J175" s="849"/>
      <c r="K175" s="849"/>
    </row>
    <row r="176">
      <c r="A176" s="849"/>
      <c r="B176" s="849"/>
      <c r="C176" s="849"/>
      <c r="D176" s="849"/>
      <c r="E176" s="849"/>
      <c r="F176" s="849"/>
      <c r="G176" s="849"/>
      <c r="H176" s="849"/>
      <c r="I176" s="849"/>
      <c r="J176" s="849"/>
      <c r="K176" s="849"/>
    </row>
    <row r="177">
      <c r="A177" s="849"/>
      <c r="B177" s="849"/>
      <c r="C177" s="849"/>
      <c r="D177" s="849"/>
      <c r="E177" s="849"/>
      <c r="F177" s="849"/>
      <c r="G177" s="849"/>
      <c r="H177" s="849"/>
      <c r="I177" s="849"/>
      <c r="J177" s="849"/>
      <c r="K177" s="849"/>
    </row>
    <row r="178">
      <c r="A178" s="849"/>
      <c r="B178" s="849"/>
      <c r="C178" s="849"/>
      <c r="D178" s="849"/>
      <c r="E178" s="849"/>
      <c r="F178" s="849"/>
      <c r="G178" s="849"/>
      <c r="H178" s="849"/>
      <c r="I178" s="849"/>
      <c r="J178" s="849"/>
      <c r="K178" s="849"/>
    </row>
    <row r="179">
      <c r="A179" s="849"/>
      <c r="B179" s="849"/>
      <c r="C179" s="849"/>
      <c r="D179" s="849"/>
      <c r="E179" s="849"/>
      <c r="F179" s="849"/>
      <c r="G179" s="849"/>
      <c r="H179" s="849"/>
      <c r="I179" s="849"/>
      <c r="J179" s="849"/>
      <c r="K179" s="849"/>
    </row>
    <row r="180">
      <c r="A180" s="849"/>
      <c r="B180" s="849"/>
      <c r="C180" s="849"/>
      <c r="D180" s="849"/>
      <c r="E180" s="849"/>
      <c r="F180" s="849"/>
      <c r="G180" s="849"/>
      <c r="H180" s="849"/>
      <c r="I180" s="849"/>
      <c r="J180" s="849"/>
      <c r="K180" s="849"/>
    </row>
    <row r="181">
      <c r="A181" s="849"/>
      <c r="B181" s="849"/>
      <c r="C181" s="849"/>
      <c r="D181" s="849"/>
      <c r="E181" s="849"/>
      <c r="F181" s="849"/>
      <c r="G181" s="849"/>
      <c r="H181" s="849"/>
      <c r="I181" s="849"/>
      <c r="J181" s="849"/>
      <c r="K181" s="849"/>
    </row>
    <row r="182">
      <c r="A182" s="849"/>
      <c r="B182" s="849"/>
      <c r="C182" s="849"/>
      <c r="D182" s="849"/>
      <c r="E182" s="849"/>
      <c r="F182" s="849"/>
      <c r="G182" s="849"/>
      <c r="H182" s="849"/>
      <c r="I182" s="849"/>
      <c r="J182" s="849"/>
      <c r="K182" s="849"/>
    </row>
    <row r="183">
      <c r="A183" s="849"/>
      <c r="B183" s="849"/>
      <c r="C183" s="849"/>
      <c r="D183" s="849"/>
      <c r="E183" s="849"/>
      <c r="F183" s="849"/>
      <c r="G183" s="849"/>
      <c r="H183" s="849"/>
      <c r="I183" s="849"/>
      <c r="J183" s="849"/>
      <c r="K183" s="849"/>
    </row>
    <row r="184">
      <c r="A184" s="849"/>
      <c r="B184" s="849"/>
      <c r="C184" s="849"/>
      <c r="D184" s="849"/>
      <c r="E184" s="849"/>
      <c r="F184" s="849"/>
      <c r="G184" s="849"/>
      <c r="H184" s="849"/>
      <c r="I184" s="849"/>
      <c r="J184" s="849"/>
      <c r="K184" s="849"/>
    </row>
    <row r="185">
      <c r="A185" s="849"/>
      <c r="B185" s="849"/>
      <c r="C185" s="849"/>
      <c r="D185" s="849"/>
      <c r="E185" s="849"/>
      <c r="F185" s="849"/>
      <c r="G185" s="849"/>
      <c r="H185" s="849"/>
      <c r="I185" s="849"/>
      <c r="J185" s="849"/>
      <c r="K185" s="849"/>
    </row>
    <row r="186">
      <c r="A186" s="849"/>
      <c r="B186" s="849"/>
      <c r="C186" s="849"/>
      <c r="D186" s="849"/>
      <c r="E186" s="849"/>
      <c r="F186" s="849"/>
      <c r="G186" s="849"/>
      <c r="H186" s="849"/>
      <c r="I186" s="849"/>
      <c r="J186" s="849"/>
      <c r="K186" s="849"/>
    </row>
    <row r="187">
      <c r="A187" s="849"/>
      <c r="B187" s="849"/>
      <c r="C187" s="849"/>
      <c r="D187" s="849"/>
      <c r="E187" s="849"/>
      <c r="F187" s="849"/>
      <c r="G187" s="849"/>
      <c r="H187" s="849"/>
      <c r="I187" s="849"/>
      <c r="J187" s="849"/>
      <c r="K187" s="849"/>
    </row>
    <row r="188">
      <c r="A188" s="849"/>
      <c r="B188" s="849"/>
      <c r="C188" s="849"/>
      <c r="D188" s="849"/>
      <c r="E188" s="849"/>
      <c r="F188" s="849"/>
      <c r="G188" s="849"/>
      <c r="H188" s="849"/>
      <c r="I188" s="849"/>
      <c r="J188" s="849"/>
      <c r="K188" s="849"/>
    </row>
    <row r="189">
      <c r="A189" s="849"/>
      <c r="B189" s="849"/>
      <c r="C189" s="849"/>
      <c r="D189" s="849"/>
      <c r="E189" s="849"/>
      <c r="F189" s="849"/>
      <c r="G189" s="849"/>
      <c r="H189" s="849"/>
      <c r="I189" s="849"/>
      <c r="J189" s="849"/>
      <c r="K189" s="849"/>
    </row>
    <row r="190">
      <c r="A190" s="849"/>
      <c r="B190" s="849"/>
      <c r="C190" s="849"/>
      <c r="D190" s="849"/>
      <c r="E190" s="849"/>
      <c r="F190" s="849"/>
      <c r="G190" s="849"/>
      <c r="H190" s="849"/>
      <c r="I190" s="849"/>
      <c r="J190" s="849"/>
      <c r="K190" s="849"/>
    </row>
    <row r="191">
      <c r="A191" s="849"/>
      <c r="B191" s="849"/>
      <c r="C191" s="849"/>
      <c r="D191" s="849"/>
      <c r="E191" s="849"/>
      <c r="F191" s="849"/>
      <c r="G191" s="849"/>
      <c r="H191" s="849"/>
      <c r="I191" s="849"/>
      <c r="J191" s="849"/>
      <c r="K191" s="849"/>
    </row>
    <row r="192">
      <c r="A192" s="849"/>
      <c r="B192" s="849"/>
      <c r="C192" s="849"/>
      <c r="D192" s="849"/>
      <c r="E192" s="849"/>
      <c r="F192" s="849"/>
      <c r="G192" s="849"/>
      <c r="H192" s="849"/>
      <c r="I192" s="849"/>
      <c r="J192" s="849"/>
      <c r="K192" s="849"/>
    </row>
    <row r="193">
      <c r="A193" s="849"/>
      <c r="B193" s="849"/>
      <c r="C193" s="849"/>
      <c r="D193" s="849"/>
      <c r="E193" s="849"/>
      <c r="F193" s="849"/>
      <c r="G193" s="849"/>
      <c r="H193" s="849"/>
      <c r="I193" s="849"/>
      <c r="J193" s="849"/>
      <c r="K193" s="849"/>
    </row>
    <row r="194">
      <c r="A194" s="849"/>
      <c r="B194" s="849"/>
      <c r="C194" s="849"/>
      <c r="D194" s="849"/>
      <c r="E194" s="849"/>
      <c r="F194" s="849"/>
      <c r="G194" s="849"/>
      <c r="H194" s="849"/>
      <c r="I194" s="849"/>
      <c r="J194" s="849"/>
      <c r="K194" s="849"/>
    </row>
    <row r="195">
      <c r="A195" s="849"/>
      <c r="B195" s="849"/>
      <c r="C195" s="849"/>
      <c r="D195" s="849"/>
      <c r="E195" s="849"/>
      <c r="F195" s="849"/>
      <c r="G195" s="849"/>
      <c r="H195" s="849"/>
      <c r="I195" s="849"/>
      <c r="J195" s="849"/>
      <c r="K195" s="849"/>
    </row>
    <row r="196">
      <c r="A196" s="849"/>
      <c r="B196" s="849"/>
      <c r="C196" s="849"/>
      <c r="D196" s="849"/>
      <c r="E196" s="849"/>
      <c r="F196" s="849"/>
      <c r="G196" s="849"/>
      <c r="H196" s="849"/>
      <c r="I196" s="849"/>
      <c r="J196" s="849"/>
      <c r="K196" s="849"/>
    </row>
    <row r="197">
      <c r="A197" s="849"/>
      <c r="B197" s="849"/>
      <c r="C197" s="849"/>
      <c r="D197" s="849"/>
      <c r="E197" s="849"/>
      <c r="F197" s="849"/>
      <c r="G197" s="849"/>
      <c r="H197" s="849"/>
      <c r="I197" s="849"/>
      <c r="J197" s="849"/>
      <c r="K197" s="849"/>
    </row>
    <row r="198">
      <c r="A198" s="849"/>
      <c r="B198" s="849"/>
      <c r="C198" s="849"/>
      <c r="D198" s="849"/>
      <c r="E198" s="849"/>
      <c r="F198" s="849"/>
      <c r="G198" s="849"/>
      <c r="H198" s="849"/>
      <c r="I198" s="849"/>
      <c r="J198" s="849"/>
      <c r="K198" s="849"/>
    </row>
    <row r="199">
      <c r="A199" s="849"/>
      <c r="B199" s="849"/>
      <c r="C199" s="849"/>
      <c r="D199" s="849"/>
      <c r="E199" s="849"/>
      <c r="F199" s="849"/>
      <c r="G199" s="849"/>
      <c r="H199" s="849"/>
      <c r="I199" s="849"/>
      <c r="J199" s="849"/>
      <c r="K199" s="849"/>
    </row>
    <row r="200">
      <c r="A200" s="849"/>
      <c r="B200" s="849"/>
      <c r="C200" s="849"/>
      <c r="D200" s="849"/>
      <c r="E200" s="849"/>
      <c r="F200" s="849"/>
      <c r="G200" s="849"/>
      <c r="H200" s="849"/>
      <c r="I200" s="849"/>
      <c r="J200" s="849"/>
      <c r="K200" s="849"/>
    </row>
    <row r="201">
      <c r="A201" s="849"/>
      <c r="B201" s="849"/>
      <c r="C201" s="849"/>
      <c r="D201" s="849"/>
      <c r="E201" s="849"/>
      <c r="F201" s="849"/>
      <c r="G201" s="849"/>
      <c r="H201" s="849"/>
      <c r="I201" s="849"/>
      <c r="J201" s="849"/>
      <c r="K201" s="849"/>
    </row>
    <row r="202">
      <c r="A202" s="849"/>
      <c r="B202" s="849"/>
      <c r="C202" s="849"/>
      <c r="D202" s="849"/>
      <c r="E202" s="849"/>
      <c r="F202" s="849"/>
      <c r="G202" s="849"/>
      <c r="H202" s="849"/>
      <c r="I202" s="849"/>
      <c r="J202" s="849"/>
      <c r="K202" s="849"/>
    </row>
    <row r="203">
      <c r="A203" s="849"/>
      <c r="B203" s="849"/>
      <c r="C203" s="849"/>
      <c r="D203" s="849"/>
      <c r="E203" s="849"/>
      <c r="F203" s="849"/>
      <c r="G203" s="849"/>
      <c r="H203" s="849"/>
      <c r="I203" s="849"/>
      <c r="J203" s="849"/>
      <c r="K203" s="849"/>
    </row>
    <row r="204">
      <c r="A204" s="849"/>
      <c r="B204" s="849"/>
      <c r="C204" s="849"/>
      <c r="D204" s="849"/>
      <c r="E204" s="849"/>
      <c r="F204" s="849"/>
      <c r="G204" s="849"/>
      <c r="H204" s="849"/>
      <c r="I204" s="849"/>
      <c r="J204" s="849"/>
      <c r="K204" s="849"/>
    </row>
    <row r="205">
      <c r="A205" s="849"/>
      <c r="B205" s="849"/>
      <c r="C205" s="849"/>
      <c r="D205" s="849"/>
      <c r="E205" s="849"/>
      <c r="F205" s="849"/>
      <c r="G205" s="849"/>
      <c r="H205" s="849"/>
      <c r="I205" s="849"/>
      <c r="J205" s="849"/>
      <c r="K205" s="849"/>
    </row>
    <row r="206">
      <c r="A206" s="849"/>
      <c r="B206" s="849"/>
      <c r="C206" s="849"/>
      <c r="D206" s="849"/>
      <c r="E206" s="849"/>
      <c r="F206" s="849"/>
      <c r="G206" s="849"/>
      <c r="H206" s="849"/>
      <c r="I206" s="849"/>
      <c r="J206" s="849"/>
      <c r="K206" s="849"/>
    </row>
    <row r="207">
      <c r="A207" s="849"/>
      <c r="B207" s="849"/>
      <c r="C207" s="849"/>
      <c r="D207" s="849"/>
      <c r="E207" s="849"/>
      <c r="F207" s="849"/>
      <c r="G207" s="849"/>
      <c r="H207" s="849"/>
      <c r="I207" s="849"/>
      <c r="J207" s="849"/>
      <c r="K207" s="849"/>
    </row>
    <row r="208">
      <c r="A208" s="849"/>
      <c r="B208" s="849"/>
      <c r="C208" s="849"/>
      <c r="D208" s="849"/>
      <c r="E208" s="849"/>
      <c r="F208" s="849"/>
      <c r="G208" s="849"/>
      <c r="H208" s="849"/>
      <c r="I208" s="849"/>
      <c r="J208" s="849"/>
      <c r="K208" s="849"/>
    </row>
    <row r="209">
      <c r="A209" s="849"/>
      <c r="B209" s="849"/>
      <c r="C209" s="849"/>
      <c r="D209" s="849"/>
      <c r="E209" s="849"/>
      <c r="F209" s="849"/>
      <c r="G209" s="849"/>
      <c r="H209" s="849"/>
      <c r="I209" s="849"/>
      <c r="J209" s="849"/>
      <c r="K209" s="849"/>
    </row>
    <row r="210">
      <c r="A210" s="849"/>
      <c r="B210" s="849"/>
      <c r="C210" s="849"/>
      <c r="D210" s="849"/>
      <c r="E210" s="849"/>
      <c r="F210" s="849"/>
      <c r="G210" s="849"/>
      <c r="H210" s="849"/>
      <c r="I210" s="849"/>
      <c r="J210" s="849"/>
      <c r="K210" s="849"/>
    </row>
    <row r="211">
      <c r="A211" s="849"/>
      <c r="B211" s="849"/>
      <c r="C211" s="849"/>
      <c r="D211" s="849"/>
      <c r="E211" s="849"/>
      <c r="F211" s="849"/>
      <c r="G211" s="849"/>
      <c r="H211" s="849"/>
      <c r="I211" s="849"/>
      <c r="J211" s="849"/>
      <c r="K211" s="849"/>
    </row>
    <row r="212">
      <c r="A212" s="849"/>
      <c r="B212" s="849"/>
      <c r="C212" s="849"/>
      <c r="D212" s="849"/>
      <c r="E212" s="849"/>
      <c r="F212" s="849"/>
      <c r="G212" s="849"/>
      <c r="H212" s="849"/>
      <c r="I212" s="849"/>
      <c r="J212" s="849"/>
      <c r="K212" s="849"/>
    </row>
    <row r="213">
      <c r="A213" s="849"/>
      <c r="B213" s="849"/>
      <c r="C213" s="849"/>
      <c r="D213" s="849"/>
      <c r="E213" s="849"/>
      <c r="F213" s="849"/>
      <c r="G213" s="849"/>
      <c r="H213" s="849"/>
      <c r="I213" s="849"/>
      <c r="J213" s="849"/>
      <c r="K213" s="849"/>
    </row>
    <row r="214">
      <c r="A214" s="849"/>
      <c r="B214" s="849"/>
      <c r="C214" s="849"/>
      <c r="D214" s="849"/>
      <c r="E214" s="849"/>
      <c r="F214" s="849"/>
      <c r="G214" s="849"/>
      <c r="H214" s="849"/>
      <c r="I214" s="849"/>
      <c r="J214" s="849"/>
      <c r="K214" s="849"/>
    </row>
    <row r="215">
      <c r="A215" s="849"/>
      <c r="B215" s="849"/>
      <c r="C215" s="849"/>
      <c r="D215" s="849"/>
      <c r="E215" s="849"/>
      <c r="F215" s="849"/>
      <c r="G215" s="849"/>
      <c r="H215" s="849"/>
      <c r="I215" s="849"/>
      <c r="J215" s="849"/>
      <c r="K215" s="849"/>
    </row>
    <row r="216">
      <c r="A216" s="849"/>
      <c r="B216" s="849"/>
      <c r="C216" s="849"/>
      <c r="D216" s="849"/>
      <c r="E216" s="849"/>
      <c r="F216" s="849"/>
      <c r="G216" s="849"/>
      <c r="H216" s="849"/>
      <c r="I216" s="849"/>
      <c r="J216" s="849"/>
      <c r="K216" s="849"/>
    </row>
    <row r="217">
      <c r="A217" s="849"/>
      <c r="B217" s="849"/>
      <c r="C217" s="849"/>
      <c r="D217" s="849"/>
      <c r="E217" s="849"/>
      <c r="F217" s="849"/>
      <c r="G217" s="849"/>
      <c r="H217" s="849"/>
      <c r="I217" s="849"/>
      <c r="J217" s="849"/>
      <c r="K217" s="849"/>
    </row>
    <row r="218">
      <c r="A218" s="849"/>
      <c r="B218" s="849"/>
      <c r="C218" s="849"/>
      <c r="D218" s="849"/>
      <c r="E218" s="849"/>
      <c r="F218" s="849"/>
      <c r="G218" s="849"/>
      <c r="H218" s="849"/>
      <c r="I218" s="849"/>
      <c r="J218" s="849"/>
      <c r="K218" s="849"/>
    </row>
    <row r="219">
      <c r="A219" s="849"/>
      <c r="B219" s="849"/>
      <c r="C219" s="849"/>
      <c r="D219" s="849"/>
      <c r="E219" s="849"/>
      <c r="F219" s="849"/>
      <c r="G219" s="849"/>
      <c r="H219" s="849"/>
      <c r="I219" s="849"/>
      <c r="J219" s="849"/>
      <c r="K219" s="849"/>
    </row>
    <row r="220">
      <c r="A220" s="849"/>
      <c r="B220" s="849"/>
      <c r="C220" s="849"/>
      <c r="D220" s="849"/>
      <c r="E220" s="849"/>
      <c r="F220" s="849"/>
      <c r="G220" s="849"/>
      <c r="H220" s="849"/>
      <c r="I220" s="849"/>
      <c r="J220" s="849"/>
      <c r="K220" s="849"/>
    </row>
    <row r="221">
      <c r="A221" s="849"/>
      <c r="B221" s="849"/>
      <c r="C221" s="849"/>
      <c r="D221" s="849"/>
      <c r="E221" s="849"/>
      <c r="F221" s="849"/>
      <c r="G221" s="849"/>
      <c r="H221" s="849"/>
      <c r="I221" s="849"/>
      <c r="J221" s="849"/>
      <c r="K221" s="849"/>
    </row>
    <row r="222">
      <c r="A222" s="849"/>
      <c r="B222" s="849"/>
      <c r="C222" s="849"/>
      <c r="D222" s="849"/>
      <c r="E222" s="849"/>
      <c r="F222" s="849"/>
      <c r="G222" s="849"/>
      <c r="H222" s="849"/>
      <c r="I222" s="849"/>
      <c r="J222" s="849"/>
      <c r="K222" s="849"/>
    </row>
    <row r="223">
      <c r="A223" s="849"/>
      <c r="B223" s="849"/>
      <c r="C223" s="849"/>
      <c r="D223" s="849"/>
      <c r="E223" s="849"/>
      <c r="F223" s="849"/>
      <c r="G223" s="849"/>
      <c r="H223" s="849"/>
      <c r="I223" s="849"/>
      <c r="J223" s="849"/>
      <c r="K223" s="849"/>
    </row>
    <row r="224">
      <c r="A224" s="849"/>
      <c r="B224" s="849"/>
      <c r="C224" s="849"/>
      <c r="D224" s="849"/>
      <c r="E224" s="849"/>
      <c r="F224" s="849"/>
      <c r="G224" s="849"/>
      <c r="H224" s="849"/>
      <c r="I224" s="849"/>
      <c r="J224" s="849"/>
      <c r="K224" s="849"/>
    </row>
    <row r="225">
      <c r="A225" s="849"/>
      <c r="B225" s="849"/>
      <c r="C225" s="849"/>
      <c r="D225" s="849"/>
      <c r="E225" s="849"/>
      <c r="F225" s="849"/>
      <c r="G225" s="849"/>
      <c r="H225" s="849"/>
      <c r="I225" s="849"/>
      <c r="J225" s="849"/>
      <c r="K225" s="849"/>
    </row>
    <row r="226">
      <c r="A226" s="849"/>
      <c r="B226" s="849"/>
      <c r="C226" s="849"/>
      <c r="D226" s="849"/>
      <c r="E226" s="849"/>
      <c r="F226" s="849"/>
      <c r="G226" s="849"/>
      <c r="H226" s="849"/>
      <c r="I226" s="849"/>
      <c r="J226" s="849"/>
      <c r="K226" s="849"/>
    </row>
    <row r="227">
      <c r="A227" s="849"/>
      <c r="B227" s="849"/>
      <c r="C227" s="849"/>
      <c r="D227" s="849"/>
      <c r="E227" s="849"/>
      <c r="F227" s="849"/>
      <c r="G227" s="849"/>
      <c r="H227" s="849"/>
      <c r="I227" s="849"/>
      <c r="J227" s="849"/>
      <c r="K227" s="849"/>
    </row>
    <row r="228">
      <c r="A228" s="849"/>
      <c r="B228" s="849"/>
      <c r="C228" s="849"/>
      <c r="D228" s="849"/>
      <c r="E228" s="849"/>
      <c r="F228" s="849"/>
      <c r="G228" s="849"/>
      <c r="H228" s="849"/>
      <c r="I228" s="849"/>
      <c r="J228" s="849"/>
      <c r="K228" s="849"/>
    </row>
    <row r="229">
      <c r="A229" s="849"/>
      <c r="B229" s="849"/>
      <c r="C229" s="849"/>
      <c r="D229" s="849"/>
      <c r="E229" s="849"/>
      <c r="F229" s="849"/>
      <c r="G229" s="849"/>
      <c r="H229" s="849"/>
      <c r="I229" s="849"/>
      <c r="J229" s="849"/>
      <c r="K229" s="849"/>
    </row>
    <row r="230">
      <c r="A230" s="849"/>
      <c r="B230" s="849"/>
      <c r="C230" s="849"/>
      <c r="D230" s="849"/>
      <c r="E230" s="849"/>
      <c r="F230" s="849"/>
      <c r="G230" s="849"/>
      <c r="H230" s="849"/>
      <c r="I230" s="849"/>
      <c r="J230" s="849"/>
      <c r="K230" s="849"/>
    </row>
    <row r="231">
      <c r="A231" s="849"/>
      <c r="B231" s="849"/>
      <c r="C231" s="849"/>
      <c r="D231" s="849"/>
      <c r="E231" s="849"/>
      <c r="F231" s="849"/>
      <c r="G231" s="849"/>
      <c r="H231" s="849"/>
      <c r="I231" s="849"/>
      <c r="J231" s="849"/>
      <c r="K231" s="849"/>
    </row>
    <row r="232">
      <c r="A232" s="849"/>
      <c r="B232" s="849"/>
      <c r="C232" s="849"/>
      <c r="D232" s="849"/>
      <c r="E232" s="849"/>
      <c r="F232" s="849"/>
      <c r="G232" s="849"/>
      <c r="H232" s="849"/>
      <c r="I232" s="849"/>
      <c r="J232" s="849"/>
      <c r="K232" s="849"/>
    </row>
    <row r="233">
      <c r="A233" s="849"/>
      <c r="B233" s="849"/>
      <c r="C233" s="849"/>
      <c r="D233" s="849"/>
      <c r="E233" s="849"/>
      <c r="F233" s="849"/>
      <c r="G233" s="849"/>
      <c r="H233" s="849"/>
      <c r="I233" s="849"/>
      <c r="J233" s="849"/>
      <c r="K233" s="849"/>
    </row>
    <row r="234">
      <c r="A234" s="849"/>
      <c r="B234" s="849"/>
      <c r="C234" s="849"/>
      <c r="D234" s="849"/>
      <c r="E234" s="849"/>
      <c r="F234" s="849"/>
      <c r="G234" s="849"/>
      <c r="H234" s="849"/>
      <c r="I234" s="849"/>
      <c r="J234" s="849"/>
      <c r="K234" s="849"/>
    </row>
    <row r="235">
      <c r="A235" s="849"/>
      <c r="B235" s="849"/>
      <c r="C235" s="849"/>
      <c r="D235" s="849"/>
      <c r="E235" s="849"/>
      <c r="F235" s="849"/>
      <c r="G235" s="849"/>
      <c r="H235" s="849"/>
      <c r="I235" s="849"/>
      <c r="J235" s="849"/>
      <c r="K235" s="849"/>
    </row>
    <row r="236">
      <c r="A236" s="849"/>
      <c r="B236" s="849"/>
      <c r="C236" s="849"/>
      <c r="D236" s="849"/>
      <c r="E236" s="849"/>
      <c r="F236" s="849"/>
      <c r="G236" s="849"/>
      <c r="H236" s="849"/>
      <c r="I236" s="849"/>
      <c r="J236" s="849"/>
      <c r="K236" s="849"/>
    </row>
    <row r="237">
      <c r="A237" s="849"/>
      <c r="B237" s="849"/>
      <c r="C237" s="849"/>
      <c r="D237" s="849"/>
      <c r="E237" s="849"/>
      <c r="F237" s="849"/>
      <c r="G237" s="849"/>
      <c r="H237" s="849"/>
      <c r="I237" s="849"/>
      <c r="J237" s="849"/>
      <c r="K237" s="849"/>
    </row>
    <row r="238">
      <c r="A238" s="849"/>
      <c r="B238" s="849"/>
      <c r="C238" s="849"/>
      <c r="D238" s="849"/>
      <c r="E238" s="849"/>
      <c r="F238" s="849"/>
      <c r="G238" s="849"/>
      <c r="H238" s="849"/>
      <c r="I238" s="849"/>
      <c r="J238" s="849"/>
      <c r="K238" s="849"/>
    </row>
    <row r="239">
      <c r="A239" s="849"/>
      <c r="B239" s="849"/>
      <c r="C239" s="849"/>
      <c r="D239" s="849"/>
      <c r="E239" s="849"/>
      <c r="F239" s="849"/>
      <c r="G239" s="849"/>
      <c r="H239" s="849"/>
      <c r="I239" s="849"/>
      <c r="J239" s="849"/>
      <c r="K239" s="849"/>
    </row>
    <row r="240">
      <c r="A240" s="849"/>
      <c r="B240" s="849"/>
      <c r="C240" s="849"/>
      <c r="D240" s="849"/>
      <c r="E240" s="849"/>
      <c r="F240" s="849"/>
      <c r="G240" s="849"/>
      <c r="H240" s="849"/>
      <c r="I240" s="849"/>
      <c r="J240" s="849"/>
      <c r="K240" s="849"/>
    </row>
    <row r="241">
      <c r="A241" s="849"/>
      <c r="B241" s="849"/>
      <c r="C241" s="849"/>
      <c r="D241" s="849"/>
      <c r="E241" s="849"/>
      <c r="F241" s="849"/>
      <c r="G241" s="849"/>
      <c r="H241" s="849"/>
      <c r="I241" s="849"/>
      <c r="J241" s="849"/>
      <c r="K241" s="849"/>
    </row>
    <row r="242">
      <c r="A242" s="849"/>
      <c r="B242" s="849"/>
      <c r="C242" s="849"/>
      <c r="D242" s="849"/>
      <c r="E242" s="849"/>
      <c r="F242" s="849"/>
      <c r="G242" s="849"/>
      <c r="H242" s="849"/>
      <c r="I242" s="849"/>
      <c r="J242" s="849"/>
      <c r="K242" s="849"/>
    </row>
    <row r="243">
      <c r="A243" s="849"/>
      <c r="B243" s="849"/>
      <c r="C243" s="849"/>
      <c r="D243" s="849"/>
      <c r="E243" s="849"/>
      <c r="F243" s="849"/>
      <c r="G243" s="849"/>
      <c r="H243" s="849"/>
      <c r="I243" s="849"/>
      <c r="J243" s="849"/>
      <c r="K243" s="849"/>
    </row>
    <row r="244">
      <c r="A244" s="849"/>
      <c r="B244" s="849"/>
      <c r="C244" s="849"/>
      <c r="D244" s="849"/>
      <c r="E244" s="849"/>
      <c r="F244" s="849"/>
      <c r="G244" s="849"/>
      <c r="H244" s="849"/>
      <c r="I244" s="849"/>
      <c r="J244" s="849"/>
      <c r="K244" s="849"/>
    </row>
    <row r="245">
      <c r="A245" s="849"/>
      <c r="B245" s="849"/>
      <c r="C245" s="849"/>
      <c r="D245" s="849"/>
      <c r="E245" s="849"/>
      <c r="F245" s="849"/>
      <c r="G245" s="849"/>
      <c r="H245" s="849"/>
      <c r="I245" s="849"/>
      <c r="J245" s="849"/>
      <c r="K245" s="849"/>
    </row>
    <row r="246">
      <c r="A246" s="849"/>
      <c r="B246" s="849"/>
      <c r="C246" s="849"/>
      <c r="D246" s="849"/>
      <c r="E246" s="849"/>
      <c r="F246" s="849"/>
      <c r="G246" s="849"/>
      <c r="H246" s="849"/>
      <c r="I246" s="849"/>
      <c r="J246" s="849"/>
      <c r="K246" s="849"/>
    </row>
    <row r="247">
      <c r="A247" s="849"/>
      <c r="B247" s="849"/>
      <c r="C247" s="849"/>
      <c r="D247" s="849"/>
      <c r="E247" s="849"/>
      <c r="F247" s="849"/>
      <c r="G247" s="849"/>
      <c r="H247" s="849"/>
      <c r="I247" s="849"/>
      <c r="J247" s="849"/>
      <c r="K247" s="849"/>
    </row>
    <row r="248">
      <c r="A248" s="849"/>
      <c r="B248" s="849"/>
      <c r="C248" s="849"/>
      <c r="D248" s="849"/>
      <c r="E248" s="849"/>
      <c r="F248" s="849"/>
      <c r="G248" s="849"/>
      <c r="H248" s="849"/>
      <c r="I248" s="849"/>
      <c r="J248" s="849"/>
      <c r="K248" s="849"/>
    </row>
    <row r="249">
      <c r="A249" s="849"/>
      <c r="B249" s="849"/>
      <c r="C249" s="849"/>
      <c r="D249" s="849"/>
      <c r="E249" s="849"/>
      <c r="F249" s="849"/>
      <c r="G249" s="849"/>
      <c r="H249" s="849"/>
      <c r="I249" s="849"/>
      <c r="J249" s="849"/>
      <c r="K249" s="849"/>
    </row>
    <row r="250">
      <c r="A250" s="849"/>
      <c r="B250" s="849"/>
      <c r="C250" s="849"/>
      <c r="D250" s="849"/>
      <c r="E250" s="849"/>
      <c r="F250" s="849"/>
      <c r="G250" s="849"/>
      <c r="H250" s="849"/>
      <c r="I250" s="849"/>
      <c r="J250" s="849"/>
      <c r="K250" s="849"/>
    </row>
    <row r="251">
      <c r="A251" s="849"/>
      <c r="B251" s="849"/>
      <c r="C251" s="849"/>
      <c r="D251" s="849"/>
      <c r="E251" s="849"/>
      <c r="F251" s="849"/>
      <c r="G251" s="849"/>
      <c r="H251" s="849"/>
      <c r="I251" s="849"/>
      <c r="J251" s="849"/>
      <c r="K251" s="849"/>
    </row>
    <row r="252">
      <c r="A252" s="849"/>
      <c r="B252" s="849"/>
      <c r="C252" s="849"/>
      <c r="D252" s="849"/>
      <c r="E252" s="849"/>
      <c r="F252" s="849"/>
      <c r="G252" s="849"/>
      <c r="H252" s="849"/>
      <c r="I252" s="849"/>
      <c r="J252" s="849"/>
      <c r="K252" s="849"/>
    </row>
    <row r="253">
      <c r="A253" s="849"/>
      <c r="B253" s="849"/>
      <c r="C253" s="849"/>
      <c r="D253" s="849"/>
      <c r="E253" s="849"/>
      <c r="F253" s="849"/>
      <c r="G253" s="849"/>
      <c r="H253" s="849"/>
      <c r="I253" s="849"/>
      <c r="J253" s="849"/>
      <c r="K253" s="849"/>
    </row>
    <row r="254">
      <c r="A254" s="849"/>
      <c r="B254" s="849"/>
      <c r="C254" s="849"/>
      <c r="D254" s="849"/>
      <c r="E254" s="849"/>
      <c r="F254" s="849"/>
      <c r="G254" s="849"/>
      <c r="H254" s="849"/>
      <c r="I254" s="849"/>
      <c r="J254" s="849"/>
      <c r="K254" s="849"/>
    </row>
    <row r="255">
      <c r="A255" s="849"/>
      <c r="B255" s="849"/>
      <c r="C255" s="849"/>
      <c r="D255" s="849"/>
      <c r="E255" s="849"/>
      <c r="F255" s="849"/>
      <c r="G255" s="849"/>
      <c r="H255" s="849"/>
      <c r="I255" s="849"/>
      <c r="J255" s="849"/>
      <c r="K255" s="849"/>
    </row>
    <row r="256">
      <c r="A256" s="849"/>
      <c r="B256" s="849"/>
      <c r="C256" s="849"/>
      <c r="D256" s="849"/>
      <c r="E256" s="849"/>
      <c r="F256" s="849"/>
      <c r="G256" s="849"/>
      <c r="H256" s="849"/>
      <c r="I256" s="849"/>
      <c r="J256" s="849"/>
      <c r="K256" s="849"/>
    </row>
    <row r="257">
      <c r="A257" s="849"/>
      <c r="B257" s="849"/>
      <c r="C257" s="849"/>
      <c r="D257" s="849"/>
      <c r="E257" s="849"/>
      <c r="F257" s="849"/>
      <c r="G257" s="849"/>
      <c r="H257" s="849"/>
      <c r="I257" s="849"/>
      <c r="J257" s="849"/>
      <c r="K257" s="849"/>
    </row>
    <row r="258">
      <c r="A258" s="849"/>
      <c r="B258" s="849"/>
      <c r="C258" s="849"/>
      <c r="D258" s="849"/>
      <c r="E258" s="849"/>
      <c r="F258" s="849"/>
      <c r="G258" s="849"/>
      <c r="H258" s="849"/>
      <c r="I258" s="849"/>
      <c r="J258" s="849"/>
      <c r="K258" s="849"/>
    </row>
    <row r="259">
      <c r="A259" s="849"/>
      <c r="B259" s="849"/>
      <c r="C259" s="849"/>
      <c r="D259" s="849"/>
      <c r="E259" s="849"/>
      <c r="F259" s="849"/>
      <c r="G259" s="849"/>
      <c r="H259" s="849"/>
      <c r="I259" s="849"/>
      <c r="J259" s="849"/>
      <c r="K259" s="849"/>
    </row>
    <row r="260">
      <c r="A260" s="849"/>
      <c r="B260" s="849"/>
      <c r="C260" s="849"/>
      <c r="D260" s="849"/>
      <c r="E260" s="849"/>
      <c r="F260" s="849"/>
      <c r="G260" s="849"/>
      <c r="H260" s="849"/>
      <c r="I260" s="849"/>
      <c r="J260" s="849"/>
      <c r="K260" s="849"/>
    </row>
    <row r="261">
      <c r="A261" s="849"/>
      <c r="B261" s="849"/>
      <c r="C261" s="849"/>
      <c r="D261" s="849"/>
      <c r="E261" s="849"/>
      <c r="F261" s="849"/>
      <c r="G261" s="849"/>
      <c r="H261" s="849"/>
      <c r="I261" s="849"/>
      <c r="J261" s="849"/>
      <c r="K261" s="849"/>
    </row>
    <row r="262">
      <c r="A262" s="849"/>
      <c r="B262" s="849"/>
      <c r="C262" s="849"/>
      <c r="D262" s="849"/>
      <c r="E262" s="849"/>
      <c r="F262" s="849"/>
      <c r="G262" s="849"/>
      <c r="H262" s="849"/>
      <c r="I262" s="849"/>
      <c r="J262" s="849"/>
      <c r="K262" s="849"/>
    </row>
    <row r="263">
      <c r="A263" s="849"/>
      <c r="B263" s="849"/>
      <c r="C263" s="849"/>
      <c r="D263" s="849"/>
      <c r="E263" s="849"/>
      <c r="F263" s="849"/>
      <c r="G263" s="849"/>
      <c r="H263" s="849"/>
      <c r="I263" s="849"/>
      <c r="J263" s="849"/>
      <c r="K263" s="849"/>
    </row>
    <row r="264">
      <c r="A264" s="849"/>
      <c r="B264" s="849"/>
      <c r="C264" s="849"/>
      <c r="D264" s="849"/>
      <c r="E264" s="849"/>
      <c r="F264" s="849"/>
      <c r="G264" s="849"/>
      <c r="H264" s="849"/>
      <c r="I264" s="849"/>
      <c r="J264" s="849"/>
      <c r="K264" s="849"/>
    </row>
    <row r="265">
      <c r="A265" s="849"/>
      <c r="B265" s="849"/>
      <c r="C265" s="849"/>
      <c r="D265" s="849"/>
      <c r="E265" s="849"/>
      <c r="F265" s="849"/>
      <c r="G265" s="849"/>
      <c r="H265" s="849"/>
      <c r="I265" s="849"/>
      <c r="J265" s="849"/>
      <c r="K265" s="849"/>
    </row>
    <row r="266">
      <c r="A266" s="849"/>
      <c r="B266" s="849"/>
      <c r="C266" s="849"/>
      <c r="D266" s="849"/>
      <c r="E266" s="849"/>
      <c r="F266" s="849"/>
      <c r="G266" s="849"/>
      <c r="H266" s="849"/>
      <c r="I266" s="849"/>
      <c r="J266" s="849"/>
      <c r="K266" s="849"/>
    </row>
    <row r="267">
      <c r="A267" s="849"/>
      <c r="B267" s="849"/>
      <c r="C267" s="849"/>
      <c r="D267" s="849"/>
      <c r="E267" s="849"/>
      <c r="F267" s="849"/>
      <c r="G267" s="849"/>
      <c r="H267" s="849"/>
      <c r="I267" s="849"/>
      <c r="J267" s="849"/>
      <c r="K267" s="849"/>
    </row>
    <row r="268">
      <c r="A268" s="849"/>
      <c r="B268" s="849"/>
      <c r="C268" s="849"/>
      <c r="D268" s="849"/>
      <c r="E268" s="849"/>
      <c r="F268" s="849"/>
      <c r="G268" s="849"/>
      <c r="H268" s="849"/>
      <c r="I268" s="849"/>
      <c r="J268" s="849"/>
      <c r="K268" s="849"/>
    </row>
    <row r="269">
      <c r="A269" s="849"/>
      <c r="B269" s="849"/>
      <c r="C269" s="849"/>
      <c r="D269" s="849"/>
      <c r="E269" s="849"/>
      <c r="F269" s="849"/>
      <c r="G269" s="849"/>
      <c r="H269" s="849"/>
      <c r="I269" s="849"/>
      <c r="J269" s="849"/>
      <c r="K269" s="849"/>
    </row>
    <row r="270">
      <c r="A270" s="849"/>
      <c r="B270" s="849"/>
      <c r="C270" s="849"/>
      <c r="D270" s="849"/>
      <c r="E270" s="849"/>
      <c r="F270" s="849"/>
      <c r="G270" s="849"/>
      <c r="H270" s="849"/>
      <c r="I270" s="849"/>
      <c r="J270" s="849"/>
      <c r="K270" s="849"/>
    </row>
    <row r="271">
      <c r="A271" s="849"/>
      <c r="B271" s="849"/>
      <c r="C271" s="849"/>
      <c r="D271" s="849"/>
      <c r="E271" s="849"/>
      <c r="F271" s="849"/>
      <c r="G271" s="849"/>
      <c r="H271" s="849"/>
      <c r="I271" s="849"/>
      <c r="J271" s="849"/>
      <c r="K271" s="849"/>
    </row>
    <row r="272">
      <c r="A272" s="849"/>
      <c r="B272" s="849"/>
      <c r="C272" s="849"/>
      <c r="D272" s="849"/>
      <c r="E272" s="849"/>
      <c r="F272" s="849"/>
      <c r="G272" s="849"/>
      <c r="H272" s="849"/>
      <c r="I272" s="849"/>
      <c r="J272" s="849"/>
      <c r="K272" s="849"/>
    </row>
    <row r="273">
      <c r="A273" s="849"/>
      <c r="B273" s="849"/>
      <c r="C273" s="849"/>
      <c r="D273" s="849"/>
      <c r="E273" s="849"/>
      <c r="F273" s="849"/>
      <c r="G273" s="849"/>
      <c r="H273" s="849"/>
      <c r="I273" s="849"/>
      <c r="J273" s="849"/>
      <c r="K273" s="849"/>
    </row>
    <row r="274">
      <c r="A274" s="849"/>
      <c r="B274" s="849"/>
      <c r="C274" s="849"/>
      <c r="D274" s="849"/>
      <c r="E274" s="849"/>
      <c r="F274" s="849"/>
      <c r="G274" s="849"/>
      <c r="H274" s="849"/>
      <c r="I274" s="849"/>
      <c r="J274" s="849"/>
      <c r="K274" s="849"/>
    </row>
    <row r="275">
      <c r="A275" s="849"/>
      <c r="B275" s="849"/>
      <c r="C275" s="849"/>
      <c r="D275" s="849"/>
      <c r="E275" s="849"/>
      <c r="F275" s="849"/>
      <c r="G275" s="849"/>
      <c r="H275" s="849"/>
      <c r="I275" s="849"/>
      <c r="J275" s="849"/>
      <c r="K275" s="849"/>
    </row>
    <row r="276">
      <c r="A276" s="849"/>
      <c r="B276" s="849"/>
      <c r="C276" s="849"/>
      <c r="D276" s="849"/>
      <c r="E276" s="849"/>
      <c r="F276" s="849"/>
      <c r="G276" s="849"/>
      <c r="H276" s="849"/>
      <c r="I276" s="849"/>
      <c r="J276" s="849"/>
      <c r="K276" s="849"/>
    </row>
    <row r="277">
      <c r="A277" s="849"/>
      <c r="B277" s="849"/>
      <c r="C277" s="849"/>
      <c r="D277" s="849"/>
      <c r="E277" s="849"/>
      <c r="F277" s="849"/>
      <c r="G277" s="849"/>
      <c r="H277" s="849"/>
      <c r="I277" s="849"/>
      <c r="J277" s="849"/>
      <c r="K277" s="849"/>
    </row>
    <row r="278">
      <c r="A278" s="849"/>
      <c r="B278" s="849"/>
      <c r="C278" s="849"/>
      <c r="D278" s="849"/>
      <c r="E278" s="849"/>
      <c r="F278" s="849"/>
      <c r="G278" s="849"/>
      <c r="H278" s="849"/>
      <c r="I278" s="849"/>
      <c r="J278" s="849"/>
      <c r="K278" s="849"/>
    </row>
    <row r="279">
      <c r="A279" s="849"/>
      <c r="B279" s="849"/>
      <c r="C279" s="849"/>
      <c r="D279" s="849"/>
      <c r="E279" s="849"/>
      <c r="F279" s="849"/>
      <c r="G279" s="849"/>
      <c r="H279" s="849"/>
      <c r="I279" s="849"/>
      <c r="J279" s="849"/>
      <c r="K279" s="849"/>
    </row>
    <row r="280">
      <c r="A280" s="849"/>
      <c r="B280" s="849"/>
      <c r="C280" s="849"/>
      <c r="D280" s="849"/>
      <c r="E280" s="849"/>
      <c r="F280" s="849"/>
      <c r="G280" s="849"/>
      <c r="H280" s="849"/>
      <c r="I280" s="849"/>
      <c r="J280" s="849"/>
      <c r="K280" s="849"/>
    </row>
    <row r="281">
      <c r="A281" s="849"/>
      <c r="B281" s="849"/>
      <c r="C281" s="849"/>
      <c r="D281" s="849"/>
      <c r="E281" s="849"/>
      <c r="F281" s="849"/>
      <c r="G281" s="849"/>
      <c r="H281" s="849"/>
      <c r="I281" s="849"/>
      <c r="J281" s="849"/>
      <c r="K281" s="849"/>
    </row>
    <row r="282">
      <c r="A282" s="849"/>
      <c r="B282" s="849"/>
      <c r="C282" s="849"/>
      <c r="D282" s="849"/>
      <c r="E282" s="849"/>
      <c r="F282" s="849"/>
      <c r="G282" s="849"/>
      <c r="H282" s="849"/>
      <c r="I282" s="849"/>
      <c r="J282" s="849"/>
      <c r="K282" s="849"/>
    </row>
    <row r="283">
      <c r="A283" s="849"/>
      <c r="B283" s="849"/>
      <c r="C283" s="849"/>
      <c r="D283" s="849"/>
      <c r="E283" s="849"/>
      <c r="F283" s="849"/>
      <c r="G283" s="849"/>
      <c r="H283" s="849"/>
      <c r="I283" s="849"/>
      <c r="J283" s="849"/>
      <c r="K283" s="849"/>
    </row>
    <row r="284">
      <c r="A284" s="849"/>
      <c r="B284" s="849"/>
      <c r="C284" s="849"/>
      <c r="D284" s="849"/>
      <c r="E284" s="849"/>
      <c r="F284" s="849"/>
      <c r="G284" s="849"/>
      <c r="H284" s="849"/>
      <c r="I284" s="849"/>
      <c r="J284" s="849"/>
      <c r="K284" s="849"/>
    </row>
    <row r="285">
      <c r="A285" s="849"/>
      <c r="B285" s="849"/>
      <c r="C285" s="849"/>
      <c r="D285" s="849"/>
      <c r="E285" s="849"/>
      <c r="F285" s="849"/>
      <c r="G285" s="849"/>
      <c r="H285" s="849"/>
      <c r="I285" s="849"/>
      <c r="J285" s="849"/>
      <c r="K285" s="849"/>
    </row>
    <row r="286">
      <c r="A286" s="849"/>
      <c r="B286" s="849"/>
      <c r="C286" s="849"/>
      <c r="D286" s="849"/>
      <c r="E286" s="849"/>
      <c r="F286" s="849"/>
      <c r="G286" s="849"/>
      <c r="H286" s="849"/>
      <c r="I286" s="849"/>
      <c r="J286" s="849"/>
      <c r="K286" s="849"/>
    </row>
    <row r="287">
      <c r="A287" s="849"/>
      <c r="B287" s="849"/>
      <c r="C287" s="849"/>
      <c r="D287" s="849"/>
      <c r="E287" s="849"/>
      <c r="F287" s="849"/>
      <c r="G287" s="849"/>
      <c r="H287" s="849"/>
      <c r="I287" s="849"/>
      <c r="J287" s="849"/>
      <c r="K287" s="849"/>
    </row>
    <row r="288">
      <c r="A288" s="849"/>
      <c r="B288" s="849"/>
      <c r="C288" s="849"/>
      <c r="D288" s="849"/>
      <c r="E288" s="849"/>
      <c r="F288" s="849"/>
      <c r="G288" s="849"/>
      <c r="H288" s="849"/>
      <c r="I288" s="849"/>
      <c r="J288" s="849"/>
      <c r="K288" s="849"/>
    </row>
    <row r="289">
      <c r="A289" s="849"/>
      <c r="B289" s="849"/>
      <c r="C289" s="849"/>
      <c r="D289" s="849"/>
      <c r="E289" s="849"/>
      <c r="F289" s="849"/>
      <c r="G289" s="849"/>
      <c r="H289" s="849"/>
      <c r="I289" s="849"/>
      <c r="J289" s="849"/>
      <c r="K289" s="849"/>
    </row>
    <row r="290">
      <c r="A290" s="849"/>
      <c r="B290" s="849"/>
      <c r="C290" s="849"/>
      <c r="D290" s="849"/>
      <c r="E290" s="849"/>
      <c r="F290" s="849"/>
      <c r="G290" s="849"/>
      <c r="H290" s="849"/>
      <c r="I290" s="849"/>
      <c r="J290" s="849"/>
      <c r="K290" s="849"/>
    </row>
    <row r="291">
      <c r="A291" s="849"/>
      <c r="B291" s="849"/>
      <c r="C291" s="849"/>
      <c r="D291" s="849"/>
      <c r="E291" s="849"/>
      <c r="F291" s="849"/>
      <c r="G291" s="849"/>
      <c r="H291" s="849"/>
      <c r="I291" s="849"/>
      <c r="J291" s="849"/>
      <c r="K291" s="849"/>
    </row>
    <row r="292">
      <c r="A292" s="849"/>
      <c r="B292" s="849"/>
      <c r="C292" s="849"/>
      <c r="D292" s="849"/>
      <c r="E292" s="849"/>
      <c r="F292" s="849"/>
      <c r="G292" s="849"/>
      <c r="H292" s="849"/>
      <c r="I292" s="849"/>
      <c r="J292" s="849"/>
      <c r="K292" s="849"/>
    </row>
    <row r="293">
      <c r="A293" s="849"/>
      <c r="B293" s="849"/>
      <c r="C293" s="849"/>
      <c r="D293" s="849"/>
      <c r="E293" s="849"/>
      <c r="F293" s="849"/>
      <c r="G293" s="849"/>
      <c r="H293" s="849"/>
      <c r="I293" s="849"/>
      <c r="J293" s="849"/>
      <c r="K293" s="849"/>
    </row>
    <row r="294">
      <c r="A294" s="849"/>
      <c r="B294" s="849"/>
      <c r="C294" s="849"/>
      <c r="D294" s="849"/>
      <c r="E294" s="849"/>
      <c r="F294" s="849"/>
      <c r="G294" s="849"/>
      <c r="H294" s="849"/>
      <c r="I294" s="849"/>
      <c r="J294" s="849"/>
      <c r="K294" s="849"/>
    </row>
    <row r="295">
      <c r="A295" s="849"/>
      <c r="B295" s="849"/>
      <c r="C295" s="849"/>
      <c r="D295" s="849"/>
      <c r="E295" s="849"/>
      <c r="F295" s="849"/>
      <c r="G295" s="849"/>
      <c r="H295" s="849"/>
      <c r="I295" s="849"/>
      <c r="J295" s="849"/>
      <c r="K295" s="849"/>
    </row>
    <row r="296">
      <c r="A296" s="849"/>
      <c r="B296" s="849"/>
      <c r="C296" s="849"/>
      <c r="D296" s="849"/>
      <c r="E296" s="849"/>
      <c r="F296" s="849"/>
      <c r="G296" s="849"/>
      <c r="H296" s="849"/>
      <c r="I296" s="849"/>
      <c r="J296" s="849"/>
      <c r="K296" s="849"/>
    </row>
    <row r="297">
      <c r="A297" s="849"/>
      <c r="B297" s="849"/>
      <c r="C297" s="849"/>
      <c r="D297" s="849"/>
      <c r="E297" s="849"/>
      <c r="F297" s="849"/>
      <c r="G297" s="849"/>
      <c r="H297" s="849"/>
      <c r="I297" s="849"/>
      <c r="J297" s="849"/>
      <c r="K297" s="849"/>
    </row>
    <row r="298">
      <c r="A298" s="849"/>
      <c r="B298" s="849"/>
      <c r="C298" s="849"/>
      <c r="D298" s="849"/>
      <c r="E298" s="849"/>
      <c r="F298" s="849"/>
      <c r="G298" s="849"/>
      <c r="H298" s="849"/>
      <c r="I298" s="849"/>
      <c r="J298" s="849"/>
      <c r="K298" s="849"/>
    </row>
    <row r="299">
      <c r="A299" s="849"/>
      <c r="B299" s="849"/>
      <c r="C299" s="849"/>
      <c r="D299" s="849"/>
      <c r="E299" s="849"/>
      <c r="F299" s="849"/>
      <c r="G299" s="849"/>
      <c r="H299" s="849"/>
      <c r="I299" s="849"/>
      <c r="J299" s="849"/>
      <c r="K299" s="849"/>
    </row>
    <row r="300">
      <c r="A300" s="849"/>
      <c r="B300" s="849"/>
      <c r="C300" s="849"/>
      <c r="D300" s="849"/>
      <c r="E300" s="849"/>
      <c r="F300" s="849"/>
      <c r="G300" s="849"/>
      <c r="H300" s="849"/>
      <c r="I300" s="849"/>
      <c r="J300" s="849"/>
      <c r="K300" s="849"/>
    </row>
    <row r="301">
      <c r="A301" s="849"/>
      <c r="B301" s="849"/>
      <c r="C301" s="849"/>
      <c r="D301" s="849"/>
      <c r="E301" s="849"/>
      <c r="F301" s="849"/>
      <c r="G301" s="849"/>
      <c r="H301" s="849"/>
      <c r="I301" s="849"/>
      <c r="J301" s="849"/>
      <c r="K301" s="849"/>
    </row>
    <row r="302">
      <c r="A302" s="849"/>
      <c r="B302" s="849"/>
      <c r="C302" s="849"/>
      <c r="D302" s="849"/>
      <c r="E302" s="849"/>
      <c r="F302" s="849"/>
      <c r="G302" s="849"/>
      <c r="H302" s="849"/>
      <c r="I302" s="849"/>
      <c r="J302" s="849"/>
      <c r="K302" s="849"/>
    </row>
    <row r="303">
      <c r="A303" s="849"/>
      <c r="B303" s="849"/>
      <c r="C303" s="849"/>
      <c r="D303" s="849"/>
      <c r="E303" s="849"/>
      <c r="F303" s="849"/>
      <c r="G303" s="849"/>
      <c r="H303" s="849"/>
      <c r="I303" s="849"/>
      <c r="J303" s="849"/>
      <c r="K303" s="849"/>
    </row>
    <row r="304">
      <c r="A304" s="849"/>
      <c r="B304" s="849"/>
      <c r="C304" s="849"/>
      <c r="D304" s="849"/>
      <c r="E304" s="849"/>
      <c r="F304" s="849"/>
      <c r="G304" s="849"/>
      <c r="H304" s="849"/>
      <c r="I304" s="849"/>
      <c r="J304" s="849"/>
      <c r="K304" s="849"/>
    </row>
    <row r="305">
      <c r="A305" s="849"/>
      <c r="B305" s="849"/>
      <c r="C305" s="849"/>
      <c r="D305" s="849"/>
      <c r="E305" s="849"/>
      <c r="F305" s="849"/>
      <c r="G305" s="849"/>
      <c r="H305" s="849"/>
      <c r="I305" s="849"/>
      <c r="J305" s="849"/>
      <c r="K305" s="849"/>
    </row>
    <row r="306">
      <c r="A306" s="849"/>
      <c r="B306" s="849"/>
      <c r="C306" s="849"/>
      <c r="D306" s="849"/>
      <c r="E306" s="849"/>
      <c r="F306" s="849"/>
      <c r="G306" s="849"/>
      <c r="H306" s="849"/>
      <c r="I306" s="849"/>
      <c r="J306" s="849"/>
      <c r="K306" s="849"/>
    </row>
    <row r="307">
      <c r="A307" s="849"/>
      <c r="B307" s="849"/>
      <c r="C307" s="849"/>
      <c r="D307" s="849"/>
      <c r="E307" s="849"/>
      <c r="F307" s="849"/>
      <c r="G307" s="849"/>
      <c r="H307" s="849"/>
      <c r="I307" s="849"/>
      <c r="J307" s="849"/>
      <c r="K307" s="849"/>
    </row>
    <row r="308">
      <c r="A308" s="849"/>
      <c r="B308" s="849"/>
      <c r="C308" s="849"/>
      <c r="D308" s="849"/>
      <c r="E308" s="849"/>
      <c r="F308" s="849"/>
      <c r="G308" s="849"/>
      <c r="H308" s="849"/>
      <c r="I308" s="849"/>
      <c r="J308" s="849"/>
      <c r="K308" s="849"/>
    </row>
    <row r="309">
      <c r="A309" s="849"/>
      <c r="B309" s="849"/>
      <c r="C309" s="849"/>
      <c r="D309" s="849"/>
      <c r="E309" s="849"/>
      <c r="F309" s="849"/>
      <c r="G309" s="849"/>
      <c r="H309" s="849"/>
      <c r="I309" s="849"/>
      <c r="J309" s="849"/>
      <c r="K309" s="849"/>
    </row>
    <row r="310">
      <c r="A310" s="849"/>
      <c r="B310" s="849"/>
      <c r="C310" s="849"/>
      <c r="D310" s="849"/>
      <c r="E310" s="849"/>
      <c r="F310" s="849"/>
      <c r="G310" s="849"/>
      <c r="H310" s="849"/>
      <c r="I310" s="849"/>
      <c r="J310" s="849"/>
      <c r="K310" s="849"/>
    </row>
    <row r="311">
      <c r="A311" s="849"/>
      <c r="B311" s="849"/>
      <c r="C311" s="849"/>
      <c r="D311" s="849"/>
      <c r="E311" s="849"/>
      <c r="F311" s="849"/>
      <c r="G311" s="849"/>
      <c r="H311" s="849"/>
      <c r="I311" s="849"/>
      <c r="J311" s="849"/>
      <c r="K311" s="849"/>
    </row>
    <row r="312">
      <c r="A312" s="849"/>
      <c r="B312" s="849"/>
      <c r="C312" s="849"/>
      <c r="D312" s="849"/>
      <c r="E312" s="849"/>
      <c r="F312" s="849"/>
      <c r="G312" s="849"/>
      <c r="H312" s="849"/>
      <c r="I312" s="849"/>
      <c r="J312" s="849"/>
      <c r="K312" s="849"/>
    </row>
    <row r="313">
      <c r="A313" s="849"/>
      <c r="B313" s="849"/>
      <c r="C313" s="849"/>
      <c r="D313" s="849"/>
      <c r="E313" s="849"/>
      <c r="F313" s="849"/>
      <c r="G313" s="849"/>
      <c r="H313" s="849"/>
      <c r="I313" s="849"/>
      <c r="J313" s="849"/>
      <c r="K313" s="849"/>
    </row>
    <row r="314">
      <c r="A314" s="849"/>
      <c r="B314" s="849"/>
      <c r="C314" s="849"/>
      <c r="D314" s="849"/>
      <c r="E314" s="849"/>
      <c r="F314" s="849"/>
      <c r="G314" s="849"/>
      <c r="H314" s="849"/>
      <c r="I314" s="849"/>
      <c r="J314" s="849"/>
      <c r="K314" s="849"/>
    </row>
    <row r="315">
      <c r="A315" s="849"/>
      <c r="B315" s="849"/>
      <c r="C315" s="849"/>
      <c r="D315" s="849"/>
      <c r="E315" s="849"/>
      <c r="F315" s="849"/>
      <c r="G315" s="849"/>
      <c r="H315" s="849"/>
      <c r="I315" s="849"/>
      <c r="J315" s="849"/>
      <c r="K315" s="849"/>
    </row>
    <row r="316">
      <c r="A316" s="849"/>
      <c r="B316" s="849"/>
      <c r="C316" s="849"/>
      <c r="D316" s="849"/>
      <c r="E316" s="849"/>
      <c r="F316" s="849"/>
      <c r="G316" s="849"/>
      <c r="H316" s="849"/>
      <c r="I316" s="849"/>
      <c r="J316" s="849"/>
      <c r="K316" s="849"/>
    </row>
    <row r="317">
      <c r="A317" s="849"/>
      <c r="B317" s="849"/>
      <c r="C317" s="849"/>
      <c r="D317" s="849"/>
      <c r="E317" s="849"/>
      <c r="F317" s="849"/>
      <c r="G317" s="849"/>
      <c r="H317" s="849"/>
      <c r="I317" s="849"/>
      <c r="J317" s="849"/>
      <c r="K317" s="849"/>
    </row>
    <row r="318">
      <c r="A318" s="849"/>
      <c r="B318" s="849"/>
      <c r="C318" s="849"/>
      <c r="D318" s="849"/>
      <c r="E318" s="849"/>
      <c r="F318" s="849"/>
      <c r="G318" s="849"/>
      <c r="H318" s="849"/>
      <c r="I318" s="849"/>
      <c r="J318" s="849"/>
      <c r="K318" s="849"/>
    </row>
    <row r="319">
      <c r="A319" s="849"/>
      <c r="B319" s="849"/>
      <c r="C319" s="849"/>
      <c r="D319" s="849"/>
      <c r="E319" s="849"/>
      <c r="F319" s="849"/>
      <c r="G319" s="849"/>
      <c r="H319" s="849"/>
      <c r="I319" s="849"/>
      <c r="J319" s="849"/>
      <c r="K319" s="849"/>
    </row>
    <row r="320">
      <c r="A320" s="849"/>
      <c r="B320" s="849"/>
      <c r="C320" s="849"/>
      <c r="D320" s="849"/>
      <c r="E320" s="849"/>
      <c r="F320" s="849"/>
      <c r="G320" s="849"/>
      <c r="H320" s="849"/>
      <c r="I320" s="849"/>
      <c r="J320" s="849"/>
      <c r="K320" s="849"/>
    </row>
    <row r="321">
      <c r="A321" s="849"/>
      <c r="B321" s="849"/>
      <c r="C321" s="849"/>
      <c r="D321" s="849"/>
      <c r="E321" s="849"/>
      <c r="F321" s="849"/>
      <c r="G321" s="849"/>
      <c r="H321" s="849"/>
      <c r="I321" s="849"/>
      <c r="J321" s="849"/>
      <c r="K321" s="849"/>
    </row>
    <row r="322">
      <c r="A322" s="849"/>
      <c r="B322" s="849"/>
      <c r="C322" s="849"/>
      <c r="D322" s="849"/>
      <c r="E322" s="849"/>
      <c r="F322" s="849"/>
      <c r="G322" s="849"/>
      <c r="H322" s="849"/>
      <c r="I322" s="849"/>
      <c r="J322" s="849"/>
      <c r="K322" s="849"/>
    </row>
    <row r="323">
      <c r="A323" s="849"/>
      <c r="B323" s="849"/>
      <c r="C323" s="849"/>
      <c r="D323" s="849"/>
      <c r="E323" s="849"/>
      <c r="F323" s="849"/>
      <c r="G323" s="849"/>
      <c r="H323" s="849"/>
      <c r="I323" s="849"/>
      <c r="J323" s="849"/>
      <c r="K323" s="849"/>
    </row>
    <row r="324">
      <c r="A324" s="849"/>
      <c r="B324" s="849"/>
      <c r="C324" s="849"/>
      <c r="D324" s="849"/>
      <c r="E324" s="849"/>
      <c r="F324" s="849"/>
      <c r="G324" s="849"/>
      <c r="H324" s="849"/>
      <c r="I324" s="849"/>
      <c r="J324" s="849"/>
      <c r="K324" s="849"/>
    </row>
    <row r="325">
      <c r="A325" s="849"/>
      <c r="B325" s="849"/>
      <c r="C325" s="849"/>
      <c r="D325" s="849"/>
      <c r="E325" s="849"/>
      <c r="F325" s="849"/>
      <c r="G325" s="849"/>
      <c r="H325" s="849"/>
      <c r="I325" s="849"/>
      <c r="J325" s="849"/>
      <c r="K325" s="849"/>
    </row>
    <row r="326">
      <c r="A326" s="849"/>
      <c r="B326" s="849"/>
      <c r="C326" s="849"/>
      <c r="D326" s="849"/>
      <c r="E326" s="849"/>
      <c r="F326" s="849"/>
      <c r="G326" s="849"/>
      <c r="H326" s="849"/>
      <c r="I326" s="849"/>
      <c r="J326" s="849"/>
      <c r="K326" s="849"/>
    </row>
    <row r="327">
      <c r="A327" s="849"/>
      <c r="B327" s="849"/>
      <c r="C327" s="849"/>
      <c r="D327" s="849"/>
      <c r="E327" s="849"/>
      <c r="F327" s="849"/>
      <c r="G327" s="849"/>
      <c r="H327" s="849"/>
      <c r="I327" s="849"/>
      <c r="J327" s="849"/>
      <c r="K327" s="849"/>
    </row>
    <row r="328">
      <c r="A328" s="849"/>
      <c r="B328" s="849"/>
      <c r="C328" s="849"/>
      <c r="D328" s="849"/>
      <c r="E328" s="849"/>
      <c r="F328" s="849"/>
      <c r="G328" s="849"/>
      <c r="H328" s="849"/>
      <c r="I328" s="849"/>
      <c r="J328" s="849"/>
      <c r="K328" s="849"/>
    </row>
    <row r="329">
      <c r="A329" s="849"/>
      <c r="B329" s="849"/>
      <c r="C329" s="849"/>
      <c r="D329" s="849"/>
      <c r="E329" s="849"/>
      <c r="F329" s="849"/>
      <c r="G329" s="849"/>
      <c r="H329" s="849"/>
      <c r="I329" s="849"/>
      <c r="J329" s="849"/>
      <c r="K329" s="849"/>
    </row>
    <row r="330">
      <c r="A330" s="849"/>
      <c r="B330" s="849"/>
      <c r="C330" s="849"/>
      <c r="D330" s="849"/>
      <c r="E330" s="849"/>
      <c r="F330" s="849"/>
      <c r="G330" s="849"/>
      <c r="H330" s="849"/>
      <c r="I330" s="849"/>
      <c r="J330" s="849"/>
      <c r="K330" s="849"/>
    </row>
    <row r="331">
      <c r="A331" s="849"/>
      <c r="B331" s="849"/>
      <c r="C331" s="849"/>
      <c r="D331" s="849"/>
      <c r="E331" s="849"/>
      <c r="F331" s="849"/>
      <c r="G331" s="849"/>
      <c r="H331" s="849"/>
      <c r="I331" s="849"/>
      <c r="J331" s="849"/>
      <c r="K331" s="849"/>
    </row>
    <row r="332">
      <c r="A332" s="849"/>
      <c r="B332" s="849"/>
      <c r="C332" s="849"/>
      <c r="D332" s="849"/>
      <c r="E332" s="849"/>
      <c r="F332" s="849"/>
      <c r="G332" s="849"/>
      <c r="H332" s="849"/>
      <c r="I332" s="849"/>
      <c r="J332" s="849"/>
      <c r="K332" s="849"/>
    </row>
    <row r="333">
      <c r="A333" s="849"/>
      <c r="B333" s="849"/>
      <c r="C333" s="849"/>
      <c r="D333" s="849"/>
      <c r="E333" s="849"/>
      <c r="F333" s="849"/>
      <c r="G333" s="849"/>
      <c r="H333" s="849"/>
      <c r="I333" s="849"/>
      <c r="J333" s="849"/>
      <c r="K333" s="849"/>
    </row>
    <row r="334">
      <c r="A334" s="849"/>
      <c r="B334" s="849"/>
      <c r="C334" s="849"/>
      <c r="D334" s="849"/>
      <c r="E334" s="849"/>
      <c r="F334" s="849"/>
      <c r="G334" s="849"/>
      <c r="H334" s="849"/>
      <c r="I334" s="849"/>
      <c r="J334" s="849"/>
      <c r="K334" s="849"/>
    </row>
    <row r="335">
      <c r="A335" s="849"/>
      <c r="B335" s="849"/>
      <c r="C335" s="849"/>
      <c r="D335" s="849"/>
      <c r="E335" s="849"/>
      <c r="F335" s="849"/>
      <c r="G335" s="849"/>
      <c r="H335" s="849"/>
      <c r="I335" s="849"/>
      <c r="J335" s="849"/>
      <c r="K335" s="849"/>
    </row>
    <row r="336">
      <c r="A336" s="849"/>
      <c r="B336" s="849"/>
      <c r="C336" s="849"/>
      <c r="D336" s="849"/>
      <c r="E336" s="849"/>
      <c r="F336" s="849"/>
      <c r="G336" s="849"/>
      <c r="H336" s="849"/>
      <c r="I336" s="849"/>
      <c r="J336" s="849"/>
      <c r="K336" s="849"/>
    </row>
    <row r="337">
      <c r="A337" s="849"/>
      <c r="B337" s="849"/>
      <c r="C337" s="849"/>
      <c r="D337" s="849"/>
      <c r="E337" s="849"/>
      <c r="F337" s="849"/>
      <c r="G337" s="849"/>
      <c r="H337" s="849"/>
      <c r="I337" s="849"/>
      <c r="J337" s="849"/>
      <c r="K337" s="849"/>
    </row>
    <row r="338">
      <c r="A338" s="849"/>
      <c r="B338" s="849"/>
      <c r="C338" s="849"/>
      <c r="D338" s="849"/>
      <c r="E338" s="849"/>
      <c r="F338" s="849"/>
      <c r="G338" s="849"/>
      <c r="H338" s="849"/>
      <c r="I338" s="849"/>
      <c r="J338" s="849"/>
      <c r="K338" s="849"/>
    </row>
    <row r="339">
      <c r="A339" s="849"/>
      <c r="B339" s="849"/>
      <c r="C339" s="849"/>
      <c r="D339" s="849"/>
      <c r="E339" s="849"/>
      <c r="F339" s="849"/>
      <c r="G339" s="849"/>
      <c r="H339" s="849"/>
      <c r="I339" s="849"/>
      <c r="J339" s="849"/>
      <c r="K339" s="849"/>
    </row>
    <row r="340">
      <c r="A340" s="849"/>
      <c r="B340" s="849"/>
      <c r="C340" s="849"/>
      <c r="D340" s="849"/>
      <c r="E340" s="849"/>
      <c r="F340" s="849"/>
      <c r="G340" s="849"/>
      <c r="H340" s="849"/>
      <c r="I340" s="849"/>
      <c r="J340" s="849"/>
      <c r="K340" s="849"/>
    </row>
    <row r="341">
      <c r="A341" s="849"/>
      <c r="B341" s="849"/>
      <c r="C341" s="849"/>
      <c r="D341" s="849"/>
      <c r="E341" s="849"/>
      <c r="F341" s="849"/>
      <c r="G341" s="849"/>
      <c r="H341" s="849"/>
      <c r="I341" s="849"/>
      <c r="J341" s="849"/>
      <c r="K341" s="849"/>
    </row>
    <row r="342">
      <c r="A342" s="849"/>
      <c r="B342" s="849"/>
      <c r="C342" s="849"/>
      <c r="D342" s="849"/>
      <c r="E342" s="849"/>
      <c r="F342" s="849"/>
      <c r="G342" s="849"/>
      <c r="H342" s="849"/>
      <c r="I342" s="849"/>
      <c r="J342" s="849"/>
      <c r="K342" s="849"/>
    </row>
    <row r="343">
      <c r="A343" s="849"/>
      <c r="B343" s="849"/>
      <c r="C343" s="849"/>
      <c r="D343" s="849"/>
      <c r="E343" s="849"/>
      <c r="F343" s="849"/>
      <c r="G343" s="849"/>
      <c r="H343" s="849"/>
      <c r="I343" s="849"/>
      <c r="J343" s="849"/>
      <c r="K343" s="849"/>
    </row>
    <row r="344">
      <c r="A344" s="849"/>
      <c r="B344" s="849"/>
      <c r="C344" s="849"/>
      <c r="D344" s="849"/>
      <c r="E344" s="849"/>
      <c r="F344" s="849"/>
      <c r="G344" s="849"/>
      <c r="H344" s="849"/>
      <c r="I344" s="849"/>
      <c r="J344" s="849"/>
      <c r="K344" s="849"/>
    </row>
    <row r="345">
      <c r="A345" s="849"/>
      <c r="B345" s="849"/>
      <c r="C345" s="849"/>
      <c r="D345" s="849"/>
      <c r="E345" s="849"/>
      <c r="F345" s="849"/>
      <c r="G345" s="849"/>
      <c r="H345" s="849"/>
      <c r="I345" s="849"/>
      <c r="J345" s="849"/>
      <c r="K345" s="849"/>
    </row>
    <row r="346">
      <c r="A346" s="849"/>
      <c r="B346" s="849"/>
      <c r="C346" s="849"/>
      <c r="D346" s="849"/>
      <c r="E346" s="849"/>
      <c r="F346" s="849"/>
      <c r="G346" s="849"/>
      <c r="H346" s="849"/>
      <c r="I346" s="849"/>
      <c r="J346" s="849"/>
      <c r="K346" s="849"/>
    </row>
    <row r="347">
      <c r="A347" s="849"/>
      <c r="B347" s="849"/>
      <c r="C347" s="849"/>
      <c r="D347" s="849"/>
      <c r="E347" s="849"/>
      <c r="F347" s="849"/>
      <c r="G347" s="849"/>
      <c r="H347" s="849"/>
      <c r="I347" s="849"/>
      <c r="J347" s="849"/>
      <c r="K347" s="849"/>
    </row>
    <row r="348">
      <c r="A348" s="849"/>
      <c r="B348" s="849"/>
      <c r="C348" s="849"/>
      <c r="D348" s="849"/>
      <c r="E348" s="849"/>
      <c r="F348" s="849"/>
      <c r="G348" s="849"/>
      <c r="H348" s="849"/>
      <c r="I348" s="849"/>
      <c r="J348" s="849"/>
      <c r="K348" s="849"/>
    </row>
    <row r="349">
      <c r="A349" s="849"/>
      <c r="B349" s="849"/>
      <c r="C349" s="849"/>
      <c r="D349" s="849"/>
      <c r="E349" s="849"/>
      <c r="F349" s="849"/>
      <c r="G349" s="849"/>
      <c r="H349" s="849"/>
      <c r="I349" s="849"/>
      <c r="J349" s="849"/>
      <c r="K349" s="849"/>
    </row>
    <row r="350">
      <c r="A350" s="849"/>
      <c r="B350" s="849"/>
      <c r="C350" s="849"/>
      <c r="D350" s="849"/>
      <c r="E350" s="849"/>
      <c r="F350" s="849"/>
      <c r="G350" s="849"/>
      <c r="H350" s="849"/>
      <c r="I350" s="849"/>
      <c r="J350" s="849"/>
      <c r="K350" s="849"/>
    </row>
    <row r="351">
      <c r="A351" s="849"/>
      <c r="B351" s="849"/>
      <c r="C351" s="849"/>
      <c r="D351" s="849"/>
      <c r="E351" s="849"/>
      <c r="F351" s="849"/>
      <c r="G351" s="849"/>
      <c r="H351" s="849"/>
      <c r="I351" s="849"/>
      <c r="J351" s="849"/>
      <c r="K351" s="849"/>
    </row>
    <row r="352">
      <c r="A352" s="849"/>
      <c r="B352" s="849"/>
      <c r="C352" s="849"/>
      <c r="D352" s="849"/>
      <c r="E352" s="849"/>
      <c r="F352" s="849"/>
      <c r="G352" s="849"/>
      <c r="H352" s="849"/>
      <c r="I352" s="849"/>
      <c r="J352" s="849"/>
      <c r="K352" s="849"/>
    </row>
    <row r="353">
      <c r="A353" s="849"/>
      <c r="B353" s="849"/>
      <c r="C353" s="849"/>
      <c r="D353" s="849"/>
      <c r="E353" s="849"/>
      <c r="F353" s="849"/>
      <c r="G353" s="849"/>
      <c r="H353" s="849"/>
      <c r="I353" s="849"/>
      <c r="J353" s="849"/>
      <c r="K353" s="849"/>
    </row>
    <row r="354">
      <c r="A354" s="849"/>
      <c r="B354" s="849"/>
      <c r="C354" s="849"/>
      <c r="D354" s="849"/>
      <c r="E354" s="849"/>
      <c r="F354" s="849"/>
      <c r="G354" s="849"/>
      <c r="H354" s="849"/>
      <c r="I354" s="849"/>
      <c r="J354" s="849"/>
      <c r="K354" s="849"/>
    </row>
    <row r="355">
      <c r="A355" s="849"/>
      <c r="B355" s="849"/>
      <c r="C355" s="849"/>
      <c r="D355" s="849"/>
      <c r="E355" s="849"/>
      <c r="F355" s="849"/>
      <c r="G355" s="849"/>
      <c r="H355" s="849"/>
      <c r="I355" s="849"/>
      <c r="J355" s="849"/>
      <c r="K355" s="849"/>
    </row>
    <row r="356">
      <c r="A356" s="849"/>
      <c r="B356" s="849"/>
      <c r="C356" s="849"/>
      <c r="D356" s="849"/>
      <c r="E356" s="849"/>
      <c r="F356" s="849"/>
      <c r="G356" s="849"/>
      <c r="H356" s="849"/>
      <c r="I356" s="849"/>
      <c r="J356" s="849"/>
      <c r="K356" s="849"/>
    </row>
    <row r="357">
      <c r="A357" s="849"/>
      <c r="B357" s="849"/>
      <c r="C357" s="849"/>
      <c r="D357" s="849"/>
      <c r="E357" s="849"/>
      <c r="F357" s="849"/>
      <c r="G357" s="849"/>
      <c r="H357" s="849"/>
      <c r="I357" s="849"/>
      <c r="J357" s="849"/>
      <c r="K357" s="849"/>
    </row>
    <row r="358">
      <c r="A358" s="849"/>
      <c r="B358" s="849"/>
      <c r="C358" s="849"/>
      <c r="D358" s="849"/>
      <c r="E358" s="849"/>
      <c r="F358" s="849"/>
      <c r="G358" s="849"/>
      <c r="H358" s="849"/>
      <c r="I358" s="849"/>
      <c r="J358" s="849"/>
      <c r="K358" s="849"/>
    </row>
    <row r="359">
      <c r="A359" s="849"/>
      <c r="B359" s="849"/>
      <c r="C359" s="849"/>
      <c r="D359" s="849"/>
      <c r="E359" s="849"/>
      <c r="F359" s="849"/>
      <c r="G359" s="849"/>
      <c r="H359" s="849"/>
      <c r="I359" s="849"/>
      <c r="J359" s="849"/>
      <c r="K359" s="849"/>
    </row>
    <row r="360">
      <c r="A360" s="849"/>
      <c r="B360" s="849"/>
      <c r="C360" s="849"/>
      <c r="D360" s="849"/>
      <c r="E360" s="849"/>
      <c r="F360" s="849"/>
      <c r="G360" s="849"/>
      <c r="H360" s="849"/>
      <c r="I360" s="849"/>
      <c r="J360" s="849"/>
      <c r="K360" s="849"/>
    </row>
    <row r="361">
      <c r="A361" s="849"/>
      <c r="B361" s="849"/>
      <c r="C361" s="849"/>
      <c r="D361" s="849"/>
      <c r="E361" s="849"/>
      <c r="F361" s="849"/>
      <c r="G361" s="849"/>
      <c r="H361" s="849"/>
      <c r="I361" s="849"/>
      <c r="J361" s="849"/>
      <c r="K361" s="849"/>
    </row>
    <row r="362">
      <c r="A362" s="849"/>
      <c r="B362" s="849"/>
      <c r="C362" s="849"/>
      <c r="D362" s="849"/>
      <c r="E362" s="849"/>
      <c r="F362" s="849"/>
      <c r="G362" s="849"/>
      <c r="H362" s="849"/>
      <c r="I362" s="849"/>
      <c r="J362" s="849"/>
      <c r="K362" s="849"/>
    </row>
    <row r="363">
      <c r="A363" s="849"/>
      <c r="B363" s="849"/>
      <c r="C363" s="849"/>
      <c r="D363" s="849"/>
      <c r="E363" s="849"/>
      <c r="F363" s="849"/>
      <c r="G363" s="849"/>
      <c r="H363" s="849"/>
      <c r="I363" s="849"/>
      <c r="J363" s="849"/>
      <c r="K363" s="849"/>
    </row>
    <row r="364">
      <c r="A364" s="849"/>
      <c r="B364" s="849"/>
      <c r="C364" s="849"/>
      <c r="D364" s="849"/>
      <c r="E364" s="849"/>
      <c r="F364" s="849"/>
      <c r="G364" s="849"/>
      <c r="H364" s="849"/>
      <c r="I364" s="849"/>
      <c r="J364" s="849"/>
      <c r="K364" s="849"/>
    </row>
    <row r="365">
      <c r="A365" s="849"/>
      <c r="B365" s="849"/>
      <c r="C365" s="849"/>
      <c r="D365" s="849"/>
      <c r="E365" s="849"/>
      <c r="F365" s="849"/>
      <c r="G365" s="849"/>
      <c r="H365" s="849"/>
      <c r="I365" s="849"/>
      <c r="J365" s="849"/>
      <c r="K365" s="849"/>
    </row>
    <row r="366">
      <c r="A366" s="849"/>
      <c r="B366" s="849"/>
      <c r="C366" s="849"/>
      <c r="D366" s="849"/>
      <c r="E366" s="849"/>
      <c r="F366" s="849"/>
      <c r="G366" s="849"/>
      <c r="H366" s="849"/>
      <c r="I366" s="849"/>
      <c r="J366" s="849"/>
      <c r="K366" s="849"/>
    </row>
    <row r="367">
      <c r="A367" s="849"/>
      <c r="B367" s="849"/>
      <c r="C367" s="849"/>
      <c r="D367" s="849"/>
      <c r="E367" s="849"/>
      <c r="F367" s="849"/>
      <c r="G367" s="849"/>
      <c r="H367" s="849"/>
      <c r="I367" s="849"/>
      <c r="J367" s="849"/>
      <c r="K367" s="849"/>
    </row>
    <row r="368">
      <c r="A368" s="849"/>
      <c r="B368" s="849"/>
      <c r="C368" s="849"/>
      <c r="D368" s="849"/>
      <c r="E368" s="849"/>
      <c r="F368" s="849"/>
      <c r="G368" s="849"/>
      <c r="H368" s="849"/>
      <c r="I368" s="849"/>
      <c r="J368" s="849"/>
      <c r="K368" s="849"/>
    </row>
    <row r="369">
      <c r="A369" s="849"/>
      <c r="B369" s="849"/>
      <c r="C369" s="849"/>
      <c r="D369" s="849"/>
      <c r="E369" s="849"/>
      <c r="F369" s="849"/>
      <c r="G369" s="849"/>
      <c r="H369" s="849"/>
      <c r="I369" s="849"/>
      <c r="J369" s="849"/>
      <c r="K369" s="849"/>
    </row>
    <row r="370">
      <c r="A370" s="849"/>
      <c r="B370" s="849"/>
      <c r="C370" s="849"/>
      <c r="D370" s="849"/>
      <c r="E370" s="849"/>
      <c r="F370" s="849"/>
      <c r="G370" s="849"/>
      <c r="H370" s="849"/>
      <c r="I370" s="849"/>
      <c r="J370" s="849"/>
      <c r="K370" s="849"/>
    </row>
    <row r="371">
      <c r="A371" s="849"/>
      <c r="B371" s="849"/>
      <c r="C371" s="849"/>
      <c r="D371" s="849"/>
      <c r="E371" s="849"/>
      <c r="F371" s="849"/>
      <c r="G371" s="849"/>
      <c r="H371" s="849"/>
      <c r="I371" s="849"/>
      <c r="J371" s="849"/>
      <c r="K371" s="849"/>
    </row>
    <row r="372">
      <c r="A372" s="849"/>
      <c r="B372" s="849"/>
      <c r="C372" s="849"/>
      <c r="D372" s="849"/>
      <c r="E372" s="849"/>
      <c r="F372" s="849"/>
      <c r="G372" s="849"/>
      <c r="H372" s="849"/>
      <c r="I372" s="849"/>
      <c r="J372" s="849"/>
      <c r="K372" s="849"/>
    </row>
    <row r="373">
      <c r="A373" s="849"/>
      <c r="B373" s="849"/>
      <c r="C373" s="849"/>
      <c r="D373" s="849"/>
      <c r="E373" s="849"/>
      <c r="F373" s="849"/>
      <c r="G373" s="849"/>
      <c r="H373" s="849"/>
      <c r="I373" s="849"/>
      <c r="J373" s="849"/>
      <c r="K373" s="849"/>
    </row>
    <row r="374">
      <c r="A374" s="849"/>
      <c r="B374" s="849"/>
      <c r="C374" s="849"/>
      <c r="D374" s="849"/>
      <c r="E374" s="849"/>
      <c r="F374" s="849"/>
      <c r="G374" s="849"/>
      <c r="H374" s="849"/>
      <c r="I374" s="849"/>
      <c r="J374" s="849"/>
      <c r="K374" s="849"/>
    </row>
    <row r="375">
      <c r="A375" s="849"/>
      <c r="B375" s="849"/>
      <c r="C375" s="849"/>
      <c r="D375" s="849"/>
      <c r="E375" s="849"/>
      <c r="F375" s="849"/>
      <c r="G375" s="849"/>
      <c r="H375" s="849"/>
      <c r="I375" s="849"/>
      <c r="J375" s="849"/>
      <c r="K375" s="849"/>
    </row>
    <row r="376">
      <c r="A376" s="849"/>
      <c r="B376" s="849"/>
      <c r="C376" s="849"/>
      <c r="D376" s="849"/>
      <c r="E376" s="849"/>
      <c r="F376" s="849"/>
      <c r="G376" s="849"/>
      <c r="H376" s="849"/>
      <c r="I376" s="849"/>
      <c r="J376" s="849"/>
      <c r="K376" s="849"/>
    </row>
    <row r="377">
      <c r="A377" s="849"/>
      <c r="B377" s="849"/>
      <c r="C377" s="849"/>
      <c r="D377" s="849"/>
      <c r="E377" s="849"/>
      <c r="F377" s="849"/>
      <c r="G377" s="849"/>
      <c r="H377" s="849"/>
      <c r="I377" s="849"/>
      <c r="J377" s="849"/>
      <c r="K377" s="849"/>
    </row>
    <row r="378">
      <c r="A378" s="849"/>
      <c r="B378" s="849"/>
      <c r="C378" s="849"/>
      <c r="D378" s="849"/>
      <c r="E378" s="849"/>
      <c r="F378" s="849"/>
      <c r="G378" s="849"/>
      <c r="H378" s="849"/>
      <c r="I378" s="849"/>
      <c r="J378" s="849"/>
      <c r="K378" s="849"/>
    </row>
    <row r="379">
      <c r="A379" s="849"/>
      <c r="B379" s="849"/>
      <c r="C379" s="849"/>
      <c r="D379" s="849"/>
      <c r="E379" s="849"/>
      <c r="F379" s="849"/>
      <c r="G379" s="849"/>
      <c r="H379" s="849"/>
      <c r="I379" s="849"/>
      <c r="J379" s="849"/>
      <c r="K379" s="849"/>
    </row>
    <row r="380">
      <c r="A380" s="849"/>
      <c r="B380" s="849"/>
      <c r="C380" s="849"/>
      <c r="D380" s="849"/>
      <c r="E380" s="849"/>
      <c r="F380" s="849"/>
      <c r="G380" s="849"/>
      <c r="H380" s="849"/>
      <c r="I380" s="849"/>
      <c r="J380" s="849"/>
      <c r="K380" s="849"/>
    </row>
    <row r="381">
      <c r="A381" s="849"/>
      <c r="B381" s="849"/>
      <c r="C381" s="849"/>
      <c r="D381" s="849"/>
      <c r="E381" s="849"/>
      <c r="F381" s="849"/>
      <c r="G381" s="849"/>
      <c r="H381" s="849"/>
      <c r="I381" s="849"/>
      <c r="J381" s="849"/>
      <c r="K381" s="849"/>
    </row>
    <row r="382">
      <c r="A382" s="849"/>
      <c r="B382" s="849"/>
      <c r="C382" s="849"/>
      <c r="D382" s="849"/>
      <c r="E382" s="849"/>
      <c r="F382" s="849"/>
      <c r="G382" s="849"/>
      <c r="H382" s="849"/>
      <c r="I382" s="849"/>
      <c r="J382" s="849"/>
      <c r="K382" s="849"/>
    </row>
    <row r="383">
      <c r="A383" s="849"/>
      <c r="B383" s="849"/>
      <c r="C383" s="849"/>
      <c r="D383" s="849"/>
      <c r="E383" s="849"/>
      <c r="F383" s="849"/>
      <c r="G383" s="849"/>
      <c r="H383" s="849"/>
      <c r="I383" s="849"/>
      <c r="J383" s="849"/>
      <c r="K383" s="849"/>
    </row>
    <row r="384">
      <c r="A384" s="849"/>
      <c r="B384" s="849"/>
      <c r="C384" s="849"/>
      <c r="D384" s="849"/>
      <c r="E384" s="849"/>
      <c r="F384" s="849"/>
      <c r="G384" s="849"/>
      <c r="H384" s="849"/>
      <c r="I384" s="849"/>
      <c r="J384" s="849"/>
      <c r="K384" s="849"/>
    </row>
    <row r="385">
      <c r="A385" s="849"/>
      <c r="B385" s="849"/>
      <c r="C385" s="849"/>
      <c r="D385" s="849"/>
      <c r="E385" s="849"/>
      <c r="F385" s="849"/>
      <c r="G385" s="849"/>
      <c r="H385" s="849"/>
      <c r="I385" s="849"/>
      <c r="J385" s="849"/>
      <c r="K385" s="849"/>
    </row>
    <row r="386">
      <c r="A386" s="849"/>
      <c r="B386" s="849"/>
      <c r="C386" s="849"/>
      <c r="D386" s="849"/>
      <c r="E386" s="849"/>
      <c r="F386" s="849"/>
      <c r="G386" s="849"/>
      <c r="H386" s="849"/>
      <c r="I386" s="849"/>
      <c r="J386" s="849"/>
      <c r="K386" s="849"/>
    </row>
    <row r="387">
      <c r="A387" s="849"/>
      <c r="B387" s="849"/>
      <c r="C387" s="849"/>
      <c r="D387" s="849"/>
      <c r="E387" s="849"/>
      <c r="F387" s="849"/>
      <c r="G387" s="849"/>
      <c r="H387" s="849"/>
      <c r="I387" s="849"/>
      <c r="J387" s="849"/>
      <c r="K387" s="849"/>
    </row>
    <row r="388">
      <c r="A388" s="849"/>
      <c r="B388" s="849"/>
      <c r="C388" s="849"/>
      <c r="D388" s="849"/>
      <c r="E388" s="849"/>
      <c r="F388" s="849"/>
      <c r="G388" s="849"/>
      <c r="H388" s="849"/>
      <c r="I388" s="849"/>
      <c r="J388" s="849"/>
      <c r="K388" s="849"/>
    </row>
    <row r="389">
      <c r="A389" s="849"/>
      <c r="B389" s="849"/>
      <c r="C389" s="849"/>
      <c r="D389" s="849"/>
      <c r="E389" s="849"/>
      <c r="F389" s="849"/>
      <c r="G389" s="849"/>
      <c r="H389" s="849"/>
      <c r="I389" s="849"/>
      <c r="J389" s="849"/>
      <c r="K389" s="849"/>
    </row>
    <row r="390">
      <c r="A390" s="849"/>
      <c r="B390" s="849"/>
      <c r="C390" s="849"/>
      <c r="D390" s="849"/>
      <c r="E390" s="849"/>
      <c r="F390" s="849"/>
      <c r="G390" s="849"/>
      <c r="H390" s="849"/>
      <c r="I390" s="849"/>
      <c r="J390" s="849"/>
      <c r="K390" s="849"/>
    </row>
    <row r="391">
      <c r="A391" s="849"/>
      <c r="B391" s="849"/>
      <c r="C391" s="849"/>
      <c r="D391" s="849"/>
      <c r="E391" s="849"/>
      <c r="F391" s="849"/>
      <c r="G391" s="849"/>
      <c r="H391" s="849"/>
      <c r="I391" s="849"/>
      <c r="J391" s="849"/>
      <c r="K391" s="849"/>
    </row>
    <row r="392">
      <c r="A392" s="849"/>
      <c r="B392" s="849"/>
      <c r="C392" s="849"/>
      <c r="D392" s="849"/>
      <c r="E392" s="849"/>
      <c r="F392" s="849"/>
      <c r="G392" s="849"/>
      <c r="H392" s="849"/>
      <c r="I392" s="849"/>
      <c r="J392" s="849"/>
      <c r="K392" s="849"/>
    </row>
    <row r="393">
      <c r="A393" s="849"/>
      <c r="B393" s="849"/>
      <c r="C393" s="849"/>
      <c r="D393" s="849"/>
      <c r="E393" s="849"/>
      <c r="F393" s="849"/>
      <c r="G393" s="849"/>
      <c r="H393" s="849"/>
      <c r="I393" s="849"/>
      <c r="J393" s="849"/>
      <c r="K393" s="849"/>
    </row>
    <row r="394">
      <c r="A394" s="849"/>
      <c r="B394" s="849"/>
      <c r="C394" s="849"/>
      <c r="D394" s="849"/>
      <c r="E394" s="849"/>
      <c r="F394" s="849"/>
      <c r="G394" s="849"/>
      <c r="H394" s="849"/>
      <c r="I394" s="849"/>
      <c r="J394" s="849"/>
      <c r="K394" s="849"/>
    </row>
    <row r="395">
      <c r="A395" s="849"/>
      <c r="B395" s="849"/>
      <c r="C395" s="849"/>
      <c r="D395" s="849"/>
      <c r="E395" s="849"/>
      <c r="F395" s="849"/>
      <c r="G395" s="849"/>
      <c r="H395" s="849"/>
      <c r="I395" s="849"/>
      <c r="J395" s="849"/>
      <c r="K395" s="849"/>
    </row>
    <row r="396">
      <c r="A396" s="849"/>
      <c r="B396" s="849"/>
      <c r="C396" s="849"/>
      <c r="D396" s="849"/>
      <c r="E396" s="849"/>
      <c r="F396" s="849"/>
      <c r="G396" s="849"/>
      <c r="H396" s="849"/>
      <c r="I396" s="849"/>
      <c r="J396" s="849"/>
      <c r="K396" s="849"/>
    </row>
    <row r="397">
      <c r="A397" s="849"/>
      <c r="B397" s="849"/>
      <c r="C397" s="849"/>
      <c r="D397" s="849"/>
      <c r="E397" s="849"/>
      <c r="F397" s="849"/>
      <c r="G397" s="849"/>
      <c r="H397" s="849"/>
      <c r="I397" s="849"/>
      <c r="J397" s="849"/>
      <c r="K397" s="849"/>
    </row>
    <row r="398">
      <c r="A398" s="849"/>
      <c r="B398" s="849"/>
      <c r="C398" s="849"/>
      <c r="D398" s="849"/>
      <c r="E398" s="849"/>
      <c r="F398" s="849"/>
      <c r="G398" s="849"/>
      <c r="H398" s="849"/>
      <c r="I398" s="849"/>
      <c r="J398" s="849"/>
      <c r="K398" s="849"/>
    </row>
    <row r="399">
      <c r="A399" s="849"/>
      <c r="B399" s="849"/>
      <c r="C399" s="849"/>
      <c r="D399" s="849"/>
      <c r="E399" s="849"/>
      <c r="F399" s="849"/>
      <c r="G399" s="849"/>
      <c r="H399" s="849"/>
      <c r="I399" s="849"/>
      <c r="J399" s="849"/>
      <c r="K399" s="849"/>
    </row>
    <row r="400">
      <c r="A400" s="849"/>
      <c r="B400" s="849"/>
      <c r="C400" s="849"/>
      <c r="D400" s="849"/>
      <c r="E400" s="849"/>
      <c r="F400" s="849"/>
      <c r="G400" s="849"/>
      <c r="H400" s="849"/>
      <c r="I400" s="849"/>
      <c r="J400" s="849"/>
      <c r="K400" s="849"/>
    </row>
    <row r="401">
      <c r="A401" s="849"/>
      <c r="B401" s="849"/>
      <c r="C401" s="849"/>
      <c r="D401" s="849"/>
      <c r="E401" s="849"/>
      <c r="F401" s="849"/>
      <c r="G401" s="849"/>
      <c r="H401" s="849"/>
      <c r="I401" s="849"/>
      <c r="J401" s="849"/>
      <c r="K401" s="849"/>
    </row>
    <row r="402">
      <c r="A402" s="849"/>
      <c r="B402" s="849"/>
      <c r="C402" s="849"/>
      <c r="D402" s="849"/>
      <c r="E402" s="849"/>
      <c r="F402" s="849"/>
      <c r="G402" s="849"/>
      <c r="H402" s="849"/>
      <c r="I402" s="849"/>
      <c r="J402" s="849"/>
      <c r="K402" s="849"/>
    </row>
    <row r="403">
      <c r="A403" s="849"/>
      <c r="B403" s="849"/>
      <c r="C403" s="849"/>
      <c r="D403" s="849"/>
      <c r="E403" s="849"/>
      <c r="F403" s="849"/>
      <c r="G403" s="849"/>
      <c r="H403" s="849"/>
      <c r="I403" s="849"/>
      <c r="J403" s="849"/>
      <c r="K403" s="849"/>
    </row>
    <row r="404">
      <c r="A404" s="849"/>
      <c r="B404" s="849"/>
      <c r="C404" s="849"/>
      <c r="D404" s="849"/>
      <c r="E404" s="849"/>
      <c r="F404" s="849"/>
      <c r="G404" s="849"/>
      <c r="H404" s="849"/>
      <c r="I404" s="849"/>
      <c r="J404" s="849"/>
      <c r="K404" s="849"/>
    </row>
    <row r="405">
      <c r="A405" s="849"/>
      <c r="B405" s="849"/>
      <c r="C405" s="849"/>
      <c r="D405" s="849"/>
      <c r="E405" s="849"/>
      <c r="F405" s="849"/>
      <c r="G405" s="849"/>
      <c r="H405" s="849"/>
      <c r="I405" s="849"/>
      <c r="J405" s="849"/>
      <c r="K405" s="849"/>
    </row>
    <row r="406">
      <c r="A406" s="849"/>
      <c r="B406" s="849"/>
      <c r="C406" s="849"/>
      <c r="D406" s="849"/>
      <c r="E406" s="849"/>
      <c r="F406" s="849"/>
      <c r="G406" s="849"/>
      <c r="H406" s="849"/>
      <c r="I406" s="849"/>
      <c r="J406" s="849"/>
      <c r="K406" s="849"/>
    </row>
    <row r="407">
      <c r="A407" s="849"/>
      <c r="B407" s="849"/>
      <c r="C407" s="849"/>
      <c r="D407" s="849"/>
      <c r="E407" s="849"/>
      <c r="F407" s="849"/>
      <c r="G407" s="849"/>
      <c r="H407" s="849"/>
      <c r="I407" s="849"/>
      <c r="J407" s="849"/>
      <c r="K407" s="849"/>
    </row>
    <row r="408">
      <c r="A408" s="849"/>
      <c r="B408" s="849"/>
      <c r="C408" s="849"/>
      <c r="D408" s="849"/>
      <c r="E408" s="849"/>
      <c r="F408" s="849"/>
      <c r="G408" s="849"/>
      <c r="H408" s="849"/>
      <c r="I408" s="849"/>
      <c r="J408" s="849"/>
      <c r="K408" s="849"/>
    </row>
    <row r="409">
      <c r="A409" s="849"/>
      <c r="B409" s="849"/>
      <c r="C409" s="849"/>
      <c r="D409" s="849"/>
      <c r="E409" s="849"/>
      <c r="F409" s="849"/>
      <c r="G409" s="849"/>
      <c r="H409" s="849"/>
      <c r="I409" s="849"/>
      <c r="J409" s="849"/>
      <c r="K409" s="849"/>
    </row>
    <row r="410">
      <c r="A410" s="849"/>
      <c r="B410" s="849"/>
      <c r="C410" s="849"/>
      <c r="D410" s="849"/>
      <c r="E410" s="849"/>
      <c r="F410" s="849"/>
      <c r="G410" s="849"/>
      <c r="H410" s="849"/>
      <c r="I410" s="849"/>
      <c r="J410" s="849"/>
      <c r="K410" s="849"/>
    </row>
    <row r="411">
      <c r="A411" s="849"/>
      <c r="B411" s="849"/>
      <c r="C411" s="849"/>
      <c r="D411" s="849"/>
      <c r="E411" s="849"/>
      <c r="F411" s="849"/>
      <c r="G411" s="849"/>
      <c r="H411" s="849"/>
      <c r="I411" s="849"/>
      <c r="J411" s="849"/>
      <c r="K411" s="849"/>
    </row>
    <row r="412">
      <c r="A412" s="849"/>
      <c r="B412" s="849"/>
      <c r="C412" s="849"/>
      <c r="D412" s="849"/>
      <c r="E412" s="849"/>
      <c r="F412" s="849"/>
      <c r="G412" s="849"/>
      <c r="H412" s="849"/>
      <c r="I412" s="849"/>
      <c r="J412" s="849"/>
      <c r="K412" s="849"/>
    </row>
    <row r="413">
      <c r="A413" s="849"/>
      <c r="B413" s="849"/>
      <c r="C413" s="849"/>
      <c r="D413" s="849"/>
      <c r="E413" s="849"/>
      <c r="F413" s="849"/>
      <c r="G413" s="849"/>
      <c r="H413" s="849"/>
      <c r="I413" s="849"/>
      <c r="J413" s="849"/>
      <c r="K413" s="849"/>
    </row>
    <row r="414">
      <c r="A414" s="849"/>
      <c r="B414" s="849"/>
      <c r="C414" s="849"/>
      <c r="D414" s="849"/>
      <c r="E414" s="849"/>
      <c r="F414" s="849"/>
      <c r="G414" s="849"/>
      <c r="H414" s="849"/>
      <c r="I414" s="849"/>
      <c r="J414" s="849"/>
      <c r="K414" s="849"/>
    </row>
    <row r="415">
      <c r="A415" s="849"/>
      <c r="B415" s="849"/>
      <c r="C415" s="849"/>
      <c r="D415" s="849"/>
      <c r="E415" s="849"/>
      <c r="F415" s="849"/>
      <c r="G415" s="849"/>
      <c r="H415" s="849"/>
      <c r="I415" s="849"/>
      <c r="J415" s="849"/>
      <c r="K415" s="849"/>
    </row>
    <row r="416">
      <c r="A416" s="849"/>
      <c r="B416" s="849"/>
      <c r="C416" s="849"/>
      <c r="D416" s="849"/>
      <c r="E416" s="849"/>
      <c r="F416" s="849"/>
      <c r="G416" s="849"/>
      <c r="H416" s="849"/>
      <c r="I416" s="849"/>
      <c r="J416" s="849"/>
      <c r="K416" s="849"/>
    </row>
    <row r="417">
      <c r="A417" s="849"/>
      <c r="B417" s="849"/>
      <c r="C417" s="849"/>
      <c r="D417" s="849"/>
      <c r="E417" s="849"/>
      <c r="F417" s="849"/>
      <c r="G417" s="849"/>
      <c r="H417" s="849"/>
      <c r="I417" s="849"/>
      <c r="J417" s="849"/>
      <c r="K417" s="849"/>
    </row>
    <row r="418">
      <c r="A418" s="849"/>
      <c r="B418" s="849"/>
      <c r="C418" s="849"/>
      <c r="D418" s="849"/>
      <c r="E418" s="849"/>
      <c r="F418" s="849"/>
      <c r="G418" s="849"/>
      <c r="H418" s="849"/>
      <c r="I418" s="849"/>
      <c r="J418" s="849"/>
      <c r="K418" s="849"/>
    </row>
    <row r="419">
      <c r="A419" s="849"/>
      <c r="B419" s="849"/>
      <c r="C419" s="849"/>
      <c r="D419" s="849"/>
      <c r="E419" s="849"/>
      <c r="F419" s="849"/>
      <c r="G419" s="849"/>
      <c r="H419" s="849"/>
      <c r="I419" s="849"/>
      <c r="J419" s="849"/>
      <c r="K419" s="849"/>
    </row>
    <row r="420">
      <c r="A420" s="849"/>
      <c r="B420" s="849"/>
      <c r="C420" s="849"/>
      <c r="D420" s="849"/>
      <c r="E420" s="849"/>
      <c r="F420" s="849"/>
      <c r="G420" s="849"/>
      <c r="H420" s="849"/>
      <c r="I420" s="849"/>
      <c r="J420" s="849"/>
      <c r="K420" s="849"/>
    </row>
    <row r="421">
      <c r="A421" s="849"/>
      <c r="B421" s="849"/>
      <c r="C421" s="849"/>
      <c r="D421" s="849"/>
      <c r="E421" s="849"/>
      <c r="F421" s="849"/>
      <c r="G421" s="849"/>
      <c r="H421" s="849"/>
      <c r="I421" s="849"/>
      <c r="J421" s="849"/>
      <c r="K421" s="849"/>
    </row>
    <row r="422">
      <c r="A422" s="849"/>
      <c r="B422" s="849"/>
      <c r="C422" s="849"/>
      <c r="D422" s="849"/>
      <c r="E422" s="849"/>
      <c r="F422" s="849"/>
      <c r="G422" s="849"/>
      <c r="H422" s="849"/>
      <c r="I422" s="849"/>
      <c r="J422" s="849"/>
      <c r="K422" s="849"/>
    </row>
    <row r="423">
      <c r="A423" s="849"/>
      <c r="B423" s="849"/>
      <c r="C423" s="849"/>
      <c r="D423" s="849"/>
      <c r="E423" s="849"/>
      <c r="F423" s="849"/>
      <c r="G423" s="849"/>
      <c r="H423" s="849"/>
      <c r="I423" s="849"/>
      <c r="J423" s="849"/>
      <c r="K423" s="849"/>
    </row>
    <row r="424">
      <c r="A424" s="849"/>
      <c r="B424" s="849"/>
      <c r="C424" s="849"/>
      <c r="D424" s="849"/>
      <c r="E424" s="849"/>
      <c r="F424" s="849"/>
      <c r="G424" s="849"/>
      <c r="H424" s="849"/>
      <c r="I424" s="849"/>
      <c r="J424" s="849"/>
      <c r="K424" s="849"/>
    </row>
    <row r="425">
      <c r="A425" s="849"/>
      <c r="B425" s="849"/>
      <c r="C425" s="849"/>
      <c r="D425" s="849"/>
      <c r="E425" s="849"/>
      <c r="F425" s="849"/>
      <c r="G425" s="849"/>
      <c r="H425" s="849"/>
      <c r="I425" s="849"/>
      <c r="J425" s="849"/>
      <c r="K425" s="849"/>
    </row>
    <row r="426">
      <c r="A426" s="849"/>
      <c r="B426" s="849"/>
      <c r="C426" s="849"/>
      <c r="D426" s="849"/>
      <c r="E426" s="849"/>
      <c r="F426" s="849"/>
      <c r="G426" s="849"/>
      <c r="H426" s="849"/>
      <c r="I426" s="849"/>
      <c r="J426" s="849"/>
      <c r="K426" s="849"/>
    </row>
    <row r="427">
      <c r="A427" s="849"/>
      <c r="B427" s="849"/>
      <c r="C427" s="849"/>
      <c r="D427" s="849"/>
      <c r="E427" s="849"/>
      <c r="F427" s="849"/>
      <c r="G427" s="849"/>
      <c r="H427" s="849"/>
      <c r="I427" s="849"/>
      <c r="J427" s="849"/>
      <c r="K427" s="849"/>
    </row>
    <row r="428">
      <c r="A428" s="849"/>
      <c r="B428" s="849"/>
      <c r="C428" s="849"/>
      <c r="D428" s="849"/>
      <c r="E428" s="849"/>
      <c r="F428" s="849"/>
      <c r="G428" s="849"/>
      <c r="H428" s="849"/>
      <c r="I428" s="849"/>
      <c r="J428" s="849"/>
      <c r="K428" s="849"/>
    </row>
    <row r="429">
      <c r="A429" s="849"/>
      <c r="B429" s="849"/>
      <c r="C429" s="849"/>
      <c r="D429" s="849"/>
      <c r="E429" s="849"/>
      <c r="F429" s="849"/>
      <c r="G429" s="849"/>
      <c r="H429" s="849"/>
      <c r="I429" s="849"/>
      <c r="J429" s="849"/>
      <c r="K429" s="849"/>
    </row>
    <row r="430">
      <c r="A430" s="849"/>
      <c r="B430" s="849"/>
      <c r="C430" s="849"/>
      <c r="D430" s="849"/>
      <c r="E430" s="849"/>
      <c r="F430" s="849"/>
      <c r="G430" s="849"/>
      <c r="H430" s="849"/>
      <c r="I430" s="849"/>
      <c r="J430" s="849"/>
      <c r="K430" s="849"/>
    </row>
    <row r="431">
      <c r="A431" s="849"/>
      <c r="B431" s="849"/>
      <c r="C431" s="849"/>
      <c r="D431" s="849"/>
      <c r="E431" s="849"/>
      <c r="F431" s="849"/>
      <c r="G431" s="849"/>
      <c r="H431" s="849"/>
      <c r="I431" s="849"/>
      <c r="J431" s="849"/>
      <c r="K431" s="849"/>
    </row>
    <row r="432">
      <c r="A432" s="849"/>
      <c r="B432" s="849"/>
      <c r="C432" s="849"/>
      <c r="D432" s="849"/>
      <c r="E432" s="849"/>
      <c r="F432" s="849"/>
      <c r="G432" s="849"/>
      <c r="H432" s="849"/>
      <c r="I432" s="849"/>
      <c r="J432" s="849"/>
      <c r="K432" s="849"/>
    </row>
    <row r="433">
      <c r="A433" s="849"/>
      <c r="B433" s="849"/>
      <c r="C433" s="849"/>
      <c r="D433" s="849"/>
      <c r="E433" s="849"/>
      <c r="F433" s="849"/>
      <c r="G433" s="849"/>
      <c r="H433" s="849"/>
      <c r="I433" s="849"/>
      <c r="J433" s="849"/>
      <c r="K433" s="849"/>
    </row>
    <row r="434">
      <c r="A434" s="849"/>
      <c r="B434" s="849"/>
      <c r="C434" s="849"/>
      <c r="D434" s="849"/>
      <c r="E434" s="849"/>
      <c r="F434" s="849"/>
      <c r="G434" s="849"/>
      <c r="H434" s="849"/>
      <c r="I434" s="849"/>
      <c r="J434" s="849"/>
      <c r="K434" s="849"/>
    </row>
    <row r="435">
      <c r="A435" s="849"/>
      <c r="B435" s="849"/>
      <c r="C435" s="849"/>
      <c r="D435" s="849"/>
      <c r="E435" s="849"/>
      <c r="F435" s="849"/>
      <c r="G435" s="849"/>
      <c r="H435" s="849"/>
      <c r="I435" s="849"/>
      <c r="J435" s="849"/>
      <c r="K435" s="849"/>
    </row>
    <row r="436">
      <c r="A436" s="849"/>
      <c r="B436" s="849"/>
      <c r="C436" s="849"/>
      <c r="D436" s="849"/>
      <c r="E436" s="849"/>
      <c r="F436" s="849"/>
      <c r="G436" s="849"/>
      <c r="H436" s="849"/>
      <c r="I436" s="849"/>
      <c r="J436" s="849"/>
      <c r="K436" s="849"/>
    </row>
    <row r="437">
      <c r="A437" s="849"/>
      <c r="B437" s="849"/>
      <c r="C437" s="849"/>
      <c r="D437" s="849"/>
      <c r="E437" s="849"/>
      <c r="F437" s="849"/>
      <c r="G437" s="849"/>
      <c r="H437" s="849"/>
      <c r="I437" s="849"/>
      <c r="J437" s="849"/>
      <c r="K437" s="849"/>
    </row>
    <row r="438">
      <c r="A438" s="849"/>
      <c r="B438" s="849"/>
      <c r="C438" s="849"/>
      <c r="D438" s="849"/>
      <c r="E438" s="849"/>
      <c r="F438" s="849"/>
      <c r="G438" s="849"/>
      <c r="H438" s="849"/>
      <c r="I438" s="849"/>
      <c r="J438" s="849"/>
      <c r="K438" s="849"/>
    </row>
    <row r="439">
      <c r="A439" s="849"/>
      <c r="B439" s="849"/>
      <c r="C439" s="849"/>
      <c r="D439" s="849"/>
      <c r="E439" s="849"/>
      <c r="F439" s="849"/>
      <c r="G439" s="849"/>
      <c r="H439" s="849"/>
      <c r="I439" s="849"/>
      <c r="J439" s="849"/>
      <c r="K439" s="849"/>
    </row>
    <row r="440">
      <c r="A440" s="849"/>
      <c r="B440" s="849"/>
      <c r="C440" s="849"/>
      <c r="D440" s="849"/>
      <c r="E440" s="849"/>
      <c r="F440" s="849"/>
      <c r="G440" s="849"/>
      <c r="H440" s="849"/>
      <c r="I440" s="849"/>
      <c r="J440" s="849"/>
      <c r="K440" s="849"/>
    </row>
    <row r="441">
      <c r="A441" s="849"/>
      <c r="B441" s="849"/>
      <c r="C441" s="849"/>
      <c r="D441" s="849"/>
      <c r="E441" s="849"/>
      <c r="F441" s="849"/>
      <c r="G441" s="849"/>
      <c r="H441" s="849"/>
      <c r="I441" s="849"/>
      <c r="J441" s="849"/>
      <c r="K441" s="849"/>
    </row>
    <row r="442">
      <c r="A442" s="849"/>
      <c r="B442" s="849"/>
      <c r="C442" s="849"/>
      <c r="D442" s="849"/>
      <c r="E442" s="849"/>
      <c r="F442" s="849"/>
      <c r="G442" s="849"/>
      <c r="H442" s="849"/>
      <c r="I442" s="849"/>
      <c r="J442" s="849"/>
      <c r="K442" s="849"/>
    </row>
    <row r="443">
      <c r="A443" s="849"/>
      <c r="B443" s="849"/>
      <c r="C443" s="849"/>
      <c r="D443" s="849"/>
      <c r="E443" s="849"/>
      <c r="F443" s="849"/>
      <c r="G443" s="849"/>
      <c r="H443" s="849"/>
      <c r="I443" s="849"/>
      <c r="J443" s="849"/>
      <c r="K443" s="849"/>
    </row>
    <row r="444">
      <c r="A444" s="849"/>
      <c r="B444" s="849"/>
      <c r="C444" s="849"/>
      <c r="D444" s="849"/>
      <c r="E444" s="849"/>
      <c r="F444" s="849"/>
      <c r="G444" s="849"/>
      <c r="H444" s="849"/>
      <c r="I444" s="849"/>
      <c r="J444" s="849"/>
      <c r="K444" s="849"/>
    </row>
    <row r="445">
      <c r="A445" s="849"/>
      <c r="B445" s="849"/>
      <c r="C445" s="849"/>
      <c r="D445" s="849"/>
      <c r="E445" s="849"/>
      <c r="F445" s="849"/>
      <c r="G445" s="849"/>
      <c r="H445" s="849"/>
      <c r="I445" s="849"/>
      <c r="J445" s="849"/>
      <c r="K445" s="849"/>
    </row>
    <row r="446">
      <c r="A446" s="849"/>
      <c r="B446" s="849"/>
      <c r="C446" s="849"/>
      <c r="D446" s="849"/>
      <c r="E446" s="849"/>
      <c r="F446" s="849"/>
      <c r="G446" s="849"/>
      <c r="H446" s="849"/>
      <c r="I446" s="849"/>
      <c r="J446" s="849"/>
      <c r="K446" s="849"/>
    </row>
    <row r="447">
      <c r="A447" s="849"/>
      <c r="B447" s="849"/>
      <c r="C447" s="849"/>
      <c r="D447" s="849"/>
      <c r="E447" s="849"/>
      <c r="F447" s="849"/>
      <c r="G447" s="849"/>
      <c r="H447" s="849"/>
      <c r="I447" s="849"/>
      <c r="J447" s="849"/>
      <c r="K447" s="849"/>
    </row>
    <row r="448">
      <c r="A448" s="849"/>
      <c r="B448" s="849"/>
      <c r="C448" s="849"/>
      <c r="D448" s="849"/>
      <c r="E448" s="849"/>
      <c r="F448" s="849"/>
      <c r="G448" s="849"/>
      <c r="H448" s="849"/>
      <c r="I448" s="849"/>
      <c r="J448" s="849"/>
      <c r="K448" s="849"/>
    </row>
    <row r="449">
      <c r="A449" s="849"/>
      <c r="B449" s="849"/>
      <c r="C449" s="849"/>
      <c r="D449" s="849"/>
      <c r="E449" s="849"/>
      <c r="F449" s="849"/>
      <c r="G449" s="849"/>
      <c r="H449" s="849"/>
      <c r="I449" s="849"/>
      <c r="J449" s="849"/>
      <c r="K449" s="849"/>
    </row>
    <row r="450">
      <c r="A450" s="849"/>
      <c r="B450" s="849"/>
      <c r="C450" s="849"/>
      <c r="D450" s="849"/>
      <c r="E450" s="849"/>
      <c r="F450" s="849"/>
      <c r="G450" s="849"/>
      <c r="H450" s="849"/>
      <c r="I450" s="849"/>
      <c r="J450" s="849"/>
      <c r="K450" s="849"/>
    </row>
    <row r="451">
      <c r="A451" s="849"/>
      <c r="B451" s="849"/>
      <c r="C451" s="849"/>
      <c r="D451" s="849"/>
      <c r="E451" s="849"/>
      <c r="F451" s="849"/>
      <c r="G451" s="849"/>
      <c r="H451" s="849"/>
      <c r="I451" s="849"/>
      <c r="J451" s="849"/>
      <c r="K451" s="849"/>
    </row>
    <row r="452">
      <c r="A452" s="849"/>
      <c r="B452" s="849"/>
      <c r="C452" s="849"/>
      <c r="D452" s="849"/>
      <c r="E452" s="849"/>
      <c r="F452" s="849"/>
      <c r="G452" s="849"/>
      <c r="H452" s="849"/>
      <c r="I452" s="849"/>
      <c r="J452" s="849"/>
      <c r="K452" s="849"/>
    </row>
    <row r="453">
      <c r="A453" s="849"/>
      <c r="B453" s="849"/>
      <c r="C453" s="849"/>
      <c r="D453" s="849"/>
      <c r="E453" s="849"/>
      <c r="F453" s="849"/>
      <c r="G453" s="849"/>
      <c r="H453" s="849"/>
      <c r="I453" s="849"/>
      <c r="J453" s="849"/>
      <c r="K453" s="849"/>
    </row>
    <row r="454">
      <c r="A454" s="849"/>
      <c r="B454" s="849"/>
      <c r="C454" s="849"/>
      <c r="D454" s="849"/>
      <c r="E454" s="849"/>
      <c r="F454" s="849"/>
      <c r="G454" s="849"/>
      <c r="H454" s="849"/>
      <c r="I454" s="849"/>
      <c r="J454" s="849"/>
      <c r="K454" s="849"/>
    </row>
    <row r="455">
      <c r="A455" s="849"/>
      <c r="B455" s="849"/>
      <c r="C455" s="849"/>
      <c r="D455" s="849"/>
      <c r="E455" s="849"/>
      <c r="F455" s="849"/>
      <c r="G455" s="849"/>
      <c r="H455" s="849"/>
      <c r="I455" s="849"/>
      <c r="J455" s="849"/>
      <c r="K455" s="849"/>
    </row>
    <row r="456">
      <c r="A456" s="849"/>
      <c r="B456" s="849"/>
      <c r="C456" s="849"/>
      <c r="D456" s="849"/>
      <c r="E456" s="849"/>
      <c r="F456" s="849"/>
      <c r="G456" s="849"/>
      <c r="H456" s="849"/>
      <c r="I456" s="849"/>
      <c r="J456" s="849"/>
      <c r="K456" s="849"/>
    </row>
    <row r="457">
      <c r="A457" s="849"/>
      <c r="B457" s="849"/>
      <c r="C457" s="849"/>
      <c r="D457" s="849"/>
      <c r="E457" s="849"/>
      <c r="F457" s="849"/>
      <c r="G457" s="849"/>
      <c r="H457" s="849"/>
      <c r="I457" s="849"/>
      <c r="J457" s="849"/>
      <c r="K457" s="849"/>
    </row>
    <row r="458">
      <c r="A458" s="849"/>
      <c r="B458" s="849"/>
      <c r="C458" s="849"/>
      <c r="D458" s="849"/>
      <c r="E458" s="849"/>
      <c r="F458" s="849"/>
      <c r="G458" s="849"/>
      <c r="H458" s="849"/>
      <c r="I458" s="849"/>
      <c r="J458" s="849"/>
      <c r="K458" s="849"/>
    </row>
    <row r="459">
      <c r="A459" s="849"/>
      <c r="B459" s="849"/>
      <c r="C459" s="849"/>
      <c r="D459" s="849"/>
      <c r="E459" s="849"/>
      <c r="F459" s="849"/>
      <c r="G459" s="849"/>
      <c r="H459" s="849"/>
      <c r="I459" s="849"/>
      <c r="J459" s="849"/>
      <c r="K459" s="849"/>
    </row>
    <row r="460">
      <c r="A460" s="849"/>
      <c r="B460" s="849"/>
      <c r="C460" s="849"/>
      <c r="D460" s="849"/>
      <c r="E460" s="849"/>
      <c r="F460" s="849"/>
      <c r="G460" s="849"/>
      <c r="H460" s="849"/>
      <c r="I460" s="849"/>
      <c r="J460" s="849"/>
      <c r="K460" s="849"/>
    </row>
    <row r="461">
      <c r="A461" s="849"/>
      <c r="B461" s="849"/>
      <c r="C461" s="849"/>
      <c r="D461" s="849"/>
      <c r="E461" s="849"/>
      <c r="F461" s="849"/>
      <c r="G461" s="849"/>
      <c r="H461" s="849"/>
      <c r="I461" s="849"/>
      <c r="J461" s="849"/>
      <c r="K461" s="849"/>
    </row>
    <row r="462">
      <c r="A462" s="849"/>
      <c r="B462" s="849"/>
      <c r="C462" s="849"/>
      <c r="D462" s="849"/>
      <c r="E462" s="849"/>
      <c r="F462" s="849"/>
      <c r="G462" s="849"/>
      <c r="H462" s="849"/>
      <c r="I462" s="849"/>
      <c r="J462" s="849"/>
      <c r="K462" s="849"/>
    </row>
    <row r="463">
      <c r="A463" s="849"/>
      <c r="B463" s="849"/>
      <c r="C463" s="849"/>
      <c r="D463" s="849"/>
      <c r="E463" s="849"/>
      <c r="F463" s="849"/>
      <c r="G463" s="849"/>
      <c r="H463" s="849"/>
      <c r="I463" s="849"/>
      <c r="J463" s="849"/>
      <c r="K463" s="849"/>
    </row>
    <row r="464">
      <c r="A464" s="849"/>
      <c r="B464" s="849"/>
      <c r="C464" s="849"/>
      <c r="D464" s="849"/>
      <c r="E464" s="849"/>
      <c r="F464" s="849"/>
      <c r="G464" s="849"/>
      <c r="H464" s="849"/>
      <c r="I464" s="849"/>
      <c r="J464" s="849"/>
      <c r="K464" s="849"/>
    </row>
    <row r="465">
      <c r="A465" s="849"/>
      <c r="B465" s="849"/>
      <c r="C465" s="849"/>
      <c r="D465" s="849"/>
      <c r="E465" s="849"/>
      <c r="F465" s="849"/>
      <c r="G465" s="849"/>
      <c r="H465" s="849"/>
      <c r="I465" s="849"/>
      <c r="J465" s="849"/>
      <c r="K465" s="849"/>
    </row>
    <row r="466">
      <c r="A466" s="849"/>
      <c r="B466" s="849"/>
      <c r="C466" s="849"/>
      <c r="D466" s="849"/>
      <c r="E466" s="849"/>
      <c r="F466" s="849"/>
      <c r="G466" s="849"/>
      <c r="H466" s="849"/>
      <c r="I466" s="849"/>
      <c r="J466" s="849"/>
      <c r="K466" s="849"/>
    </row>
    <row r="467">
      <c r="A467" s="849"/>
      <c r="B467" s="849"/>
      <c r="C467" s="849"/>
      <c r="D467" s="849"/>
      <c r="E467" s="849"/>
      <c r="F467" s="849"/>
      <c r="G467" s="849"/>
      <c r="H467" s="849"/>
      <c r="I467" s="849"/>
      <c r="J467" s="849"/>
      <c r="K467" s="849"/>
    </row>
    <row r="468">
      <c r="A468" s="849"/>
      <c r="B468" s="849"/>
      <c r="C468" s="849"/>
      <c r="D468" s="849"/>
      <c r="E468" s="849"/>
      <c r="F468" s="849"/>
      <c r="G468" s="849"/>
      <c r="H468" s="849"/>
      <c r="I468" s="849"/>
      <c r="J468" s="849"/>
      <c r="K468" s="849"/>
    </row>
    <row r="469">
      <c r="A469" s="849"/>
      <c r="B469" s="849"/>
      <c r="C469" s="849"/>
      <c r="D469" s="849"/>
      <c r="E469" s="849"/>
      <c r="F469" s="849"/>
      <c r="G469" s="849"/>
      <c r="H469" s="849"/>
      <c r="I469" s="849"/>
      <c r="J469" s="849"/>
      <c r="K469" s="849"/>
    </row>
    <row r="470">
      <c r="A470" s="849"/>
      <c r="B470" s="849"/>
      <c r="C470" s="849"/>
      <c r="D470" s="849"/>
      <c r="E470" s="849"/>
      <c r="F470" s="849"/>
      <c r="G470" s="849"/>
      <c r="H470" s="849"/>
      <c r="I470" s="849"/>
      <c r="J470" s="849"/>
      <c r="K470" s="849"/>
    </row>
    <row r="471">
      <c r="A471" s="849"/>
      <c r="B471" s="849"/>
      <c r="C471" s="849"/>
      <c r="D471" s="849"/>
      <c r="E471" s="849"/>
      <c r="F471" s="849"/>
      <c r="G471" s="849"/>
      <c r="H471" s="849"/>
      <c r="I471" s="849"/>
      <c r="J471" s="849"/>
      <c r="K471" s="849"/>
    </row>
    <row r="472">
      <c r="A472" s="849"/>
      <c r="B472" s="849"/>
      <c r="C472" s="849"/>
      <c r="D472" s="849"/>
      <c r="E472" s="849"/>
      <c r="F472" s="849"/>
      <c r="G472" s="849"/>
      <c r="H472" s="849"/>
      <c r="I472" s="849"/>
      <c r="J472" s="849"/>
      <c r="K472" s="849"/>
    </row>
    <row r="473">
      <c r="A473" s="849"/>
      <c r="B473" s="849"/>
      <c r="C473" s="849"/>
      <c r="D473" s="849"/>
      <c r="E473" s="849"/>
      <c r="F473" s="849"/>
      <c r="G473" s="849"/>
      <c r="H473" s="849"/>
      <c r="I473" s="849"/>
      <c r="J473" s="849"/>
      <c r="K473" s="849"/>
    </row>
    <row r="474">
      <c r="A474" s="849"/>
      <c r="B474" s="849"/>
      <c r="C474" s="849"/>
      <c r="D474" s="849"/>
      <c r="E474" s="849"/>
      <c r="F474" s="849"/>
      <c r="G474" s="849"/>
      <c r="H474" s="849"/>
      <c r="I474" s="849"/>
      <c r="J474" s="849"/>
      <c r="K474" s="849"/>
    </row>
    <row r="475">
      <c r="A475" s="849"/>
      <c r="B475" s="849"/>
      <c r="C475" s="849"/>
      <c r="D475" s="849"/>
      <c r="E475" s="849"/>
      <c r="F475" s="849"/>
      <c r="G475" s="849"/>
      <c r="H475" s="849"/>
      <c r="I475" s="849"/>
      <c r="J475" s="849"/>
      <c r="K475" s="849"/>
    </row>
    <row r="476">
      <c r="A476" s="849"/>
      <c r="B476" s="849"/>
      <c r="C476" s="849"/>
      <c r="D476" s="849"/>
      <c r="E476" s="849"/>
      <c r="F476" s="849"/>
      <c r="G476" s="849"/>
      <c r="H476" s="849"/>
      <c r="I476" s="849"/>
      <c r="J476" s="849"/>
      <c r="K476" s="849"/>
    </row>
    <row r="477">
      <c r="A477" s="849"/>
      <c r="B477" s="849"/>
      <c r="C477" s="849"/>
      <c r="D477" s="849"/>
      <c r="E477" s="849"/>
      <c r="F477" s="849"/>
      <c r="G477" s="849"/>
      <c r="H477" s="849"/>
      <c r="I477" s="849"/>
      <c r="J477" s="849"/>
      <c r="K477" s="849"/>
    </row>
    <row r="478">
      <c r="A478" s="849"/>
      <c r="B478" s="849"/>
      <c r="C478" s="849"/>
      <c r="D478" s="849"/>
      <c r="E478" s="849"/>
      <c r="F478" s="849"/>
      <c r="G478" s="849"/>
      <c r="H478" s="849"/>
      <c r="I478" s="849"/>
      <c r="J478" s="849"/>
      <c r="K478" s="849"/>
    </row>
    <row r="479">
      <c r="A479" s="849"/>
      <c r="B479" s="849"/>
      <c r="C479" s="849"/>
      <c r="D479" s="849"/>
      <c r="E479" s="849"/>
      <c r="F479" s="849"/>
      <c r="G479" s="849"/>
      <c r="H479" s="849"/>
      <c r="I479" s="849"/>
      <c r="J479" s="849"/>
      <c r="K479" s="849"/>
    </row>
    <row r="480">
      <c r="A480" s="849"/>
      <c r="B480" s="849"/>
      <c r="C480" s="849"/>
      <c r="D480" s="849"/>
      <c r="E480" s="849"/>
      <c r="F480" s="849"/>
      <c r="G480" s="849"/>
      <c r="H480" s="849"/>
      <c r="I480" s="849"/>
      <c r="J480" s="849"/>
      <c r="K480" s="849"/>
    </row>
    <row r="481">
      <c r="A481" s="849"/>
      <c r="B481" s="849"/>
      <c r="C481" s="849"/>
      <c r="D481" s="849"/>
      <c r="E481" s="849"/>
      <c r="F481" s="849"/>
      <c r="G481" s="849"/>
      <c r="H481" s="849"/>
      <c r="I481" s="849"/>
      <c r="J481" s="849"/>
      <c r="K481" s="849"/>
    </row>
    <row r="482">
      <c r="A482" s="849"/>
      <c r="B482" s="849"/>
      <c r="C482" s="849"/>
      <c r="D482" s="849"/>
      <c r="E482" s="849"/>
      <c r="F482" s="849"/>
      <c r="G482" s="849"/>
      <c r="H482" s="849"/>
      <c r="I482" s="849"/>
      <c r="J482" s="849"/>
      <c r="K482" s="849"/>
    </row>
    <row r="483">
      <c r="A483" s="849"/>
      <c r="B483" s="849"/>
      <c r="C483" s="849"/>
      <c r="D483" s="849"/>
      <c r="E483" s="849"/>
      <c r="F483" s="849"/>
      <c r="G483" s="849"/>
      <c r="H483" s="849"/>
      <c r="I483" s="849"/>
      <c r="J483" s="849"/>
      <c r="K483" s="849"/>
    </row>
    <row r="484">
      <c r="A484" s="849"/>
      <c r="B484" s="849"/>
      <c r="C484" s="849"/>
      <c r="D484" s="849"/>
      <c r="E484" s="849"/>
      <c r="F484" s="849"/>
      <c r="G484" s="849"/>
      <c r="H484" s="849"/>
      <c r="I484" s="849"/>
      <c r="J484" s="849"/>
      <c r="K484" s="849"/>
    </row>
    <row r="485">
      <c r="A485" s="849"/>
      <c r="B485" s="849"/>
      <c r="C485" s="849"/>
      <c r="D485" s="849"/>
      <c r="E485" s="849"/>
      <c r="F485" s="849"/>
      <c r="G485" s="849"/>
      <c r="H485" s="849"/>
      <c r="I485" s="849"/>
      <c r="J485" s="849"/>
      <c r="K485" s="849"/>
    </row>
    <row r="486">
      <c r="A486" s="849"/>
      <c r="B486" s="849"/>
      <c r="C486" s="849"/>
      <c r="D486" s="849"/>
      <c r="E486" s="849"/>
      <c r="F486" s="849"/>
      <c r="G486" s="849"/>
      <c r="H486" s="849"/>
      <c r="I486" s="849"/>
      <c r="J486" s="849"/>
      <c r="K486" s="849"/>
    </row>
    <row r="487">
      <c r="A487" s="849"/>
      <c r="B487" s="849"/>
      <c r="C487" s="849"/>
      <c r="D487" s="849"/>
      <c r="E487" s="849"/>
      <c r="F487" s="849"/>
      <c r="G487" s="849"/>
      <c r="H487" s="849"/>
      <c r="I487" s="849"/>
      <c r="J487" s="849"/>
      <c r="K487" s="849"/>
    </row>
    <row r="488">
      <c r="A488" s="849"/>
      <c r="B488" s="849"/>
      <c r="C488" s="849"/>
      <c r="D488" s="849"/>
      <c r="E488" s="849"/>
      <c r="F488" s="849"/>
      <c r="G488" s="849"/>
      <c r="H488" s="849"/>
      <c r="I488" s="849"/>
      <c r="J488" s="849"/>
      <c r="K488" s="849"/>
    </row>
    <row r="489">
      <c r="A489" s="849"/>
      <c r="B489" s="849"/>
      <c r="C489" s="849"/>
      <c r="D489" s="849"/>
      <c r="E489" s="849"/>
      <c r="F489" s="849"/>
      <c r="G489" s="849"/>
      <c r="H489" s="849"/>
      <c r="I489" s="849"/>
      <c r="J489" s="849"/>
      <c r="K489" s="849"/>
    </row>
    <row r="490">
      <c r="A490" s="849"/>
      <c r="B490" s="849"/>
      <c r="C490" s="849"/>
      <c r="D490" s="849"/>
      <c r="E490" s="849"/>
      <c r="F490" s="849"/>
      <c r="G490" s="849"/>
      <c r="H490" s="849"/>
      <c r="I490" s="849"/>
      <c r="J490" s="849"/>
      <c r="K490" s="849"/>
    </row>
    <row r="491">
      <c r="A491" s="849"/>
      <c r="B491" s="849"/>
      <c r="C491" s="849"/>
      <c r="D491" s="849"/>
      <c r="E491" s="849"/>
      <c r="F491" s="849"/>
      <c r="G491" s="849"/>
      <c r="H491" s="849"/>
      <c r="I491" s="849"/>
      <c r="J491" s="849"/>
      <c r="K491" s="849"/>
    </row>
    <row r="492">
      <c r="A492" s="849"/>
      <c r="B492" s="849"/>
      <c r="C492" s="849"/>
      <c r="D492" s="849"/>
      <c r="E492" s="849"/>
      <c r="F492" s="849"/>
      <c r="G492" s="849"/>
      <c r="H492" s="849"/>
      <c r="I492" s="849"/>
      <c r="J492" s="849"/>
      <c r="K492" s="849"/>
    </row>
    <row r="493">
      <c r="A493" s="849"/>
      <c r="B493" s="849"/>
      <c r="C493" s="849"/>
      <c r="D493" s="849"/>
      <c r="E493" s="849"/>
      <c r="F493" s="849"/>
      <c r="G493" s="849"/>
      <c r="H493" s="849"/>
      <c r="I493" s="849"/>
      <c r="J493" s="849"/>
      <c r="K493" s="849"/>
    </row>
    <row r="494">
      <c r="A494" s="849"/>
      <c r="B494" s="849"/>
      <c r="C494" s="849"/>
      <c r="D494" s="849"/>
      <c r="E494" s="849"/>
      <c r="F494" s="849"/>
      <c r="G494" s="849"/>
      <c r="H494" s="849"/>
      <c r="I494" s="849"/>
      <c r="J494" s="849"/>
      <c r="K494" s="849"/>
    </row>
    <row r="495">
      <c r="A495" s="849"/>
      <c r="B495" s="849"/>
      <c r="C495" s="849"/>
      <c r="D495" s="849"/>
      <c r="E495" s="849"/>
      <c r="F495" s="849"/>
      <c r="G495" s="849"/>
      <c r="H495" s="849"/>
      <c r="I495" s="849"/>
      <c r="J495" s="849"/>
      <c r="K495" s="849"/>
    </row>
    <row r="496">
      <c r="A496" s="849"/>
      <c r="B496" s="849"/>
      <c r="C496" s="849"/>
      <c r="D496" s="849"/>
      <c r="E496" s="849"/>
      <c r="F496" s="849"/>
      <c r="G496" s="849"/>
      <c r="H496" s="849"/>
      <c r="I496" s="849"/>
      <c r="J496" s="849"/>
      <c r="K496" s="849"/>
    </row>
    <row r="497">
      <c r="A497" s="849"/>
      <c r="B497" s="849"/>
      <c r="C497" s="849"/>
      <c r="D497" s="849"/>
      <c r="E497" s="849"/>
      <c r="F497" s="849"/>
      <c r="G497" s="849"/>
      <c r="H497" s="849"/>
      <c r="I497" s="849"/>
      <c r="J497" s="849"/>
      <c r="K497" s="849"/>
    </row>
    <row r="498">
      <c r="A498" s="849"/>
      <c r="B498" s="849"/>
      <c r="C498" s="849"/>
      <c r="D498" s="849"/>
      <c r="E498" s="849"/>
      <c r="F498" s="849"/>
      <c r="G498" s="849"/>
      <c r="H498" s="849"/>
      <c r="I498" s="849"/>
      <c r="J498" s="849"/>
      <c r="K498" s="849"/>
    </row>
    <row r="499">
      <c r="A499" s="849"/>
      <c r="B499" s="849"/>
      <c r="C499" s="849"/>
      <c r="D499" s="849"/>
      <c r="E499" s="849"/>
      <c r="F499" s="849"/>
      <c r="G499" s="849"/>
      <c r="H499" s="849"/>
      <c r="I499" s="849"/>
      <c r="J499" s="849"/>
      <c r="K499" s="849"/>
    </row>
    <row r="500">
      <c r="A500" s="849"/>
      <c r="B500" s="849"/>
      <c r="C500" s="849"/>
      <c r="D500" s="849"/>
      <c r="E500" s="849"/>
      <c r="F500" s="849"/>
      <c r="G500" s="849"/>
      <c r="H500" s="849"/>
      <c r="I500" s="849"/>
      <c r="J500" s="849"/>
      <c r="K500" s="849"/>
    </row>
    <row r="501">
      <c r="A501" s="849"/>
      <c r="B501" s="849"/>
      <c r="C501" s="849"/>
      <c r="D501" s="849"/>
      <c r="E501" s="849"/>
      <c r="F501" s="849"/>
      <c r="G501" s="849"/>
      <c r="H501" s="849"/>
      <c r="I501" s="849"/>
      <c r="J501" s="849"/>
      <c r="K501" s="849"/>
    </row>
    <row r="502">
      <c r="A502" s="849"/>
      <c r="B502" s="849"/>
      <c r="C502" s="849"/>
      <c r="D502" s="849"/>
      <c r="E502" s="849"/>
      <c r="F502" s="849"/>
      <c r="G502" s="849"/>
      <c r="H502" s="849"/>
      <c r="I502" s="849"/>
      <c r="J502" s="849"/>
      <c r="K502" s="849"/>
    </row>
    <row r="503">
      <c r="A503" s="849"/>
      <c r="B503" s="849"/>
      <c r="C503" s="849"/>
      <c r="D503" s="849"/>
      <c r="E503" s="849"/>
      <c r="F503" s="849"/>
      <c r="G503" s="849"/>
      <c r="H503" s="849"/>
      <c r="I503" s="849"/>
      <c r="J503" s="849"/>
      <c r="K503" s="849"/>
    </row>
    <row r="504">
      <c r="A504" s="849"/>
      <c r="B504" s="849"/>
      <c r="C504" s="849"/>
      <c r="D504" s="849"/>
      <c r="E504" s="849"/>
      <c r="F504" s="849"/>
      <c r="G504" s="849"/>
      <c r="H504" s="849"/>
      <c r="I504" s="849"/>
      <c r="J504" s="849"/>
      <c r="K504" s="849"/>
    </row>
    <row r="505">
      <c r="A505" s="849"/>
      <c r="B505" s="849"/>
      <c r="C505" s="849"/>
      <c r="D505" s="849"/>
      <c r="E505" s="849"/>
      <c r="F505" s="849"/>
      <c r="G505" s="849"/>
      <c r="H505" s="849"/>
      <c r="I505" s="849"/>
      <c r="J505" s="849"/>
      <c r="K505" s="849"/>
    </row>
    <row r="506">
      <c r="A506" s="849"/>
      <c r="B506" s="849"/>
      <c r="C506" s="849"/>
      <c r="D506" s="849"/>
      <c r="E506" s="849"/>
      <c r="F506" s="849"/>
      <c r="G506" s="849"/>
      <c r="H506" s="849"/>
      <c r="I506" s="849"/>
      <c r="J506" s="849"/>
      <c r="K506" s="849"/>
    </row>
    <row r="507">
      <c r="A507" s="849"/>
      <c r="B507" s="849"/>
      <c r="C507" s="849"/>
      <c r="D507" s="849"/>
      <c r="E507" s="849"/>
      <c r="F507" s="849"/>
      <c r="G507" s="849"/>
      <c r="H507" s="849"/>
      <c r="I507" s="849"/>
      <c r="J507" s="849"/>
      <c r="K507" s="849"/>
    </row>
    <row r="508">
      <c r="A508" s="849"/>
      <c r="B508" s="849"/>
      <c r="C508" s="849"/>
      <c r="D508" s="849"/>
      <c r="E508" s="849"/>
      <c r="F508" s="849"/>
      <c r="G508" s="849"/>
      <c r="H508" s="849"/>
      <c r="I508" s="849"/>
      <c r="J508" s="849"/>
      <c r="K508" s="849"/>
    </row>
    <row r="509">
      <c r="A509" s="849"/>
      <c r="B509" s="849"/>
      <c r="C509" s="849"/>
      <c r="D509" s="849"/>
      <c r="E509" s="849"/>
      <c r="F509" s="849"/>
      <c r="G509" s="849"/>
      <c r="H509" s="849"/>
      <c r="I509" s="849"/>
      <c r="J509" s="849"/>
      <c r="K509" s="849"/>
    </row>
    <row r="510">
      <c r="A510" s="849"/>
      <c r="B510" s="849"/>
      <c r="C510" s="849"/>
      <c r="D510" s="849"/>
      <c r="E510" s="849"/>
      <c r="F510" s="849"/>
      <c r="G510" s="849"/>
      <c r="H510" s="849"/>
      <c r="I510" s="849"/>
      <c r="J510" s="849"/>
      <c r="K510" s="849"/>
    </row>
    <row r="511">
      <c r="A511" s="849"/>
      <c r="B511" s="849"/>
      <c r="C511" s="849"/>
      <c r="D511" s="849"/>
      <c r="E511" s="849"/>
      <c r="F511" s="849"/>
      <c r="G511" s="849"/>
      <c r="H511" s="849"/>
      <c r="I511" s="849"/>
      <c r="J511" s="849"/>
      <c r="K511" s="849"/>
    </row>
    <row r="512">
      <c r="A512" s="849"/>
      <c r="B512" s="849"/>
      <c r="C512" s="849"/>
      <c r="D512" s="849"/>
      <c r="E512" s="849"/>
      <c r="F512" s="849"/>
      <c r="G512" s="849"/>
      <c r="H512" s="849"/>
      <c r="I512" s="849"/>
      <c r="J512" s="849"/>
      <c r="K512" s="849"/>
    </row>
    <row r="513">
      <c r="A513" s="849"/>
      <c r="B513" s="849"/>
      <c r="C513" s="849"/>
      <c r="D513" s="849"/>
      <c r="E513" s="849"/>
      <c r="F513" s="849"/>
      <c r="G513" s="849"/>
      <c r="H513" s="849"/>
      <c r="I513" s="849"/>
      <c r="J513" s="849"/>
      <c r="K513" s="849"/>
    </row>
    <row r="514">
      <c r="A514" s="849"/>
      <c r="B514" s="849"/>
      <c r="C514" s="849"/>
      <c r="D514" s="849"/>
      <c r="E514" s="849"/>
      <c r="F514" s="849"/>
      <c r="G514" s="849"/>
      <c r="H514" s="849"/>
      <c r="I514" s="849"/>
      <c r="J514" s="849"/>
      <c r="K514" s="849"/>
    </row>
    <row r="515">
      <c r="A515" s="849"/>
      <c r="B515" s="849"/>
      <c r="C515" s="849"/>
      <c r="D515" s="849"/>
      <c r="E515" s="849"/>
      <c r="F515" s="849"/>
      <c r="G515" s="849"/>
      <c r="H515" s="849"/>
      <c r="I515" s="849"/>
      <c r="J515" s="849"/>
      <c r="K515" s="849"/>
    </row>
    <row r="516">
      <c r="A516" s="849"/>
      <c r="B516" s="849"/>
      <c r="C516" s="849"/>
      <c r="D516" s="849"/>
      <c r="E516" s="849"/>
      <c r="F516" s="849"/>
      <c r="G516" s="849"/>
      <c r="H516" s="849"/>
      <c r="I516" s="849"/>
      <c r="J516" s="849"/>
      <c r="K516" s="849"/>
    </row>
    <row r="517">
      <c r="A517" s="849"/>
      <c r="B517" s="849"/>
      <c r="C517" s="849"/>
      <c r="D517" s="849"/>
      <c r="E517" s="849"/>
      <c r="F517" s="849"/>
      <c r="G517" s="849"/>
      <c r="H517" s="849"/>
      <c r="I517" s="849"/>
      <c r="J517" s="849"/>
      <c r="K517" s="849"/>
    </row>
    <row r="518">
      <c r="A518" s="849"/>
      <c r="B518" s="849"/>
      <c r="C518" s="849"/>
      <c r="D518" s="849"/>
      <c r="E518" s="849"/>
      <c r="F518" s="849"/>
      <c r="G518" s="849"/>
      <c r="H518" s="849"/>
      <c r="I518" s="849"/>
      <c r="J518" s="849"/>
      <c r="K518" s="849"/>
    </row>
    <row r="519">
      <c r="A519" s="849"/>
      <c r="B519" s="849"/>
      <c r="C519" s="849"/>
      <c r="D519" s="849"/>
      <c r="E519" s="849"/>
      <c r="F519" s="849"/>
      <c r="G519" s="849"/>
      <c r="H519" s="849"/>
      <c r="I519" s="849"/>
      <c r="J519" s="849"/>
      <c r="K519" s="849"/>
    </row>
    <row r="520">
      <c r="A520" s="849"/>
      <c r="B520" s="849"/>
      <c r="C520" s="849"/>
      <c r="D520" s="849"/>
      <c r="E520" s="849"/>
      <c r="F520" s="849"/>
      <c r="G520" s="849"/>
      <c r="H520" s="849"/>
      <c r="I520" s="849"/>
      <c r="J520" s="849"/>
      <c r="K520" s="849"/>
    </row>
    <row r="521">
      <c r="A521" s="849"/>
      <c r="B521" s="849"/>
      <c r="C521" s="849"/>
      <c r="D521" s="849"/>
      <c r="E521" s="849"/>
      <c r="F521" s="849"/>
      <c r="G521" s="849"/>
      <c r="H521" s="849"/>
      <c r="I521" s="849"/>
      <c r="J521" s="849"/>
      <c r="K521" s="849"/>
    </row>
    <row r="522">
      <c r="A522" s="849"/>
      <c r="B522" s="849"/>
      <c r="C522" s="849"/>
      <c r="D522" s="849"/>
      <c r="E522" s="849"/>
      <c r="F522" s="849"/>
      <c r="G522" s="849"/>
      <c r="H522" s="849"/>
      <c r="I522" s="849"/>
      <c r="J522" s="849"/>
      <c r="K522" s="849"/>
    </row>
    <row r="523">
      <c r="A523" s="849"/>
      <c r="B523" s="849"/>
      <c r="C523" s="849"/>
      <c r="D523" s="849"/>
      <c r="E523" s="849"/>
      <c r="F523" s="849"/>
      <c r="G523" s="849"/>
      <c r="H523" s="849"/>
      <c r="I523" s="849"/>
      <c r="J523" s="849"/>
      <c r="K523" s="849"/>
    </row>
    <row r="524">
      <c r="A524" s="849"/>
      <c r="B524" s="849"/>
      <c r="C524" s="849"/>
      <c r="D524" s="849"/>
      <c r="E524" s="849"/>
      <c r="F524" s="849"/>
      <c r="G524" s="849"/>
      <c r="H524" s="849"/>
      <c r="I524" s="849"/>
      <c r="J524" s="849"/>
      <c r="K524" s="849"/>
    </row>
    <row r="525">
      <c r="A525" s="849"/>
      <c r="B525" s="849"/>
      <c r="C525" s="849"/>
      <c r="D525" s="849"/>
      <c r="E525" s="849"/>
      <c r="F525" s="849"/>
      <c r="G525" s="849"/>
      <c r="H525" s="849"/>
      <c r="I525" s="849"/>
      <c r="J525" s="849"/>
      <c r="K525" s="849"/>
    </row>
    <row r="526">
      <c r="A526" s="849"/>
      <c r="B526" s="849"/>
      <c r="C526" s="849"/>
      <c r="D526" s="849"/>
      <c r="E526" s="849"/>
      <c r="F526" s="849"/>
      <c r="G526" s="849"/>
      <c r="H526" s="849"/>
      <c r="I526" s="849"/>
      <c r="J526" s="849"/>
      <c r="K526" s="849"/>
    </row>
    <row r="527">
      <c r="A527" s="849"/>
      <c r="B527" s="849"/>
      <c r="C527" s="849"/>
      <c r="D527" s="849"/>
      <c r="E527" s="849"/>
      <c r="F527" s="849"/>
      <c r="G527" s="849"/>
      <c r="H527" s="849"/>
      <c r="I527" s="849"/>
      <c r="J527" s="849"/>
      <c r="K527" s="849"/>
    </row>
    <row r="528">
      <c r="A528" s="849"/>
      <c r="B528" s="849"/>
      <c r="C528" s="849"/>
      <c r="D528" s="849"/>
      <c r="E528" s="849"/>
      <c r="F528" s="849"/>
      <c r="G528" s="849"/>
      <c r="H528" s="849"/>
      <c r="I528" s="849"/>
      <c r="J528" s="849"/>
      <c r="K528" s="849"/>
    </row>
    <row r="529">
      <c r="A529" s="849"/>
      <c r="B529" s="849"/>
      <c r="C529" s="849"/>
      <c r="D529" s="849"/>
      <c r="E529" s="849"/>
      <c r="F529" s="849"/>
      <c r="G529" s="849"/>
      <c r="H529" s="849"/>
      <c r="I529" s="849"/>
      <c r="J529" s="849"/>
      <c r="K529" s="849"/>
    </row>
    <row r="530">
      <c r="A530" s="849"/>
      <c r="B530" s="849"/>
      <c r="C530" s="849"/>
      <c r="D530" s="849"/>
      <c r="E530" s="849"/>
      <c r="F530" s="849"/>
      <c r="G530" s="849"/>
      <c r="H530" s="849"/>
      <c r="I530" s="849"/>
      <c r="J530" s="849"/>
      <c r="K530" s="849"/>
    </row>
    <row r="531">
      <c r="A531" s="849"/>
      <c r="B531" s="849"/>
      <c r="C531" s="849"/>
      <c r="D531" s="849"/>
      <c r="E531" s="849"/>
      <c r="F531" s="849"/>
      <c r="G531" s="849"/>
      <c r="H531" s="849"/>
      <c r="I531" s="849"/>
      <c r="J531" s="849"/>
      <c r="K531" s="849"/>
    </row>
    <row r="532">
      <c r="A532" s="849"/>
      <c r="B532" s="849"/>
      <c r="C532" s="849"/>
      <c r="D532" s="849"/>
      <c r="E532" s="849"/>
      <c r="F532" s="849"/>
      <c r="G532" s="849"/>
      <c r="H532" s="849"/>
      <c r="I532" s="849"/>
      <c r="J532" s="849"/>
      <c r="K532" s="849"/>
    </row>
    <row r="533">
      <c r="A533" s="849"/>
      <c r="B533" s="849"/>
      <c r="C533" s="849"/>
      <c r="D533" s="849"/>
      <c r="E533" s="849"/>
      <c r="F533" s="849"/>
      <c r="G533" s="849"/>
      <c r="H533" s="849"/>
      <c r="I533" s="849"/>
      <c r="J533" s="849"/>
      <c r="K533" s="849"/>
    </row>
    <row r="534">
      <c r="A534" s="849"/>
      <c r="B534" s="849"/>
      <c r="C534" s="849"/>
      <c r="D534" s="849"/>
      <c r="E534" s="849"/>
      <c r="F534" s="849"/>
      <c r="G534" s="849"/>
      <c r="H534" s="849"/>
      <c r="I534" s="849"/>
      <c r="J534" s="849"/>
      <c r="K534" s="849"/>
    </row>
    <row r="535">
      <c r="A535" s="849"/>
      <c r="B535" s="849"/>
      <c r="C535" s="849"/>
      <c r="D535" s="849"/>
      <c r="E535" s="849"/>
      <c r="F535" s="849"/>
      <c r="G535" s="849"/>
      <c r="H535" s="849"/>
      <c r="I535" s="849"/>
      <c r="J535" s="849"/>
      <c r="K535" s="849"/>
    </row>
    <row r="536">
      <c r="A536" s="849"/>
      <c r="B536" s="849"/>
      <c r="C536" s="849"/>
      <c r="D536" s="849"/>
      <c r="E536" s="849"/>
      <c r="F536" s="849"/>
      <c r="G536" s="849"/>
      <c r="H536" s="849"/>
      <c r="I536" s="849"/>
      <c r="J536" s="849"/>
      <c r="K536" s="849"/>
    </row>
    <row r="537">
      <c r="A537" s="849"/>
      <c r="B537" s="849"/>
      <c r="C537" s="849"/>
      <c r="D537" s="849"/>
      <c r="E537" s="849"/>
      <c r="F537" s="849"/>
      <c r="G537" s="849"/>
      <c r="H537" s="849"/>
      <c r="I537" s="849"/>
      <c r="J537" s="849"/>
      <c r="K537" s="849"/>
    </row>
    <row r="538">
      <c r="A538" s="849"/>
      <c r="B538" s="849"/>
      <c r="C538" s="849"/>
      <c r="D538" s="849"/>
      <c r="E538" s="849"/>
      <c r="F538" s="849"/>
      <c r="G538" s="849"/>
      <c r="H538" s="849"/>
      <c r="I538" s="849"/>
      <c r="J538" s="849"/>
      <c r="K538" s="849"/>
    </row>
    <row r="539">
      <c r="A539" s="849"/>
      <c r="B539" s="849"/>
      <c r="C539" s="849"/>
      <c r="D539" s="849"/>
      <c r="E539" s="849"/>
      <c r="F539" s="849"/>
      <c r="G539" s="849"/>
      <c r="H539" s="849"/>
      <c r="I539" s="849"/>
      <c r="J539" s="849"/>
      <c r="K539" s="849"/>
    </row>
    <row r="540">
      <c r="A540" s="849"/>
      <c r="B540" s="849"/>
      <c r="C540" s="849"/>
      <c r="D540" s="849"/>
      <c r="E540" s="849"/>
      <c r="F540" s="849"/>
      <c r="G540" s="849"/>
      <c r="H540" s="849"/>
      <c r="I540" s="849"/>
      <c r="J540" s="849"/>
      <c r="K540" s="849"/>
    </row>
    <row r="541">
      <c r="A541" s="849"/>
      <c r="B541" s="849"/>
      <c r="C541" s="849"/>
      <c r="D541" s="849"/>
      <c r="E541" s="849"/>
      <c r="F541" s="849"/>
      <c r="G541" s="849"/>
      <c r="H541" s="849"/>
      <c r="I541" s="849"/>
      <c r="J541" s="849"/>
      <c r="K541" s="849"/>
    </row>
    <row r="542">
      <c r="A542" s="849"/>
      <c r="B542" s="849"/>
      <c r="C542" s="849"/>
      <c r="D542" s="849"/>
      <c r="E542" s="849"/>
      <c r="F542" s="849"/>
      <c r="G542" s="849"/>
      <c r="H542" s="849"/>
      <c r="I542" s="849"/>
      <c r="J542" s="849"/>
      <c r="K542" s="849"/>
    </row>
    <row r="543">
      <c r="A543" s="849"/>
      <c r="B543" s="849"/>
      <c r="C543" s="849"/>
      <c r="D543" s="849"/>
      <c r="E543" s="849"/>
      <c r="F543" s="849"/>
      <c r="G543" s="849"/>
      <c r="H543" s="849"/>
      <c r="I543" s="849"/>
      <c r="J543" s="849"/>
      <c r="K543" s="849"/>
    </row>
    <row r="544">
      <c r="A544" s="849"/>
      <c r="B544" s="849"/>
      <c r="C544" s="849"/>
      <c r="D544" s="849"/>
      <c r="E544" s="849"/>
      <c r="F544" s="849"/>
      <c r="G544" s="849"/>
      <c r="H544" s="849"/>
      <c r="I544" s="849"/>
      <c r="J544" s="849"/>
      <c r="K544" s="849"/>
    </row>
    <row r="545">
      <c r="A545" s="849"/>
      <c r="B545" s="849"/>
      <c r="C545" s="849"/>
      <c r="D545" s="849"/>
      <c r="E545" s="849"/>
      <c r="F545" s="849"/>
      <c r="G545" s="849"/>
      <c r="H545" s="849"/>
      <c r="I545" s="849"/>
      <c r="J545" s="849"/>
      <c r="K545" s="849"/>
    </row>
    <row r="546">
      <c r="A546" s="849"/>
      <c r="B546" s="849"/>
      <c r="C546" s="849"/>
      <c r="D546" s="849"/>
      <c r="E546" s="849"/>
      <c r="F546" s="849"/>
      <c r="G546" s="849"/>
      <c r="H546" s="849"/>
      <c r="I546" s="849"/>
      <c r="J546" s="849"/>
      <c r="K546" s="849"/>
    </row>
    <row r="547">
      <c r="A547" s="849"/>
      <c r="B547" s="849"/>
      <c r="C547" s="849"/>
      <c r="D547" s="849"/>
      <c r="E547" s="849"/>
      <c r="F547" s="849"/>
      <c r="G547" s="849"/>
      <c r="H547" s="849"/>
      <c r="I547" s="849"/>
      <c r="J547" s="849"/>
      <c r="K547" s="849"/>
    </row>
    <row r="548">
      <c r="A548" s="849"/>
      <c r="B548" s="849"/>
      <c r="C548" s="849"/>
      <c r="D548" s="849"/>
      <c r="E548" s="849"/>
      <c r="F548" s="849"/>
      <c r="G548" s="849"/>
      <c r="H548" s="849"/>
      <c r="I548" s="849"/>
      <c r="J548" s="849"/>
      <c r="K548" s="849"/>
    </row>
    <row r="549">
      <c r="A549" s="849"/>
      <c r="B549" s="849"/>
      <c r="C549" s="849"/>
      <c r="D549" s="849"/>
      <c r="E549" s="849"/>
      <c r="F549" s="849"/>
      <c r="G549" s="849"/>
      <c r="H549" s="849"/>
      <c r="I549" s="849"/>
      <c r="J549" s="849"/>
      <c r="K549" s="849"/>
    </row>
    <row r="550">
      <c r="A550" s="849"/>
      <c r="B550" s="849"/>
      <c r="C550" s="849"/>
      <c r="D550" s="849"/>
      <c r="E550" s="849"/>
      <c r="F550" s="849"/>
      <c r="G550" s="849"/>
      <c r="H550" s="849"/>
      <c r="I550" s="849"/>
      <c r="J550" s="849"/>
      <c r="K550" s="849"/>
    </row>
    <row r="551">
      <c r="A551" s="849"/>
      <c r="B551" s="849"/>
      <c r="C551" s="849"/>
      <c r="D551" s="849"/>
      <c r="E551" s="849"/>
      <c r="F551" s="849"/>
      <c r="G551" s="849"/>
      <c r="H551" s="849"/>
      <c r="I551" s="849"/>
      <c r="J551" s="849"/>
      <c r="K551" s="849"/>
    </row>
    <row r="552">
      <c r="A552" s="849"/>
      <c r="B552" s="849"/>
      <c r="C552" s="849"/>
      <c r="D552" s="849"/>
      <c r="E552" s="849"/>
      <c r="F552" s="849"/>
      <c r="G552" s="849"/>
      <c r="H552" s="849"/>
      <c r="I552" s="849"/>
      <c r="J552" s="849"/>
      <c r="K552" s="849"/>
    </row>
    <row r="553">
      <c r="A553" s="849"/>
      <c r="B553" s="849"/>
      <c r="C553" s="849"/>
      <c r="D553" s="849"/>
      <c r="E553" s="849"/>
      <c r="F553" s="849"/>
      <c r="G553" s="849"/>
      <c r="H553" s="849"/>
      <c r="I553" s="849"/>
      <c r="J553" s="849"/>
      <c r="K553" s="849"/>
    </row>
    <row r="554">
      <c r="A554" s="849"/>
      <c r="B554" s="849"/>
      <c r="C554" s="849"/>
      <c r="D554" s="849"/>
      <c r="E554" s="849"/>
      <c r="F554" s="849"/>
      <c r="G554" s="849"/>
      <c r="H554" s="849"/>
      <c r="I554" s="849"/>
      <c r="J554" s="849"/>
      <c r="K554" s="849"/>
    </row>
    <row r="555">
      <c r="A555" s="849"/>
      <c r="B555" s="849"/>
      <c r="C555" s="849"/>
      <c r="D555" s="849"/>
      <c r="E555" s="849"/>
      <c r="F555" s="849"/>
      <c r="G555" s="849"/>
      <c r="H555" s="849"/>
      <c r="I555" s="849"/>
      <c r="J555" s="849"/>
      <c r="K555" s="849"/>
    </row>
    <row r="556">
      <c r="A556" s="849"/>
      <c r="B556" s="849"/>
      <c r="C556" s="849"/>
      <c r="D556" s="849"/>
      <c r="E556" s="849"/>
      <c r="F556" s="849"/>
      <c r="G556" s="849"/>
      <c r="H556" s="849"/>
      <c r="I556" s="849"/>
      <c r="J556" s="849"/>
      <c r="K556" s="849"/>
    </row>
    <row r="557">
      <c r="A557" s="849"/>
      <c r="B557" s="849"/>
      <c r="C557" s="849"/>
      <c r="D557" s="849"/>
      <c r="E557" s="849"/>
      <c r="F557" s="849"/>
      <c r="G557" s="849"/>
      <c r="H557" s="849"/>
      <c r="I557" s="849"/>
      <c r="J557" s="849"/>
      <c r="K557" s="849"/>
    </row>
    <row r="558">
      <c r="A558" s="849"/>
      <c r="B558" s="849"/>
      <c r="C558" s="849"/>
      <c r="D558" s="849"/>
      <c r="E558" s="849"/>
      <c r="F558" s="849"/>
      <c r="G558" s="849"/>
      <c r="H558" s="849"/>
      <c r="I558" s="849"/>
      <c r="J558" s="849"/>
      <c r="K558" s="849"/>
    </row>
    <row r="559">
      <c r="A559" s="849"/>
      <c r="B559" s="849"/>
      <c r="C559" s="849"/>
      <c r="D559" s="849"/>
      <c r="E559" s="849"/>
      <c r="F559" s="849"/>
      <c r="G559" s="849"/>
      <c r="H559" s="849"/>
      <c r="I559" s="849"/>
      <c r="J559" s="849"/>
      <c r="K559" s="849"/>
    </row>
    <row r="560">
      <c r="A560" s="849"/>
      <c r="B560" s="849"/>
      <c r="C560" s="849"/>
      <c r="D560" s="849"/>
      <c r="E560" s="849"/>
      <c r="F560" s="849"/>
      <c r="G560" s="849"/>
      <c r="H560" s="849"/>
      <c r="I560" s="849"/>
      <c r="J560" s="849"/>
      <c r="K560" s="849"/>
    </row>
    <row r="561">
      <c r="A561" s="849"/>
      <c r="B561" s="849"/>
      <c r="C561" s="849"/>
      <c r="D561" s="849"/>
      <c r="E561" s="849"/>
      <c r="F561" s="849"/>
      <c r="G561" s="849"/>
      <c r="H561" s="849"/>
      <c r="I561" s="849"/>
      <c r="J561" s="849"/>
      <c r="K561" s="849"/>
    </row>
    <row r="562">
      <c r="A562" s="849"/>
      <c r="B562" s="849"/>
      <c r="C562" s="849"/>
      <c r="D562" s="849"/>
      <c r="E562" s="849"/>
      <c r="F562" s="849"/>
      <c r="G562" s="849"/>
      <c r="H562" s="849"/>
      <c r="I562" s="849"/>
      <c r="J562" s="849"/>
      <c r="K562" s="849"/>
    </row>
    <row r="563">
      <c r="A563" s="849"/>
      <c r="B563" s="849"/>
      <c r="C563" s="849"/>
      <c r="D563" s="849"/>
      <c r="E563" s="849"/>
      <c r="F563" s="849"/>
      <c r="G563" s="849"/>
      <c r="H563" s="849"/>
      <c r="I563" s="849"/>
      <c r="J563" s="849"/>
      <c r="K563" s="849"/>
    </row>
    <row r="564">
      <c r="A564" s="849"/>
      <c r="B564" s="849"/>
      <c r="C564" s="849"/>
      <c r="D564" s="849"/>
      <c r="E564" s="849"/>
      <c r="F564" s="849"/>
      <c r="G564" s="849"/>
      <c r="H564" s="849"/>
      <c r="I564" s="849"/>
      <c r="J564" s="849"/>
      <c r="K564" s="849"/>
    </row>
    <row r="565">
      <c r="A565" s="849"/>
      <c r="B565" s="849"/>
      <c r="C565" s="849"/>
      <c r="D565" s="849"/>
      <c r="E565" s="849"/>
      <c r="F565" s="849"/>
      <c r="G565" s="849"/>
      <c r="H565" s="849"/>
      <c r="I565" s="849"/>
      <c r="J565" s="849"/>
      <c r="K565" s="849"/>
    </row>
    <row r="566">
      <c r="A566" s="849"/>
      <c r="B566" s="849"/>
      <c r="C566" s="849"/>
      <c r="D566" s="849"/>
      <c r="E566" s="849"/>
      <c r="F566" s="849"/>
      <c r="G566" s="849"/>
      <c r="H566" s="849"/>
      <c r="I566" s="849"/>
      <c r="J566" s="849"/>
      <c r="K566" s="849"/>
    </row>
    <row r="567">
      <c r="A567" s="849"/>
      <c r="B567" s="849"/>
      <c r="C567" s="849"/>
      <c r="D567" s="849"/>
      <c r="E567" s="849"/>
      <c r="F567" s="849"/>
      <c r="G567" s="849"/>
      <c r="H567" s="849"/>
      <c r="I567" s="849"/>
      <c r="J567" s="849"/>
      <c r="K567" s="849"/>
    </row>
    <row r="568">
      <c r="A568" s="849"/>
      <c r="B568" s="849"/>
      <c r="C568" s="849"/>
      <c r="D568" s="849"/>
      <c r="E568" s="849"/>
      <c r="F568" s="849"/>
      <c r="G568" s="849"/>
      <c r="H568" s="849"/>
      <c r="I568" s="849"/>
      <c r="J568" s="849"/>
      <c r="K568" s="849"/>
    </row>
    <row r="569">
      <c r="A569" s="849"/>
      <c r="B569" s="849"/>
      <c r="C569" s="849"/>
      <c r="D569" s="849"/>
      <c r="E569" s="849"/>
      <c r="F569" s="849"/>
      <c r="G569" s="849"/>
      <c r="H569" s="849"/>
      <c r="I569" s="849"/>
      <c r="J569" s="849"/>
      <c r="K569" s="849"/>
    </row>
    <row r="570">
      <c r="A570" s="849"/>
      <c r="B570" s="849"/>
      <c r="C570" s="849"/>
      <c r="D570" s="849"/>
      <c r="E570" s="849"/>
      <c r="F570" s="849"/>
      <c r="G570" s="849"/>
      <c r="H570" s="849"/>
      <c r="I570" s="849"/>
      <c r="J570" s="849"/>
      <c r="K570" s="849"/>
    </row>
    <row r="571">
      <c r="A571" s="849"/>
      <c r="B571" s="849"/>
      <c r="C571" s="849"/>
      <c r="D571" s="849"/>
      <c r="E571" s="849"/>
      <c r="F571" s="849"/>
      <c r="G571" s="849"/>
      <c r="H571" s="849"/>
      <c r="I571" s="849"/>
      <c r="J571" s="849"/>
      <c r="K571" s="849"/>
    </row>
    <row r="572">
      <c r="A572" s="849"/>
      <c r="B572" s="849"/>
      <c r="C572" s="849"/>
      <c r="D572" s="849"/>
      <c r="E572" s="849"/>
      <c r="F572" s="849"/>
      <c r="G572" s="849"/>
      <c r="H572" s="849"/>
      <c r="I572" s="849"/>
      <c r="J572" s="849"/>
      <c r="K572" s="849"/>
    </row>
    <row r="573">
      <c r="A573" s="849"/>
      <c r="B573" s="849"/>
      <c r="C573" s="849"/>
      <c r="D573" s="849"/>
      <c r="E573" s="849"/>
      <c r="F573" s="849"/>
      <c r="G573" s="849"/>
      <c r="H573" s="849"/>
      <c r="I573" s="849"/>
      <c r="J573" s="849"/>
      <c r="K573" s="849"/>
    </row>
    <row r="574">
      <c r="A574" s="849"/>
      <c r="B574" s="849"/>
      <c r="C574" s="849"/>
      <c r="D574" s="849"/>
      <c r="E574" s="849"/>
      <c r="F574" s="849"/>
      <c r="G574" s="849"/>
      <c r="H574" s="849"/>
      <c r="I574" s="849"/>
      <c r="J574" s="849"/>
      <c r="K574" s="849"/>
    </row>
    <row r="575">
      <c r="A575" s="849"/>
      <c r="B575" s="849"/>
      <c r="C575" s="849"/>
      <c r="D575" s="849"/>
      <c r="E575" s="849"/>
      <c r="F575" s="849"/>
      <c r="G575" s="849"/>
      <c r="H575" s="849"/>
      <c r="I575" s="849"/>
      <c r="J575" s="849"/>
      <c r="K575" s="849"/>
    </row>
    <row r="576">
      <c r="A576" s="849"/>
      <c r="B576" s="849"/>
      <c r="C576" s="849"/>
      <c r="D576" s="849"/>
      <c r="E576" s="849"/>
      <c r="F576" s="849"/>
      <c r="G576" s="849"/>
      <c r="H576" s="849"/>
      <c r="I576" s="849"/>
      <c r="J576" s="849"/>
      <c r="K576" s="849"/>
    </row>
    <row r="577">
      <c r="A577" s="849"/>
      <c r="B577" s="849"/>
      <c r="C577" s="849"/>
      <c r="D577" s="849"/>
      <c r="E577" s="849"/>
      <c r="F577" s="849"/>
      <c r="G577" s="849"/>
      <c r="H577" s="849"/>
      <c r="I577" s="849"/>
      <c r="J577" s="849"/>
      <c r="K577" s="849"/>
    </row>
    <row r="578">
      <c r="A578" s="849"/>
      <c r="B578" s="849"/>
      <c r="C578" s="849"/>
      <c r="D578" s="849"/>
      <c r="E578" s="849"/>
      <c r="F578" s="849"/>
      <c r="G578" s="849"/>
      <c r="H578" s="849"/>
      <c r="I578" s="849"/>
      <c r="J578" s="849"/>
      <c r="K578" s="849"/>
    </row>
    <row r="579">
      <c r="A579" s="849"/>
      <c r="B579" s="849"/>
      <c r="C579" s="849"/>
      <c r="D579" s="849"/>
      <c r="E579" s="849"/>
      <c r="F579" s="849"/>
      <c r="G579" s="849"/>
      <c r="H579" s="849"/>
      <c r="I579" s="849"/>
      <c r="J579" s="849"/>
      <c r="K579" s="849"/>
    </row>
    <row r="580">
      <c r="A580" s="849"/>
      <c r="B580" s="849"/>
      <c r="C580" s="849"/>
      <c r="D580" s="849"/>
      <c r="E580" s="849"/>
      <c r="F580" s="849"/>
      <c r="G580" s="849"/>
      <c r="H580" s="849"/>
      <c r="I580" s="849"/>
      <c r="J580" s="849"/>
      <c r="K580" s="849"/>
    </row>
    <row r="581">
      <c r="A581" s="849"/>
      <c r="B581" s="849"/>
      <c r="C581" s="849"/>
      <c r="D581" s="849"/>
      <c r="E581" s="849"/>
      <c r="F581" s="849"/>
      <c r="G581" s="849"/>
      <c r="H581" s="849"/>
      <c r="I581" s="849"/>
      <c r="J581" s="849"/>
      <c r="K581" s="849"/>
    </row>
    <row r="582">
      <c r="A582" s="849"/>
      <c r="B582" s="849"/>
      <c r="C582" s="849"/>
      <c r="D582" s="849"/>
      <c r="E582" s="849"/>
      <c r="F582" s="849"/>
      <c r="G582" s="849"/>
      <c r="H582" s="849"/>
      <c r="I582" s="849"/>
      <c r="J582" s="849"/>
      <c r="K582" s="849"/>
    </row>
    <row r="583">
      <c r="A583" s="849"/>
      <c r="B583" s="849"/>
      <c r="C583" s="849"/>
      <c r="D583" s="849"/>
      <c r="E583" s="849"/>
      <c r="F583" s="849"/>
      <c r="G583" s="849"/>
      <c r="H583" s="849"/>
      <c r="I583" s="849"/>
      <c r="J583" s="849"/>
      <c r="K583" s="849"/>
    </row>
    <row r="584">
      <c r="A584" s="849"/>
      <c r="B584" s="849"/>
      <c r="C584" s="849"/>
      <c r="D584" s="849"/>
      <c r="E584" s="849"/>
      <c r="F584" s="849"/>
      <c r="G584" s="849"/>
      <c r="H584" s="849"/>
      <c r="I584" s="849"/>
      <c r="J584" s="849"/>
      <c r="K584" s="849"/>
    </row>
    <row r="585">
      <c r="A585" s="849"/>
      <c r="B585" s="849"/>
      <c r="C585" s="849"/>
      <c r="D585" s="849"/>
      <c r="E585" s="849"/>
      <c r="F585" s="849"/>
      <c r="G585" s="849"/>
      <c r="H585" s="849"/>
      <c r="I585" s="849"/>
      <c r="J585" s="849"/>
      <c r="K585" s="849"/>
    </row>
    <row r="586">
      <c r="A586" s="849"/>
      <c r="B586" s="849"/>
      <c r="C586" s="849"/>
      <c r="D586" s="849"/>
      <c r="E586" s="849"/>
      <c r="F586" s="849"/>
      <c r="G586" s="849"/>
      <c r="H586" s="849"/>
      <c r="I586" s="849"/>
      <c r="J586" s="849"/>
      <c r="K586" s="849"/>
    </row>
    <row r="587">
      <c r="A587" s="849"/>
      <c r="B587" s="849"/>
      <c r="C587" s="849"/>
      <c r="D587" s="849"/>
      <c r="E587" s="849"/>
      <c r="F587" s="849"/>
      <c r="G587" s="849"/>
      <c r="H587" s="849"/>
      <c r="I587" s="849"/>
      <c r="J587" s="849"/>
      <c r="K587" s="849"/>
    </row>
    <row r="588">
      <c r="A588" s="849"/>
      <c r="B588" s="849"/>
      <c r="C588" s="849"/>
      <c r="D588" s="849"/>
      <c r="E588" s="849"/>
      <c r="F588" s="849"/>
      <c r="G588" s="849"/>
      <c r="H588" s="849"/>
      <c r="I588" s="849"/>
      <c r="J588" s="849"/>
      <c r="K588" s="849"/>
    </row>
    <row r="589">
      <c r="A589" s="849"/>
      <c r="B589" s="849"/>
      <c r="C589" s="849"/>
      <c r="D589" s="849"/>
      <c r="E589" s="849"/>
      <c r="F589" s="849"/>
      <c r="G589" s="849"/>
      <c r="H589" s="849"/>
      <c r="I589" s="849"/>
      <c r="J589" s="849"/>
      <c r="K589" s="849"/>
    </row>
    <row r="590">
      <c r="A590" s="849"/>
      <c r="B590" s="849"/>
      <c r="C590" s="849"/>
      <c r="D590" s="849"/>
      <c r="E590" s="849"/>
      <c r="F590" s="849"/>
      <c r="G590" s="849"/>
      <c r="H590" s="849"/>
      <c r="I590" s="849"/>
      <c r="J590" s="849"/>
      <c r="K590" s="849"/>
    </row>
    <row r="591">
      <c r="A591" s="849"/>
      <c r="B591" s="849"/>
      <c r="C591" s="849"/>
      <c r="D591" s="849"/>
      <c r="E591" s="849"/>
      <c r="F591" s="849"/>
      <c r="G591" s="849"/>
      <c r="H591" s="849"/>
      <c r="I591" s="849"/>
      <c r="J591" s="849"/>
      <c r="K591" s="849"/>
    </row>
    <row r="592">
      <c r="A592" s="849"/>
      <c r="B592" s="849"/>
      <c r="C592" s="849"/>
      <c r="D592" s="849"/>
      <c r="E592" s="849"/>
      <c r="F592" s="849"/>
      <c r="G592" s="849"/>
      <c r="H592" s="849"/>
      <c r="I592" s="849"/>
      <c r="J592" s="849"/>
      <c r="K592" s="849"/>
    </row>
    <row r="593">
      <c r="A593" s="849"/>
      <c r="B593" s="849"/>
      <c r="C593" s="849"/>
      <c r="D593" s="849"/>
      <c r="E593" s="849"/>
      <c r="F593" s="849"/>
      <c r="G593" s="849"/>
      <c r="H593" s="849"/>
      <c r="I593" s="849"/>
      <c r="J593" s="849"/>
      <c r="K593" s="849"/>
    </row>
    <row r="594">
      <c r="A594" s="849"/>
      <c r="B594" s="849"/>
      <c r="C594" s="849"/>
      <c r="D594" s="849"/>
      <c r="E594" s="849"/>
      <c r="F594" s="849"/>
      <c r="G594" s="849"/>
      <c r="H594" s="849"/>
      <c r="I594" s="849"/>
      <c r="J594" s="849"/>
      <c r="K594" s="849"/>
    </row>
    <row r="595">
      <c r="A595" s="849"/>
      <c r="B595" s="849"/>
      <c r="C595" s="849"/>
      <c r="D595" s="849"/>
      <c r="E595" s="849"/>
      <c r="F595" s="849"/>
      <c r="G595" s="849"/>
      <c r="H595" s="849"/>
      <c r="I595" s="849"/>
      <c r="J595" s="849"/>
      <c r="K595" s="849"/>
    </row>
    <row r="596">
      <c r="A596" s="849"/>
      <c r="B596" s="849"/>
      <c r="C596" s="849"/>
      <c r="D596" s="849"/>
      <c r="E596" s="849"/>
      <c r="F596" s="849"/>
      <c r="G596" s="849"/>
      <c r="H596" s="849"/>
      <c r="I596" s="849"/>
      <c r="J596" s="849"/>
      <c r="K596" s="849"/>
    </row>
    <row r="597">
      <c r="A597" s="849"/>
      <c r="B597" s="849"/>
      <c r="C597" s="849"/>
      <c r="D597" s="849"/>
      <c r="E597" s="849"/>
      <c r="F597" s="849"/>
      <c r="G597" s="849"/>
      <c r="H597" s="849"/>
      <c r="I597" s="849"/>
      <c r="J597" s="849"/>
      <c r="K597" s="849"/>
    </row>
    <row r="598">
      <c r="A598" s="849"/>
      <c r="B598" s="849"/>
      <c r="C598" s="849"/>
      <c r="D598" s="849"/>
      <c r="E598" s="849"/>
      <c r="F598" s="849"/>
      <c r="G598" s="849"/>
      <c r="H598" s="849"/>
      <c r="I598" s="849"/>
      <c r="J598" s="849"/>
      <c r="K598" s="849"/>
    </row>
    <row r="599">
      <c r="A599" s="849"/>
      <c r="B599" s="849"/>
      <c r="C599" s="849"/>
      <c r="D599" s="849"/>
      <c r="E599" s="849"/>
      <c r="F599" s="849"/>
      <c r="G599" s="849"/>
      <c r="H599" s="849"/>
      <c r="I599" s="849"/>
      <c r="J599" s="849"/>
      <c r="K599" s="849"/>
    </row>
    <row r="600">
      <c r="A600" s="849"/>
      <c r="B600" s="849"/>
      <c r="C600" s="849"/>
      <c r="D600" s="849"/>
      <c r="E600" s="849"/>
      <c r="F600" s="849"/>
      <c r="G600" s="849"/>
      <c r="H600" s="849"/>
      <c r="I600" s="849"/>
      <c r="J600" s="849"/>
      <c r="K600" s="849"/>
    </row>
    <row r="601">
      <c r="A601" s="849"/>
      <c r="B601" s="849"/>
      <c r="C601" s="849"/>
      <c r="D601" s="849"/>
      <c r="E601" s="849"/>
      <c r="F601" s="849"/>
      <c r="G601" s="849"/>
      <c r="H601" s="849"/>
      <c r="I601" s="849"/>
      <c r="J601" s="849"/>
      <c r="K601" s="849"/>
    </row>
    <row r="602">
      <c r="A602" s="849"/>
      <c r="B602" s="849"/>
      <c r="C602" s="849"/>
      <c r="D602" s="849"/>
      <c r="E602" s="849"/>
      <c r="F602" s="849"/>
      <c r="G602" s="849"/>
      <c r="H602" s="849"/>
      <c r="I602" s="849"/>
      <c r="J602" s="849"/>
      <c r="K602" s="849"/>
    </row>
    <row r="603">
      <c r="A603" s="849"/>
      <c r="B603" s="849"/>
      <c r="C603" s="849"/>
      <c r="D603" s="849"/>
      <c r="E603" s="849"/>
      <c r="F603" s="849"/>
      <c r="G603" s="849"/>
      <c r="H603" s="849"/>
      <c r="I603" s="849"/>
      <c r="J603" s="849"/>
      <c r="K603" s="849"/>
    </row>
    <row r="604">
      <c r="A604" s="849"/>
      <c r="B604" s="849"/>
      <c r="C604" s="849"/>
      <c r="D604" s="849"/>
      <c r="E604" s="849"/>
      <c r="F604" s="849"/>
      <c r="G604" s="849"/>
      <c r="H604" s="849"/>
      <c r="I604" s="849"/>
      <c r="J604" s="849"/>
      <c r="K604" s="849"/>
    </row>
    <row r="605">
      <c r="A605" s="849"/>
      <c r="B605" s="849"/>
      <c r="C605" s="849"/>
      <c r="D605" s="849"/>
      <c r="E605" s="849"/>
      <c r="F605" s="849"/>
      <c r="G605" s="849"/>
      <c r="H605" s="849"/>
      <c r="I605" s="849"/>
      <c r="J605" s="849"/>
      <c r="K605" s="849"/>
    </row>
    <row r="606">
      <c r="A606" s="849"/>
      <c r="B606" s="849"/>
      <c r="C606" s="849"/>
      <c r="D606" s="849"/>
      <c r="E606" s="849"/>
      <c r="F606" s="849"/>
      <c r="G606" s="849"/>
      <c r="H606" s="849"/>
      <c r="I606" s="849"/>
      <c r="J606" s="849"/>
      <c r="K606" s="849"/>
    </row>
    <row r="607">
      <c r="A607" s="849"/>
      <c r="B607" s="849"/>
      <c r="C607" s="849"/>
      <c r="D607" s="849"/>
      <c r="E607" s="849"/>
      <c r="F607" s="849"/>
      <c r="G607" s="849"/>
      <c r="H607" s="849"/>
      <c r="I607" s="849"/>
      <c r="J607" s="849"/>
      <c r="K607" s="849"/>
    </row>
    <row r="608">
      <c r="A608" s="849"/>
      <c r="B608" s="849"/>
      <c r="C608" s="849"/>
      <c r="D608" s="849"/>
      <c r="E608" s="849"/>
      <c r="F608" s="849"/>
      <c r="G608" s="849"/>
      <c r="H608" s="849"/>
      <c r="I608" s="849"/>
      <c r="J608" s="849"/>
      <c r="K608" s="849"/>
    </row>
    <row r="609">
      <c r="A609" s="849"/>
      <c r="B609" s="849"/>
      <c r="C609" s="849"/>
      <c r="D609" s="849"/>
      <c r="E609" s="849"/>
      <c r="F609" s="849"/>
      <c r="G609" s="849"/>
      <c r="H609" s="849"/>
      <c r="I609" s="849"/>
      <c r="J609" s="849"/>
      <c r="K609" s="849"/>
    </row>
    <row r="610">
      <c r="A610" s="849"/>
      <c r="B610" s="849"/>
      <c r="C610" s="849"/>
      <c r="D610" s="849"/>
      <c r="E610" s="849"/>
      <c r="F610" s="849"/>
      <c r="G610" s="849"/>
      <c r="H610" s="849"/>
      <c r="I610" s="849"/>
      <c r="J610" s="849"/>
      <c r="K610" s="849"/>
    </row>
    <row r="611">
      <c r="A611" s="849"/>
      <c r="B611" s="849"/>
      <c r="C611" s="849"/>
      <c r="D611" s="849"/>
      <c r="E611" s="849"/>
      <c r="F611" s="849"/>
      <c r="G611" s="849"/>
      <c r="H611" s="849"/>
      <c r="I611" s="849"/>
      <c r="J611" s="849"/>
      <c r="K611" s="849"/>
    </row>
    <row r="612">
      <c r="A612" s="849"/>
      <c r="B612" s="849"/>
      <c r="C612" s="849"/>
      <c r="D612" s="849"/>
      <c r="E612" s="849"/>
      <c r="F612" s="849"/>
      <c r="G612" s="849"/>
      <c r="H612" s="849"/>
      <c r="I612" s="849"/>
      <c r="J612" s="849"/>
      <c r="K612" s="849"/>
    </row>
    <row r="613">
      <c r="A613" s="849"/>
      <c r="B613" s="849"/>
      <c r="C613" s="849"/>
      <c r="D613" s="849"/>
      <c r="E613" s="849"/>
      <c r="F613" s="849"/>
      <c r="G613" s="849"/>
      <c r="H613" s="849"/>
      <c r="I613" s="849"/>
      <c r="J613" s="849"/>
      <c r="K613" s="849"/>
    </row>
    <row r="614">
      <c r="A614" s="849"/>
      <c r="B614" s="849"/>
      <c r="C614" s="849"/>
      <c r="D614" s="849"/>
      <c r="E614" s="849"/>
      <c r="F614" s="849"/>
      <c r="G614" s="849"/>
      <c r="H614" s="849"/>
      <c r="I614" s="849"/>
      <c r="J614" s="849"/>
      <c r="K614" s="849"/>
    </row>
    <row r="615">
      <c r="A615" s="849"/>
      <c r="B615" s="849"/>
      <c r="C615" s="849"/>
      <c r="D615" s="849"/>
      <c r="E615" s="849"/>
      <c r="F615" s="849"/>
      <c r="G615" s="849"/>
      <c r="H615" s="849"/>
      <c r="I615" s="849"/>
      <c r="J615" s="849"/>
      <c r="K615" s="849"/>
    </row>
    <row r="616">
      <c r="A616" s="849"/>
      <c r="B616" s="849"/>
      <c r="C616" s="849"/>
      <c r="D616" s="849"/>
      <c r="E616" s="849"/>
      <c r="F616" s="849"/>
      <c r="G616" s="849"/>
      <c r="H616" s="849"/>
      <c r="I616" s="849"/>
      <c r="J616" s="849"/>
      <c r="K616" s="849"/>
    </row>
    <row r="617">
      <c r="A617" s="849"/>
      <c r="B617" s="849"/>
      <c r="C617" s="849"/>
      <c r="D617" s="849"/>
      <c r="E617" s="849"/>
      <c r="F617" s="849"/>
      <c r="G617" s="849"/>
      <c r="H617" s="849"/>
      <c r="I617" s="849"/>
      <c r="J617" s="849"/>
      <c r="K617" s="849"/>
    </row>
    <row r="618">
      <c r="A618" s="849"/>
      <c r="B618" s="849"/>
      <c r="C618" s="849"/>
      <c r="D618" s="849"/>
      <c r="E618" s="849"/>
      <c r="F618" s="849"/>
      <c r="G618" s="849"/>
      <c r="H618" s="849"/>
      <c r="I618" s="849"/>
      <c r="J618" s="849"/>
      <c r="K618" s="849"/>
    </row>
    <row r="619">
      <c r="A619" s="849"/>
      <c r="B619" s="849"/>
      <c r="C619" s="849"/>
      <c r="D619" s="849"/>
      <c r="E619" s="849"/>
      <c r="F619" s="849"/>
      <c r="G619" s="849"/>
      <c r="H619" s="849"/>
      <c r="I619" s="849"/>
      <c r="J619" s="849"/>
      <c r="K619" s="849"/>
    </row>
    <row r="620">
      <c r="A620" s="849"/>
      <c r="B620" s="849"/>
      <c r="C620" s="849"/>
      <c r="D620" s="849"/>
      <c r="E620" s="849"/>
      <c r="F620" s="849"/>
      <c r="G620" s="849"/>
      <c r="H620" s="849"/>
      <c r="I620" s="849"/>
      <c r="J620" s="849"/>
      <c r="K620" s="849"/>
    </row>
    <row r="621">
      <c r="A621" s="849"/>
      <c r="B621" s="849"/>
      <c r="C621" s="849"/>
      <c r="D621" s="849"/>
      <c r="E621" s="849"/>
      <c r="F621" s="849"/>
      <c r="G621" s="849"/>
      <c r="H621" s="849"/>
      <c r="I621" s="849"/>
      <c r="J621" s="849"/>
      <c r="K621" s="849"/>
    </row>
    <row r="622">
      <c r="A622" s="849"/>
      <c r="B622" s="849"/>
      <c r="C622" s="849"/>
      <c r="D622" s="849"/>
      <c r="E622" s="849"/>
      <c r="F622" s="849"/>
      <c r="G622" s="849"/>
      <c r="H622" s="849"/>
      <c r="I622" s="849"/>
      <c r="J622" s="849"/>
      <c r="K622" s="849"/>
    </row>
    <row r="623">
      <c r="A623" s="849"/>
      <c r="B623" s="849"/>
      <c r="C623" s="849"/>
      <c r="D623" s="849"/>
      <c r="E623" s="849"/>
      <c r="F623" s="849"/>
      <c r="G623" s="849"/>
      <c r="H623" s="849"/>
      <c r="I623" s="849"/>
      <c r="J623" s="849"/>
      <c r="K623" s="849"/>
    </row>
    <row r="624">
      <c r="A624" s="849"/>
      <c r="B624" s="849"/>
      <c r="C624" s="849"/>
      <c r="D624" s="849"/>
      <c r="E624" s="849"/>
      <c r="F624" s="849"/>
      <c r="G624" s="849"/>
      <c r="H624" s="849"/>
      <c r="I624" s="849"/>
      <c r="J624" s="849"/>
      <c r="K624" s="849"/>
    </row>
    <row r="625">
      <c r="A625" s="849"/>
      <c r="B625" s="849"/>
      <c r="C625" s="849"/>
      <c r="D625" s="849"/>
      <c r="E625" s="849"/>
      <c r="F625" s="849"/>
      <c r="G625" s="849"/>
      <c r="H625" s="849"/>
      <c r="I625" s="849"/>
      <c r="J625" s="849"/>
      <c r="K625" s="849"/>
    </row>
    <row r="626">
      <c r="A626" s="849"/>
      <c r="B626" s="849"/>
      <c r="C626" s="849"/>
      <c r="D626" s="849"/>
      <c r="E626" s="849"/>
      <c r="F626" s="849"/>
      <c r="G626" s="849"/>
      <c r="H626" s="849"/>
      <c r="I626" s="849"/>
      <c r="J626" s="849"/>
      <c r="K626" s="849"/>
    </row>
    <row r="627">
      <c r="A627" s="849"/>
      <c r="B627" s="849"/>
      <c r="C627" s="849"/>
      <c r="D627" s="849"/>
      <c r="E627" s="849"/>
      <c r="F627" s="849"/>
      <c r="G627" s="849"/>
      <c r="H627" s="849"/>
      <c r="I627" s="849"/>
      <c r="J627" s="849"/>
      <c r="K627" s="849"/>
    </row>
    <row r="628">
      <c r="A628" s="849"/>
      <c r="B628" s="849"/>
      <c r="C628" s="849"/>
      <c r="D628" s="849"/>
      <c r="E628" s="849"/>
      <c r="F628" s="849"/>
      <c r="G628" s="849"/>
      <c r="H628" s="849"/>
      <c r="I628" s="849"/>
      <c r="J628" s="849"/>
      <c r="K628" s="849"/>
    </row>
    <row r="629">
      <c r="A629" s="849"/>
      <c r="B629" s="849"/>
      <c r="C629" s="849"/>
      <c r="D629" s="849"/>
      <c r="E629" s="849"/>
      <c r="F629" s="849"/>
      <c r="G629" s="849"/>
      <c r="H629" s="849"/>
      <c r="I629" s="849"/>
      <c r="J629" s="849"/>
      <c r="K629" s="849"/>
    </row>
    <row r="630">
      <c r="A630" s="849"/>
      <c r="B630" s="849"/>
      <c r="C630" s="849"/>
      <c r="D630" s="849"/>
      <c r="E630" s="849"/>
      <c r="F630" s="849"/>
      <c r="G630" s="849"/>
      <c r="H630" s="849"/>
      <c r="I630" s="849"/>
      <c r="J630" s="849"/>
      <c r="K630" s="849"/>
    </row>
    <row r="631">
      <c r="A631" s="849"/>
      <c r="B631" s="849"/>
      <c r="C631" s="849"/>
      <c r="D631" s="849"/>
      <c r="E631" s="849"/>
      <c r="F631" s="849"/>
      <c r="G631" s="849"/>
      <c r="H631" s="849"/>
      <c r="I631" s="849"/>
      <c r="J631" s="849"/>
      <c r="K631" s="849"/>
    </row>
    <row r="632">
      <c r="A632" s="849"/>
      <c r="B632" s="849"/>
      <c r="C632" s="849"/>
      <c r="D632" s="849"/>
      <c r="E632" s="849"/>
      <c r="F632" s="849"/>
      <c r="G632" s="849"/>
      <c r="H632" s="849"/>
      <c r="I632" s="849"/>
      <c r="J632" s="849"/>
      <c r="K632" s="849"/>
    </row>
    <row r="633">
      <c r="A633" s="849"/>
      <c r="B633" s="849"/>
      <c r="C633" s="849"/>
      <c r="D633" s="849"/>
      <c r="E633" s="849"/>
      <c r="F633" s="849"/>
      <c r="G633" s="849"/>
      <c r="H633" s="849"/>
      <c r="I633" s="849"/>
      <c r="J633" s="849"/>
      <c r="K633" s="849"/>
    </row>
    <row r="634">
      <c r="A634" s="849"/>
      <c r="B634" s="849"/>
      <c r="C634" s="849"/>
      <c r="D634" s="849"/>
      <c r="E634" s="849"/>
      <c r="F634" s="849"/>
      <c r="G634" s="849"/>
      <c r="H634" s="849"/>
      <c r="I634" s="849"/>
      <c r="J634" s="849"/>
      <c r="K634" s="849"/>
    </row>
    <row r="635">
      <c r="A635" s="849"/>
      <c r="B635" s="849"/>
      <c r="C635" s="849"/>
      <c r="D635" s="849"/>
      <c r="E635" s="849"/>
      <c r="F635" s="849"/>
      <c r="G635" s="849"/>
      <c r="H635" s="849"/>
      <c r="I635" s="849"/>
      <c r="J635" s="849"/>
      <c r="K635" s="849"/>
    </row>
    <row r="636">
      <c r="A636" s="849"/>
      <c r="B636" s="849"/>
      <c r="C636" s="849"/>
      <c r="D636" s="849"/>
      <c r="E636" s="849"/>
      <c r="F636" s="849"/>
      <c r="G636" s="849"/>
      <c r="H636" s="849"/>
      <c r="I636" s="849"/>
      <c r="J636" s="849"/>
      <c r="K636" s="849"/>
    </row>
    <row r="637">
      <c r="A637" s="849"/>
      <c r="B637" s="849"/>
      <c r="C637" s="849"/>
      <c r="D637" s="849"/>
      <c r="E637" s="849"/>
      <c r="F637" s="849"/>
      <c r="G637" s="849"/>
      <c r="H637" s="849"/>
      <c r="I637" s="849"/>
      <c r="J637" s="849"/>
      <c r="K637" s="849"/>
    </row>
    <row r="638">
      <c r="A638" s="849"/>
      <c r="B638" s="849"/>
      <c r="C638" s="849"/>
      <c r="D638" s="849"/>
      <c r="E638" s="849"/>
      <c r="F638" s="849"/>
      <c r="G638" s="849"/>
      <c r="H638" s="849"/>
      <c r="I638" s="849"/>
      <c r="J638" s="849"/>
      <c r="K638" s="849"/>
    </row>
    <row r="639">
      <c r="A639" s="849"/>
      <c r="B639" s="849"/>
      <c r="C639" s="849"/>
      <c r="D639" s="849"/>
      <c r="E639" s="849"/>
      <c r="F639" s="849"/>
      <c r="G639" s="849"/>
      <c r="H639" s="849"/>
      <c r="I639" s="849"/>
      <c r="J639" s="849"/>
      <c r="K639" s="849"/>
    </row>
    <row r="640">
      <c r="A640" s="849"/>
      <c r="B640" s="849"/>
      <c r="C640" s="849"/>
      <c r="D640" s="849"/>
      <c r="E640" s="849"/>
      <c r="F640" s="849"/>
      <c r="G640" s="849"/>
      <c r="H640" s="849"/>
      <c r="I640" s="849"/>
      <c r="J640" s="849"/>
      <c r="K640" s="849"/>
    </row>
    <row r="641">
      <c r="A641" s="849"/>
      <c r="B641" s="849"/>
      <c r="C641" s="849"/>
      <c r="D641" s="849"/>
      <c r="E641" s="849"/>
      <c r="F641" s="849"/>
      <c r="G641" s="849"/>
      <c r="H641" s="849"/>
      <c r="I641" s="849"/>
      <c r="J641" s="849"/>
      <c r="K641" s="849"/>
    </row>
    <row r="642">
      <c r="A642" s="849"/>
      <c r="B642" s="849"/>
      <c r="C642" s="849"/>
      <c r="D642" s="849"/>
      <c r="E642" s="849"/>
      <c r="F642" s="849"/>
      <c r="G642" s="849"/>
      <c r="H642" s="849"/>
      <c r="I642" s="849"/>
      <c r="J642" s="849"/>
      <c r="K642" s="849"/>
    </row>
    <row r="643">
      <c r="A643" s="849"/>
      <c r="B643" s="849"/>
      <c r="C643" s="849"/>
      <c r="D643" s="849"/>
      <c r="E643" s="849"/>
      <c r="F643" s="849"/>
      <c r="G643" s="849"/>
      <c r="H643" s="849"/>
      <c r="I643" s="849"/>
      <c r="J643" s="849"/>
      <c r="K643" s="849"/>
    </row>
    <row r="644">
      <c r="A644" s="849"/>
      <c r="B644" s="849"/>
      <c r="C644" s="849"/>
      <c r="D644" s="849"/>
      <c r="E644" s="849"/>
      <c r="F644" s="849"/>
      <c r="G644" s="849"/>
      <c r="H644" s="849"/>
      <c r="I644" s="849"/>
      <c r="J644" s="849"/>
      <c r="K644" s="849"/>
    </row>
    <row r="645">
      <c r="A645" s="849"/>
      <c r="B645" s="849"/>
      <c r="C645" s="849"/>
      <c r="D645" s="849"/>
      <c r="E645" s="849"/>
      <c r="F645" s="849"/>
      <c r="G645" s="849"/>
      <c r="H645" s="849"/>
      <c r="I645" s="849"/>
      <c r="J645" s="849"/>
      <c r="K645" s="849"/>
    </row>
    <row r="646">
      <c r="A646" s="849"/>
      <c r="B646" s="849"/>
      <c r="C646" s="849"/>
      <c r="D646" s="849"/>
      <c r="E646" s="849"/>
      <c r="F646" s="849"/>
      <c r="G646" s="849"/>
      <c r="H646" s="849"/>
      <c r="I646" s="849"/>
      <c r="J646" s="849"/>
      <c r="K646" s="849"/>
    </row>
    <row r="647">
      <c r="A647" s="849"/>
      <c r="B647" s="849"/>
      <c r="C647" s="849"/>
      <c r="D647" s="849"/>
      <c r="E647" s="849"/>
      <c r="F647" s="849"/>
      <c r="G647" s="849"/>
      <c r="H647" s="849"/>
      <c r="I647" s="849"/>
      <c r="J647" s="849"/>
      <c r="K647" s="849"/>
    </row>
    <row r="648">
      <c r="A648" s="849"/>
      <c r="B648" s="849"/>
      <c r="C648" s="849"/>
      <c r="D648" s="849"/>
      <c r="E648" s="849"/>
      <c r="F648" s="849"/>
      <c r="G648" s="849"/>
      <c r="H648" s="849"/>
      <c r="I648" s="849"/>
      <c r="J648" s="849"/>
      <c r="K648" s="849"/>
    </row>
    <row r="649">
      <c r="A649" s="849"/>
      <c r="B649" s="849"/>
      <c r="C649" s="849"/>
      <c r="D649" s="849"/>
      <c r="E649" s="849"/>
      <c r="F649" s="849"/>
      <c r="G649" s="849"/>
      <c r="H649" s="849"/>
      <c r="I649" s="849"/>
      <c r="J649" s="849"/>
      <c r="K649" s="849"/>
    </row>
    <row r="650">
      <c r="A650" s="849"/>
      <c r="B650" s="849"/>
      <c r="C650" s="849"/>
      <c r="D650" s="849"/>
      <c r="E650" s="849"/>
      <c r="F650" s="849"/>
      <c r="G650" s="849"/>
      <c r="H650" s="849"/>
      <c r="I650" s="849"/>
      <c r="J650" s="849"/>
      <c r="K650" s="849"/>
    </row>
    <row r="651">
      <c r="A651" s="849"/>
      <c r="B651" s="849"/>
      <c r="C651" s="849"/>
      <c r="D651" s="849"/>
      <c r="E651" s="849"/>
      <c r="F651" s="849"/>
      <c r="G651" s="849"/>
      <c r="H651" s="849"/>
      <c r="I651" s="849"/>
      <c r="J651" s="849"/>
      <c r="K651" s="849"/>
    </row>
    <row r="652">
      <c r="A652" s="849"/>
      <c r="B652" s="849"/>
      <c r="C652" s="849"/>
      <c r="D652" s="849"/>
      <c r="E652" s="849"/>
      <c r="F652" s="849"/>
      <c r="G652" s="849"/>
      <c r="H652" s="849"/>
      <c r="I652" s="849"/>
      <c r="J652" s="849"/>
      <c r="K652" s="849"/>
    </row>
    <row r="653">
      <c r="A653" s="849"/>
      <c r="B653" s="849"/>
      <c r="C653" s="849"/>
      <c r="D653" s="849"/>
      <c r="E653" s="849"/>
      <c r="F653" s="849"/>
      <c r="G653" s="849"/>
      <c r="H653" s="849"/>
      <c r="I653" s="849"/>
      <c r="J653" s="849"/>
      <c r="K653" s="849"/>
    </row>
    <row r="654">
      <c r="A654" s="849"/>
      <c r="B654" s="849"/>
      <c r="C654" s="849"/>
      <c r="D654" s="849"/>
      <c r="E654" s="849"/>
      <c r="F654" s="849"/>
      <c r="G654" s="849"/>
      <c r="H654" s="849"/>
      <c r="I654" s="849"/>
      <c r="J654" s="849"/>
      <c r="K654" s="849"/>
    </row>
    <row r="655">
      <c r="A655" s="849"/>
      <c r="B655" s="849"/>
      <c r="C655" s="849"/>
      <c r="D655" s="849"/>
      <c r="E655" s="849"/>
      <c r="F655" s="849"/>
      <c r="G655" s="849"/>
      <c r="H655" s="849"/>
      <c r="I655" s="849"/>
      <c r="J655" s="849"/>
      <c r="K655" s="849"/>
    </row>
    <row r="656">
      <c r="A656" s="849"/>
      <c r="B656" s="849"/>
      <c r="C656" s="849"/>
      <c r="D656" s="849"/>
      <c r="E656" s="849"/>
      <c r="F656" s="849"/>
      <c r="G656" s="849"/>
      <c r="H656" s="849"/>
      <c r="I656" s="849"/>
      <c r="J656" s="849"/>
      <c r="K656" s="849"/>
    </row>
    <row r="657">
      <c r="A657" s="849"/>
      <c r="B657" s="849"/>
      <c r="C657" s="849"/>
      <c r="D657" s="849"/>
      <c r="E657" s="849"/>
      <c r="F657" s="849"/>
      <c r="G657" s="849"/>
      <c r="H657" s="849"/>
      <c r="I657" s="849"/>
      <c r="J657" s="849"/>
      <c r="K657" s="849"/>
    </row>
    <row r="658">
      <c r="A658" s="849"/>
      <c r="B658" s="849"/>
      <c r="C658" s="849"/>
      <c r="D658" s="849"/>
      <c r="E658" s="849"/>
      <c r="F658" s="849"/>
      <c r="G658" s="849"/>
      <c r="H658" s="849"/>
      <c r="I658" s="849"/>
      <c r="J658" s="849"/>
      <c r="K658" s="849"/>
    </row>
    <row r="659">
      <c r="A659" s="849"/>
      <c r="B659" s="849"/>
      <c r="C659" s="849"/>
      <c r="D659" s="849"/>
      <c r="E659" s="849"/>
      <c r="F659" s="849"/>
      <c r="G659" s="849"/>
      <c r="H659" s="849"/>
      <c r="I659" s="849"/>
      <c r="J659" s="849"/>
      <c r="K659" s="849"/>
    </row>
    <row r="660">
      <c r="A660" s="849"/>
      <c r="B660" s="849"/>
      <c r="C660" s="849"/>
      <c r="D660" s="849"/>
      <c r="E660" s="849"/>
      <c r="F660" s="849"/>
      <c r="G660" s="849"/>
      <c r="H660" s="849"/>
      <c r="I660" s="849"/>
      <c r="J660" s="849"/>
      <c r="K660" s="849"/>
    </row>
    <row r="661">
      <c r="A661" s="849"/>
      <c r="B661" s="849"/>
      <c r="C661" s="849"/>
      <c r="D661" s="849"/>
      <c r="E661" s="849"/>
      <c r="F661" s="849"/>
      <c r="G661" s="849"/>
      <c r="H661" s="849"/>
      <c r="I661" s="849"/>
      <c r="J661" s="849"/>
      <c r="K661" s="849"/>
    </row>
    <row r="662">
      <c r="A662" s="849"/>
      <c r="B662" s="849"/>
      <c r="C662" s="849"/>
      <c r="D662" s="849"/>
      <c r="E662" s="849"/>
      <c r="F662" s="849"/>
      <c r="G662" s="849"/>
      <c r="H662" s="849"/>
      <c r="I662" s="849"/>
      <c r="J662" s="849"/>
      <c r="K662" s="849"/>
    </row>
    <row r="663">
      <c r="A663" s="849"/>
      <c r="B663" s="849"/>
      <c r="C663" s="849"/>
      <c r="D663" s="849"/>
      <c r="E663" s="849"/>
      <c r="F663" s="849"/>
      <c r="G663" s="849"/>
      <c r="H663" s="849"/>
      <c r="I663" s="849"/>
      <c r="J663" s="849"/>
      <c r="K663" s="849"/>
    </row>
    <row r="664">
      <c r="A664" s="849"/>
      <c r="B664" s="849"/>
      <c r="C664" s="849"/>
      <c r="D664" s="849"/>
      <c r="E664" s="849"/>
      <c r="F664" s="849"/>
      <c r="G664" s="849"/>
      <c r="H664" s="849"/>
      <c r="I664" s="849"/>
      <c r="J664" s="849"/>
      <c r="K664" s="849"/>
    </row>
    <row r="665">
      <c r="A665" s="849"/>
      <c r="B665" s="849"/>
      <c r="C665" s="849"/>
      <c r="D665" s="849"/>
      <c r="E665" s="849"/>
      <c r="F665" s="849"/>
      <c r="G665" s="849"/>
      <c r="H665" s="849"/>
      <c r="I665" s="849"/>
      <c r="J665" s="849"/>
      <c r="K665" s="849"/>
    </row>
    <row r="666">
      <c r="A666" s="849"/>
      <c r="B666" s="849"/>
      <c r="C666" s="849"/>
      <c r="D666" s="849"/>
      <c r="E666" s="849"/>
      <c r="F666" s="849"/>
      <c r="G666" s="849"/>
      <c r="H666" s="849"/>
      <c r="I666" s="849"/>
      <c r="J666" s="849"/>
      <c r="K666" s="849"/>
    </row>
    <row r="667">
      <c r="A667" s="849"/>
      <c r="B667" s="849"/>
      <c r="C667" s="849"/>
      <c r="D667" s="849"/>
      <c r="E667" s="849"/>
      <c r="F667" s="849"/>
      <c r="G667" s="849"/>
      <c r="H667" s="849"/>
      <c r="I667" s="849"/>
      <c r="J667" s="849"/>
      <c r="K667" s="849"/>
    </row>
    <row r="668">
      <c r="A668" s="849"/>
      <c r="B668" s="849"/>
      <c r="C668" s="849"/>
      <c r="D668" s="849"/>
      <c r="E668" s="849"/>
      <c r="F668" s="849"/>
      <c r="G668" s="849"/>
      <c r="H668" s="849"/>
      <c r="I668" s="849"/>
      <c r="J668" s="849"/>
      <c r="K668" s="849"/>
    </row>
    <row r="669">
      <c r="A669" s="849"/>
      <c r="B669" s="849"/>
      <c r="C669" s="849"/>
      <c r="D669" s="849"/>
      <c r="E669" s="849"/>
      <c r="F669" s="849"/>
      <c r="G669" s="849"/>
      <c r="H669" s="849"/>
      <c r="I669" s="849"/>
      <c r="J669" s="849"/>
      <c r="K669" s="849"/>
    </row>
    <row r="670">
      <c r="A670" s="849"/>
      <c r="B670" s="849"/>
      <c r="C670" s="849"/>
      <c r="D670" s="849"/>
      <c r="E670" s="849"/>
      <c r="F670" s="849"/>
      <c r="G670" s="849"/>
      <c r="H670" s="849"/>
      <c r="I670" s="849"/>
      <c r="J670" s="849"/>
      <c r="K670" s="849"/>
    </row>
    <row r="671">
      <c r="A671" s="849"/>
      <c r="B671" s="849"/>
      <c r="C671" s="849"/>
      <c r="D671" s="849"/>
      <c r="E671" s="849"/>
      <c r="F671" s="849"/>
      <c r="G671" s="849"/>
      <c r="H671" s="849"/>
      <c r="I671" s="849"/>
      <c r="J671" s="849"/>
      <c r="K671" s="849"/>
    </row>
    <row r="672">
      <c r="A672" s="849"/>
      <c r="B672" s="849"/>
      <c r="C672" s="849"/>
      <c r="D672" s="849"/>
      <c r="E672" s="849"/>
      <c r="F672" s="849"/>
      <c r="G672" s="849"/>
      <c r="H672" s="849"/>
      <c r="I672" s="849"/>
      <c r="J672" s="849"/>
      <c r="K672" s="849"/>
    </row>
    <row r="673">
      <c r="A673" s="849"/>
      <c r="B673" s="849"/>
      <c r="C673" s="849"/>
      <c r="D673" s="849"/>
      <c r="E673" s="849"/>
      <c r="F673" s="849"/>
      <c r="G673" s="849"/>
      <c r="H673" s="849"/>
      <c r="I673" s="849"/>
      <c r="J673" s="849"/>
      <c r="K673" s="849"/>
    </row>
    <row r="674">
      <c r="A674" s="849"/>
      <c r="B674" s="849"/>
      <c r="C674" s="849"/>
      <c r="D674" s="849"/>
      <c r="E674" s="849"/>
      <c r="F674" s="849"/>
      <c r="G674" s="849"/>
      <c r="H674" s="849"/>
      <c r="I674" s="849"/>
      <c r="J674" s="849"/>
      <c r="K674" s="849"/>
    </row>
    <row r="675">
      <c r="A675" s="849"/>
      <c r="B675" s="849"/>
      <c r="C675" s="849"/>
      <c r="D675" s="849"/>
      <c r="E675" s="849"/>
      <c r="F675" s="849"/>
      <c r="G675" s="849"/>
      <c r="H675" s="849"/>
      <c r="I675" s="849"/>
      <c r="J675" s="849"/>
      <c r="K675" s="849"/>
    </row>
    <row r="676">
      <c r="A676" s="849"/>
      <c r="B676" s="849"/>
      <c r="C676" s="849"/>
      <c r="D676" s="849"/>
      <c r="E676" s="849"/>
      <c r="F676" s="849"/>
      <c r="G676" s="849"/>
      <c r="H676" s="849"/>
      <c r="I676" s="849"/>
      <c r="J676" s="849"/>
      <c r="K676" s="849"/>
    </row>
    <row r="677">
      <c r="A677" s="849"/>
      <c r="B677" s="849"/>
      <c r="C677" s="849"/>
      <c r="D677" s="849"/>
      <c r="E677" s="849"/>
      <c r="F677" s="849"/>
      <c r="G677" s="849"/>
      <c r="H677" s="849"/>
      <c r="I677" s="849"/>
      <c r="J677" s="849"/>
      <c r="K677" s="849"/>
    </row>
    <row r="678">
      <c r="A678" s="849"/>
      <c r="B678" s="849"/>
      <c r="C678" s="849"/>
      <c r="D678" s="849"/>
      <c r="E678" s="849"/>
      <c r="F678" s="849"/>
      <c r="G678" s="849"/>
      <c r="H678" s="849"/>
      <c r="I678" s="849"/>
      <c r="J678" s="849"/>
      <c r="K678" s="849"/>
    </row>
    <row r="679">
      <c r="A679" s="849"/>
      <c r="B679" s="849"/>
      <c r="C679" s="849"/>
      <c r="D679" s="849"/>
      <c r="E679" s="849"/>
      <c r="F679" s="849"/>
      <c r="G679" s="849"/>
      <c r="H679" s="849"/>
      <c r="I679" s="849"/>
      <c r="J679" s="849"/>
      <c r="K679" s="849"/>
    </row>
    <row r="680">
      <c r="A680" s="849"/>
      <c r="B680" s="849"/>
      <c r="C680" s="849"/>
      <c r="D680" s="849"/>
      <c r="E680" s="849"/>
      <c r="F680" s="849"/>
      <c r="G680" s="849"/>
      <c r="H680" s="849"/>
      <c r="I680" s="849"/>
      <c r="J680" s="849"/>
      <c r="K680" s="849"/>
    </row>
    <row r="681">
      <c r="A681" s="849"/>
      <c r="B681" s="849"/>
      <c r="C681" s="849"/>
      <c r="D681" s="849"/>
      <c r="E681" s="849"/>
      <c r="F681" s="849"/>
      <c r="G681" s="849"/>
      <c r="H681" s="849"/>
      <c r="I681" s="849"/>
      <c r="J681" s="849"/>
      <c r="K681" s="849"/>
    </row>
    <row r="682">
      <c r="A682" s="849"/>
      <c r="B682" s="849"/>
      <c r="C682" s="849"/>
      <c r="D682" s="849"/>
      <c r="E682" s="849"/>
      <c r="F682" s="849"/>
      <c r="G682" s="849"/>
      <c r="H682" s="849"/>
      <c r="I682" s="849"/>
      <c r="J682" s="849"/>
      <c r="K682" s="849"/>
    </row>
    <row r="683">
      <c r="A683" s="849"/>
      <c r="B683" s="849"/>
      <c r="C683" s="849"/>
      <c r="D683" s="849"/>
      <c r="E683" s="849"/>
      <c r="F683" s="849"/>
      <c r="G683" s="849"/>
      <c r="H683" s="849"/>
      <c r="I683" s="849"/>
      <c r="J683" s="849"/>
      <c r="K683" s="849"/>
    </row>
    <row r="684">
      <c r="A684" s="849"/>
      <c r="B684" s="849"/>
      <c r="C684" s="849"/>
      <c r="D684" s="849"/>
      <c r="E684" s="849"/>
      <c r="F684" s="849"/>
      <c r="G684" s="849"/>
      <c r="H684" s="849"/>
      <c r="I684" s="849"/>
      <c r="J684" s="849"/>
      <c r="K684" s="849"/>
    </row>
    <row r="685">
      <c r="A685" s="849"/>
      <c r="B685" s="849"/>
      <c r="C685" s="849"/>
      <c r="D685" s="849"/>
      <c r="E685" s="849"/>
      <c r="F685" s="849"/>
      <c r="G685" s="849"/>
      <c r="H685" s="849"/>
      <c r="I685" s="849"/>
      <c r="J685" s="849"/>
      <c r="K685" s="849"/>
    </row>
    <row r="686">
      <c r="A686" s="849"/>
      <c r="B686" s="849"/>
      <c r="C686" s="849"/>
      <c r="D686" s="849"/>
      <c r="E686" s="849"/>
      <c r="F686" s="849"/>
      <c r="G686" s="849"/>
      <c r="H686" s="849"/>
      <c r="I686" s="849"/>
      <c r="J686" s="849"/>
      <c r="K686" s="849"/>
    </row>
    <row r="687">
      <c r="A687" s="849"/>
      <c r="B687" s="849"/>
      <c r="C687" s="849"/>
      <c r="D687" s="849"/>
      <c r="E687" s="849"/>
      <c r="F687" s="849"/>
      <c r="G687" s="849"/>
      <c r="H687" s="849"/>
      <c r="I687" s="849"/>
      <c r="J687" s="849"/>
      <c r="K687" s="849"/>
    </row>
    <row r="688">
      <c r="A688" s="849"/>
      <c r="B688" s="849"/>
      <c r="C688" s="849"/>
      <c r="D688" s="849"/>
      <c r="E688" s="849"/>
      <c r="F688" s="849"/>
      <c r="G688" s="849"/>
      <c r="H688" s="849"/>
      <c r="I688" s="849"/>
      <c r="J688" s="849"/>
      <c r="K688" s="849"/>
    </row>
    <row r="689">
      <c r="A689" s="849"/>
      <c r="B689" s="849"/>
      <c r="C689" s="849"/>
      <c r="D689" s="849"/>
      <c r="E689" s="849"/>
      <c r="F689" s="849"/>
      <c r="G689" s="849"/>
      <c r="H689" s="849"/>
      <c r="I689" s="849"/>
      <c r="J689" s="849"/>
      <c r="K689" s="849"/>
    </row>
    <row r="690">
      <c r="A690" s="849"/>
      <c r="B690" s="849"/>
      <c r="C690" s="849"/>
      <c r="D690" s="849"/>
      <c r="E690" s="849"/>
      <c r="F690" s="849"/>
      <c r="G690" s="849"/>
      <c r="H690" s="849"/>
      <c r="I690" s="849"/>
      <c r="J690" s="849"/>
      <c r="K690" s="849"/>
    </row>
    <row r="691">
      <c r="A691" s="849"/>
      <c r="B691" s="849"/>
      <c r="C691" s="849"/>
      <c r="D691" s="849"/>
      <c r="E691" s="849"/>
      <c r="F691" s="849"/>
      <c r="G691" s="849"/>
      <c r="H691" s="849"/>
      <c r="I691" s="849"/>
      <c r="J691" s="849"/>
      <c r="K691" s="849"/>
    </row>
    <row r="692">
      <c r="A692" s="849"/>
      <c r="B692" s="849"/>
      <c r="C692" s="849"/>
      <c r="D692" s="849"/>
      <c r="E692" s="849"/>
      <c r="F692" s="849"/>
      <c r="G692" s="849"/>
      <c r="H692" s="849"/>
      <c r="I692" s="849"/>
      <c r="J692" s="849"/>
      <c r="K692" s="849"/>
    </row>
    <row r="693">
      <c r="A693" s="849"/>
      <c r="B693" s="849"/>
      <c r="C693" s="849"/>
      <c r="D693" s="849"/>
      <c r="E693" s="849"/>
      <c r="F693" s="849"/>
      <c r="G693" s="849"/>
      <c r="H693" s="849"/>
      <c r="I693" s="849"/>
      <c r="J693" s="849"/>
      <c r="K693" s="849"/>
    </row>
    <row r="694">
      <c r="A694" s="849"/>
      <c r="B694" s="849"/>
      <c r="C694" s="849"/>
      <c r="D694" s="849"/>
      <c r="E694" s="849"/>
      <c r="F694" s="849"/>
      <c r="G694" s="849"/>
      <c r="H694" s="849"/>
      <c r="I694" s="849"/>
      <c r="J694" s="849"/>
      <c r="K694" s="849"/>
    </row>
    <row r="695">
      <c r="A695" s="849"/>
      <c r="B695" s="849"/>
      <c r="C695" s="849"/>
      <c r="D695" s="849"/>
      <c r="E695" s="849"/>
      <c r="F695" s="849"/>
      <c r="G695" s="849"/>
      <c r="H695" s="849"/>
      <c r="I695" s="849"/>
      <c r="J695" s="849"/>
      <c r="K695" s="849"/>
    </row>
    <row r="696">
      <c r="A696" s="849"/>
      <c r="B696" s="849"/>
      <c r="C696" s="849"/>
      <c r="D696" s="849"/>
      <c r="E696" s="849"/>
      <c r="F696" s="849"/>
      <c r="G696" s="849"/>
      <c r="H696" s="849"/>
      <c r="I696" s="849"/>
      <c r="J696" s="849"/>
      <c r="K696" s="849"/>
    </row>
    <row r="697">
      <c r="A697" s="849"/>
      <c r="B697" s="849"/>
      <c r="C697" s="849"/>
      <c r="D697" s="849"/>
      <c r="E697" s="849"/>
      <c r="F697" s="849"/>
      <c r="G697" s="849"/>
      <c r="H697" s="849"/>
      <c r="I697" s="849"/>
      <c r="J697" s="849"/>
      <c r="K697" s="849"/>
    </row>
    <row r="698">
      <c r="A698" s="849"/>
      <c r="B698" s="849"/>
      <c r="C698" s="849"/>
      <c r="D698" s="849"/>
      <c r="E698" s="849"/>
      <c r="F698" s="849"/>
      <c r="G698" s="849"/>
      <c r="H698" s="849"/>
      <c r="I698" s="849"/>
      <c r="J698" s="849"/>
      <c r="K698" s="849"/>
    </row>
    <row r="699">
      <c r="A699" s="849"/>
      <c r="B699" s="849"/>
      <c r="C699" s="849"/>
      <c r="D699" s="849"/>
      <c r="E699" s="849"/>
      <c r="F699" s="849"/>
      <c r="G699" s="849"/>
      <c r="H699" s="849"/>
      <c r="I699" s="849"/>
      <c r="J699" s="849"/>
      <c r="K699" s="849"/>
    </row>
    <row r="700">
      <c r="A700" s="849"/>
      <c r="B700" s="849"/>
      <c r="C700" s="849"/>
      <c r="D700" s="849"/>
      <c r="E700" s="849"/>
      <c r="F700" s="849"/>
      <c r="G700" s="849"/>
      <c r="H700" s="849"/>
      <c r="I700" s="849"/>
      <c r="J700" s="849"/>
      <c r="K700" s="849"/>
    </row>
    <row r="701">
      <c r="A701" s="849"/>
      <c r="B701" s="849"/>
      <c r="C701" s="849"/>
      <c r="D701" s="849"/>
      <c r="E701" s="849"/>
      <c r="F701" s="849"/>
      <c r="G701" s="849"/>
      <c r="H701" s="849"/>
      <c r="I701" s="849"/>
      <c r="J701" s="849"/>
      <c r="K701" s="849"/>
    </row>
    <row r="702">
      <c r="A702" s="849"/>
      <c r="B702" s="849"/>
      <c r="C702" s="849"/>
      <c r="D702" s="849"/>
      <c r="E702" s="849"/>
      <c r="F702" s="849"/>
      <c r="G702" s="849"/>
      <c r="H702" s="849"/>
      <c r="I702" s="849"/>
      <c r="J702" s="849"/>
      <c r="K702" s="849"/>
    </row>
    <row r="703">
      <c r="A703" s="849"/>
      <c r="B703" s="849"/>
      <c r="C703" s="849"/>
      <c r="D703" s="849"/>
      <c r="E703" s="849"/>
      <c r="F703" s="849"/>
      <c r="G703" s="849"/>
      <c r="H703" s="849"/>
      <c r="I703" s="849"/>
      <c r="J703" s="849"/>
      <c r="K703" s="849"/>
    </row>
    <row r="704">
      <c r="A704" s="849"/>
      <c r="B704" s="849"/>
      <c r="C704" s="849"/>
      <c r="D704" s="849"/>
      <c r="E704" s="849"/>
      <c r="F704" s="849"/>
      <c r="G704" s="849"/>
      <c r="H704" s="849"/>
      <c r="I704" s="849"/>
      <c r="J704" s="849"/>
      <c r="K704" s="849"/>
    </row>
    <row r="705">
      <c r="A705" s="849"/>
      <c r="B705" s="849"/>
      <c r="C705" s="849"/>
      <c r="D705" s="849"/>
      <c r="E705" s="849"/>
      <c r="F705" s="849"/>
      <c r="G705" s="849"/>
      <c r="H705" s="849"/>
      <c r="I705" s="849"/>
      <c r="J705" s="849"/>
      <c r="K705" s="849"/>
    </row>
    <row r="706">
      <c r="A706" s="849"/>
      <c r="B706" s="849"/>
      <c r="C706" s="849"/>
      <c r="D706" s="849"/>
      <c r="E706" s="849"/>
      <c r="F706" s="849"/>
      <c r="G706" s="849"/>
      <c r="H706" s="849"/>
      <c r="I706" s="849"/>
      <c r="J706" s="849"/>
      <c r="K706" s="849"/>
    </row>
    <row r="707">
      <c r="A707" s="849"/>
      <c r="B707" s="849"/>
      <c r="C707" s="849"/>
      <c r="D707" s="849"/>
      <c r="E707" s="849"/>
      <c r="F707" s="849"/>
      <c r="G707" s="849"/>
      <c r="H707" s="849"/>
      <c r="I707" s="849"/>
      <c r="J707" s="849"/>
      <c r="K707" s="849"/>
    </row>
    <row r="708">
      <c r="A708" s="849"/>
      <c r="B708" s="849"/>
      <c r="C708" s="849"/>
      <c r="D708" s="849"/>
      <c r="E708" s="849"/>
      <c r="F708" s="849"/>
      <c r="G708" s="849"/>
      <c r="H708" s="849"/>
      <c r="I708" s="849"/>
      <c r="J708" s="849"/>
      <c r="K708" s="849"/>
    </row>
    <row r="709">
      <c r="A709" s="849"/>
      <c r="B709" s="849"/>
      <c r="C709" s="849"/>
      <c r="D709" s="849"/>
      <c r="E709" s="849"/>
      <c r="F709" s="849"/>
      <c r="G709" s="849"/>
      <c r="H709" s="849"/>
      <c r="I709" s="849"/>
      <c r="J709" s="849"/>
      <c r="K709" s="849"/>
    </row>
    <row r="710">
      <c r="A710" s="849"/>
      <c r="B710" s="849"/>
      <c r="C710" s="849"/>
      <c r="D710" s="849"/>
      <c r="E710" s="849"/>
      <c r="F710" s="849"/>
      <c r="G710" s="849"/>
      <c r="H710" s="849"/>
      <c r="I710" s="849"/>
      <c r="J710" s="849"/>
      <c r="K710" s="849"/>
    </row>
    <row r="711">
      <c r="A711" s="849"/>
      <c r="B711" s="849"/>
      <c r="C711" s="849"/>
      <c r="D711" s="849"/>
      <c r="E711" s="849"/>
      <c r="F711" s="849"/>
      <c r="G711" s="849"/>
      <c r="H711" s="849"/>
      <c r="I711" s="849"/>
      <c r="J711" s="849"/>
      <c r="K711" s="849"/>
    </row>
    <row r="712">
      <c r="A712" s="849"/>
      <c r="B712" s="849"/>
      <c r="C712" s="849"/>
      <c r="D712" s="849"/>
      <c r="E712" s="849"/>
      <c r="F712" s="849"/>
      <c r="G712" s="849"/>
      <c r="H712" s="849"/>
      <c r="I712" s="849"/>
      <c r="J712" s="849"/>
      <c r="K712" s="849"/>
    </row>
    <row r="713">
      <c r="A713" s="849"/>
      <c r="B713" s="849"/>
      <c r="C713" s="849"/>
      <c r="D713" s="849"/>
      <c r="E713" s="849"/>
      <c r="F713" s="849"/>
      <c r="G713" s="849"/>
      <c r="H713" s="849"/>
      <c r="I713" s="849"/>
      <c r="J713" s="849"/>
      <c r="K713" s="849"/>
    </row>
    <row r="714">
      <c r="A714" s="849"/>
      <c r="B714" s="849"/>
      <c r="C714" s="849"/>
      <c r="D714" s="849"/>
      <c r="E714" s="849"/>
      <c r="F714" s="849"/>
      <c r="G714" s="849"/>
      <c r="H714" s="849"/>
      <c r="I714" s="849"/>
      <c r="J714" s="849"/>
      <c r="K714" s="849"/>
    </row>
    <row r="715">
      <c r="A715" s="849"/>
      <c r="B715" s="849"/>
      <c r="C715" s="849"/>
      <c r="D715" s="849"/>
      <c r="E715" s="849"/>
      <c r="F715" s="849"/>
      <c r="G715" s="849"/>
      <c r="H715" s="849"/>
      <c r="I715" s="849"/>
      <c r="J715" s="849"/>
      <c r="K715" s="849"/>
    </row>
    <row r="716">
      <c r="A716" s="849"/>
      <c r="B716" s="849"/>
      <c r="C716" s="849"/>
      <c r="D716" s="849"/>
      <c r="E716" s="849"/>
      <c r="F716" s="849"/>
      <c r="G716" s="849"/>
      <c r="H716" s="849"/>
      <c r="I716" s="849"/>
      <c r="J716" s="849"/>
      <c r="K716" s="849"/>
    </row>
    <row r="717">
      <c r="A717" s="849"/>
      <c r="B717" s="849"/>
      <c r="C717" s="849"/>
      <c r="D717" s="849"/>
      <c r="E717" s="849"/>
      <c r="F717" s="849"/>
      <c r="G717" s="849"/>
      <c r="H717" s="849"/>
      <c r="I717" s="849"/>
      <c r="J717" s="849"/>
      <c r="K717" s="849"/>
    </row>
    <row r="718">
      <c r="A718" s="849"/>
      <c r="B718" s="849"/>
      <c r="C718" s="849"/>
      <c r="D718" s="849"/>
      <c r="E718" s="849"/>
      <c r="F718" s="849"/>
      <c r="G718" s="849"/>
      <c r="H718" s="849"/>
      <c r="I718" s="849"/>
      <c r="J718" s="849"/>
      <c r="K718" s="849"/>
    </row>
    <row r="719">
      <c r="A719" s="849"/>
      <c r="B719" s="849"/>
      <c r="C719" s="849"/>
      <c r="D719" s="849"/>
      <c r="E719" s="849"/>
      <c r="F719" s="849"/>
      <c r="G719" s="849"/>
      <c r="H719" s="849"/>
      <c r="I719" s="849"/>
      <c r="J719" s="849"/>
      <c r="K719" s="849"/>
    </row>
    <row r="720">
      <c r="A720" s="849"/>
      <c r="B720" s="849"/>
      <c r="C720" s="849"/>
      <c r="D720" s="849"/>
      <c r="E720" s="849"/>
      <c r="F720" s="849"/>
      <c r="G720" s="849"/>
      <c r="H720" s="849"/>
      <c r="I720" s="849"/>
      <c r="J720" s="849"/>
      <c r="K720" s="849"/>
    </row>
    <row r="721">
      <c r="A721" s="849"/>
      <c r="B721" s="849"/>
      <c r="C721" s="849"/>
      <c r="D721" s="849"/>
      <c r="E721" s="849"/>
      <c r="F721" s="849"/>
      <c r="G721" s="849"/>
      <c r="H721" s="849"/>
      <c r="I721" s="849"/>
      <c r="J721" s="849"/>
      <c r="K721" s="849"/>
    </row>
    <row r="722">
      <c r="A722" s="849"/>
      <c r="B722" s="849"/>
      <c r="C722" s="849"/>
      <c r="D722" s="849"/>
      <c r="E722" s="849"/>
      <c r="F722" s="849"/>
      <c r="G722" s="849"/>
      <c r="H722" s="849"/>
      <c r="I722" s="849"/>
      <c r="J722" s="849"/>
      <c r="K722" s="849"/>
    </row>
    <row r="723">
      <c r="A723" s="849"/>
      <c r="B723" s="849"/>
      <c r="C723" s="849"/>
      <c r="D723" s="849"/>
      <c r="E723" s="849"/>
      <c r="F723" s="849"/>
      <c r="G723" s="849"/>
      <c r="H723" s="849"/>
      <c r="I723" s="849"/>
      <c r="J723" s="849"/>
      <c r="K723" s="849"/>
    </row>
    <row r="724">
      <c r="A724" s="849"/>
      <c r="B724" s="849"/>
      <c r="C724" s="849"/>
      <c r="D724" s="849"/>
      <c r="E724" s="849"/>
      <c r="F724" s="849"/>
      <c r="G724" s="849"/>
      <c r="H724" s="849"/>
      <c r="I724" s="849"/>
      <c r="J724" s="849"/>
      <c r="K724" s="849"/>
    </row>
    <row r="725">
      <c r="A725" s="849"/>
      <c r="B725" s="849"/>
      <c r="C725" s="849"/>
      <c r="D725" s="849"/>
      <c r="E725" s="849"/>
      <c r="F725" s="849"/>
      <c r="G725" s="849"/>
      <c r="H725" s="849"/>
      <c r="I725" s="849"/>
      <c r="J725" s="849"/>
      <c r="K725" s="849"/>
    </row>
    <row r="726">
      <c r="A726" s="849"/>
      <c r="B726" s="849"/>
      <c r="C726" s="849"/>
      <c r="D726" s="849"/>
      <c r="E726" s="849"/>
      <c r="F726" s="849"/>
      <c r="G726" s="849"/>
      <c r="H726" s="849"/>
      <c r="I726" s="849"/>
      <c r="J726" s="849"/>
      <c r="K726" s="849"/>
    </row>
    <row r="727">
      <c r="A727" s="849"/>
      <c r="B727" s="849"/>
      <c r="C727" s="849"/>
      <c r="D727" s="849"/>
      <c r="E727" s="849"/>
      <c r="F727" s="849"/>
      <c r="G727" s="849"/>
      <c r="H727" s="849"/>
      <c r="I727" s="849"/>
      <c r="J727" s="849"/>
      <c r="K727" s="849"/>
    </row>
    <row r="728">
      <c r="A728" s="849"/>
      <c r="B728" s="849"/>
      <c r="C728" s="849"/>
      <c r="D728" s="849"/>
      <c r="E728" s="849"/>
      <c r="F728" s="849"/>
      <c r="G728" s="849"/>
      <c r="H728" s="849"/>
      <c r="I728" s="849"/>
      <c r="J728" s="849"/>
      <c r="K728" s="849"/>
    </row>
    <row r="729">
      <c r="A729" s="849"/>
      <c r="B729" s="849"/>
      <c r="C729" s="849"/>
      <c r="D729" s="849"/>
      <c r="E729" s="849"/>
      <c r="F729" s="849"/>
      <c r="G729" s="849"/>
      <c r="H729" s="849"/>
      <c r="I729" s="849"/>
      <c r="J729" s="849"/>
      <c r="K729" s="849"/>
    </row>
    <row r="730">
      <c r="A730" s="849"/>
      <c r="B730" s="849"/>
      <c r="C730" s="849"/>
      <c r="D730" s="849"/>
      <c r="E730" s="849"/>
      <c r="F730" s="849"/>
      <c r="G730" s="849"/>
      <c r="H730" s="849"/>
      <c r="I730" s="849"/>
      <c r="J730" s="849"/>
      <c r="K730" s="849"/>
    </row>
    <row r="731">
      <c r="A731" s="849"/>
      <c r="B731" s="849"/>
      <c r="C731" s="849"/>
      <c r="D731" s="849"/>
      <c r="E731" s="849"/>
      <c r="F731" s="849"/>
      <c r="G731" s="849"/>
      <c r="H731" s="849"/>
      <c r="I731" s="849"/>
      <c r="J731" s="849"/>
      <c r="K731" s="849"/>
    </row>
    <row r="732">
      <c r="A732" s="849"/>
      <c r="B732" s="849"/>
      <c r="C732" s="849"/>
      <c r="D732" s="849"/>
      <c r="E732" s="849"/>
      <c r="F732" s="849"/>
      <c r="G732" s="849"/>
      <c r="H732" s="849"/>
      <c r="I732" s="849"/>
      <c r="J732" s="849"/>
      <c r="K732" s="849"/>
    </row>
    <row r="733">
      <c r="A733" s="849"/>
      <c r="B733" s="849"/>
      <c r="C733" s="849"/>
      <c r="D733" s="849"/>
      <c r="E733" s="849"/>
      <c r="F733" s="849"/>
      <c r="G733" s="849"/>
      <c r="H733" s="849"/>
      <c r="I733" s="849"/>
      <c r="J733" s="849"/>
      <c r="K733" s="849"/>
    </row>
    <row r="734">
      <c r="A734" s="849"/>
      <c r="B734" s="849"/>
      <c r="C734" s="849"/>
      <c r="D734" s="849"/>
      <c r="E734" s="849"/>
      <c r="F734" s="849"/>
      <c r="G734" s="849"/>
      <c r="H734" s="849"/>
      <c r="I734" s="849"/>
      <c r="J734" s="849"/>
      <c r="K734" s="849"/>
    </row>
    <row r="735">
      <c r="A735" s="849"/>
      <c r="B735" s="849"/>
      <c r="C735" s="849"/>
      <c r="D735" s="849"/>
      <c r="E735" s="849"/>
      <c r="F735" s="849"/>
      <c r="G735" s="849"/>
      <c r="H735" s="849"/>
      <c r="I735" s="849"/>
      <c r="J735" s="849"/>
      <c r="K735" s="849"/>
    </row>
    <row r="736">
      <c r="A736" s="849"/>
      <c r="B736" s="849"/>
      <c r="C736" s="849"/>
      <c r="D736" s="849"/>
      <c r="E736" s="849"/>
      <c r="F736" s="849"/>
      <c r="G736" s="849"/>
      <c r="H736" s="849"/>
      <c r="I736" s="849"/>
      <c r="J736" s="849"/>
      <c r="K736" s="849"/>
    </row>
    <row r="737">
      <c r="A737" s="849"/>
      <c r="B737" s="849"/>
      <c r="C737" s="849"/>
      <c r="D737" s="849"/>
      <c r="E737" s="849"/>
      <c r="F737" s="849"/>
      <c r="G737" s="849"/>
      <c r="H737" s="849"/>
      <c r="I737" s="849"/>
      <c r="J737" s="849"/>
      <c r="K737" s="849"/>
    </row>
    <row r="738">
      <c r="A738" s="849"/>
      <c r="B738" s="849"/>
      <c r="C738" s="849"/>
      <c r="D738" s="849"/>
      <c r="E738" s="849"/>
      <c r="F738" s="849"/>
      <c r="G738" s="849"/>
      <c r="H738" s="849"/>
      <c r="I738" s="849"/>
      <c r="J738" s="849"/>
      <c r="K738" s="849"/>
    </row>
    <row r="739">
      <c r="A739" s="849"/>
      <c r="B739" s="849"/>
      <c r="C739" s="849"/>
      <c r="D739" s="849"/>
      <c r="E739" s="849"/>
      <c r="F739" s="849"/>
      <c r="G739" s="849"/>
      <c r="H739" s="849"/>
      <c r="I739" s="849"/>
      <c r="J739" s="849"/>
      <c r="K739" s="849"/>
    </row>
    <row r="740">
      <c r="A740" s="849"/>
      <c r="B740" s="849"/>
      <c r="C740" s="849"/>
      <c r="D740" s="849"/>
      <c r="E740" s="849"/>
      <c r="F740" s="849"/>
      <c r="G740" s="849"/>
      <c r="H740" s="849"/>
      <c r="I740" s="849"/>
      <c r="J740" s="849"/>
      <c r="K740" s="849"/>
    </row>
    <row r="741">
      <c r="A741" s="849"/>
      <c r="B741" s="849"/>
      <c r="C741" s="849"/>
      <c r="D741" s="849"/>
      <c r="E741" s="849"/>
      <c r="F741" s="849"/>
      <c r="G741" s="849"/>
      <c r="H741" s="849"/>
      <c r="I741" s="849"/>
      <c r="J741" s="849"/>
      <c r="K741" s="849"/>
    </row>
    <row r="742">
      <c r="A742" s="849"/>
      <c r="B742" s="849"/>
      <c r="C742" s="849"/>
      <c r="D742" s="849"/>
      <c r="E742" s="849"/>
      <c r="F742" s="849"/>
      <c r="G742" s="849"/>
      <c r="H742" s="849"/>
      <c r="I742" s="849"/>
      <c r="J742" s="849"/>
      <c r="K742" s="849"/>
    </row>
    <row r="743">
      <c r="A743" s="849"/>
      <c r="B743" s="849"/>
      <c r="C743" s="849"/>
      <c r="D743" s="849"/>
      <c r="E743" s="849"/>
      <c r="F743" s="849"/>
      <c r="G743" s="849"/>
      <c r="H743" s="849"/>
      <c r="I743" s="849"/>
      <c r="J743" s="849"/>
      <c r="K743" s="849"/>
    </row>
    <row r="744">
      <c r="A744" s="849"/>
      <c r="B744" s="849"/>
      <c r="C744" s="849"/>
      <c r="D744" s="849"/>
      <c r="E744" s="849"/>
      <c r="F744" s="849"/>
      <c r="G744" s="849"/>
      <c r="H744" s="849"/>
      <c r="I744" s="849"/>
      <c r="J744" s="849"/>
      <c r="K744" s="849"/>
    </row>
    <row r="745">
      <c r="A745" s="849"/>
      <c r="B745" s="849"/>
      <c r="C745" s="849"/>
      <c r="D745" s="849"/>
      <c r="E745" s="849"/>
      <c r="F745" s="849"/>
      <c r="G745" s="849"/>
      <c r="H745" s="849"/>
      <c r="I745" s="849"/>
      <c r="J745" s="849"/>
      <c r="K745" s="849"/>
    </row>
    <row r="746">
      <c r="A746" s="849"/>
      <c r="B746" s="849"/>
      <c r="C746" s="849"/>
      <c r="D746" s="849"/>
      <c r="E746" s="849"/>
      <c r="F746" s="849"/>
      <c r="G746" s="849"/>
      <c r="H746" s="849"/>
      <c r="I746" s="849"/>
      <c r="J746" s="849"/>
      <c r="K746" s="849"/>
    </row>
    <row r="747">
      <c r="A747" s="849"/>
      <c r="B747" s="849"/>
      <c r="C747" s="849"/>
      <c r="D747" s="849"/>
      <c r="E747" s="849"/>
      <c r="F747" s="849"/>
      <c r="G747" s="849"/>
      <c r="H747" s="849"/>
      <c r="I747" s="849"/>
      <c r="J747" s="849"/>
      <c r="K747" s="849"/>
    </row>
    <row r="748">
      <c r="A748" s="849"/>
      <c r="B748" s="849"/>
      <c r="C748" s="849"/>
      <c r="D748" s="849"/>
      <c r="E748" s="849"/>
      <c r="F748" s="849"/>
      <c r="G748" s="849"/>
      <c r="H748" s="849"/>
      <c r="I748" s="849"/>
      <c r="J748" s="849"/>
      <c r="K748" s="849"/>
    </row>
    <row r="749">
      <c r="A749" s="849"/>
      <c r="B749" s="849"/>
      <c r="C749" s="849"/>
      <c r="D749" s="849"/>
      <c r="E749" s="849"/>
      <c r="F749" s="849"/>
      <c r="G749" s="849"/>
      <c r="H749" s="849"/>
      <c r="I749" s="849"/>
      <c r="J749" s="849"/>
      <c r="K749" s="849"/>
    </row>
    <row r="750">
      <c r="A750" s="849"/>
      <c r="B750" s="849"/>
      <c r="C750" s="849"/>
      <c r="D750" s="849"/>
      <c r="E750" s="849"/>
      <c r="F750" s="849"/>
      <c r="G750" s="849"/>
      <c r="H750" s="849"/>
      <c r="I750" s="849"/>
      <c r="J750" s="849"/>
      <c r="K750" s="849"/>
    </row>
    <row r="751">
      <c r="A751" s="849"/>
      <c r="B751" s="849"/>
      <c r="C751" s="849"/>
      <c r="D751" s="849"/>
      <c r="E751" s="849"/>
      <c r="F751" s="849"/>
      <c r="G751" s="849"/>
      <c r="H751" s="849"/>
      <c r="I751" s="849"/>
      <c r="J751" s="849"/>
      <c r="K751" s="849"/>
    </row>
    <row r="752">
      <c r="A752" s="849"/>
      <c r="B752" s="849"/>
      <c r="C752" s="849"/>
      <c r="D752" s="849"/>
      <c r="E752" s="849"/>
      <c r="F752" s="849"/>
      <c r="G752" s="849"/>
      <c r="H752" s="849"/>
      <c r="I752" s="849"/>
      <c r="J752" s="849"/>
      <c r="K752" s="849"/>
    </row>
    <row r="753">
      <c r="A753" s="849"/>
      <c r="B753" s="849"/>
      <c r="C753" s="849"/>
      <c r="D753" s="849"/>
      <c r="E753" s="849"/>
      <c r="F753" s="849"/>
      <c r="G753" s="849"/>
      <c r="H753" s="849"/>
      <c r="I753" s="849"/>
      <c r="J753" s="849"/>
      <c r="K753" s="849"/>
    </row>
    <row r="754">
      <c r="A754" s="849"/>
      <c r="B754" s="849"/>
      <c r="C754" s="849"/>
      <c r="D754" s="849"/>
      <c r="E754" s="849"/>
      <c r="F754" s="849"/>
      <c r="G754" s="849"/>
      <c r="H754" s="849"/>
      <c r="I754" s="849"/>
      <c r="J754" s="849"/>
      <c r="K754" s="849"/>
    </row>
    <row r="755">
      <c r="A755" s="849"/>
      <c r="B755" s="849"/>
      <c r="C755" s="849"/>
      <c r="D755" s="849"/>
      <c r="E755" s="849"/>
      <c r="F755" s="849"/>
      <c r="G755" s="849"/>
      <c r="H755" s="849"/>
      <c r="I755" s="849"/>
      <c r="J755" s="849"/>
      <c r="K755" s="849"/>
    </row>
    <row r="756">
      <c r="A756" s="849"/>
      <c r="B756" s="849"/>
      <c r="C756" s="849"/>
      <c r="D756" s="849"/>
      <c r="E756" s="849"/>
      <c r="F756" s="849"/>
      <c r="G756" s="849"/>
      <c r="H756" s="849"/>
      <c r="I756" s="849"/>
      <c r="J756" s="849"/>
      <c r="K756" s="849"/>
    </row>
    <row r="757">
      <c r="A757" s="849"/>
      <c r="B757" s="849"/>
      <c r="C757" s="849"/>
      <c r="D757" s="849"/>
      <c r="E757" s="849"/>
      <c r="F757" s="849"/>
      <c r="G757" s="849"/>
      <c r="H757" s="849"/>
      <c r="I757" s="849"/>
      <c r="J757" s="849"/>
      <c r="K757" s="849"/>
    </row>
    <row r="758">
      <c r="A758" s="849"/>
      <c r="B758" s="849"/>
      <c r="C758" s="849"/>
      <c r="D758" s="849"/>
      <c r="E758" s="849"/>
      <c r="F758" s="849"/>
      <c r="G758" s="849"/>
      <c r="H758" s="849"/>
      <c r="I758" s="849"/>
      <c r="J758" s="849"/>
      <c r="K758" s="849"/>
    </row>
    <row r="759">
      <c r="A759" s="849"/>
      <c r="B759" s="849"/>
      <c r="C759" s="849"/>
      <c r="D759" s="849"/>
      <c r="E759" s="849"/>
      <c r="F759" s="849"/>
      <c r="G759" s="849"/>
      <c r="H759" s="849"/>
      <c r="I759" s="849"/>
      <c r="J759" s="849"/>
      <c r="K759" s="849"/>
    </row>
    <row r="760">
      <c r="A760" s="849"/>
      <c r="B760" s="849"/>
      <c r="C760" s="849"/>
      <c r="D760" s="849"/>
      <c r="E760" s="849"/>
      <c r="F760" s="849"/>
      <c r="G760" s="849"/>
      <c r="H760" s="849"/>
      <c r="I760" s="849"/>
      <c r="J760" s="849"/>
      <c r="K760" s="849"/>
    </row>
    <row r="761">
      <c r="A761" s="849"/>
      <c r="B761" s="849"/>
      <c r="C761" s="849"/>
      <c r="D761" s="849"/>
      <c r="E761" s="849"/>
      <c r="F761" s="849"/>
      <c r="G761" s="849"/>
      <c r="H761" s="849"/>
      <c r="I761" s="849"/>
      <c r="J761" s="849"/>
      <c r="K761" s="849"/>
    </row>
    <row r="762">
      <c r="A762" s="849"/>
      <c r="B762" s="849"/>
      <c r="C762" s="849"/>
      <c r="D762" s="849"/>
      <c r="E762" s="849"/>
      <c r="F762" s="849"/>
      <c r="G762" s="849"/>
      <c r="H762" s="849"/>
      <c r="I762" s="849"/>
      <c r="J762" s="849"/>
      <c r="K762" s="849"/>
    </row>
    <row r="763">
      <c r="A763" s="849"/>
      <c r="B763" s="849"/>
      <c r="C763" s="849"/>
      <c r="D763" s="849"/>
      <c r="E763" s="849"/>
      <c r="F763" s="849"/>
      <c r="G763" s="849"/>
      <c r="H763" s="849"/>
      <c r="I763" s="849"/>
      <c r="J763" s="849"/>
      <c r="K763" s="849"/>
    </row>
    <row r="764">
      <c r="A764" s="849"/>
      <c r="B764" s="849"/>
      <c r="C764" s="849"/>
      <c r="D764" s="849"/>
      <c r="E764" s="849"/>
      <c r="F764" s="849"/>
      <c r="G764" s="849"/>
      <c r="H764" s="849"/>
      <c r="I764" s="849"/>
      <c r="J764" s="849"/>
      <c r="K764" s="849"/>
    </row>
    <row r="765">
      <c r="A765" s="849"/>
      <c r="B765" s="849"/>
      <c r="C765" s="849"/>
      <c r="D765" s="849"/>
      <c r="E765" s="849"/>
      <c r="F765" s="849"/>
      <c r="G765" s="849"/>
      <c r="H765" s="849"/>
      <c r="I765" s="849"/>
      <c r="J765" s="849"/>
      <c r="K765" s="849"/>
    </row>
    <row r="766">
      <c r="A766" s="849"/>
      <c r="B766" s="849"/>
      <c r="C766" s="849"/>
      <c r="D766" s="849"/>
      <c r="E766" s="849"/>
      <c r="F766" s="849"/>
      <c r="G766" s="849"/>
      <c r="H766" s="849"/>
      <c r="I766" s="849"/>
      <c r="J766" s="849"/>
      <c r="K766" s="849"/>
    </row>
    <row r="767">
      <c r="A767" s="849"/>
      <c r="B767" s="849"/>
      <c r="C767" s="849"/>
      <c r="D767" s="849"/>
      <c r="E767" s="849"/>
      <c r="F767" s="849"/>
      <c r="G767" s="849"/>
      <c r="H767" s="849"/>
      <c r="I767" s="849"/>
      <c r="J767" s="849"/>
      <c r="K767" s="849"/>
    </row>
    <row r="768">
      <c r="A768" s="849"/>
      <c r="B768" s="849"/>
      <c r="C768" s="849"/>
      <c r="D768" s="849"/>
      <c r="E768" s="849"/>
      <c r="F768" s="849"/>
      <c r="G768" s="849"/>
      <c r="H768" s="849"/>
      <c r="I768" s="849"/>
      <c r="J768" s="849"/>
      <c r="K768" s="849"/>
    </row>
    <row r="769">
      <c r="A769" s="849"/>
      <c r="B769" s="849"/>
      <c r="C769" s="849"/>
      <c r="D769" s="849"/>
      <c r="E769" s="849"/>
      <c r="F769" s="849"/>
      <c r="G769" s="849"/>
      <c r="H769" s="849"/>
      <c r="I769" s="849"/>
      <c r="J769" s="849"/>
      <c r="K769" s="849"/>
    </row>
    <row r="770">
      <c r="A770" s="849"/>
      <c r="B770" s="849"/>
      <c r="C770" s="849"/>
      <c r="D770" s="849"/>
      <c r="E770" s="849"/>
      <c r="F770" s="849"/>
      <c r="G770" s="849"/>
      <c r="H770" s="849"/>
      <c r="I770" s="849"/>
      <c r="J770" s="849"/>
      <c r="K770" s="849"/>
    </row>
    <row r="771">
      <c r="A771" s="849"/>
      <c r="B771" s="849"/>
      <c r="C771" s="849"/>
      <c r="D771" s="849"/>
      <c r="E771" s="849"/>
      <c r="F771" s="849"/>
      <c r="G771" s="849"/>
      <c r="H771" s="849"/>
      <c r="I771" s="849"/>
      <c r="J771" s="849"/>
      <c r="K771" s="849"/>
    </row>
    <row r="772">
      <c r="A772" s="849"/>
      <c r="B772" s="849"/>
      <c r="C772" s="849"/>
      <c r="D772" s="849"/>
      <c r="E772" s="849"/>
      <c r="F772" s="849"/>
      <c r="G772" s="849"/>
      <c r="H772" s="849"/>
      <c r="I772" s="849"/>
      <c r="J772" s="849"/>
      <c r="K772" s="849"/>
    </row>
    <row r="773">
      <c r="A773" s="849"/>
      <c r="B773" s="849"/>
      <c r="C773" s="849"/>
      <c r="D773" s="849"/>
      <c r="E773" s="849"/>
      <c r="F773" s="849"/>
      <c r="G773" s="849"/>
      <c r="H773" s="849"/>
      <c r="I773" s="849"/>
      <c r="J773" s="849"/>
      <c r="K773" s="849"/>
    </row>
    <row r="774">
      <c r="A774" s="849"/>
      <c r="B774" s="849"/>
      <c r="C774" s="849"/>
      <c r="D774" s="849"/>
      <c r="E774" s="849"/>
      <c r="F774" s="849"/>
      <c r="G774" s="849"/>
      <c r="H774" s="849"/>
      <c r="I774" s="849"/>
      <c r="J774" s="849"/>
      <c r="K774" s="849"/>
    </row>
    <row r="775">
      <c r="A775" s="849"/>
      <c r="B775" s="849"/>
      <c r="C775" s="849"/>
      <c r="D775" s="849"/>
      <c r="E775" s="849"/>
      <c r="F775" s="849"/>
      <c r="G775" s="849"/>
      <c r="H775" s="849"/>
      <c r="I775" s="849"/>
      <c r="J775" s="849"/>
      <c r="K775" s="849"/>
    </row>
    <row r="776">
      <c r="A776" s="849"/>
      <c r="B776" s="849"/>
      <c r="C776" s="849"/>
      <c r="D776" s="849"/>
      <c r="E776" s="849"/>
      <c r="F776" s="849"/>
      <c r="G776" s="849"/>
      <c r="H776" s="849"/>
      <c r="I776" s="849"/>
      <c r="J776" s="849"/>
      <c r="K776" s="849"/>
    </row>
    <row r="777">
      <c r="A777" s="849"/>
      <c r="B777" s="849"/>
      <c r="C777" s="849"/>
      <c r="D777" s="849"/>
      <c r="E777" s="849"/>
      <c r="F777" s="849"/>
      <c r="G777" s="849"/>
      <c r="H777" s="849"/>
      <c r="I777" s="849"/>
      <c r="J777" s="849"/>
      <c r="K777" s="849"/>
    </row>
    <row r="778">
      <c r="A778" s="849"/>
      <c r="B778" s="849"/>
      <c r="C778" s="849"/>
      <c r="D778" s="849"/>
      <c r="E778" s="849"/>
      <c r="F778" s="849"/>
      <c r="G778" s="849"/>
      <c r="H778" s="849"/>
      <c r="I778" s="849"/>
      <c r="J778" s="849"/>
      <c r="K778" s="849"/>
    </row>
    <row r="779">
      <c r="A779" s="849"/>
      <c r="B779" s="849"/>
      <c r="C779" s="849"/>
      <c r="D779" s="849"/>
      <c r="E779" s="849"/>
      <c r="F779" s="849"/>
      <c r="G779" s="849"/>
      <c r="H779" s="849"/>
      <c r="I779" s="849"/>
      <c r="J779" s="849"/>
      <c r="K779" s="849"/>
    </row>
    <row r="780">
      <c r="A780" s="849"/>
      <c r="B780" s="849"/>
      <c r="C780" s="849"/>
      <c r="D780" s="849"/>
      <c r="E780" s="849"/>
      <c r="F780" s="849"/>
      <c r="G780" s="849"/>
      <c r="H780" s="849"/>
      <c r="I780" s="849"/>
      <c r="J780" s="849"/>
      <c r="K780" s="849"/>
    </row>
    <row r="781">
      <c r="A781" s="849"/>
      <c r="B781" s="849"/>
      <c r="C781" s="849"/>
      <c r="D781" s="849"/>
      <c r="E781" s="849"/>
      <c r="F781" s="849"/>
      <c r="G781" s="849"/>
      <c r="H781" s="849"/>
      <c r="I781" s="849"/>
      <c r="J781" s="849"/>
      <c r="K781" s="849"/>
    </row>
    <row r="782">
      <c r="A782" s="849"/>
      <c r="B782" s="849"/>
      <c r="C782" s="849"/>
      <c r="D782" s="849"/>
      <c r="E782" s="849"/>
      <c r="F782" s="849"/>
      <c r="G782" s="849"/>
      <c r="H782" s="849"/>
      <c r="I782" s="849"/>
      <c r="J782" s="849"/>
      <c r="K782" s="849"/>
    </row>
    <row r="783">
      <c r="A783" s="849"/>
      <c r="B783" s="849"/>
      <c r="C783" s="849"/>
      <c r="D783" s="849"/>
      <c r="E783" s="849"/>
      <c r="F783" s="849"/>
      <c r="G783" s="849"/>
      <c r="H783" s="849"/>
      <c r="I783" s="849"/>
      <c r="J783" s="849"/>
      <c r="K783" s="849"/>
    </row>
    <row r="784">
      <c r="A784" s="849"/>
      <c r="B784" s="849"/>
      <c r="C784" s="849"/>
      <c r="D784" s="849"/>
      <c r="E784" s="849"/>
      <c r="F784" s="849"/>
      <c r="G784" s="849"/>
      <c r="H784" s="849"/>
      <c r="I784" s="849"/>
      <c r="J784" s="849"/>
      <c r="K784" s="849"/>
    </row>
    <row r="785">
      <c r="A785" s="849"/>
      <c r="B785" s="849"/>
      <c r="C785" s="849"/>
      <c r="D785" s="849"/>
      <c r="E785" s="849"/>
      <c r="F785" s="849"/>
      <c r="G785" s="849"/>
      <c r="H785" s="849"/>
      <c r="I785" s="849"/>
      <c r="J785" s="849"/>
      <c r="K785" s="849"/>
    </row>
    <row r="786">
      <c r="A786" s="849"/>
      <c r="B786" s="849"/>
      <c r="C786" s="849"/>
      <c r="D786" s="849"/>
      <c r="E786" s="849"/>
      <c r="F786" s="849"/>
      <c r="G786" s="849"/>
      <c r="H786" s="849"/>
      <c r="I786" s="849"/>
      <c r="J786" s="849"/>
      <c r="K786" s="849"/>
    </row>
    <row r="787">
      <c r="A787" s="849"/>
      <c r="B787" s="849"/>
      <c r="C787" s="849"/>
      <c r="D787" s="849"/>
      <c r="E787" s="849"/>
      <c r="F787" s="849"/>
      <c r="G787" s="849"/>
      <c r="H787" s="849"/>
      <c r="I787" s="849"/>
      <c r="J787" s="849"/>
      <c r="K787" s="849"/>
    </row>
    <row r="788">
      <c r="A788" s="849"/>
      <c r="B788" s="849"/>
      <c r="C788" s="849"/>
      <c r="D788" s="849"/>
      <c r="E788" s="849"/>
      <c r="F788" s="849"/>
      <c r="G788" s="849"/>
      <c r="H788" s="849"/>
      <c r="I788" s="849"/>
      <c r="J788" s="849"/>
      <c r="K788" s="849"/>
    </row>
    <row r="789">
      <c r="A789" s="849"/>
      <c r="B789" s="849"/>
      <c r="C789" s="849"/>
      <c r="D789" s="849"/>
      <c r="E789" s="849"/>
      <c r="F789" s="849"/>
      <c r="G789" s="849"/>
      <c r="H789" s="849"/>
      <c r="I789" s="849"/>
      <c r="J789" s="849"/>
      <c r="K789" s="849"/>
    </row>
    <row r="790">
      <c r="A790" s="849"/>
      <c r="B790" s="849"/>
      <c r="C790" s="849"/>
      <c r="D790" s="849"/>
      <c r="E790" s="849"/>
      <c r="F790" s="849"/>
      <c r="G790" s="849"/>
      <c r="H790" s="849"/>
      <c r="I790" s="849"/>
      <c r="J790" s="849"/>
      <c r="K790" s="849"/>
    </row>
    <row r="791">
      <c r="A791" s="849"/>
      <c r="B791" s="849"/>
      <c r="C791" s="849"/>
      <c r="D791" s="849"/>
      <c r="E791" s="849"/>
      <c r="F791" s="849"/>
      <c r="G791" s="849"/>
      <c r="H791" s="849"/>
      <c r="I791" s="849"/>
      <c r="J791" s="849"/>
      <c r="K791" s="849"/>
    </row>
    <row r="792">
      <c r="A792" s="849"/>
      <c r="B792" s="849"/>
      <c r="C792" s="849"/>
      <c r="D792" s="849"/>
      <c r="E792" s="849"/>
      <c r="F792" s="849"/>
      <c r="G792" s="849"/>
      <c r="H792" s="849"/>
      <c r="I792" s="849"/>
      <c r="J792" s="849"/>
      <c r="K792" s="849"/>
    </row>
    <row r="793">
      <c r="A793" s="849"/>
      <c r="B793" s="849"/>
      <c r="C793" s="849"/>
      <c r="D793" s="849"/>
      <c r="E793" s="849"/>
      <c r="F793" s="849"/>
      <c r="G793" s="849"/>
      <c r="H793" s="849"/>
      <c r="I793" s="849"/>
      <c r="J793" s="849"/>
      <c r="K793" s="849"/>
    </row>
    <row r="794">
      <c r="A794" s="849"/>
      <c r="B794" s="849"/>
      <c r="C794" s="849"/>
      <c r="D794" s="849"/>
      <c r="E794" s="849"/>
      <c r="F794" s="849"/>
      <c r="G794" s="849"/>
      <c r="H794" s="849"/>
      <c r="I794" s="849"/>
      <c r="J794" s="849"/>
      <c r="K794" s="849"/>
    </row>
    <row r="795">
      <c r="A795" s="849"/>
      <c r="B795" s="849"/>
      <c r="C795" s="849"/>
      <c r="D795" s="849"/>
      <c r="E795" s="849"/>
      <c r="F795" s="849"/>
      <c r="G795" s="849"/>
      <c r="H795" s="849"/>
      <c r="I795" s="849"/>
      <c r="J795" s="849"/>
      <c r="K795" s="849"/>
    </row>
    <row r="796">
      <c r="A796" s="849"/>
      <c r="B796" s="849"/>
      <c r="C796" s="849"/>
      <c r="D796" s="849"/>
      <c r="E796" s="849"/>
      <c r="F796" s="849"/>
      <c r="G796" s="849"/>
      <c r="H796" s="849"/>
      <c r="I796" s="849"/>
      <c r="J796" s="849"/>
      <c r="K796" s="849"/>
    </row>
    <row r="797">
      <c r="A797" s="849"/>
      <c r="B797" s="849"/>
      <c r="C797" s="849"/>
      <c r="D797" s="849"/>
      <c r="E797" s="849"/>
      <c r="F797" s="849"/>
      <c r="G797" s="849"/>
      <c r="H797" s="849"/>
      <c r="I797" s="849"/>
      <c r="J797" s="849"/>
      <c r="K797" s="849"/>
    </row>
    <row r="798">
      <c r="A798" s="849"/>
      <c r="B798" s="849"/>
      <c r="C798" s="849"/>
      <c r="D798" s="849"/>
      <c r="E798" s="849"/>
      <c r="F798" s="849"/>
      <c r="G798" s="849"/>
      <c r="H798" s="849"/>
      <c r="I798" s="849"/>
      <c r="J798" s="849"/>
      <c r="K798" s="849"/>
    </row>
    <row r="799">
      <c r="A799" s="849"/>
      <c r="B799" s="849"/>
      <c r="C799" s="849"/>
      <c r="D799" s="849"/>
      <c r="E799" s="849"/>
      <c r="F799" s="849"/>
      <c r="G799" s="849"/>
      <c r="H799" s="849"/>
      <c r="I799" s="849"/>
      <c r="J799" s="849"/>
      <c r="K799" s="849"/>
    </row>
    <row r="800">
      <c r="A800" s="849"/>
      <c r="B800" s="849"/>
      <c r="C800" s="849"/>
      <c r="D800" s="849"/>
      <c r="E800" s="849"/>
      <c r="F800" s="849"/>
      <c r="G800" s="849"/>
      <c r="H800" s="849"/>
      <c r="I800" s="849"/>
      <c r="J800" s="849"/>
      <c r="K800" s="849"/>
    </row>
    <row r="801">
      <c r="A801" s="849"/>
      <c r="B801" s="849"/>
      <c r="C801" s="849"/>
      <c r="D801" s="849"/>
      <c r="E801" s="849"/>
      <c r="F801" s="849"/>
      <c r="G801" s="849"/>
      <c r="H801" s="849"/>
      <c r="I801" s="849"/>
      <c r="J801" s="849"/>
      <c r="K801" s="849"/>
    </row>
    <row r="802">
      <c r="A802" s="849"/>
      <c r="B802" s="849"/>
      <c r="C802" s="849"/>
      <c r="D802" s="849"/>
      <c r="E802" s="849"/>
      <c r="F802" s="849"/>
      <c r="G802" s="849"/>
      <c r="H802" s="849"/>
      <c r="I802" s="849"/>
      <c r="J802" s="849"/>
      <c r="K802" s="849"/>
    </row>
    <row r="803">
      <c r="A803" s="849"/>
      <c r="B803" s="849"/>
      <c r="C803" s="849"/>
      <c r="D803" s="849"/>
      <c r="E803" s="849"/>
      <c r="F803" s="849"/>
      <c r="G803" s="849"/>
      <c r="H803" s="849"/>
      <c r="I803" s="849"/>
      <c r="J803" s="849"/>
      <c r="K803" s="849"/>
    </row>
    <row r="804">
      <c r="A804" s="849"/>
      <c r="B804" s="849"/>
      <c r="C804" s="849"/>
      <c r="D804" s="849"/>
      <c r="E804" s="849"/>
      <c r="F804" s="849"/>
      <c r="G804" s="849"/>
      <c r="H804" s="849"/>
      <c r="I804" s="849"/>
      <c r="J804" s="849"/>
      <c r="K804" s="849"/>
    </row>
    <row r="805">
      <c r="A805" s="849"/>
      <c r="B805" s="849"/>
      <c r="C805" s="849"/>
      <c r="D805" s="849"/>
      <c r="E805" s="849"/>
      <c r="F805" s="849"/>
      <c r="G805" s="849"/>
      <c r="H805" s="849"/>
      <c r="I805" s="849"/>
      <c r="J805" s="849"/>
      <c r="K805" s="849"/>
    </row>
    <row r="806">
      <c r="A806" s="849"/>
      <c r="B806" s="849"/>
      <c r="C806" s="849"/>
      <c r="D806" s="849"/>
      <c r="E806" s="849"/>
      <c r="F806" s="849"/>
      <c r="G806" s="849"/>
      <c r="H806" s="849"/>
      <c r="I806" s="849"/>
      <c r="J806" s="849"/>
      <c r="K806" s="849"/>
    </row>
    <row r="807">
      <c r="A807" s="849"/>
      <c r="B807" s="849"/>
      <c r="C807" s="849"/>
      <c r="D807" s="849"/>
      <c r="E807" s="849"/>
      <c r="F807" s="849"/>
      <c r="G807" s="849"/>
      <c r="H807" s="849"/>
      <c r="I807" s="849"/>
      <c r="J807" s="849"/>
      <c r="K807" s="849"/>
    </row>
    <row r="808">
      <c r="A808" s="849"/>
      <c r="B808" s="849"/>
      <c r="C808" s="849"/>
      <c r="D808" s="849"/>
      <c r="E808" s="849"/>
      <c r="F808" s="849"/>
      <c r="G808" s="849"/>
      <c r="H808" s="849"/>
      <c r="I808" s="849"/>
      <c r="J808" s="849"/>
      <c r="K808" s="849"/>
    </row>
    <row r="809">
      <c r="A809" s="849"/>
      <c r="B809" s="849"/>
      <c r="C809" s="849"/>
      <c r="D809" s="849"/>
      <c r="E809" s="849"/>
      <c r="F809" s="849"/>
      <c r="G809" s="849"/>
      <c r="H809" s="849"/>
      <c r="I809" s="849"/>
      <c r="J809" s="849"/>
      <c r="K809" s="849"/>
    </row>
    <row r="810">
      <c r="A810" s="849"/>
      <c r="B810" s="849"/>
      <c r="C810" s="849"/>
      <c r="D810" s="849"/>
      <c r="E810" s="849"/>
      <c r="F810" s="849"/>
      <c r="G810" s="849"/>
      <c r="H810" s="849"/>
      <c r="I810" s="849"/>
      <c r="J810" s="849"/>
      <c r="K810" s="849"/>
    </row>
    <row r="811">
      <c r="A811" s="849"/>
      <c r="B811" s="849"/>
      <c r="C811" s="849"/>
      <c r="D811" s="849"/>
      <c r="E811" s="849"/>
      <c r="F811" s="849"/>
      <c r="G811" s="849"/>
      <c r="H811" s="849"/>
      <c r="I811" s="849"/>
      <c r="J811" s="849"/>
      <c r="K811" s="849"/>
    </row>
    <row r="812">
      <c r="A812" s="849"/>
      <c r="B812" s="849"/>
      <c r="C812" s="849"/>
      <c r="D812" s="849"/>
      <c r="E812" s="849"/>
      <c r="F812" s="849"/>
      <c r="G812" s="849"/>
      <c r="H812" s="849"/>
      <c r="I812" s="849"/>
      <c r="J812" s="849"/>
      <c r="K812" s="849"/>
    </row>
    <row r="813">
      <c r="A813" s="849"/>
      <c r="B813" s="849"/>
      <c r="C813" s="849"/>
      <c r="D813" s="849"/>
      <c r="E813" s="849"/>
      <c r="F813" s="849"/>
      <c r="G813" s="849"/>
      <c r="H813" s="849"/>
      <c r="I813" s="849"/>
      <c r="J813" s="849"/>
      <c r="K813" s="849"/>
    </row>
    <row r="814">
      <c r="A814" s="849"/>
      <c r="B814" s="849"/>
      <c r="C814" s="849"/>
      <c r="D814" s="849"/>
      <c r="E814" s="849"/>
      <c r="F814" s="849"/>
      <c r="G814" s="849"/>
      <c r="H814" s="849"/>
      <c r="I814" s="849"/>
      <c r="J814" s="849"/>
      <c r="K814" s="849"/>
    </row>
    <row r="815">
      <c r="A815" s="849"/>
      <c r="B815" s="849"/>
      <c r="C815" s="849"/>
      <c r="D815" s="849"/>
      <c r="E815" s="849"/>
      <c r="F815" s="849"/>
      <c r="G815" s="849"/>
      <c r="H815" s="849"/>
      <c r="I815" s="849"/>
      <c r="J815" s="849"/>
      <c r="K815" s="849"/>
    </row>
    <row r="816">
      <c r="A816" s="849"/>
      <c r="B816" s="849"/>
      <c r="C816" s="849"/>
      <c r="D816" s="849"/>
      <c r="E816" s="849"/>
      <c r="F816" s="849"/>
      <c r="G816" s="849"/>
      <c r="H816" s="849"/>
      <c r="I816" s="849"/>
      <c r="J816" s="849"/>
      <c r="K816" s="849"/>
    </row>
    <row r="817">
      <c r="A817" s="849"/>
      <c r="B817" s="849"/>
      <c r="C817" s="849"/>
      <c r="D817" s="849"/>
      <c r="E817" s="849"/>
      <c r="F817" s="849"/>
      <c r="G817" s="849"/>
      <c r="H817" s="849"/>
      <c r="I817" s="849"/>
      <c r="J817" s="849"/>
      <c r="K817" s="849"/>
    </row>
    <row r="818">
      <c r="A818" s="849"/>
      <c r="B818" s="849"/>
      <c r="C818" s="849"/>
      <c r="D818" s="849"/>
      <c r="E818" s="849"/>
      <c r="F818" s="849"/>
      <c r="G818" s="849"/>
      <c r="H818" s="849"/>
      <c r="I818" s="849"/>
      <c r="J818" s="849"/>
      <c r="K818" s="849"/>
    </row>
    <row r="819">
      <c r="A819" s="849"/>
      <c r="B819" s="849"/>
      <c r="C819" s="849"/>
      <c r="D819" s="849"/>
      <c r="E819" s="849"/>
      <c r="F819" s="849"/>
      <c r="G819" s="849"/>
      <c r="H819" s="849"/>
      <c r="I819" s="849"/>
      <c r="J819" s="849"/>
      <c r="K819" s="849"/>
    </row>
    <row r="820">
      <c r="A820" s="849"/>
      <c r="B820" s="849"/>
      <c r="C820" s="849"/>
      <c r="D820" s="849"/>
      <c r="E820" s="849"/>
      <c r="F820" s="849"/>
      <c r="G820" s="849"/>
      <c r="H820" s="849"/>
      <c r="I820" s="849"/>
      <c r="J820" s="849"/>
      <c r="K820" s="849"/>
    </row>
    <row r="821">
      <c r="A821" s="849"/>
      <c r="B821" s="849"/>
      <c r="C821" s="849"/>
      <c r="D821" s="849"/>
      <c r="E821" s="849"/>
      <c r="F821" s="849"/>
      <c r="G821" s="849"/>
      <c r="H821" s="849"/>
      <c r="I821" s="849"/>
      <c r="J821" s="849"/>
      <c r="K821" s="849"/>
    </row>
    <row r="822">
      <c r="A822" s="849"/>
      <c r="B822" s="849"/>
      <c r="C822" s="849"/>
      <c r="D822" s="849"/>
      <c r="E822" s="849"/>
      <c r="F822" s="849"/>
      <c r="G822" s="849"/>
      <c r="H822" s="849"/>
      <c r="I822" s="849"/>
      <c r="J822" s="849"/>
      <c r="K822" s="849"/>
    </row>
    <row r="823">
      <c r="A823" s="849"/>
      <c r="B823" s="849"/>
      <c r="C823" s="849"/>
      <c r="D823" s="849"/>
      <c r="E823" s="849"/>
      <c r="F823" s="849"/>
      <c r="G823" s="849"/>
      <c r="H823" s="849"/>
      <c r="I823" s="849"/>
      <c r="J823" s="849"/>
      <c r="K823" s="849"/>
    </row>
    <row r="824">
      <c r="A824" s="849"/>
      <c r="B824" s="849"/>
      <c r="C824" s="849"/>
      <c r="D824" s="849"/>
      <c r="E824" s="849"/>
      <c r="F824" s="849"/>
      <c r="G824" s="849"/>
      <c r="H824" s="849"/>
      <c r="I824" s="849"/>
      <c r="J824" s="849"/>
      <c r="K824" s="849"/>
    </row>
    <row r="825">
      <c r="A825" s="849"/>
      <c r="B825" s="849"/>
      <c r="C825" s="849"/>
      <c r="D825" s="849"/>
      <c r="E825" s="849"/>
      <c r="F825" s="849"/>
      <c r="G825" s="849"/>
      <c r="H825" s="849"/>
      <c r="I825" s="849"/>
      <c r="J825" s="849"/>
      <c r="K825" s="849"/>
    </row>
    <row r="826">
      <c r="A826" s="849"/>
      <c r="B826" s="849"/>
      <c r="C826" s="849"/>
      <c r="D826" s="849"/>
      <c r="E826" s="849"/>
      <c r="F826" s="849"/>
      <c r="G826" s="849"/>
      <c r="H826" s="849"/>
      <c r="I826" s="849"/>
      <c r="J826" s="849"/>
      <c r="K826" s="849"/>
    </row>
    <row r="827">
      <c r="A827" s="849"/>
      <c r="B827" s="849"/>
      <c r="C827" s="849"/>
      <c r="D827" s="849"/>
      <c r="E827" s="849"/>
      <c r="F827" s="849"/>
      <c r="G827" s="849"/>
      <c r="H827" s="849"/>
      <c r="I827" s="849"/>
      <c r="J827" s="849"/>
      <c r="K827" s="849"/>
    </row>
    <row r="828">
      <c r="A828" s="849"/>
      <c r="B828" s="849"/>
      <c r="C828" s="849"/>
      <c r="D828" s="849"/>
      <c r="E828" s="849"/>
      <c r="F828" s="849"/>
      <c r="G828" s="849"/>
      <c r="H828" s="849"/>
      <c r="I828" s="849"/>
      <c r="J828" s="849"/>
      <c r="K828" s="849"/>
    </row>
    <row r="829">
      <c r="A829" s="849"/>
      <c r="B829" s="849"/>
      <c r="C829" s="849"/>
      <c r="D829" s="849"/>
      <c r="E829" s="849"/>
      <c r="F829" s="849"/>
      <c r="G829" s="849"/>
      <c r="H829" s="849"/>
      <c r="I829" s="849"/>
      <c r="J829" s="849"/>
      <c r="K829" s="849"/>
    </row>
    <row r="830">
      <c r="A830" s="849"/>
      <c r="B830" s="849"/>
      <c r="C830" s="849"/>
      <c r="D830" s="849"/>
      <c r="E830" s="849"/>
      <c r="F830" s="849"/>
      <c r="G830" s="849"/>
      <c r="H830" s="849"/>
      <c r="I830" s="849"/>
      <c r="J830" s="849"/>
      <c r="K830" s="849"/>
    </row>
    <row r="831">
      <c r="A831" s="849"/>
      <c r="B831" s="849"/>
      <c r="C831" s="849"/>
      <c r="D831" s="849"/>
      <c r="E831" s="849"/>
      <c r="F831" s="849"/>
      <c r="G831" s="849"/>
      <c r="H831" s="849"/>
      <c r="I831" s="849"/>
      <c r="J831" s="849"/>
      <c r="K831" s="849"/>
    </row>
    <row r="832">
      <c r="A832" s="849"/>
      <c r="B832" s="849"/>
      <c r="C832" s="849"/>
      <c r="D832" s="849"/>
      <c r="E832" s="849"/>
      <c r="F832" s="849"/>
      <c r="G832" s="849"/>
      <c r="H832" s="849"/>
      <c r="I832" s="849"/>
      <c r="J832" s="849"/>
      <c r="K832" s="849"/>
    </row>
    <row r="833">
      <c r="A833" s="849"/>
      <c r="B833" s="849"/>
      <c r="C833" s="849"/>
      <c r="D833" s="849"/>
      <c r="E833" s="849"/>
      <c r="F833" s="849"/>
      <c r="G833" s="849"/>
      <c r="H833" s="849"/>
      <c r="I833" s="849"/>
      <c r="J833" s="849"/>
      <c r="K833" s="849"/>
    </row>
    <row r="834">
      <c r="A834" s="849"/>
      <c r="B834" s="849"/>
      <c r="C834" s="849"/>
      <c r="D834" s="849"/>
      <c r="E834" s="849"/>
      <c r="F834" s="849"/>
      <c r="G834" s="849"/>
      <c r="H834" s="849"/>
      <c r="I834" s="849"/>
      <c r="J834" s="849"/>
      <c r="K834" s="849"/>
    </row>
    <row r="835">
      <c r="A835" s="849"/>
      <c r="B835" s="849"/>
      <c r="C835" s="849"/>
      <c r="D835" s="849"/>
      <c r="E835" s="849"/>
      <c r="F835" s="849"/>
      <c r="G835" s="849"/>
      <c r="H835" s="849"/>
      <c r="I835" s="849"/>
      <c r="J835" s="849"/>
      <c r="K835" s="849"/>
    </row>
    <row r="836">
      <c r="A836" s="849"/>
      <c r="B836" s="849"/>
      <c r="C836" s="849"/>
      <c r="D836" s="849"/>
      <c r="E836" s="849"/>
      <c r="F836" s="849"/>
      <c r="G836" s="849"/>
      <c r="H836" s="849"/>
      <c r="I836" s="849"/>
      <c r="J836" s="849"/>
      <c r="K836" s="849"/>
    </row>
    <row r="837">
      <c r="A837" s="849"/>
      <c r="B837" s="849"/>
      <c r="C837" s="849"/>
      <c r="D837" s="849"/>
      <c r="E837" s="849"/>
      <c r="F837" s="849"/>
      <c r="G837" s="849"/>
      <c r="H837" s="849"/>
      <c r="I837" s="849"/>
      <c r="J837" s="849"/>
      <c r="K837" s="849"/>
    </row>
    <row r="838">
      <c r="A838" s="849"/>
      <c r="B838" s="849"/>
      <c r="C838" s="849"/>
      <c r="D838" s="849"/>
      <c r="E838" s="849"/>
      <c r="F838" s="849"/>
      <c r="G838" s="849"/>
      <c r="H838" s="849"/>
      <c r="I838" s="849"/>
      <c r="J838" s="849"/>
      <c r="K838" s="849"/>
    </row>
    <row r="839">
      <c r="A839" s="849"/>
      <c r="B839" s="849"/>
      <c r="C839" s="849"/>
      <c r="D839" s="849"/>
      <c r="E839" s="849"/>
      <c r="F839" s="849"/>
      <c r="G839" s="849"/>
      <c r="H839" s="849"/>
      <c r="I839" s="849"/>
      <c r="J839" s="849"/>
      <c r="K839" s="849"/>
    </row>
    <row r="840">
      <c r="A840" s="849"/>
      <c r="B840" s="849"/>
      <c r="C840" s="849"/>
      <c r="D840" s="849"/>
      <c r="E840" s="849"/>
      <c r="F840" s="849"/>
      <c r="G840" s="849"/>
      <c r="H840" s="849"/>
      <c r="I840" s="849"/>
      <c r="J840" s="849"/>
      <c r="K840" s="849"/>
    </row>
    <row r="841">
      <c r="A841" s="849"/>
      <c r="B841" s="849"/>
      <c r="C841" s="849"/>
      <c r="D841" s="849"/>
      <c r="E841" s="849"/>
      <c r="F841" s="849"/>
      <c r="G841" s="849"/>
      <c r="H841" s="849"/>
      <c r="I841" s="849"/>
      <c r="J841" s="849"/>
      <c r="K841" s="849"/>
    </row>
    <row r="842">
      <c r="A842" s="849"/>
      <c r="B842" s="849"/>
      <c r="C842" s="849"/>
      <c r="D842" s="849"/>
      <c r="E842" s="849"/>
      <c r="F842" s="849"/>
      <c r="G842" s="849"/>
      <c r="H842" s="849"/>
      <c r="I842" s="849"/>
      <c r="J842" s="849"/>
      <c r="K842" s="849"/>
    </row>
    <row r="843">
      <c r="A843" s="849"/>
      <c r="B843" s="849"/>
      <c r="C843" s="849"/>
      <c r="D843" s="849"/>
      <c r="E843" s="849"/>
      <c r="F843" s="849"/>
      <c r="G843" s="849"/>
      <c r="H843" s="849"/>
      <c r="I843" s="849"/>
      <c r="J843" s="849"/>
      <c r="K843" s="849"/>
    </row>
    <row r="844">
      <c r="A844" s="849"/>
      <c r="B844" s="849"/>
      <c r="C844" s="849"/>
      <c r="D844" s="849"/>
      <c r="E844" s="849"/>
      <c r="F844" s="849"/>
      <c r="G844" s="849"/>
      <c r="H844" s="849"/>
      <c r="I844" s="849"/>
      <c r="J844" s="849"/>
      <c r="K844" s="849"/>
    </row>
    <row r="845">
      <c r="A845" s="849"/>
      <c r="B845" s="849"/>
      <c r="C845" s="849"/>
      <c r="D845" s="849"/>
      <c r="E845" s="849"/>
      <c r="F845" s="849"/>
      <c r="G845" s="849"/>
      <c r="H845" s="849"/>
      <c r="I845" s="849"/>
      <c r="J845" s="849"/>
      <c r="K845" s="849"/>
    </row>
    <row r="846">
      <c r="A846" s="849"/>
      <c r="B846" s="849"/>
      <c r="C846" s="849"/>
      <c r="D846" s="849"/>
      <c r="E846" s="849"/>
      <c r="F846" s="849"/>
      <c r="G846" s="849"/>
      <c r="H846" s="849"/>
      <c r="I846" s="849"/>
      <c r="J846" s="849"/>
      <c r="K846" s="849"/>
    </row>
    <row r="847">
      <c r="A847" s="849"/>
      <c r="B847" s="849"/>
      <c r="C847" s="849"/>
      <c r="D847" s="849"/>
      <c r="E847" s="849"/>
      <c r="F847" s="849"/>
      <c r="G847" s="849"/>
      <c r="H847" s="849"/>
      <c r="I847" s="849"/>
      <c r="J847" s="849"/>
      <c r="K847" s="849"/>
    </row>
    <row r="848">
      <c r="A848" s="849"/>
      <c r="B848" s="849"/>
      <c r="C848" s="849"/>
      <c r="D848" s="849"/>
      <c r="E848" s="849"/>
      <c r="F848" s="849"/>
      <c r="G848" s="849"/>
      <c r="H848" s="849"/>
      <c r="I848" s="849"/>
      <c r="J848" s="849"/>
      <c r="K848" s="849"/>
    </row>
    <row r="849">
      <c r="A849" s="849"/>
      <c r="B849" s="849"/>
      <c r="C849" s="849"/>
      <c r="D849" s="849"/>
      <c r="E849" s="849"/>
      <c r="F849" s="849"/>
      <c r="G849" s="849"/>
      <c r="H849" s="849"/>
      <c r="I849" s="849"/>
      <c r="J849" s="849"/>
      <c r="K849" s="849"/>
    </row>
    <row r="850">
      <c r="A850" s="849"/>
      <c r="B850" s="849"/>
      <c r="C850" s="849"/>
      <c r="D850" s="849"/>
      <c r="E850" s="849"/>
      <c r="F850" s="849"/>
      <c r="G850" s="849"/>
      <c r="H850" s="849"/>
      <c r="I850" s="849"/>
      <c r="J850" s="849"/>
      <c r="K850" s="849"/>
    </row>
    <row r="851">
      <c r="A851" s="849"/>
      <c r="B851" s="849"/>
      <c r="C851" s="849"/>
      <c r="D851" s="849"/>
      <c r="E851" s="849"/>
      <c r="F851" s="849"/>
      <c r="G851" s="849"/>
      <c r="H851" s="849"/>
      <c r="I851" s="849"/>
      <c r="J851" s="849"/>
      <c r="K851" s="849"/>
    </row>
    <row r="852">
      <c r="A852" s="849"/>
      <c r="B852" s="849"/>
      <c r="C852" s="849"/>
      <c r="D852" s="849"/>
      <c r="E852" s="849"/>
      <c r="F852" s="849"/>
      <c r="G852" s="849"/>
      <c r="H852" s="849"/>
      <c r="I852" s="849"/>
      <c r="J852" s="849"/>
      <c r="K852" s="849"/>
    </row>
    <row r="853">
      <c r="A853" s="849"/>
      <c r="B853" s="849"/>
      <c r="C853" s="849"/>
      <c r="D853" s="849"/>
      <c r="E853" s="849"/>
      <c r="F853" s="849"/>
      <c r="G853" s="849"/>
      <c r="H853" s="849"/>
      <c r="I853" s="849"/>
      <c r="J853" s="849"/>
      <c r="K853" s="849"/>
    </row>
    <row r="854">
      <c r="A854" s="849"/>
      <c r="B854" s="849"/>
      <c r="C854" s="849"/>
      <c r="D854" s="849"/>
      <c r="E854" s="849"/>
      <c r="F854" s="849"/>
      <c r="G854" s="849"/>
      <c r="H854" s="849"/>
      <c r="I854" s="849"/>
      <c r="J854" s="849"/>
      <c r="K854" s="849"/>
    </row>
    <row r="855">
      <c r="A855" s="849"/>
      <c r="B855" s="849"/>
      <c r="C855" s="849"/>
      <c r="D855" s="849"/>
      <c r="E855" s="849"/>
      <c r="F855" s="849"/>
      <c r="G855" s="849"/>
      <c r="H855" s="849"/>
      <c r="I855" s="849"/>
      <c r="J855" s="849"/>
      <c r="K855" s="849"/>
    </row>
    <row r="856">
      <c r="A856" s="849"/>
      <c r="B856" s="849"/>
      <c r="C856" s="849"/>
      <c r="D856" s="849"/>
      <c r="E856" s="849"/>
      <c r="F856" s="849"/>
      <c r="G856" s="849"/>
      <c r="H856" s="849"/>
      <c r="I856" s="849"/>
      <c r="J856" s="849"/>
      <c r="K856" s="849"/>
    </row>
    <row r="857">
      <c r="A857" s="849"/>
      <c r="B857" s="849"/>
      <c r="C857" s="849"/>
      <c r="D857" s="849"/>
      <c r="E857" s="849"/>
      <c r="F857" s="849"/>
      <c r="G857" s="849"/>
      <c r="H857" s="849"/>
      <c r="I857" s="849"/>
      <c r="J857" s="849"/>
      <c r="K857" s="849"/>
    </row>
    <row r="858">
      <c r="A858" s="849"/>
      <c r="B858" s="849"/>
      <c r="C858" s="849"/>
      <c r="D858" s="849"/>
      <c r="E858" s="849"/>
      <c r="F858" s="849"/>
      <c r="G858" s="849"/>
      <c r="H858" s="849"/>
      <c r="I858" s="849"/>
      <c r="J858" s="849"/>
      <c r="K858" s="849"/>
    </row>
    <row r="859">
      <c r="A859" s="849"/>
      <c r="B859" s="849"/>
      <c r="C859" s="849"/>
      <c r="D859" s="849"/>
      <c r="E859" s="849"/>
      <c r="F859" s="849"/>
      <c r="G859" s="849"/>
      <c r="H859" s="849"/>
      <c r="I859" s="849"/>
      <c r="J859" s="849"/>
      <c r="K859" s="849"/>
    </row>
    <row r="860">
      <c r="A860" s="849"/>
      <c r="B860" s="849"/>
      <c r="C860" s="849"/>
      <c r="D860" s="849"/>
      <c r="E860" s="849"/>
      <c r="F860" s="849"/>
      <c r="G860" s="849"/>
      <c r="H860" s="849"/>
      <c r="I860" s="849"/>
      <c r="J860" s="849"/>
      <c r="K860" s="849"/>
    </row>
    <row r="861">
      <c r="A861" s="849"/>
      <c r="B861" s="849"/>
      <c r="C861" s="849"/>
      <c r="D861" s="849"/>
      <c r="E861" s="849"/>
      <c r="F861" s="849"/>
      <c r="G861" s="849"/>
      <c r="H861" s="849"/>
      <c r="I861" s="849"/>
      <c r="J861" s="849"/>
      <c r="K861" s="849"/>
    </row>
    <row r="862">
      <c r="A862" s="849"/>
      <c r="B862" s="849"/>
      <c r="C862" s="849"/>
      <c r="D862" s="849"/>
      <c r="E862" s="849"/>
      <c r="F862" s="849"/>
      <c r="G862" s="849"/>
      <c r="H862" s="849"/>
      <c r="I862" s="849"/>
      <c r="J862" s="849"/>
      <c r="K862" s="849"/>
    </row>
    <row r="863">
      <c r="A863" s="849"/>
      <c r="B863" s="849"/>
      <c r="C863" s="849"/>
      <c r="D863" s="849"/>
      <c r="E863" s="849"/>
      <c r="F863" s="849"/>
      <c r="G863" s="849"/>
      <c r="H863" s="849"/>
      <c r="I863" s="849"/>
      <c r="J863" s="849"/>
      <c r="K863" s="849"/>
    </row>
    <row r="864">
      <c r="A864" s="849"/>
      <c r="B864" s="849"/>
      <c r="C864" s="849"/>
      <c r="D864" s="849"/>
      <c r="E864" s="849"/>
      <c r="F864" s="849"/>
      <c r="G864" s="849"/>
      <c r="H864" s="849"/>
      <c r="I864" s="849"/>
      <c r="J864" s="849"/>
      <c r="K864" s="849"/>
    </row>
    <row r="865">
      <c r="A865" s="849"/>
      <c r="B865" s="849"/>
      <c r="C865" s="849"/>
      <c r="D865" s="849"/>
      <c r="E865" s="849"/>
      <c r="F865" s="849"/>
      <c r="G865" s="849"/>
      <c r="H865" s="849"/>
      <c r="I865" s="849"/>
      <c r="J865" s="849"/>
      <c r="K865" s="849"/>
    </row>
    <row r="866">
      <c r="A866" s="849"/>
      <c r="B866" s="849"/>
      <c r="C866" s="849"/>
      <c r="D866" s="849"/>
      <c r="E866" s="849"/>
      <c r="F866" s="849"/>
      <c r="G866" s="849"/>
      <c r="H866" s="849"/>
      <c r="I866" s="849"/>
      <c r="J866" s="849"/>
      <c r="K866" s="849"/>
    </row>
    <row r="867">
      <c r="A867" s="849"/>
      <c r="B867" s="849"/>
      <c r="C867" s="849"/>
      <c r="D867" s="849"/>
      <c r="E867" s="849"/>
      <c r="F867" s="849"/>
      <c r="G867" s="849"/>
      <c r="H867" s="849"/>
      <c r="I867" s="849"/>
      <c r="J867" s="849"/>
      <c r="K867" s="849"/>
    </row>
    <row r="868">
      <c r="A868" s="849"/>
      <c r="B868" s="849"/>
      <c r="C868" s="849"/>
      <c r="D868" s="849"/>
      <c r="E868" s="849"/>
      <c r="F868" s="849"/>
      <c r="G868" s="849"/>
      <c r="H868" s="849"/>
      <c r="I868" s="849"/>
      <c r="J868" s="849"/>
      <c r="K868" s="849"/>
    </row>
    <row r="869">
      <c r="A869" s="849"/>
      <c r="B869" s="849"/>
      <c r="C869" s="849"/>
      <c r="D869" s="849"/>
      <c r="E869" s="849"/>
      <c r="F869" s="849"/>
      <c r="G869" s="849"/>
      <c r="H869" s="849"/>
      <c r="I869" s="849"/>
      <c r="J869" s="849"/>
      <c r="K869" s="849"/>
    </row>
    <row r="870">
      <c r="A870" s="849"/>
      <c r="B870" s="849"/>
      <c r="C870" s="849"/>
      <c r="D870" s="849"/>
      <c r="E870" s="849"/>
      <c r="F870" s="849"/>
      <c r="G870" s="849"/>
      <c r="H870" s="849"/>
      <c r="I870" s="849"/>
      <c r="J870" s="849"/>
      <c r="K870" s="849"/>
    </row>
    <row r="871">
      <c r="A871" s="849"/>
      <c r="B871" s="849"/>
      <c r="C871" s="849"/>
      <c r="D871" s="849"/>
      <c r="E871" s="849"/>
      <c r="F871" s="849"/>
      <c r="G871" s="849"/>
      <c r="H871" s="849"/>
      <c r="I871" s="849"/>
      <c r="J871" s="849"/>
      <c r="K871" s="849"/>
    </row>
    <row r="872">
      <c r="A872" s="849"/>
      <c r="B872" s="849"/>
      <c r="C872" s="849"/>
      <c r="D872" s="849"/>
      <c r="E872" s="849"/>
      <c r="F872" s="849"/>
      <c r="G872" s="849"/>
      <c r="H872" s="849"/>
      <c r="I872" s="849"/>
      <c r="J872" s="849"/>
      <c r="K872" s="849"/>
    </row>
    <row r="873">
      <c r="A873" s="849"/>
      <c r="B873" s="849"/>
      <c r="C873" s="849"/>
      <c r="D873" s="849"/>
      <c r="E873" s="849"/>
      <c r="F873" s="849"/>
      <c r="G873" s="849"/>
      <c r="H873" s="849"/>
      <c r="I873" s="849"/>
      <c r="J873" s="849"/>
      <c r="K873" s="849"/>
    </row>
    <row r="874">
      <c r="A874" s="849"/>
      <c r="B874" s="849"/>
      <c r="C874" s="849"/>
      <c r="D874" s="849"/>
      <c r="E874" s="849"/>
      <c r="F874" s="849"/>
      <c r="G874" s="849"/>
      <c r="H874" s="849"/>
      <c r="I874" s="849"/>
      <c r="J874" s="849"/>
      <c r="K874" s="849"/>
    </row>
    <row r="875">
      <c r="A875" s="849"/>
      <c r="B875" s="849"/>
      <c r="C875" s="849"/>
      <c r="D875" s="849"/>
      <c r="E875" s="849"/>
      <c r="F875" s="849"/>
      <c r="G875" s="849"/>
      <c r="H875" s="849"/>
      <c r="I875" s="849"/>
      <c r="J875" s="849"/>
      <c r="K875" s="849"/>
    </row>
    <row r="876">
      <c r="A876" s="849"/>
      <c r="B876" s="849"/>
      <c r="C876" s="849"/>
      <c r="D876" s="849"/>
      <c r="E876" s="849"/>
      <c r="F876" s="849"/>
      <c r="G876" s="849"/>
      <c r="H876" s="849"/>
      <c r="I876" s="849"/>
      <c r="J876" s="849"/>
      <c r="K876" s="849"/>
    </row>
    <row r="877">
      <c r="A877" s="849"/>
      <c r="B877" s="849"/>
      <c r="C877" s="849"/>
      <c r="D877" s="849"/>
      <c r="E877" s="849"/>
      <c r="F877" s="849"/>
      <c r="G877" s="849"/>
      <c r="H877" s="849"/>
      <c r="I877" s="849"/>
      <c r="J877" s="849"/>
      <c r="K877" s="849"/>
    </row>
    <row r="878">
      <c r="A878" s="849"/>
      <c r="B878" s="849"/>
      <c r="C878" s="849"/>
      <c r="D878" s="849"/>
      <c r="E878" s="849"/>
      <c r="F878" s="849"/>
      <c r="G878" s="849"/>
      <c r="H878" s="849"/>
      <c r="I878" s="849"/>
      <c r="J878" s="849"/>
      <c r="K878" s="849"/>
    </row>
    <row r="879">
      <c r="A879" s="849"/>
      <c r="B879" s="849"/>
      <c r="C879" s="849"/>
      <c r="D879" s="849"/>
      <c r="E879" s="849"/>
      <c r="F879" s="849"/>
      <c r="G879" s="849"/>
      <c r="H879" s="849"/>
      <c r="I879" s="849"/>
      <c r="J879" s="849"/>
      <c r="K879" s="849"/>
    </row>
    <row r="880">
      <c r="A880" s="849"/>
      <c r="B880" s="849"/>
      <c r="C880" s="849"/>
      <c r="D880" s="849"/>
      <c r="E880" s="849"/>
      <c r="F880" s="849"/>
      <c r="G880" s="849"/>
      <c r="H880" s="849"/>
      <c r="I880" s="849"/>
      <c r="J880" s="849"/>
      <c r="K880" s="849"/>
    </row>
    <row r="881">
      <c r="A881" s="849"/>
      <c r="B881" s="849"/>
      <c r="C881" s="849"/>
      <c r="D881" s="849"/>
      <c r="E881" s="849"/>
      <c r="F881" s="849"/>
      <c r="G881" s="849"/>
      <c r="H881" s="849"/>
      <c r="I881" s="849"/>
      <c r="J881" s="849"/>
      <c r="K881" s="849"/>
    </row>
    <row r="882">
      <c r="A882" s="849"/>
      <c r="B882" s="849"/>
      <c r="C882" s="849"/>
      <c r="D882" s="849"/>
      <c r="E882" s="849"/>
      <c r="F882" s="849"/>
      <c r="G882" s="849"/>
      <c r="H882" s="849"/>
      <c r="I882" s="849"/>
      <c r="J882" s="849"/>
      <c r="K882" s="849"/>
    </row>
    <row r="883">
      <c r="A883" s="849"/>
      <c r="B883" s="849"/>
      <c r="C883" s="849"/>
      <c r="D883" s="849"/>
      <c r="E883" s="849"/>
      <c r="F883" s="849"/>
      <c r="G883" s="849"/>
      <c r="H883" s="849"/>
      <c r="I883" s="849"/>
      <c r="J883" s="849"/>
      <c r="K883" s="849"/>
    </row>
    <row r="884">
      <c r="A884" s="849"/>
      <c r="B884" s="849"/>
      <c r="C884" s="849"/>
      <c r="D884" s="849"/>
      <c r="E884" s="849"/>
      <c r="F884" s="849"/>
      <c r="G884" s="849"/>
      <c r="H884" s="849"/>
      <c r="I884" s="849"/>
      <c r="J884" s="849"/>
      <c r="K884" s="849"/>
    </row>
    <row r="885">
      <c r="A885" s="849"/>
      <c r="B885" s="849"/>
      <c r="C885" s="849"/>
      <c r="D885" s="849"/>
      <c r="E885" s="849"/>
      <c r="F885" s="849"/>
      <c r="G885" s="849"/>
      <c r="H885" s="849"/>
      <c r="I885" s="849"/>
      <c r="J885" s="849"/>
      <c r="K885" s="849"/>
    </row>
    <row r="886">
      <c r="A886" s="849"/>
      <c r="B886" s="849"/>
      <c r="C886" s="849"/>
      <c r="D886" s="849"/>
      <c r="E886" s="849"/>
      <c r="F886" s="849"/>
      <c r="G886" s="849"/>
      <c r="H886" s="849"/>
      <c r="I886" s="849"/>
      <c r="J886" s="849"/>
      <c r="K886" s="849"/>
    </row>
    <row r="887">
      <c r="A887" s="849"/>
      <c r="B887" s="849"/>
      <c r="C887" s="849"/>
      <c r="D887" s="849"/>
      <c r="E887" s="849"/>
      <c r="F887" s="849"/>
      <c r="G887" s="849"/>
      <c r="H887" s="849"/>
      <c r="I887" s="849"/>
      <c r="J887" s="849"/>
      <c r="K887" s="849"/>
    </row>
    <row r="888">
      <c r="A888" s="849"/>
      <c r="B888" s="849"/>
      <c r="C888" s="849"/>
      <c r="D888" s="849"/>
      <c r="E888" s="849"/>
      <c r="F888" s="849"/>
      <c r="G888" s="849"/>
      <c r="H888" s="849"/>
      <c r="I888" s="849"/>
      <c r="J888" s="849"/>
      <c r="K888" s="849"/>
    </row>
    <row r="889">
      <c r="A889" s="849"/>
      <c r="B889" s="849"/>
      <c r="C889" s="849"/>
      <c r="D889" s="849"/>
      <c r="E889" s="849"/>
      <c r="F889" s="849"/>
      <c r="G889" s="849"/>
      <c r="H889" s="849"/>
      <c r="I889" s="849"/>
      <c r="J889" s="849"/>
      <c r="K889" s="849"/>
    </row>
    <row r="890">
      <c r="A890" s="849"/>
      <c r="B890" s="849"/>
      <c r="C890" s="849"/>
      <c r="D890" s="849"/>
      <c r="E890" s="849"/>
      <c r="F890" s="849"/>
      <c r="G890" s="849"/>
      <c r="H890" s="849"/>
      <c r="I890" s="849"/>
      <c r="J890" s="849"/>
      <c r="K890" s="849"/>
    </row>
    <row r="891">
      <c r="A891" s="849"/>
      <c r="B891" s="849"/>
      <c r="C891" s="849"/>
      <c r="D891" s="849"/>
      <c r="E891" s="849"/>
      <c r="F891" s="849"/>
      <c r="G891" s="849"/>
      <c r="H891" s="849"/>
      <c r="I891" s="849"/>
      <c r="J891" s="849"/>
      <c r="K891" s="849"/>
    </row>
    <row r="892">
      <c r="A892" s="849"/>
      <c r="B892" s="849"/>
      <c r="C892" s="849"/>
      <c r="D892" s="849"/>
      <c r="E892" s="849"/>
      <c r="F892" s="849"/>
      <c r="G892" s="849"/>
      <c r="H892" s="849"/>
      <c r="I892" s="849"/>
      <c r="J892" s="849"/>
      <c r="K892" s="849"/>
    </row>
    <row r="893">
      <c r="A893" s="849"/>
      <c r="B893" s="849"/>
      <c r="C893" s="849"/>
      <c r="D893" s="849"/>
      <c r="E893" s="849"/>
      <c r="F893" s="849"/>
      <c r="G893" s="849"/>
      <c r="H893" s="849"/>
      <c r="I893" s="849"/>
      <c r="J893" s="849"/>
      <c r="K893" s="849"/>
    </row>
    <row r="894">
      <c r="A894" s="849"/>
      <c r="B894" s="849"/>
      <c r="C894" s="849"/>
      <c r="D894" s="849"/>
      <c r="E894" s="849"/>
      <c r="F894" s="849"/>
      <c r="G894" s="849"/>
      <c r="H894" s="849"/>
      <c r="I894" s="849"/>
      <c r="J894" s="849"/>
      <c r="K894" s="849"/>
    </row>
    <row r="895">
      <c r="A895" s="849"/>
      <c r="B895" s="849"/>
      <c r="C895" s="849"/>
      <c r="D895" s="849"/>
      <c r="E895" s="849"/>
      <c r="F895" s="849"/>
      <c r="G895" s="849"/>
      <c r="H895" s="849"/>
      <c r="I895" s="849"/>
      <c r="J895" s="849"/>
      <c r="K895" s="849"/>
    </row>
    <row r="896">
      <c r="A896" s="849"/>
      <c r="B896" s="849"/>
      <c r="C896" s="849"/>
      <c r="D896" s="849"/>
      <c r="E896" s="849"/>
      <c r="F896" s="849"/>
      <c r="G896" s="849"/>
      <c r="H896" s="849"/>
      <c r="I896" s="849"/>
      <c r="J896" s="849"/>
      <c r="K896" s="849"/>
    </row>
    <row r="897">
      <c r="A897" s="849"/>
      <c r="B897" s="849"/>
      <c r="C897" s="849"/>
      <c r="D897" s="849"/>
      <c r="E897" s="849"/>
      <c r="F897" s="849"/>
      <c r="G897" s="849"/>
      <c r="H897" s="849"/>
      <c r="I897" s="849"/>
      <c r="J897" s="849"/>
      <c r="K897" s="849"/>
    </row>
    <row r="898">
      <c r="A898" s="849"/>
      <c r="B898" s="849"/>
      <c r="C898" s="849"/>
      <c r="D898" s="849"/>
      <c r="E898" s="849"/>
      <c r="F898" s="849"/>
      <c r="G898" s="849"/>
      <c r="H898" s="849"/>
      <c r="I898" s="849"/>
      <c r="J898" s="849"/>
      <c r="K898" s="849"/>
    </row>
    <row r="899">
      <c r="A899" s="849"/>
      <c r="B899" s="849"/>
      <c r="C899" s="849"/>
      <c r="D899" s="849"/>
      <c r="E899" s="849"/>
      <c r="F899" s="849"/>
      <c r="G899" s="849"/>
      <c r="H899" s="849"/>
      <c r="I899" s="849"/>
      <c r="J899" s="849"/>
      <c r="K899" s="849"/>
    </row>
    <row r="900">
      <c r="A900" s="849"/>
      <c r="B900" s="849"/>
      <c r="C900" s="849"/>
      <c r="D900" s="849"/>
      <c r="E900" s="849"/>
      <c r="F900" s="849"/>
      <c r="G900" s="849"/>
      <c r="H900" s="849"/>
      <c r="I900" s="849"/>
      <c r="J900" s="849"/>
      <c r="K900" s="849"/>
    </row>
    <row r="901">
      <c r="A901" s="849"/>
      <c r="B901" s="849"/>
      <c r="C901" s="849"/>
      <c r="D901" s="849"/>
      <c r="E901" s="849"/>
      <c r="F901" s="849"/>
      <c r="G901" s="849"/>
      <c r="H901" s="849"/>
      <c r="I901" s="849"/>
      <c r="J901" s="849"/>
      <c r="K901" s="849"/>
    </row>
    <row r="902">
      <c r="A902" s="849"/>
      <c r="B902" s="849"/>
      <c r="C902" s="849"/>
      <c r="D902" s="849"/>
      <c r="E902" s="849"/>
      <c r="F902" s="849"/>
      <c r="G902" s="849"/>
      <c r="H902" s="849"/>
      <c r="I902" s="849"/>
      <c r="J902" s="849"/>
      <c r="K902" s="849"/>
    </row>
    <row r="903">
      <c r="A903" s="849"/>
      <c r="B903" s="849"/>
      <c r="C903" s="849"/>
      <c r="D903" s="849"/>
      <c r="E903" s="849"/>
      <c r="F903" s="849"/>
      <c r="G903" s="849"/>
      <c r="H903" s="849"/>
      <c r="I903" s="849"/>
      <c r="J903" s="849"/>
      <c r="K903" s="849"/>
    </row>
    <row r="904">
      <c r="A904" s="849"/>
      <c r="B904" s="849"/>
      <c r="C904" s="849"/>
      <c r="D904" s="849"/>
      <c r="E904" s="849"/>
      <c r="F904" s="849"/>
      <c r="G904" s="849"/>
      <c r="H904" s="849"/>
      <c r="I904" s="849"/>
      <c r="J904" s="849"/>
      <c r="K904" s="849"/>
    </row>
    <row r="905">
      <c r="A905" s="849"/>
      <c r="B905" s="849"/>
      <c r="C905" s="849"/>
      <c r="D905" s="849"/>
      <c r="E905" s="849"/>
      <c r="F905" s="849"/>
      <c r="G905" s="849"/>
      <c r="H905" s="849"/>
      <c r="I905" s="849"/>
      <c r="J905" s="849"/>
      <c r="K905" s="849"/>
    </row>
    <row r="906">
      <c r="A906" s="849"/>
      <c r="B906" s="849"/>
      <c r="C906" s="849"/>
      <c r="D906" s="849"/>
      <c r="E906" s="849"/>
      <c r="F906" s="849"/>
      <c r="G906" s="849"/>
      <c r="H906" s="849"/>
      <c r="I906" s="849"/>
      <c r="J906" s="849"/>
      <c r="K906" s="849"/>
    </row>
    <row r="907">
      <c r="A907" s="849"/>
      <c r="B907" s="849"/>
      <c r="C907" s="849"/>
      <c r="D907" s="849"/>
      <c r="E907" s="849"/>
      <c r="F907" s="849"/>
      <c r="G907" s="849"/>
      <c r="H907" s="849"/>
      <c r="I907" s="849"/>
      <c r="J907" s="849"/>
      <c r="K907" s="849"/>
    </row>
    <row r="908">
      <c r="A908" s="849"/>
      <c r="B908" s="849"/>
      <c r="C908" s="849"/>
      <c r="D908" s="849"/>
      <c r="E908" s="849"/>
      <c r="F908" s="849"/>
      <c r="G908" s="849"/>
      <c r="H908" s="849"/>
      <c r="I908" s="849"/>
      <c r="J908" s="849"/>
      <c r="K908" s="849"/>
    </row>
    <row r="909">
      <c r="A909" s="849"/>
      <c r="B909" s="849"/>
      <c r="C909" s="849"/>
      <c r="D909" s="849"/>
      <c r="E909" s="849"/>
      <c r="F909" s="849"/>
      <c r="G909" s="849"/>
      <c r="H909" s="849"/>
      <c r="I909" s="849"/>
      <c r="J909" s="849"/>
      <c r="K909" s="849"/>
    </row>
    <row r="910">
      <c r="A910" s="849"/>
      <c r="B910" s="849"/>
      <c r="C910" s="849"/>
      <c r="D910" s="849"/>
      <c r="E910" s="849"/>
      <c r="F910" s="849"/>
      <c r="G910" s="849"/>
      <c r="H910" s="849"/>
      <c r="I910" s="849"/>
      <c r="J910" s="849"/>
      <c r="K910" s="849"/>
    </row>
    <row r="911">
      <c r="A911" s="849"/>
      <c r="B911" s="849"/>
      <c r="C911" s="849"/>
      <c r="D911" s="849"/>
      <c r="E911" s="849"/>
      <c r="F911" s="849"/>
      <c r="G911" s="849"/>
      <c r="H911" s="849"/>
      <c r="I911" s="849"/>
      <c r="J911" s="849"/>
      <c r="K911" s="849"/>
    </row>
    <row r="912">
      <c r="A912" s="849"/>
      <c r="B912" s="849"/>
      <c r="C912" s="849"/>
      <c r="D912" s="849"/>
      <c r="E912" s="849"/>
      <c r="F912" s="849"/>
      <c r="G912" s="849"/>
      <c r="H912" s="849"/>
      <c r="I912" s="849"/>
      <c r="J912" s="849"/>
      <c r="K912" s="849"/>
    </row>
    <row r="913">
      <c r="A913" s="849"/>
      <c r="B913" s="849"/>
      <c r="C913" s="849"/>
      <c r="D913" s="849"/>
      <c r="E913" s="849"/>
      <c r="F913" s="849"/>
      <c r="G913" s="849"/>
      <c r="H913" s="849"/>
      <c r="I913" s="849"/>
      <c r="J913" s="849"/>
      <c r="K913" s="849"/>
    </row>
    <row r="914">
      <c r="A914" s="849"/>
      <c r="B914" s="849"/>
      <c r="C914" s="849"/>
      <c r="D914" s="849"/>
      <c r="E914" s="849"/>
      <c r="F914" s="849"/>
      <c r="G914" s="849"/>
      <c r="H914" s="849"/>
      <c r="I914" s="849"/>
      <c r="J914" s="849"/>
      <c r="K914" s="849"/>
    </row>
    <row r="915">
      <c r="A915" s="849"/>
      <c r="B915" s="849"/>
      <c r="C915" s="849"/>
      <c r="D915" s="849"/>
      <c r="E915" s="849"/>
      <c r="F915" s="849"/>
      <c r="G915" s="849"/>
      <c r="H915" s="849"/>
      <c r="I915" s="849"/>
      <c r="J915" s="849"/>
      <c r="K915" s="849"/>
    </row>
    <row r="916">
      <c r="A916" s="849"/>
      <c r="B916" s="849"/>
      <c r="C916" s="849"/>
      <c r="D916" s="849"/>
      <c r="E916" s="849"/>
      <c r="F916" s="849"/>
      <c r="G916" s="849"/>
      <c r="H916" s="849"/>
      <c r="I916" s="849"/>
      <c r="J916" s="849"/>
      <c r="K916" s="849"/>
    </row>
    <row r="917">
      <c r="A917" s="849"/>
      <c r="B917" s="849"/>
      <c r="C917" s="849"/>
      <c r="D917" s="849"/>
      <c r="E917" s="849"/>
      <c r="F917" s="849"/>
      <c r="G917" s="849"/>
      <c r="H917" s="849"/>
      <c r="I917" s="849"/>
      <c r="J917" s="849"/>
      <c r="K917" s="849"/>
    </row>
    <row r="918">
      <c r="A918" s="849"/>
      <c r="B918" s="849"/>
      <c r="C918" s="849"/>
      <c r="D918" s="849"/>
      <c r="E918" s="849"/>
      <c r="F918" s="849"/>
      <c r="G918" s="849"/>
      <c r="H918" s="849"/>
      <c r="I918" s="849"/>
      <c r="J918" s="849"/>
      <c r="K918" s="849"/>
    </row>
    <row r="919">
      <c r="A919" s="849"/>
      <c r="B919" s="849"/>
      <c r="C919" s="849"/>
      <c r="D919" s="849"/>
      <c r="E919" s="849"/>
      <c r="F919" s="849"/>
      <c r="G919" s="849"/>
      <c r="H919" s="849"/>
      <c r="I919" s="849"/>
      <c r="J919" s="849"/>
      <c r="K919" s="849"/>
    </row>
    <row r="920">
      <c r="A920" s="849"/>
      <c r="B920" s="849"/>
      <c r="C920" s="849"/>
      <c r="D920" s="849"/>
      <c r="E920" s="849"/>
      <c r="F920" s="849"/>
      <c r="G920" s="849"/>
      <c r="H920" s="849"/>
      <c r="I920" s="849"/>
      <c r="J920" s="849"/>
      <c r="K920" s="849"/>
    </row>
    <row r="921">
      <c r="A921" s="849"/>
      <c r="B921" s="849"/>
      <c r="C921" s="849"/>
      <c r="D921" s="849"/>
      <c r="E921" s="849"/>
      <c r="F921" s="849"/>
      <c r="G921" s="849"/>
      <c r="H921" s="849"/>
      <c r="I921" s="849"/>
      <c r="J921" s="849"/>
      <c r="K921" s="849"/>
    </row>
    <row r="922">
      <c r="A922" s="849"/>
      <c r="B922" s="849"/>
      <c r="C922" s="849"/>
      <c r="D922" s="849"/>
      <c r="E922" s="849"/>
      <c r="F922" s="849"/>
      <c r="G922" s="849"/>
      <c r="H922" s="849"/>
      <c r="I922" s="849"/>
      <c r="J922" s="849"/>
      <c r="K922" s="849"/>
    </row>
    <row r="923">
      <c r="A923" s="849"/>
      <c r="B923" s="849"/>
      <c r="C923" s="849"/>
      <c r="D923" s="849"/>
      <c r="E923" s="849"/>
      <c r="F923" s="849"/>
      <c r="G923" s="849"/>
      <c r="H923" s="849"/>
      <c r="I923" s="849"/>
      <c r="J923" s="849"/>
      <c r="K923" s="849"/>
    </row>
    <row r="924">
      <c r="A924" s="849"/>
      <c r="B924" s="849"/>
      <c r="C924" s="849"/>
      <c r="D924" s="849"/>
      <c r="E924" s="849"/>
      <c r="F924" s="849"/>
      <c r="G924" s="849"/>
      <c r="H924" s="849"/>
      <c r="I924" s="849"/>
      <c r="J924" s="849"/>
      <c r="K924" s="849"/>
    </row>
    <row r="925">
      <c r="A925" s="849"/>
      <c r="B925" s="849"/>
      <c r="C925" s="849"/>
      <c r="D925" s="849"/>
      <c r="E925" s="849"/>
      <c r="F925" s="849"/>
      <c r="G925" s="849"/>
      <c r="H925" s="849"/>
      <c r="I925" s="849"/>
      <c r="J925" s="849"/>
      <c r="K925" s="849"/>
    </row>
    <row r="926">
      <c r="A926" s="849"/>
      <c r="B926" s="849"/>
      <c r="C926" s="849"/>
      <c r="D926" s="849"/>
      <c r="E926" s="849"/>
      <c r="F926" s="849"/>
      <c r="G926" s="849"/>
      <c r="H926" s="849"/>
      <c r="I926" s="849"/>
      <c r="J926" s="849"/>
      <c r="K926" s="849"/>
    </row>
    <row r="927">
      <c r="A927" s="849"/>
      <c r="B927" s="849"/>
      <c r="C927" s="849"/>
      <c r="D927" s="849"/>
      <c r="E927" s="849"/>
      <c r="F927" s="849"/>
      <c r="G927" s="849"/>
      <c r="H927" s="849"/>
      <c r="I927" s="849"/>
      <c r="J927" s="849"/>
      <c r="K927" s="849"/>
    </row>
    <row r="928">
      <c r="A928" s="849"/>
      <c r="B928" s="849"/>
      <c r="C928" s="849"/>
      <c r="D928" s="849"/>
      <c r="E928" s="849"/>
      <c r="F928" s="849"/>
      <c r="G928" s="849"/>
      <c r="H928" s="849"/>
      <c r="I928" s="849"/>
      <c r="J928" s="849"/>
      <c r="K928" s="849"/>
    </row>
    <row r="929">
      <c r="A929" s="849"/>
      <c r="B929" s="849"/>
      <c r="C929" s="849"/>
      <c r="D929" s="849"/>
      <c r="E929" s="849"/>
      <c r="F929" s="849"/>
      <c r="G929" s="849"/>
      <c r="H929" s="849"/>
      <c r="I929" s="849"/>
      <c r="J929" s="849"/>
      <c r="K929" s="849"/>
    </row>
    <row r="930">
      <c r="A930" s="849"/>
      <c r="B930" s="849"/>
      <c r="C930" s="849"/>
      <c r="D930" s="849"/>
      <c r="E930" s="849"/>
      <c r="F930" s="849"/>
      <c r="G930" s="849"/>
      <c r="H930" s="849"/>
      <c r="I930" s="849"/>
      <c r="J930" s="849"/>
      <c r="K930" s="849"/>
    </row>
    <row r="931">
      <c r="A931" s="849"/>
      <c r="B931" s="849"/>
      <c r="C931" s="849"/>
      <c r="D931" s="849"/>
      <c r="E931" s="849"/>
      <c r="F931" s="849"/>
      <c r="G931" s="849"/>
      <c r="H931" s="849"/>
      <c r="I931" s="849"/>
      <c r="J931" s="849"/>
      <c r="K931" s="849"/>
    </row>
    <row r="932">
      <c r="A932" s="849"/>
      <c r="B932" s="849"/>
      <c r="C932" s="849"/>
      <c r="D932" s="849"/>
      <c r="E932" s="849"/>
      <c r="F932" s="849"/>
      <c r="G932" s="849"/>
      <c r="H932" s="849"/>
      <c r="I932" s="849"/>
      <c r="J932" s="849"/>
      <c r="K932" s="849"/>
    </row>
    <row r="933">
      <c r="A933" s="849"/>
      <c r="B933" s="849"/>
      <c r="C933" s="849"/>
      <c r="D933" s="849"/>
      <c r="E933" s="849"/>
      <c r="F933" s="849"/>
      <c r="G933" s="849"/>
      <c r="H933" s="849"/>
      <c r="I933" s="849"/>
      <c r="J933" s="849"/>
      <c r="K933" s="849"/>
    </row>
    <row r="934">
      <c r="A934" s="849"/>
      <c r="B934" s="849"/>
      <c r="C934" s="849"/>
      <c r="D934" s="849"/>
      <c r="E934" s="849"/>
      <c r="F934" s="849"/>
      <c r="G934" s="849"/>
      <c r="H934" s="849"/>
      <c r="I934" s="849"/>
      <c r="J934" s="849"/>
      <c r="K934" s="849"/>
    </row>
    <row r="935">
      <c r="A935" s="849"/>
      <c r="B935" s="849"/>
      <c r="C935" s="849"/>
      <c r="D935" s="849"/>
      <c r="E935" s="849"/>
      <c r="F935" s="849"/>
      <c r="G935" s="849"/>
      <c r="H935" s="849"/>
      <c r="I935" s="849"/>
      <c r="J935" s="849"/>
      <c r="K935" s="849"/>
    </row>
    <row r="936">
      <c r="A936" s="849"/>
      <c r="B936" s="849"/>
      <c r="C936" s="849"/>
      <c r="D936" s="849"/>
      <c r="E936" s="849"/>
      <c r="F936" s="849"/>
      <c r="G936" s="849"/>
      <c r="H936" s="849"/>
      <c r="I936" s="849"/>
      <c r="J936" s="849"/>
      <c r="K936" s="849"/>
    </row>
    <row r="937">
      <c r="A937" s="849"/>
      <c r="B937" s="849"/>
      <c r="C937" s="849"/>
      <c r="D937" s="849"/>
      <c r="E937" s="849"/>
      <c r="F937" s="849"/>
      <c r="G937" s="849"/>
      <c r="H937" s="849"/>
      <c r="I937" s="849"/>
      <c r="J937" s="849"/>
      <c r="K937" s="849"/>
    </row>
    <row r="938">
      <c r="A938" s="849"/>
      <c r="B938" s="849"/>
      <c r="C938" s="849"/>
      <c r="D938" s="849"/>
      <c r="E938" s="849"/>
      <c r="F938" s="849"/>
      <c r="G938" s="849"/>
      <c r="H938" s="849"/>
      <c r="I938" s="849"/>
      <c r="J938" s="849"/>
      <c r="K938" s="849"/>
    </row>
    <row r="939">
      <c r="A939" s="849"/>
      <c r="B939" s="849"/>
      <c r="C939" s="849"/>
      <c r="D939" s="849"/>
      <c r="E939" s="849"/>
      <c r="F939" s="849"/>
      <c r="G939" s="849"/>
      <c r="H939" s="849"/>
      <c r="I939" s="849"/>
      <c r="J939" s="849"/>
      <c r="K939" s="849"/>
    </row>
    <row r="940">
      <c r="A940" s="849"/>
      <c r="B940" s="849"/>
      <c r="C940" s="849"/>
      <c r="D940" s="849"/>
      <c r="E940" s="849"/>
      <c r="F940" s="849"/>
      <c r="G940" s="849"/>
      <c r="H940" s="849"/>
      <c r="I940" s="849"/>
      <c r="J940" s="849"/>
      <c r="K940" s="849"/>
    </row>
    <row r="941">
      <c r="A941" s="849"/>
      <c r="B941" s="849"/>
      <c r="C941" s="849"/>
      <c r="D941" s="849"/>
      <c r="E941" s="849"/>
      <c r="F941" s="849"/>
      <c r="G941" s="849"/>
      <c r="H941" s="849"/>
      <c r="I941" s="849"/>
      <c r="J941" s="849"/>
      <c r="K941" s="849"/>
    </row>
    <row r="942">
      <c r="A942" s="849"/>
      <c r="B942" s="849"/>
      <c r="C942" s="849"/>
      <c r="D942" s="849"/>
      <c r="E942" s="849"/>
      <c r="F942" s="849"/>
      <c r="G942" s="849"/>
      <c r="H942" s="849"/>
      <c r="I942" s="849"/>
      <c r="J942" s="849"/>
      <c r="K942" s="849"/>
    </row>
    <row r="943">
      <c r="A943" s="849"/>
      <c r="B943" s="849"/>
      <c r="C943" s="849"/>
      <c r="D943" s="849"/>
      <c r="E943" s="849"/>
      <c r="F943" s="849"/>
      <c r="G943" s="849"/>
      <c r="H943" s="849"/>
      <c r="I943" s="849"/>
      <c r="J943" s="849"/>
      <c r="K943" s="849"/>
    </row>
    <row r="944">
      <c r="A944" s="849"/>
      <c r="B944" s="849"/>
      <c r="C944" s="849"/>
      <c r="D944" s="849"/>
      <c r="E944" s="849"/>
      <c r="F944" s="849"/>
      <c r="G944" s="849"/>
      <c r="H944" s="849"/>
      <c r="I944" s="849"/>
      <c r="J944" s="849"/>
      <c r="K944" s="849"/>
    </row>
    <row r="945">
      <c r="A945" s="849"/>
      <c r="B945" s="849"/>
      <c r="C945" s="849"/>
      <c r="D945" s="849"/>
      <c r="E945" s="849"/>
      <c r="F945" s="849"/>
      <c r="G945" s="849"/>
      <c r="H945" s="849"/>
      <c r="I945" s="849"/>
      <c r="J945" s="849"/>
      <c r="K945" s="849"/>
    </row>
    <row r="946">
      <c r="A946" s="849"/>
      <c r="B946" s="849"/>
      <c r="C946" s="849"/>
      <c r="D946" s="849"/>
      <c r="E946" s="849"/>
      <c r="F946" s="849"/>
      <c r="G946" s="849"/>
      <c r="H946" s="849"/>
      <c r="I946" s="849"/>
      <c r="J946" s="849"/>
      <c r="K946" s="849"/>
    </row>
    <row r="947">
      <c r="A947" s="849"/>
      <c r="B947" s="849"/>
      <c r="C947" s="849"/>
      <c r="D947" s="849"/>
      <c r="E947" s="849"/>
      <c r="F947" s="849"/>
      <c r="G947" s="849"/>
      <c r="H947" s="849"/>
      <c r="I947" s="849"/>
      <c r="J947" s="849"/>
      <c r="K947" s="849"/>
    </row>
    <row r="948">
      <c r="A948" s="849"/>
      <c r="B948" s="849"/>
      <c r="C948" s="849"/>
      <c r="D948" s="849"/>
      <c r="E948" s="849"/>
      <c r="F948" s="849"/>
      <c r="G948" s="849"/>
      <c r="H948" s="849"/>
      <c r="I948" s="849"/>
      <c r="J948" s="849"/>
      <c r="K948" s="849"/>
    </row>
    <row r="949">
      <c r="A949" s="849"/>
      <c r="B949" s="849"/>
      <c r="C949" s="849"/>
      <c r="D949" s="849"/>
      <c r="E949" s="849"/>
      <c r="F949" s="849"/>
      <c r="G949" s="849"/>
      <c r="H949" s="849"/>
      <c r="I949" s="849"/>
      <c r="J949" s="849"/>
      <c r="K949" s="849"/>
    </row>
    <row r="950">
      <c r="A950" s="849"/>
      <c r="B950" s="849"/>
      <c r="C950" s="849"/>
      <c r="D950" s="849"/>
      <c r="E950" s="849"/>
      <c r="F950" s="849"/>
      <c r="G950" s="849"/>
      <c r="H950" s="849"/>
      <c r="I950" s="849"/>
      <c r="J950" s="849"/>
      <c r="K950" s="849"/>
    </row>
    <row r="951">
      <c r="A951" s="849"/>
      <c r="B951" s="849"/>
      <c r="C951" s="849"/>
      <c r="D951" s="849"/>
      <c r="E951" s="849"/>
      <c r="F951" s="849"/>
      <c r="G951" s="849"/>
      <c r="H951" s="849"/>
      <c r="I951" s="849"/>
      <c r="J951" s="849"/>
      <c r="K951" s="849"/>
    </row>
    <row r="952">
      <c r="A952" s="849"/>
      <c r="B952" s="849"/>
      <c r="C952" s="849"/>
      <c r="D952" s="849"/>
      <c r="E952" s="849"/>
      <c r="F952" s="849"/>
      <c r="G952" s="849"/>
      <c r="H952" s="849"/>
      <c r="I952" s="849"/>
      <c r="J952" s="849"/>
      <c r="K952" s="849"/>
    </row>
    <row r="953">
      <c r="A953" s="849"/>
      <c r="B953" s="849"/>
      <c r="C953" s="849"/>
      <c r="D953" s="849"/>
      <c r="E953" s="849"/>
      <c r="F953" s="849"/>
      <c r="G953" s="849"/>
      <c r="H953" s="849"/>
      <c r="I953" s="849"/>
      <c r="J953" s="849"/>
      <c r="K953" s="849"/>
    </row>
    <row r="954">
      <c r="A954" s="849"/>
      <c r="B954" s="849"/>
      <c r="C954" s="849"/>
      <c r="D954" s="849"/>
      <c r="E954" s="849"/>
      <c r="F954" s="849"/>
      <c r="G954" s="849"/>
      <c r="H954" s="849"/>
      <c r="I954" s="849"/>
      <c r="J954" s="849"/>
      <c r="K954" s="849"/>
    </row>
    <row r="955">
      <c r="A955" s="849"/>
      <c r="B955" s="849"/>
      <c r="C955" s="849"/>
      <c r="D955" s="849"/>
      <c r="E955" s="849"/>
      <c r="F955" s="849"/>
      <c r="G955" s="849"/>
      <c r="H955" s="849"/>
      <c r="I955" s="849"/>
      <c r="J955" s="849"/>
      <c r="K955" s="849"/>
    </row>
    <row r="956">
      <c r="A956" s="849"/>
      <c r="B956" s="849"/>
      <c r="C956" s="849"/>
      <c r="D956" s="849"/>
      <c r="E956" s="849"/>
      <c r="F956" s="849"/>
      <c r="G956" s="849"/>
      <c r="H956" s="849"/>
      <c r="I956" s="849"/>
      <c r="J956" s="849"/>
      <c r="K956" s="849"/>
    </row>
    <row r="957">
      <c r="A957" s="849"/>
      <c r="B957" s="849"/>
      <c r="C957" s="849"/>
      <c r="D957" s="849"/>
      <c r="E957" s="849"/>
      <c r="F957" s="849"/>
      <c r="G957" s="849"/>
      <c r="H957" s="849"/>
      <c r="I957" s="849"/>
      <c r="J957" s="849"/>
      <c r="K957" s="849"/>
    </row>
    <row r="958">
      <c r="A958" s="849"/>
      <c r="B958" s="849"/>
      <c r="C958" s="849"/>
      <c r="D958" s="849"/>
      <c r="E958" s="849"/>
      <c r="F958" s="849"/>
      <c r="G958" s="849"/>
      <c r="H958" s="849"/>
      <c r="I958" s="849"/>
      <c r="J958" s="849"/>
      <c r="K958" s="849"/>
    </row>
    <row r="959">
      <c r="A959" s="849"/>
      <c r="B959" s="849"/>
      <c r="C959" s="849"/>
      <c r="D959" s="849"/>
      <c r="E959" s="849"/>
      <c r="F959" s="849"/>
      <c r="G959" s="849"/>
      <c r="H959" s="849"/>
      <c r="I959" s="849"/>
      <c r="J959" s="849"/>
      <c r="K959" s="849"/>
    </row>
    <row r="960">
      <c r="A960" s="849"/>
      <c r="B960" s="849"/>
      <c r="C960" s="849"/>
      <c r="D960" s="849"/>
      <c r="E960" s="849"/>
      <c r="F960" s="849"/>
      <c r="G960" s="849"/>
      <c r="H960" s="849"/>
      <c r="I960" s="849"/>
      <c r="J960" s="849"/>
      <c r="K960" s="849"/>
    </row>
    <row r="961">
      <c r="A961" s="849"/>
      <c r="B961" s="849"/>
      <c r="C961" s="849"/>
      <c r="D961" s="849"/>
      <c r="E961" s="849"/>
      <c r="F961" s="849"/>
      <c r="G961" s="849"/>
      <c r="H961" s="849"/>
      <c r="I961" s="849"/>
      <c r="J961" s="849"/>
      <c r="K961" s="849"/>
    </row>
    <row r="962">
      <c r="A962" s="849"/>
      <c r="B962" s="849"/>
      <c r="C962" s="849"/>
      <c r="D962" s="849"/>
      <c r="E962" s="849"/>
      <c r="F962" s="849"/>
      <c r="G962" s="849"/>
      <c r="H962" s="849"/>
      <c r="I962" s="849"/>
      <c r="J962" s="849"/>
      <c r="K962" s="849"/>
    </row>
    <row r="963">
      <c r="A963" s="849"/>
      <c r="B963" s="849"/>
      <c r="C963" s="849"/>
      <c r="D963" s="849"/>
      <c r="E963" s="849"/>
      <c r="F963" s="849"/>
      <c r="G963" s="849"/>
      <c r="H963" s="849"/>
      <c r="I963" s="849"/>
      <c r="J963" s="849"/>
      <c r="K963" s="849"/>
    </row>
    <row r="964">
      <c r="A964" s="849"/>
      <c r="B964" s="849"/>
      <c r="C964" s="849"/>
      <c r="D964" s="849"/>
      <c r="E964" s="849"/>
      <c r="F964" s="849"/>
      <c r="G964" s="849"/>
      <c r="H964" s="849"/>
      <c r="I964" s="849"/>
      <c r="J964" s="849"/>
      <c r="K964" s="849"/>
    </row>
    <row r="965">
      <c r="A965" s="849"/>
      <c r="B965" s="849"/>
      <c r="C965" s="849"/>
      <c r="D965" s="849"/>
      <c r="E965" s="849"/>
      <c r="F965" s="849"/>
      <c r="G965" s="849"/>
      <c r="H965" s="849"/>
      <c r="I965" s="849"/>
      <c r="J965" s="849"/>
      <c r="K965" s="849"/>
    </row>
    <row r="966">
      <c r="A966" s="849"/>
      <c r="B966" s="849"/>
      <c r="C966" s="849"/>
      <c r="D966" s="849"/>
      <c r="E966" s="849"/>
      <c r="F966" s="849"/>
      <c r="G966" s="849"/>
      <c r="H966" s="849"/>
      <c r="I966" s="849"/>
      <c r="J966" s="849"/>
      <c r="K966" s="849"/>
    </row>
    <row r="967">
      <c r="A967" s="849"/>
      <c r="B967" s="849"/>
      <c r="C967" s="849"/>
      <c r="D967" s="849"/>
      <c r="E967" s="849"/>
      <c r="F967" s="849"/>
      <c r="G967" s="849"/>
      <c r="H967" s="849"/>
      <c r="I967" s="849"/>
      <c r="J967" s="849"/>
      <c r="K967" s="849"/>
    </row>
    <row r="968">
      <c r="A968" s="849"/>
      <c r="B968" s="849"/>
      <c r="C968" s="849"/>
      <c r="D968" s="849"/>
      <c r="E968" s="849"/>
      <c r="F968" s="849"/>
      <c r="G968" s="849"/>
      <c r="H968" s="849"/>
      <c r="I968" s="849"/>
      <c r="J968" s="849"/>
      <c r="K968" s="849"/>
    </row>
    <row r="969">
      <c r="A969" s="849"/>
      <c r="B969" s="849"/>
      <c r="C969" s="849"/>
      <c r="D969" s="849"/>
      <c r="E969" s="849"/>
      <c r="F969" s="849"/>
      <c r="G969" s="849"/>
      <c r="H969" s="849"/>
      <c r="I969" s="849"/>
      <c r="J969" s="849"/>
      <c r="K969" s="849"/>
    </row>
    <row r="970">
      <c r="A970" s="849"/>
      <c r="B970" s="849"/>
      <c r="C970" s="849"/>
      <c r="D970" s="849"/>
      <c r="E970" s="849"/>
      <c r="F970" s="849"/>
      <c r="G970" s="849"/>
      <c r="H970" s="849"/>
      <c r="I970" s="849"/>
      <c r="J970" s="849"/>
      <c r="K970" s="849"/>
    </row>
    <row r="971">
      <c r="A971" s="849"/>
      <c r="B971" s="849"/>
      <c r="C971" s="849"/>
      <c r="D971" s="849"/>
      <c r="E971" s="849"/>
      <c r="F971" s="849"/>
      <c r="G971" s="849"/>
      <c r="H971" s="849"/>
      <c r="I971" s="849"/>
      <c r="J971" s="849"/>
      <c r="K971" s="849"/>
    </row>
    <row r="972">
      <c r="A972" s="849"/>
      <c r="B972" s="849"/>
      <c r="C972" s="849"/>
      <c r="D972" s="849"/>
      <c r="E972" s="849"/>
      <c r="F972" s="849"/>
      <c r="G972" s="849"/>
      <c r="H972" s="849"/>
      <c r="I972" s="849"/>
      <c r="J972" s="849"/>
      <c r="K972" s="849"/>
    </row>
    <row r="973">
      <c r="A973" s="849"/>
      <c r="B973" s="849"/>
      <c r="C973" s="849"/>
      <c r="D973" s="849"/>
      <c r="E973" s="849"/>
      <c r="F973" s="849"/>
      <c r="G973" s="849"/>
      <c r="H973" s="849"/>
      <c r="I973" s="849"/>
      <c r="J973" s="849"/>
      <c r="K973" s="849"/>
    </row>
    <row r="974">
      <c r="A974" s="849"/>
      <c r="B974" s="849"/>
      <c r="C974" s="849"/>
      <c r="D974" s="849"/>
      <c r="E974" s="849"/>
      <c r="F974" s="849"/>
      <c r="G974" s="849"/>
      <c r="H974" s="849"/>
      <c r="I974" s="849"/>
      <c r="J974" s="849"/>
      <c r="K974" s="849"/>
    </row>
    <row r="975">
      <c r="A975" s="849"/>
      <c r="B975" s="849"/>
      <c r="C975" s="849"/>
      <c r="D975" s="849"/>
      <c r="E975" s="849"/>
      <c r="F975" s="849"/>
      <c r="G975" s="849"/>
      <c r="H975" s="849"/>
      <c r="I975" s="849"/>
      <c r="J975" s="849"/>
      <c r="K975" s="849"/>
    </row>
    <row r="976">
      <c r="A976" s="849"/>
      <c r="B976" s="849"/>
      <c r="C976" s="849"/>
      <c r="D976" s="849"/>
      <c r="E976" s="849"/>
      <c r="F976" s="849"/>
      <c r="G976" s="849"/>
      <c r="H976" s="849"/>
      <c r="I976" s="849"/>
      <c r="J976" s="849"/>
      <c r="K976" s="849"/>
    </row>
    <row r="977">
      <c r="A977" s="849"/>
      <c r="B977" s="849"/>
      <c r="C977" s="849"/>
      <c r="D977" s="849"/>
      <c r="E977" s="849"/>
      <c r="F977" s="849"/>
      <c r="G977" s="849"/>
      <c r="H977" s="849"/>
      <c r="I977" s="849"/>
      <c r="J977" s="849"/>
      <c r="K977" s="849"/>
    </row>
    <row r="978">
      <c r="A978" s="849"/>
      <c r="B978" s="849"/>
      <c r="C978" s="849"/>
      <c r="D978" s="849"/>
      <c r="E978" s="849"/>
      <c r="F978" s="849"/>
      <c r="G978" s="849"/>
      <c r="H978" s="849"/>
      <c r="I978" s="849"/>
      <c r="J978" s="849"/>
      <c r="K978" s="849"/>
    </row>
    <row r="979">
      <c r="A979" s="849"/>
      <c r="B979" s="849"/>
      <c r="C979" s="849"/>
      <c r="D979" s="849"/>
      <c r="E979" s="849"/>
      <c r="F979" s="849"/>
      <c r="G979" s="849"/>
      <c r="H979" s="849"/>
      <c r="I979" s="849"/>
      <c r="J979" s="849"/>
      <c r="K979" s="849"/>
    </row>
    <row r="980">
      <c r="A980" s="849"/>
      <c r="B980" s="849"/>
      <c r="C980" s="849"/>
      <c r="D980" s="849"/>
      <c r="E980" s="849"/>
      <c r="F980" s="849"/>
      <c r="G980" s="849"/>
      <c r="H980" s="849"/>
      <c r="I980" s="849"/>
      <c r="J980" s="849"/>
      <c r="K980" s="849"/>
    </row>
    <row r="981">
      <c r="A981" s="849"/>
      <c r="B981" s="849"/>
      <c r="C981" s="849"/>
      <c r="D981" s="849"/>
      <c r="E981" s="849"/>
      <c r="F981" s="849"/>
      <c r="G981" s="849"/>
      <c r="H981" s="849"/>
      <c r="I981" s="849"/>
      <c r="J981" s="849"/>
      <c r="K981" s="849"/>
    </row>
    <row r="982">
      <c r="A982" s="849"/>
      <c r="B982" s="849"/>
      <c r="C982" s="849"/>
      <c r="D982" s="849"/>
      <c r="E982" s="849"/>
      <c r="F982" s="849"/>
      <c r="G982" s="849"/>
      <c r="H982" s="849"/>
      <c r="I982" s="849"/>
      <c r="J982" s="849"/>
      <c r="K982" s="849"/>
    </row>
    <row r="983">
      <c r="A983" s="849"/>
      <c r="B983" s="849"/>
      <c r="C983" s="849"/>
      <c r="D983" s="849"/>
      <c r="E983" s="849"/>
      <c r="F983" s="849"/>
      <c r="G983" s="849"/>
      <c r="H983" s="849"/>
      <c r="I983" s="849"/>
      <c r="J983" s="849"/>
      <c r="K983" s="849"/>
    </row>
    <row r="984">
      <c r="A984" s="849"/>
      <c r="B984" s="849"/>
      <c r="C984" s="849"/>
      <c r="D984" s="849"/>
      <c r="E984" s="849"/>
      <c r="F984" s="849"/>
      <c r="G984" s="849"/>
      <c r="H984" s="849"/>
      <c r="I984" s="849"/>
      <c r="J984" s="849"/>
      <c r="K984" s="849"/>
    </row>
    <row r="985">
      <c r="A985" s="849"/>
      <c r="B985" s="849"/>
      <c r="C985" s="849"/>
      <c r="D985" s="849"/>
      <c r="E985" s="849"/>
      <c r="F985" s="849"/>
      <c r="G985" s="849"/>
      <c r="H985" s="849"/>
      <c r="I985" s="849"/>
      <c r="J985" s="849"/>
      <c r="K985" s="849"/>
    </row>
    <row r="986">
      <c r="A986" s="849"/>
      <c r="B986" s="849"/>
      <c r="C986" s="849"/>
      <c r="D986" s="849"/>
      <c r="E986" s="849"/>
      <c r="F986" s="849"/>
      <c r="G986" s="849"/>
      <c r="H986" s="849"/>
      <c r="I986" s="849"/>
      <c r="J986" s="849"/>
      <c r="K986" s="849"/>
    </row>
    <row r="987">
      <c r="A987" s="849"/>
      <c r="B987" s="849"/>
      <c r="C987" s="849"/>
      <c r="D987" s="849"/>
      <c r="E987" s="849"/>
      <c r="F987" s="849"/>
      <c r="G987" s="849"/>
      <c r="H987" s="849"/>
      <c r="I987" s="849"/>
      <c r="J987" s="849"/>
      <c r="K987" s="849"/>
    </row>
    <row r="988">
      <c r="A988" s="849"/>
      <c r="B988" s="849"/>
      <c r="C988" s="849"/>
      <c r="D988" s="849"/>
      <c r="E988" s="849"/>
      <c r="F988" s="849"/>
      <c r="G988" s="849"/>
      <c r="H988" s="849"/>
      <c r="I988" s="849"/>
      <c r="J988" s="849"/>
      <c r="K988" s="849"/>
    </row>
    <row r="989">
      <c r="A989" s="849"/>
      <c r="B989" s="849"/>
      <c r="C989" s="849"/>
      <c r="D989" s="849"/>
      <c r="E989" s="849"/>
      <c r="F989" s="849"/>
      <c r="G989" s="849"/>
      <c r="H989" s="849"/>
      <c r="I989" s="849"/>
      <c r="J989" s="849"/>
      <c r="K989" s="849"/>
    </row>
    <row r="990">
      <c r="A990" s="849"/>
      <c r="B990" s="849"/>
      <c r="C990" s="849"/>
      <c r="D990" s="849"/>
      <c r="E990" s="849"/>
      <c r="F990" s="849"/>
      <c r="G990" s="849"/>
      <c r="H990" s="849"/>
      <c r="I990" s="849"/>
      <c r="J990" s="849"/>
      <c r="K990" s="849"/>
    </row>
    <row r="991">
      <c r="A991" s="849"/>
      <c r="B991" s="849"/>
      <c r="C991" s="849"/>
      <c r="D991" s="849"/>
      <c r="E991" s="849"/>
      <c r="F991" s="849"/>
      <c r="G991" s="849"/>
      <c r="H991" s="849"/>
      <c r="I991" s="849"/>
      <c r="J991" s="849"/>
      <c r="K991" s="849"/>
    </row>
    <row r="992">
      <c r="A992" s="849"/>
      <c r="B992" s="849"/>
      <c r="C992" s="849"/>
      <c r="D992" s="849"/>
      <c r="E992" s="849"/>
      <c r="F992" s="849"/>
      <c r="G992" s="849"/>
      <c r="H992" s="849"/>
      <c r="I992" s="849"/>
      <c r="J992" s="849"/>
      <c r="K992" s="849"/>
    </row>
    <row r="993">
      <c r="A993" s="849"/>
      <c r="B993" s="849"/>
      <c r="C993" s="849"/>
      <c r="D993" s="849"/>
      <c r="E993" s="849"/>
      <c r="F993" s="849"/>
      <c r="G993" s="849"/>
      <c r="H993" s="849"/>
      <c r="I993" s="849"/>
      <c r="J993" s="849"/>
      <c r="K993" s="849"/>
    </row>
    <row r="994">
      <c r="A994" s="849"/>
      <c r="B994" s="849"/>
      <c r="C994" s="849"/>
      <c r="D994" s="849"/>
      <c r="E994" s="849"/>
      <c r="F994" s="849"/>
      <c r="G994" s="849"/>
      <c r="H994" s="849"/>
      <c r="I994" s="849"/>
      <c r="J994" s="849"/>
      <c r="K994" s="849"/>
    </row>
    <row r="995">
      <c r="A995" s="849"/>
      <c r="B995" s="849"/>
      <c r="C995" s="849"/>
      <c r="D995" s="849"/>
      <c r="E995" s="849"/>
      <c r="F995" s="849"/>
      <c r="G995" s="849"/>
      <c r="H995" s="849"/>
      <c r="I995" s="849"/>
      <c r="J995" s="849"/>
      <c r="K995" s="849"/>
    </row>
    <row r="996">
      <c r="A996" s="849"/>
      <c r="B996" s="849"/>
      <c r="C996" s="849"/>
      <c r="D996" s="849"/>
      <c r="E996" s="849"/>
      <c r="F996" s="849"/>
      <c r="G996" s="849"/>
      <c r="H996" s="849"/>
      <c r="I996" s="849"/>
      <c r="J996" s="849"/>
      <c r="K996" s="849"/>
    </row>
    <row r="997">
      <c r="A997" s="849"/>
      <c r="B997" s="849"/>
      <c r="C997" s="849"/>
      <c r="D997" s="849"/>
      <c r="E997" s="849"/>
      <c r="F997" s="849"/>
      <c r="G997" s="849"/>
      <c r="H997" s="849"/>
      <c r="I997" s="849"/>
      <c r="J997" s="849"/>
      <c r="K997" s="849"/>
    </row>
    <row r="998">
      <c r="A998" s="849"/>
      <c r="B998" s="849"/>
      <c r="C998" s="849"/>
      <c r="D998" s="849"/>
      <c r="E998" s="849"/>
      <c r="F998" s="849"/>
      <c r="G998" s="849"/>
      <c r="H998" s="849"/>
      <c r="I998" s="849"/>
      <c r="J998" s="849"/>
      <c r="K998" s="849"/>
    </row>
    <row r="999">
      <c r="A999" s="849"/>
      <c r="B999" s="849"/>
      <c r="C999" s="849"/>
      <c r="D999" s="849"/>
      <c r="E999" s="849"/>
      <c r="F999" s="849"/>
      <c r="G999" s="849"/>
      <c r="H999" s="849"/>
      <c r="I999" s="849"/>
      <c r="J999" s="849"/>
      <c r="K999" s="849"/>
    </row>
    <row r="1000">
      <c r="A1000" s="849"/>
      <c r="B1000" s="849"/>
      <c r="C1000" s="849"/>
      <c r="D1000" s="849"/>
      <c r="E1000" s="849"/>
      <c r="F1000" s="849"/>
      <c r="G1000" s="849"/>
      <c r="H1000" s="849"/>
      <c r="I1000" s="849"/>
      <c r="J1000" s="849"/>
      <c r="K1000" s="849"/>
    </row>
    <row r="1001">
      <c r="A1001" s="849"/>
      <c r="B1001" s="849"/>
      <c r="C1001" s="849"/>
      <c r="D1001" s="849"/>
      <c r="E1001" s="849"/>
      <c r="F1001" s="849"/>
      <c r="G1001" s="849"/>
      <c r="H1001" s="849"/>
      <c r="I1001" s="849"/>
      <c r="J1001" s="849"/>
      <c r="K1001" s="849"/>
    </row>
    <row r="1002">
      <c r="A1002" s="849"/>
      <c r="B1002" s="849"/>
      <c r="C1002" s="849"/>
      <c r="D1002" s="849"/>
      <c r="E1002" s="849"/>
      <c r="F1002" s="849"/>
      <c r="G1002" s="849"/>
      <c r="H1002" s="849"/>
      <c r="I1002" s="849"/>
      <c r="J1002" s="849"/>
      <c r="K1002" s="849"/>
    </row>
    <row r="1003">
      <c r="A1003" s="849"/>
      <c r="B1003" s="849"/>
      <c r="C1003" s="849"/>
      <c r="D1003" s="849"/>
      <c r="E1003" s="849"/>
      <c r="F1003" s="849"/>
      <c r="G1003" s="849"/>
      <c r="H1003" s="849"/>
      <c r="I1003" s="849"/>
      <c r="J1003" s="849"/>
      <c r="K1003" s="849"/>
    </row>
    <row r="1004">
      <c r="A1004" s="849"/>
      <c r="B1004" s="849"/>
      <c r="C1004" s="849"/>
      <c r="D1004" s="849"/>
      <c r="E1004" s="849"/>
      <c r="F1004" s="849"/>
      <c r="G1004" s="849"/>
      <c r="H1004" s="849"/>
      <c r="I1004" s="849"/>
      <c r="J1004" s="849"/>
      <c r="K1004" s="849"/>
    </row>
    <row r="1005">
      <c r="A1005" s="849"/>
      <c r="B1005" s="849"/>
      <c r="C1005" s="849"/>
      <c r="D1005" s="849"/>
      <c r="E1005" s="849"/>
      <c r="F1005" s="849"/>
      <c r="G1005" s="849"/>
      <c r="H1005" s="849"/>
      <c r="I1005" s="849"/>
      <c r="J1005" s="849"/>
      <c r="K1005" s="849"/>
    </row>
    <row r="1006">
      <c r="A1006" s="849"/>
      <c r="B1006" s="849"/>
      <c r="C1006" s="849"/>
      <c r="D1006" s="849"/>
      <c r="E1006" s="849"/>
      <c r="F1006" s="849"/>
      <c r="G1006" s="849"/>
      <c r="H1006" s="849"/>
      <c r="I1006" s="849"/>
      <c r="J1006" s="849"/>
      <c r="K1006" s="849"/>
    </row>
    <row r="1007">
      <c r="A1007" s="849"/>
      <c r="B1007" s="849"/>
      <c r="C1007" s="849"/>
      <c r="D1007" s="849"/>
      <c r="E1007" s="849"/>
      <c r="F1007" s="849"/>
      <c r="G1007" s="849"/>
      <c r="H1007" s="849"/>
      <c r="I1007" s="849"/>
      <c r="J1007" s="849"/>
      <c r="K1007" s="849"/>
    </row>
    <row r="1008">
      <c r="A1008" s="849"/>
      <c r="B1008" s="849"/>
      <c r="C1008" s="849"/>
      <c r="D1008" s="849"/>
      <c r="E1008" s="849"/>
      <c r="F1008" s="849"/>
      <c r="G1008" s="849"/>
      <c r="H1008" s="849"/>
      <c r="I1008" s="849"/>
      <c r="J1008" s="849"/>
      <c r="K1008" s="849"/>
    </row>
    <row r="1009">
      <c r="A1009" s="849"/>
      <c r="B1009" s="849"/>
      <c r="C1009" s="849"/>
      <c r="D1009" s="849"/>
      <c r="E1009" s="849"/>
      <c r="F1009" s="849"/>
      <c r="G1009" s="849"/>
      <c r="H1009" s="849"/>
      <c r="I1009" s="849"/>
      <c r="J1009" s="849"/>
      <c r="K1009" s="849"/>
    </row>
    <row r="1010">
      <c r="A1010" s="849"/>
      <c r="B1010" s="849"/>
      <c r="C1010" s="849"/>
      <c r="D1010" s="849"/>
      <c r="E1010" s="849"/>
      <c r="F1010" s="849"/>
      <c r="G1010" s="849"/>
      <c r="H1010" s="849"/>
      <c r="I1010" s="849"/>
      <c r="J1010" s="849"/>
      <c r="K1010" s="849"/>
    </row>
    <row r="1011">
      <c r="A1011" s="849"/>
      <c r="B1011" s="849"/>
      <c r="C1011" s="849"/>
      <c r="D1011" s="849"/>
      <c r="E1011" s="849"/>
      <c r="F1011" s="849"/>
      <c r="G1011" s="849"/>
      <c r="H1011" s="849"/>
      <c r="I1011" s="849"/>
      <c r="J1011" s="849"/>
      <c r="K1011" s="849"/>
    </row>
    <row r="1012">
      <c r="A1012" s="849"/>
      <c r="B1012" s="849"/>
      <c r="C1012" s="849"/>
      <c r="D1012" s="849"/>
      <c r="E1012" s="849"/>
      <c r="F1012" s="849"/>
      <c r="G1012" s="849"/>
      <c r="H1012" s="849"/>
      <c r="I1012" s="849"/>
      <c r="J1012" s="849"/>
      <c r="K1012" s="849"/>
    </row>
    <row r="1013">
      <c r="A1013" s="849"/>
      <c r="B1013" s="849"/>
      <c r="C1013" s="849"/>
      <c r="D1013" s="849"/>
      <c r="E1013" s="849"/>
      <c r="F1013" s="849"/>
      <c r="G1013" s="849"/>
      <c r="H1013" s="849"/>
      <c r="I1013" s="849"/>
      <c r="J1013" s="849"/>
      <c r="K1013" s="849"/>
    </row>
    <row r="1014">
      <c r="A1014" s="849"/>
      <c r="B1014" s="849"/>
      <c r="C1014" s="849"/>
      <c r="D1014" s="849"/>
      <c r="E1014" s="849"/>
      <c r="F1014" s="849"/>
      <c r="G1014" s="849"/>
      <c r="H1014" s="849"/>
      <c r="I1014" s="849"/>
      <c r="J1014" s="849"/>
      <c r="K1014" s="849"/>
    </row>
    <row r="1015">
      <c r="A1015" s="849"/>
      <c r="B1015" s="849"/>
      <c r="C1015" s="849"/>
      <c r="D1015" s="849"/>
      <c r="E1015" s="849"/>
      <c r="F1015" s="849"/>
      <c r="G1015" s="849"/>
      <c r="H1015" s="849"/>
      <c r="I1015" s="849"/>
      <c r="J1015" s="849"/>
      <c r="K1015" s="849"/>
    </row>
    <row r="1016">
      <c r="A1016" s="849"/>
      <c r="B1016" s="849"/>
      <c r="C1016" s="849"/>
      <c r="D1016" s="849"/>
      <c r="E1016" s="849"/>
      <c r="F1016" s="849"/>
      <c r="G1016" s="849"/>
      <c r="H1016" s="849"/>
      <c r="I1016" s="849"/>
      <c r="J1016" s="849"/>
      <c r="K1016" s="849"/>
    </row>
    <row r="1017">
      <c r="A1017" s="849"/>
      <c r="B1017" s="849"/>
      <c r="C1017" s="849"/>
      <c r="D1017" s="849"/>
      <c r="E1017" s="849"/>
      <c r="F1017" s="849"/>
      <c r="G1017" s="849"/>
      <c r="H1017" s="849"/>
      <c r="I1017" s="849"/>
      <c r="J1017" s="849"/>
      <c r="K1017" s="849"/>
    </row>
    <row r="1018">
      <c r="A1018" s="849"/>
      <c r="B1018" s="849"/>
      <c r="C1018" s="849"/>
      <c r="D1018" s="849"/>
      <c r="E1018" s="849"/>
      <c r="F1018" s="849"/>
      <c r="G1018" s="849"/>
      <c r="H1018" s="849"/>
      <c r="I1018" s="849"/>
      <c r="J1018" s="849"/>
      <c r="K1018" s="849"/>
    </row>
    <row r="1019">
      <c r="A1019" s="849"/>
      <c r="B1019" s="849"/>
      <c r="C1019" s="849"/>
      <c r="D1019" s="849"/>
      <c r="E1019" s="849"/>
      <c r="F1019" s="849"/>
      <c r="G1019" s="849"/>
      <c r="H1019" s="849"/>
      <c r="I1019" s="849"/>
      <c r="J1019" s="849"/>
      <c r="K1019" s="849"/>
    </row>
    <row r="1020">
      <c r="A1020" s="849"/>
      <c r="B1020" s="849"/>
      <c r="C1020" s="849"/>
      <c r="D1020" s="849"/>
      <c r="E1020" s="849"/>
      <c r="F1020" s="849"/>
      <c r="G1020" s="849"/>
      <c r="H1020" s="849"/>
      <c r="I1020" s="849"/>
      <c r="J1020" s="849"/>
      <c r="K1020" s="849"/>
    </row>
    <row r="1021">
      <c r="A1021" s="849"/>
      <c r="B1021" s="849"/>
      <c r="C1021" s="849"/>
      <c r="D1021" s="849"/>
      <c r="E1021" s="849"/>
      <c r="F1021" s="849"/>
      <c r="G1021" s="849"/>
      <c r="H1021" s="849"/>
      <c r="I1021" s="849"/>
      <c r="J1021" s="849"/>
      <c r="K1021" s="849"/>
    </row>
    <row r="1022">
      <c r="A1022" s="849"/>
      <c r="B1022" s="849"/>
      <c r="C1022" s="849"/>
      <c r="D1022" s="849"/>
      <c r="E1022" s="849"/>
      <c r="F1022" s="849"/>
      <c r="G1022" s="849"/>
      <c r="H1022" s="849"/>
      <c r="I1022" s="849"/>
      <c r="J1022" s="849"/>
      <c r="K1022" s="849"/>
    </row>
    <row r="1023">
      <c r="A1023" s="849"/>
      <c r="B1023" s="849"/>
      <c r="C1023" s="849"/>
      <c r="D1023" s="849"/>
      <c r="E1023" s="849"/>
      <c r="F1023" s="849"/>
      <c r="G1023" s="849"/>
      <c r="H1023" s="849"/>
      <c r="I1023" s="849"/>
      <c r="J1023" s="849"/>
      <c r="K1023" s="849"/>
    </row>
    <row r="1024">
      <c r="A1024" s="849"/>
      <c r="B1024" s="849"/>
      <c r="C1024" s="849"/>
      <c r="D1024" s="849"/>
      <c r="E1024" s="849"/>
      <c r="F1024" s="849"/>
      <c r="G1024" s="849"/>
      <c r="H1024" s="849"/>
      <c r="I1024" s="849"/>
      <c r="J1024" s="849"/>
      <c r="K1024" s="849"/>
    </row>
    <row r="1025">
      <c r="A1025" s="849"/>
      <c r="B1025" s="849"/>
      <c r="C1025" s="849"/>
      <c r="D1025" s="849"/>
      <c r="E1025" s="849"/>
      <c r="F1025" s="849"/>
      <c r="G1025" s="849"/>
      <c r="H1025" s="849"/>
      <c r="I1025" s="849"/>
      <c r="J1025" s="849"/>
      <c r="K1025" s="849"/>
    </row>
    <row r="1026">
      <c r="A1026" s="849"/>
      <c r="B1026" s="849"/>
      <c r="C1026" s="849"/>
      <c r="D1026" s="849"/>
      <c r="E1026" s="849"/>
      <c r="F1026" s="849"/>
      <c r="G1026" s="849"/>
      <c r="H1026" s="849"/>
      <c r="I1026" s="849"/>
      <c r="J1026" s="849"/>
      <c r="K1026" s="849"/>
    </row>
    <row r="1027">
      <c r="A1027" s="849"/>
      <c r="B1027" s="849"/>
      <c r="C1027" s="849"/>
      <c r="D1027" s="849"/>
      <c r="E1027" s="849"/>
      <c r="F1027" s="849"/>
      <c r="G1027" s="849"/>
      <c r="H1027" s="849"/>
      <c r="I1027" s="849"/>
      <c r="J1027" s="849"/>
      <c r="K1027" s="849"/>
    </row>
    <row r="1028">
      <c r="A1028" s="849"/>
      <c r="B1028" s="849"/>
      <c r="C1028" s="849"/>
      <c r="D1028" s="849"/>
      <c r="E1028" s="849"/>
      <c r="F1028" s="849"/>
      <c r="G1028" s="849"/>
      <c r="H1028" s="849"/>
      <c r="I1028" s="849"/>
      <c r="J1028" s="849"/>
      <c r="K1028" s="849"/>
    </row>
  </sheetData>
  <mergeCells count="54">
    <mergeCell ref="A1:K1"/>
    <mergeCell ref="A2:B2"/>
    <mergeCell ref="D2:E2"/>
    <mergeCell ref="H2:I2"/>
    <mergeCell ref="A3:E3"/>
    <mergeCell ref="J3:K3"/>
    <mergeCell ref="J4:K4"/>
    <mergeCell ref="G3:I3"/>
    <mergeCell ref="G4:I4"/>
    <mergeCell ref="G5:I5"/>
    <mergeCell ref="J5:K5"/>
    <mergeCell ref="G6:I6"/>
    <mergeCell ref="J6:K6"/>
    <mergeCell ref="J7:K7"/>
    <mergeCell ref="G7:I7"/>
    <mergeCell ref="G8:I8"/>
    <mergeCell ref="J8:K8"/>
    <mergeCell ref="G9:I9"/>
    <mergeCell ref="J9:K9"/>
    <mergeCell ref="A11:K11"/>
    <mergeCell ref="A12:K12"/>
    <mergeCell ref="A4:E4"/>
    <mergeCell ref="A5:E5"/>
    <mergeCell ref="A6:E6"/>
    <mergeCell ref="A7:E7"/>
    <mergeCell ref="A8:E8"/>
    <mergeCell ref="A9:E9"/>
    <mergeCell ref="D10:E10"/>
    <mergeCell ref="G22:K22"/>
    <mergeCell ref="G23:K23"/>
    <mergeCell ref="G24:K24"/>
    <mergeCell ref="G25:K25"/>
    <mergeCell ref="G26:K26"/>
    <mergeCell ref="G27:K27"/>
    <mergeCell ref="G28:K28"/>
    <mergeCell ref="J10:K10"/>
    <mergeCell ref="G15:K15"/>
    <mergeCell ref="G17:K17"/>
    <mergeCell ref="G18:K18"/>
    <mergeCell ref="G19:K19"/>
    <mergeCell ref="G20:K20"/>
    <mergeCell ref="G21:K21"/>
    <mergeCell ref="A24:E24"/>
    <mergeCell ref="A25:E25"/>
    <mergeCell ref="A26:E26"/>
    <mergeCell ref="A27:E27"/>
    <mergeCell ref="A28:E28"/>
    <mergeCell ref="A15:E15"/>
    <mergeCell ref="A17:E17"/>
    <mergeCell ref="A19:E19"/>
    <mergeCell ref="A20:E20"/>
    <mergeCell ref="A21:E21"/>
    <mergeCell ref="A22:E22"/>
    <mergeCell ref="A23:E23"/>
  </mergeCells>
  <conditionalFormatting sqref="C2 G2 J2">
    <cfRule type="cellIs" dxfId="16" priority="1" operator="greaterThan">
      <formula>100</formula>
    </cfRule>
  </conditionalFormatting>
  <conditionalFormatting sqref="C2 G2 J2">
    <cfRule type="cellIs" dxfId="17" priority="2" operator="greaterThanOrEqual">
      <formula>7</formula>
    </cfRule>
  </conditionalFormatting>
  <hyperlinks>
    <hyperlink r:id="rId1" ref="G4"/>
    <hyperlink r:id="rId2" ref="J4"/>
    <hyperlink r:id="rId3" ref="G5"/>
    <hyperlink r:id="rId4" location="gid=938104495" ref="J5"/>
    <hyperlink r:id="rId5" ref="G6"/>
    <hyperlink r:id="rId6" ref="J6"/>
    <hyperlink r:id="rId7" ref="J7"/>
    <hyperlink r:id="rId8" ref="G8"/>
    <hyperlink r:id="rId9" location="gid=1597178412" ref="J8"/>
    <hyperlink r:id="rId10" ref="J9"/>
  </hyperlinks>
  <printOptions gridLines="1" horizontalCentered="1"/>
  <pageMargins bottom="0.75" footer="0.0" header="0.0" left="0.7" right="0.7" top="0.75"/>
  <pageSetup fitToHeight="0" cellComments="atEnd" orientation="landscape" pageOrder="overThenDown"/>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5.88"/>
    <col customWidth="1" min="3" max="3" width="18.88"/>
    <col customWidth="1" min="4" max="4" width="52.0"/>
    <col customWidth="1" min="5" max="5" width="25.88"/>
  </cols>
  <sheetData>
    <row r="1">
      <c r="A1" s="886" t="s">
        <v>1142</v>
      </c>
      <c r="B1" s="887" t="s">
        <v>25</v>
      </c>
      <c r="C1" s="887" t="s">
        <v>5754</v>
      </c>
      <c r="D1" s="887" t="s">
        <v>5756</v>
      </c>
      <c r="E1" s="887" t="s">
        <v>5759</v>
      </c>
      <c r="F1" s="886" t="s">
        <v>5760</v>
      </c>
      <c r="G1" s="886" t="s">
        <v>5761</v>
      </c>
      <c r="H1" s="886" t="s">
        <v>5762</v>
      </c>
    </row>
    <row r="2">
      <c r="A2" s="888"/>
      <c r="B2" s="31" t="s">
        <v>34</v>
      </c>
      <c r="F2" s="889">
        <v>45639.0</v>
      </c>
      <c r="G2" s="889">
        <v>45322.0</v>
      </c>
      <c r="H2" s="889">
        <v>45328.0</v>
      </c>
    </row>
    <row r="3">
      <c r="A3" s="31" t="s">
        <v>5768</v>
      </c>
      <c r="B3" s="31" t="s">
        <v>114</v>
      </c>
      <c r="C3" s="31" t="s">
        <v>5769</v>
      </c>
      <c r="F3" s="31" t="s">
        <v>5770</v>
      </c>
    </row>
    <row r="4">
      <c r="A4" s="31" t="s">
        <v>175</v>
      </c>
      <c r="B4" s="31" t="s">
        <v>114</v>
      </c>
      <c r="C4" s="31" t="s">
        <v>5771</v>
      </c>
      <c r="D4" s="31" t="s">
        <v>5773</v>
      </c>
      <c r="F4" s="31" t="s">
        <v>5774</v>
      </c>
    </row>
    <row r="5">
      <c r="A5" s="31" t="s">
        <v>5776</v>
      </c>
      <c r="B5" s="31" t="s">
        <v>114</v>
      </c>
      <c r="C5" s="31" t="s">
        <v>5778</v>
      </c>
      <c r="F5" s="889">
        <v>45668.0</v>
      </c>
      <c r="G5" s="889">
        <v>45689.0</v>
      </c>
    </row>
    <row r="6">
      <c r="A6" s="31" t="s">
        <v>5779</v>
      </c>
      <c r="B6" s="31" t="s">
        <v>114</v>
      </c>
      <c r="C6" s="31" t="s">
        <v>5769</v>
      </c>
      <c r="F6" s="889">
        <v>45666.0</v>
      </c>
      <c r="G6" s="889">
        <v>45681.0</v>
      </c>
      <c r="H6" s="889">
        <v>45691.0</v>
      </c>
      <c r="I6" s="889">
        <v>45698.0</v>
      </c>
    </row>
    <row r="7">
      <c r="A7" s="31" t="s">
        <v>1205</v>
      </c>
      <c r="B7" s="31" t="s">
        <v>114</v>
      </c>
      <c r="C7" s="31" t="s">
        <v>5771</v>
      </c>
      <c r="F7" s="889">
        <v>45699.0</v>
      </c>
    </row>
    <row r="8">
      <c r="A8" s="31" t="s">
        <v>293</v>
      </c>
      <c r="B8" s="31" t="s">
        <v>114</v>
      </c>
      <c r="C8" s="31" t="s">
        <v>5771</v>
      </c>
      <c r="F8" s="31" t="s">
        <v>5782</v>
      </c>
    </row>
    <row r="9">
      <c r="A9" s="31" t="s">
        <v>2365</v>
      </c>
      <c r="B9" s="31" t="s">
        <v>114</v>
      </c>
      <c r="C9" s="31" t="s">
        <v>5771</v>
      </c>
      <c r="F9" s="31" t="s">
        <v>5784</v>
      </c>
    </row>
    <row r="10">
      <c r="A10" s="31" t="s">
        <v>633</v>
      </c>
      <c r="B10" s="31" t="s">
        <v>114</v>
      </c>
      <c r="C10" s="31" t="s">
        <v>5771</v>
      </c>
      <c r="F10" s="889">
        <v>45329.0</v>
      </c>
    </row>
    <row r="11">
      <c r="A11" s="31" t="s">
        <v>1802</v>
      </c>
      <c r="B11" s="31" t="s">
        <v>114</v>
      </c>
      <c r="F11" s="889">
        <v>45702.0</v>
      </c>
      <c r="G11" s="889">
        <v>45709.0</v>
      </c>
    </row>
    <row r="12">
      <c r="A12" s="31" t="s">
        <v>713</v>
      </c>
      <c r="B12" s="31" t="s">
        <v>366</v>
      </c>
      <c r="C12" s="31" t="s">
        <v>5771</v>
      </c>
      <c r="F12" s="889">
        <v>45702.0</v>
      </c>
      <c r="G12" s="889">
        <v>45709.0</v>
      </c>
    </row>
    <row r="13">
      <c r="A13" s="890" t="s">
        <v>4152</v>
      </c>
      <c r="I13" s="31" t="s">
        <v>5793</v>
      </c>
    </row>
    <row r="14">
      <c r="A14" s="31" t="s">
        <v>1173</v>
      </c>
      <c r="B14" s="31" t="s">
        <v>579</v>
      </c>
      <c r="C14" s="31" t="s">
        <v>5771</v>
      </c>
      <c r="F14" s="889">
        <v>45709.0</v>
      </c>
    </row>
    <row r="15">
      <c r="A15" s="31" t="s">
        <v>1766</v>
      </c>
      <c r="B15" s="31" t="s">
        <v>656</v>
      </c>
      <c r="E15" s="31" t="s">
        <v>3808</v>
      </c>
      <c r="F15" s="889">
        <v>45335.0</v>
      </c>
    </row>
    <row r="16">
      <c r="A16" s="31" t="s">
        <v>2151</v>
      </c>
      <c r="B16" s="31" t="s">
        <v>656</v>
      </c>
      <c r="C16" s="31" t="s">
        <v>5771</v>
      </c>
      <c r="E16" s="31"/>
      <c r="F16" s="889">
        <v>45695.0</v>
      </c>
    </row>
    <row r="17">
      <c r="A17" s="31" t="s">
        <v>5797</v>
      </c>
      <c r="B17" s="31" t="s">
        <v>656</v>
      </c>
      <c r="F17" s="889">
        <v>45322.0</v>
      </c>
      <c r="G17" s="889">
        <v>45327.0</v>
      </c>
      <c r="I17" s="886"/>
    </row>
    <row r="18">
      <c r="A18" s="31" t="s">
        <v>5799</v>
      </c>
      <c r="B18" s="31" t="s">
        <v>735</v>
      </c>
      <c r="C18" s="31" t="s">
        <v>5771</v>
      </c>
      <c r="E18" s="31" t="s">
        <v>5801</v>
      </c>
      <c r="F18" s="891" t="s">
        <v>5803</v>
      </c>
    </row>
    <row r="19">
      <c r="A19" s="31" t="s">
        <v>1561</v>
      </c>
      <c r="B19" s="31" t="s">
        <v>770</v>
      </c>
      <c r="C19" s="31" t="s">
        <v>5771</v>
      </c>
      <c r="F19" s="892" t="s">
        <v>5805</v>
      </c>
    </row>
    <row r="20">
      <c r="A20" s="31" t="s">
        <v>1929</v>
      </c>
      <c r="B20" s="31" t="s">
        <v>792</v>
      </c>
      <c r="F20" s="893">
        <v>45336.0</v>
      </c>
    </row>
    <row r="21">
      <c r="A21" s="31" t="s">
        <v>5806</v>
      </c>
      <c r="B21" s="31" t="s">
        <v>812</v>
      </c>
      <c r="C21" s="31" t="s">
        <v>5807</v>
      </c>
      <c r="F21" s="31" t="s">
        <v>5782</v>
      </c>
    </row>
    <row r="22">
      <c r="A22" s="31" t="s">
        <v>1878</v>
      </c>
      <c r="B22" s="31" t="s">
        <v>812</v>
      </c>
      <c r="C22" s="31" t="s">
        <v>5771</v>
      </c>
      <c r="F22" s="893">
        <v>45328.0</v>
      </c>
    </row>
    <row r="23">
      <c r="A23" s="31" t="s">
        <v>1648</v>
      </c>
      <c r="B23" s="31" t="s">
        <v>812</v>
      </c>
      <c r="C23" s="31" t="s">
        <v>5771</v>
      </c>
      <c r="F23" s="31" t="s">
        <v>5809</v>
      </c>
    </row>
    <row r="24">
      <c r="A24" s="31" t="s">
        <v>1995</v>
      </c>
      <c r="B24" s="31" t="s">
        <v>857</v>
      </c>
    </row>
    <row r="25">
      <c r="A25" s="31" t="s">
        <v>2165</v>
      </c>
      <c r="B25" s="31" t="s">
        <v>889</v>
      </c>
      <c r="C25" s="31" t="s">
        <v>5771</v>
      </c>
      <c r="F25" s="889">
        <v>45701.0</v>
      </c>
    </row>
    <row r="26">
      <c r="A26" s="31" t="s">
        <v>1016</v>
      </c>
      <c r="B26" s="31" t="s">
        <v>895</v>
      </c>
      <c r="C26" s="31" t="s">
        <v>5771</v>
      </c>
      <c r="F26" s="891" t="s">
        <v>5812</v>
      </c>
    </row>
    <row r="27">
      <c r="A27" s="31" t="s">
        <v>2492</v>
      </c>
      <c r="B27" s="31" t="s">
        <v>1032</v>
      </c>
      <c r="C27" s="31" t="s">
        <v>5814</v>
      </c>
      <c r="D27" s="31" t="s">
        <v>5815</v>
      </c>
      <c r="F27" s="31" t="s">
        <v>5816</v>
      </c>
    </row>
    <row r="28">
      <c r="A28" s="31" t="s">
        <v>5817</v>
      </c>
      <c r="B28" s="31" t="s">
        <v>1051</v>
      </c>
      <c r="C28" s="31" t="s">
        <v>5771</v>
      </c>
      <c r="F28" s="31" t="s">
        <v>5818</v>
      </c>
    </row>
    <row r="29">
      <c r="A29" s="31" t="s">
        <v>5819</v>
      </c>
      <c r="B29" s="31" t="s">
        <v>1091</v>
      </c>
      <c r="C29" s="31" t="s">
        <v>5771</v>
      </c>
      <c r="F29" s="889">
        <v>45701.0</v>
      </c>
    </row>
    <row r="30">
      <c r="A30" s="31" t="s">
        <v>1095</v>
      </c>
      <c r="B30" s="31" t="s">
        <v>1091</v>
      </c>
      <c r="C30" s="31" t="s">
        <v>5820</v>
      </c>
      <c r="F30" s="31" t="s">
        <v>5821</v>
      </c>
    </row>
    <row r="31">
      <c r="A31" s="31" t="s">
        <v>1161</v>
      </c>
      <c r="B31" s="31" t="s">
        <v>1151</v>
      </c>
      <c r="C31" s="31" t="s">
        <v>5771</v>
      </c>
      <c r="F31" s="889">
        <v>45329.0</v>
      </c>
      <c r="G31" s="889">
        <v>45336.0</v>
      </c>
    </row>
    <row r="32">
      <c r="A32" s="31" t="s">
        <v>1465</v>
      </c>
      <c r="B32" s="31" t="s">
        <v>1278</v>
      </c>
      <c r="C32" s="31" t="s">
        <v>5771</v>
      </c>
      <c r="F32" s="31" t="s">
        <v>5826</v>
      </c>
    </row>
    <row r="33">
      <c r="A33" s="31" t="s">
        <v>1330</v>
      </c>
      <c r="B33" s="31" t="s">
        <v>1278</v>
      </c>
      <c r="C33" s="31" t="s">
        <v>5827</v>
      </c>
      <c r="F33" s="889">
        <v>45680.0</v>
      </c>
      <c r="G33" s="889">
        <v>45700.0</v>
      </c>
    </row>
    <row r="34">
      <c r="A34" s="31" t="s">
        <v>2036</v>
      </c>
      <c r="B34" s="31" t="s">
        <v>1278</v>
      </c>
      <c r="D34" s="31" t="s">
        <v>5828</v>
      </c>
      <c r="F34" s="889">
        <v>45686.0</v>
      </c>
      <c r="G34" s="889">
        <v>45693.0</v>
      </c>
      <c r="H34" s="889">
        <v>45700.0</v>
      </c>
    </row>
    <row r="35">
      <c r="A35" s="31" t="s">
        <v>5829</v>
      </c>
      <c r="B35" s="31" t="s">
        <v>1278</v>
      </c>
      <c r="F35" s="889">
        <v>45699.0</v>
      </c>
      <c r="G35" s="889">
        <v>45706.0</v>
      </c>
      <c r="H35" s="889">
        <v>45707.0</v>
      </c>
    </row>
    <row r="36">
      <c r="A36" s="31" t="s">
        <v>5831</v>
      </c>
      <c r="B36" s="31" t="s">
        <v>1278</v>
      </c>
      <c r="C36" s="31" t="s">
        <v>5771</v>
      </c>
      <c r="F36" s="31" t="s">
        <v>5832</v>
      </c>
    </row>
    <row r="37">
      <c r="A37" s="31" t="s">
        <v>5834</v>
      </c>
      <c r="B37" s="31" t="s">
        <v>1483</v>
      </c>
      <c r="F37" s="31" t="s">
        <v>5835</v>
      </c>
      <c r="G37" s="31" t="s">
        <v>5836</v>
      </c>
    </row>
    <row r="38">
      <c r="A38" s="31" t="s">
        <v>5837</v>
      </c>
      <c r="B38" s="31" t="s">
        <v>1483</v>
      </c>
      <c r="C38" s="31" t="s">
        <v>5771</v>
      </c>
      <c r="F38" s="889">
        <v>45327.0</v>
      </c>
      <c r="G38" s="889">
        <v>45341.0</v>
      </c>
    </row>
    <row r="39">
      <c r="A39" s="31" t="s">
        <v>5838</v>
      </c>
      <c r="B39" s="31" t="s">
        <v>1602</v>
      </c>
      <c r="F39" s="889">
        <v>45329.0</v>
      </c>
      <c r="G39" s="889">
        <v>45343.0</v>
      </c>
    </row>
    <row r="40">
      <c r="A40" s="31" t="s">
        <v>3494</v>
      </c>
      <c r="B40" s="31" t="s">
        <v>1602</v>
      </c>
      <c r="F40" s="889">
        <v>45329.0</v>
      </c>
      <c r="G40" s="889">
        <v>45343.0</v>
      </c>
    </row>
    <row r="41">
      <c r="A41" s="31" t="s">
        <v>348</v>
      </c>
      <c r="B41" s="31" t="s">
        <v>1628</v>
      </c>
      <c r="C41" s="31" t="s">
        <v>5771</v>
      </c>
      <c r="F41" s="889">
        <v>45716.0</v>
      </c>
    </row>
    <row r="42">
      <c r="A42" s="31" t="s">
        <v>5841</v>
      </c>
      <c r="B42" s="31" t="s">
        <v>1646</v>
      </c>
      <c r="C42" s="31" t="s">
        <v>5842</v>
      </c>
      <c r="D42" s="31" t="s">
        <v>5843</v>
      </c>
      <c r="F42" s="889">
        <v>45701.0</v>
      </c>
      <c r="G42" s="889">
        <v>45702.0</v>
      </c>
    </row>
    <row r="43">
      <c r="A43" s="31" t="s">
        <v>2048</v>
      </c>
      <c r="B43" s="31" t="s">
        <v>1646</v>
      </c>
      <c r="C43" s="31" t="s">
        <v>5771</v>
      </c>
      <c r="F43" s="889">
        <v>45716.0</v>
      </c>
    </row>
    <row r="44">
      <c r="A44" s="31" t="s">
        <v>2072</v>
      </c>
      <c r="B44" s="31" t="s">
        <v>1958</v>
      </c>
      <c r="C44" s="31" t="s">
        <v>5771</v>
      </c>
      <c r="F44" s="889">
        <v>45694.0</v>
      </c>
    </row>
    <row r="45">
      <c r="A45" s="31" t="s">
        <v>5847</v>
      </c>
      <c r="B45" s="31" t="s">
        <v>1958</v>
      </c>
      <c r="F45" s="31" t="s">
        <v>5849</v>
      </c>
    </row>
    <row r="46">
      <c r="A46" s="31" t="s">
        <v>5852</v>
      </c>
      <c r="B46" s="31" t="s">
        <v>1999</v>
      </c>
      <c r="C46" s="31" t="s">
        <v>5814</v>
      </c>
      <c r="F46" s="31" t="s">
        <v>5782</v>
      </c>
    </row>
    <row r="47">
      <c r="A47" s="31" t="s">
        <v>2387</v>
      </c>
      <c r="B47" s="31" t="s">
        <v>1999</v>
      </c>
    </row>
    <row r="48">
      <c r="A48" s="31" t="s">
        <v>5853</v>
      </c>
      <c r="B48" s="31" t="s">
        <v>2045</v>
      </c>
      <c r="C48" s="31" t="s">
        <v>5854</v>
      </c>
      <c r="F48" s="889">
        <v>45329.0</v>
      </c>
    </row>
    <row r="49">
      <c r="A49" s="31" t="s">
        <v>5855</v>
      </c>
      <c r="B49" s="31" t="s">
        <v>2045</v>
      </c>
      <c r="C49" s="31" t="s">
        <v>5854</v>
      </c>
      <c r="D49" s="31" t="s">
        <v>5858</v>
      </c>
      <c r="F49" s="31" t="s">
        <v>5859</v>
      </c>
    </row>
    <row r="50">
      <c r="A50" s="31" t="s">
        <v>5862</v>
      </c>
      <c r="B50" s="31" t="s">
        <v>2045</v>
      </c>
      <c r="C50" s="31" t="s">
        <v>5827</v>
      </c>
      <c r="F50" s="889">
        <v>45675.0</v>
      </c>
      <c r="G50" s="889">
        <v>45696.0</v>
      </c>
    </row>
    <row r="51">
      <c r="A51" s="31" t="s">
        <v>2426</v>
      </c>
      <c r="B51" s="31" t="s">
        <v>2216</v>
      </c>
      <c r="C51" s="31" t="s">
        <v>5807</v>
      </c>
      <c r="F51" s="889">
        <v>45327.0</v>
      </c>
      <c r="G51" s="889">
        <v>45341.0</v>
      </c>
    </row>
    <row r="52">
      <c r="A52" s="31" t="s">
        <v>1792</v>
      </c>
      <c r="B52" s="31" t="s">
        <v>2250</v>
      </c>
      <c r="C52" s="31" t="s">
        <v>5771</v>
      </c>
      <c r="F52" s="889">
        <v>45700.0</v>
      </c>
    </row>
    <row r="53">
      <c r="A53" s="31" t="s">
        <v>5865</v>
      </c>
      <c r="B53" s="31" t="s">
        <v>2283</v>
      </c>
      <c r="C53" s="31" t="s">
        <v>5867</v>
      </c>
      <c r="F53" s="896">
        <v>45703.0</v>
      </c>
    </row>
    <row r="54">
      <c r="A54" s="31" t="s">
        <v>5868</v>
      </c>
      <c r="B54" s="31" t="s">
        <v>2283</v>
      </c>
      <c r="C54" s="31" t="s">
        <v>5771</v>
      </c>
      <c r="F54" s="889">
        <v>45695.0</v>
      </c>
    </row>
    <row r="76">
      <c r="A76" s="31" t="s">
        <v>5869</v>
      </c>
    </row>
  </sheetData>
  <mergeCells count="1">
    <mergeCell ref="A13:H1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0"/>
    <col customWidth="1" min="2" max="2" width="9.63"/>
    <col customWidth="1" min="5" max="5" width="34.5"/>
    <col customWidth="1" min="6" max="6" width="75.75"/>
    <col customWidth="1" min="7" max="7" width="17.13"/>
    <col customWidth="1" min="8" max="8" width="12.88"/>
    <col customWidth="1" min="9" max="10" width="17.75"/>
  </cols>
  <sheetData>
    <row r="1">
      <c r="A1" s="904" t="s">
        <v>1</v>
      </c>
      <c r="I1" s="905"/>
      <c r="J1" s="904"/>
    </row>
    <row r="2">
      <c r="A2" s="906"/>
      <c r="B2" s="906"/>
      <c r="C2" s="906"/>
      <c r="D2" s="906"/>
      <c r="E2" s="906"/>
      <c r="F2" s="907"/>
      <c r="G2" s="907"/>
      <c r="H2" s="908"/>
      <c r="I2" s="908"/>
      <c r="J2" s="909"/>
    </row>
    <row r="3" ht="35.25" customHeight="1">
      <c r="A3" s="910" t="s">
        <v>1142</v>
      </c>
      <c r="B3" s="910" t="s">
        <v>25</v>
      </c>
      <c r="C3" s="910" t="s">
        <v>19</v>
      </c>
      <c r="D3" s="910" t="s">
        <v>6025</v>
      </c>
      <c r="E3" s="910" t="s">
        <v>6026</v>
      </c>
      <c r="F3" s="911" t="s">
        <v>6028</v>
      </c>
      <c r="G3" s="911" t="s">
        <v>6030</v>
      </c>
      <c r="H3" s="912" t="s">
        <v>6033</v>
      </c>
      <c r="I3" s="912" t="s">
        <v>6036</v>
      </c>
      <c r="J3" s="913" t="s">
        <v>6039</v>
      </c>
    </row>
    <row r="4" ht="22.5" hidden="1" customHeight="1">
      <c r="A4" s="914" t="s">
        <v>31</v>
      </c>
      <c r="B4" s="915" t="s">
        <v>34</v>
      </c>
      <c r="C4" s="915" t="s">
        <v>33</v>
      </c>
      <c r="D4" s="916" t="s">
        <v>66</v>
      </c>
      <c r="E4" s="917"/>
      <c r="F4" s="916" t="s">
        <v>6049</v>
      </c>
      <c r="G4" s="916" t="s">
        <v>6051</v>
      </c>
      <c r="H4" s="918"/>
      <c r="I4" s="918" t="s">
        <v>1270</v>
      </c>
      <c r="J4" s="919" t="str">
        <f>IFERROR(__xludf.DUMMYFUNCTION("AI("""")"),"=AI("""")")</f>
        <v>=AI("")</v>
      </c>
    </row>
    <row r="5" ht="22.5" customHeight="1">
      <c r="A5" s="916" t="s">
        <v>6062</v>
      </c>
      <c r="B5" s="916" t="s">
        <v>57</v>
      </c>
      <c r="C5" s="916" t="s">
        <v>77</v>
      </c>
      <c r="D5" s="916" t="s">
        <v>195</v>
      </c>
      <c r="E5" s="916" t="s">
        <v>6070</v>
      </c>
      <c r="F5" s="916" t="s">
        <v>6072</v>
      </c>
      <c r="G5" s="916" t="s">
        <v>6077</v>
      </c>
      <c r="H5" s="920"/>
      <c r="I5" s="918" t="s">
        <v>5339</v>
      </c>
      <c r="J5" s="919"/>
    </row>
    <row r="6" ht="22.5" customHeight="1">
      <c r="A6" s="921" t="s">
        <v>6083</v>
      </c>
      <c r="B6" s="921" t="s">
        <v>57</v>
      </c>
      <c r="C6" s="921" t="s">
        <v>61</v>
      </c>
      <c r="D6" s="921" t="s">
        <v>195</v>
      </c>
      <c r="E6" s="921" t="s">
        <v>65</v>
      </c>
      <c r="F6" s="921"/>
      <c r="G6" s="921" t="s">
        <v>6089</v>
      </c>
      <c r="H6" s="918"/>
      <c r="I6" s="918"/>
      <c r="J6" s="919"/>
    </row>
    <row r="7" ht="22.5" hidden="1" customHeight="1">
      <c r="A7" s="921" t="s">
        <v>6098</v>
      </c>
      <c r="B7" s="921" t="s">
        <v>57</v>
      </c>
      <c r="C7" s="921" t="s">
        <v>6101</v>
      </c>
      <c r="D7" s="921" t="s">
        <v>66</v>
      </c>
      <c r="E7" s="916" t="s">
        <v>6107</v>
      </c>
      <c r="F7" s="921"/>
      <c r="G7" s="924"/>
      <c r="H7" s="918"/>
      <c r="I7" s="920"/>
      <c r="J7" s="925"/>
    </row>
    <row r="8" ht="22.5" hidden="1" customHeight="1">
      <c r="A8" s="924" t="s">
        <v>2624</v>
      </c>
      <c r="B8" s="924" t="s">
        <v>114</v>
      </c>
      <c r="C8" s="924" t="s">
        <v>138</v>
      </c>
      <c r="D8" s="924" t="s">
        <v>66</v>
      </c>
      <c r="E8" s="921" t="s">
        <v>6127</v>
      </c>
      <c r="F8" s="921" t="s">
        <v>6129</v>
      </c>
      <c r="G8" s="924" t="s">
        <v>6133</v>
      </c>
      <c r="H8" s="918" t="s">
        <v>572</v>
      </c>
      <c r="I8" s="920"/>
      <c r="J8" s="925"/>
    </row>
    <row r="9" ht="22.5" hidden="1" customHeight="1">
      <c r="A9" s="916" t="s">
        <v>6141</v>
      </c>
      <c r="B9" s="916" t="s">
        <v>114</v>
      </c>
      <c r="C9" s="916" t="s">
        <v>202</v>
      </c>
      <c r="D9" s="916" t="s">
        <v>436</v>
      </c>
      <c r="E9" s="916" t="s">
        <v>6144</v>
      </c>
      <c r="F9" s="916" t="s">
        <v>6146</v>
      </c>
      <c r="G9" s="916" t="s">
        <v>6147</v>
      </c>
      <c r="H9" s="918" t="s">
        <v>572</v>
      </c>
      <c r="I9" s="918" t="s">
        <v>1270</v>
      </c>
      <c r="J9" s="919"/>
    </row>
    <row r="10" ht="22.5" hidden="1" customHeight="1">
      <c r="A10" s="916" t="s">
        <v>126</v>
      </c>
      <c r="B10" s="916" t="s">
        <v>114</v>
      </c>
      <c r="C10" s="916" t="s">
        <v>127</v>
      </c>
      <c r="D10" s="916" t="s">
        <v>436</v>
      </c>
      <c r="E10" s="916" t="s">
        <v>6160</v>
      </c>
      <c r="F10" s="916" t="s">
        <v>6161</v>
      </c>
      <c r="G10" s="916" t="s">
        <v>6163</v>
      </c>
      <c r="H10" s="920"/>
      <c r="I10" s="918"/>
      <c r="J10" s="919"/>
    </row>
    <row r="11" ht="22.5" customHeight="1">
      <c r="A11" s="916" t="s">
        <v>175</v>
      </c>
      <c r="B11" s="916" t="s">
        <v>114</v>
      </c>
      <c r="C11" s="916" t="s">
        <v>175</v>
      </c>
      <c r="D11" s="916" t="s">
        <v>195</v>
      </c>
      <c r="E11" s="916" t="s">
        <v>1871</v>
      </c>
      <c r="F11" s="916" t="s">
        <v>6176</v>
      </c>
      <c r="G11" s="916" t="s">
        <v>6178</v>
      </c>
      <c r="H11" s="918" t="s">
        <v>6182</v>
      </c>
      <c r="I11" s="918" t="s">
        <v>6182</v>
      </c>
      <c r="J11" s="919"/>
    </row>
    <row r="12" ht="22.5" customHeight="1">
      <c r="A12" s="916" t="s">
        <v>6190</v>
      </c>
      <c r="B12" s="916" t="s">
        <v>114</v>
      </c>
      <c r="C12" s="916" t="s">
        <v>209</v>
      </c>
      <c r="D12" s="916" t="s">
        <v>195</v>
      </c>
      <c r="E12" s="916" t="s">
        <v>6199</v>
      </c>
      <c r="F12" s="916" t="s">
        <v>6206</v>
      </c>
      <c r="G12" s="916" t="s">
        <v>6207</v>
      </c>
      <c r="H12" s="920"/>
      <c r="I12" s="920"/>
      <c r="J12" s="925"/>
    </row>
    <row r="13" ht="22.5" customHeight="1">
      <c r="A13" s="916" t="s">
        <v>243</v>
      </c>
      <c r="B13" s="916" t="s">
        <v>114</v>
      </c>
      <c r="C13" s="916" t="s">
        <v>244</v>
      </c>
      <c r="D13" s="916" t="s">
        <v>195</v>
      </c>
      <c r="E13" s="921" t="s">
        <v>6218</v>
      </c>
      <c r="F13" s="916" t="s">
        <v>6206</v>
      </c>
      <c r="G13" s="916" t="s">
        <v>6223</v>
      </c>
      <c r="H13" s="918" t="s">
        <v>572</v>
      </c>
      <c r="I13" s="918" t="s">
        <v>1270</v>
      </c>
      <c r="J13" s="919"/>
    </row>
    <row r="14" ht="22.5" customHeight="1">
      <c r="A14" s="914" t="s">
        <v>676</v>
      </c>
      <c r="B14" s="915" t="s">
        <v>316</v>
      </c>
      <c r="C14" s="915" t="s">
        <v>354</v>
      </c>
      <c r="D14" s="916" t="s">
        <v>6235</v>
      </c>
      <c r="E14" s="916" t="s">
        <v>6236</v>
      </c>
      <c r="F14" s="916" t="s">
        <v>6237</v>
      </c>
      <c r="G14" s="916" t="s">
        <v>6239</v>
      </c>
      <c r="H14" s="918"/>
      <c r="I14" s="918" t="s">
        <v>1270</v>
      </c>
      <c r="J14" s="919"/>
    </row>
    <row r="15" ht="22.5" hidden="1" customHeight="1">
      <c r="A15" s="916" t="s">
        <v>6250</v>
      </c>
      <c r="B15" s="916" t="s">
        <v>366</v>
      </c>
      <c r="C15" s="916" t="s">
        <v>364</v>
      </c>
      <c r="D15" s="916" t="s">
        <v>66</v>
      </c>
      <c r="E15" s="916" t="s">
        <v>6236</v>
      </c>
      <c r="F15" s="917"/>
      <c r="G15" s="917"/>
      <c r="H15" s="918" t="s">
        <v>572</v>
      </c>
      <c r="I15" s="918" t="s">
        <v>572</v>
      </c>
      <c r="J15" s="919"/>
    </row>
    <row r="16" ht="22.5" customHeight="1">
      <c r="A16" s="914" t="s">
        <v>6258</v>
      </c>
      <c r="B16" s="915" t="s">
        <v>579</v>
      </c>
      <c r="C16" s="915" t="s">
        <v>578</v>
      </c>
      <c r="D16" s="916" t="s">
        <v>195</v>
      </c>
      <c r="E16" s="916" t="s">
        <v>6265</v>
      </c>
      <c r="F16" s="916" t="s">
        <v>6267</v>
      </c>
      <c r="G16" s="916" t="s">
        <v>6271</v>
      </c>
      <c r="H16" s="918" t="s">
        <v>572</v>
      </c>
      <c r="I16" s="918" t="s">
        <v>1270</v>
      </c>
      <c r="J16" s="919"/>
    </row>
    <row r="17" ht="22.5" customHeight="1">
      <c r="A17" s="914" t="s">
        <v>1706</v>
      </c>
      <c r="B17" s="915" t="s">
        <v>446</v>
      </c>
      <c r="C17" s="915" t="s">
        <v>510</v>
      </c>
      <c r="D17" s="916" t="s">
        <v>195</v>
      </c>
      <c r="E17" s="917"/>
      <c r="F17" s="917"/>
      <c r="G17" s="916" t="s">
        <v>6285</v>
      </c>
      <c r="H17" s="920"/>
      <c r="I17" s="918" t="s">
        <v>1270</v>
      </c>
      <c r="J17" s="919"/>
    </row>
    <row r="18" ht="22.5" hidden="1" customHeight="1">
      <c r="A18" s="914" t="s">
        <v>1063</v>
      </c>
      <c r="B18" s="915" t="s">
        <v>446</v>
      </c>
      <c r="C18" s="915" t="s">
        <v>499</v>
      </c>
      <c r="D18" s="916" t="s">
        <v>6297</v>
      </c>
      <c r="E18" s="917"/>
      <c r="F18" s="917"/>
      <c r="G18" s="916" t="s">
        <v>6301</v>
      </c>
      <c r="H18" s="920"/>
      <c r="I18" s="918"/>
      <c r="J18" s="919"/>
    </row>
    <row r="19" ht="22.5" customHeight="1">
      <c r="A19" s="924" t="s">
        <v>1114</v>
      </c>
      <c r="B19" s="924" t="s">
        <v>446</v>
      </c>
      <c r="C19" s="924" t="s">
        <v>532</v>
      </c>
      <c r="D19" s="935" t="s">
        <v>195</v>
      </c>
      <c r="E19" s="935" t="s">
        <v>6314</v>
      </c>
      <c r="F19" s="937"/>
      <c r="G19" s="937"/>
      <c r="H19" s="920"/>
      <c r="I19" s="918" t="s">
        <v>1270</v>
      </c>
      <c r="J19" s="919"/>
    </row>
    <row r="20" ht="22.5" customHeight="1">
      <c r="A20" s="914" t="s">
        <v>6319</v>
      </c>
      <c r="B20" s="915" t="s">
        <v>446</v>
      </c>
      <c r="C20" s="915" t="s">
        <v>550</v>
      </c>
      <c r="D20" s="916" t="s">
        <v>195</v>
      </c>
      <c r="E20" s="917"/>
      <c r="F20" s="917"/>
      <c r="G20" s="917"/>
      <c r="H20" s="920"/>
      <c r="I20" s="918" t="s">
        <v>1270</v>
      </c>
      <c r="J20" s="919"/>
    </row>
    <row r="21" ht="22.5" customHeight="1">
      <c r="A21" s="914" t="s">
        <v>6326</v>
      </c>
      <c r="B21" s="915" t="s">
        <v>446</v>
      </c>
      <c r="C21" s="915" t="s">
        <v>510</v>
      </c>
      <c r="D21" s="916" t="s">
        <v>195</v>
      </c>
      <c r="E21" s="916" t="s">
        <v>6331</v>
      </c>
      <c r="F21" s="916" t="s">
        <v>6333</v>
      </c>
      <c r="G21" s="916"/>
      <c r="H21" s="920"/>
      <c r="I21" s="918" t="s">
        <v>1270</v>
      </c>
      <c r="J21" s="919"/>
    </row>
    <row r="22" ht="22.5" customHeight="1">
      <c r="A22" s="914" t="s">
        <v>2455</v>
      </c>
      <c r="B22" s="915" t="s">
        <v>446</v>
      </c>
      <c r="C22" s="915" t="s">
        <v>445</v>
      </c>
      <c r="D22" s="916" t="s">
        <v>195</v>
      </c>
      <c r="E22" s="917"/>
      <c r="F22" s="917"/>
      <c r="G22" s="917"/>
      <c r="H22" s="918" t="s">
        <v>1270</v>
      </c>
      <c r="I22" s="918" t="s">
        <v>572</v>
      </c>
      <c r="J22" s="919"/>
    </row>
    <row r="23" ht="22.5" customHeight="1">
      <c r="A23" s="916" t="s">
        <v>896</v>
      </c>
      <c r="B23" s="916" t="s">
        <v>6346</v>
      </c>
      <c r="C23" s="916" t="s">
        <v>466</v>
      </c>
      <c r="D23" s="916" t="s">
        <v>195</v>
      </c>
      <c r="E23" s="916" t="s">
        <v>6349</v>
      </c>
      <c r="F23" s="917"/>
      <c r="G23" s="916"/>
      <c r="H23" s="918"/>
      <c r="I23" s="918"/>
      <c r="J23" s="919"/>
    </row>
    <row r="24" ht="22.5" customHeight="1">
      <c r="A24" s="914" t="s">
        <v>2587</v>
      </c>
      <c r="B24" s="915" t="s">
        <v>2216</v>
      </c>
      <c r="C24" s="915" t="s">
        <v>2221</v>
      </c>
      <c r="D24" s="916" t="s">
        <v>195</v>
      </c>
      <c r="E24" s="916" t="s">
        <v>274</v>
      </c>
      <c r="F24" s="916" t="s">
        <v>6352</v>
      </c>
      <c r="G24" s="916" t="s">
        <v>6353</v>
      </c>
      <c r="H24" s="918"/>
      <c r="I24" s="918"/>
      <c r="J24" s="919"/>
    </row>
    <row r="25" ht="22.5" customHeight="1">
      <c r="A25" s="914" t="s">
        <v>6355</v>
      </c>
      <c r="B25" s="915" t="s">
        <v>656</v>
      </c>
      <c r="C25" s="915" t="s">
        <v>688</v>
      </c>
      <c r="D25" s="916" t="s">
        <v>195</v>
      </c>
      <c r="E25" s="916" t="s">
        <v>6356</v>
      </c>
      <c r="F25" s="916" t="s">
        <v>6357</v>
      </c>
      <c r="G25" s="916" t="s">
        <v>6359</v>
      </c>
      <c r="H25" s="918" t="s">
        <v>1270</v>
      </c>
      <c r="I25" s="918" t="s">
        <v>1270</v>
      </c>
      <c r="J25" s="919"/>
    </row>
    <row r="26" ht="22.5" customHeight="1">
      <c r="A26" s="916" t="s">
        <v>377</v>
      </c>
      <c r="B26" s="916" t="s">
        <v>656</v>
      </c>
      <c r="C26" s="916" t="s">
        <v>680</v>
      </c>
      <c r="D26" s="916" t="s">
        <v>6361</v>
      </c>
      <c r="E26" s="916" t="s">
        <v>65</v>
      </c>
      <c r="F26" s="916" t="s">
        <v>6362</v>
      </c>
      <c r="G26" s="916" t="s">
        <v>6363</v>
      </c>
      <c r="H26" s="920"/>
      <c r="I26" s="918" t="s">
        <v>1270</v>
      </c>
      <c r="J26" s="919"/>
    </row>
    <row r="27" ht="22.5" customHeight="1">
      <c r="A27" s="914" t="s">
        <v>6366</v>
      </c>
      <c r="B27" s="915" t="s">
        <v>656</v>
      </c>
      <c r="C27" s="915" t="s">
        <v>655</v>
      </c>
      <c r="D27" s="916" t="s">
        <v>195</v>
      </c>
      <c r="E27" s="916" t="s">
        <v>65</v>
      </c>
      <c r="F27" s="916" t="s">
        <v>6369</v>
      </c>
      <c r="G27" s="916" t="s">
        <v>6370</v>
      </c>
      <c r="H27" s="918"/>
      <c r="I27" s="918"/>
      <c r="J27" s="919"/>
    </row>
    <row r="28" ht="22.5" hidden="1" customHeight="1">
      <c r="A28" s="914" t="s">
        <v>6372</v>
      </c>
      <c r="B28" s="915" t="s">
        <v>656</v>
      </c>
      <c r="C28" s="915" t="s">
        <v>712</v>
      </c>
      <c r="D28" s="916"/>
      <c r="E28" s="916"/>
      <c r="F28" s="917"/>
      <c r="G28" s="916"/>
      <c r="H28" s="918" t="s">
        <v>1270</v>
      </c>
      <c r="I28" s="918" t="s">
        <v>1270</v>
      </c>
      <c r="J28" s="919"/>
    </row>
    <row r="29" ht="22.5" customHeight="1">
      <c r="A29" s="914" t="s">
        <v>449</v>
      </c>
      <c r="B29" s="915" t="s">
        <v>656</v>
      </c>
      <c r="C29" s="915" t="s">
        <v>655</v>
      </c>
      <c r="D29" s="916" t="s">
        <v>195</v>
      </c>
      <c r="E29" s="916" t="s">
        <v>6375</v>
      </c>
      <c r="F29" s="916" t="s">
        <v>6377</v>
      </c>
      <c r="G29" s="916" t="s">
        <v>6378</v>
      </c>
      <c r="H29" s="918" t="s">
        <v>572</v>
      </c>
      <c r="I29" s="918" t="s">
        <v>1270</v>
      </c>
      <c r="J29" s="919"/>
    </row>
    <row r="30" ht="22.5" customHeight="1">
      <c r="A30" s="914" t="s">
        <v>6381</v>
      </c>
      <c r="B30" s="915" t="s">
        <v>656</v>
      </c>
      <c r="C30" s="915" t="s">
        <v>655</v>
      </c>
      <c r="D30" s="916" t="s">
        <v>6361</v>
      </c>
      <c r="E30" s="916" t="s">
        <v>6384</v>
      </c>
      <c r="F30" s="916" t="s">
        <v>6385</v>
      </c>
      <c r="G30" s="916" t="s">
        <v>6386</v>
      </c>
      <c r="H30" s="918"/>
      <c r="I30" s="918"/>
      <c r="J30" s="919"/>
    </row>
    <row r="31" ht="22.5" customHeight="1">
      <c r="A31" s="914" t="s">
        <v>6390</v>
      </c>
      <c r="B31" s="915" t="s">
        <v>656</v>
      </c>
      <c r="C31" s="915" t="s">
        <v>655</v>
      </c>
      <c r="D31" s="916" t="s">
        <v>195</v>
      </c>
      <c r="E31" s="916" t="s">
        <v>6392</v>
      </c>
      <c r="F31" s="916" t="s">
        <v>6394</v>
      </c>
      <c r="G31" s="916" t="s">
        <v>6395</v>
      </c>
      <c r="H31" s="920"/>
      <c r="I31" s="920"/>
      <c r="J31" s="925"/>
    </row>
    <row r="32" ht="22.5" hidden="1" customHeight="1">
      <c r="A32" s="914" t="s">
        <v>2976</v>
      </c>
      <c r="B32" s="915" t="s">
        <v>735</v>
      </c>
      <c r="C32" s="915" t="s">
        <v>734</v>
      </c>
      <c r="D32" s="921" t="s">
        <v>6398</v>
      </c>
      <c r="E32" s="962" t="s">
        <v>6399</v>
      </c>
      <c r="F32" s="917"/>
      <c r="G32" s="917"/>
      <c r="H32" s="920"/>
      <c r="I32" s="920"/>
      <c r="J32" s="925"/>
    </row>
    <row r="33" ht="22.5" hidden="1" customHeight="1">
      <c r="A33" s="917"/>
      <c r="B33" s="916" t="s">
        <v>6403</v>
      </c>
      <c r="C33" s="917"/>
      <c r="D33" s="917"/>
      <c r="E33" s="917"/>
      <c r="F33" s="917"/>
      <c r="G33" s="917"/>
      <c r="H33" s="963"/>
      <c r="I33" s="963"/>
      <c r="J33" s="964"/>
    </row>
    <row r="34" ht="22.5" customHeight="1">
      <c r="A34" s="965" t="s">
        <v>6407</v>
      </c>
      <c r="B34" s="965" t="s">
        <v>402</v>
      </c>
      <c r="C34" s="966"/>
      <c r="D34" s="965" t="s">
        <v>6410</v>
      </c>
      <c r="E34" s="965" t="s">
        <v>6411</v>
      </c>
      <c r="F34" s="966"/>
      <c r="G34" s="966"/>
      <c r="H34" s="967"/>
      <c r="I34" s="967"/>
      <c r="J34" s="968"/>
    </row>
    <row r="35" ht="22.5" customHeight="1">
      <c r="A35" s="969" t="s">
        <v>1929</v>
      </c>
      <c r="B35" s="916" t="s">
        <v>792</v>
      </c>
      <c r="C35" s="916" t="s">
        <v>794</v>
      </c>
      <c r="D35" s="916" t="s">
        <v>6235</v>
      </c>
      <c r="E35" s="916" t="s">
        <v>6415</v>
      </c>
      <c r="F35" s="916" t="s">
        <v>6416</v>
      </c>
      <c r="G35" s="916" t="s">
        <v>6417</v>
      </c>
      <c r="H35" s="918" t="s">
        <v>1270</v>
      </c>
      <c r="I35" s="918" t="s">
        <v>1270</v>
      </c>
      <c r="J35" s="919"/>
    </row>
    <row r="36" ht="22.5" hidden="1" customHeight="1">
      <c r="A36" s="914" t="s">
        <v>820</v>
      </c>
      <c r="B36" s="915" t="s">
        <v>812</v>
      </c>
      <c r="C36" s="915" t="s">
        <v>816</v>
      </c>
      <c r="D36" s="917"/>
      <c r="E36" s="916" t="s">
        <v>6415</v>
      </c>
      <c r="F36" s="917"/>
      <c r="G36" s="916" t="s">
        <v>6418</v>
      </c>
      <c r="H36" s="970" t="s">
        <v>1270</v>
      </c>
      <c r="I36" s="970" t="s">
        <v>1270</v>
      </c>
      <c r="J36" s="971"/>
    </row>
    <row r="37" ht="22.5" customHeight="1">
      <c r="A37" s="916" t="s">
        <v>6419</v>
      </c>
      <c r="B37" s="916" t="s">
        <v>812</v>
      </c>
      <c r="C37" s="916" t="s">
        <v>830</v>
      </c>
      <c r="D37" s="916" t="s">
        <v>195</v>
      </c>
      <c r="E37" s="916" t="s">
        <v>6420</v>
      </c>
      <c r="F37" s="916" t="s">
        <v>6421</v>
      </c>
      <c r="G37" s="916" t="s">
        <v>6422</v>
      </c>
      <c r="H37" s="967"/>
      <c r="I37" s="967"/>
      <c r="J37" s="968"/>
    </row>
    <row r="38" ht="22.5" customHeight="1">
      <c r="A38" s="916" t="s">
        <v>1648</v>
      </c>
      <c r="B38" s="916" t="s">
        <v>812</v>
      </c>
      <c r="C38" s="916" t="s">
        <v>850</v>
      </c>
      <c r="D38" s="916" t="s">
        <v>195</v>
      </c>
      <c r="E38" s="916" t="s">
        <v>6423</v>
      </c>
      <c r="F38" s="916" t="s">
        <v>6424</v>
      </c>
      <c r="G38" s="916" t="s">
        <v>6425</v>
      </c>
      <c r="H38" s="920"/>
      <c r="I38" s="918" t="s">
        <v>1270</v>
      </c>
      <c r="J38" s="919"/>
    </row>
    <row r="39" ht="22.5" hidden="1" customHeight="1">
      <c r="A39" s="965" t="s">
        <v>1995</v>
      </c>
      <c r="B39" s="965" t="s">
        <v>857</v>
      </c>
      <c r="C39" s="965" t="s">
        <v>862</v>
      </c>
      <c r="D39" s="965" t="s">
        <v>66</v>
      </c>
      <c r="E39" s="965" t="s">
        <v>6426</v>
      </c>
      <c r="F39" s="965" t="s">
        <v>6427</v>
      </c>
      <c r="G39" s="965" t="s">
        <v>6428</v>
      </c>
      <c r="H39" s="918" t="s">
        <v>572</v>
      </c>
      <c r="I39" s="918" t="s">
        <v>1270</v>
      </c>
      <c r="J39" s="919"/>
    </row>
    <row r="40" ht="22.5" customHeight="1">
      <c r="A40" s="965" t="s">
        <v>6429</v>
      </c>
      <c r="B40" s="965" t="s">
        <v>770</v>
      </c>
      <c r="C40" s="965" t="s">
        <v>768</v>
      </c>
      <c r="D40" s="965" t="s">
        <v>195</v>
      </c>
      <c r="E40" s="965" t="s">
        <v>6430</v>
      </c>
      <c r="F40" s="965" t="s">
        <v>6431</v>
      </c>
      <c r="G40" s="965" t="s">
        <v>6432</v>
      </c>
      <c r="H40" s="918" t="s">
        <v>1270</v>
      </c>
      <c r="I40" s="918" t="s">
        <v>1270</v>
      </c>
      <c r="J40" s="919"/>
    </row>
    <row r="41" ht="22.5" customHeight="1">
      <c r="A41" s="916" t="s">
        <v>887</v>
      </c>
      <c r="B41" s="916" t="s">
        <v>889</v>
      </c>
      <c r="C41" s="916" t="s">
        <v>888</v>
      </c>
      <c r="D41" s="916" t="s">
        <v>195</v>
      </c>
      <c r="E41" s="916" t="s">
        <v>6420</v>
      </c>
      <c r="F41" s="916" t="s">
        <v>6433</v>
      </c>
      <c r="G41" s="916" t="s">
        <v>6434</v>
      </c>
      <c r="H41" s="970" t="s">
        <v>1270</v>
      </c>
      <c r="I41" s="970" t="s">
        <v>1270</v>
      </c>
      <c r="J41" s="971"/>
    </row>
    <row r="42" ht="22.5" customHeight="1">
      <c r="A42" s="921" t="s">
        <v>6436</v>
      </c>
      <c r="B42" s="921" t="s">
        <v>895</v>
      </c>
      <c r="C42" s="921" t="s">
        <v>953</v>
      </c>
      <c r="D42" s="921" t="s">
        <v>195</v>
      </c>
      <c r="E42" s="921" t="s">
        <v>6437</v>
      </c>
      <c r="F42" s="921" t="s">
        <v>6438</v>
      </c>
      <c r="G42" s="935" t="s">
        <v>6439</v>
      </c>
      <c r="H42" s="920"/>
      <c r="I42" s="920"/>
      <c r="J42" s="925"/>
    </row>
    <row r="43" ht="22.5" hidden="1" customHeight="1">
      <c r="A43" s="924" t="s">
        <v>6443</v>
      </c>
      <c r="B43" s="924" t="s">
        <v>895</v>
      </c>
      <c r="C43" s="924" t="s">
        <v>979</v>
      </c>
      <c r="D43" s="924" t="s">
        <v>66</v>
      </c>
      <c r="E43" s="921" t="s">
        <v>6437</v>
      </c>
      <c r="F43" s="978" t="s">
        <v>6447</v>
      </c>
      <c r="G43" s="935" t="s">
        <v>6448</v>
      </c>
      <c r="H43" s="920"/>
      <c r="I43" s="918" t="s">
        <v>1270</v>
      </c>
      <c r="J43" s="919"/>
    </row>
    <row r="44" ht="22.5" customHeight="1">
      <c r="A44" s="924" t="s">
        <v>6457</v>
      </c>
      <c r="B44" s="924" t="s">
        <v>895</v>
      </c>
      <c r="C44" s="924" t="s">
        <v>990</v>
      </c>
      <c r="D44" s="924" t="s">
        <v>195</v>
      </c>
      <c r="E44" s="982" t="s">
        <v>6468</v>
      </c>
      <c r="F44" s="978" t="s">
        <v>6472</v>
      </c>
      <c r="G44" s="982" t="s">
        <v>6476</v>
      </c>
      <c r="H44" s="920"/>
      <c r="I44" s="920"/>
      <c r="J44" s="925"/>
    </row>
    <row r="45" ht="22.5" customHeight="1">
      <c r="A45" s="914" t="s">
        <v>1917</v>
      </c>
      <c r="B45" s="915" t="s">
        <v>895</v>
      </c>
      <c r="C45" s="915" t="s">
        <v>1014</v>
      </c>
      <c r="D45" s="916" t="s">
        <v>195</v>
      </c>
      <c r="E45" s="982" t="s">
        <v>6468</v>
      </c>
      <c r="F45" s="978" t="s">
        <v>6500</v>
      </c>
      <c r="G45" s="916" t="s">
        <v>6503</v>
      </c>
      <c r="H45" s="918" t="s">
        <v>6182</v>
      </c>
      <c r="I45" s="918" t="s">
        <v>6182</v>
      </c>
      <c r="J45" s="919"/>
    </row>
    <row r="46" ht="22.5" hidden="1" customHeight="1">
      <c r="A46" s="924" t="s">
        <v>6516</v>
      </c>
      <c r="B46" s="924" t="s">
        <v>1032</v>
      </c>
      <c r="C46" s="924" t="s">
        <v>1030</v>
      </c>
      <c r="D46" s="989"/>
      <c r="E46" s="921" t="s">
        <v>6525</v>
      </c>
      <c r="F46" s="921" t="s">
        <v>6527</v>
      </c>
      <c r="G46" s="982" t="s">
        <v>6528</v>
      </c>
      <c r="H46" s="920"/>
      <c r="I46" s="920"/>
      <c r="J46" s="925"/>
    </row>
    <row r="47" ht="22.5" customHeight="1">
      <c r="A47" s="924" t="s">
        <v>2720</v>
      </c>
      <c r="B47" s="924" t="s">
        <v>1032</v>
      </c>
      <c r="C47" s="924" t="s">
        <v>1038</v>
      </c>
      <c r="D47" s="982" t="s">
        <v>195</v>
      </c>
      <c r="E47" s="921" t="s">
        <v>6529</v>
      </c>
      <c r="F47" s="921" t="s">
        <v>6530</v>
      </c>
      <c r="G47" s="921" t="s">
        <v>6531</v>
      </c>
      <c r="H47" s="918"/>
      <c r="I47" s="918"/>
      <c r="J47" s="919"/>
    </row>
    <row r="48" ht="22.5" customHeight="1">
      <c r="A48" s="914" t="s">
        <v>1044</v>
      </c>
      <c r="B48" s="915" t="s">
        <v>1032</v>
      </c>
      <c r="C48" s="916" t="s">
        <v>1030</v>
      </c>
      <c r="D48" s="916" t="s">
        <v>195</v>
      </c>
      <c r="E48" s="916" t="s">
        <v>6532</v>
      </c>
      <c r="F48" s="916" t="s">
        <v>6533</v>
      </c>
      <c r="G48" s="916" t="s">
        <v>6534</v>
      </c>
      <c r="H48" s="918" t="s">
        <v>572</v>
      </c>
      <c r="I48" s="918" t="s">
        <v>1270</v>
      </c>
      <c r="J48" s="919"/>
    </row>
    <row r="49" ht="22.5" customHeight="1">
      <c r="A49" s="914" t="s">
        <v>6535</v>
      </c>
      <c r="B49" s="915" t="s">
        <v>1051</v>
      </c>
      <c r="C49" s="915" t="s">
        <v>6536</v>
      </c>
      <c r="D49" s="916" t="s">
        <v>195</v>
      </c>
      <c r="E49" s="916" t="s">
        <v>6537</v>
      </c>
      <c r="F49" s="916" t="s">
        <v>6538</v>
      </c>
      <c r="G49" s="916" t="s">
        <v>6539</v>
      </c>
      <c r="H49" s="918" t="s">
        <v>572</v>
      </c>
      <c r="I49" s="920"/>
      <c r="J49" s="925"/>
    </row>
    <row r="50" ht="22.5" hidden="1" customHeight="1">
      <c r="A50" s="914" t="s">
        <v>6540</v>
      </c>
      <c r="B50" s="915" t="s">
        <v>1091</v>
      </c>
      <c r="C50" s="915" t="s">
        <v>1089</v>
      </c>
      <c r="D50" s="917"/>
      <c r="E50" s="917"/>
      <c r="F50" s="917"/>
      <c r="G50" s="917"/>
      <c r="H50" s="920"/>
      <c r="I50" s="918" t="s">
        <v>1270</v>
      </c>
      <c r="J50" s="919"/>
    </row>
    <row r="51" ht="22.5" hidden="1" customHeight="1">
      <c r="A51" s="914" t="s">
        <v>2816</v>
      </c>
      <c r="B51" s="915" t="s">
        <v>1091</v>
      </c>
      <c r="C51" s="915" t="s">
        <v>1106</v>
      </c>
      <c r="D51" s="917"/>
      <c r="E51" s="917"/>
      <c r="F51" s="917"/>
      <c r="G51" s="917"/>
      <c r="H51" s="918" t="s">
        <v>572</v>
      </c>
      <c r="I51" s="918"/>
      <c r="J51" s="919"/>
    </row>
    <row r="52" ht="22.5" customHeight="1">
      <c r="A52" s="914" t="s">
        <v>1578</v>
      </c>
      <c r="B52" s="915" t="s">
        <v>1091</v>
      </c>
      <c r="C52" s="915" t="s">
        <v>1115</v>
      </c>
      <c r="D52" s="916" t="s">
        <v>195</v>
      </c>
      <c r="E52" s="917"/>
      <c r="F52" s="917"/>
      <c r="G52" s="917"/>
      <c r="H52" s="920"/>
      <c r="I52" s="918" t="s">
        <v>1270</v>
      </c>
      <c r="J52" s="919"/>
    </row>
    <row r="53" ht="22.5" customHeight="1">
      <c r="A53" s="914" t="s">
        <v>1123</v>
      </c>
      <c r="B53" s="915" t="s">
        <v>1091</v>
      </c>
      <c r="C53" s="915" t="s">
        <v>1124</v>
      </c>
      <c r="D53" s="916" t="s">
        <v>195</v>
      </c>
      <c r="E53" s="916" t="s">
        <v>65</v>
      </c>
      <c r="F53" s="916" t="s">
        <v>6541</v>
      </c>
      <c r="G53" s="916" t="s">
        <v>6542</v>
      </c>
      <c r="H53" s="920"/>
      <c r="I53" s="918" t="s">
        <v>1270</v>
      </c>
      <c r="J53" s="919"/>
    </row>
    <row r="54" ht="22.5" hidden="1" customHeight="1">
      <c r="A54" s="916" t="s">
        <v>6543</v>
      </c>
      <c r="B54" s="916" t="s">
        <v>1157</v>
      </c>
      <c r="C54" s="916" t="s">
        <v>6544</v>
      </c>
      <c r="D54" s="916" t="s">
        <v>436</v>
      </c>
      <c r="E54" s="916" t="s">
        <v>6545</v>
      </c>
      <c r="F54" s="916" t="s">
        <v>6546</v>
      </c>
      <c r="G54" s="916" t="s">
        <v>6547</v>
      </c>
      <c r="H54" s="1006"/>
      <c r="I54" s="1006"/>
      <c r="J54" s="1007"/>
    </row>
    <row r="55" ht="22.5" customHeight="1">
      <c r="A55" s="916" t="s">
        <v>6548</v>
      </c>
      <c r="B55" s="916" t="s">
        <v>1157</v>
      </c>
      <c r="C55" s="916" t="s">
        <v>438</v>
      </c>
      <c r="D55" s="916" t="s">
        <v>195</v>
      </c>
      <c r="E55" s="916" t="s">
        <v>6549</v>
      </c>
      <c r="F55" s="917"/>
      <c r="G55" s="916" t="s">
        <v>6550</v>
      </c>
      <c r="H55" s="1006" t="s">
        <v>1270</v>
      </c>
      <c r="I55" s="1006" t="s">
        <v>1270</v>
      </c>
      <c r="J55" s="1007"/>
    </row>
    <row r="56" ht="22.5" customHeight="1">
      <c r="A56" s="916" t="s">
        <v>6551</v>
      </c>
      <c r="B56" s="916" t="s">
        <v>1157</v>
      </c>
      <c r="C56" s="916" t="s">
        <v>1222</v>
      </c>
      <c r="D56" s="916" t="s">
        <v>195</v>
      </c>
      <c r="E56" s="916" t="s">
        <v>6552</v>
      </c>
      <c r="F56" s="916" t="s">
        <v>6553</v>
      </c>
      <c r="G56" s="916" t="s">
        <v>6554</v>
      </c>
      <c r="H56" s="920"/>
      <c r="I56" s="918" t="s">
        <v>6182</v>
      </c>
      <c r="J56" s="919"/>
    </row>
    <row r="57" ht="22.5" hidden="1" customHeight="1">
      <c r="A57" s="916" t="s">
        <v>6555</v>
      </c>
      <c r="B57" s="916" t="s">
        <v>1261</v>
      </c>
      <c r="C57" s="916" t="s">
        <v>1260</v>
      </c>
      <c r="D57" s="916" t="s">
        <v>6556</v>
      </c>
      <c r="E57" s="916" t="s">
        <v>1871</v>
      </c>
      <c r="F57" s="916" t="s">
        <v>6557</v>
      </c>
      <c r="G57" s="916" t="s">
        <v>6558</v>
      </c>
      <c r="H57" s="918" t="s">
        <v>1270</v>
      </c>
      <c r="I57" s="918" t="s">
        <v>1270</v>
      </c>
      <c r="J57" s="919"/>
    </row>
    <row r="58" ht="22.5" customHeight="1">
      <c r="A58" s="914" t="s">
        <v>1275</v>
      </c>
      <c r="B58" s="915" t="s">
        <v>1278</v>
      </c>
      <c r="C58" s="915" t="s">
        <v>1276</v>
      </c>
      <c r="D58" s="916" t="s">
        <v>195</v>
      </c>
      <c r="E58" s="916" t="s">
        <v>6559</v>
      </c>
      <c r="F58" s="916" t="s">
        <v>6560</v>
      </c>
      <c r="G58" s="916" t="s">
        <v>6561</v>
      </c>
      <c r="H58" s="918" t="s">
        <v>1270</v>
      </c>
      <c r="I58" s="918" t="s">
        <v>1270</v>
      </c>
      <c r="J58" s="919"/>
    </row>
    <row r="59" ht="22.5" customHeight="1">
      <c r="A59" s="965" t="s">
        <v>1283</v>
      </c>
      <c r="B59" s="965" t="s">
        <v>1278</v>
      </c>
      <c r="C59" s="965" t="s">
        <v>1284</v>
      </c>
      <c r="D59" s="965" t="s">
        <v>195</v>
      </c>
      <c r="E59" s="965" t="s">
        <v>6562</v>
      </c>
      <c r="F59" s="965" t="s">
        <v>6563</v>
      </c>
      <c r="G59" s="965" t="s">
        <v>6564</v>
      </c>
      <c r="H59" s="920"/>
      <c r="I59" s="918"/>
      <c r="J59" s="919"/>
    </row>
    <row r="60" ht="22.5" hidden="1" customHeight="1">
      <c r="A60" s="924" t="s">
        <v>2119</v>
      </c>
      <c r="B60" s="924" t="s">
        <v>1278</v>
      </c>
      <c r="C60" s="924" t="s">
        <v>1288</v>
      </c>
      <c r="D60" s="924" t="s">
        <v>6565</v>
      </c>
      <c r="E60" s="924" t="s">
        <v>6566</v>
      </c>
      <c r="F60" s="1008"/>
      <c r="G60" s="1008"/>
      <c r="H60" s="918" t="s">
        <v>1270</v>
      </c>
      <c r="I60" s="918" t="s">
        <v>1270</v>
      </c>
      <c r="J60" s="919"/>
    </row>
    <row r="61" ht="22.5" customHeight="1">
      <c r="A61" s="916" t="s">
        <v>6567</v>
      </c>
      <c r="B61" s="916" t="s">
        <v>1278</v>
      </c>
      <c r="C61" s="916" t="s">
        <v>1315</v>
      </c>
      <c r="D61" s="916" t="s">
        <v>195</v>
      </c>
      <c r="E61" s="916"/>
      <c r="F61" s="1009"/>
      <c r="G61" s="916" t="s">
        <v>6568</v>
      </c>
      <c r="H61" s="920"/>
      <c r="I61" s="920"/>
      <c r="J61" s="925"/>
    </row>
    <row r="62" ht="22.5" customHeight="1">
      <c r="A62" s="916" t="s">
        <v>6569</v>
      </c>
      <c r="B62" s="916" t="s">
        <v>1278</v>
      </c>
      <c r="C62" s="916" t="s">
        <v>1315</v>
      </c>
      <c r="D62" s="916" t="s">
        <v>195</v>
      </c>
      <c r="E62" s="917"/>
      <c r="F62" s="917"/>
      <c r="G62" s="916"/>
      <c r="H62" s="920"/>
      <c r="I62" s="918" t="s">
        <v>1270</v>
      </c>
      <c r="J62" s="919"/>
    </row>
    <row r="63" ht="22.5" customHeight="1">
      <c r="A63" s="965" t="s">
        <v>6570</v>
      </c>
      <c r="B63" s="965" t="s">
        <v>1278</v>
      </c>
      <c r="C63" s="965" t="s">
        <v>1439</v>
      </c>
      <c r="D63" s="965" t="s">
        <v>749</v>
      </c>
      <c r="E63" s="965" t="s">
        <v>1871</v>
      </c>
      <c r="F63" s="965" t="s">
        <v>6571</v>
      </c>
      <c r="G63" s="965" t="s">
        <v>6572</v>
      </c>
      <c r="H63" s="918"/>
      <c r="I63" s="920"/>
      <c r="J63" s="925"/>
    </row>
    <row r="64" ht="22.5" customHeight="1">
      <c r="A64" s="924" t="s">
        <v>2678</v>
      </c>
      <c r="B64" s="924" t="s">
        <v>1278</v>
      </c>
      <c r="C64" s="924" t="s">
        <v>1038</v>
      </c>
      <c r="D64" s="982" t="s">
        <v>195</v>
      </c>
      <c r="E64" s="982" t="s">
        <v>65</v>
      </c>
      <c r="F64" s="921" t="s">
        <v>6573</v>
      </c>
      <c r="G64" s="921" t="s">
        <v>6574</v>
      </c>
      <c r="H64" s="967"/>
      <c r="I64" s="967"/>
      <c r="J64" s="968"/>
    </row>
    <row r="65" ht="22.5" customHeight="1">
      <c r="A65" s="916" t="s">
        <v>6575</v>
      </c>
      <c r="B65" s="916" t="s">
        <v>1483</v>
      </c>
      <c r="C65" s="916" t="s">
        <v>1487</v>
      </c>
      <c r="D65" s="916" t="s">
        <v>195</v>
      </c>
      <c r="E65" s="916" t="s">
        <v>6107</v>
      </c>
      <c r="F65" s="916" t="s">
        <v>6576</v>
      </c>
      <c r="G65" s="916" t="s">
        <v>6577</v>
      </c>
      <c r="H65" s="918"/>
      <c r="I65" s="918"/>
      <c r="J65" s="919"/>
    </row>
    <row r="66" ht="22.5" customHeight="1">
      <c r="A66" s="914" t="s">
        <v>6578</v>
      </c>
      <c r="B66" s="915" t="s">
        <v>1483</v>
      </c>
      <c r="C66" s="915" t="s">
        <v>1500</v>
      </c>
      <c r="D66" s="916" t="s">
        <v>195</v>
      </c>
      <c r="E66" s="916" t="s">
        <v>6579</v>
      </c>
      <c r="F66" s="916" t="s">
        <v>6580</v>
      </c>
      <c r="G66" s="916" t="s">
        <v>6581</v>
      </c>
      <c r="H66" s="920"/>
      <c r="I66" s="920"/>
      <c r="J66" s="925"/>
    </row>
    <row r="67" ht="22.5" customHeight="1">
      <c r="A67" s="914" t="s">
        <v>3551</v>
      </c>
      <c r="B67" s="915" t="s">
        <v>1646</v>
      </c>
      <c r="C67" s="915" t="s">
        <v>1736</v>
      </c>
      <c r="D67" s="916" t="s">
        <v>195</v>
      </c>
      <c r="E67" s="916" t="s">
        <v>6582</v>
      </c>
      <c r="F67" s="916" t="s">
        <v>6583</v>
      </c>
      <c r="G67" s="916" t="s">
        <v>6584</v>
      </c>
      <c r="H67" s="920"/>
      <c r="I67" s="920"/>
      <c r="J67" s="925"/>
    </row>
    <row r="68" ht="22.5" customHeight="1">
      <c r="A68" s="916" t="s">
        <v>6585</v>
      </c>
      <c r="B68" s="916" t="s">
        <v>1646</v>
      </c>
      <c r="C68" s="916" t="s">
        <v>1870</v>
      </c>
      <c r="D68" s="916" t="s">
        <v>195</v>
      </c>
      <c r="E68" s="916" t="s">
        <v>6586</v>
      </c>
      <c r="F68" s="916" t="s">
        <v>6587</v>
      </c>
      <c r="G68" s="1009"/>
      <c r="H68" s="920"/>
      <c r="I68" s="918" t="s">
        <v>1270</v>
      </c>
      <c r="J68" s="919"/>
    </row>
    <row r="69" ht="22.5" customHeight="1">
      <c r="A69" s="916" t="s">
        <v>6588</v>
      </c>
      <c r="B69" s="916" t="s">
        <v>1646</v>
      </c>
      <c r="C69" s="916" t="s">
        <v>1679</v>
      </c>
      <c r="D69" s="916" t="s">
        <v>195</v>
      </c>
      <c r="E69" s="916" t="s">
        <v>6589</v>
      </c>
      <c r="F69" s="916" t="s">
        <v>6590</v>
      </c>
      <c r="G69" s="916" t="s">
        <v>6591</v>
      </c>
      <c r="H69" s="918" t="s">
        <v>572</v>
      </c>
      <c r="I69" s="918" t="s">
        <v>1270</v>
      </c>
      <c r="J69" s="919"/>
    </row>
    <row r="70" ht="22.5" hidden="1" customHeight="1">
      <c r="A70" s="914" t="s">
        <v>6592</v>
      </c>
      <c r="B70" s="915" t="s">
        <v>1646</v>
      </c>
      <c r="C70" s="915" t="s">
        <v>1700</v>
      </c>
      <c r="D70" s="916" t="s">
        <v>6593</v>
      </c>
      <c r="E70" s="916" t="s">
        <v>6594</v>
      </c>
      <c r="F70" s="916" t="s">
        <v>6595</v>
      </c>
      <c r="G70" s="916" t="s">
        <v>6596</v>
      </c>
      <c r="H70" s="918"/>
      <c r="I70" s="918"/>
      <c r="J70" s="919"/>
    </row>
    <row r="71" ht="22.5" customHeight="1">
      <c r="A71" s="914" t="s">
        <v>1946</v>
      </c>
      <c r="B71" s="915" t="s">
        <v>1949</v>
      </c>
      <c r="C71" s="915" t="s">
        <v>1948</v>
      </c>
      <c r="D71" s="916" t="s">
        <v>4186</v>
      </c>
      <c r="E71" s="916" t="s">
        <v>6597</v>
      </c>
      <c r="F71" s="917"/>
      <c r="G71" s="916" t="s">
        <v>6598</v>
      </c>
      <c r="H71" s="967"/>
      <c r="I71" s="970" t="s">
        <v>572</v>
      </c>
      <c r="J71" s="971"/>
    </row>
    <row r="72" ht="22.5" customHeight="1">
      <c r="A72" s="914" t="s">
        <v>2072</v>
      </c>
      <c r="B72" s="915" t="s">
        <v>1958</v>
      </c>
      <c r="C72" s="915" t="s">
        <v>1969</v>
      </c>
      <c r="D72" s="916" t="s">
        <v>195</v>
      </c>
      <c r="E72" s="917"/>
      <c r="F72" s="917"/>
      <c r="G72" s="916" t="s">
        <v>6599</v>
      </c>
      <c r="H72" s="920"/>
      <c r="I72" s="918" t="s">
        <v>1270</v>
      </c>
      <c r="J72" s="919"/>
    </row>
    <row r="73" ht="22.5" customHeight="1">
      <c r="A73" s="914" t="s">
        <v>6601</v>
      </c>
      <c r="B73" s="915" t="s">
        <v>1958</v>
      </c>
      <c r="C73" s="915" t="s">
        <v>1102</v>
      </c>
      <c r="D73" s="916" t="s">
        <v>195</v>
      </c>
      <c r="E73" s="916" t="s">
        <v>6605</v>
      </c>
      <c r="F73" s="917"/>
      <c r="G73" s="917"/>
      <c r="H73" s="918" t="s">
        <v>572</v>
      </c>
      <c r="I73" s="918" t="s">
        <v>572</v>
      </c>
      <c r="J73" s="919"/>
    </row>
    <row r="74" ht="22.5" hidden="1" customHeight="1">
      <c r="A74" s="914" t="s">
        <v>6611</v>
      </c>
      <c r="B74" s="915" t="s">
        <v>1958</v>
      </c>
      <c r="C74" s="915" t="s">
        <v>1983</v>
      </c>
      <c r="D74" s="917"/>
      <c r="E74" s="917"/>
      <c r="F74" s="917"/>
      <c r="G74" s="917"/>
      <c r="H74" s="918" t="s">
        <v>1270</v>
      </c>
      <c r="I74" s="918" t="s">
        <v>1270</v>
      </c>
      <c r="J74" s="919"/>
    </row>
    <row r="75" ht="22.5" customHeight="1">
      <c r="A75" s="914" t="s">
        <v>2387</v>
      </c>
      <c r="B75" s="915" t="s">
        <v>1999</v>
      </c>
      <c r="C75" s="915" t="s">
        <v>2004</v>
      </c>
      <c r="D75" s="916" t="s">
        <v>195</v>
      </c>
      <c r="E75" s="916" t="s">
        <v>65</v>
      </c>
      <c r="F75" s="917"/>
      <c r="G75" s="917"/>
      <c r="H75" s="918"/>
      <c r="I75" s="920"/>
      <c r="J75" s="925"/>
    </row>
    <row r="76" ht="22.5" customHeight="1">
      <c r="A76" s="916" t="s">
        <v>2387</v>
      </c>
      <c r="B76" s="916" t="s">
        <v>1999</v>
      </c>
      <c r="C76" s="916" t="s">
        <v>2004</v>
      </c>
      <c r="D76" s="916" t="s">
        <v>195</v>
      </c>
      <c r="E76" s="916" t="s">
        <v>6633</v>
      </c>
      <c r="F76" s="916" t="s">
        <v>6635</v>
      </c>
      <c r="G76" s="916" t="s">
        <v>6637</v>
      </c>
      <c r="H76" s="920"/>
      <c r="I76" s="920"/>
      <c r="J76" s="925"/>
    </row>
    <row r="77" ht="22.5" hidden="1" customHeight="1">
      <c r="A77" s="914" t="s">
        <v>6642</v>
      </c>
      <c r="B77" s="915" t="s">
        <v>1999</v>
      </c>
      <c r="C77" s="915" t="s">
        <v>1998</v>
      </c>
      <c r="D77" s="916" t="s">
        <v>66</v>
      </c>
      <c r="E77" s="916" t="s">
        <v>6644</v>
      </c>
      <c r="F77" s="917"/>
      <c r="G77" s="917"/>
      <c r="H77" s="920"/>
      <c r="I77" s="918" t="s">
        <v>1270</v>
      </c>
      <c r="J77" s="919"/>
    </row>
    <row r="78" ht="22.5" customHeight="1">
      <c r="A78" s="914" t="s">
        <v>6651</v>
      </c>
      <c r="B78" s="915" t="s">
        <v>1999</v>
      </c>
      <c r="C78" s="915" t="s">
        <v>2014</v>
      </c>
      <c r="D78" s="916" t="s">
        <v>195</v>
      </c>
      <c r="E78" s="916" t="s">
        <v>6656</v>
      </c>
      <c r="F78" s="916" t="s">
        <v>6658</v>
      </c>
      <c r="G78" s="916" t="s">
        <v>6660</v>
      </c>
      <c r="H78" s="967"/>
      <c r="I78" s="967"/>
      <c r="J78" s="968"/>
    </row>
    <row r="79" ht="22.5" hidden="1" customHeight="1">
      <c r="A79" s="914" t="s">
        <v>2386</v>
      </c>
      <c r="B79" s="915" t="s">
        <v>1999</v>
      </c>
      <c r="C79" s="915" t="s">
        <v>2020</v>
      </c>
      <c r="D79" s="916" t="s">
        <v>6669</v>
      </c>
      <c r="E79" s="916" t="s">
        <v>274</v>
      </c>
      <c r="F79" s="917"/>
      <c r="G79" s="917"/>
      <c r="H79" s="920"/>
      <c r="I79" s="920"/>
      <c r="J79" s="925"/>
    </row>
    <row r="80" ht="22.5" hidden="1" customHeight="1">
      <c r="A80" s="914" t="s">
        <v>6661</v>
      </c>
      <c r="B80" s="915" t="s">
        <v>1999</v>
      </c>
      <c r="C80" s="915" t="s">
        <v>2033</v>
      </c>
      <c r="D80" s="916" t="s">
        <v>66</v>
      </c>
      <c r="E80" s="916" t="s">
        <v>6680</v>
      </c>
      <c r="F80" s="917"/>
      <c r="G80" s="917"/>
      <c r="H80" s="920"/>
      <c r="I80" s="920"/>
      <c r="J80" s="925"/>
    </row>
    <row r="81" ht="22.5" hidden="1" customHeight="1">
      <c r="A81" s="914" t="s">
        <v>2038</v>
      </c>
      <c r="B81" s="915" t="s">
        <v>1999</v>
      </c>
      <c r="C81" s="915" t="s">
        <v>2033</v>
      </c>
      <c r="D81" s="917"/>
      <c r="E81" s="916" t="s">
        <v>6695</v>
      </c>
      <c r="F81" s="917"/>
      <c r="G81" s="917"/>
      <c r="H81" s="970" t="s">
        <v>1270</v>
      </c>
      <c r="I81" s="970" t="s">
        <v>1270</v>
      </c>
      <c r="J81" s="971"/>
    </row>
    <row r="82" ht="15.0" customHeight="1">
      <c r="A82" s="914" t="s">
        <v>6702</v>
      </c>
      <c r="B82" s="915" t="s">
        <v>2045</v>
      </c>
      <c r="C82" s="915" t="s">
        <v>2044</v>
      </c>
      <c r="D82" s="916" t="s">
        <v>6704</v>
      </c>
      <c r="E82" s="916" t="s">
        <v>6706</v>
      </c>
      <c r="F82" s="916" t="s">
        <v>6707</v>
      </c>
      <c r="G82" s="916" t="s">
        <v>6709</v>
      </c>
      <c r="H82" s="920"/>
      <c r="I82" s="918" t="s">
        <v>1270</v>
      </c>
      <c r="J82" s="919"/>
    </row>
    <row r="83" ht="22.5" customHeight="1">
      <c r="A83" s="916" t="s">
        <v>6713</v>
      </c>
      <c r="B83" s="965" t="s">
        <v>2045</v>
      </c>
      <c r="C83" s="965" t="s">
        <v>2048</v>
      </c>
      <c r="D83" s="965" t="s">
        <v>195</v>
      </c>
      <c r="E83" s="965" t="s">
        <v>6717</v>
      </c>
      <c r="F83" s="965" t="s">
        <v>6719</v>
      </c>
      <c r="G83" s="965" t="s">
        <v>6721</v>
      </c>
      <c r="H83" s="918" t="s">
        <v>1270</v>
      </c>
      <c r="I83" s="918" t="s">
        <v>6182</v>
      </c>
      <c r="J83" s="919"/>
    </row>
    <row r="84" ht="22.5" customHeight="1">
      <c r="A84" s="914" t="s">
        <v>2396</v>
      </c>
      <c r="B84" s="915" t="s">
        <v>2045</v>
      </c>
      <c r="C84" s="915" t="s">
        <v>2044</v>
      </c>
      <c r="D84" s="916" t="s">
        <v>195</v>
      </c>
      <c r="E84" s="916" t="s">
        <v>4152</v>
      </c>
      <c r="F84" s="917"/>
      <c r="G84" s="916" t="s">
        <v>6735</v>
      </c>
      <c r="H84" s="920"/>
      <c r="I84" s="920"/>
      <c r="J84" s="925"/>
    </row>
    <row r="85" ht="22.5" hidden="1" customHeight="1">
      <c r="A85" s="914" t="s">
        <v>4030</v>
      </c>
      <c r="B85" s="915" t="s">
        <v>2045</v>
      </c>
      <c r="C85" s="915" t="s">
        <v>2132</v>
      </c>
      <c r="D85" s="916" t="s">
        <v>6745</v>
      </c>
      <c r="E85" s="916" t="s">
        <v>1871</v>
      </c>
      <c r="F85" s="916" t="s">
        <v>6748</v>
      </c>
      <c r="G85" s="916" t="s">
        <v>6751</v>
      </c>
      <c r="H85" s="920"/>
      <c r="I85" s="918" t="s">
        <v>1270</v>
      </c>
      <c r="J85" s="919"/>
    </row>
    <row r="86" ht="22.5" hidden="1" customHeight="1">
      <c r="A86" s="914" t="s">
        <v>6759</v>
      </c>
      <c r="B86" s="915" t="s">
        <v>2045</v>
      </c>
      <c r="C86" s="915" t="s">
        <v>2099</v>
      </c>
      <c r="D86" s="916" t="s">
        <v>6762</v>
      </c>
      <c r="E86" s="916" t="s">
        <v>6764</v>
      </c>
      <c r="F86" s="916" t="s">
        <v>6766</v>
      </c>
      <c r="G86" s="916" t="s">
        <v>6769</v>
      </c>
      <c r="H86" s="920"/>
      <c r="I86" s="918"/>
      <c r="J86" s="919"/>
    </row>
    <row r="87" ht="22.5" customHeight="1">
      <c r="A87" s="916" t="s">
        <v>2175</v>
      </c>
      <c r="B87" s="916" t="s">
        <v>2045</v>
      </c>
      <c r="C87" s="916" t="s">
        <v>2044</v>
      </c>
      <c r="D87" s="916" t="s">
        <v>195</v>
      </c>
      <c r="E87" s="916" t="s">
        <v>6779</v>
      </c>
      <c r="F87" s="916" t="s">
        <v>6780</v>
      </c>
      <c r="G87" s="916" t="s">
        <v>6782</v>
      </c>
      <c r="H87" s="920"/>
      <c r="I87" s="918" t="s">
        <v>1270</v>
      </c>
      <c r="J87" s="919"/>
    </row>
    <row r="88" ht="22.5" customHeight="1">
      <c r="A88" s="924" t="s">
        <v>2182</v>
      </c>
      <c r="B88" s="924" t="s">
        <v>2045</v>
      </c>
      <c r="C88" s="924" t="s">
        <v>2183</v>
      </c>
      <c r="D88" s="982" t="s">
        <v>195</v>
      </c>
      <c r="E88" s="982" t="s">
        <v>6787</v>
      </c>
      <c r="F88" s="937"/>
      <c r="G88" s="935" t="s">
        <v>6788</v>
      </c>
      <c r="H88" s="920"/>
      <c r="I88" s="918" t="s">
        <v>1270</v>
      </c>
      <c r="J88" s="919"/>
    </row>
    <row r="89" ht="22.5" customHeight="1">
      <c r="A89" s="914" t="s">
        <v>2390</v>
      </c>
      <c r="B89" s="915" t="s">
        <v>2045</v>
      </c>
      <c r="C89" s="915" t="s">
        <v>2052</v>
      </c>
      <c r="D89" s="916" t="s">
        <v>195</v>
      </c>
      <c r="E89" s="916" t="s">
        <v>6798</v>
      </c>
      <c r="F89" s="917"/>
      <c r="G89" s="916" t="s">
        <v>6801</v>
      </c>
      <c r="H89" s="918"/>
      <c r="I89" s="918"/>
      <c r="J89" s="919"/>
    </row>
    <row r="90" ht="22.5" customHeight="1">
      <c r="A90" s="914" t="s">
        <v>2021</v>
      </c>
      <c r="B90" s="915" t="s">
        <v>857</v>
      </c>
      <c r="C90" s="915" t="s">
        <v>862</v>
      </c>
      <c r="D90" s="916" t="s">
        <v>195</v>
      </c>
      <c r="E90" s="916" t="s">
        <v>6808</v>
      </c>
      <c r="F90" s="916" t="s">
        <v>6810</v>
      </c>
      <c r="G90" s="916" t="s">
        <v>6811</v>
      </c>
      <c r="H90" s="918" t="s">
        <v>1270</v>
      </c>
      <c r="I90" s="918" t="s">
        <v>1270</v>
      </c>
      <c r="J90" s="919"/>
    </row>
    <row r="91" ht="22.5" customHeight="1">
      <c r="A91" s="914" t="s">
        <v>1857</v>
      </c>
      <c r="B91" s="915" t="s">
        <v>2216</v>
      </c>
      <c r="C91" s="915" t="s">
        <v>2233</v>
      </c>
      <c r="D91" s="916" t="s">
        <v>195</v>
      </c>
      <c r="E91" s="916" t="s">
        <v>6812</v>
      </c>
      <c r="F91" s="917"/>
      <c r="G91" s="917"/>
      <c r="H91" s="918"/>
      <c r="I91" s="918"/>
      <c r="J91" s="919"/>
    </row>
    <row r="92" ht="22.5" customHeight="1">
      <c r="A92" s="914" t="s">
        <v>2097</v>
      </c>
      <c r="B92" s="915" t="s">
        <v>2216</v>
      </c>
      <c r="C92" s="915" t="s">
        <v>2236</v>
      </c>
      <c r="D92" s="916" t="s">
        <v>195</v>
      </c>
      <c r="E92" s="916" t="s">
        <v>6813</v>
      </c>
      <c r="F92" s="916" t="s">
        <v>6814</v>
      </c>
      <c r="G92" s="916" t="s">
        <v>6815</v>
      </c>
      <c r="H92" s="918"/>
      <c r="I92" s="918"/>
      <c r="J92" s="919"/>
    </row>
    <row r="93" ht="22.5" hidden="1" customHeight="1">
      <c r="A93" s="914" t="s">
        <v>2736</v>
      </c>
      <c r="B93" s="915" t="s">
        <v>2250</v>
      </c>
      <c r="C93" s="915" t="s">
        <v>2256</v>
      </c>
      <c r="D93" s="916" t="s">
        <v>66</v>
      </c>
      <c r="E93" s="916" t="s">
        <v>6816</v>
      </c>
      <c r="F93" s="916" t="s">
        <v>6817</v>
      </c>
      <c r="G93" s="916" t="s">
        <v>6818</v>
      </c>
      <c r="H93" s="918"/>
      <c r="I93" s="918"/>
      <c r="J93" s="919"/>
    </row>
    <row r="94" ht="22.5" customHeight="1">
      <c r="A94" s="924" t="s">
        <v>6819</v>
      </c>
      <c r="B94" s="924" t="s">
        <v>2250</v>
      </c>
      <c r="C94" s="924" t="s">
        <v>2248</v>
      </c>
      <c r="D94" s="924" t="s">
        <v>195</v>
      </c>
      <c r="E94" s="921" t="s">
        <v>6820</v>
      </c>
      <c r="F94" s="921" t="s">
        <v>6821</v>
      </c>
      <c r="G94" s="924" t="s">
        <v>6822</v>
      </c>
      <c r="H94" s="918"/>
      <c r="I94" s="918"/>
      <c r="J94" s="919"/>
    </row>
    <row r="95" ht="22.5" customHeight="1">
      <c r="A95" s="916" t="s">
        <v>6823</v>
      </c>
      <c r="B95" s="916" t="s">
        <v>2283</v>
      </c>
      <c r="C95" s="916" t="s">
        <v>2282</v>
      </c>
      <c r="D95" s="916" t="s">
        <v>195</v>
      </c>
      <c r="E95" s="916" t="s">
        <v>6824</v>
      </c>
      <c r="F95" s="917"/>
      <c r="G95" s="916" t="s">
        <v>6825</v>
      </c>
      <c r="H95" s="918"/>
      <c r="I95" s="918"/>
      <c r="J95" s="919"/>
    </row>
    <row r="96" ht="22.5" customHeight="1">
      <c r="A96" s="914" t="s">
        <v>6826</v>
      </c>
      <c r="B96" s="915" t="s">
        <v>2283</v>
      </c>
      <c r="C96" s="915" t="s">
        <v>2304</v>
      </c>
      <c r="D96" s="916" t="s">
        <v>195</v>
      </c>
      <c r="E96" s="916" t="s">
        <v>1871</v>
      </c>
      <c r="F96" s="916" t="s">
        <v>6827</v>
      </c>
      <c r="G96" s="916"/>
      <c r="H96" s="918"/>
      <c r="I96" s="918"/>
      <c r="J96" s="919"/>
    </row>
    <row r="97" ht="22.5" customHeight="1">
      <c r="A97" s="914" t="s">
        <v>2263</v>
      </c>
      <c r="B97" s="915" t="s">
        <v>2283</v>
      </c>
      <c r="C97" s="915" t="s">
        <v>2312</v>
      </c>
      <c r="D97" s="916" t="s">
        <v>6361</v>
      </c>
      <c r="E97" s="916" t="s">
        <v>6828</v>
      </c>
      <c r="F97" s="917"/>
      <c r="G97" s="917"/>
      <c r="H97" s="918"/>
      <c r="I97" s="918"/>
      <c r="J97" s="919"/>
    </row>
    <row r="98" ht="22.5" customHeight="1">
      <c r="A98" s="916" t="s">
        <v>2040</v>
      </c>
      <c r="B98" s="916" t="s">
        <v>2329</v>
      </c>
      <c r="C98" s="916" t="s">
        <v>2342</v>
      </c>
      <c r="D98" s="916" t="s">
        <v>195</v>
      </c>
      <c r="E98" s="916" t="s">
        <v>6829</v>
      </c>
      <c r="F98" s="916" t="s">
        <v>6830</v>
      </c>
      <c r="G98" s="916" t="s">
        <v>6831</v>
      </c>
      <c r="H98" s="918"/>
      <c r="I98" s="918"/>
      <c r="J98" s="919"/>
    </row>
    <row r="99" ht="22.5" hidden="1" customHeight="1">
      <c r="A99" s="914"/>
      <c r="B99" s="915"/>
      <c r="C99" s="915"/>
      <c r="D99" s="916"/>
      <c r="E99" s="982"/>
      <c r="F99" s="978"/>
      <c r="G99" s="916"/>
      <c r="H99" s="918"/>
      <c r="I99" s="918"/>
      <c r="J99" s="919"/>
    </row>
    <row r="100" ht="22.5" hidden="1" customHeight="1">
      <c r="A100" s="989"/>
      <c r="B100" s="989"/>
      <c r="C100" s="989"/>
      <c r="D100" s="989"/>
      <c r="E100" s="989"/>
      <c r="F100" s="989"/>
      <c r="G100" s="989"/>
      <c r="H100" s="1026"/>
      <c r="I100" s="1026"/>
      <c r="J100" s="1027"/>
    </row>
    <row r="101" ht="22.5" hidden="1" customHeight="1">
      <c r="A101" s="989"/>
      <c r="B101" s="989"/>
      <c r="C101" s="989"/>
      <c r="D101" s="989"/>
      <c r="E101" s="989"/>
      <c r="F101" s="989"/>
      <c r="G101" s="989"/>
      <c r="H101" s="1026"/>
      <c r="I101" s="1026"/>
      <c r="J101" s="1027"/>
    </row>
    <row r="102" ht="22.5" hidden="1" customHeight="1">
      <c r="A102" s="989"/>
      <c r="B102" s="989"/>
      <c r="C102" s="989"/>
      <c r="D102" s="989"/>
      <c r="E102" s="989"/>
      <c r="F102" s="989"/>
      <c r="G102" s="989"/>
      <c r="H102" s="1026"/>
      <c r="I102" s="1026"/>
      <c r="J102" s="1027"/>
    </row>
    <row r="103">
      <c r="A103" s="1034"/>
      <c r="B103" s="1034"/>
      <c r="C103" s="1034"/>
      <c r="D103" s="1034"/>
      <c r="E103" s="1034"/>
      <c r="F103" s="1034"/>
      <c r="G103" s="1034"/>
      <c r="H103" s="1035"/>
      <c r="I103" s="1035"/>
      <c r="J103" s="1036"/>
    </row>
    <row r="104">
      <c r="A104" s="1037"/>
      <c r="B104" s="1037"/>
      <c r="C104" s="1037"/>
      <c r="D104" s="1037"/>
      <c r="E104" s="1037"/>
      <c r="F104" s="1037"/>
      <c r="G104" s="1037"/>
      <c r="H104" s="1037"/>
      <c r="I104" s="1037"/>
      <c r="J104" s="1038"/>
    </row>
    <row r="105">
      <c r="A105" s="1037"/>
      <c r="B105" s="1037"/>
      <c r="C105" s="1037"/>
      <c r="D105" s="1037"/>
      <c r="E105" s="1037"/>
      <c r="F105" s="1037"/>
      <c r="G105" s="1037"/>
      <c r="H105" s="1037"/>
      <c r="I105" s="1037"/>
      <c r="J105" s="1038"/>
    </row>
    <row r="106">
      <c r="A106" s="1037"/>
      <c r="B106" s="1037"/>
      <c r="C106" s="1037"/>
      <c r="D106" s="1037"/>
      <c r="E106" s="1037"/>
      <c r="F106" s="1037"/>
      <c r="G106" s="1037"/>
      <c r="H106" s="1037"/>
      <c r="I106" s="1037"/>
      <c r="J106" s="1038"/>
    </row>
    <row r="107">
      <c r="A107" s="1037"/>
      <c r="B107" s="1037"/>
      <c r="C107" s="1037"/>
      <c r="D107" s="1037"/>
      <c r="E107" s="1037"/>
      <c r="F107" s="1037"/>
      <c r="G107" s="1037"/>
      <c r="H107" s="1037"/>
      <c r="I107" s="1037"/>
      <c r="J107" s="1038"/>
    </row>
    <row r="108">
      <c r="A108" s="1037"/>
      <c r="B108" s="1037"/>
      <c r="C108" s="1037"/>
      <c r="D108" s="1037"/>
      <c r="E108" s="1037"/>
      <c r="F108" s="1037"/>
      <c r="G108" s="1037"/>
      <c r="H108" s="1037"/>
      <c r="I108" s="1037"/>
      <c r="J108" s="1038"/>
    </row>
    <row r="109">
      <c r="A109" s="1037"/>
      <c r="B109" s="1037"/>
      <c r="C109" s="1037"/>
      <c r="D109" s="1037"/>
      <c r="E109" s="1037"/>
      <c r="F109" s="1037"/>
      <c r="G109" s="1037"/>
      <c r="H109" s="1037"/>
      <c r="I109" s="1037"/>
      <c r="J109" s="1038"/>
    </row>
    <row r="110">
      <c r="A110" s="1037"/>
      <c r="B110" s="1037"/>
      <c r="C110" s="1037"/>
      <c r="D110" s="1037"/>
      <c r="E110" s="1037"/>
      <c r="F110" s="1037"/>
      <c r="G110" s="1037"/>
      <c r="H110" s="1037"/>
      <c r="I110" s="1037"/>
      <c r="J110" s="1038"/>
    </row>
    <row r="111">
      <c r="A111" s="1037"/>
      <c r="B111" s="1037"/>
      <c r="C111" s="1037"/>
      <c r="D111" s="1037"/>
      <c r="E111" s="1037"/>
      <c r="F111" s="1037"/>
      <c r="G111" s="1037"/>
      <c r="H111" s="1037"/>
      <c r="I111" s="1037"/>
      <c r="J111" s="1038"/>
    </row>
    <row r="112">
      <c r="A112" s="1037"/>
      <c r="B112" s="1037"/>
      <c r="C112" s="1037"/>
      <c r="D112" s="1037"/>
      <c r="E112" s="1037"/>
      <c r="F112" s="1037"/>
      <c r="G112" s="1037"/>
      <c r="H112" s="1037"/>
      <c r="I112" s="1037"/>
      <c r="J112" s="1038"/>
    </row>
    <row r="113">
      <c r="A113" s="1037"/>
      <c r="B113" s="1037"/>
      <c r="C113" s="1037"/>
      <c r="D113" s="1037"/>
      <c r="E113" s="1037"/>
      <c r="F113" s="1037"/>
      <c r="G113" s="1037"/>
      <c r="H113" s="1037"/>
      <c r="I113" s="1037"/>
      <c r="J113" s="1038"/>
    </row>
    <row r="114">
      <c r="A114" s="1037"/>
      <c r="B114" s="1037"/>
      <c r="C114" s="1037"/>
      <c r="D114" s="1037"/>
      <c r="E114" s="1037"/>
      <c r="F114" s="1037"/>
      <c r="G114" s="1037"/>
      <c r="H114" s="1037"/>
      <c r="I114" s="1037"/>
      <c r="J114" s="1038"/>
    </row>
    <row r="115">
      <c r="A115" s="1037"/>
      <c r="B115" s="1037"/>
      <c r="C115" s="1037"/>
      <c r="D115" s="1037"/>
      <c r="E115" s="1037"/>
      <c r="F115" s="1037"/>
      <c r="G115" s="1037"/>
      <c r="H115" s="1037"/>
      <c r="I115" s="1037"/>
      <c r="J115" s="1038"/>
    </row>
    <row r="116">
      <c r="A116" s="1037"/>
      <c r="B116" s="1037"/>
      <c r="C116" s="1037"/>
      <c r="D116" s="1037"/>
      <c r="E116" s="1037"/>
      <c r="F116" s="1037"/>
      <c r="G116" s="1037"/>
      <c r="H116" s="1037"/>
      <c r="I116" s="1037"/>
      <c r="J116" s="1038"/>
    </row>
    <row r="117">
      <c r="A117" s="1037"/>
      <c r="B117" s="1037"/>
      <c r="C117" s="1037"/>
      <c r="D117" s="1037"/>
      <c r="E117" s="1037"/>
      <c r="F117" s="1037"/>
      <c r="G117" s="1037"/>
      <c r="H117" s="1037"/>
      <c r="I117" s="1037"/>
      <c r="J117" s="1038"/>
    </row>
    <row r="118">
      <c r="A118" s="1037"/>
      <c r="B118" s="1037"/>
      <c r="C118" s="1037"/>
      <c r="D118" s="1037"/>
      <c r="E118" s="1037"/>
      <c r="F118" s="1037"/>
      <c r="G118" s="1037"/>
      <c r="H118" s="1037"/>
      <c r="I118" s="1037"/>
      <c r="J118" s="1038"/>
    </row>
    <row r="119">
      <c r="A119" s="1037"/>
      <c r="B119" s="1037"/>
      <c r="C119" s="1037"/>
      <c r="D119" s="1037"/>
      <c r="E119" s="1037"/>
      <c r="F119" s="1037"/>
      <c r="G119" s="1037"/>
      <c r="H119" s="1037"/>
      <c r="I119" s="1037"/>
      <c r="J119" s="1038"/>
    </row>
    <row r="120">
      <c r="A120" s="1037"/>
      <c r="B120" s="1037"/>
      <c r="C120" s="1037"/>
      <c r="D120" s="1037"/>
      <c r="E120" s="1037"/>
      <c r="F120" s="1037"/>
      <c r="G120" s="1037"/>
      <c r="H120" s="1037"/>
      <c r="I120" s="1037"/>
      <c r="J120" s="1038"/>
    </row>
    <row r="121">
      <c r="A121" s="1037"/>
      <c r="B121" s="1037"/>
      <c r="C121" s="1037"/>
      <c r="D121" s="1037"/>
      <c r="E121" s="1037"/>
      <c r="F121" s="1037"/>
      <c r="G121" s="1037"/>
      <c r="H121" s="1037"/>
      <c r="I121" s="1037"/>
      <c r="J121" s="1038"/>
    </row>
    <row r="122">
      <c r="A122" s="1037"/>
      <c r="B122" s="1037"/>
      <c r="C122" s="1037"/>
      <c r="D122" s="1037"/>
      <c r="E122" s="1037"/>
      <c r="F122" s="1037"/>
      <c r="G122" s="1037"/>
      <c r="H122" s="1037"/>
      <c r="I122" s="1037"/>
      <c r="J122" s="1038"/>
    </row>
    <row r="123">
      <c r="A123" s="1037"/>
      <c r="B123" s="1037"/>
      <c r="C123" s="1037"/>
      <c r="D123" s="1037"/>
      <c r="E123" s="1037"/>
      <c r="F123" s="1037"/>
      <c r="G123" s="1037"/>
      <c r="H123" s="1037"/>
      <c r="I123" s="1037"/>
      <c r="J123" s="1038"/>
    </row>
    <row r="124">
      <c r="A124" s="1037"/>
      <c r="B124" s="1037"/>
      <c r="C124" s="1037"/>
      <c r="D124" s="1037"/>
      <c r="E124" s="1037"/>
      <c r="F124" s="1037"/>
      <c r="G124" s="1037"/>
      <c r="H124" s="1037"/>
      <c r="I124" s="1037"/>
      <c r="J124" s="1038"/>
    </row>
    <row r="125">
      <c r="A125" s="1037"/>
      <c r="B125" s="1037"/>
      <c r="C125" s="1037"/>
      <c r="D125" s="1037"/>
      <c r="E125" s="1037"/>
      <c r="F125" s="1037"/>
      <c r="G125" s="1037"/>
      <c r="H125" s="1037"/>
      <c r="I125" s="1037"/>
      <c r="J125" s="1038"/>
    </row>
    <row r="126">
      <c r="A126" s="1037"/>
      <c r="B126" s="1037"/>
      <c r="C126" s="1037"/>
      <c r="D126" s="1037"/>
      <c r="E126" s="1037"/>
      <c r="F126" s="1037"/>
      <c r="G126" s="1037"/>
      <c r="H126" s="1037"/>
      <c r="I126" s="1037"/>
      <c r="J126" s="1038"/>
    </row>
    <row r="127">
      <c r="A127" s="1037"/>
      <c r="B127" s="1037"/>
      <c r="C127" s="1037"/>
      <c r="D127" s="1037"/>
      <c r="E127" s="1037"/>
      <c r="F127" s="1037"/>
      <c r="G127" s="1037"/>
      <c r="H127" s="1037"/>
      <c r="I127" s="1037"/>
      <c r="J127" s="1038"/>
    </row>
    <row r="128">
      <c r="A128" s="1037"/>
      <c r="B128" s="1037"/>
      <c r="C128" s="1037"/>
      <c r="D128" s="1037"/>
      <c r="E128" s="1037"/>
      <c r="F128" s="1037"/>
      <c r="G128" s="1037"/>
      <c r="H128" s="1037"/>
      <c r="I128" s="1037"/>
      <c r="J128" s="1038"/>
    </row>
    <row r="129">
      <c r="A129" s="1037"/>
      <c r="B129" s="1037"/>
      <c r="C129" s="1037"/>
      <c r="D129" s="1037"/>
      <c r="E129" s="1037"/>
      <c r="F129" s="1037"/>
      <c r="G129" s="1037"/>
      <c r="H129" s="1037"/>
      <c r="I129" s="1037"/>
      <c r="J129" s="1038"/>
    </row>
    <row r="130">
      <c r="A130" s="1037"/>
      <c r="B130" s="1037"/>
      <c r="C130" s="1037"/>
      <c r="D130" s="1037"/>
      <c r="E130" s="1037"/>
      <c r="F130" s="1037"/>
      <c r="G130" s="1037"/>
      <c r="H130" s="1037"/>
      <c r="I130" s="1037"/>
      <c r="J130" s="1038"/>
    </row>
    <row r="131">
      <c r="A131" s="1037"/>
      <c r="B131" s="1037"/>
      <c r="C131" s="1037"/>
      <c r="D131" s="1037"/>
      <c r="E131" s="1037"/>
      <c r="F131" s="1037"/>
      <c r="G131" s="1037"/>
      <c r="H131" s="1037"/>
      <c r="I131" s="1037"/>
      <c r="J131" s="1038"/>
    </row>
    <row r="132">
      <c r="A132" s="1037"/>
      <c r="B132" s="1037"/>
      <c r="C132" s="1037"/>
      <c r="D132" s="1037"/>
      <c r="E132" s="1037"/>
      <c r="F132" s="1037"/>
      <c r="G132" s="1037"/>
      <c r="H132" s="1037"/>
      <c r="I132" s="1037"/>
      <c r="J132" s="1038"/>
    </row>
    <row r="133">
      <c r="A133" s="1037"/>
      <c r="B133" s="1037"/>
      <c r="C133" s="1037"/>
      <c r="D133" s="1037"/>
      <c r="E133" s="1037"/>
      <c r="F133" s="1037"/>
      <c r="G133" s="1037"/>
      <c r="H133" s="1037"/>
      <c r="I133" s="1037"/>
      <c r="J133" s="1038"/>
    </row>
    <row r="134">
      <c r="A134" s="1037"/>
      <c r="B134" s="1037"/>
      <c r="C134" s="1037"/>
      <c r="D134" s="1037"/>
      <c r="E134" s="1037"/>
      <c r="F134" s="1037"/>
      <c r="G134" s="1037"/>
      <c r="H134" s="1037"/>
      <c r="I134" s="1037"/>
      <c r="J134" s="1038"/>
    </row>
    <row r="135">
      <c r="A135" s="1037"/>
      <c r="B135" s="1037"/>
      <c r="C135" s="1037"/>
      <c r="D135" s="1037"/>
      <c r="E135" s="1037"/>
      <c r="F135" s="1037"/>
      <c r="G135" s="1037"/>
      <c r="H135" s="1037"/>
      <c r="I135" s="1037"/>
      <c r="J135" s="1038"/>
    </row>
    <row r="136">
      <c r="A136" s="1037"/>
      <c r="B136" s="1037"/>
      <c r="C136" s="1037"/>
      <c r="D136" s="1037"/>
      <c r="E136" s="1037"/>
      <c r="F136" s="1037"/>
      <c r="G136" s="1037"/>
      <c r="H136" s="1037"/>
      <c r="I136" s="1037"/>
      <c r="J136" s="1038"/>
    </row>
    <row r="137">
      <c r="A137" s="1037"/>
      <c r="B137" s="1037"/>
      <c r="C137" s="1037"/>
      <c r="D137" s="1037"/>
      <c r="E137" s="1037"/>
      <c r="F137" s="1037"/>
      <c r="G137" s="1037"/>
      <c r="H137" s="1037"/>
      <c r="I137" s="1037"/>
      <c r="J137" s="1038"/>
    </row>
    <row r="138">
      <c r="A138" s="1037"/>
      <c r="B138" s="1037"/>
      <c r="C138" s="1037"/>
      <c r="D138" s="1037"/>
      <c r="E138" s="1037"/>
      <c r="F138" s="1037"/>
      <c r="G138" s="1037"/>
      <c r="H138" s="1037"/>
      <c r="I138" s="1037"/>
      <c r="J138" s="1038"/>
    </row>
    <row r="139">
      <c r="A139" s="1037"/>
      <c r="B139" s="1037"/>
      <c r="C139" s="1037"/>
      <c r="D139" s="1037"/>
      <c r="E139" s="1037"/>
      <c r="F139" s="1037"/>
      <c r="G139" s="1037"/>
      <c r="H139" s="1037"/>
      <c r="I139" s="1037"/>
      <c r="J139" s="1038"/>
    </row>
    <row r="140">
      <c r="A140" s="1037"/>
      <c r="B140" s="1037"/>
      <c r="C140" s="1037"/>
      <c r="D140" s="1037"/>
      <c r="E140" s="1037"/>
      <c r="F140" s="1037"/>
      <c r="G140" s="1037"/>
      <c r="H140" s="1037"/>
      <c r="I140" s="1037"/>
      <c r="J140" s="1038"/>
    </row>
    <row r="141">
      <c r="A141" s="1037"/>
      <c r="B141" s="1037"/>
      <c r="C141" s="1037"/>
      <c r="D141" s="1037"/>
      <c r="E141" s="1037"/>
      <c r="F141" s="1037"/>
      <c r="G141" s="1037"/>
      <c r="H141" s="1037"/>
      <c r="I141" s="1037"/>
      <c r="J141" s="1038"/>
    </row>
    <row r="142">
      <c r="A142" s="1037"/>
      <c r="B142" s="1037"/>
      <c r="C142" s="1037"/>
      <c r="D142" s="1037"/>
      <c r="E142" s="1037"/>
      <c r="F142" s="1037"/>
      <c r="G142" s="1037"/>
      <c r="H142" s="1037"/>
      <c r="I142" s="1037"/>
      <c r="J142" s="1038"/>
    </row>
    <row r="143">
      <c r="A143" s="1037"/>
      <c r="B143" s="1037"/>
      <c r="C143" s="1037"/>
      <c r="D143" s="1037"/>
      <c r="E143" s="1037"/>
      <c r="F143" s="1037"/>
      <c r="G143" s="1037"/>
      <c r="H143" s="1037"/>
      <c r="I143" s="1037"/>
      <c r="J143" s="1038"/>
    </row>
    <row r="144">
      <c r="A144" s="1037"/>
      <c r="B144" s="1037"/>
      <c r="C144" s="1037"/>
      <c r="D144" s="1037"/>
      <c r="E144" s="1037"/>
      <c r="F144" s="1037"/>
      <c r="G144" s="1037"/>
      <c r="H144" s="1037"/>
      <c r="I144" s="1037"/>
      <c r="J144" s="1038"/>
    </row>
    <row r="145">
      <c r="A145" s="1037"/>
      <c r="B145" s="1037"/>
      <c r="C145" s="1037"/>
      <c r="D145" s="1037"/>
      <c r="E145" s="1037"/>
      <c r="F145" s="1037"/>
      <c r="G145" s="1037"/>
      <c r="H145" s="1037"/>
      <c r="I145" s="1037"/>
      <c r="J145" s="1038"/>
    </row>
    <row r="146">
      <c r="A146" s="1037"/>
      <c r="B146" s="1037"/>
      <c r="C146" s="1037"/>
      <c r="D146" s="1037"/>
      <c r="E146" s="1037"/>
      <c r="F146" s="1037"/>
      <c r="G146" s="1037"/>
      <c r="H146" s="1037"/>
      <c r="I146" s="1037"/>
      <c r="J146" s="1038"/>
    </row>
    <row r="147">
      <c r="A147" s="1037"/>
      <c r="B147" s="1037"/>
      <c r="C147" s="1037"/>
      <c r="D147" s="1037"/>
      <c r="E147" s="1037"/>
      <c r="F147" s="1037"/>
      <c r="G147" s="1037"/>
      <c r="H147" s="1037"/>
      <c r="I147" s="1037"/>
      <c r="J147" s="1038"/>
    </row>
    <row r="148">
      <c r="A148" s="1037"/>
      <c r="B148" s="1037"/>
      <c r="C148" s="1037"/>
      <c r="D148" s="1037"/>
      <c r="E148" s="1037"/>
      <c r="F148" s="1037"/>
      <c r="G148" s="1037"/>
      <c r="H148" s="1037"/>
      <c r="I148" s="1037"/>
      <c r="J148" s="1038"/>
    </row>
    <row r="149">
      <c r="A149" s="1037"/>
      <c r="B149" s="1037"/>
      <c r="C149" s="1037"/>
      <c r="D149" s="1037"/>
      <c r="E149" s="1037"/>
      <c r="F149" s="1037"/>
      <c r="G149" s="1037"/>
      <c r="H149" s="1037"/>
      <c r="I149" s="1037"/>
      <c r="J149" s="1038"/>
    </row>
    <row r="150">
      <c r="A150" s="1037"/>
      <c r="B150" s="1037"/>
      <c r="C150" s="1037"/>
      <c r="D150" s="1037"/>
      <c r="E150" s="1037"/>
      <c r="F150" s="1037"/>
      <c r="G150" s="1037"/>
      <c r="H150" s="1037"/>
      <c r="I150" s="1037"/>
      <c r="J150" s="1038"/>
    </row>
    <row r="151">
      <c r="A151" s="1037"/>
      <c r="B151" s="1037"/>
      <c r="C151" s="1037"/>
      <c r="D151" s="1037"/>
      <c r="E151" s="1037"/>
      <c r="F151" s="1037"/>
      <c r="G151" s="1037"/>
      <c r="H151" s="1037"/>
      <c r="I151" s="1037"/>
      <c r="J151" s="1038"/>
    </row>
    <row r="152">
      <c r="A152" s="1037"/>
      <c r="B152" s="1037"/>
      <c r="C152" s="1037"/>
      <c r="D152" s="1037"/>
      <c r="E152" s="1037"/>
      <c r="F152" s="1037"/>
      <c r="G152" s="1037"/>
      <c r="H152" s="1037"/>
      <c r="I152" s="1037"/>
      <c r="J152" s="1038"/>
    </row>
    <row r="153">
      <c r="A153" s="1037"/>
      <c r="B153" s="1037"/>
      <c r="C153" s="1037"/>
      <c r="D153" s="1037"/>
      <c r="E153" s="1037"/>
      <c r="F153" s="1037"/>
      <c r="G153" s="1037"/>
      <c r="H153" s="1037"/>
      <c r="I153" s="1037"/>
      <c r="J153" s="1038"/>
    </row>
    <row r="154">
      <c r="A154" s="1037"/>
      <c r="B154" s="1037"/>
      <c r="C154" s="1037"/>
      <c r="D154" s="1037"/>
      <c r="E154" s="1037"/>
      <c r="F154" s="1037"/>
      <c r="G154" s="1037"/>
      <c r="H154" s="1037"/>
      <c r="I154" s="1037"/>
      <c r="J154" s="1038"/>
    </row>
    <row r="155">
      <c r="A155" s="1037"/>
      <c r="B155" s="1037"/>
      <c r="C155" s="1037"/>
      <c r="D155" s="1037"/>
      <c r="E155" s="1037"/>
      <c r="F155" s="1037"/>
      <c r="G155" s="1037"/>
      <c r="H155" s="1037"/>
      <c r="I155" s="1037"/>
      <c r="J155" s="1038"/>
    </row>
    <row r="156">
      <c r="A156" s="1037"/>
      <c r="B156" s="1037"/>
      <c r="C156" s="1037"/>
      <c r="D156" s="1037"/>
      <c r="E156" s="1037"/>
      <c r="F156" s="1037"/>
      <c r="G156" s="1037"/>
      <c r="H156" s="1037"/>
      <c r="I156" s="1037"/>
      <c r="J156" s="1038"/>
    </row>
    <row r="157">
      <c r="A157" s="1037"/>
      <c r="B157" s="1037"/>
      <c r="C157" s="1037"/>
      <c r="D157" s="1037"/>
      <c r="E157" s="1037"/>
      <c r="F157" s="1037"/>
      <c r="G157" s="1037"/>
      <c r="H157" s="1037"/>
      <c r="I157" s="1037"/>
      <c r="J157" s="1038"/>
    </row>
    <row r="158">
      <c r="A158" s="1037"/>
      <c r="B158" s="1037"/>
      <c r="C158" s="1037"/>
      <c r="D158" s="1037"/>
      <c r="E158" s="1037"/>
      <c r="F158" s="1037"/>
      <c r="G158" s="1037"/>
      <c r="H158" s="1037"/>
      <c r="I158" s="1037"/>
      <c r="J158" s="1038"/>
    </row>
    <row r="159">
      <c r="A159" s="1037"/>
      <c r="B159" s="1037"/>
      <c r="C159" s="1037"/>
      <c r="D159" s="1037"/>
      <c r="E159" s="1037"/>
      <c r="F159" s="1037"/>
      <c r="G159" s="1037"/>
      <c r="H159" s="1037"/>
      <c r="I159" s="1037"/>
      <c r="J159" s="1038"/>
    </row>
    <row r="160">
      <c r="A160" s="1037"/>
      <c r="B160" s="1037"/>
      <c r="C160" s="1037"/>
      <c r="D160" s="1037"/>
      <c r="E160" s="1037"/>
      <c r="F160" s="1037"/>
      <c r="G160" s="1037"/>
      <c r="H160" s="1037"/>
      <c r="I160" s="1037"/>
      <c r="J160" s="1038"/>
    </row>
    <row r="161">
      <c r="A161" s="1037"/>
      <c r="B161" s="1037"/>
      <c r="C161" s="1037"/>
      <c r="D161" s="1037"/>
      <c r="E161" s="1037"/>
      <c r="F161" s="1037"/>
      <c r="G161" s="1037"/>
      <c r="H161" s="1037"/>
      <c r="I161" s="1037"/>
      <c r="J161" s="1038"/>
    </row>
    <row r="162">
      <c r="A162" s="1037"/>
      <c r="B162" s="1037"/>
      <c r="C162" s="1037"/>
      <c r="D162" s="1037"/>
      <c r="E162" s="1037"/>
      <c r="F162" s="1037"/>
      <c r="G162" s="1037"/>
      <c r="H162" s="1037"/>
      <c r="I162" s="1037"/>
      <c r="J162" s="1038"/>
    </row>
    <row r="163">
      <c r="A163" s="1037"/>
      <c r="B163" s="1037"/>
      <c r="C163" s="1037"/>
      <c r="D163" s="1037"/>
      <c r="E163" s="1037"/>
      <c r="F163" s="1037"/>
      <c r="G163" s="1037"/>
      <c r="H163" s="1037"/>
      <c r="I163" s="1037"/>
      <c r="J163" s="1038"/>
    </row>
    <row r="164">
      <c r="A164" s="1037"/>
      <c r="B164" s="1037"/>
      <c r="C164" s="1037"/>
      <c r="D164" s="1037"/>
      <c r="E164" s="1037"/>
      <c r="F164" s="1037"/>
      <c r="G164" s="1037"/>
      <c r="H164" s="1037"/>
      <c r="I164" s="1037"/>
      <c r="J164" s="1038"/>
    </row>
    <row r="165">
      <c r="A165" s="1037"/>
      <c r="B165" s="1037"/>
      <c r="C165" s="1037"/>
      <c r="D165" s="1037"/>
      <c r="E165" s="1037"/>
      <c r="F165" s="1037"/>
      <c r="G165" s="1037"/>
      <c r="H165" s="1037"/>
      <c r="I165" s="1037"/>
      <c r="J165" s="1038"/>
    </row>
    <row r="166">
      <c r="A166" s="1037"/>
      <c r="B166" s="1037"/>
      <c r="C166" s="1037"/>
      <c r="D166" s="1037"/>
      <c r="E166" s="1037"/>
      <c r="F166" s="1037"/>
      <c r="G166" s="1037"/>
      <c r="H166" s="1037"/>
      <c r="I166" s="1037"/>
      <c r="J166" s="1038"/>
    </row>
    <row r="167">
      <c r="A167" s="1037"/>
      <c r="B167" s="1037"/>
      <c r="C167" s="1037"/>
      <c r="D167" s="1037"/>
      <c r="E167" s="1037"/>
      <c r="F167" s="1037"/>
      <c r="G167" s="1037"/>
      <c r="H167" s="1037"/>
      <c r="I167" s="1037"/>
      <c r="J167" s="1038"/>
    </row>
    <row r="168">
      <c r="A168" s="1037"/>
      <c r="B168" s="1037"/>
      <c r="C168" s="1037"/>
      <c r="D168" s="1037"/>
      <c r="E168" s="1037"/>
      <c r="F168" s="1037"/>
      <c r="G168" s="1037"/>
      <c r="H168" s="1037"/>
      <c r="I168" s="1037"/>
      <c r="J168" s="1038"/>
    </row>
    <row r="169">
      <c r="A169" s="1037"/>
      <c r="B169" s="1037"/>
      <c r="C169" s="1037"/>
      <c r="D169" s="1037"/>
      <c r="E169" s="1037"/>
      <c r="F169" s="1037"/>
      <c r="G169" s="1037"/>
      <c r="H169" s="1037"/>
      <c r="I169" s="1037"/>
      <c r="J169" s="1038"/>
    </row>
    <row r="170">
      <c r="A170" s="1037"/>
      <c r="B170" s="1037"/>
      <c r="C170" s="1037"/>
      <c r="D170" s="1037"/>
      <c r="E170" s="1037"/>
      <c r="F170" s="1037"/>
      <c r="G170" s="1037"/>
      <c r="H170" s="1037"/>
      <c r="I170" s="1037"/>
      <c r="J170" s="1038"/>
    </row>
    <row r="171">
      <c r="A171" s="1037"/>
      <c r="B171" s="1037"/>
      <c r="C171" s="1037"/>
      <c r="D171" s="1037"/>
      <c r="E171" s="1037"/>
      <c r="F171" s="1037"/>
      <c r="G171" s="1037"/>
      <c r="H171" s="1037"/>
      <c r="I171" s="1037"/>
      <c r="J171" s="1038"/>
    </row>
    <row r="172">
      <c r="A172" s="1037"/>
      <c r="B172" s="1037"/>
      <c r="C172" s="1037"/>
      <c r="D172" s="1037"/>
      <c r="E172" s="1037"/>
      <c r="F172" s="1037"/>
      <c r="G172" s="1037"/>
      <c r="H172" s="1037"/>
      <c r="I172" s="1037"/>
      <c r="J172" s="1038"/>
    </row>
    <row r="173">
      <c r="A173" s="1037"/>
      <c r="B173" s="1037"/>
      <c r="C173" s="1037"/>
      <c r="D173" s="1037"/>
      <c r="E173" s="1037"/>
      <c r="F173" s="1037"/>
      <c r="G173" s="1037"/>
      <c r="H173" s="1037"/>
      <c r="I173" s="1037"/>
      <c r="J173" s="1038"/>
    </row>
    <row r="174">
      <c r="A174" s="1037"/>
      <c r="B174" s="1037"/>
      <c r="C174" s="1037"/>
      <c r="D174" s="1037"/>
      <c r="E174" s="1037"/>
      <c r="F174" s="1037"/>
      <c r="G174" s="1037"/>
      <c r="H174" s="1037"/>
      <c r="I174" s="1037"/>
      <c r="J174" s="1038"/>
    </row>
    <row r="175">
      <c r="A175" s="1037"/>
      <c r="B175" s="1037"/>
      <c r="C175" s="1037"/>
      <c r="D175" s="1037"/>
      <c r="E175" s="1037"/>
      <c r="F175" s="1037"/>
      <c r="G175" s="1037"/>
      <c r="H175" s="1037"/>
      <c r="I175" s="1037"/>
      <c r="J175" s="1038"/>
    </row>
    <row r="176">
      <c r="A176" s="1037"/>
      <c r="B176" s="1037"/>
      <c r="C176" s="1037"/>
      <c r="D176" s="1037"/>
      <c r="E176" s="1037"/>
      <c r="F176" s="1037"/>
      <c r="G176" s="1037"/>
      <c r="H176" s="1037"/>
      <c r="I176" s="1037"/>
      <c r="J176" s="1038"/>
    </row>
    <row r="177">
      <c r="A177" s="1037"/>
      <c r="B177" s="1037"/>
      <c r="C177" s="1037"/>
      <c r="D177" s="1037"/>
      <c r="E177" s="1037"/>
      <c r="F177" s="1037"/>
      <c r="G177" s="1037"/>
      <c r="H177" s="1037"/>
      <c r="I177" s="1037"/>
      <c r="J177" s="1038"/>
    </row>
    <row r="178">
      <c r="A178" s="1037"/>
      <c r="B178" s="1037"/>
      <c r="C178" s="1037"/>
      <c r="D178" s="1037"/>
      <c r="E178" s="1037"/>
      <c r="F178" s="1037"/>
      <c r="G178" s="1037"/>
      <c r="H178" s="1037"/>
      <c r="I178" s="1037"/>
      <c r="J178" s="1038"/>
    </row>
    <row r="179">
      <c r="A179" s="1037"/>
      <c r="B179" s="1037"/>
      <c r="C179" s="1037"/>
      <c r="D179" s="1037"/>
      <c r="E179" s="1037"/>
      <c r="F179" s="1037"/>
      <c r="G179" s="1037"/>
      <c r="H179" s="1037"/>
      <c r="I179" s="1037"/>
      <c r="J179" s="1038"/>
    </row>
    <row r="180">
      <c r="A180" s="1037"/>
      <c r="B180" s="1037"/>
      <c r="C180" s="1037"/>
      <c r="D180" s="1037"/>
      <c r="E180" s="1037"/>
      <c r="F180" s="1037"/>
      <c r="G180" s="1037"/>
      <c r="H180" s="1037"/>
      <c r="I180" s="1037"/>
      <c r="J180" s="1038"/>
    </row>
    <row r="181">
      <c r="A181" s="1037"/>
      <c r="B181" s="1037"/>
      <c r="C181" s="1037"/>
      <c r="D181" s="1037"/>
      <c r="E181" s="1037"/>
      <c r="F181" s="1037"/>
      <c r="G181" s="1037"/>
      <c r="H181" s="1037"/>
      <c r="I181" s="1037"/>
      <c r="J181" s="1038"/>
    </row>
    <row r="182">
      <c r="A182" s="1037"/>
      <c r="B182" s="1037"/>
      <c r="C182" s="1037"/>
      <c r="D182" s="1037"/>
      <c r="E182" s="1037"/>
      <c r="F182" s="1037"/>
      <c r="G182" s="1037"/>
      <c r="H182" s="1037"/>
      <c r="I182" s="1037"/>
      <c r="J182" s="1038"/>
    </row>
    <row r="183">
      <c r="A183" s="1037"/>
      <c r="B183" s="1037"/>
      <c r="C183" s="1037"/>
      <c r="D183" s="1037"/>
      <c r="E183" s="1037"/>
      <c r="F183" s="1037"/>
      <c r="G183" s="1037"/>
      <c r="H183" s="1037"/>
      <c r="I183" s="1037"/>
      <c r="J183" s="1038"/>
    </row>
    <row r="184">
      <c r="A184" s="1037"/>
      <c r="B184" s="1037"/>
      <c r="C184" s="1037"/>
      <c r="D184" s="1037"/>
      <c r="E184" s="1037"/>
      <c r="F184" s="1037"/>
      <c r="G184" s="1037"/>
      <c r="H184" s="1037"/>
      <c r="I184" s="1037"/>
      <c r="J184" s="1038"/>
    </row>
    <row r="185">
      <c r="A185" s="1037"/>
      <c r="B185" s="1037"/>
      <c r="C185" s="1037"/>
      <c r="D185" s="1037"/>
      <c r="E185" s="1037"/>
      <c r="F185" s="1037"/>
      <c r="G185" s="1037"/>
      <c r="H185" s="1037"/>
      <c r="I185" s="1037"/>
      <c r="J185" s="1038"/>
    </row>
    <row r="186">
      <c r="A186" s="1037"/>
      <c r="B186" s="1037"/>
      <c r="C186" s="1037"/>
      <c r="D186" s="1037"/>
      <c r="E186" s="1037"/>
      <c r="F186" s="1037"/>
      <c r="G186" s="1037"/>
      <c r="H186" s="1037"/>
      <c r="I186" s="1037"/>
      <c r="J186" s="1038"/>
    </row>
    <row r="187">
      <c r="A187" s="1037"/>
      <c r="B187" s="1037"/>
      <c r="C187" s="1037"/>
      <c r="D187" s="1037"/>
      <c r="E187" s="1037"/>
      <c r="F187" s="1037"/>
      <c r="G187" s="1037"/>
      <c r="H187" s="1037"/>
      <c r="I187" s="1037"/>
      <c r="J187" s="1038"/>
    </row>
    <row r="188">
      <c r="A188" s="1037"/>
      <c r="B188" s="1037"/>
      <c r="C188" s="1037"/>
      <c r="D188" s="1037"/>
      <c r="E188" s="1037"/>
      <c r="F188" s="1037"/>
      <c r="G188" s="1037"/>
      <c r="H188" s="1037"/>
      <c r="I188" s="1037"/>
      <c r="J188" s="1038"/>
    </row>
    <row r="189">
      <c r="A189" s="1037"/>
      <c r="B189" s="1037"/>
      <c r="C189" s="1037"/>
      <c r="D189" s="1037"/>
      <c r="E189" s="1037"/>
      <c r="F189" s="1037"/>
      <c r="G189" s="1037"/>
      <c r="H189" s="1037"/>
      <c r="I189" s="1037"/>
      <c r="J189" s="1038"/>
    </row>
    <row r="190">
      <c r="A190" s="1037"/>
      <c r="B190" s="1037"/>
      <c r="C190" s="1037"/>
      <c r="D190" s="1037"/>
      <c r="E190" s="1037"/>
      <c r="F190" s="1037"/>
      <c r="G190" s="1037"/>
      <c r="H190" s="1037"/>
      <c r="I190" s="1037"/>
      <c r="J190" s="1038"/>
    </row>
    <row r="191">
      <c r="A191" s="1037"/>
      <c r="B191" s="1037"/>
      <c r="C191" s="1037"/>
      <c r="D191" s="1037"/>
      <c r="E191" s="1037"/>
      <c r="F191" s="1037"/>
      <c r="G191" s="1037"/>
      <c r="H191" s="1037"/>
      <c r="I191" s="1037"/>
      <c r="J191" s="1038"/>
    </row>
    <row r="192">
      <c r="A192" s="1037"/>
      <c r="B192" s="1037"/>
      <c r="C192" s="1037"/>
      <c r="D192" s="1037"/>
      <c r="E192" s="1037"/>
      <c r="F192" s="1037"/>
      <c r="G192" s="1037"/>
      <c r="H192" s="1037"/>
      <c r="I192" s="1037"/>
      <c r="J192" s="1038"/>
    </row>
    <row r="193">
      <c r="A193" s="1037"/>
      <c r="B193" s="1037"/>
      <c r="C193" s="1037"/>
      <c r="D193" s="1037"/>
      <c r="E193" s="1037"/>
      <c r="F193" s="1037"/>
      <c r="G193" s="1037"/>
      <c r="H193" s="1037"/>
      <c r="I193" s="1037"/>
      <c r="J193" s="1038"/>
    </row>
    <row r="194">
      <c r="A194" s="1037"/>
      <c r="B194" s="1037"/>
      <c r="C194" s="1037"/>
      <c r="D194" s="1037"/>
      <c r="E194" s="1037"/>
      <c r="F194" s="1037"/>
      <c r="G194" s="1037"/>
      <c r="H194" s="1037"/>
      <c r="I194" s="1037"/>
      <c r="J194" s="1038"/>
    </row>
    <row r="195">
      <c r="A195" s="1037"/>
      <c r="B195" s="1037"/>
      <c r="C195" s="1037"/>
      <c r="D195" s="1037"/>
      <c r="E195" s="1037"/>
      <c r="F195" s="1037"/>
      <c r="G195" s="1037"/>
      <c r="H195" s="1037"/>
      <c r="I195" s="1037"/>
      <c r="J195" s="1038"/>
    </row>
    <row r="196">
      <c r="A196" s="1037"/>
      <c r="B196" s="1037"/>
      <c r="C196" s="1037"/>
      <c r="D196" s="1037"/>
      <c r="E196" s="1037"/>
      <c r="F196" s="1037"/>
      <c r="G196" s="1037"/>
      <c r="H196" s="1037"/>
      <c r="I196" s="1037"/>
      <c r="J196" s="1038"/>
    </row>
    <row r="197">
      <c r="A197" s="1037"/>
      <c r="B197" s="1037"/>
      <c r="C197" s="1037"/>
      <c r="D197" s="1037"/>
      <c r="E197" s="1037"/>
      <c r="F197" s="1037"/>
      <c r="G197" s="1037"/>
      <c r="H197" s="1037"/>
      <c r="I197" s="1037"/>
      <c r="J197" s="1038"/>
    </row>
    <row r="198">
      <c r="A198" s="1037"/>
      <c r="B198" s="1037"/>
      <c r="C198" s="1037"/>
      <c r="D198" s="1037"/>
      <c r="E198" s="1037"/>
      <c r="F198" s="1037"/>
      <c r="G198" s="1037"/>
      <c r="H198" s="1037"/>
      <c r="I198" s="1037"/>
      <c r="J198" s="1038"/>
    </row>
    <row r="199">
      <c r="A199" s="1037"/>
      <c r="B199" s="1037"/>
      <c r="C199" s="1037"/>
      <c r="D199" s="1037"/>
      <c r="E199" s="1037"/>
      <c r="F199" s="1037"/>
      <c r="G199" s="1037"/>
      <c r="H199" s="1037"/>
      <c r="I199" s="1037"/>
      <c r="J199" s="1038"/>
    </row>
    <row r="200">
      <c r="A200" s="1037"/>
      <c r="B200" s="1037"/>
      <c r="C200" s="1037"/>
      <c r="D200" s="1037"/>
      <c r="E200" s="1037"/>
      <c r="F200" s="1037"/>
      <c r="G200" s="1037"/>
      <c r="H200" s="1037"/>
      <c r="I200" s="1037"/>
      <c r="J200" s="1038"/>
    </row>
    <row r="201">
      <c r="A201" s="1037"/>
      <c r="B201" s="1037"/>
      <c r="C201" s="1037"/>
      <c r="D201" s="1037"/>
      <c r="E201" s="1037"/>
      <c r="F201" s="1037"/>
      <c r="G201" s="1037"/>
      <c r="H201" s="1037"/>
      <c r="I201" s="1037"/>
      <c r="J201" s="1038"/>
    </row>
    <row r="202">
      <c r="A202" s="1037"/>
      <c r="B202" s="1037"/>
      <c r="C202" s="1037"/>
      <c r="D202" s="1037"/>
      <c r="E202" s="1037"/>
      <c r="F202" s="1037"/>
      <c r="G202" s="1037"/>
      <c r="H202" s="1037"/>
      <c r="I202" s="1037"/>
      <c r="J202" s="1038"/>
    </row>
    <row r="203">
      <c r="A203" s="1037"/>
      <c r="B203" s="1037"/>
      <c r="C203" s="1037"/>
      <c r="D203" s="1037"/>
      <c r="E203" s="1037"/>
      <c r="F203" s="1037"/>
      <c r="G203" s="1037"/>
      <c r="H203" s="1037"/>
      <c r="I203" s="1037"/>
      <c r="J203" s="1038"/>
    </row>
    <row r="204">
      <c r="A204" s="1037"/>
      <c r="B204" s="1037"/>
      <c r="C204" s="1037"/>
      <c r="D204" s="1037"/>
      <c r="E204" s="1037"/>
      <c r="F204" s="1037"/>
      <c r="G204" s="1037"/>
      <c r="H204" s="1037"/>
      <c r="I204" s="1037"/>
      <c r="J204" s="1038"/>
    </row>
    <row r="205">
      <c r="A205" s="1037"/>
      <c r="B205" s="1037"/>
      <c r="C205" s="1037"/>
      <c r="D205" s="1037"/>
      <c r="E205" s="1037"/>
      <c r="F205" s="1037"/>
      <c r="G205" s="1037"/>
      <c r="H205" s="1037"/>
      <c r="I205" s="1037"/>
      <c r="J205" s="1038"/>
    </row>
    <row r="206">
      <c r="A206" s="1037"/>
      <c r="B206" s="1037"/>
      <c r="C206" s="1037"/>
      <c r="D206" s="1037"/>
      <c r="E206" s="1037"/>
      <c r="F206" s="1037"/>
      <c r="G206" s="1037"/>
      <c r="H206" s="1037"/>
      <c r="I206" s="1037"/>
      <c r="J206" s="1038"/>
    </row>
    <row r="207">
      <c r="A207" s="1037"/>
      <c r="B207" s="1037"/>
      <c r="C207" s="1037"/>
      <c r="D207" s="1037"/>
      <c r="E207" s="1037"/>
      <c r="F207" s="1037"/>
      <c r="G207" s="1037"/>
      <c r="H207" s="1037"/>
      <c r="I207" s="1037"/>
      <c r="J207" s="1038"/>
    </row>
    <row r="208">
      <c r="A208" s="1037"/>
      <c r="B208" s="1037"/>
      <c r="C208" s="1037"/>
      <c r="D208" s="1037"/>
      <c r="E208" s="1037"/>
      <c r="F208" s="1037"/>
      <c r="G208" s="1037"/>
      <c r="H208" s="1037"/>
      <c r="I208" s="1037"/>
      <c r="J208" s="1038"/>
    </row>
    <row r="209">
      <c r="A209" s="1037"/>
      <c r="B209" s="1037"/>
      <c r="C209" s="1037"/>
      <c r="D209" s="1037"/>
      <c r="E209" s="1037"/>
      <c r="F209" s="1037"/>
      <c r="G209" s="1037"/>
      <c r="H209" s="1037"/>
      <c r="I209" s="1037"/>
      <c r="J209" s="1038"/>
    </row>
    <row r="210">
      <c r="A210" s="1037"/>
      <c r="B210" s="1037"/>
      <c r="C210" s="1037"/>
      <c r="D210" s="1037"/>
      <c r="E210" s="1037"/>
      <c r="F210" s="1037"/>
      <c r="G210" s="1037"/>
      <c r="H210" s="1037"/>
      <c r="I210" s="1037"/>
      <c r="J210" s="1038"/>
    </row>
    <row r="211">
      <c r="A211" s="1037"/>
      <c r="B211" s="1037"/>
      <c r="C211" s="1037"/>
      <c r="D211" s="1037"/>
      <c r="E211" s="1037"/>
      <c r="F211" s="1037"/>
      <c r="G211" s="1037"/>
      <c r="H211" s="1037"/>
      <c r="I211" s="1037"/>
      <c r="J211" s="1038"/>
    </row>
    <row r="212">
      <c r="A212" s="1037"/>
      <c r="B212" s="1037"/>
      <c r="C212" s="1037"/>
      <c r="D212" s="1037"/>
      <c r="E212" s="1037"/>
      <c r="F212" s="1037"/>
      <c r="G212" s="1037"/>
      <c r="H212" s="1037"/>
      <c r="I212" s="1037"/>
      <c r="J212" s="1038"/>
    </row>
    <row r="213">
      <c r="A213" s="1037"/>
      <c r="B213" s="1037"/>
      <c r="C213" s="1037"/>
      <c r="D213" s="1037"/>
      <c r="E213" s="1037"/>
      <c r="F213" s="1037"/>
      <c r="G213" s="1037"/>
      <c r="H213" s="1037"/>
      <c r="I213" s="1037"/>
      <c r="J213" s="1038"/>
    </row>
    <row r="214">
      <c r="A214" s="1037"/>
      <c r="B214" s="1037"/>
      <c r="C214" s="1037"/>
      <c r="D214" s="1037"/>
      <c r="E214" s="1037"/>
      <c r="F214" s="1037"/>
      <c r="G214" s="1037"/>
      <c r="H214" s="1037"/>
      <c r="I214" s="1037"/>
      <c r="J214" s="1038"/>
    </row>
    <row r="215">
      <c r="A215" s="1037"/>
      <c r="B215" s="1037"/>
      <c r="C215" s="1037"/>
      <c r="D215" s="1037"/>
      <c r="E215" s="1037"/>
      <c r="F215" s="1037"/>
      <c r="G215" s="1037"/>
      <c r="H215" s="1037"/>
      <c r="I215" s="1037"/>
      <c r="J215" s="1038"/>
    </row>
    <row r="216">
      <c r="A216" s="1037"/>
      <c r="B216" s="1037"/>
      <c r="C216" s="1037"/>
      <c r="D216" s="1037"/>
      <c r="E216" s="1037"/>
      <c r="F216" s="1037"/>
      <c r="G216" s="1037"/>
      <c r="H216" s="1037"/>
      <c r="I216" s="1037"/>
      <c r="J216" s="1038"/>
    </row>
    <row r="217">
      <c r="A217" s="1037"/>
      <c r="B217" s="1037"/>
      <c r="C217" s="1037"/>
      <c r="D217" s="1037"/>
      <c r="E217" s="1037"/>
      <c r="F217" s="1037"/>
      <c r="G217" s="1037"/>
      <c r="H217" s="1037"/>
      <c r="I217" s="1037"/>
      <c r="J217" s="1038"/>
    </row>
    <row r="218">
      <c r="A218" s="1037"/>
      <c r="B218" s="1037"/>
      <c r="C218" s="1037"/>
      <c r="D218" s="1037"/>
      <c r="E218" s="1037"/>
      <c r="F218" s="1037"/>
      <c r="G218" s="1037"/>
      <c r="H218" s="1037"/>
      <c r="I218" s="1037"/>
      <c r="J218" s="1038"/>
    </row>
    <row r="219">
      <c r="A219" s="1037"/>
      <c r="B219" s="1037"/>
      <c r="C219" s="1037"/>
      <c r="D219" s="1037"/>
      <c r="E219" s="1037"/>
      <c r="F219" s="1037"/>
      <c r="G219" s="1037"/>
      <c r="H219" s="1037"/>
      <c r="I219" s="1037"/>
      <c r="J219" s="1038"/>
    </row>
    <row r="220">
      <c r="A220" s="1037"/>
      <c r="B220" s="1037"/>
      <c r="C220" s="1037"/>
      <c r="D220" s="1037"/>
      <c r="E220" s="1037"/>
      <c r="F220" s="1037"/>
      <c r="G220" s="1037"/>
      <c r="H220" s="1037"/>
      <c r="I220" s="1037"/>
      <c r="J220" s="1038"/>
    </row>
    <row r="221">
      <c r="A221" s="1037"/>
      <c r="B221" s="1037"/>
      <c r="C221" s="1037"/>
      <c r="D221" s="1037"/>
      <c r="E221" s="1037"/>
      <c r="F221" s="1037"/>
      <c r="G221" s="1037"/>
      <c r="H221" s="1037"/>
      <c r="I221" s="1037"/>
      <c r="J221" s="1038"/>
    </row>
    <row r="222">
      <c r="A222" s="1037"/>
      <c r="B222" s="1037"/>
      <c r="C222" s="1037"/>
      <c r="D222" s="1037"/>
      <c r="E222" s="1037"/>
      <c r="F222" s="1037"/>
      <c r="G222" s="1037"/>
      <c r="H222" s="1037"/>
      <c r="I222" s="1037"/>
      <c r="J222" s="1038"/>
    </row>
    <row r="223">
      <c r="A223" s="1037"/>
      <c r="B223" s="1037"/>
      <c r="C223" s="1037"/>
      <c r="D223" s="1037"/>
      <c r="E223" s="1037"/>
      <c r="F223" s="1037"/>
      <c r="G223" s="1037"/>
      <c r="H223" s="1037"/>
      <c r="I223" s="1037"/>
      <c r="J223" s="1038"/>
    </row>
    <row r="224">
      <c r="A224" s="1037"/>
      <c r="B224" s="1037"/>
      <c r="C224" s="1037"/>
      <c r="D224" s="1037"/>
      <c r="E224" s="1037"/>
      <c r="F224" s="1037"/>
      <c r="G224" s="1037"/>
      <c r="H224" s="1037"/>
      <c r="I224" s="1037"/>
      <c r="J224" s="1038"/>
    </row>
    <row r="225">
      <c r="A225" s="1037"/>
      <c r="B225" s="1037"/>
      <c r="C225" s="1037"/>
      <c r="D225" s="1037"/>
      <c r="E225" s="1037"/>
      <c r="F225" s="1037"/>
      <c r="G225" s="1037"/>
      <c r="H225" s="1037"/>
      <c r="I225" s="1037"/>
      <c r="J225" s="1038"/>
    </row>
    <row r="226">
      <c r="A226" s="1037"/>
      <c r="B226" s="1037"/>
      <c r="C226" s="1037"/>
      <c r="D226" s="1037"/>
      <c r="E226" s="1037"/>
      <c r="F226" s="1037"/>
      <c r="G226" s="1037"/>
      <c r="H226" s="1037"/>
      <c r="I226" s="1037"/>
      <c r="J226" s="1038"/>
    </row>
    <row r="227">
      <c r="A227" s="1037"/>
      <c r="B227" s="1037"/>
      <c r="C227" s="1037"/>
      <c r="D227" s="1037"/>
      <c r="E227" s="1037"/>
      <c r="F227" s="1037"/>
      <c r="G227" s="1037"/>
      <c r="H227" s="1037"/>
      <c r="I227" s="1037"/>
      <c r="J227" s="1038"/>
    </row>
    <row r="228">
      <c r="A228" s="1037"/>
      <c r="B228" s="1037"/>
      <c r="C228" s="1037"/>
      <c r="D228" s="1037"/>
      <c r="E228" s="1037"/>
      <c r="F228" s="1037"/>
      <c r="G228" s="1037"/>
      <c r="H228" s="1037"/>
      <c r="I228" s="1037"/>
      <c r="J228" s="1038"/>
    </row>
    <row r="229">
      <c r="A229" s="1037"/>
      <c r="B229" s="1037"/>
      <c r="C229" s="1037"/>
      <c r="D229" s="1037"/>
      <c r="E229" s="1037"/>
      <c r="F229" s="1037"/>
      <c r="G229" s="1037"/>
      <c r="H229" s="1037"/>
      <c r="I229" s="1037"/>
      <c r="J229" s="1038"/>
    </row>
    <row r="230">
      <c r="A230" s="1037"/>
      <c r="B230" s="1037"/>
      <c r="C230" s="1037"/>
      <c r="D230" s="1037"/>
      <c r="E230" s="1037"/>
      <c r="F230" s="1037"/>
      <c r="G230" s="1037"/>
      <c r="H230" s="1037"/>
      <c r="I230" s="1037"/>
      <c r="J230" s="1038"/>
    </row>
    <row r="231">
      <c r="A231" s="1037"/>
      <c r="B231" s="1037"/>
      <c r="C231" s="1037"/>
      <c r="D231" s="1037"/>
      <c r="E231" s="1037"/>
      <c r="F231" s="1037"/>
      <c r="G231" s="1037"/>
      <c r="H231" s="1037"/>
      <c r="I231" s="1037"/>
      <c r="J231" s="1038"/>
    </row>
    <row r="232">
      <c r="A232" s="1037"/>
      <c r="B232" s="1037"/>
      <c r="C232" s="1037"/>
      <c r="D232" s="1037"/>
      <c r="E232" s="1037"/>
      <c r="F232" s="1037"/>
      <c r="G232" s="1037"/>
      <c r="H232" s="1037"/>
      <c r="I232" s="1037"/>
      <c r="J232" s="1038"/>
    </row>
    <row r="233">
      <c r="A233" s="1037"/>
      <c r="B233" s="1037"/>
      <c r="C233" s="1037"/>
      <c r="D233" s="1037"/>
      <c r="E233" s="1037"/>
      <c r="F233" s="1037"/>
      <c r="G233" s="1037"/>
      <c r="H233" s="1037"/>
      <c r="I233" s="1037"/>
      <c r="J233" s="1038"/>
    </row>
    <row r="234">
      <c r="A234" s="1037"/>
      <c r="B234" s="1037"/>
      <c r="C234" s="1037"/>
      <c r="D234" s="1037"/>
      <c r="E234" s="1037"/>
      <c r="F234" s="1037"/>
      <c r="G234" s="1037"/>
      <c r="H234" s="1037"/>
      <c r="I234" s="1037"/>
      <c r="J234" s="1038"/>
    </row>
    <row r="235">
      <c r="A235" s="1037"/>
      <c r="B235" s="1037"/>
      <c r="C235" s="1037"/>
      <c r="D235" s="1037"/>
      <c r="E235" s="1037"/>
      <c r="F235" s="1037"/>
      <c r="G235" s="1037"/>
      <c r="H235" s="1037"/>
      <c r="I235" s="1037"/>
      <c r="J235" s="1038"/>
    </row>
    <row r="236">
      <c r="A236" s="1037"/>
      <c r="B236" s="1037"/>
      <c r="C236" s="1037"/>
      <c r="D236" s="1037"/>
      <c r="E236" s="1037"/>
      <c r="F236" s="1037"/>
      <c r="G236" s="1037"/>
      <c r="H236" s="1037"/>
      <c r="I236" s="1037"/>
      <c r="J236" s="1038"/>
    </row>
    <row r="237">
      <c r="A237" s="1037"/>
      <c r="B237" s="1037"/>
      <c r="C237" s="1037"/>
      <c r="D237" s="1037"/>
      <c r="E237" s="1037"/>
      <c r="F237" s="1037"/>
      <c r="G237" s="1037"/>
      <c r="H237" s="1037"/>
      <c r="I237" s="1037"/>
      <c r="J237" s="1038"/>
    </row>
    <row r="238">
      <c r="A238" s="1037"/>
      <c r="B238" s="1037"/>
      <c r="C238" s="1037"/>
      <c r="D238" s="1037"/>
      <c r="E238" s="1037"/>
      <c r="F238" s="1037"/>
      <c r="G238" s="1037"/>
      <c r="H238" s="1037"/>
      <c r="I238" s="1037"/>
      <c r="J238" s="1038"/>
    </row>
    <row r="239">
      <c r="A239" s="1037"/>
      <c r="B239" s="1037"/>
      <c r="C239" s="1037"/>
      <c r="D239" s="1037"/>
      <c r="E239" s="1037"/>
      <c r="F239" s="1037"/>
      <c r="G239" s="1037"/>
      <c r="H239" s="1037"/>
      <c r="I239" s="1037"/>
      <c r="J239" s="1038"/>
    </row>
    <row r="240">
      <c r="A240" s="1037"/>
      <c r="B240" s="1037"/>
      <c r="C240" s="1037"/>
      <c r="D240" s="1037"/>
      <c r="E240" s="1037"/>
      <c r="F240" s="1037"/>
      <c r="G240" s="1037"/>
      <c r="H240" s="1037"/>
      <c r="I240" s="1037"/>
      <c r="J240" s="1038"/>
    </row>
    <row r="241">
      <c r="A241" s="1037"/>
      <c r="B241" s="1037"/>
      <c r="C241" s="1037"/>
      <c r="D241" s="1037"/>
      <c r="E241" s="1037"/>
      <c r="F241" s="1037"/>
      <c r="G241" s="1037"/>
      <c r="H241" s="1037"/>
      <c r="I241" s="1037"/>
      <c r="J241" s="1038"/>
    </row>
    <row r="242">
      <c r="A242" s="1037"/>
      <c r="B242" s="1037"/>
      <c r="C242" s="1037"/>
      <c r="D242" s="1037"/>
      <c r="E242" s="1037"/>
      <c r="F242" s="1037"/>
      <c r="G242" s="1037"/>
      <c r="H242" s="1037"/>
      <c r="I242" s="1037"/>
      <c r="J242" s="1038"/>
    </row>
    <row r="243">
      <c r="A243" s="1037"/>
      <c r="B243" s="1037"/>
      <c r="C243" s="1037"/>
      <c r="D243" s="1037"/>
      <c r="E243" s="1037"/>
      <c r="F243" s="1037"/>
      <c r="G243" s="1037"/>
      <c r="H243" s="1037"/>
      <c r="I243" s="1037"/>
      <c r="J243" s="1038"/>
    </row>
    <row r="244">
      <c r="A244" s="1037"/>
      <c r="B244" s="1037"/>
      <c r="C244" s="1037"/>
      <c r="D244" s="1037"/>
      <c r="E244" s="1037"/>
      <c r="F244" s="1037"/>
      <c r="G244" s="1037"/>
      <c r="H244" s="1037"/>
      <c r="I244" s="1037"/>
      <c r="J244" s="1038"/>
    </row>
    <row r="245">
      <c r="A245" s="1037"/>
      <c r="B245" s="1037"/>
      <c r="C245" s="1037"/>
      <c r="D245" s="1037"/>
      <c r="E245" s="1037"/>
      <c r="F245" s="1037"/>
      <c r="G245" s="1037"/>
      <c r="H245" s="1037"/>
      <c r="I245" s="1037"/>
      <c r="J245" s="1038"/>
    </row>
    <row r="246">
      <c r="A246" s="1037"/>
      <c r="B246" s="1037"/>
      <c r="C246" s="1037"/>
      <c r="D246" s="1037"/>
      <c r="E246" s="1037"/>
      <c r="F246" s="1037"/>
      <c r="G246" s="1037"/>
      <c r="H246" s="1037"/>
      <c r="I246" s="1037"/>
      <c r="J246" s="1038"/>
    </row>
    <row r="247">
      <c r="A247" s="1037"/>
      <c r="B247" s="1037"/>
      <c r="C247" s="1037"/>
      <c r="D247" s="1037"/>
      <c r="E247" s="1037"/>
      <c r="F247" s="1037"/>
      <c r="G247" s="1037"/>
      <c r="H247" s="1037"/>
      <c r="I247" s="1037"/>
      <c r="J247" s="1038"/>
    </row>
    <row r="248">
      <c r="A248" s="1037"/>
      <c r="B248" s="1037"/>
      <c r="C248" s="1037"/>
      <c r="D248" s="1037"/>
      <c r="E248" s="1037"/>
      <c r="F248" s="1037"/>
      <c r="G248" s="1037"/>
      <c r="H248" s="1037"/>
      <c r="I248" s="1037"/>
      <c r="J248" s="1038"/>
    </row>
    <row r="249">
      <c r="A249" s="1037"/>
      <c r="B249" s="1037"/>
      <c r="C249" s="1037"/>
      <c r="D249" s="1037"/>
      <c r="E249" s="1037"/>
      <c r="F249" s="1037"/>
      <c r="G249" s="1037"/>
      <c r="H249" s="1037"/>
      <c r="I249" s="1037"/>
      <c r="J249" s="1038"/>
    </row>
    <row r="250">
      <c r="A250" s="1037"/>
      <c r="B250" s="1037"/>
      <c r="C250" s="1037"/>
      <c r="D250" s="1037"/>
      <c r="E250" s="1037"/>
      <c r="F250" s="1037"/>
      <c r="G250" s="1037"/>
      <c r="H250" s="1037"/>
      <c r="I250" s="1037"/>
      <c r="J250" s="1038"/>
    </row>
    <row r="251">
      <c r="A251" s="1037"/>
      <c r="B251" s="1037"/>
      <c r="C251" s="1037"/>
      <c r="D251" s="1037"/>
      <c r="E251" s="1037"/>
      <c r="F251" s="1037"/>
      <c r="G251" s="1037"/>
      <c r="H251" s="1037"/>
      <c r="I251" s="1037"/>
      <c r="J251" s="1038"/>
    </row>
    <row r="252">
      <c r="A252" s="1037"/>
      <c r="B252" s="1037"/>
      <c r="C252" s="1037"/>
      <c r="D252" s="1037"/>
      <c r="E252" s="1037"/>
      <c r="F252" s="1037"/>
      <c r="G252" s="1037"/>
      <c r="H252" s="1037"/>
      <c r="I252" s="1037"/>
      <c r="J252" s="1038"/>
    </row>
    <row r="253">
      <c r="A253" s="1037"/>
      <c r="B253" s="1037"/>
      <c r="C253" s="1037"/>
      <c r="D253" s="1037"/>
      <c r="E253" s="1037"/>
      <c r="F253" s="1037"/>
      <c r="G253" s="1037"/>
      <c r="H253" s="1037"/>
      <c r="I253" s="1037"/>
      <c r="J253" s="1038"/>
    </row>
    <row r="254">
      <c r="A254" s="1037"/>
      <c r="B254" s="1037"/>
      <c r="C254" s="1037"/>
      <c r="D254" s="1037"/>
      <c r="E254" s="1037"/>
      <c r="F254" s="1037"/>
      <c r="G254" s="1037"/>
      <c r="H254" s="1037"/>
      <c r="I254" s="1037"/>
      <c r="J254" s="1038"/>
    </row>
    <row r="255">
      <c r="A255" s="1037"/>
      <c r="B255" s="1037"/>
      <c r="C255" s="1037"/>
      <c r="D255" s="1037"/>
      <c r="E255" s="1037"/>
      <c r="F255" s="1037"/>
      <c r="G255" s="1037"/>
      <c r="H255" s="1037"/>
      <c r="I255" s="1037"/>
      <c r="J255" s="1038"/>
    </row>
    <row r="256">
      <c r="A256" s="1037"/>
      <c r="B256" s="1037"/>
      <c r="C256" s="1037"/>
      <c r="D256" s="1037"/>
      <c r="E256" s="1037"/>
      <c r="F256" s="1037"/>
      <c r="G256" s="1037"/>
      <c r="H256" s="1037"/>
      <c r="I256" s="1037"/>
      <c r="J256" s="1038"/>
    </row>
    <row r="257">
      <c r="A257" s="1037"/>
      <c r="B257" s="1037"/>
      <c r="C257" s="1037"/>
      <c r="D257" s="1037"/>
      <c r="E257" s="1037"/>
      <c r="F257" s="1037"/>
      <c r="G257" s="1037"/>
      <c r="H257" s="1037"/>
      <c r="I257" s="1037"/>
      <c r="J257" s="1038"/>
    </row>
    <row r="258">
      <c r="A258" s="1037"/>
      <c r="B258" s="1037"/>
      <c r="C258" s="1037"/>
      <c r="D258" s="1037"/>
      <c r="E258" s="1037"/>
      <c r="F258" s="1037"/>
      <c r="G258" s="1037"/>
      <c r="H258" s="1037"/>
      <c r="I258" s="1037"/>
      <c r="J258" s="1038"/>
    </row>
    <row r="259">
      <c r="A259" s="1037"/>
      <c r="B259" s="1037"/>
      <c r="C259" s="1037"/>
      <c r="D259" s="1037"/>
      <c r="E259" s="1037"/>
      <c r="F259" s="1037"/>
      <c r="G259" s="1037"/>
      <c r="H259" s="1037"/>
      <c r="I259" s="1037"/>
      <c r="J259" s="1038"/>
    </row>
    <row r="260">
      <c r="A260" s="1037"/>
      <c r="B260" s="1037"/>
      <c r="C260" s="1037"/>
      <c r="D260" s="1037"/>
      <c r="E260" s="1037"/>
      <c r="F260" s="1037"/>
      <c r="G260" s="1037"/>
      <c r="H260" s="1037"/>
      <c r="I260" s="1037"/>
      <c r="J260" s="1038"/>
    </row>
    <row r="261">
      <c r="A261" s="1037"/>
      <c r="B261" s="1037"/>
      <c r="C261" s="1037"/>
      <c r="D261" s="1037"/>
      <c r="E261" s="1037"/>
      <c r="F261" s="1037"/>
      <c r="G261" s="1037"/>
      <c r="H261" s="1037"/>
      <c r="I261" s="1037"/>
      <c r="J261" s="1038"/>
    </row>
    <row r="262">
      <c r="A262" s="1037"/>
      <c r="B262" s="1037"/>
      <c r="C262" s="1037"/>
      <c r="D262" s="1037"/>
      <c r="E262" s="1037"/>
      <c r="F262" s="1037"/>
      <c r="G262" s="1037"/>
      <c r="H262" s="1037"/>
      <c r="I262" s="1037"/>
      <c r="J262" s="1038"/>
    </row>
    <row r="263">
      <c r="A263" s="1037"/>
      <c r="B263" s="1037"/>
      <c r="C263" s="1037"/>
      <c r="D263" s="1037"/>
      <c r="E263" s="1037"/>
      <c r="F263" s="1037"/>
      <c r="G263" s="1037"/>
      <c r="H263" s="1037"/>
      <c r="I263" s="1037"/>
      <c r="J263" s="1038"/>
    </row>
    <row r="264">
      <c r="A264" s="1037"/>
      <c r="B264" s="1037"/>
      <c r="C264" s="1037"/>
      <c r="D264" s="1037"/>
      <c r="E264" s="1037"/>
      <c r="F264" s="1037"/>
      <c r="G264" s="1037"/>
      <c r="H264" s="1037"/>
      <c r="I264" s="1037"/>
      <c r="J264" s="1038"/>
    </row>
    <row r="265">
      <c r="A265" s="1037"/>
      <c r="B265" s="1037"/>
      <c r="C265" s="1037"/>
      <c r="D265" s="1037"/>
      <c r="E265" s="1037"/>
      <c r="F265" s="1037"/>
      <c r="G265" s="1037"/>
      <c r="H265" s="1037"/>
      <c r="I265" s="1037"/>
      <c r="J265" s="1038"/>
    </row>
    <row r="266">
      <c r="A266" s="1037"/>
      <c r="B266" s="1037"/>
      <c r="C266" s="1037"/>
      <c r="D266" s="1037"/>
      <c r="E266" s="1037"/>
      <c r="F266" s="1037"/>
      <c r="G266" s="1037"/>
      <c r="H266" s="1037"/>
      <c r="I266" s="1037"/>
      <c r="J266" s="1038"/>
    </row>
    <row r="267">
      <c r="A267" s="1037"/>
      <c r="B267" s="1037"/>
      <c r="C267" s="1037"/>
      <c r="D267" s="1037"/>
      <c r="E267" s="1037"/>
      <c r="F267" s="1037"/>
      <c r="G267" s="1037"/>
      <c r="H267" s="1037"/>
      <c r="I267" s="1037"/>
      <c r="J267" s="1038"/>
    </row>
    <row r="268">
      <c r="A268" s="1037"/>
      <c r="B268" s="1037"/>
      <c r="C268" s="1037"/>
      <c r="D268" s="1037"/>
      <c r="E268" s="1037"/>
      <c r="F268" s="1037"/>
      <c r="G268" s="1037"/>
      <c r="H268" s="1037"/>
      <c r="I268" s="1037"/>
      <c r="J268" s="1038"/>
    </row>
    <row r="269">
      <c r="A269" s="1037"/>
      <c r="B269" s="1037"/>
      <c r="C269" s="1037"/>
      <c r="D269" s="1037"/>
      <c r="E269" s="1037"/>
      <c r="F269" s="1037"/>
      <c r="G269" s="1037"/>
      <c r="H269" s="1037"/>
      <c r="I269" s="1037"/>
      <c r="J269" s="1038"/>
    </row>
    <row r="270">
      <c r="A270" s="1037"/>
      <c r="B270" s="1037"/>
      <c r="C270" s="1037"/>
      <c r="D270" s="1037"/>
      <c r="E270" s="1037"/>
      <c r="F270" s="1037"/>
      <c r="G270" s="1037"/>
      <c r="H270" s="1037"/>
      <c r="I270" s="1037"/>
      <c r="J270" s="1038"/>
    </row>
    <row r="271">
      <c r="A271" s="1037"/>
      <c r="B271" s="1037"/>
      <c r="C271" s="1037"/>
      <c r="D271" s="1037"/>
      <c r="E271" s="1037"/>
      <c r="F271" s="1037"/>
      <c r="G271" s="1037"/>
      <c r="H271" s="1037"/>
      <c r="I271" s="1037"/>
      <c r="J271" s="1038"/>
    </row>
    <row r="272">
      <c r="A272" s="1037"/>
      <c r="B272" s="1037"/>
      <c r="C272" s="1037"/>
      <c r="D272" s="1037"/>
      <c r="E272" s="1037"/>
      <c r="F272" s="1037"/>
      <c r="G272" s="1037"/>
      <c r="H272" s="1037"/>
      <c r="I272" s="1037"/>
      <c r="J272" s="1038"/>
    </row>
    <row r="273">
      <c r="A273" s="1037"/>
      <c r="B273" s="1037"/>
      <c r="C273" s="1037"/>
      <c r="D273" s="1037"/>
      <c r="E273" s="1037"/>
      <c r="F273" s="1037"/>
      <c r="G273" s="1037"/>
      <c r="H273" s="1037"/>
      <c r="I273" s="1037"/>
      <c r="J273" s="1038"/>
    </row>
    <row r="274">
      <c r="A274" s="1037"/>
      <c r="B274" s="1037"/>
      <c r="C274" s="1037"/>
      <c r="D274" s="1037"/>
      <c r="E274" s="1037"/>
      <c r="F274" s="1037"/>
      <c r="G274" s="1037"/>
      <c r="H274" s="1037"/>
      <c r="I274" s="1037"/>
      <c r="J274" s="1038"/>
    </row>
    <row r="275">
      <c r="A275" s="1037"/>
      <c r="B275" s="1037"/>
      <c r="C275" s="1037"/>
      <c r="D275" s="1037"/>
      <c r="E275" s="1037"/>
      <c r="F275" s="1037"/>
      <c r="G275" s="1037"/>
      <c r="H275" s="1037"/>
      <c r="I275" s="1037"/>
      <c r="J275" s="1038"/>
    </row>
    <row r="276">
      <c r="A276" s="1037"/>
      <c r="B276" s="1037"/>
      <c r="C276" s="1037"/>
      <c r="D276" s="1037"/>
      <c r="E276" s="1037"/>
      <c r="F276" s="1037"/>
      <c r="G276" s="1037"/>
      <c r="H276" s="1037"/>
      <c r="I276" s="1037"/>
      <c r="J276" s="1038"/>
    </row>
    <row r="277">
      <c r="A277" s="1037"/>
      <c r="B277" s="1037"/>
      <c r="C277" s="1037"/>
      <c r="D277" s="1037"/>
      <c r="E277" s="1037"/>
      <c r="F277" s="1037"/>
      <c r="G277" s="1037"/>
      <c r="H277" s="1037"/>
      <c r="I277" s="1037"/>
      <c r="J277" s="1038"/>
    </row>
    <row r="278">
      <c r="A278" s="1037"/>
      <c r="B278" s="1037"/>
      <c r="C278" s="1037"/>
      <c r="D278" s="1037"/>
      <c r="E278" s="1037"/>
      <c r="F278" s="1037"/>
      <c r="G278" s="1037"/>
      <c r="H278" s="1037"/>
      <c r="I278" s="1037"/>
      <c r="J278" s="1038"/>
    </row>
    <row r="279">
      <c r="A279" s="1037"/>
      <c r="B279" s="1037"/>
      <c r="C279" s="1037"/>
      <c r="D279" s="1037"/>
      <c r="E279" s="1037"/>
      <c r="F279" s="1037"/>
      <c r="G279" s="1037"/>
      <c r="H279" s="1037"/>
      <c r="I279" s="1037"/>
      <c r="J279" s="1038"/>
    </row>
    <row r="280">
      <c r="A280" s="1037"/>
      <c r="B280" s="1037"/>
      <c r="C280" s="1037"/>
      <c r="D280" s="1037"/>
      <c r="E280" s="1037"/>
      <c r="F280" s="1037"/>
      <c r="G280" s="1037"/>
      <c r="H280" s="1037"/>
      <c r="I280" s="1037"/>
      <c r="J280" s="1038"/>
    </row>
    <row r="281">
      <c r="A281" s="1037"/>
      <c r="B281" s="1037"/>
      <c r="C281" s="1037"/>
      <c r="D281" s="1037"/>
      <c r="E281" s="1037"/>
      <c r="F281" s="1037"/>
      <c r="G281" s="1037"/>
      <c r="H281" s="1037"/>
      <c r="I281" s="1037"/>
      <c r="J281" s="1038"/>
    </row>
    <row r="282">
      <c r="A282" s="1037"/>
      <c r="B282" s="1037"/>
      <c r="C282" s="1037"/>
      <c r="D282" s="1037"/>
      <c r="E282" s="1037"/>
      <c r="F282" s="1037"/>
      <c r="G282" s="1037"/>
      <c r="H282" s="1037"/>
      <c r="I282" s="1037"/>
      <c r="J282" s="1038"/>
    </row>
    <row r="283">
      <c r="A283" s="1037"/>
      <c r="B283" s="1037"/>
      <c r="C283" s="1037"/>
      <c r="D283" s="1037"/>
      <c r="E283" s="1037"/>
      <c r="F283" s="1037"/>
      <c r="G283" s="1037"/>
      <c r="H283" s="1037"/>
      <c r="I283" s="1037"/>
      <c r="J283" s="1038"/>
    </row>
    <row r="284">
      <c r="A284" s="1037"/>
      <c r="B284" s="1037"/>
      <c r="C284" s="1037"/>
      <c r="D284" s="1037"/>
      <c r="E284" s="1037"/>
      <c r="F284" s="1037"/>
      <c r="G284" s="1037"/>
      <c r="H284" s="1037"/>
      <c r="I284" s="1037"/>
      <c r="J284" s="1038"/>
    </row>
    <row r="285">
      <c r="A285" s="1037"/>
      <c r="B285" s="1037"/>
      <c r="C285" s="1037"/>
      <c r="D285" s="1037"/>
      <c r="E285" s="1037"/>
      <c r="F285" s="1037"/>
      <c r="G285" s="1037"/>
      <c r="H285" s="1037"/>
      <c r="I285" s="1037"/>
      <c r="J285" s="1038"/>
    </row>
    <row r="286">
      <c r="A286" s="1037"/>
      <c r="B286" s="1037"/>
      <c r="C286" s="1037"/>
      <c r="D286" s="1037"/>
      <c r="E286" s="1037"/>
      <c r="F286" s="1037"/>
      <c r="G286" s="1037"/>
      <c r="H286" s="1037"/>
      <c r="I286" s="1037"/>
      <c r="J286" s="1038"/>
    </row>
    <row r="287">
      <c r="A287" s="1037"/>
      <c r="B287" s="1037"/>
      <c r="C287" s="1037"/>
      <c r="D287" s="1037"/>
      <c r="E287" s="1037"/>
      <c r="F287" s="1037"/>
      <c r="G287" s="1037"/>
      <c r="H287" s="1037"/>
      <c r="I287" s="1037"/>
      <c r="J287" s="1038"/>
    </row>
    <row r="288">
      <c r="A288" s="1037"/>
      <c r="B288" s="1037"/>
      <c r="C288" s="1037"/>
      <c r="D288" s="1037"/>
      <c r="E288" s="1037"/>
      <c r="F288" s="1037"/>
      <c r="G288" s="1037"/>
      <c r="H288" s="1037"/>
      <c r="I288" s="1037"/>
      <c r="J288" s="1038"/>
    </row>
    <row r="289">
      <c r="A289" s="1037"/>
      <c r="B289" s="1037"/>
      <c r="C289" s="1037"/>
      <c r="D289" s="1037"/>
      <c r="E289" s="1037"/>
      <c r="F289" s="1037"/>
      <c r="G289" s="1037"/>
      <c r="H289" s="1037"/>
      <c r="I289" s="1037"/>
      <c r="J289" s="1038"/>
    </row>
    <row r="290">
      <c r="A290" s="1037"/>
      <c r="B290" s="1037"/>
      <c r="C290" s="1037"/>
      <c r="D290" s="1037"/>
      <c r="E290" s="1037"/>
      <c r="F290" s="1037"/>
      <c r="G290" s="1037"/>
      <c r="H290" s="1037"/>
      <c r="I290" s="1037"/>
      <c r="J290" s="1038"/>
    </row>
    <row r="291">
      <c r="A291" s="1037"/>
      <c r="B291" s="1037"/>
      <c r="C291" s="1037"/>
      <c r="D291" s="1037"/>
      <c r="E291" s="1037"/>
      <c r="F291" s="1037"/>
      <c r="G291" s="1037"/>
      <c r="H291" s="1037"/>
      <c r="I291" s="1037"/>
      <c r="J291" s="1038"/>
    </row>
    <row r="292">
      <c r="A292" s="1037"/>
      <c r="B292" s="1037"/>
      <c r="C292" s="1037"/>
      <c r="D292" s="1037"/>
      <c r="E292" s="1037"/>
      <c r="F292" s="1037"/>
      <c r="G292" s="1037"/>
      <c r="H292" s="1037"/>
      <c r="I292" s="1037"/>
      <c r="J292" s="1038"/>
    </row>
    <row r="293">
      <c r="A293" s="1037"/>
      <c r="B293" s="1037"/>
      <c r="C293" s="1037"/>
      <c r="D293" s="1037"/>
      <c r="E293" s="1037"/>
      <c r="F293" s="1037"/>
      <c r="G293" s="1037"/>
      <c r="H293" s="1037"/>
      <c r="I293" s="1037"/>
      <c r="J293" s="1038"/>
    </row>
    <row r="294">
      <c r="A294" s="1037"/>
      <c r="B294" s="1037"/>
      <c r="C294" s="1037"/>
      <c r="D294" s="1037"/>
      <c r="E294" s="1037"/>
      <c r="F294" s="1037"/>
      <c r="G294" s="1037"/>
      <c r="H294" s="1037"/>
      <c r="I294" s="1037"/>
      <c r="J294" s="1038"/>
    </row>
    <row r="295">
      <c r="A295" s="1037"/>
      <c r="B295" s="1037"/>
      <c r="C295" s="1037"/>
      <c r="D295" s="1037"/>
      <c r="E295" s="1037"/>
      <c r="F295" s="1037"/>
      <c r="G295" s="1037"/>
      <c r="H295" s="1037"/>
      <c r="I295" s="1037"/>
      <c r="J295" s="1038"/>
    </row>
    <row r="296">
      <c r="A296" s="1037"/>
      <c r="B296" s="1037"/>
      <c r="C296" s="1037"/>
      <c r="D296" s="1037"/>
      <c r="E296" s="1037"/>
      <c r="F296" s="1037"/>
      <c r="G296" s="1037"/>
      <c r="H296" s="1037"/>
      <c r="I296" s="1037"/>
      <c r="J296" s="1038"/>
    </row>
    <row r="297">
      <c r="A297" s="1037"/>
      <c r="B297" s="1037"/>
      <c r="C297" s="1037"/>
      <c r="D297" s="1037"/>
      <c r="E297" s="1037"/>
      <c r="F297" s="1037"/>
      <c r="G297" s="1037"/>
      <c r="H297" s="1037"/>
      <c r="I297" s="1037"/>
      <c r="J297" s="1038"/>
    </row>
    <row r="298">
      <c r="A298" s="1037"/>
      <c r="B298" s="1037"/>
      <c r="C298" s="1037"/>
      <c r="D298" s="1037"/>
      <c r="E298" s="1037"/>
      <c r="F298" s="1037"/>
      <c r="G298" s="1037"/>
      <c r="H298" s="1037"/>
      <c r="I298" s="1037"/>
      <c r="J298" s="1038"/>
    </row>
    <row r="299">
      <c r="A299" s="1037"/>
      <c r="B299" s="1037"/>
      <c r="C299" s="1037"/>
      <c r="D299" s="1037"/>
      <c r="E299" s="1037"/>
      <c r="F299" s="1037"/>
      <c r="G299" s="1037"/>
      <c r="H299" s="1037"/>
      <c r="I299" s="1037"/>
      <c r="J299" s="1038"/>
    </row>
    <row r="300">
      <c r="A300" s="1037"/>
      <c r="B300" s="1037"/>
      <c r="C300" s="1037"/>
      <c r="D300" s="1037"/>
      <c r="E300" s="1037"/>
      <c r="F300" s="1037"/>
      <c r="G300" s="1037"/>
      <c r="H300" s="1037"/>
      <c r="I300" s="1037"/>
      <c r="J300" s="1038"/>
    </row>
    <row r="301">
      <c r="A301" s="1037"/>
      <c r="B301" s="1037"/>
      <c r="C301" s="1037"/>
      <c r="D301" s="1037"/>
      <c r="E301" s="1037"/>
      <c r="F301" s="1037"/>
      <c r="G301" s="1037"/>
      <c r="H301" s="1037"/>
      <c r="I301" s="1037"/>
      <c r="J301" s="1038"/>
    </row>
    <row r="302">
      <c r="A302" s="1037"/>
      <c r="B302" s="1037"/>
      <c r="C302" s="1037"/>
      <c r="D302" s="1037"/>
      <c r="E302" s="1037"/>
      <c r="F302" s="1037"/>
      <c r="G302" s="1037"/>
      <c r="H302" s="1037"/>
      <c r="I302" s="1037"/>
      <c r="J302" s="1038"/>
    </row>
    <row r="303">
      <c r="A303" s="1037"/>
      <c r="B303" s="1037"/>
      <c r="C303" s="1037"/>
      <c r="D303" s="1037"/>
      <c r="E303" s="1037"/>
      <c r="F303" s="1037"/>
      <c r="G303" s="1037"/>
      <c r="H303" s="1037"/>
      <c r="I303" s="1037"/>
      <c r="J303" s="1038"/>
    </row>
    <row r="304">
      <c r="A304" s="1037"/>
      <c r="B304" s="1037"/>
      <c r="C304" s="1037"/>
      <c r="D304" s="1037"/>
      <c r="E304" s="1037"/>
      <c r="F304" s="1037"/>
      <c r="G304" s="1037"/>
      <c r="H304" s="1037"/>
      <c r="I304" s="1037"/>
      <c r="J304" s="1038"/>
    </row>
    <row r="305">
      <c r="A305" s="1037"/>
      <c r="B305" s="1037"/>
      <c r="C305" s="1037"/>
      <c r="D305" s="1037"/>
      <c r="E305" s="1037"/>
      <c r="F305" s="1037"/>
      <c r="G305" s="1037"/>
      <c r="H305" s="1037"/>
      <c r="I305" s="1037"/>
      <c r="J305" s="1038"/>
    </row>
    <row r="306">
      <c r="A306" s="1037"/>
      <c r="B306" s="1037"/>
      <c r="C306" s="1037"/>
      <c r="D306" s="1037"/>
      <c r="E306" s="1037"/>
      <c r="F306" s="1037"/>
      <c r="G306" s="1037"/>
      <c r="H306" s="1037"/>
      <c r="I306" s="1037"/>
      <c r="J306" s="1038"/>
    </row>
    <row r="307">
      <c r="A307" s="1037"/>
      <c r="B307" s="1037"/>
      <c r="C307" s="1037"/>
      <c r="D307" s="1037"/>
      <c r="E307" s="1037"/>
      <c r="F307" s="1037"/>
      <c r="G307" s="1037"/>
      <c r="H307" s="1037"/>
      <c r="I307" s="1037"/>
      <c r="J307" s="1038"/>
    </row>
    <row r="308">
      <c r="A308" s="1037"/>
      <c r="B308" s="1037"/>
      <c r="C308" s="1037"/>
      <c r="D308" s="1037"/>
      <c r="E308" s="1037"/>
      <c r="F308" s="1037"/>
      <c r="G308" s="1037"/>
      <c r="H308" s="1037"/>
      <c r="I308" s="1037"/>
      <c r="J308" s="1038"/>
    </row>
    <row r="309">
      <c r="A309" s="1037"/>
      <c r="B309" s="1037"/>
      <c r="C309" s="1037"/>
      <c r="D309" s="1037"/>
      <c r="E309" s="1037"/>
      <c r="F309" s="1037"/>
      <c r="G309" s="1037"/>
      <c r="H309" s="1037"/>
      <c r="I309" s="1037"/>
      <c r="J309" s="1038"/>
    </row>
    <row r="310">
      <c r="A310" s="1037"/>
      <c r="B310" s="1037"/>
      <c r="C310" s="1037"/>
      <c r="D310" s="1037"/>
      <c r="E310" s="1037"/>
      <c r="F310" s="1037"/>
      <c r="G310" s="1037"/>
      <c r="H310" s="1037"/>
      <c r="I310" s="1037"/>
      <c r="J310" s="1038"/>
    </row>
    <row r="311">
      <c r="A311" s="1037"/>
      <c r="B311" s="1037"/>
      <c r="C311" s="1037"/>
      <c r="D311" s="1037"/>
      <c r="E311" s="1037"/>
      <c r="F311" s="1037"/>
      <c r="G311" s="1037"/>
      <c r="H311" s="1037"/>
      <c r="I311" s="1037"/>
      <c r="J311" s="1038"/>
    </row>
    <row r="312">
      <c r="A312" s="1037"/>
      <c r="B312" s="1037"/>
      <c r="C312" s="1037"/>
      <c r="D312" s="1037"/>
      <c r="E312" s="1037"/>
      <c r="F312" s="1037"/>
      <c r="G312" s="1037"/>
      <c r="H312" s="1037"/>
      <c r="I312" s="1037"/>
      <c r="J312" s="1038"/>
    </row>
    <row r="313">
      <c r="A313" s="1037"/>
      <c r="B313" s="1037"/>
      <c r="C313" s="1037"/>
      <c r="D313" s="1037"/>
      <c r="E313" s="1037"/>
      <c r="F313" s="1037"/>
      <c r="G313" s="1037"/>
      <c r="H313" s="1037"/>
      <c r="I313" s="1037"/>
      <c r="J313" s="1038"/>
    </row>
    <row r="314">
      <c r="A314" s="1037"/>
      <c r="B314" s="1037"/>
      <c r="C314" s="1037"/>
      <c r="D314" s="1037"/>
      <c r="E314" s="1037"/>
      <c r="F314" s="1037"/>
      <c r="G314" s="1037"/>
      <c r="H314" s="1037"/>
      <c r="I314" s="1037"/>
      <c r="J314" s="1038"/>
    </row>
    <row r="315">
      <c r="A315" s="1037"/>
      <c r="B315" s="1037"/>
      <c r="C315" s="1037"/>
      <c r="D315" s="1037"/>
      <c r="E315" s="1037"/>
      <c r="F315" s="1037"/>
      <c r="G315" s="1037"/>
      <c r="H315" s="1037"/>
      <c r="I315" s="1037"/>
      <c r="J315" s="1038"/>
    </row>
    <row r="316">
      <c r="A316" s="1037"/>
      <c r="B316" s="1037"/>
      <c r="C316" s="1037"/>
      <c r="D316" s="1037"/>
      <c r="E316" s="1037"/>
      <c r="F316" s="1037"/>
      <c r="G316" s="1037"/>
      <c r="H316" s="1037"/>
      <c r="I316" s="1037"/>
      <c r="J316" s="1038"/>
    </row>
    <row r="317">
      <c r="A317" s="1037"/>
      <c r="B317" s="1037"/>
      <c r="C317" s="1037"/>
      <c r="D317" s="1037"/>
      <c r="E317" s="1037"/>
      <c r="F317" s="1037"/>
      <c r="G317" s="1037"/>
      <c r="H317" s="1037"/>
      <c r="I317" s="1037"/>
      <c r="J317" s="1038"/>
    </row>
    <row r="318">
      <c r="A318" s="1037"/>
      <c r="B318" s="1037"/>
      <c r="C318" s="1037"/>
      <c r="D318" s="1037"/>
      <c r="E318" s="1037"/>
      <c r="F318" s="1037"/>
      <c r="G318" s="1037"/>
      <c r="H318" s="1037"/>
      <c r="I318" s="1037"/>
      <c r="J318" s="1038"/>
    </row>
    <row r="319">
      <c r="A319" s="1037"/>
      <c r="B319" s="1037"/>
      <c r="C319" s="1037"/>
      <c r="D319" s="1037"/>
      <c r="E319" s="1037"/>
      <c r="F319" s="1037"/>
      <c r="G319" s="1037"/>
      <c r="H319" s="1037"/>
      <c r="I319" s="1037"/>
      <c r="J319" s="1038"/>
    </row>
    <row r="320">
      <c r="A320" s="1037"/>
      <c r="B320" s="1037"/>
      <c r="C320" s="1037"/>
      <c r="D320" s="1037"/>
      <c r="E320" s="1037"/>
      <c r="F320" s="1037"/>
      <c r="G320" s="1037"/>
      <c r="H320" s="1037"/>
      <c r="I320" s="1037"/>
      <c r="J320" s="1038"/>
    </row>
    <row r="321">
      <c r="A321" s="1037"/>
      <c r="B321" s="1037"/>
      <c r="C321" s="1037"/>
      <c r="D321" s="1037"/>
      <c r="E321" s="1037"/>
      <c r="F321" s="1037"/>
      <c r="G321" s="1037"/>
      <c r="H321" s="1037"/>
      <c r="I321" s="1037"/>
      <c r="J321" s="1038"/>
    </row>
    <row r="322">
      <c r="A322" s="1037"/>
      <c r="B322" s="1037"/>
      <c r="C322" s="1037"/>
      <c r="D322" s="1037"/>
      <c r="E322" s="1037"/>
      <c r="F322" s="1037"/>
      <c r="G322" s="1037"/>
      <c r="H322" s="1037"/>
      <c r="I322" s="1037"/>
      <c r="J322" s="1038"/>
    </row>
    <row r="323">
      <c r="A323" s="1037"/>
      <c r="B323" s="1037"/>
      <c r="C323" s="1037"/>
      <c r="D323" s="1037"/>
      <c r="E323" s="1037"/>
      <c r="F323" s="1037"/>
      <c r="G323" s="1037"/>
      <c r="H323" s="1037"/>
      <c r="I323" s="1037"/>
      <c r="J323" s="1038"/>
    </row>
    <row r="324">
      <c r="A324" s="1037"/>
      <c r="B324" s="1037"/>
      <c r="C324" s="1037"/>
      <c r="D324" s="1037"/>
      <c r="E324" s="1037"/>
      <c r="F324" s="1037"/>
      <c r="G324" s="1037"/>
      <c r="H324" s="1037"/>
      <c r="I324" s="1037"/>
      <c r="J324" s="1038"/>
    </row>
    <row r="325">
      <c r="A325" s="1037"/>
      <c r="B325" s="1037"/>
      <c r="C325" s="1037"/>
      <c r="D325" s="1037"/>
      <c r="E325" s="1037"/>
      <c r="F325" s="1037"/>
      <c r="G325" s="1037"/>
      <c r="H325" s="1037"/>
      <c r="I325" s="1037"/>
      <c r="J325" s="1038"/>
    </row>
    <row r="326">
      <c r="A326" s="1037"/>
      <c r="B326" s="1037"/>
      <c r="C326" s="1037"/>
      <c r="D326" s="1037"/>
      <c r="E326" s="1037"/>
      <c r="F326" s="1037"/>
      <c r="G326" s="1037"/>
      <c r="H326" s="1037"/>
      <c r="I326" s="1037"/>
      <c r="J326" s="1038"/>
    </row>
    <row r="327">
      <c r="A327" s="1037"/>
      <c r="B327" s="1037"/>
      <c r="C327" s="1037"/>
      <c r="D327" s="1037"/>
      <c r="E327" s="1037"/>
      <c r="F327" s="1037"/>
      <c r="G327" s="1037"/>
      <c r="H327" s="1037"/>
      <c r="I327" s="1037"/>
      <c r="J327" s="1038"/>
    </row>
    <row r="328">
      <c r="A328" s="1037"/>
      <c r="B328" s="1037"/>
      <c r="C328" s="1037"/>
      <c r="D328" s="1037"/>
      <c r="E328" s="1037"/>
      <c r="F328" s="1037"/>
      <c r="G328" s="1037"/>
      <c r="H328" s="1037"/>
      <c r="I328" s="1037"/>
      <c r="J328" s="1038"/>
    </row>
    <row r="329">
      <c r="A329" s="1037"/>
      <c r="B329" s="1037"/>
      <c r="C329" s="1037"/>
      <c r="D329" s="1037"/>
      <c r="E329" s="1037"/>
      <c r="F329" s="1037"/>
      <c r="G329" s="1037"/>
      <c r="H329" s="1037"/>
      <c r="I329" s="1037"/>
      <c r="J329" s="1038"/>
    </row>
    <row r="330">
      <c r="A330" s="1037"/>
      <c r="B330" s="1037"/>
      <c r="C330" s="1037"/>
      <c r="D330" s="1037"/>
      <c r="E330" s="1037"/>
      <c r="F330" s="1037"/>
      <c r="G330" s="1037"/>
      <c r="H330" s="1037"/>
      <c r="I330" s="1037"/>
      <c r="J330" s="1038"/>
    </row>
    <row r="331">
      <c r="A331" s="1037"/>
      <c r="B331" s="1037"/>
      <c r="C331" s="1037"/>
      <c r="D331" s="1037"/>
      <c r="E331" s="1037"/>
      <c r="F331" s="1037"/>
      <c r="G331" s="1037"/>
      <c r="H331" s="1037"/>
      <c r="I331" s="1037"/>
      <c r="J331" s="1038"/>
    </row>
    <row r="332">
      <c r="A332" s="1037"/>
      <c r="B332" s="1037"/>
      <c r="C332" s="1037"/>
      <c r="D332" s="1037"/>
      <c r="E332" s="1037"/>
      <c r="F332" s="1037"/>
      <c r="G332" s="1037"/>
      <c r="H332" s="1037"/>
      <c r="I332" s="1037"/>
      <c r="J332" s="1038"/>
    </row>
    <row r="333">
      <c r="A333" s="1037"/>
      <c r="B333" s="1037"/>
      <c r="C333" s="1037"/>
      <c r="D333" s="1037"/>
      <c r="E333" s="1037"/>
      <c r="F333" s="1037"/>
      <c r="G333" s="1037"/>
      <c r="H333" s="1037"/>
      <c r="I333" s="1037"/>
      <c r="J333" s="1038"/>
    </row>
    <row r="334">
      <c r="A334" s="1037"/>
      <c r="B334" s="1037"/>
      <c r="C334" s="1037"/>
      <c r="D334" s="1037"/>
      <c r="E334" s="1037"/>
      <c r="F334" s="1037"/>
      <c r="G334" s="1037"/>
      <c r="H334" s="1037"/>
      <c r="I334" s="1037"/>
      <c r="J334" s="1038"/>
    </row>
    <row r="335">
      <c r="A335" s="1037"/>
      <c r="B335" s="1037"/>
      <c r="C335" s="1037"/>
      <c r="D335" s="1037"/>
      <c r="E335" s="1037"/>
      <c r="F335" s="1037"/>
      <c r="G335" s="1037"/>
      <c r="H335" s="1037"/>
      <c r="I335" s="1037"/>
      <c r="J335" s="1038"/>
    </row>
    <row r="336">
      <c r="A336" s="1037"/>
      <c r="B336" s="1037"/>
      <c r="C336" s="1037"/>
      <c r="D336" s="1037"/>
      <c r="E336" s="1037"/>
      <c r="F336" s="1037"/>
      <c r="G336" s="1037"/>
      <c r="H336" s="1037"/>
      <c r="I336" s="1037"/>
      <c r="J336" s="1038"/>
    </row>
    <row r="337">
      <c r="A337" s="1037"/>
      <c r="B337" s="1037"/>
      <c r="C337" s="1037"/>
      <c r="D337" s="1037"/>
      <c r="E337" s="1037"/>
      <c r="F337" s="1037"/>
      <c r="G337" s="1037"/>
      <c r="H337" s="1037"/>
      <c r="I337" s="1037"/>
      <c r="J337" s="1038"/>
    </row>
    <row r="338">
      <c r="A338" s="1037"/>
      <c r="B338" s="1037"/>
      <c r="C338" s="1037"/>
      <c r="D338" s="1037"/>
      <c r="E338" s="1037"/>
      <c r="F338" s="1037"/>
      <c r="G338" s="1037"/>
      <c r="H338" s="1037"/>
      <c r="I338" s="1037"/>
      <c r="J338" s="1038"/>
    </row>
    <row r="339">
      <c r="A339" s="1037"/>
      <c r="B339" s="1037"/>
      <c r="C339" s="1037"/>
      <c r="D339" s="1037"/>
      <c r="E339" s="1037"/>
      <c r="F339" s="1037"/>
      <c r="G339" s="1037"/>
      <c r="H339" s="1037"/>
      <c r="I339" s="1037"/>
      <c r="J339" s="1038"/>
    </row>
    <row r="340">
      <c r="A340" s="1037"/>
      <c r="B340" s="1037"/>
      <c r="C340" s="1037"/>
      <c r="D340" s="1037"/>
      <c r="E340" s="1037"/>
      <c r="F340" s="1037"/>
      <c r="G340" s="1037"/>
      <c r="H340" s="1037"/>
      <c r="I340" s="1037"/>
      <c r="J340" s="1038"/>
    </row>
    <row r="341">
      <c r="A341" s="1037"/>
      <c r="B341" s="1037"/>
      <c r="C341" s="1037"/>
      <c r="D341" s="1037"/>
      <c r="E341" s="1037"/>
      <c r="F341" s="1037"/>
      <c r="G341" s="1037"/>
      <c r="H341" s="1037"/>
      <c r="I341" s="1037"/>
      <c r="J341" s="1038"/>
    </row>
    <row r="342">
      <c r="A342" s="1037"/>
      <c r="B342" s="1037"/>
      <c r="C342" s="1037"/>
      <c r="D342" s="1037"/>
      <c r="E342" s="1037"/>
      <c r="F342" s="1037"/>
      <c r="G342" s="1037"/>
      <c r="H342" s="1037"/>
      <c r="I342" s="1037"/>
      <c r="J342" s="1038"/>
    </row>
    <row r="343">
      <c r="A343" s="1037"/>
      <c r="B343" s="1037"/>
      <c r="C343" s="1037"/>
      <c r="D343" s="1037"/>
      <c r="E343" s="1037"/>
      <c r="F343" s="1037"/>
      <c r="G343" s="1037"/>
      <c r="H343" s="1037"/>
      <c r="I343" s="1037"/>
      <c r="J343" s="1038"/>
    </row>
    <row r="344">
      <c r="A344" s="1037"/>
      <c r="B344" s="1037"/>
      <c r="C344" s="1037"/>
      <c r="D344" s="1037"/>
      <c r="E344" s="1037"/>
      <c r="F344" s="1037"/>
      <c r="G344" s="1037"/>
      <c r="H344" s="1037"/>
      <c r="I344" s="1037"/>
      <c r="J344" s="1038"/>
    </row>
    <row r="345">
      <c r="A345" s="1037"/>
      <c r="B345" s="1037"/>
      <c r="C345" s="1037"/>
      <c r="D345" s="1037"/>
      <c r="E345" s="1037"/>
      <c r="F345" s="1037"/>
      <c r="G345" s="1037"/>
      <c r="H345" s="1037"/>
      <c r="I345" s="1037"/>
      <c r="J345" s="1038"/>
    </row>
    <row r="346">
      <c r="A346" s="1037"/>
      <c r="B346" s="1037"/>
      <c r="C346" s="1037"/>
      <c r="D346" s="1037"/>
      <c r="E346" s="1037"/>
      <c r="F346" s="1037"/>
      <c r="G346" s="1037"/>
      <c r="H346" s="1037"/>
      <c r="I346" s="1037"/>
      <c r="J346" s="1038"/>
    </row>
    <row r="347">
      <c r="A347" s="1037"/>
      <c r="B347" s="1037"/>
      <c r="C347" s="1037"/>
      <c r="D347" s="1037"/>
      <c r="E347" s="1037"/>
      <c r="F347" s="1037"/>
      <c r="G347" s="1037"/>
      <c r="H347" s="1037"/>
      <c r="I347" s="1037"/>
      <c r="J347" s="1038"/>
    </row>
    <row r="348">
      <c r="A348" s="1037"/>
      <c r="B348" s="1037"/>
      <c r="C348" s="1037"/>
      <c r="D348" s="1037"/>
      <c r="E348" s="1037"/>
      <c r="F348" s="1037"/>
      <c r="G348" s="1037"/>
      <c r="H348" s="1037"/>
      <c r="I348" s="1037"/>
      <c r="J348" s="1038"/>
    </row>
    <row r="349">
      <c r="A349" s="1037"/>
      <c r="B349" s="1037"/>
      <c r="C349" s="1037"/>
      <c r="D349" s="1037"/>
      <c r="E349" s="1037"/>
      <c r="F349" s="1037"/>
      <c r="G349" s="1037"/>
      <c r="H349" s="1037"/>
      <c r="I349" s="1037"/>
      <c r="J349" s="1038"/>
    </row>
    <row r="350">
      <c r="A350" s="1037"/>
      <c r="B350" s="1037"/>
      <c r="C350" s="1037"/>
      <c r="D350" s="1037"/>
      <c r="E350" s="1037"/>
      <c r="F350" s="1037"/>
      <c r="G350" s="1037"/>
      <c r="H350" s="1037"/>
      <c r="I350" s="1037"/>
      <c r="J350" s="1038"/>
    </row>
    <row r="351">
      <c r="A351" s="1037"/>
      <c r="B351" s="1037"/>
      <c r="C351" s="1037"/>
      <c r="D351" s="1037"/>
      <c r="E351" s="1037"/>
      <c r="F351" s="1037"/>
      <c r="G351" s="1037"/>
      <c r="H351" s="1037"/>
      <c r="I351" s="1037"/>
      <c r="J351" s="1038"/>
    </row>
    <row r="352">
      <c r="A352" s="1037"/>
      <c r="B352" s="1037"/>
      <c r="C352" s="1037"/>
      <c r="D352" s="1037"/>
      <c r="E352" s="1037"/>
      <c r="F352" s="1037"/>
      <c r="G352" s="1037"/>
      <c r="H352" s="1037"/>
      <c r="I352" s="1037"/>
      <c r="J352" s="1038"/>
    </row>
    <row r="353">
      <c r="A353" s="1037"/>
      <c r="B353" s="1037"/>
      <c r="C353" s="1037"/>
      <c r="D353" s="1037"/>
      <c r="E353" s="1037"/>
      <c r="F353" s="1037"/>
      <c r="G353" s="1037"/>
      <c r="H353" s="1037"/>
      <c r="I353" s="1037"/>
      <c r="J353" s="1038"/>
    </row>
    <row r="354">
      <c r="A354" s="1037"/>
      <c r="B354" s="1037"/>
      <c r="C354" s="1037"/>
      <c r="D354" s="1037"/>
      <c r="E354" s="1037"/>
      <c r="F354" s="1037"/>
      <c r="G354" s="1037"/>
      <c r="H354" s="1037"/>
      <c r="I354" s="1037"/>
      <c r="J354" s="1038"/>
    </row>
    <row r="355">
      <c r="A355" s="1037"/>
      <c r="B355" s="1037"/>
      <c r="C355" s="1037"/>
      <c r="D355" s="1037"/>
      <c r="E355" s="1037"/>
      <c r="F355" s="1037"/>
      <c r="G355" s="1037"/>
      <c r="H355" s="1037"/>
      <c r="I355" s="1037"/>
      <c r="J355" s="1038"/>
    </row>
    <row r="356">
      <c r="A356" s="1037"/>
      <c r="B356" s="1037"/>
      <c r="C356" s="1037"/>
      <c r="D356" s="1037"/>
      <c r="E356" s="1037"/>
      <c r="F356" s="1037"/>
      <c r="G356" s="1037"/>
      <c r="H356" s="1037"/>
      <c r="I356" s="1037"/>
      <c r="J356" s="1038"/>
    </row>
    <row r="357">
      <c r="A357" s="1037"/>
      <c r="B357" s="1037"/>
      <c r="C357" s="1037"/>
      <c r="D357" s="1037"/>
      <c r="E357" s="1037"/>
      <c r="F357" s="1037"/>
      <c r="G357" s="1037"/>
      <c r="H357" s="1037"/>
      <c r="I357" s="1037"/>
      <c r="J357" s="1038"/>
    </row>
    <row r="358">
      <c r="A358" s="1037"/>
      <c r="B358" s="1037"/>
      <c r="C358" s="1037"/>
      <c r="D358" s="1037"/>
      <c r="E358" s="1037"/>
      <c r="F358" s="1037"/>
      <c r="G358" s="1037"/>
      <c r="H358" s="1037"/>
      <c r="I358" s="1037"/>
      <c r="J358" s="1038"/>
    </row>
    <row r="359">
      <c r="A359" s="1037"/>
      <c r="B359" s="1037"/>
      <c r="C359" s="1037"/>
      <c r="D359" s="1037"/>
      <c r="E359" s="1037"/>
      <c r="F359" s="1037"/>
      <c r="G359" s="1037"/>
      <c r="H359" s="1037"/>
      <c r="I359" s="1037"/>
      <c r="J359" s="1038"/>
    </row>
    <row r="360">
      <c r="A360" s="1037"/>
      <c r="B360" s="1037"/>
      <c r="C360" s="1037"/>
      <c r="D360" s="1037"/>
      <c r="E360" s="1037"/>
      <c r="F360" s="1037"/>
      <c r="G360" s="1037"/>
      <c r="H360" s="1037"/>
      <c r="I360" s="1037"/>
      <c r="J360" s="1038"/>
    </row>
    <row r="361">
      <c r="A361" s="1037"/>
      <c r="B361" s="1037"/>
      <c r="C361" s="1037"/>
      <c r="D361" s="1037"/>
      <c r="E361" s="1037"/>
      <c r="F361" s="1037"/>
      <c r="G361" s="1037"/>
      <c r="H361" s="1037"/>
      <c r="I361" s="1037"/>
      <c r="J361" s="1038"/>
    </row>
    <row r="362">
      <c r="A362" s="1037"/>
      <c r="B362" s="1037"/>
      <c r="C362" s="1037"/>
      <c r="D362" s="1037"/>
      <c r="E362" s="1037"/>
      <c r="F362" s="1037"/>
      <c r="G362" s="1037"/>
      <c r="H362" s="1037"/>
      <c r="I362" s="1037"/>
      <c r="J362" s="1038"/>
    </row>
    <row r="363">
      <c r="A363" s="1037"/>
      <c r="B363" s="1037"/>
      <c r="C363" s="1037"/>
      <c r="D363" s="1037"/>
      <c r="E363" s="1037"/>
      <c r="F363" s="1037"/>
      <c r="G363" s="1037"/>
      <c r="H363" s="1037"/>
      <c r="I363" s="1037"/>
      <c r="J363" s="1038"/>
    </row>
    <row r="364">
      <c r="A364" s="1037"/>
      <c r="B364" s="1037"/>
      <c r="C364" s="1037"/>
      <c r="D364" s="1037"/>
      <c r="E364" s="1037"/>
      <c r="F364" s="1037"/>
      <c r="G364" s="1037"/>
      <c r="H364" s="1037"/>
      <c r="I364" s="1037"/>
      <c r="J364" s="1038"/>
    </row>
    <row r="365">
      <c r="A365" s="1037"/>
      <c r="B365" s="1037"/>
      <c r="C365" s="1037"/>
      <c r="D365" s="1037"/>
      <c r="E365" s="1037"/>
      <c r="F365" s="1037"/>
      <c r="G365" s="1037"/>
      <c r="H365" s="1037"/>
      <c r="I365" s="1037"/>
      <c r="J365" s="1038"/>
    </row>
    <row r="366">
      <c r="A366" s="1037"/>
      <c r="B366" s="1037"/>
      <c r="C366" s="1037"/>
      <c r="D366" s="1037"/>
      <c r="E366" s="1037"/>
      <c r="F366" s="1037"/>
      <c r="G366" s="1037"/>
      <c r="H366" s="1037"/>
      <c r="I366" s="1037"/>
      <c r="J366" s="1038"/>
    </row>
    <row r="367">
      <c r="A367" s="1037"/>
      <c r="B367" s="1037"/>
      <c r="C367" s="1037"/>
      <c r="D367" s="1037"/>
      <c r="E367" s="1037"/>
      <c r="F367" s="1037"/>
      <c r="G367" s="1037"/>
      <c r="H367" s="1037"/>
      <c r="I367" s="1037"/>
      <c r="J367" s="1038"/>
    </row>
    <row r="368">
      <c r="A368" s="1037"/>
      <c r="B368" s="1037"/>
      <c r="C368" s="1037"/>
      <c r="D368" s="1037"/>
      <c r="E368" s="1037"/>
      <c r="F368" s="1037"/>
      <c r="G368" s="1037"/>
      <c r="H368" s="1037"/>
      <c r="I368" s="1037"/>
      <c r="J368" s="1038"/>
    </row>
    <row r="369">
      <c r="A369" s="1037"/>
      <c r="B369" s="1037"/>
      <c r="C369" s="1037"/>
      <c r="D369" s="1037"/>
      <c r="E369" s="1037"/>
      <c r="F369" s="1037"/>
      <c r="G369" s="1037"/>
      <c r="H369" s="1037"/>
      <c r="I369" s="1037"/>
      <c r="J369" s="1038"/>
    </row>
    <row r="370">
      <c r="A370" s="1037"/>
      <c r="B370" s="1037"/>
      <c r="C370" s="1037"/>
      <c r="D370" s="1037"/>
      <c r="E370" s="1037"/>
      <c r="F370" s="1037"/>
      <c r="G370" s="1037"/>
      <c r="H370" s="1037"/>
      <c r="I370" s="1037"/>
      <c r="J370" s="1038"/>
    </row>
    <row r="371">
      <c r="A371" s="1037"/>
      <c r="B371" s="1037"/>
      <c r="C371" s="1037"/>
      <c r="D371" s="1037"/>
      <c r="E371" s="1037"/>
      <c r="F371" s="1037"/>
      <c r="G371" s="1037"/>
      <c r="H371" s="1037"/>
      <c r="I371" s="1037"/>
      <c r="J371" s="1038"/>
    </row>
    <row r="372">
      <c r="A372" s="1037"/>
      <c r="B372" s="1037"/>
      <c r="C372" s="1037"/>
      <c r="D372" s="1037"/>
      <c r="E372" s="1037"/>
      <c r="F372" s="1037"/>
      <c r="G372" s="1037"/>
      <c r="H372" s="1037"/>
      <c r="I372" s="1037"/>
      <c r="J372" s="1038"/>
    </row>
    <row r="373">
      <c r="A373" s="1037"/>
      <c r="B373" s="1037"/>
      <c r="C373" s="1037"/>
      <c r="D373" s="1037"/>
      <c r="E373" s="1037"/>
      <c r="F373" s="1037"/>
      <c r="G373" s="1037"/>
      <c r="H373" s="1037"/>
      <c r="I373" s="1037"/>
      <c r="J373" s="1038"/>
    </row>
    <row r="374">
      <c r="A374" s="1037"/>
      <c r="B374" s="1037"/>
      <c r="C374" s="1037"/>
      <c r="D374" s="1037"/>
      <c r="E374" s="1037"/>
      <c r="F374" s="1037"/>
      <c r="G374" s="1037"/>
      <c r="H374" s="1037"/>
      <c r="I374" s="1037"/>
      <c r="J374" s="1038"/>
    </row>
    <row r="375">
      <c r="A375" s="1037"/>
      <c r="B375" s="1037"/>
      <c r="C375" s="1037"/>
      <c r="D375" s="1037"/>
      <c r="E375" s="1037"/>
      <c r="F375" s="1037"/>
      <c r="G375" s="1037"/>
      <c r="H375" s="1037"/>
      <c r="I375" s="1037"/>
      <c r="J375" s="1038"/>
    </row>
    <row r="376">
      <c r="A376" s="1037"/>
      <c r="B376" s="1037"/>
      <c r="C376" s="1037"/>
      <c r="D376" s="1037"/>
      <c r="E376" s="1037"/>
      <c r="F376" s="1037"/>
      <c r="G376" s="1037"/>
      <c r="H376" s="1037"/>
      <c r="I376" s="1037"/>
      <c r="J376" s="1038"/>
    </row>
    <row r="377">
      <c r="A377" s="1037"/>
      <c r="B377" s="1037"/>
      <c r="C377" s="1037"/>
      <c r="D377" s="1037"/>
      <c r="E377" s="1037"/>
      <c r="F377" s="1037"/>
      <c r="G377" s="1037"/>
      <c r="H377" s="1037"/>
      <c r="I377" s="1037"/>
      <c r="J377" s="1038"/>
    </row>
    <row r="378">
      <c r="A378" s="1037"/>
      <c r="B378" s="1037"/>
      <c r="C378" s="1037"/>
      <c r="D378" s="1037"/>
      <c r="E378" s="1037"/>
      <c r="F378" s="1037"/>
      <c r="G378" s="1037"/>
      <c r="H378" s="1037"/>
      <c r="I378" s="1037"/>
      <c r="J378" s="1038"/>
    </row>
    <row r="379">
      <c r="A379" s="1037"/>
      <c r="B379" s="1037"/>
      <c r="C379" s="1037"/>
      <c r="D379" s="1037"/>
      <c r="E379" s="1037"/>
      <c r="F379" s="1037"/>
      <c r="G379" s="1037"/>
      <c r="H379" s="1037"/>
      <c r="I379" s="1037"/>
      <c r="J379" s="1038"/>
    </row>
    <row r="380">
      <c r="A380" s="1037"/>
      <c r="B380" s="1037"/>
      <c r="C380" s="1037"/>
      <c r="D380" s="1037"/>
      <c r="E380" s="1037"/>
      <c r="F380" s="1037"/>
      <c r="G380" s="1037"/>
      <c r="H380" s="1037"/>
      <c r="I380" s="1037"/>
      <c r="J380" s="1038"/>
    </row>
    <row r="381">
      <c r="A381" s="1037"/>
      <c r="B381" s="1037"/>
      <c r="C381" s="1037"/>
      <c r="D381" s="1037"/>
      <c r="E381" s="1037"/>
      <c r="F381" s="1037"/>
      <c r="G381" s="1037"/>
      <c r="H381" s="1037"/>
      <c r="I381" s="1037"/>
      <c r="J381" s="1038"/>
    </row>
    <row r="382">
      <c r="A382" s="1037"/>
      <c r="B382" s="1037"/>
      <c r="C382" s="1037"/>
      <c r="D382" s="1037"/>
      <c r="E382" s="1037"/>
      <c r="F382" s="1037"/>
      <c r="G382" s="1037"/>
      <c r="H382" s="1037"/>
      <c r="I382" s="1037"/>
      <c r="J382" s="1038"/>
    </row>
    <row r="383">
      <c r="A383" s="1037"/>
      <c r="B383" s="1037"/>
      <c r="C383" s="1037"/>
      <c r="D383" s="1037"/>
      <c r="E383" s="1037"/>
      <c r="F383" s="1037"/>
      <c r="G383" s="1037"/>
      <c r="H383" s="1037"/>
      <c r="I383" s="1037"/>
      <c r="J383" s="1038"/>
    </row>
    <row r="384">
      <c r="A384" s="1037"/>
      <c r="B384" s="1037"/>
      <c r="C384" s="1037"/>
      <c r="D384" s="1037"/>
      <c r="E384" s="1037"/>
      <c r="F384" s="1037"/>
      <c r="G384" s="1037"/>
      <c r="H384" s="1037"/>
      <c r="I384" s="1037"/>
      <c r="J384" s="1038"/>
    </row>
    <row r="385">
      <c r="A385" s="1037"/>
      <c r="B385" s="1037"/>
      <c r="C385" s="1037"/>
      <c r="D385" s="1037"/>
      <c r="E385" s="1037"/>
      <c r="F385" s="1037"/>
      <c r="G385" s="1037"/>
      <c r="H385" s="1037"/>
      <c r="I385" s="1037"/>
      <c r="J385" s="1038"/>
    </row>
    <row r="386">
      <c r="A386" s="1037"/>
      <c r="B386" s="1037"/>
      <c r="C386" s="1037"/>
      <c r="D386" s="1037"/>
      <c r="E386" s="1037"/>
      <c r="F386" s="1037"/>
      <c r="G386" s="1037"/>
      <c r="H386" s="1037"/>
      <c r="I386" s="1037"/>
      <c r="J386" s="1038"/>
    </row>
    <row r="387">
      <c r="A387" s="1037"/>
      <c r="B387" s="1037"/>
      <c r="C387" s="1037"/>
      <c r="D387" s="1037"/>
      <c r="E387" s="1037"/>
      <c r="F387" s="1037"/>
      <c r="G387" s="1037"/>
      <c r="H387" s="1037"/>
      <c r="I387" s="1037"/>
      <c r="J387" s="1038"/>
    </row>
    <row r="388">
      <c r="A388" s="1037"/>
      <c r="B388" s="1037"/>
      <c r="C388" s="1037"/>
      <c r="D388" s="1037"/>
      <c r="E388" s="1037"/>
      <c r="F388" s="1037"/>
      <c r="G388" s="1037"/>
      <c r="H388" s="1037"/>
      <c r="I388" s="1037"/>
      <c r="J388" s="1038"/>
    </row>
    <row r="389">
      <c r="A389" s="1037"/>
      <c r="B389" s="1037"/>
      <c r="C389" s="1037"/>
      <c r="D389" s="1037"/>
      <c r="E389" s="1037"/>
      <c r="F389" s="1037"/>
      <c r="G389" s="1037"/>
      <c r="H389" s="1037"/>
      <c r="I389" s="1037"/>
      <c r="J389" s="1038"/>
    </row>
    <row r="390">
      <c r="A390" s="1037"/>
      <c r="B390" s="1037"/>
      <c r="C390" s="1037"/>
      <c r="D390" s="1037"/>
      <c r="E390" s="1037"/>
      <c r="F390" s="1037"/>
      <c r="G390" s="1037"/>
      <c r="H390" s="1037"/>
      <c r="I390" s="1037"/>
      <c r="J390" s="1038"/>
    </row>
    <row r="391">
      <c r="A391" s="1037"/>
      <c r="B391" s="1037"/>
      <c r="C391" s="1037"/>
      <c r="D391" s="1037"/>
      <c r="E391" s="1037"/>
      <c r="F391" s="1037"/>
      <c r="G391" s="1037"/>
      <c r="H391" s="1037"/>
      <c r="I391" s="1037"/>
      <c r="J391" s="1038"/>
    </row>
    <row r="392">
      <c r="A392" s="1037"/>
      <c r="B392" s="1037"/>
      <c r="C392" s="1037"/>
      <c r="D392" s="1037"/>
      <c r="E392" s="1037"/>
      <c r="F392" s="1037"/>
      <c r="G392" s="1037"/>
      <c r="H392" s="1037"/>
      <c r="I392" s="1037"/>
      <c r="J392" s="1038"/>
    </row>
    <row r="393">
      <c r="A393" s="1037"/>
      <c r="B393" s="1037"/>
      <c r="C393" s="1037"/>
      <c r="D393" s="1037"/>
      <c r="E393" s="1037"/>
      <c r="F393" s="1037"/>
      <c r="G393" s="1037"/>
      <c r="H393" s="1037"/>
      <c r="I393" s="1037"/>
      <c r="J393" s="1038"/>
    </row>
    <row r="394">
      <c r="A394" s="1037"/>
      <c r="B394" s="1037"/>
      <c r="C394" s="1037"/>
      <c r="D394" s="1037"/>
      <c r="E394" s="1037"/>
      <c r="F394" s="1037"/>
      <c r="G394" s="1037"/>
      <c r="H394" s="1037"/>
      <c r="I394" s="1037"/>
      <c r="J394" s="1038"/>
    </row>
    <row r="395">
      <c r="A395" s="1037"/>
      <c r="B395" s="1037"/>
      <c r="C395" s="1037"/>
      <c r="D395" s="1037"/>
      <c r="E395" s="1037"/>
      <c r="F395" s="1037"/>
      <c r="G395" s="1037"/>
      <c r="H395" s="1037"/>
      <c r="I395" s="1037"/>
      <c r="J395" s="1038"/>
    </row>
    <row r="396">
      <c r="A396" s="1037"/>
      <c r="B396" s="1037"/>
      <c r="C396" s="1037"/>
      <c r="D396" s="1037"/>
      <c r="E396" s="1037"/>
      <c r="F396" s="1037"/>
      <c r="G396" s="1037"/>
      <c r="H396" s="1037"/>
      <c r="I396" s="1037"/>
      <c r="J396" s="1038"/>
    </row>
    <row r="397">
      <c r="A397" s="1037"/>
      <c r="B397" s="1037"/>
      <c r="C397" s="1037"/>
      <c r="D397" s="1037"/>
      <c r="E397" s="1037"/>
      <c r="F397" s="1037"/>
      <c r="G397" s="1037"/>
      <c r="H397" s="1037"/>
      <c r="I397" s="1037"/>
      <c r="J397" s="1038"/>
    </row>
    <row r="398">
      <c r="A398" s="1037"/>
      <c r="B398" s="1037"/>
      <c r="C398" s="1037"/>
      <c r="D398" s="1037"/>
      <c r="E398" s="1037"/>
      <c r="F398" s="1037"/>
      <c r="G398" s="1037"/>
      <c r="H398" s="1037"/>
      <c r="I398" s="1037"/>
      <c r="J398" s="1038"/>
    </row>
    <row r="399">
      <c r="A399" s="1037"/>
      <c r="B399" s="1037"/>
      <c r="C399" s="1037"/>
      <c r="D399" s="1037"/>
      <c r="E399" s="1037"/>
      <c r="F399" s="1037"/>
      <c r="G399" s="1037"/>
      <c r="H399" s="1037"/>
      <c r="I399" s="1037"/>
      <c r="J399" s="1038"/>
    </row>
    <row r="400">
      <c r="A400" s="1037"/>
      <c r="B400" s="1037"/>
      <c r="C400" s="1037"/>
      <c r="D400" s="1037"/>
      <c r="E400" s="1037"/>
      <c r="F400" s="1037"/>
      <c r="G400" s="1037"/>
      <c r="H400" s="1037"/>
      <c r="I400" s="1037"/>
      <c r="J400" s="1038"/>
    </row>
    <row r="401">
      <c r="A401" s="1037"/>
      <c r="B401" s="1037"/>
      <c r="C401" s="1037"/>
      <c r="D401" s="1037"/>
      <c r="E401" s="1037"/>
      <c r="F401" s="1037"/>
      <c r="G401" s="1037"/>
      <c r="H401" s="1037"/>
      <c r="I401" s="1037"/>
      <c r="J401" s="1038"/>
    </row>
    <row r="402">
      <c r="A402" s="1037"/>
      <c r="B402" s="1037"/>
      <c r="C402" s="1037"/>
      <c r="D402" s="1037"/>
      <c r="E402" s="1037"/>
      <c r="F402" s="1037"/>
      <c r="G402" s="1037"/>
      <c r="H402" s="1037"/>
      <c r="I402" s="1037"/>
      <c r="J402" s="1038"/>
    </row>
    <row r="403">
      <c r="A403" s="1037"/>
      <c r="B403" s="1037"/>
      <c r="C403" s="1037"/>
      <c r="D403" s="1037"/>
      <c r="E403" s="1037"/>
      <c r="F403" s="1037"/>
      <c r="G403" s="1037"/>
      <c r="H403" s="1037"/>
      <c r="I403" s="1037"/>
      <c r="J403" s="1038"/>
    </row>
    <row r="404">
      <c r="A404" s="1037"/>
      <c r="B404" s="1037"/>
      <c r="C404" s="1037"/>
      <c r="D404" s="1037"/>
      <c r="E404" s="1037"/>
      <c r="F404" s="1037"/>
      <c r="G404" s="1037"/>
      <c r="H404" s="1037"/>
      <c r="I404" s="1037"/>
      <c r="J404" s="1038"/>
    </row>
    <row r="405">
      <c r="A405" s="1037"/>
      <c r="B405" s="1037"/>
      <c r="C405" s="1037"/>
      <c r="D405" s="1037"/>
      <c r="E405" s="1037"/>
      <c r="F405" s="1037"/>
      <c r="G405" s="1037"/>
      <c r="H405" s="1037"/>
      <c r="I405" s="1037"/>
      <c r="J405" s="1038"/>
    </row>
    <row r="406">
      <c r="A406" s="1037"/>
      <c r="B406" s="1037"/>
      <c r="C406" s="1037"/>
      <c r="D406" s="1037"/>
      <c r="E406" s="1037"/>
      <c r="F406" s="1037"/>
      <c r="G406" s="1037"/>
      <c r="H406" s="1037"/>
      <c r="I406" s="1037"/>
      <c r="J406" s="1038"/>
    </row>
    <row r="407">
      <c r="A407" s="1037"/>
      <c r="B407" s="1037"/>
      <c r="C407" s="1037"/>
      <c r="D407" s="1037"/>
      <c r="E407" s="1037"/>
      <c r="F407" s="1037"/>
      <c r="G407" s="1037"/>
      <c r="H407" s="1037"/>
      <c r="I407" s="1037"/>
      <c r="J407" s="1038"/>
    </row>
    <row r="408">
      <c r="A408" s="1037"/>
      <c r="B408" s="1037"/>
      <c r="C408" s="1037"/>
      <c r="D408" s="1037"/>
      <c r="E408" s="1037"/>
      <c r="F408" s="1037"/>
      <c r="G408" s="1037"/>
      <c r="H408" s="1037"/>
      <c r="I408" s="1037"/>
      <c r="J408" s="1038"/>
    </row>
    <row r="409">
      <c r="A409" s="1037"/>
      <c r="B409" s="1037"/>
      <c r="C409" s="1037"/>
      <c r="D409" s="1037"/>
      <c r="E409" s="1037"/>
      <c r="F409" s="1037"/>
      <c r="G409" s="1037"/>
      <c r="H409" s="1037"/>
      <c r="I409" s="1037"/>
      <c r="J409" s="1038"/>
    </row>
    <row r="410">
      <c r="A410" s="1037"/>
      <c r="B410" s="1037"/>
      <c r="C410" s="1037"/>
      <c r="D410" s="1037"/>
      <c r="E410" s="1037"/>
      <c r="F410" s="1037"/>
      <c r="G410" s="1037"/>
      <c r="H410" s="1037"/>
      <c r="I410" s="1037"/>
      <c r="J410" s="1038"/>
    </row>
    <row r="411">
      <c r="A411" s="1037"/>
      <c r="B411" s="1037"/>
      <c r="C411" s="1037"/>
      <c r="D411" s="1037"/>
      <c r="E411" s="1037"/>
      <c r="F411" s="1037"/>
      <c r="G411" s="1037"/>
      <c r="H411" s="1037"/>
      <c r="I411" s="1037"/>
      <c r="J411" s="1038"/>
    </row>
    <row r="412">
      <c r="A412" s="1037"/>
      <c r="B412" s="1037"/>
      <c r="C412" s="1037"/>
      <c r="D412" s="1037"/>
      <c r="E412" s="1037"/>
      <c r="F412" s="1037"/>
      <c r="G412" s="1037"/>
      <c r="H412" s="1037"/>
      <c r="I412" s="1037"/>
      <c r="J412" s="1038"/>
    </row>
    <row r="413">
      <c r="A413" s="1037"/>
      <c r="B413" s="1037"/>
      <c r="C413" s="1037"/>
      <c r="D413" s="1037"/>
      <c r="E413" s="1037"/>
      <c r="F413" s="1037"/>
      <c r="G413" s="1037"/>
      <c r="H413" s="1037"/>
      <c r="I413" s="1037"/>
      <c r="J413" s="1038"/>
    </row>
    <row r="414">
      <c r="A414" s="1037"/>
      <c r="B414" s="1037"/>
      <c r="C414" s="1037"/>
      <c r="D414" s="1037"/>
      <c r="E414" s="1037"/>
      <c r="F414" s="1037"/>
      <c r="G414" s="1037"/>
      <c r="H414" s="1037"/>
      <c r="I414" s="1037"/>
      <c r="J414" s="1038"/>
    </row>
    <row r="415">
      <c r="A415" s="1037"/>
      <c r="B415" s="1037"/>
      <c r="C415" s="1037"/>
      <c r="D415" s="1037"/>
      <c r="E415" s="1037"/>
      <c r="F415" s="1037"/>
      <c r="G415" s="1037"/>
      <c r="H415" s="1037"/>
      <c r="I415" s="1037"/>
      <c r="J415" s="1038"/>
    </row>
    <row r="416">
      <c r="A416" s="1037"/>
      <c r="B416" s="1037"/>
      <c r="C416" s="1037"/>
      <c r="D416" s="1037"/>
      <c r="E416" s="1037"/>
      <c r="F416" s="1037"/>
      <c r="G416" s="1037"/>
      <c r="H416" s="1037"/>
      <c r="I416" s="1037"/>
      <c r="J416" s="1038"/>
    </row>
    <row r="417">
      <c r="A417" s="1037"/>
      <c r="B417" s="1037"/>
      <c r="C417" s="1037"/>
      <c r="D417" s="1037"/>
      <c r="E417" s="1037"/>
      <c r="F417" s="1037"/>
      <c r="G417" s="1037"/>
      <c r="H417" s="1037"/>
      <c r="I417" s="1037"/>
      <c r="J417" s="1038"/>
    </row>
    <row r="418">
      <c r="A418" s="1037"/>
      <c r="B418" s="1037"/>
      <c r="C418" s="1037"/>
      <c r="D418" s="1037"/>
      <c r="E418" s="1037"/>
      <c r="F418" s="1037"/>
      <c r="G418" s="1037"/>
      <c r="H418" s="1037"/>
      <c r="I418" s="1037"/>
      <c r="J418" s="1038"/>
    </row>
    <row r="419">
      <c r="A419" s="1037"/>
      <c r="B419" s="1037"/>
      <c r="C419" s="1037"/>
      <c r="D419" s="1037"/>
      <c r="E419" s="1037"/>
      <c r="F419" s="1037"/>
      <c r="G419" s="1037"/>
      <c r="H419" s="1037"/>
      <c r="I419" s="1037"/>
      <c r="J419" s="1038"/>
    </row>
    <row r="420">
      <c r="A420" s="1037"/>
      <c r="B420" s="1037"/>
      <c r="C420" s="1037"/>
      <c r="D420" s="1037"/>
      <c r="E420" s="1037"/>
      <c r="F420" s="1037"/>
      <c r="G420" s="1037"/>
      <c r="H420" s="1037"/>
      <c r="I420" s="1037"/>
      <c r="J420" s="1038"/>
    </row>
    <row r="421">
      <c r="A421" s="1037"/>
      <c r="B421" s="1037"/>
      <c r="C421" s="1037"/>
      <c r="D421" s="1037"/>
      <c r="E421" s="1037"/>
      <c r="F421" s="1037"/>
      <c r="G421" s="1037"/>
      <c r="H421" s="1037"/>
      <c r="I421" s="1037"/>
      <c r="J421" s="1038"/>
    </row>
    <row r="422">
      <c r="A422" s="1037"/>
      <c r="B422" s="1037"/>
      <c r="C422" s="1037"/>
      <c r="D422" s="1037"/>
      <c r="E422" s="1037"/>
      <c r="F422" s="1037"/>
      <c r="G422" s="1037"/>
      <c r="H422" s="1037"/>
      <c r="I422" s="1037"/>
      <c r="J422" s="1038"/>
    </row>
    <row r="423">
      <c r="A423" s="1037"/>
      <c r="B423" s="1037"/>
      <c r="C423" s="1037"/>
      <c r="D423" s="1037"/>
      <c r="E423" s="1037"/>
      <c r="F423" s="1037"/>
      <c r="G423" s="1037"/>
      <c r="H423" s="1037"/>
      <c r="I423" s="1037"/>
      <c r="J423" s="1038"/>
    </row>
    <row r="424">
      <c r="A424" s="1037"/>
      <c r="B424" s="1037"/>
      <c r="C424" s="1037"/>
      <c r="D424" s="1037"/>
      <c r="E424" s="1037"/>
      <c r="F424" s="1037"/>
      <c r="G424" s="1037"/>
      <c r="H424" s="1037"/>
      <c r="I424" s="1037"/>
      <c r="J424" s="1038"/>
    </row>
    <row r="425">
      <c r="A425" s="1037"/>
      <c r="B425" s="1037"/>
      <c r="C425" s="1037"/>
      <c r="D425" s="1037"/>
      <c r="E425" s="1037"/>
      <c r="F425" s="1037"/>
      <c r="G425" s="1037"/>
      <c r="H425" s="1037"/>
      <c r="I425" s="1037"/>
      <c r="J425" s="1038"/>
    </row>
    <row r="426">
      <c r="A426" s="1037"/>
      <c r="B426" s="1037"/>
      <c r="C426" s="1037"/>
      <c r="D426" s="1037"/>
      <c r="E426" s="1037"/>
      <c r="F426" s="1037"/>
      <c r="G426" s="1037"/>
      <c r="H426" s="1037"/>
      <c r="I426" s="1037"/>
      <c r="J426" s="1038"/>
    </row>
    <row r="427">
      <c r="A427" s="1037"/>
      <c r="B427" s="1037"/>
      <c r="C427" s="1037"/>
      <c r="D427" s="1037"/>
      <c r="E427" s="1037"/>
      <c r="F427" s="1037"/>
      <c r="G427" s="1037"/>
      <c r="H427" s="1037"/>
      <c r="I427" s="1037"/>
      <c r="J427" s="1038"/>
    </row>
    <row r="428">
      <c r="A428" s="1037"/>
      <c r="B428" s="1037"/>
      <c r="C428" s="1037"/>
      <c r="D428" s="1037"/>
      <c r="E428" s="1037"/>
      <c r="F428" s="1037"/>
      <c r="G428" s="1037"/>
      <c r="H428" s="1037"/>
      <c r="I428" s="1037"/>
      <c r="J428" s="1038"/>
    </row>
    <row r="429">
      <c r="A429" s="1037"/>
      <c r="B429" s="1037"/>
      <c r="C429" s="1037"/>
      <c r="D429" s="1037"/>
      <c r="E429" s="1037"/>
      <c r="F429" s="1037"/>
      <c r="G429" s="1037"/>
      <c r="H429" s="1037"/>
      <c r="I429" s="1037"/>
      <c r="J429" s="1038"/>
    </row>
    <row r="430">
      <c r="A430" s="1037"/>
      <c r="B430" s="1037"/>
      <c r="C430" s="1037"/>
      <c r="D430" s="1037"/>
      <c r="E430" s="1037"/>
      <c r="F430" s="1037"/>
      <c r="G430" s="1037"/>
      <c r="H430" s="1037"/>
      <c r="I430" s="1037"/>
      <c r="J430" s="1038"/>
    </row>
    <row r="431">
      <c r="A431" s="1037"/>
      <c r="B431" s="1037"/>
      <c r="C431" s="1037"/>
      <c r="D431" s="1037"/>
      <c r="E431" s="1037"/>
      <c r="F431" s="1037"/>
      <c r="G431" s="1037"/>
      <c r="H431" s="1037"/>
      <c r="I431" s="1037"/>
      <c r="J431" s="1038"/>
    </row>
    <row r="432">
      <c r="A432" s="1037"/>
      <c r="B432" s="1037"/>
      <c r="C432" s="1037"/>
      <c r="D432" s="1037"/>
      <c r="E432" s="1037"/>
      <c r="F432" s="1037"/>
      <c r="G432" s="1037"/>
      <c r="H432" s="1037"/>
      <c r="I432" s="1037"/>
      <c r="J432" s="1038"/>
    </row>
    <row r="433">
      <c r="A433" s="1037"/>
      <c r="B433" s="1037"/>
      <c r="C433" s="1037"/>
      <c r="D433" s="1037"/>
      <c r="E433" s="1037"/>
      <c r="F433" s="1037"/>
      <c r="G433" s="1037"/>
      <c r="H433" s="1037"/>
      <c r="I433" s="1037"/>
      <c r="J433" s="1038"/>
    </row>
    <row r="434">
      <c r="A434" s="1037"/>
      <c r="B434" s="1037"/>
      <c r="C434" s="1037"/>
      <c r="D434" s="1037"/>
      <c r="E434" s="1037"/>
      <c r="F434" s="1037"/>
      <c r="G434" s="1037"/>
      <c r="H434" s="1037"/>
      <c r="I434" s="1037"/>
      <c r="J434" s="1038"/>
    </row>
    <row r="435">
      <c r="A435" s="1037"/>
      <c r="B435" s="1037"/>
      <c r="C435" s="1037"/>
      <c r="D435" s="1037"/>
      <c r="E435" s="1037"/>
      <c r="F435" s="1037"/>
      <c r="G435" s="1037"/>
      <c r="H435" s="1037"/>
      <c r="I435" s="1037"/>
      <c r="J435" s="1038"/>
    </row>
    <row r="436">
      <c r="A436" s="1037"/>
      <c r="B436" s="1037"/>
      <c r="C436" s="1037"/>
      <c r="D436" s="1037"/>
      <c r="E436" s="1037"/>
      <c r="F436" s="1037"/>
      <c r="G436" s="1037"/>
      <c r="H436" s="1037"/>
      <c r="I436" s="1037"/>
      <c r="J436" s="1038"/>
    </row>
    <row r="437">
      <c r="A437" s="1037"/>
      <c r="B437" s="1037"/>
      <c r="C437" s="1037"/>
      <c r="D437" s="1037"/>
      <c r="E437" s="1037"/>
      <c r="F437" s="1037"/>
      <c r="G437" s="1037"/>
      <c r="H437" s="1037"/>
      <c r="I437" s="1037"/>
      <c r="J437" s="1038"/>
    </row>
    <row r="438">
      <c r="A438" s="1037"/>
      <c r="B438" s="1037"/>
      <c r="C438" s="1037"/>
      <c r="D438" s="1037"/>
      <c r="E438" s="1037"/>
      <c r="F438" s="1037"/>
      <c r="G438" s="1037"/>
      <c r="H438" s="1037"/>
      <c r="I438" s="1037"/>
      <c r="J438" s="1038"/>
    </row>
    <row r="439">
      <c r="A439" s="1037"/>
      <c r="B439" s="1037"/>
      <c r="C439" s="1037"/>
      <c r="D439" s="1037"/>
      <c r="E439" s="1037"/>
      <c r="F439" s="1037"/>
      <c r="G439" s="1037"/>
      <c r="H439" s="1037"/>
      <c r="I439" s="1037"/>
      <c r="J439" s="1038"/>
    </row>
    <row r="440">
      <c r="A440" s="1037"/>
      <c r="B440" s="1037"/>
      <c r="C440" s="1037"/>
      <c r="D440" s="1037"/>
      <c r="E440" s="1037"/>
      <c r="F440" s="1037"/>
      <c r="G440" s="1037"/>
      <c r="H440" s="1037"/>
      <c r="I440" s="1037"/>
      <c r="J440" s="1038"/>
    </row>
    <row r="441">
      <c r="A441" s="1037"/>
      <c r="B441" s="1037"/>
      <c r="C441" s="1037"/>
      <c r="D441" s="1037"/>
      <c r="E441" s="1037"/>
      <c r="F441" s="1037"/>
      <c r="G441" s="1037"/>
      <c r="H441" s="1037"/>
      <c r="I441" s="1037"/>
      <c r="J441" s="1038"/>
    </row>
    <row r="442">
      <c r="A442" s="1037"/>
      <c r="B442" s="1037"/>
      <c r="C442" s="1037"/>
      <c r="D442" s="1037"/>
      <c r="E442" s="1037"/>
      <c r="F442" s="1037"/>
      <c r="G442" s="1037"/>
      <c r="H442" s="1037"/>
      <c r="I442" s="1037"/>
      <c r="J442" s="1038"/>
    </row>
    <row r="443">
      <c r="A443" s="1037"/>
      <c r="B443" s="1037"/>
      <c r="C443" s="1037"/>
      <c r="D443" s="1037"/>
      <c r="E443" s="1037"/>
      <c r="F443" s="1037"/>
      <c r="G443" s="1037"/>
      <c r="H443" s="1037"/>
      <c r="I443" s="1037"/>
      <c r="J443" s="1038"/>
    </row>
    <row r="444">
      <c r="A444" s="1037"/>
      <c r="B444" s="1037"/>
      <c r="C444" s="1037"/>
      <c r="D444" s="1037"/>
      <c r="E444" s="1037"/>
      <c r="F444" s="1037"/>
      <c r="G444" s="1037"/>
      <c r="H444" s="1037"/>
      <c r="I444" s="1037"/>
      <c r="J444" s="1038"/>
    </row>
    <row r="445">
      <c r="A445" s="1037"/>
      <c r="B445" s="1037"/>
      <c r="C445" s="1037"/>
      <c r="D445" s="1037"/>
      <c r="E445" s="1037"/>
      <c r="F445" s="1037"/>
      <c r="G445" s="1037"/>
      <c r="H445" s="1037"/>
      <c r="I445" s="1037"/>
      <c r="J445" s="1038"/>
    </row>
    <row r="446">
      <c r="A446" s="1037"/>
      <c r="B446" s="1037"/>
      <c r="C446" s="1037"/>
      <c r="D446" s="1037"/>
      <c r="E446" s="1037"/>
      <c r="F446" s="1037"/>
      <c r="G446" s="1037"/>
      <c r="H446" s="1037"/>
      <c r="I446" s="1037"/>
      <c r="J446" s="1038"/>
    </row>
    <row r="447">
      <c r="A447" s="1037"/>
      <c r="B447" s="1037"/>
      <c r="C447" s="1037"/>
      <c r="D447" s="1037"/>
      <c r="E447" s="1037"/>
      <c r="F447" s="1037"/>
      <c r="G447" s="1037"/>
      <c r="H447" s="1037"/>
      <c r="I447" s="1037"/>
      <c r="J447" s="1038"/>
    </row>
    <row r="448">
      <c r="A448" s="1037"/>
      <c r="B448" s="1037"/>
      <c r="C448" s="1037"/>
      <c r="D448" s="1037"/>
      <c r="E448" s="1037"/>
      <c r="F448" s="1037"/>
      <c r="G448" s="1037"/>
      <c r="H448" s="1037"/>
      <c r="I448" s="1037"/>
      <c r="J448" s="1038"/>
    </row>
    <row r="449">
      <c r="A449" s="1037"/>
      <c r="B449" s="1037"/>
      <c r="C449" s="1037"/>
      <c r="D449" s="1037"/>
      <c r="E449" s="1037"/>
      <c r="F449" s="1037"/>
      <c r="G449" s="1037"/>
      <c r="H449" s="1037"/>
      <c r="I449" s="1037"/>
      <c r="J449" s="1038"/>
    </row>
    <row r="450">
      <c r="A450" s="1037"/>
      <c r="B450" s="1037"/>
      <c r="C450" s="1037"/>
      <c r="D450" s="1037"/>
      <c r="E450" s="1037"/>
      <c r="F450" s="1037"/>
      <c r="G450" s="1037"/>
      <c r="H450" s="1037"/>
      <c r="I450" s="1037"/>
      <c r="J450" s="1038"/>
    </row>
    <row r="451">
      <c r="A451" s="1037"/>
      <c r="B451" s="1037"/>
      <c r="C451" s="1037"/>
      <c r="D451" s="1037"/>
      <c r="E451" s="1037"/>
      <c r="F451" s="1037"/>
      <c r="G451" s="1037"/>
      <c r="H451" s="1037"/>
      <c r="I451" s="1037"/>
      <c r="J451" s="1038"/>
    </row>
    <row r="452">
      <c r="A452" s="1037"/>
      <c r="B452" s="1037"/>
      <c r="C452" s="1037"/>
      <c r="D452" s="1037"/>
      <c r="E452" s="1037"/>
      <c r="F452" s="1037"/>
      <c r="G452" s="1037"/>
      <c r="H452" s="1037"/>
      <c r="I452" s="1037"/>
      <c r="J452" s="1038"/>
    </row>
    <row r="453">
      <c r="A453" s="1037"/>
      <c r="B453" s="1037"/>
      <c r="C453" s="1037"/>
      <c r="D453" s="1037"/>
      <c r="E453" s="1037"/>
      <c r="F453" s="1037"/>
      <c r="G453" s="1037"/>
      <c r="H453" s="1037"/>
      <c r="I453" s="1037"/>
      <c r="J453" s="1038"/>
    </row>
    <row r="454">
      <c r="A454" s="1037"/>
      <c r="B454" s="1037"/>
      <c r="C454" s="1037"/>
      <c r="D454" s="1037"/>
      <c r="E454" s="1037"/>
      <c r="F454" s="1037"/>
      <c r="G454" s="1037"/>
      <c r="H454" s="1037"/>
      <c r="I454" s="1037"/>
      <c r="J454" s="1038"/>
    </row>
    <row r="455">
      <c r="A455" s="1037"/>
      <c r="B455" s="1037"/>
      <c r="C455" s="1037"/>
      <c r="D455" s="1037"/>
      <c r="E455" s="1037"/>
      <c r="F455" s="1037"/>
      <c r="G455" s="1037"/>
      <c r="H455" s="1037"/>
      <c r="I455" s="1037"/>
      <c r="J455" s="1038"/>
    </row>
    <row r="456">
      <c r="A456" s="1037"/>
      <c r="B456" s="1037"/>
      <c r="C456" s="1037"/>
      <c r="D456" s="1037"/>
      <c r="E456" s="1037"/>
      <c r="F456" s="1037"/>
      <c r="G456" s="1037"/>
      <c r="H456" s="1037"/>
      <c r="I456" s="1037"/>
      <c r="J456" s="1038"/>
    </row>
    <row r="457">
      <c r="A457" s="1037"/>
      <c r="B457" s="1037"/>
      <c r="C457" s="1037"/>
      <c r="D457" s="1037"/>
      <c r="E457" s="1037"/>
      <c r="F457" s="1037"/>
      <c r="G457" s="1037"/>
      <c r="H457" s="1037"/>
      <c r="I457" s="1037"/>
      <c r="J457" s="1038"/>
    </row>
    <row r="458">
      <c r="A458" s="1037"/>
      <c r="B458" s="1037"/>
      <c r="C458" s="1037"/>
      <c r="D458" s="1037"/>
      <c r="E458" s="1037"/>
      <c r="F458" s="1037"/>
      <c r="G458" s="1037"/>
      <c r="H458" s="1037"/>
      <c r="I458" s="1037"/>
      <c r="J458" s="1038"/>
    </row>
    <row r="459">
      <c r="A459" s="1037"/>
      <c r="B459" s="1037"/>
      <c r="C459" s="1037"/>
      <c r="D459" s="1037"/>
      <c r="E459" s="1037"/>
      <c r="F459" s="1037"/>
      <c r="G459" s="1037"/>
      <c r="H459" s="1037"/>
      <c r="I459" s="1037"/>
      <c r="J459" s="1038"/>
    </row>
    <row r="460">
      <c r="A460" s="1037"/>
      <c r="B460" s="1037"/>
      <c r="C460" s="1037"/>
      <c r="D460" s="1037"/>
      <c r="E460" s="1037"/>
      <c r="F460" s="1037"/>
      <c r="G460" s="1037"/>
      <c r="H460" s="1037"/>
      <c r="I460" s="1037"/>
      <c r="J460" s="1038"/>
    </row>
    <row r="461">
      <c r="A461" s="1037"/>
      <c r="B461" s="1037"/>
      <c r="C461" s="1037"/>
      <c r="D461" s="1037"/>
      <c r="E461" s="1037"/>
      <c r="F461" s="1037"/>
      <c r="G461" s="1037"/>
      <c r="H461" s="1037"/>
      <c r="I461" s="1037"/>
      <c r="J461" s="1038"/>
    </row>
    <row r="462">
      <c r="A462" s="1037"/>
      <c r="B462" s="1037"/>
      <c r="C462" s="1037"/>
      <c r="D462" s="1037"/>
      <c r="E462" s="1037"/>
      <c r="F462" s="1037"/>
      <c r="G462" s="1037"/>
      <c r="H462" s="1037"/>
      <c r="I462" s="1037"/>
      <c r="J462" s="1038"/>
    </row>
    <row r="463">
      <c r="A463" s="1037"/>
      <c r="B463" s="1037"/>
      <c r="C463" s="1037"/>
      <c r="D463" s="1037"/>
      <c r="E463" s="1037"/>
      <c r="F463" s="1037"/>
      <c r="G463" s="1037"/>
      <c r="H463" s="1037"/>
      <c r="I463" s="1037"/>
      <c r="J463" s="1038"/>
    </row>
    <row r="464">
      <c r="A464" s="1037"/>
      <c r="B464" s="1037"/>
      <c r="C464" s="1037"/>
      <c r="D464" s="1037"/>
      <c r="E464" s="1037"/>
      <c r="F464" s="1037"/>
      <c r="G464" s="1037"/>
      <c r="H464" s="1037"/>
      <c r="I464" s="1037"/>
      <c r="J464" s="1038"/>
    </row>
    <row r="465">
      <c r="A465" s="1037"/>
      <c r="B465" s="1037"/>
      <c r="C465" s="1037"/>
      <c r="D465" s="1037"/>
      <c r="E465" s="1037"/>
      <c r="F465" s="1037"/>
      <c r="G465" s="1037"/>
      <c r="H465" s="1037"/>
      <c r="I465" s="1037"/>
      <c r="J465" s="1038"/>
    </row>
    <row r="466">
      <c r="A466" s="1037"/>
      <c r="B466" s="1037"/>
      <c r="C466" s="1037"/>
      <c r="D466" s="1037"/>
      <c r="E466" s="1037"/>
      <c r="F466" s="1037"/>
      <c r="G466" s="1037"/>
      <c r="H466" s="1037"/>
      <c r="I466" s="1037"/>
      <c r="J466" s="1038"/>
    </row>
    <row r="467">
      <c r="A467" s="1037"/>
      <c r="B467" s="1037"/>
      <c r="C467" s="1037"/>
      <c r="D467" s="1037"/>
      <c r="E467" s="1037"/>
      <c r="F467" s="1037"/>
      <c r="G467" s="1037"/>
      <c r="H467" s="1037"/>
      <c r="I467" s="1037"/>
      <c r="J467" s="1038"/>
    </row>
    <row r="468">
      <c r="A468" s="1037"/>
      <c r="B468" s="1037"/>
      <c r="C468" s="1037"/>
      <c r="D468" s="1037"/>
      <c r="E468" s="1037"/>
      <c r="F468" s="1037"/>
      <c r="G468" s="1037"/>
      <c r="H468" s="1037"/>
      <c r="I468" s="1037"/>
      <c r="J468" s="1038"/>
    </row>
    <row r="469">
      <c r="A469" s="1037"/>
      <c r="B469" s="1037"/>
      <c r="C469" s="1037"/>
      <c r="D469" s="1037"/>
      <c r="E469" s="1037"/>
      <c r="F469" s="1037"/>
      <c r="G469" s="1037"/>
      <c r="H469" s="1037"/>
      <c r="I469" s="1037"/>
      <c r="J469" s="1038"/>
    </row>
    <row r="470">
      <c r="A470" s="1037"/>
      <c r="B470" s="1037"/>
      <c r="C470" s="1037"/>
      <c r="D470" s="1037"/>
      <c r="E470" s="1037"/>
      <c r="F470" s="1037"/>
      <c r="G470" s="1037"/>
      <c r="H470" s="1037"/>
      <c r="I470" s="1037"/>
      <c r="J470" s="1038"/>
    </row>
    <row r="471">
      <c r="A471" s="1037"/>
      <c r="B471" s="1037"/>
      <c r="C471" s="1037"/>
      <c r="D471" s="1037"/>
      <c r="E471" s="1037"/>
      <c r="F471" s="1037"/>
      <c r="G471" s="1037"/>
      <c r="H471" s="1037"/>
      <c r="I471" s="1037"/>
      <c r="J471" s="1038"/>
    </row>
    <row r="472">
      <c r="A472" s="1037"/>
      <c r="B472" s="1037"/>
      <c r="C472" s="1037"/>
      <c r="D472" s="1037"/>
      <c r="E472" s="1037"/>
      <c r="F472" s="1037"/>
      <c r="G472" s="1037"/>
      <c r="H472" s="1037"/>
      <c r="I472" s="1037"/>
      <c r="J472" s="1038"/>
    </row>
    <row r="473">
      <c r="A473" s="1037"/>
      <c r="B473" s="1037"/>
      <c r="C473" s="1037"/>
      <c r="D473" s="1037"/>
      <c r="E473" s="1037"/>
      <c r="F473" s="1037"/>
      <c r="G473" s="1037"/>
      <c r="H473" s="1037"/>
      <c r="I473" s="1037"/>
      <c r="J473" s="1038"/>
    </row>
    <row r="474">
      <c r="A474" s="1037"/>
      <c r="B474" s="1037"/>
      <c r="C474" s="1037"/>
      <c r="D474" s="1037"/>
      <c r="E474" s="1037"/>
      <c r="F474" s="1037"/>
      <c r="G474" s="1037"/>
      <c r="H474" s="1037"/>
      <c r="I474" s="1037"/>
      <c r="J474" s="1038"/>
    </row>
    <row r="475">
      <c r="A475" s="1037"/>
      <c r="B475" s="1037"/>
      <c r="C475" s="1037"/>
      <c r="D475" s="1037"/>
      <c r="E475" s="1037"/>
      <c r="F475" s="1037"/>
      <c r="G475" s="1037"/>
      <c r="H475" s="1037"/>
      <c r="I475" s="1037"/>
      <c r="J475" s="1038"/>
    </row>
    <row r="476">
      <c r="A476" s="1037"/>
      <c r="B476" s="1037"/>
      <c r="C476" s="1037"/>
      <c r="D476" s="1037"/>
      <c r="E476" s="1037"/>
      <c r="F476" s="1037"/>
      <c r="G476" s="1037"/>
      <c r="H476" s="1037"/>
      <c r="I476" s="1037"/>
      <c r="J476" s="1038"/>
    </row>
    <row r="477">
      <c r="A477" s="1037"/>
      <c r="B477" s="1037"/>
      <c r="C477" s="1037"/>
      <c r="D477" s="1037"/>
      <c r="E477" s="1037"/>
      <c r="F477" s="1037"/>
      <c r="G477" s="1037"/>
      <c r="H477" s="1037"/>
      <c r="I477" s="1037"/>
      <c r="J477" s="1038"/>
    </row>
    <row r="478">
      <c r="A478" s="1037"/>
      <c r="B478" s="1037"/>
      <c r="C478" s="1037"/>
      <c r="D478" s="1037"/>
      <c r="E478" s="1037"/>
      <c r="F478" s="1037"/>
      <c r="G478" s="1037"/>
      <c r="H478" s="1037"/>
      <c r="I478" s="1037"/>
      <c r="J478" s="1038"/>
    </row>
    <row r="479">
      <c r="A479" s="1037"/>
      <c r="B479" s="1037"/>
      <c r="C479" s="1037"/>
      <c r="D479" s="1037"/>
      <c r="E479" s="1037"/>
      <c r="F479" s="1037"/>
      <c r="G479" s="1037"/>
      <c r="H479" s="1037"/>
      <c r="I479" s="1037"/>
      <c r="J479" s="1038"/>
    </row>
    <row r="480">
      <c r="A480" s="1037"/>
      <c r="B480" s="1037"/>
      <c r="C480" s="1037"/>
      <c r="D480" s="1037"/>
      <c r="E480" s="1037"/>
      <c r="F480" s="1037"/>
      <c r="G480" s="1037"/>
      <c r="H480" s="1037"/>
      <c r="I480" s="1037"/>
      <c r="J480" s="1038"/>
    </row>
    <row r="481">
      <c r="A481" s="1037"/>
      <c r="B481" s="1037"/>
      <c r="C481" s="1037"/>
      <c r="D481" s="1037"/>
      <c r="E481" s="1037"/>
      <c r="F481" s="1037"/>
      <c r="G481" s="1037"/>
      <c r="H481" s="1037"/>
      <c r="I481" s="1037"/>
      <c r="J481" s="1038"/>
    </row>
    <row r="482">
      <c r="A482" s="1037"/>
      <c r="B482" s="1037"/>
      <c r="C482" s="1037"/>
      <c r="D482" s="1037"/>
      <c r="E482" s="1037"/>
      <c r="F482" s="1037"/>
      <c r="G482" s="1037"/>
      <c r="H482" s="1037"/>
      <c r="I482" s="1037"/>
      <c r="J482" s="1038"/>
    </row>
    <row r="483">
      <c r="A483" s="1037"/>
      <c r="B483" s="1037"/>
      <c r="C483" s="1037"/>
      <c r="D483" s="1037"/>
      <c r="E483" s="1037"/>
      <c r="F483" s="1037"/>
      <c r="G483" s="1037"/>
      <c r="H483" s="1037"/>
      <c r="I483" s="1037"/>
      <c r="J483" s="1038"/>
    </row>
    <row r="484">
      <c r="A484" s="1037"/>
      <c r="B484" s="1037"/>
      <c r="C484" s="1037"/>
      <c r="D484" s="1037"/>
      <c r="E484" s="1037"/>
      <c r="F484" s="1037"/>
      <c r="G484" s="1037"/>
      <c r="H484" s="1037"/>
      <c r="I484" s="1037"/>
      <c r="J484" s="1038"/>
    </row>
    <row r="485">
      <c r="A485" s="1037"/>
      <c r="B485" s="1037"/>
      <c r="C485" s="1037"/>
      <c r="D485" s="1037"/>
      <c r="E485" s="1037"/>
      <c r="F485" s="1037"/>
      <c r="G485" s="1037"/>
      <c r="H485" s="1037"/>
      <c r="I485" s="1037"/>
      <c r="J485" s="1038"/>
    </row>
    <row r="486">
      <c r="A486" s="1037"/>
      <c r="B486" s="1037"/>
      <c r="C486" s="1037"/>
      <c r="D486" s="1037"/>
      <c r="E486" s="1037"/>
      <c r="F486" s="1037"/>
      <c r="G486" s="1037"/>
      <c r="H486" s="1037"/>
      <c r="I486" s="1037"/>
      <c r="J486" s="1038"/>
    </row>
    <row r="487">
      <c r="A487" s="1037"/>
      <c r="B487" s="1037"/>
      <c r="C487" s="1037"/>
      <c r="D487" s="1037"/>
      <c r="E487" s="1037"/>
      <c r="F487" s="1037"/>
      <c r="G487" s="1037"/>
      <c r="H487" s="1037"/>
      <c r="I487" s="1037"/>
      <c r="J487" s="1038"/>
    </row>
    <row r="488">
      <c r="A488" s="1037"/>
      <c r="B488" s="1037"/>
      <c r="C488" s="1037"/>
      <c r="D488" s="1037"/>
      <c r="E488" s="1037"/>
      <c r="F488" s="1037"/>
      <c r="G488" s="1037"/>
      <c r="H488" s="1037"/>
      <c r="I488" s="1037"/>
      <c r="J488" s="1038"/>
    </row>
    <row r="489">
      <c r="A489" s="1037"/>
      <c r="B489" s="1037"/>
      <c r="C489" s="1037"/>
      <c r="D489" s="1037"/>
      <c r="E489" s="1037"/>
      <c r="F489" s="1037"/>
      <c r="G489" s="1037"/>
      <c r="H489" s="1037"/>
      <c r="I489" s="1037"/>
      <c r="J489" s="1038"/>
    </row>
    <row r="490">
      <c r="A490" s="1037"/>
      <c r="B490" s="1037"/>
      <c r="C490" s="1037"/>
      <c r="D490" s="1037"/>
      <c r="E490" s="1037"/>
      <c r="F490" s="1037"/>
      <c r="G490" s="1037"/>
      <c r="H490" s="1037"/>
      <c r="I490" s="1037"/>
      <c r="J490" s="1038"/>
    </row>
    <row r="491">
      <c r="A491" s="1037"/>
      <c r="B491" s="1037"/>
      <c r="C491" s="1037"/>
      <c r="D491" s="1037"/>
      <c r="E491" s="1037"/>
      <c r="F491" s="1037"/>
      <c r="G491" s="1037"/>
      <c r="H491" s="1037"/>
      <c r="I491" s="1037"/>
      <c r="J491" s="1038"/>
    </row>
    <row r="492">
      <c r="A492" s="1037"/>
      <c r="B492" s="1037"/>
      <c r="C492" s="1037"/>
      <c r="D492" s="1037"/>
      <c r="E492" s="1037"/>
      <c r="F492" s="1037"/>
      <c r="G492" s="1037"/>
      <c r="H492" s="1037"/>
      <c r="I492" s="1037"/>
      <c r="J492" s="1038"/>
    </row>
    <row r="493">
      <c r="A493" s="1037"/>
      <c r="B493" s="1037"/>
      <c r="C493" s="1037"/>
      <c r="D493" s="1037"/>
      <c r="E493" s="1037"/>
      <c r="F493" s="1037"/>
      <c r="G493" s="1037"/>
      <c r="H493" s="1037"/>
      <c r="I493" s="1037"/>
      <c r="J493" s="1038"/>
    </row>
    <row r="494">
      <c r="A494" s="1037"/>
      <c r="B494" s="1037"/>
      <c r="C494" s="1037"/>
      <c r="D494" s="1037"/>
      <c r="E494" s="1037"/>
      <c r="F494" s="1037"/>
      <c r="G494" s="1037"/>
      <c r="H494" s="1037"/>
      <c r="I494" s="1037"/>
      <c r="J494" s="1038"/>
    </row>
    <row r="495">
      <c r="A495" s="1037"/>
      <c r="B495" s="1037"/>
      <c r="C495" s="1037"/>
      <c r="D495" s="1037"/>
      <c r="E495" s="1037"/>
      <c r="F495" s="1037"/>
      <c r="G495" s="1037"/>
      <c r="H495" s="1037"/>
      <c r="I495" s="1037"/>
      <c r="J495" s="1038"/>
    </row>
    <row r="496">
      <c r="A496" s="1037"/>
      <c r="B496" s="1037"/>
      <c r="C496" s="1037"/>
      <c r="D496" s="1037"/>
      <c r="E496" s="1037"/>
      <c r="F496" s="1037"/>
      <c r="G496" s="1037"/>
      <c r="H496" s="1037"/>
      <c r="I496" s="1037"/>
      <c r="J496" s="1038"/>
    </row>
    <row r="497">
      <c r="A497" s="1037"/>
      <c r="B497" s="1037"/>
      <c r="C497" s="1037"/>
      <c r="D497" s="1037"/>
      <c r="E497" s="1037"/>
      <c r="F497" s="1037"/>
      <c r="G497" s="1037"/>
      <c r="H497" s="1037"/>
      <c r="I497" s="1037"/>
      <c r="J497" s="1038"/>
    </row>
    <row r="498">
      <c r="A498" s="1037"/>
      <c r="B498" s="1037"/>
      <c r="C498" s="1037"/>
      <c r="D498" s="1037"/>
      <c r="E498" s="1037"/>
      <c r="F498" s="1037"/>
      <c r="G498" s="1037"/>
      <c r="H498" s="1037"/>
      <c r="I498" s="1037"/>
      <c r="J498" s="1038"/>
    </row>
    <row r="499">
      <c r="A499" s="1037"/>
      <c r="B499" s="1037"/>
      <c r="C499" s="1037"/>
      <c r="D499" s="1037"/>
      <c r="E499" s="1037"/>
      <c r="F499" s="1037"/>
      <c r="G499" s="1037"/>
      <c r="H499" s="1037"/>
      <c r="I499" s="1037"/>
      <c r="J499" s="1038"/>
    </row>
    <row r="500">
      <c r="A500" s="1037"/>
      <c r="B500" s="1037"/>
      <c r="C500" s="1037"/>
      <c r="D500" s="1037"/>
      <c r="E500" s="1037"/>
      <c r="F500" s="1037"/>
      <c r="G500" s="1037"/>
      <c r="H500" s="1037"/>
      <c r="I500" s="1037"/>
      <c r="J500" s="1038"/>
    </row>
    <row r="501">
      <c r="A501" s="1037"/>
      <c r="B501" s="1037"/>
      <c r="C501" s="1037"/>
      <c r="D501" s="1037"/>
      <c r="E501" s="1037"/>
      <c r="F501" s="1037"/>
      <c r="G501" s="1037"/>
      <c r="H501" s="1037"/>
      <c r="I501" s="1037"/>
      <c r="J501" s="1038"/>
    </row>
    <row r="502">
      <c r="A502" s="1037"/>
      <c r="B502" s="1037"/>
      <c r="C502" s="1037"/>
      <c r="D502" s="1037"/>
      <c r="E502" s="1037"/>
      <c r="F502" s="1037"/>
      <c r="G502" s="1037"/>
      <c r="H502" s="1037"/>
      <c r="I502" s="1037"/>
      <c r="J502" s="1038"/>
    </row>
    <row r="503">
      <c r="A503" s="1037"/>
      <c r="B503" s="1037"/>
      <c r="C503" s="1037"/>
      <c r="D503" s="1037"/>
      <c r="E503" s="1037"/>
      <c r="F503" s="1037"/>
      <c r="G503" s="1037"/>
      <c r="H503" s="1037"/>
      <c r="I503" s="1037"/>
      <c r="J503" s="1038"/>
    </row>
    <row r="504">
      <c r="A504" s="1037"/>
      <c r="B504" s="1037"/>
      <c r="C504" s="1037"/>
      <c r="D504" s="1037"/>
      <c r="E504" s="1037"/>
      <c r="F504" s="1037"/>
      <c r="G504" s="1037"/>
      <c r="H504" s="1037"/>
      <c r="I504" s="1037"/>
      <c r="J504" s="1038"/>
    </row>
    <row r="505">
      <c r="A505" s="1037"/>
      <c r="B505" s="1037"/>
      <c r="C505" s="1037"/>
      <c r="D505" s="1037"/>
      <c r="E505" s="1037"/>
      <c r="F505" s="1037"/>
      <c r="G505" s="1037"/>
      <c r="H505" s="1037"/>
      <c r="I505" s="1037"/>
      <c r="J505" s="1038"/>
    </row>
    <row r="506">
      <c r="A506" s="1037"/>
      <c r="B506" s="1037"/>
      <c r="C506" s="1037"/>
      <c r="D506" s="1037"/>
      <c r="E506" s="1037"/>
      <c r="F506" s="1037"/>
      <c r="G506" s="1037"/>
      <c r="H506" s="1037"/>
      <c r="I506" s="1037"/>
      <c r="J506" s="1038"/>
    </row>
    <row r="507">
      <c r="A507" s="1037"/>
      <c r="B507" s="1037"/>
      <c r="C507" s="1037"/>
      <c r="D507" s="1037"/>
      <c r="E507" s="1037"/>
      <c r="F507" s="1037"/>
      <c r="G507" s="1037"/>
      <c r="H507" s="1037"/>
      <c r="I507" s="1037"/>
      <c r="J507" s="1038"/>
    </row>
    <row r="508">
      <c r="A508" s="1037"/>
      <c r="B508" s="1037"/>
      <c r="C508" s="1037"/>
      <c r="D508" s="1037"/>
      <c r="E508" s="1037"/>
      <c r="F508" s="1037"/>
      <c r="G508" s="1037"/>
      <c r="H508" s="1037"/>
      <c r="I508" s="1037"/>
      <c r="J508" s="1038"/>
    </row>
    <row r="509">
      <c r="A509" s="1037"/>
      <c r="B509" s="1037"/>
      <c r="C509" s="1037"/>
      <c r="D509" s="1037"/>
      <c r="E509" s="1037"/>
      <c r="F509" s="1037"/>
      <c r="G509" s="1037"/>
      <c r="H509" s="1037"/>
      <c r="I509" s="1037"/>
      <c r="J509" s="1038"/>
    </row>
    <row r="510">
      <c r="A510" s="1037"/>
      <c r="B510" s="1037"/>
      <c r="C510" s="1037"/>
      <c r="D510" s="1037"/>
      <c r="E510" s="1037"/>
      <c r="F510" s="1037"/>
      <c r="G510" s="1037"/>
      <c r="H510" s="1037"/>
      <c r="I510" s="1037"/>
      <c r="J510" s="1038"/>
    </row>
    <row r="511">
      <c r="A511" s="1037"/>
      <c r="B511" s="1037"/>
      <c r="C511" s="1037"/>
      <c r="D511" s="1037"/>
      <c r="E511" s="1037"/>
      <c r="F511" s="1037"/>
      <c r="G511" s="1037"/>
      <c r="H511" s="1037"/>
      <c r="I511" s="1037"/>
      <c r="J511" s="1038"/>
    </row>
    <row r="512">
      <c r="A512" s="1037"/>
      <c r="B512" s="1037"/>
      <c r="C512" s="1037"/>
      <c r="D512" s="1037"/>
      <c r="E512" s="1037"/>
      <c r="F512" s="1037"/>
      <c r="G512" s="1037"/>
      <c r="H512" s="1037"/>
      <c r="I512" s="1037"/>
      <c r="J512" s="1038"/>
    </row>
    <row r="513">
      <c r="A513" s="1037"/>
      <c r="B513" s="1037"/>
      <c r="C513" s="1037"/>
      <c r="D513" s="1037"/>
      <c r="E513" s="1037"/>
      <c r="F513" s="1037"/>
      <c r="G513" s="1037"/>
      <c r="H513" s="1037"/>
      <c r="I513" s="1037"/>
      <c r="J513" s="1038"/>
    </row>
    <row r="514">
      <c r="A514" s="1037"/>
      <c r="B514" s="1037"/>
      <c r="C514" s="1037"/>
      <c r="D514" s="1037"/>
      <c r="E514" s="1037"/>
      <c r="F514" s="1037"/>
      <c r="G514" s="1037"/>
      <c r="H514" s="1037"/>
      <c r="I514" s="1037"/>
      <c r="J514" s="1038"/>
    </row>
    <row r="515">
      <c r="A515" s="1037"/>
      <c r="B515" s="1037"/>
      <c r="C515" s="1037"/>
      <c r="D515" s="1037"/>
      <c r="E515" s="1037"/>
      <c r="F515" s="1037"/>
      <c r="G515" s="1037"/>
      <c r="H515" s="1037"/>
      <c r="I515" s="1037"/>
      <c r="J515" s="1038"/>
    </row>
    <row r="516">
      <c r="A516" s="1037"/>
      <c r="B516" s="1037"/>
      <c r="C516" s="1037"/>
      <c r="D516" s="1037"/>
      <c r="E516" s="1037"/>
      <c r="F516" s="1037"/>
      <c r="G516" s="1037"/>
      <c r="H516" s="1037"/>
      <c r="I516" s="1037"/>
      <c r="J516" s="1038"/>
    </row>
    <row r="517">
      <c r="A517" s="1037"/>
      <c r="B517" s="1037"/>
      <c r="C517" s="1037"/>
      <c r="D517" s="1037"/>
      <c r="E517" s="1037"/>
      <c r="F517" s="1037"/>
      <c r="G517" s="1037"/>
      <c r="H517" s="1037"/>
      <c r="I517" s="1037"/>
      <c r="J517" s="1038"/>
    </row>
    <row r="518">
      <c r="A518" s="1037"/>
      <c r="B518" s="1037"/>
      <c r="C518" s="1037"/>
      <c r="D518" s="1037"/>
      <c r="E518" s="1037"/>
      <c r="F518" s="1037"/>
      <c r="G518" s="1037"/>
      <c r="H518" s="1037"/>
      <c r="I518" s="1037"/>
      <c r="J518" s="1038"/>
    </row>
    <row r="519">
      <c r="A519" s="1037"/>
      <c r="B519" s="1037"/>
      <c r="C519" s="1037"/>
      <c r="D519" s="1037"/>
      <c r="E519" s="1037"/>
      <c r="F519" s="1037"/>
      <c r="G519" s="1037"/>
      <c r="H519" s="1037"/>
      <c r="I519" s="1037"/>
      <c r="J519" s="1038"/>
    </row>
    <row r="520">
      <c r="A520" s="1037"/>
      <c r="B520" s="1037"/>
      <c r="C520" s="1037"/>
      <c r="D520" s="1037"/>
      <c r="E520" s="1037"/>
      <c r="F520" s="1037"/>
      <c r="G520" s="1037"/>
      <c r="H520" s="1037"/>
      <c r="I520" s="1037"/>
      <c r="J520" s="1038"/>
    </row>
    <row r="521">
      <c r="A521" s="1037"/>
      <c r="B521" s="1037"/>
      <c r="C521" s="1037"/>
      <c r="D521" s="1037"/>
      <c r="E521" s="1037"/>
      <c r="F521" s="1037"/>
      <c r="G521" s="1037"/>
      <c r="H521" s="1037"/>
      <c r="I521" s="1037"/>
      <c r="J521" s="1038"/>
    </row>
    <row r="522">
      <c r="A522" s="1037"/>
      <c r="B522" s="1037"/>
      <c r="C522" s="1037"/>
      <c r="D522" s="1037"/>
      <c r="E522" s="1037"/>
      <c r="F522" s="1037"/>
      <c r="G522" s="1037"/>
      <c r="H522" s="1037"/>
      <c r="I522" s="1037"/>
      <c r="J522" s="1038"/>
    </row>
    <row r="523">
      <c r="A523" s="1037"/>
      <c r="B523" s="1037"/>
      <c r="C523" s="1037"/>
      <c r="D523" s="1037"/>
      <c r="E523" s="1037"/>
      <c r="F523" s="1037"/>
      <c r="G523" s="1037"/>
      <c r="H523" s="1037"/>
      <c r="I523" s="1037"/>
      <c r="J523" s="1038"/>
    </row>
    <row r="524">
      <c r="A524" s="1037"/>
      <c r="B524" s="1037"/>
      <c r="C524" s="1037"/>
      <c r="D524" s="1037"/>
      <c r="E524" s="1037"/>
      <c r="F524" s="1037"/>
      <c r="G524" s="1037"/>
      <c r="H524" s="1037"/>
      <c r="I524" s="1037"/>
      <c r="J524" s="1038"/>
    </row>
    <row r="525">
      <c r="A525" s="1037"/>
      <c r="B525" s="1037"/>
      <c r="C525" s="1037"/>
      <c r="D525" s="1037"/>
      <c r="E525" s="1037"/>
      <c r="F525" s="1037"/>
      <c r="G525" s="1037"/>
      <c r="H525" s="1037"/>
      <c r="I525" s="1037"/>
      <c r="J525" s="1038"/>
    </row>
    <row r="526">
      <c r="A526" s="1037"/>
      <c r="B526" s="1037"/>
      <c r="C526" s="1037"/>
      <c r="D526" s="1037"/>
      <c r="E526" s="1037"/>
      <c r="F526" s="1037"/>
      <c r="G526" s="1037"/>
      <c r="H526" s="1037"/>
      <c r="I526" s="1037"/>
      <c r="J526" s="1038"/>
    </row>
    <row r="527">
      <c r="A527" s="1037"/>
      <c r="B527" s="1037"/>
      <c r="C527" s="1037"/>
      <c r="D527" s="1037"/>
      <c r="E527" s="1037"/>
      <c r="F527" s="1037"/>
      <c r="G527" s="1037"/>
      <c r="H527" s="1037"/>
      <c r="I527" s="1037"/>
      <c r="J527" s="1038"/>
    </row>
    <row r="528">
      <c r="A528" s="1037"/>
      <c r="B528" s="1037"/>
      <c r="C528" s="1037"/>
      <c r="D528" s="1037"/>
      <c r="E528" s="1037"/>
      <c r="F528" s="1037"/>
      <c r="G528" s="1037"/>
      <c r="H528" s="1037"/>
      <c r="I528" s="1037"/>
      <c r="J528" s="1038"/>
    </row>
    <row r="529">
      <c r="A529" s="1037"/>
      <c r="B529" s="1037"/>
      <c r="C529" s="1037"/>
      <c r="D529" s="1037"/>
      <c r="E529" s="1037"/>
      <c r="F529" s="1037"/>
      <c r="G529" s="1037"/>
      <c r="H529" s="1037"/>
      <c r="I529" s="1037"/>
      <c r="J529" s="1038"/>
    </row>
    <row r="530">
      <c r="A530" s="1037"/>
      <c r="B530" s="1037"/>
      <c r="C530" s="1037"/>
      <c r="D530" s="1037"/>
      <c r="E530" s="1037"/>
      <c r="F530" s="1037"/>
      <c r="G530" s="1037"/>
      <c r="H530" s="1037"/>
      <c r="I530" s="1037"/>
      <c r="J530" s="1038"/>
    </row>
    <row r="531">
      <c r="A531" s="1037"/>
      <c r="B531" s="1037"/>
      <c r="C531" s="1037"/>
      <c r="D531" s="1037"/>
      <c r="E531" s="1037"/>
      <c r="F531" s="1037"/>
      <c r="G531" s="1037"/>
      <c r="H531" s="1037"/>
      <c r="I531" s="1037"/>
      <c r="J531" s="1038"/>
    </row>
    <row r="532">
      <c r="A532" s="1037"/>
      <c r="B532" s="1037"/>
      <c r="C532" s="1037"/>
      <c r="D532" s="1037"/>
      <c r="E532" s="1037"/>
      <c r="F532" s="1037"/>
      <c r="G532" s="1037"/>
      <c r="H532" s="1037"/>
      <c r="I532" s="1037"/>
      <c r="J532" s="1038"/>
    </row>
    <row r="533">
      <c r="A533" s="1037"/>
      <c r="B533" s="1037"/>
      <c r="C533" s="1037"/>
      <c r="D533" s="1037"/>
      <c r="E533" s="1037"/>
      <c r="F533" s="1037"/>
      <c r="G533" s="1037"/>
      <c r="H533" s="1037"/>
      <c r="I533" s="1037"/>
      <c r="J533" s="1038"/>
    </row>
    <row r="534">
      <c r="A534" s="1037"/>
      <c r="B534" s="1037"/>
      <c r="C534" s="1037"/>
      <c r="D534" s="1037"/>
      <c r="E534" s="1037"/>
      <c r="F534" s="1037"/>
      <c r="G534" s="1037"/>
      <c r="H534" s="1037"/>
      <c r="I534" s="1037"/>
      <c r="J534" s="1038"/>
    </row>
    <row r="535">
      <c r="A535" s="1037"/>
      <c r="B535" s="1037"/>
      <c r="C535" s="1037"/>
      <c r="D535" s="1037"/>
      <c r="E535" s="1037"/>
      <c r="F535" s="1037"/>
      <c r="G535" s="1037"/>
      <c r="H535" s="1037"/>
      <c r="I535" s="1037"/>
      <c r="J535" s="1038"/>
    </row>
    <row r="536">
      <c r="A536" s="1037"/>
      <c r="B536" s="1037"/>
      <c r="C536" s="1037"/>
      <c r="D536" s="1037"/>
      <c r="E536" s="1037"/>
      <c r="F536" s="1037"/>
      <c r="G536" s="1037"/>
      <c r="H536" s="1037"/>
      <c r="I536" s="1037"/>
      <c r="J536" s="1038"/>
    </row>
    <row r="537">
      <c r="A537" s="1037"/>
      <c r="B537" s="1037"/>
      <c r="C537" s="1037"/>
      <c r="D537" s="1037"/>
      <c r="E537" s="1037"/>
      <c r="F537" s="1037"/>
      <c r="G537" s="1037"/>
      <c r="H537" s="1037"/>
      <c r="I537" s="1037"/>
      <c r="J537" s="1038"/>
    </row>
    <row r="538">
      <c r="A538" s="1037"/>
      <c r="B538" s="1037"/>
      <c r="C538" s="1037"/>
      <c r="D538" s="1037"/>
      <c r="E538" s="1037"/>
      <c r="F538" s="1037"/>
      <c r="G538" s="1037"/>
      <c r="H538" s="1037"/>
      <c r="I538" s="1037"/>
      <c r="J538" s="1038"/>
    </row>
    <row r="539">
      <c r="A539" s="1037"/>
      <c r="B539" s="1037"/>
      <c r="C539" s="1037"/>
      <c r="D539" s="1037"/>
      <c r="E539" s="1037"/>
      <c r="F539" s="1037"/>
      <c r="G539" s="1037"/>
      <c r="H539" s="1037"/>
      <c r="I539" s="1037"/>
      <c r="J539" s="1038"/>
    </row>
    <row r="540">
      <c r="A540" s="1037"/>
      <c r="B540" s="1037"/>
      <c r="C540" s="1037"/>
      <c r="D540" s="1037"/>
      <c r="E540" s="1037"/>
      <c r="F540" s="1037"/>
      <c r="G540" s="1037"/>
      <c r="H540" s="1037"/>
      <c r="I540" s="1037"/>
      <c r="J540" s="1038"/>
    </row>
    <row r="541">
      <c r="A541" s="1037"/>
      <c r="B541" s="1037"/>
      <c r="C541" s="1037"/>
      <c r="D541" s="1037"/>
      <c r="E541" s="1037"/>
      <c r="F541" s="1037"/>
      <c r="G541" s="1037"/>
      <c r="H541" s="1037"/>
      <c r="I541" s="1037"/>
      <c r="J541" s="1038"/>
    </row>
    <row r="542">
      <c r="A542" s="1037"/>
      <c r="B542" s="1037"/>
      <c r="C542" s="1037"/>
      <c r="D542" s="1037"/>
      <c r="E542" s="1037"/>
      <c r="F542" s="1037"/>
      <c r="G542" s="1037"/>
      <c r="H542" s="1037"/>
      <c r="I542" s="1037"/>
      <c r="J542" s="1038"/>
    </row>
    <row r="543">
      <c r="A543" s="1037"/>
      <c r="B543" s="1037"/>
      <c r="C543" s="1037"/>
      <c r="D543" s="1037"/>
      <c r="E543" s="1037"/>
      <c r="F543" s="1037"/>
      <c r="G543" s="1037"/>
      <c r="H543" s="1037"/>
      <c r="I543" s="1037"/>
      <c r="J543" s="1038"/>
    </row>
    <row r="544">
      <c r="A544" s="1037"/>
      <c r="B544" s="1037"/>
      <c r="C544" s="1037"/>
      <c r="D544" s="1037"/>
      <c r="E544" s="1037"/>
      <c r="F544" s="1037"/>
      <c r="G544" s="1037"/>
      <c r="H544" s="1037"/>
      <c r="I544" s="1037"/>
      <c r="J544" s="1038"/>
    </row>
    <row r="545">
      <c r="A545" s="1037"/>
      <c r="B545" s="1037"/>
      <c r="C545" s="1037"/>
      <c r="D545" s="1037"/>
      <c r="E545" s="1037"/>
      <c r="F545" s="1037"/>
      <c r="G545" s="1037"/>
      <c r="H545" s="1037"/>
      <c r="I545" s="1037"/>
      <c r="J545" s="1038"/>
    </row>
    <row r="546">
      <c r="A546" s="1037"/>
      <c r="B546" s="1037"/>
      <c r="C546" s="1037"/>
      <c r="D546" s="1037"/>
      <c r="E546" s="1037"/>
      <c r="F546" s="1037"/>
      <c r="G546" s="1037"/>
      <c r="H546" s="1037"/>
      <c r="I546" s="1037"/>
      <c r="J546" s="1038"/>
    </row>
    <row r="547">
      <c r="A547" s="1037"/>
      <c r="B547" s="1037"/>
      <c r="C547" s="1037"/>
      <c r="D547" s="1037"/>
      <c r="E547" s="1037"/>
      <c r="F547" s="1037"/>
      <c r="G547" s="1037"/>
      <c r="H547" s="1037"/>
      <c r="I547" s="1037"/>
      <c r="J547" s="1038"/>
    </row>
    <row r="548">
      <c r="A548" s="1037"/>
      <c r="B548" s="1037"/>
      <c r="C548" s="1037"/>
      <c r="D548" s="1037"/>
      <c r="E548" s="1037"/>
      <c r="F548" s="1037"/>
      <c r="G548" s="1037"/>
      <c r="H548" s="1037"/>
      <c r="I548" s="1037"/>
      <c r="J548" s="1038"/>
    </row>
    <row r="549">
      <c r="A549" s="1037"/>
      <c r="B549" s="1037"/>
      <c r="C549" s="1037"/>
      <c r="D549" s="1037"/>
      <c r="E549" s="1037"/>
      <c r="F549" s="1037"/>
      <c r="G549" s="1037"/>
      <c r="H549" s="1037"/>
      <c r="I549" s="1037"/>
      <c r="J549" s="1038"/>
    </row>
    <row r="550">
      <c r="A550" s="1037"/>
      <c r="B550" s="1037"/>
      <c r="C550" s="1037"/>
      <c r="D550" s="1037"/>
      <c r="E550" s="1037"/>
      <c r="F550" s="1037"/>
      <c r="G550" s="1037"/>
      <c r="H550" s="1037"/>
      <c r="I550" s="1037"/>
      <c r="J550" s="1038"/>
    </row>
    <row r="551">
      <c r="A551" s="1037"/>
      <c r="B551" s="1037"/>
      <c r="C551" s="1037"/>
      <c r="D551" s="1037"/>
      <c r="E551" s="1037"/>
      <c r="F551" s="1037"/>
      <c r="G551" s="1037"/>
      <c r="H551" s="1037"/>
      <c r="I551" s="1037"/>
      <c r="J551" s="1038"/>
    </row>
    <row r="552">
      <c r="A552" s="1037"/>
      <c r="B552" s="1037"/>
      <c r="C552" s="1037"/>
      <c r="D552" s="1037"/>
      <c r="E552" s="1037"/>
      <c r="F552" s="1037"/>
      <c r="G552" s="1037"/>
      <c r="H552" s="1037"/>
      <c r="I552" s="1037"/>
      <c r="J552" s="1038"/>
    </row>
    <row r="553">
      <c r="A553" s="1037"/>
      <c r="B553" s="1037"/>
      <c r="C553" s="1037"/>
      <c r="D553" s="1037"/>
      <c r="E553" s="1037"/>
      <c r="F553" s="1037"/>
      <c r="G553" s="1037"/>
      <c r="H553" s="1037"/>
      <c r="I553" s="1037"/>
      <c r="J553" s="1038"/>
    </row>
    <row r="554">
      <c r="A554" s="1037"/>
      <c r="B554" s="1037"/>
      <c r="C554" s="1037"/>
      <c r="D554" s="1037"/>
      <c r="E554" s="1037"/>
      <c r="F554" s="1037"/>
      <c r="G554" s="1037"/>
      <c r="H554" s="1037"/>
      <c r="I554" s="1037"/>
      <c r="J554" s="1038"/>
    </row>
    <row r="555">
      <c r="A555" s="1037"/>
      <c r="B555" s="1037"/>
      <c r="C555" s="1037"/>
      <c r="D555" s="1037"/>
      <c r="E555" s="1037"/>
      <c r="F555" s="1037"/>
      <c r="G555" s="1037"/>
      <c r="H555" s="1037"/>
      <c r="I555" s="1037"/>
      <c r="J555" s="1038"/>
    </row>
    <row r="556">
      <c r="A556" s="1037"/>
      <c r="B556" s="1037"/>
      <c r="C556" s="1037"/>
      <c r="D556" s="1037"/>
      <c r="E556" s="1037"/>
      <c r="F556" s="1037"/>
      <c r="G556" s="1037"/>
      <c r="H556" s="1037"/>
      <c r="I556" s="1037"/>
      <c r="J556" s="1038"/>
    </row>
    <row r="557">
      <c r="A557" s="1037"/>
      <c r="B557" s="1037"/>
      <c r="C557" s="1037"/>
      <c r="D557" s="1037"/>
      <c r="E557" s="1037"/>
      <c r="F557" s="1037"/>
      <c r="G557" s="1037"/>
      <c r="H557" s="1037"/>
      <c r="I557" s="1037"/>
      <c r="J557" s="1038"/>
    </row>
    <row r="558">
      <c r="A558" s="1037"/>
      <c r="B558" s="1037"/>
      <c r="C558" s="1037"/>
      <c r="D558" s="1037"/>
      <c r="E558" s="1037"/>
      <c r="F558" s="1037"/>
      <c r="G558" s="1037"/>
      <c r="H558" s="1037"/>
      <c r="I558" s="1037"/>
      <c r="J558" s="1038"/>
    </row>
    <row r="559">
      <c r="A559" s="1037"/>
      <c r="B559" s="1037"/>
      <c r="C559" s="1037"/>
      <c r="D559" s="1037"/>
      <c r="E559" s="1037"/>
      <c r="F559" s="1037"/>
      <c r="G559" s="1037"/>
      <c r="H559" s="1037"/>
      <c r="I559" s="1037"/>
      <c r="J559" s="1038"/>
    </row>
    <row r="560">
      <c r="A560" s="1037"/>
      <c r="B560" s="1037"/>
      <c r="C560" s="1037"/>
      <c r="D560" s="1037"/>
      <c r="E560" s="1037"/>
      <c r="F560" s="1037"/>
      <c r="G560" s="1037"/>
      <c r="H560" s="1037"/>
      <c r="I560" s="1037"/>
      <c r="J560" s="1038"/>
    </row>
    <row r="561">
      <c r="A561" s="1037"/>
      <c r="B561" s="1037"/>
      <c r="C561" s="1037"/>
      <c r="D561" s="1037"/>
      <c r="E561" s="1037"/>
      <c r="F561" s="1037"/>
      <c r="G561" s="1037"/>
      <c r="H561" s="1037"/>
      <c r="I561" s="1037"/>
      <c r="J561" s="1038"/>
    </row>
    <row r="562">
      <c r="A562" s="1037"/>
      <c r="B562" s="1037"/>
      <c r="C562" s="1037"/>
      <c r="D562" s="1037"/>
      <c r="E562" s="1037"/>
      <c r="F562" s="1037"/>
      <c r="G562" s="1037"/>
      <c r="H562" s="1037"/>
      <c r="I562" s="1037"/>
      <c r="J562" s="1038"/>
    </row>
    <row r="563">
      <c r="A563" s="1037"/>
      <c r="B563" s="1037"/>
      <c r="C563" s="1037"/>
      <c r="D563" s="1037"/>
      <c r="E563" s="1037"/>
      <c r="F563" s="1037"/>
      <c r="G563" s="1037"/>
      <c r="H563" s="1037"/>
      <c r="I563" s="1037"/>
      <c r="J563" s="1038"/>
    </row>
    <row r="564">
      <c r="A564" s="1037"/>
      <c r="B564" s="1037"/>
      <c r="C564" s="1037"/>
      <c r="D564" s="1037"/>
      <c r="E564" s="1037"/>
      <c r="F564" s="1037"/>
      <c r="G564" s="1037"/>
      <c r="H564" s="1037"/>
      <c r="I564" s="1037"/>
      <c r="J564" s="1038"/>
    </row>
    <row r="565">
      <c r="A565" s="1037"/>
      <c r="B565" s="1037"/>
      <c r="C565" s="1037"/>
      <c r="D565" s="1037"/>
      <c r="E565" s="1037"/>
      <c r="F565" s="1037"/>
      <c r="G565" s="1037"/>
      <c r="H565" s="1037"/>
      <c r="I565" s="1037"/>
      <c r="J565" s="1038"/>
    </row>
    <row r="566">
      <c r="A566" s="1037"/>
      <c r="B566" s="1037"/>
      <c r="C566" s="1037"/>
      <c r="D566" s="1037"/>
      <c r="E566" s="1037"/>
      <c r="F566" s="1037"/>
      <c r="G566" s="1037"/>
      <c r="H566" s="1037"/>
      <c r="I566" s="1037"/>
      <c r="J566" s="1038"/>
    </row>
    <row r="567">
      <c r="A567" s="1037"/>
      <c r="B567" s="1037"/>
      <c r="C567" s="1037"/>
      <c r="D567" s="1037"/>
      <c r="E567" s="1037"/>
      <c r="F567" s="1037"/>
      <c r="G567" s="1037"/>
      <c r="H567" s="1037"/>
      <c r="I567" s="1037"/>
      <c r="J567" s="1038"/>
    </row>
    <row r="568">
      <c r="A568" s="1037"/>
      <c r="B568" s="1037"/>
      <c r="C568" s="1037"/>
      <c r="D568" s="1037"/>
      <c r="E568" s="1037"/>
      <c r="F568" s="1037"/>
      <c r="G568" s="1037"/>
      <c r="H568" s="1037"/>
      <c r="I568" s="1037"/>
      <c r="J568" s="1038"/>
    </row>
    <row r="569">
      <c r="A569" s="1037"/>
      <c r="B569" s="1037"/>
      <c r="C569" s="1037"/>
      <c r="D569" s="1037"/>
      <c r="E569" s="1037"/>
      <c r="F569" s="1037"/>
      <c r="G569" s="1037"/>
      <c r="H569" s="1037"/>
      <c r="I569" s="1037"/>
      <c r="J569" s="1038"/>
    </row>
    <row r="570">
      <c r="A570" s="1037"/>
      <c r="B570" s="1037"/>
      <c r="C570" s="1037"/>
      <c r="D570" s="1037"/>
      <c r="E570" s="1037"/>
      <c r="F570" s="1037"/>
      <c r="G570" s="1037"/>
      <c r="H570" s="1037"/>
      <c r="I570" s="1037"/>
      <c r="J570" s="1038"/>
    </row>
    <row r="571">
      <c r="A571" s="1037"/>
      <c r="B571" s="1037"/>
      <c r="C571" s="1037"/>
      <c r="D571" s="1037"/>
      <c r="E571" s="1037"/>
      <c r="F571" s="1037"/>
      <c r="G571" s="1037"/>
      <c r="H571" s="1037"/>
      <c r="I571" s="1037"/>
      <c r="J571" s="1038"/>
    </row>
    <row r="572">
      <c r="A572" s="1037"/>
      <c r="B572" s="1037"/>
      <c r="C572" s="1037"/>
      <c r="D572" s="1037"/>
      <c r="E572" s="1037"/>
      <c r="F572" s="1037"/>
      <c r="G572" s="1037"/>
      <c r="H572" s="1037"/>
      <c r="I572" s="1037"/>
      <c r="J572" s="1038"/>
    </row>
    <row r="573">
      <c r="A573" s="1037"/>
      <c r="B573" s="1037"/>
      <c r="C573" s="1037"/>
      <c r="D573" s="1037"/>
      <c r="E573" s="1037"/>
      <c r="F573" s="1037"/>
      <c r="G573" s="1037"/>
      <c r="H573" s="1037"/>
      <c r="I573" s="1037"/>
      <c r="J573" s="1038"/>
    </row>
    <row r="574">
      <c r="A574" s="1037"/>
      <c r="B574" s="1037"/>
      <c r="C574" s="1037"/>
      <c r="D574" s="1037"/>
      <c r="E574" s="1037"/>
      <c r="F574" s="1037"/>
      <c r="G574" s="1037"/>
      <c r="H574" s="1037"/>
      <c r="I574" s="1037"/>
      <c r="J574" s="1038"/>
    </row>
    <row r="575">
      <c r="A575" s="1037"/>
      <c r="B575" s="1037"/>
      <c r="C575" s="1037"/>
      <c r="D575" s="1037"/>
      <c r="E575" s="1037"/>
      <c r="F575" s="1037"/>
      <c r="G575" s="1037"/>
      <c r="H575" s="1037"/>
      <c r="I575" s="1037"/>
      <c r="J575" s="1038"/>
    </row>
    <row r="576">
      <c r="A576" s="1037"/>
      <c r="B576" s="1037"/>
      <c r="C576" s="1037"/>
      <c r="D576" s="1037"/>
      <c r="E576" s="1037"/>
      <c r="F576" s="1037"/>
      <c r="G576" s="1037"/>
      <c r="H576" s="1037"/>
      <c r="I576" s="1037"/>
      <c r="J576" s="1038"/>
    </row>
    <row r="577">
      <c r="A577" s="1037"/>
      <c r="B577" s="1037"/>
      <c r="C577" s="1037"/>
      <c r="D577" s="1037"/>
      <c r="E577" s="1037"/>
      <c r="F577" s="1037"/>
      <c r="G577" s="1037"/>
      <c r="H577" s="1037"/>
      <c r="I577" s="1037"/>
      <c r="J577" s="1038"/>
    </row>
    <row r="578">
      <c r="A578" s="1037"/>
      <c r="B578" s="1037"/>
      <c r="C578" s="1037"/>
      <c r="D578" s="1037"/>
      <c r="E578" s="1037"/>
      <c r="F578" s="1037"/>
      <c r="G578" s="1037"/>
      <c r="H578" s="1037"/>
      <c r="I578" s="1037"/>
      <c r="J578" s="1038"/>
    </row>
    <row r="579">
      <c r="A579" s="1037"/>
      <c r="B579" s="1037"/>
      <c r="C579" s="1037"/>
      <c r="D579" s="1037"/>
      <c r="E579" s="1037"/>
      <c r="F579" s="1037"/>
      <c r="G579" s="1037"/>
      <c r="H579" s="1037"/>
      <c r="I579" s="1037"/>
      <c r="J579" s="1038"/>
    </row>
    <row r="580">
      <c r="A580" s="1037"/>
      <c r="B580" s="1037"/>
      <c r="C580" s="1037"/>
      <c r="D580" s="1037"/>
      <c r="E580" s="1037"/>
      <c r="F580" s="1037"/>
      <c r="G580" s="1037"/>
      <c r="H580" s="1037"/>
      <c r="I580" s="1037"/>
      <c r="J580" s="1038"/>
    </row>
    <row r="581">
      <c r="A581" s="1037"/>
      <c r="B581" s="1037"/>
      <c r="C581" s="1037"/>
      <c r="D581" s="1037"/>
      <c r="E581" s="1037"/>
      <c r="F581" s="1037"/>
      <c r="G581" s="1037"/>
      <c r="H581" s="1037"/>
      <c r="I581" s="1037"/>
      <c r="J581" s="1038"/>
    </row>
    <row r="582">
      <c r="A582" s="1037"/>
      <c r="B582" s="1037"/>
      <c r="C582" s="1037"/>
      <c r="D582" s="1037"/>
      <c r="E582" s="1037"/>
      <c r="F582" s="1037"/>
      <c r="G582" s="1037"/>
      <c r="H582" s="1037"/>
      <c r="I582" s="1037"/>
      <c r="J582" s="1038"/>
    </row>
    <row r="583">
      <c r="A583" s="1037"/>
      <c r="B583" s="1037"/>
      <c r="C583" s="1037"/>
      <c r="D583" s="1037"/>
      <c r="E583" s="1037"/>
      <c r="F583" s="1037"/>
      <c r="G583" s="1037"/>
      <c r="H583" s="1037"/>
      <c r="I583" s="1037"/>
      <c r="J583" s="1038"/>
    </row>
    <row r="584">
      <c r="A584" s="1037"/>
      <c r="B584" s="1037"/>
      <c r="C584" s="1037"/>
      <c r="D584" s="1037"/>
      <c r="E584" s="1037"/>
      <c r="F584" s="1037"/>
      <c r="G584" s="1037"/>
      <c r="H584" s="1037"/>
      <c r="I584" s="1037"/>
      <c r="J584" s="1038"/>
    </row>
    <row r="585">
      <c r="A585" s="1037"/>
      <c r="B585" s="1037"/>
      <c r="C585" s="1037"/>
      <c r="D585" s="1037"/>
      <c r="E585" s="1037"/>
      <c r="F585" s="1037"/>
      <c r="G585" s="1037"/>
      <c r="H585" s="1037"/>
      <c r="I585" s="1037"/>
      <c r="J585" s="1038"/>
    </row>
    <row r="586">
      <c r="A586" s="1037"/>
      <c r="B586" s="1037"/>
      <c r="C586" s="1037"/>
      <c r="D586" s="1037"/>
      <c r="E586" s="1037"/>
      <c r="F586" s="1037"/>
      <c r="G586" s="1037"/>
      <c r="H586" s="1037"/>
      <c r="I586" s="1037"/>
      <c r="J586" s="1038"/>
    </row>
    <row r="587">
      <c r="A587" s="1037"/>
      <c r="B587" s="1037"/>
      <c r="C587" s="1037"/>
      <c r="D587" s="1037"/>
      <c r="E587" s="1037"/>
      <c r="F587" s="1037"/>
      <c r="G587" s="1037"/>
      <c r="H587" s="1037"/>
      <c r="I587" s="1037"/>
      <c r="J587" s="1038"/>
    </row>
    <row r="588">
      <c r="A588" s="1037"/>
      <c r="B588" s="1037"/>
      <c r="C588" s="1037"/>
      <c r="D588" s="1037"/>
      <c r="E588" s="1037"/>
      <c r="F588" s="1037"/>
      <c r="G588" s="1037"/>
      <c r="H588" s="1037"/>
      <c r="I588" s="1037"/>
      <c r="J588" s="1038"/>
    </row>
    <row r="589">
      <c r="A589" s="1037"/>
      <c r="B589" s="1037"/>
      <c r="C589" s="1037"/>
      <c r="D589" s="1037"/>
      <c r="E589" s="1037"/>
      <c r="F589" s="1037"/>
      <c r="G589" s="1037"/>
      <c r="H589" s="1037"/>
      <c r="I589" s="1037"/>
      <c r="J589" s="1038"/>
    </row>
    <row r="590">
      <c r="A590" s="1037"/>
      <c r="B590" s="1037"/>
      <c r="C590" s="1037"/>
      <c r="D590" s="1037"/>
      <c r="E590" s="1037"/>
      <c r="F590" s="1037"/>
      <c r="G590" s="1037"/>
      <c r="H590" s="1037"/>
      <c r="I590" s="1037"/>
      <c r="J590" s="1038"/>
    </row>
    <row r="591">
      <c r="A591" s="1037"/>
      <c r="B591" s="1037"/>
      <c r="C591" s="1037"/>
      <c r="D591" s="1037"/>
      <c r="E591" s="1037"/>
      <c r="F591" s="1037"/>
      <c r="G591" s="1037"/>
      <c r="H591" s="1037"/>
      <c r="I591" s="1037"/>
      <c r="J591" s="1038"/>
    </row>
    <row r="592">
      <c r="A592" s="1037"/>
      <c r="B592" s="1037"/>
      <c r="C592" s="1037"/>
      <c r="D592" s="1037"/>
      <c r="E592" s="1037"/>
      <c r="F592" s="1037"/>
      <c r="G592" s="1037"/>
      <c r="H592" s="1037"/>
      <c r="I592" s="1037"/>
      <c r="J592" s="1038"/>
    </row>
    <row r="593">
      <c r="A593" s="1037"/>
      <c r="B593" s="1037"/>
      <c r="C593" s="1037"/>
      <c r="D593" s="1037"/>
      <c r="E593" s="1037"/>
      <c r="F593" s="1037"/>
      <c r="G593" s="1037"/>
      <c r="H593" s="1037"/>
      <c r="I593" s="1037"/>
      <c r="J593" s="1038"/>
    </row>
    <row r="594">
      <c r="A594" s="1037"/>
      <c r="B594" s="1037"/>
      <c r="C594" s="1037"/>
      <c r="D594" s="1037"/>
      <c r="E594" s="1037"/>
      <c r="F594" s="1037"/>
      <c r="G594" s="1037"/>
      <c r="H594" s="1037"/>
      <c r="I594" s="1037"/>
      <c r="J594" s="1038"/>
    </row>
    <row r="595">
      <c r="A595" s="1037"/>
      <c r="B595" s="1037"/>
      <c r="C595" s="1037"/>
      <c r="D595" s="1037"/>
      <c r="E595" s="1037"/>
      <c r="F595" s="1037"/>
      <c r="G595" s="1037"/>
      <c r="H595" s="1037"/>
      <c r="I595" s="1037"/>
      <c r="J595" s="1038"/>
    </row>
    <row r="596">
      <c r="A596" s="1037"/>
      <c r="B596" s="1037"/>
      <c r="C596" s="1037"/>
      <c r="D596" s="1037"/>
      <c r="E596" s="1037"/>
      <c r="F596" s="1037"/>
      <c r="G596" s="1037"/>
      <c r="H596" s="1037"/>
      <c r="I596" s="1037"/>
      <c r="J596" s="1038"/>
    </row>
    <row r="597">
      <c r="A597" s="1037"/>
      <c r="B597" s="1037"/>
      <c r="C597" s="1037"/>
      <c r="D597" s="1037"/>
      <c r="E597" s="1037"/>
      <c r="F597" s="1037"/>
      <c r="G597" s="1037"/>
      <c r="H597" s="1037"/>
      <c r="I597" s="1037"/>
      <c r="J597" s="1038"/>
    </row>
    <row r="598">
      <c r="A598" s="1037"/>
      <c r="B598" s="1037"/>
      <c r="C598" s="1037"/>
      <c r="D598" s="1037"/>
      <c r="E598" s="1037"/>
      <c r="F598" s="1037"/>
      <c r="G598" s="1037"/>
      <c r="H598" s="1037"/>
      <c r="I598" s="1037"/>
      <c r="J598" s="1038"/>
    </row>
    <row r="599">
      <c r="A599" s="1037"/>
      <c r="B599" s="1037"/>
      <c r="C599" s="1037"/>
      <c r="D599" s="1037"/>
      <c r="E599" s="1037"/>
      <c r="F599" s="1037"/>
      <c r="G599" s="1037"/>
      <c r="H599" s="1037"/>
      <c r="I599" s="1037"/>
      <c r="J599" s="1038"/>
    </row>
    <row r="600">
      <c r="A600" s="1037"/>
      <c r="B600" s="1037"/>
      <c r="C600" s="1037"/>
      <c r="D600" s="1037"/>
      <c r="E600" s="1037"/>
      <c r="F600" s="1037"/>
      <c r="G600" s="1037"/>
      <c r="H600" s="1037"/>
      <c r="I600" s="1037"/>
      <c r="J600" s="1038"/>
    </row>
    <row r="601">
      <c r="A601" s="1037"/>
      <c r="B601" s="1037"/>
      <c r="C601" s="1037"/>
      <c r="D601" s="1037"/>
      <c r="E601" s="1037"/>
      <c r="F601" s="1037"/>
      <c r="G601" s="1037"/>
      <c r="H601" s="1037"/>
      <c r="I601" s="1037"/>
      <c r="J601" s="1038"/>
    </row>
    <row r="602">
      <c r="A602" s="1037"/>
      <c r="B602" s="1037"/>
      <c r="C602" s="1037"/>
      <c r="D602" s="1037"/>
      <c r="E602" s="1037"/>
      <c r="F602" s="1037"/>
      <c r="G602" s="1037"/>
      <c r="H602" s="1037"/>
      <c r="I602" s="1037"/>
      <c r="J602" s="1038"/>
    </row>
    <row r="603">
      <c r="A603" s="1037"/>
      <c r="B603" s="1037"/>
      <c r="C603" s="1037"/>
      <c r="D603" s="1037"/>
      <c r="E603" s="1037"/>
      <c r="F603" s="1037"/>
      <c r="G603" s="1037"/>
      <c r="H603" s="1037"/>
      <c r="I603" s="1037"/>
      <c r="J603" s="1038"/>
    </row>
    <row r="604">
      <c r="A604" s="1037"/>
      <c r="B604" s="1037"/>
      <c r="C604" s="1037"/>
      <c r="D604" s="1037"/>
      <c r="E604" s="1037"/>
      <c r="F604" s="1037"/>
      <c r="G604" s="1037"/>
      <c r="H604" s="1037"/>
      <c r="I604" s="1037"/>
      <c r="J604" s="1038"/>
    </row>
    <row r="605">
      <c r="A605" s="1037"/>
      <c r="B605" s="1037"/>
      <c r="C605" s="1037"/>
      <c r="D605" s="1037"/>
      <c r="E605" s="1037"/>
      <c r="F605" s="1037"/>
      <c r="G605" s="1037"/>
      <c r="H605" s="1037"/>
      <c r="I605" s="1037"/>
      <c r="J605" s="1038"/>
    </row>
    <row r="606">
      <c r="A606" s="1037"/>
      <c r="B606" s="1037"/>
      <c r="C606" s="1037"/>
      <c r="D606" s="1037"/>
      <c r="E606" s="1037"/>
      <c r="F606" s="1037"/>
      <c r="G606" s="1037"/>
      <c r="H606" s="1037"/>
      <c r="I606" s="1037"/>
      <c r="J606" s="1038"/>
    </row>
    <row r="607">
      <c r="A607" s="1037"/>
      <c r="B607" s="1037"/>
      <c r="C607" s="1037"/>
      <c r="D607" s="1037"/>
      <c r="E607" s="1037"/>
      <c r="F607" s="1037"/>
      <c r="G607" s="1037"/>
      <c r="H607" s="1037"/>
      <c r="I607" s="1037"/>
      <c r="J607" s="1038"/>
    </row>
    <row r="608">
      <c r="A608" s="1037"/>
      <c r="B608" s="1037"/>
      <c r="C608" s="1037"/>
      <c r="D608" s="1037"/>
      <c r="E608" s="1037"/>
      <c r="F608" s="1037"/>
      <c r="G608" s="1037"/>
      <c r="H608" s="1037"/>
      <c r="I608" s="1037"/>
      <c r="J608" s="1038"/>
    </row>
    <row r="609">
      <c r="A609" s="1037"/>
      <c r="B609" s="1037"/>
      <c r="C609" s="1037"/>
      <c r="D609" s="1037"/>
      <c r="E609" s="1037"/>
      <c r="F609" s="1037"/>
      <c r="G609" s="1037"/>
      <c r="H609" s="1037"/>
      <c r="I609" s="1037"/>
      <c r="J609" s="1038"/>
    </row>
    <row r="610">
      <c r="A610" s="1037"/>
      <c r="B610" s="1037"/>
      <c r="C610" s="1037"/>
      <c r="D610" s="1037"/>
      <c r="E610" s="1037"/>
      <c r="F610" s="1037"/>
      <c r="G610" s="1037"/>
      <c r="H610" s="1037"/>
      <c r="I610" s="1037"/>
      <c r="J610" s="1038"/>
    </row>
    <row r="611">
      <c r="A611" s="1037"/>
      <c r="B611" s="1037"/>
      <c r="C611" s="1037"/>
      <c r="D611" s="1037"/>
      <c r="E611" s="1037"/>
      <c r="F611" s="1037"/>
      <c r="G611" s="1037"/>
      <c r="H611" s="1037"/>
      <c r="I611" s="1037"/>
      <c r="J611" s="1038"/>
    </row>
    <row r="612">
      <c r="A612" s="1037"/>
      <c r="B612" s="1037"/>
      <c r="C612" s="1037"/>
      <c r="D612" s="1037"/>
      <c r="E612" s="1037"/>
      <c r="F612" s="1037"/>
      <c r="G612" s="1037"/>
      <c r="H612" s="1037"/>
      <c r="I612" s="1037"/>
      <c r="J612" s="1038"/>
    </row>
    <row r="613">
      <c r="A613" s="1037"/>
      <c r="B613" s="1037"/>
      <c r="C613" s="1037"/>
      <c r="D613" s="1037"/>
      <c r="E613" s="1037"/>
      <c r="F613" s="1037"/>
      <c r="G613" s="1037"/>
      <c r="H613" s="1037"/>
      <c r="I613" s="1037"/>
      <c r="J613" s="1038"/>
    </row>
    <row r="614">
      <c r="A614" s="1037"/>
      <c r="B614" s="1037"/>
      <c r="C614" s="1037"/>
      <c r="D614" s="1037"/>
      <c r="E614" s="1037"/>
      <c r="F614" s="1037"/>
      <c r="G614" s="1037"/>
      <c r="H614" s="1037"/>
      <c r="I614" s="1037"/>
      <c r="J614" s="1038"/>
    </row>
    <row r="615">
      <c r="A615" s="1037"/>
      <c r="B615" s="1037"/>
      <c r="C615" s="1037"/>
      <c r="D615" s="1037"/>
      <c r="E615" s="1037"/>
      <c r="F615" s="1037"/>
      <c r="G615" s="1037"/>
      <c r="H615" s="1037"/>
      <c r="I615" s="1037"/>
      <c r="J615" s="1038"/>
    </row>
    <row r="616">
      <c r="A616" s="1037"/>
      <c r="B616" s="1037"/>
      <c r="C616" s="1037"/>
      <c r="D616" s="1037"/>
      <c r="E616" s="1037"/>
      <c r="F616" s="1037"/>
      <c r="G616" s="1037"/>
      <c r="H616" s="1037"/>
      <c r="I616" s="1037"/>
      <c r="J616" s="1038"/>
    </row>
    <row r="617">
      <c r="A617" s="1037"/>
      <c r="B617" s="1037"/>
      <c r="C617" s="1037"/>
      <c r="D617" s="1037"/>
      <c r="E617" s="1037"/>
      <c r="F617" s="1037"/>
      <c r="G617" s="1037"/>
      <c r="H617" s="1037"/>
      <c r="I617" s="1037"/>
      <c r="J617" s="1038"/>
    </row>
    <row r="618">
      <c r="A618" s="1037"/>
      <c r="B618" s="1037"/>
      <c r="C618" s="1037"/>
      <c r="D618" s="1037"/>
      <c r="E618" s="1037"/>
      <c r="F618" s="1037"/>
      <c r="G618" s="1037"/>
      <c r="H618" s="1037"/>
      <c r="I618" s="1037"/>
      <c r="J618" s="1038"/>
    </row>
    <row r="619">
      <c r="A619" s="1037"/>
      <c r="B619" s="1037"/>
      <c r="C619" s="1037"/>
      <c r="D619" s="1037"/>
      <c r="E619" s="1037"/>
      <c r="F619" s="1037"/>
      <c r="G619" s="1037"/>
      <c r="H619" s="1037"/>
      <c r="I619" s="1037"/>
      <c r="J619" s="1038"/>
    </row>
    <row r="620">
      <c r="A620" s="1037"/>
      <c r="B620" s="1037"/>
      <c r="C620" s="1037"/>
      <c r="D620" s="1037"/>
      <c r="E620" s="1037"/>
      <c r="F620" s="1037"/>
      <c r="G620" s="1037"/>
      <c r="H620" s="1037"/>
      <c r="I620" s="1037"/>
      <c r="J620" s="1038"/>
    </row>
    <row r="621">
      <c r="A621" s="1037"/>
      <c r="B621" s="1037"/>
      <c r="C621" s="1037"/>
      <c r="D621" s="1037"/>
      <c r="E621" s="1037"/>
      <c r="F621" s="1037"/>
      <c r="G621" s="1037"/>
      <c r="H621" s="1037"/>
      <c r="I621" s="1037"/>
      <c r="J621" s="1038"/>
    </row>
    <row r="622">
      <c r="A622" s="1037"/>
      <c r="B622" s="1037"/>
      <c r="C622" s="1037"/>
      <c r="D622" s="1037"/>
      <c r="E622" s="1037"/>
      <c r="F622" s="1037"/>
      <c r="G622" s="1037"/>
      <c r="H622" s="1037"/>
      <c r="I622" s="1037"/>
      <c r="J622" s="1038"/>
    </row>
    <row r="623">
      <c r="A623" s="1037"/>
      <c r="B623" s="1037"/>
      <c r="C623" s="1037"/>
      <c r="D623" s="1037"/>
      <c r="E623" s="1037"/>
      <c r="F623" s="1037"/>
      <c r="G623" s="1037"/>
      <c r="H623" s="1037"/>
      <c r="I623" s="1037"/>
      <c r="J623" s="1038"/>
    </row>
    <row r="624">
      <c r="A624" s="1037"/>
      <c r="B624" s="1037"/>
      <c r="C624" s="1037"/>
      <c r="D624" s="1037"/>
      <c r="E624" s="1037"/>
      <c r="F624" s="1037"/>
      <c r="G624" s="1037"/>
      <c r="H624" s="1037"/>
      <c r="I624" s="1037"/>
      <c r="J624" s="1038"/>
    </row>
    <row r="625">
      <c r="A625" s="1037"/>
      <c r="B625" s="1037"/>
      <c r="C625" s="1037"/>
      <c r="D625" s="1037"/>
      <c r="E625" s="1037"/>
      <c r="F625" s="1037"/>
      <c r="G625" s="1037"/>
      <c r="H625" s="1037"/>
      <c r="I625" s="1037"/>
      <c r="J625" s="1038"/>
    </row>
    <row r="626">
      <c r="A626" s="1037"/>
      <c r="B626" s="1037"/>
      <c r="C626" s="1037"/>
      <c r="D626" s="1037"/>
      <c r="E626" s="1037"/>
      <c r="F626" s="1037"/>
      <c r="G626" s="1037"/>
      <c r="H626" s="1037"/>
      <c r="I626" s="1037"/>
      <c r="J626" s="1038"/>
    </row>
    <row r="627">
      <c r="A627" s="1037"/>
      <c r="B627" s="1037"/>
      <c r="C627" s="1037"/>
      <c r="D627" s="1037"/>
      <c r="E627" s="1037"/>
      <c r="F627" s="1037"/>
      <c r="G627" s="1037"/>
      <c r="H627" s="1037"/>
      <c r="I627" s="1037"/>
      <c r="J627" s="1038"/>
    </row>
    <row r="628">
      <c r="A628" s="1037"/>
      <c r="B628" s="1037"/>
      <c r="C628" s="1037"/>
      <c r="D628" s="1037"/>
      <c r="E628" s="1037"/>
      <c r="F628" s="1037"/>
      <c r="G628" s="1037"/>
      <c r="H628" s="1037"/>
      <c r="I628" s="1037"/>
      <c r="J628" s="1038"/>
    </row>
    <row r="629">
      <c r="A629" s="1037"/>
      <c r="B629" s="1037"/>
      <c r="C629" s="1037"/>
      <c r="D629" s="1037"/>
      <c r="E629" s="1037"/>
      <c r="F629" s="1037"/>
      <c r="G629" s="1037"/>
      <c r="H629" s="1037"/>
      <c r="I629" s="1037"/>
      <c r="J629" s="1038"/>
    </row>
    <row r="630">
      <c r="A630" s="1037"/>
      <c r="B630" s="1037"/>
      <c r="C630" s="1037"/>
      <c r="D630" s="1037"/>
      <c r="E630" s="1037"/>
      <c r="F630" s="1037"/>
      <c r="G630" s="1037"/>
      <c r="H630" s="1037"/>
      <c r="I630" s="1037"/>
      <c r="J630" s="1038"/>
    </row>
    <row r="631">
      <c r="A631" s="1037"/>
      <c r="B631" s="1037"/>
      <c r="C631" s="1037"/>
      <c r="D631" s="1037"/>
      <c r="E631" s="1037"/>
      <c r="F631" s="1037"/>
      <c r="G631" s="1037"/>
      <c r="H631" s="1037"/>
      <c r="I631" s="1037"/>
      <c r="J631" s="1038"/>
    </row>
    <row r="632">
      <c r="A632" s="1037"/>
      <c r="B632" s="1037"/>
      <c r="C632" s="1037"/>
      <c r="D632" s="1037"/>
      <c r="E632" s="1037"/>
      <c r="F632" s="1037"/>
      <c r="G632" s="1037"/>
      <c r="H632" s="1037"/>
      <c r="I632" s="1037"/>
      <c r="J632" s="1038"/>
    </row>
    <row r="633">
      <c r="A633" s="1037"/>
      <c r="B633" s="1037"/>
      <c r="C633" s="1037"/>
      <c r="D633" s="1037"/>
      <c r="E633" s="1037"/>
      <c r="F633" s="1037"/>
      <c r="G633" s="1037"/>
      <c r="H633" s="1037"/>
      <c r="I633" s="1037"/>
      <c r="J633" s="1038"/>
    </row>
    <row r="634">
      <c r="A634" s="1037"/>
      <c r="B634" s="1037"/>
      <c r="C634" s="1037"/>
      <c r="D634" s="1037"/>
      <c r="E634" s="1037"/>
      <c r="F634" s="1037"/>
      <c r="G634" s="1037"/>
      <c r="H634" s="1037"/>
      <c r="I634" s="1037"/>
      <c r="J634" s="1038"/>
    </row>
    <row r="635">
      <c r="A635" s="1037"/>
      <c r="B635" s="1037"/>
      <c r="C635" s="1037"/>
      <c r="D635" s="1037"/>
      <c r="E635" s="1037"/>
      <c r="F635" s="1037"/>
      <c r="G635" s="1037"/>
      <c r="H635" s="1037"/>
      <c r="I635" s="1037"/>
      <c r="J635" s="1038"/>
    </row>
    <row r="636">
      <c r="A636" s="1037"/>
      <c r="B636" s="1037"/>
      <c r="C636" s="1037"/>
      <c r="D636" s="1037"/>
      <c r="E636" s="1037"/>
      <c r="F636" s="1037"/>
      <c r="G636" s="1037"/>
      <c r="H636" s="1037"/>
      <c r="I636" s="1037"/>
      <c r="J636" s="1038"/>
    </row>
    <row r="637">
      <c r="A637" s="1037"/>
      <c r="B637" s="1037"/>
      <c r="C637" s="1037"/>
      <c r="D637" s="1037"/>
      <c r="E637" s="1037"/>
      <c r="F637" s="1037"/>
      <c r="G637" s="1037"/>
      <c r="H637" s="1037"/>
      <c r="I637" s="1037"/>
      <c r="J637" s="1038"/>
    </row>
    <row r="638">
      <c r="A638" s="1037"/>
      <c r="B638" s="1037"/>
      <c r="C638" s="1037"/>
      <c r="D638" s="1037"/>
      <c r="E638" s="1037"/>
      <c r="F638" s="1037"/>
      <c r="G638" s="1037"/>
      <c r="H638" s="1037"/>
      <c r="I638" s="1037"/>
      <c r="J638" s="1038"/>
    </row>
    <row r="639">
      <c r="A639" s="1037"/>
      <c r="B639" s="1037"/>
      <c r="C639" s="1037"/>
      <c r="D639" s="1037"/>
      <c r="E639" s="1037"/>
      <c r="F639" s="1037"/>
      <c r="G639" s="1037"/>
      <c r="H639" s="1037"/>
      <c r="I639" s="1037"/>
      <c r="J639" s="1038"/>
    </row>
    <row r="640">
      <c r="A640" s="1037"/>
      <c r="B640" s="1037"/>
      <c r="C640" s="1037"/>
      <c r="D640" s="1037"/>
      <c r="E640" s="1037"/>
      <c r="F640" s="1037"/>
      <c r="G640" s="1037"/>
      <c r="H640" s="1037"/>
      <c r="I640" s="1037"/>
      <c r="J640" s="1038"/>
    </row>
    <row r="641">
      <c r="A641" s="1037"/>
      <c r="B641" s="1037"/>
      <c r="C641" s="1037"/>
      <c r="D641" s="1037"/>
      <c r="E641" s="1037"/>
      <c r="F641" s="1037"/>
      <c r="G641" s="1037"/>
      <c r="H641" s="1037"/>
      <c r="I641" s="1037"/>
      <c r="J641" s="1038"/>
    </row>
    <row r="642">
      <c r="A642" s="1037"/>
      <c r="B642" s="1037"/>
      <c r="C642" s="1037"/>
      <c r="D642" s="1037"/>
      <c r="E642" s="1037"/>
      <c r="F642" s="1037"/>
      <c r="G642" s="1037"/>
      <c r="H642" s="1037"/>
      <c r="I642" s="1037"/>
      <c r="J642" s="1038"/>
    </row>
    <row r="643">
      <c r="A643" s="1037"/>
      <c r="B643" s="1037"/>
      <c r="C643" s="1037"/>
      <c r="D643" s="1037"/>
      <c r="E643" s="1037"/>
      <c r="F643" s="1037"/>
      <c r="G643" s="1037"/>
      <c r="H643" s="1037"/>
      <c r="I643" s="1037"/>
      <c r="J643" s="1038"/>
    </row>
    <row r="644">
      <c r="A644" s="1037"/>
      <c r="B644" s="1037"/>
      <c r="C644" s="1037"/>
      <c r="D644" s="1037"/>
      <c r="E644" s="1037"/>
      <c r="F644" s="1037"/>
      <c r="G644" s="1037"/>
      <c r="H644" s="1037"/>
      <c r="I644" s="1037"/>
      <c r="J644" s="1038"/>
    </row>
    <row r="645">
      <c r="A645" s="1037"/>
      <c r="B645" s="1037"/>
      <c r="C645" s="1037"/>
      <c r="D645" s="1037"/>
      <c r="E645" s="1037"/>
      <c r="F645" s="1037"/>
      <c r="G645" s="1037"/>
      <c r="H645" s="1037"/>
      <c r="I645" s="1037"/>
      <c r="J645" s="1038"/>
    </row>
    <row r="646">
      <c r="A646" s="1037"/>
      <c r="B646" s="1037"/>
      <c r="C646" s="1037"/>
      <c r="D646" s="1037"/>
      <c r="E646" s="1037"/>
      <c r="F646" s="1037"/>
      <c r="G646" s="1037"/>
      <c r="H646" s="1037"/>
      <c r="I646" s="1037"/>
      <c r="J646" s="1038"/>
    </row>
    <row r="647">
      <c r="A647" s="1037"/>
      <c r="B647" s="1037"/>
      <c r="C647" s="1037"/>
      <c r="D647" s="1037"/>
      <c r="E647" s="1037"/>
      <c r="F647" s="1037"/>
      <c r="G647" s="1037"/>
      <c r="H647" s="1037"/>
      <c r="I647" s="1037"/>
      <c r="J647" s="1038"/>
    </row>
    <row r="648">
      <c r="A648" s="1037"/>
      <c r="B648" s="1037"/>
      <c r="C648" s="1037"/>
      <c r="D648" s="1037"/>
      <c r="E648" s="1037"/>
      <c r="F648" s="1037"/>
      <c r="G648" s="1037"/>
      <c r="H648" s="1037"/>
      <c r="I648" s="1037"/>
      <c r="J648" s="1038"/>
    </row>
    <row r="649">
      <c r="A649" s="1037"/>
      <c r="B649" s="1037"/>
      <c r="C649" s="1037"/>
      <c r="D649" s="1037"/>
      <c r="E649" s="1037"/>
      <c r="F649" s="1037"/>
      <c r="G649" s="1037"/>
      <c r="H649" s="1037"/>
      <c r="I649" s="1037"/>
      <c r="J649" s="1038"/>
    </row>
    <row r="650">
      <c r="A650" s="1037"/>
      <c r="B650" s="1037"/>
      <c r="C650" s="1037"/>
      <c r="D650" s="1037"/>
      <c r="E650" s="1037"/>
      <c r="F650" s="1037"/>
      <c r="G650" s="1037"/>
      <c r="H650" s="1037"/>
      <c r="I650" s="1037"/>
      <c r="J650" s="1038"/>
    </row>
    <row r="651">
      <c r="A651" s="1037"/>
      <c r="B651" s="1037"/>
      <c r="C651" s="1037"/>
      <c r="D651" s="1037"/>
      <c r="E651" s="1037"/>
      <c r="F651" s="1037"/>
      <c r="G651" s="1037"/>
      <c r="H651" s="1037"/>
      <c r="I651" s="1037"/>
      <c r="J651" s="1038"/>
    </row>
    <row r="652">
      <c r="A652" s="1037"/>
      <c r="B652" s="1037"/>
      <c r="C652" s="1037"/>
      <c r="D652" s="1037"/>
      <c r="E652" s="1037"/>
      <c r="F652" s="1037"/>
      <c r="G652" s="1037"/>
      <c r="H652" s="1037"/>
      <c r="I652" s="1037"/>
      <c r="J652" s="1038"/>
    </row>
    <row r="653">
      <c r="A653" s="1037"/>
      <c r="B653" s="1037"/>
      <c r="C653" s="1037"/>
      <c r="D653" s="1037"/>
      <c r="E653" s="1037"/>
      <c r="F653" s="1037"/>
      <c r="G653" s="1037"/>
      <c r="H653" s="1037"/>
      <c r="I653" s="1037"/>
      <c r="J653" s="1038"/>
    </row>
    <row r="654">
      <c r="A654" s="1037"/>
      <c r="B654" s="1037"/>
      <c r="C654" s="1037"/>
      <c r="D654" s="1037"/>
      <c r="E654" s="1037"/>
      <c r="F654" s="1037"/>
      <c r="G654" s="1037"/>
      <c r="H654" s="1037"/>
      <c r="I654" s="1037"/>
      <c r="J654" s="1038"/>
    </row>
    <row r="655">
      <c r="A655" s="1037"/>
      <c r="B655" s="1037"/>
      <c r="C655" s="1037"/>
      <c r="D655" s="1037"/>
      <c r="E655" s="1037"/>
      <c r="F655" s="1037"/>
      <c r="G655" s="1037"/>
      <c r="H655" s="1037"/>
      <c r="I655" s="1037"/>
      <c r="J655" s="1038"/>
    </row>
    <row r="656">
      <c r="A656" s="1037"/>
      <c r="B656" s="1037"/>
      <c r="C656" s="1037"/>
      <c r="D656" s="1037"/>
      <c r="E656" s="1037"/>
      <c r="F656" s="1037"/>
      <c r="G656" s="1037"/>
      <c r="H656" s="1037"/>
      <c r="I656" s="1037"/>
      <c r="J656" s="1038"/>
    </row>
    <row r="657">
      <c r="A657" s="1037"/>
      <c r="B657" s="1037"/>
      <c r="C657" s="1037"/>
      <c r="D657" s="1037"/>
      <c r="E657" s="1037"/>
      <c r="F657" s="1037"/>
      <c r="G657" s="1037"/>
      <c r="H657" s="1037"/>
      <c r="I657" s="1037"/>
      <c r="J657" s="1038"/>
    </row>
    <row r="658">
      <c r="A658" s="1037"/>
      <c r="B658" s="1037"/>
      <c r="C658" s="1037"/>
      <c r="D658" s="1037"/>
      <c r="E658" s="1037"/>
      <c r="F658" s="1037"/>
      <c r="G658" s="1037"/>
      <c r="H658" s="1037"/>
      <c r="I658" s="1037"/>
      <c r="J658" s="1038"/>
    </row>
    <row r="659">
      <c r="A659" s="1037"/>
      <c r="B659" s="1037"/>
      <c r="C659" s="1037"/>
      <c r="D659" s="1037"/>
      <c r="E659" s="1037"/>
      <c r="F659" s="1037"/>
      <c r="G659" s="1037"/>
      <c r="H659" s="1037"/>
      <c r="I659" s="1037"/>
      <c r="J659" s="1038"/>
    </row>
    <row r="660">
      <c r="A660" s="1037"/>
      <c r="B660" s="1037"/>
      <c r="C660" s="1037"/>
      <c r="D660" s="1037"/>
      <c r="E660" s="1037"/>
      <c r="F660" s="1037"/>
      <c r="G660" s="1037"/>
      <c r="H660" s="1037"/>
      <c r="I660" s="1037"/>
      <c r="J660" s="1038"/>
    </row>
    <row r="661">
      <c r="A661" s="1037"/>
      <c r="B661" s="1037"/>
      <c r="C661" s="1037"/>
      <c r="D661" s="1037"/>
      <c r="E661" s="1037"/>
      <c r="F661" s="1037"/>
      <c r="G661" s="1037"/>
      <c r="H661" s="1037"/>
      <c r="I661" s="1037"/>
      <c r="J661" s="1038"/>
    </row>
    <row r="662">
      <c r="A662" s="1037"/>
      <c r="B662" s="1037"/>
      <c r="C662" s="1037"/>
      <c r="D662" s="1037"/>
      <c r="E662" s="1037"/>
      <c r="F662" s="1037"/>
      <c r="G662" s="1037"/>
      <c r="H662" s="1037"/>
      <c r="I662" s="1037"/>
      <c r="J662" s="1038"/>
    </row>
    <row r="663">
      <c r="A663" s="1037"/>
      <c r="B663" s="1037"/>
      <c r="C663" s="1037"/>
      <c r="D663" s="1037"/>
      <c r="E663" s="1037"/>
      <c r="F663" s="1037"/>
      <c r="G663" s="1037"/>
      <c r="H663" s="1037"/>
      <c r="I663" s="1037"/>
      <c r="J663" s="1038"/>
    </row>
    <row r="664">
      <c r="A664" s="1037"/>
      <c r="B664" s="1037"/>
      <c r="C664" s="1037"/>
      <c r="D664" s="1037"/>
      <c r="E664" s="1037"/>
      <c r="F664" s="1037"/>
      <c r="G664" s="1037"/>
      <c r="H664" s="1037"/>
      <c r="I664" s="1037"/>
      <c r="J664" s="1038"/>
    </row>
    <row r="665">
      <c r="A665" s="1037"/>
      <c r="B665" s="1037"/>
      <c r="C665" s="1037"/>
      <c r="D665" s="1037"/>
      <c r="E665" s="1037"/>
      <c r="F665" s="1037"/>
      <c r="G665" s="1037"/>
      <c r="H665" s="1037"/>
      <c r="I665" s="1037"/>
      <c r="J665" s="1038"/>
    </row>
    <row r="666">
      <c r="A666" s="1037"/>
      <c r="B666" s="1037"/>
      <c r="C666" s="1037"/>
      <c r="D666" s="1037"/>
      <c r="E666" s="1037"/>
      <c r="F666" s="1037"/>
      <c r="G666" s="1037"/>
      <c r="H666" s="1037"/>
      <c r="I666" s="1037"/>
      <c r="J666" s="1038"/>
    </row>
    <row r="667">
      <c r="A667" s="1037"/>
      <c r="B667" s="1037"/>
      <c r="C667" s="1037"/>
      <c r="D667" s="1037"/>
      <c r="E667" s="1037"/>
      <c r="F667" s="1037"/>
      <c r="G667" s="1037"/>
      <c r="H667" s="1037"/>
      <c r="I667" s="1037"/>
      <c r="J667" s="1038"/>
    </row>
    <row r="668">
      <c r="A668" s="1037"/>
      <c r="B668" s="1037"/>
      <c r="C668" s="1037"/>
      <c r="D668" s="1037"/>
      <c r="E668" s="1037"/>
      <c r="F668" s="1037"/>
      <c r="G668" s="1037"/>
      <c r="H668" s="1037"/>
      <c r="I668" s="1037"/>
      <c r="J668" s="1038"/>
    </row>
    <row r="669">
      <c r="A669" s="1037"/>
      <c r="B669" s="1037"/>
      <c r="C669" s="1037"/>
      <c r="D669" s="1037"/>
      <c r="E669" s="1037"/>
      <c r="F669" s="1037"/>
      <c r="G669" s="1037"/>
      <c r="H669" s="1037"/>
      <c r="I669" s="1037"/>
      <c r="J669" s="1038"/>
    </row>
    <row r="670">
      <c r="A670" s="1037"/>
      <c r="B670" s="1037"/>
      <c r="C670" s="1037"/>
      <c r="D670" s="1037"/>
      <c r="E670" s="1037"/>
      <c r="F670" s="1037"/>
      <c r="G670" s="1037"/>
      <c r="H670" s="1037"/>
      <c r="I670" s="1037"/>
      <c r="J670" s="1038"/>
    </row>
    <row r="671">
      <c r="A671" s="1037"/>
      <c r="B671" s="1037"/>
      <c r="C671" s="1037"/>
      <c r="D671" s="1037"/>
      <c r="E671" s="1037"/>
      <c r="F671" s="1037"/>
      <c r="G671" s="1037"/>
      <c r="H671" s="1037"/>
      <c r="I671" s="1037"/>
      <c r="J671" s="1038"/>
    </row>
    <row r="672">
      <c r="A672" s="1037"/>
      <c r="B672" s="1037"/>
      <c r="C672" s="1037"/>
      <c r="D672" s="1037"/>
      <c r="E672" s="1037"/>
      <c r="F672" s="1037"/>
      <c r="G672" s="1037"/>
      <c r="H672" s="1037"/>
      <c r="I672" s="1037"/>
      <c r="J672" s="1038"/>
    </row>
    <row r="673">
      <c r="A673" s="1037"/>
      <c r="B673" s="1037"/>
      <c r="C673" s="1037"/>
      <c r="D673" s="1037"/>
      <c r="E673" s="1037"/>
      <c r="F673" s="1037"/>
      <c r="G673" s="1037"/>
      <c r="H673" s="1037"/>
      <c r="I673" s="1037"/>
      <c r="J673" s="1038"/>
    </row>
    <row r="674">
      <c r="A674" s="1037"/>
      <c r="B674" s="1037"/>
      <c r="C674" s="1037"/>
      <c r="D674" s="1037"/>
      <c r="E674" s="1037"/>
      <c r="F674" s="1037"/>
      <c r="G674" s="1037"/>
      <c r="H674" s="1037"/>
      <c r="I674" s="1037"/>
      <c r="J674" s="1038"/>
    </row>
    <row r="675">
      <c r="A675" s="1037"/>
      <c r="B675" s="1037"/>
      <c r="C675" s="1037"/>
      <c r="D675" s="1037"/>
      <c r="E675" s="1037"/>
      <c r="F675" s="1037"/>
      <c r="G675" s="1037"/>
      <c r="H675" s="1037"/>
      <c r="I675" s="1037"/>
      <c r="J675" s="1038"/>
    </row>
    <row r="676">
      <c r="A676" s="1037"/>
      <c r="B676" s="1037"/>
      <c r="C676" s="1037"/>
      <c r="D676" s="1037"/>
      <c r="E676" s="1037"/>
      <c r="F676" s="1037"/>
      <c r="G676" s="1037"/>
      <c r="H676" s="1037"/>
      <c r="I676" s="1037"/>
      <c r="J676" s="1038"/>
    </row>
    <row r="677">
      <c r="A677" s="1037"/>
      <c r="B677" s="1037"/>
      <c r="C677" s="1037"/>
      <c r="D677" s="1037"/>
      <c r="E677" s="1037"/>
      <c r="F677" s="1037"/>
      <c r="G677" s="1037"/>
      <c r="H677" s="1037"/>
      <c r="I677" s="1037"/>
      <c r="J677" s="1038"/>
    </row>
    <row r="678">
      <c r="A678" s="1037"/>
      <c r="B678" s="1037"/>
      <c r="C678" s="1037"/>
      <c r="D678" s="1037"/>
      <c r="E678" s="1037"/>
      <c r="F678" s="1037"/>
      <c r="G678" s="1037"/>
      <c r="H678" s="1037"/>
      <c r="I678" s="1037"/>
      <c r="J678" s="1038"/>
    </row>
    <row r="679">
      <c r="A679" s="1037"/>
      <c r="B679" s="1037"/>
      <c r="C679" s="1037"/>
      <c r="D679" s="1037"/>
      <c r="E679" s="1037"/>
      <c r="F679" s="1037"/>
      <c r="G679" s="1037"/>
      <c r="H679" s="1037"/>
      <c r="I679" s="1037"/>
      <c r="J679" s="1038"/>
    </row>
    <row r="680">
      <c r="A680" s="1037"/>
      <c r="B680" s="1037"/>
      <c r="C680" s="1037"/>
      <c r="D680" s="1037"/>
      <c r="E680" s="1037"/>
      <c r="F680" s="1037"/>
      <c r="G680" s="1037"/>
      <c r="H680" s="1037"/>
      <c r="I680" s="1037"/>
      <c r="J680" s="1038"/>
    </row>
    <row r="681">
      <c r="A681" s="1037"/>
      <c r="B681" s="1037"/>
      <c r="C681" s="1037"/>
      <c r="D681" s="1037"/>
      <c r="E681" s="1037"/>
      <c r="F681" s="1037"/>
      <c r="G681" s="1037"/>
      <c r="H681" s="1037"/>
      <c r="I681" s="1037"/>
      <c r="J681" s="1038"/>
    </row>
    <row r="682">
      <c r="A682" s="1037"/>
      <c r="B682" s="1037"/>
      <c r="C682" s="1037"/>
      <c r="D682" s="1037"/>
      <c r="E682" s="1037"/>
      <c r="F682" s="1037"/>
      <c r="G682" s="1037"/>
      <c r="H682" s="1037"/>
      <c r="I682" s="1037"/>
      <c r="J682" s="1038"/>
    </row>
    <row r="683">
      <c r="A683" s="1037"/>
      <c r="B683" s="1037"/>
      <c r="C683" s="1037"/>
      <c r="D683" s="1037"/>
      <c r="E683" s="1037"/>
      <c r="F683" s="1037"/>
      <c r="G683" s="1037"/>
      <c r="H683" s="1037"/>
      <c r="I683" s="1037"/>
      <c r="J683" s="1038"/>
    </row>
    <row r="684">
      <c r="A684" s="1037"/>
      <c r="B684" s="1037"/>
      <c r="C684" s="1037"/>
      <c r="D684" s="1037"/>
      <c r="E684" s="1037"/>
      <c r="F684" s="1037"/>
      <c r="G684" s="1037"/>
      <c r="H684" s="1037"/>
      <c r="I684" s="1037"/>
      <c r="J684" s="1038"/>
    </row>
    <row r="685">
      <c r="A685" s="1037"/>
      <c r="B685" s="1037"/>
      <c r="C685" s="1037"/>
      <c r="D685" s="1037"/>
      <c r="E685" s="1037"/>
      <c r="F685" s="1037"/>
      <c r="G685" s="1037"/>
      <c r="H685" s="1037"/>
      <c r="I685" s="1037"/>
      <c r="J685" s="1038"/>
    </row>
    <row r="686">
      <c r="A686" s="1037"/>
      <c r="B686" s="1037"/>
      <c r="C686" s="1037"/>
      <c r="D686" s="1037"/>
      <c r="E686" s="1037"/>
      <c r="F686" s="1037"/>
      <c r="G686" s="1037"/>
      <c r="H686" s="1037"/>
      <c r="I686" s="1037"/>
      <c r="J686" s="1038"/>
    </row>
    <row r="687">
      <c r="A687" s="1037"/>
      <c r="B687" s="1037"/>
      <c r="C687" s="1037"/>
      <c r="D687" s="1037"/>
      <c r="E687" s="1037"/>
      <c r="F687" s="1037"/>
      <c r="G687" s="1037"/>
      <c r="H687" s="1037"/>
      <c r="I687" s="1037"/>
      <c r="J687" s="1038"/>
    </row>
    <row r="688">
      <c r="A688" s="1037"/>
      <c r="B688" s="1037"/>
      <c r="C688" s="1037"/>
      <c r="D688" s="1037"/>
      <c r="E688" s="1037"/>
      <c r="F688" s="1037"/>
      <c r="G688" s="1037"/>
      <c r="H688" s="1037"/>
      <c r="I688" s="1037"/>
      <c r="J688" s="1038"/>
    </row>
    <row r="689">
      <c r="A689" s="1037"/>
      <c r="B689" s="1037"/>
      <c r="C689" s="1037"/>
      <c r="D689" s="1037"/>
      <c r="E689" s="1037"/>
      <c r="F689" s="1037"/>
      <c r="G689" s="1037"/>
      <c r="H689" s="1037"/>
      <c r="I689" s="1037"/>
      <c r="J689" s="1038"/>
    </row>
    <row r="690">
      <c r="A690" s="1037"/>
      <c r="B690" s="1037"/>
      <c r="C690" s="1037"/>
      <c r="D690" s="1037"/>
      <c r="E690" s="1037"/>
      <c r="F690" s="1037"/>
      <c r="G690" s="1037"/>
      <c r="H690" s="1037"/>
      <c r="I690" s="1037"/>
      <c r="J690" s="1038"/>
    </row>
    <row r="691">
      <c r="A691" s="1037"/>
      <c r="B691" s="1037"/>
      <c r="C691" s="1037"/>
      <c r="D691" s="1037"/>
      <c r="E691" s="1037"/>
      <c r="F691" s="1037"/>
      <c r="G691" s="1037"/>
      <c r="H691" s="1037"/>
      <c r="I691" s="1037"/>
      <c r="J691" s="1038"/>
    </row>
    <row r="692">
      <c r="A692" s="1037"/>
      <c r="B692" s="1037"/>
      <c r="C692" s="1037"/>
      <c r="D692" s="1037"/>
      <c r="E692" s="1037"/>
      <c r="F692" s="1037"/>
      <c r="G692" s="1037"/>
      <c r="H692" s="1037"/>
      <c r="I692" s="1037"/>
      <c r="J692" s="1038"/>
    </row>
    <row r="693">
      <c r="A693" s="1037"/>
      <c r="B693" s="1037"/>
      <c r="C693" s="1037"/>
      <c r="D693" s="1037"/>
      <c r="E693" s="1037"/>
      <c r="F693" s="1037"/>
      <c r="G693" s="1037"/>
      <c r="H693" s="1037"/>
      <c r="I693" s="1037"/>
      <c r="J693" s="1038"/>
    </row>
    <row r="694">
      <c r="A694" s="1037"/>
      <c r="B694" s="1037"/>
      <c r="C694" s="1037"/>
      <c r="D694" s="1037"/>
      <c r="E694" s="1037"/>
      <c r="F694" s="1037"/>
      <c r="G694" s="1037"/>
      <c r="H694" s="1037"/>
      <c r="I694" s="1037"/>
      <c r="J694" s="1038"/>
    </row>
    <row r="695">
      <c r="A695" s="1037"/>
      <c r="B695" s="1037"/>
      <c r="C695" s="1037"/>
      <c r="D695" s="1037"/>
      <c r="E695" s="1037"/>
      <c r="F695" s="1037"/>
      <c r="G695" s="1037"/>
      <c r="H695" s="1037"/>
      <c r="I695" s="1037"/>
      <c r="J695" s="1038"/>
    </row>
    <row r="696">
      <c r="A696" s="1037"/>
      <c r="B696" s="1037"/>
      <c r="C696" s="1037"/>
      <c r="D696" s="1037"/>
      <c r="E696" s="1037"/>
      <c r="F696" s="1037"/>
      <c r="G696" s="1037"/>
      <c r="H696" s="1037"/>
      <c r="I696" s="1037"/>
      <c r="J696" s="1038"/>
    </row>
    <row r="697">
      <c r="A697" s="1037"/>
      <c r="B697" s="1037"/>
      <c r="C697" s="1037"/>
      <c r="D697" s="1037"/>
      <c r="E697" s="1037"/>
      <c r="F697" s="1037"/>
      <c r="G697" s="1037"/>
      <c r="H697" s="1037"/>
      <c r="I697" s="1037"/>
      <c r="J697" s="1038"/>
    </row>
    <row r="698">
      <c r="A698" s="1037"/>
      <c r="B698" s="1037"/>
      <c r="C698" s="1037"/>
      <c r="D698" s="1037"/>
      <c r="E698" s="1037"/>
      <c r="F698" s="1037"/>
      <c r="G698" s="1037"/>
      <c r="H698" s="1037"/>
      <c r="I698" s="1037"/>
      <c r="J698" s="1038"/>
    </row>
    <row r="699">
      <c r="A699" s="1037"/>
      <c r="B699" s="1037"/>
      <c r="C699" s="1037"/>
      <c r="D699" s="1037"/>
      <c r="E699" s="1037"/>
      <c r="F699" s="1037"/>
      <c r="G699" s="1037"/>
      <c r="H699" s="1037"/>
      <c r="I699" s="1037"/>
      <c r="J699" s="1038"/>
    </row>
    <row r="700">
      <c r="A700" s="1037"/>
      <c r="B700" s="1037"/>
      <c r="C700" s="1037"/>
      <c r="D700" s="1037"/>
      <c r="E700" s="1037"/>
      <c r="F700" s="1037"/>
      <c r="G700" s="1037"/>
      <c r="H700" s="1037"/>
      <c r="I700" s="1037"/>
      <c r="J700" s="1038"/>
    </row>
    <row r="701">
      <c r="A701" s="1037"/>
      <c r="B701" s="1037"/>
      <c r="C701" s="1037"/>
      <c r="D701" s="1037"/>
      <c r="E701" s="1037"/>
      <c r="F701" s="1037"/>
      <c r="G701" s="1037"/>
      <c r="H701" s="1037"/>
      <c r="I701" s="1037"/>
      <c r="J701" s="1038"/>
    </row>
    <row r="702">
      <c r="A702" s="1037"/>
      <c r="B702" s="1037"/>
      <c r="C702" s="1037"/>
      <c r="D702" s="1037"/>
      <c r="E702" s="1037"/>
      <c r="F702" s="1037"/>
      <c r="G702" s="1037"/>
      <c r="H702" s="1037"/>
      <c r="I702" s="1037"/>
      <c r="J702" s="1038"/>
    </row>
    <row r="703">
      <c r="A703" s="1037"/>
      <c r="B703" s="1037"/>
      <c r="C703" s="1037"/>
      <c r="D703" s="1037"/>
      <c r="E703" s="1037"/>
      <c r="F703" s="1037"/>
      <c r="G703" s="1037"/>
      <c r="H703" s="1037"/>
      <c r="I703" s="1037"/>
      <c r="J703" s="1038"/>
    </row>
    <row r="704">
      <c r="A704" s="1037"/>
      <c r="B704" s="1037"/>
      <c r="C704" s="1037"/>
      <c r="D704" s="1037"/>
      <c r="E704" s="1037"/>
      <c r="F704" s="1037"/>
      <c r="G704" s="1037"/>
      <c r="H704" s="1037"/>
      <c r="I704" s="1037"/>
      <c r="J704" s="1038"/>
    </row>
    <row r="705">
      <c r="A705" s="1037"/>
      <c r="B705" s="1037"/>
      <c r="C705" s="1037"/>
      <c r="D705" s="1037"/>
      <c r="E705" s="1037"/>
      <c r="F705" s="1037"/>
      <c r="G705" s="1037"/>
      <c r="H705" s="1037"/>
      <c r="I705" s="1037"/>
      <c r="J705" s="1038"/>
    </row>
    <row r="706">
      <c r="A706" s="1037"/>
      <c r="B706" s="1037"/>
      <c r="C706" s="1037"/>
      <c r="D706" s="1037"/>
      <c r="E706" s="1037"/>
      <c r="F706" s="1037"/>
      <c r="G706" s="1037"/>
      <c r="H706" s="1037"/>
      <c r="I706" s="1037"/>
      <c r="J706" s="1038"/>
    </row>
    <row r="707">
      <c r="A707" s="1037"/>
      <c r="B707" s="1037"/>
      <c r="C707" s="1037"/>
      <c r="D707" s="1037"/>
      <c r="E707" s="1037"/>
      <c r="F707" s="1037"/>
      <c r="G707" s="1037"/>
      <c r="H707" s="1037"/>
      <c r="I707" s="1037"/>
      <c r="J707" s="1038"/>
    </row>
    <row r="708">
      <c r="A708" s="1037"/>
      <c r="B708" s="1037"/>
      <c r="C708" s="1037"/>
      <c r="D708" s="1037"/>
      <c r="E708" s="1037"/>
      <c r="F708" s="1037"/>
      <c r="G708" s="1037"/>
      <c r="H708" s="1037"/>
      <c r="I708" s="1037"/>
      <c r="J708" s="1038"/>
    </row>
    <row r="709">
      <c r="A709" s="1037"/>
      <c r="B709" s="1037"/>
      <c r="C709" s="1037"/>
      <c r="D709" s="1037"/>
      <c r="E709" s="1037"/>
      <c r="F709" s="1037"/>
      <c r="G709" s="1037"/>
      <c r="H709" s="1037"/>
      <c r="I709" s="1037"/>
      <c r="J709" s="1038"/>
    </row>
    <row r="710">
      <c r="A710" s="1037"/>
      <c r="B710" s="1037"/>
      <c r="C710" s="1037"/>
      <c r="D710" s="1037"/>
      <c r="E710" s="1037"/>
      <c r="F710" s="1037"/>
      <c r="G710" s="1037"/>
      <c r="H710" s="1037"/>
      <c r="I710" s="1037"/>
      <c r="J710" s="1038"/>
    </row>
    <row r="711">
      <c r="A711" s="1037"/>
      <c r="B711" s="1037"/>
      <c r="C711" s="1037"/>
      <c r="D711" s="1037"/>
      <c r="E711" s="1037"/>
      <c r="F711" s="1037"/>
      <c r="G711" s="1037"/>
      <c r="H711" s="1037"/>
      <c r="I711" s="1037"/>
      <c r="J711" s="1038"/>
    </row>
    <row r="712">
      <c r="A712" s="1037"/>
      <c r="B712" s="1037"/>
      <c r="C712" s="1037"/>
      <c r="D712" s="1037"/>
      <c r="E712" s="1037"/>
      <c r="F712" s="1037"/>
      <c r="G712" s="1037"/>
      <c r="H712" s="1037"/>
      <c r="I712" s="1037"/>
      <c r="J712" s="1038"/>
    </row>
    <row r="713">
      <c r="A713" s="1037"/>
      <c r="B713" s="1037"/>
      <c r="C713" s="1037"/>
      <c r="D713" s="1037"/>
      <c r="E713" s="1037"/>
      <c r="F713" s="1037"/>
      <c r="G713" s="1037"/>
      <c r="H713" s="1037"/>
      <c r="I713" s="1037"/>
      <c r="J713" s="1038"/>
    </row>
    <row r="714">
      <c r="A714" s="1037"/>
      <c r="B714" s="1037"/>
      <c r="C714" s="1037"/>
      <c r="D714" s="1037"/>
      <c r="E714" s="1037"/>
      <c r="F714" s="1037"/>
      <c r="G714" s="1037"/>
      <c r="H714" s="1037"/>
      <c r="I714" s="1037"/>
      <c r="J714" s="1038"/>
    </row>
    <row r="715">
      <c r="A715" s="1037"/>
      <c r="B715" s="1037"/>
      <c r="C715" s="1037"/>
      <c r="D715" s="1037"/>
      <c r="E715" s="1037"/>
      <c r="F715" s="1037"/>
      <c r="G715" s="1037"/>
      <c r="H715" s="1037"/>
      <c r="I715" s="1037"/>
      <c r="J715" s="1038"/>
    </row>
    <row r="716">
      <c r="A716" s="1037"/>
      <c r="B716" s="1037"/>
      <c r="C716" s="1037"/>
      <c r="D716" s="1037"/>
      <c r="E716" s="1037"/>
      <c r="F716" s="1037"/>
      <c r="G716" s="1037"/>
      <c r="H716" s="1037"/>
      <c r="I716" s="1037"/>
      <c r="J716" s="1038"/>
    </row>
    <row r="717">
      <c r="A717" s="1037"/>
      <c r="B717" s="1037"/>
      <c r="C717" s="1037"/>
      <c r="D717" s="1037"/>
      <c r="E717" s="1037"/>
      <c r="F717" s="1037"/>
      <c r="G717" s="1037"/>
      <c r="H717" s="1037"/>
      <c r="I717" s="1037"/>
      <c r="J717" s="1038"/>
    </row>
    <row r="718">
      <c r="A718" s="1037"/>
      <c r="B718" s="1037"/>
      <c r="C718" s="1037"/>
      <c r="D718" s="1037"/>
      <c r="E718" s="1037"/>
      <c r="F718" s="1037"/>
      <c r="G718" s="1037"/>
      <c r="H718" s="1037"/>
      <c r="I718" s="1037"/>
      <c r="J718" s="1038"/>
    </row>
    <row r="719">
      <c r="A719" s="1037"/>
      <c r="B719" s="1037"/>
      <c r="C719" s="1037"/>
      <c r="D719" s="1037"/>
      <c r="E719" s="1037"/>
      <c r="F719" s="1037"/>
      <c r="G719" s="1037"/>
      <c r="H719" s="1037"/>
      <c r="I719" s="1037"/>
      <c r="J719" s="1038"/>
    </row>
    <row r="720">
      <c r="A720" s="1037"/>
      <c r="B720" s="1037"/>
      <c r="C720" s="1037"/>
      <c r="D720" s="1037"/>
      <c r="E720" s="1037"/>
      <c r="F720" s="1037"/>
      <c r="G720" s="1037"/>
      <c r="H720" s="1037"/>
      <c r="I720" s="1037"/>
      <c r="J720" s="1038"/>
    </row>
    <row r="721">
      <c r="A721" s="1037"/>
      <c r="B721" s="1037"/>
      <c r="C721" s="1037"/>
      <c r="D721" s="1037"/>
      <c r="E721" s="1037"/>
      <c r="F721" s="1037"/>
      <c r="G721" s="1037"/>
      <c r="H721" s="1037"/>
      <c r="I721" s="1037"/>
      <c r="J721" s="1038"/>
    </row>
    <row r="722">
      <c r="A722" s="1037"/>
      <c r="B722" s="1037"/>
      <c r="C722" s="1037"/>
      <c r="D722" s="1037"/>
      <c r="E722" s="1037"/>
      <c r="F722" s="1037"/>
      <c r="G722" s="1037"/>
      <c r="H722" s="1037"/>
      <c r="I722" s="1037"/>
      <c r="J722" s="1038"/>
    </row>
    <row r="723">
      <c r="A723" s="1037"/>
      <c r="B723" s="1037"/>
      <c r="C723" s="1037"/>
      <c r="D723" s="1037"/>
      <c r="E723" s="1037"/>
      <c r="F723" s="1037"/>
      <c r="G723" s="1037"/>
      <c r="H723" s="1037"/>
      <c r="I723" s="1037"/>
      <c r="J723" s="1038"/>
    </row>
    <row r="724">
      <c r="A724" s="1037"/>
      <c r="B724" s="1037"/>
      <c r="C724" s="1037"/>
      <c r="D724" s="1037"/>
      <c r="E724" s="1037"/>
      <c r="F724" s="1037"/>
      <c r="G724" s="1037"/>
      <c r="H724" s="1037"/>
      <c r="I724" s="1037"/>
      <c r="J724" s="1038"/>
    </row>
    <row r="725">
      <c r="A725" s="1037"/>
      <c r="B725" s="1037"/>
      <c r="C725" s="1037"/>
      <c r="D725" s="1037"/>
      <c r="E725" s="1037"/>
      <c r="F725" s="1037"/>
      <c r="G725" s="1037"/>
      <c r="H725" s="1037"/>
      <c r="I725" s="1037"/>
      <c r="J725" s="1038"/>
    </row>
    <row r="726">
      <c r="A726" s="1037"/>
      <c r="B726" s="1037"/>
      <c r="C726" s="1037"/>
      <c r="D726" s="1037"/>
      <c r="E726" s="1037"/>
      <c r="F726" s="1037"/>
      <c r="G726" s="1037"/>
      <c r="H726" s="1037"/>
      <c r="I726" s="1037"/>
      <c r="J726" s="1038"/>
    </row>
    <row r="727">
      <c r="A727" s="1037"/>
      <c r="B727" s="1037"/>
      <c r="C727" s="1037"/>
      <c r="D727" s="1037"/>
      <c r="E727" s="1037"/>
      <c r="F727" s="1037"/>
      <c r="G727" s="1037"/>
      <c r="H727" s="1037"/>
      <c r="I727" s="1037"/>
      <c r="J727" s="1038"/>
    </row>
    <row r="728">
      <c r="A728" s="1037"/>
      <c r="B728" s="1037"/>
      <c r="C728" s="1037"/>
      <c r="D728" s="1037"/>
      <c r="E728" s="1037"/>
      <c r="F728" s="1037"/>
      <c r="G728" s="1037"/>
      <c r="H728" s="1037"/>
      <c r="I728" s="1037"/>
      <c r="J728" s="1038"/>
    </row>
    <row r="729">
      <c r="A729" s="1037"/>
      <c r="B729" s="1037"/>
      <c r="C729" s="1037"/>
      <c r="D729" s="1037"/>
      <c r="E729" s="1037"/>
      <c r="F729" s="1037"/>
      <c r="G729" s="1037"/>
      <c r="H729" s="1037"/>
      <c r="I729" s="1037"/>
      <c r="J729" s="1038"/>
    </row>
    <row r="730">
      <c r="A730" s="1037"/>
      <c r="B730" s="1037"/>
      <c r="C730" s="1037"/>
      <c r="D730" s="1037"/>
      <c r="E730" s="1037"/>
      <c r="F730" s="1037"/>
      <c r="G730" s="1037"/>
      <c r="H730" s="1037"/>
      <c r="I730" s="1037"/>
      <c r="J730" s="1038"/>
    </row>
    <row r="731">
      <c r="A731" s="1037"/>
      <c r="B731" s="1037"/>
      <c r="C731" s="1037"/>
      <c r="D731" s="1037"/>
      <c r="E731" s="1037"/>
      <c r="F731" s="1037"/>
      <c r="G731" s="1037"/>
      <c r="H731" s="1037"/>
      <c r="I731" s="1037"/>
      <c r="J731" s="1038"/>
    </row>
    <row r="732">
      <c r="A732" s="1037"/>
      <c r="B732" s="1037"/>
      <c r="C732" s="1037"/>
      <c r="D732" s="1037"/>
      <c r="E732" s="1037"/>
      <c r="F732" s="1037"/>
      <c r="G732" s="1037"/>
      <c r="H732" s="1037"/>
      <c r="I732" s="1037"/>
      <c r="J732" s="1038"/>
    </row>
    <row r="733">
      <c r="A733" s="1037"/>
      <c r="B733" s="1037"/>
      <c r="C733" s="1037"/>
      <c r="D733" s="1037"/>
      <c r="E733" s="1037"/>
      <c r="F733" s="1037"/>
      <c r="G733" s="1037"/>
      <c r="H733" s="1037"/>
      <c r="I733" s="1037"/>
      <c r="J733" s="1038"/>
    </row>
    <row r="734">
      <c r="A734" s="1037"/>
      <c r="B734" s="1037"/>
      <c r="C734" s="1037"/>
      <c r="D734" s="1037"/>
      <c r="E734" s="1037"/>
      <c r="F734" s="1037"/>
      <c r="G734" s="1037"/>
      <c r="H734" s="1037"/>
      <c r="I734" s="1037"/>
      <c r="J734" s="1038"/>
    </row>
    <row r="735">
      <c r="A735" s="1037"/>
      <c r="B735" s="1037"/>
      <c r="C735" s="1037"/>
      <c r="D735" s="1037"/>
      <c r="E735" s="1037"/>
      <c r="F735" s="1037"/>
      <c r="G735" s="1037"/>
      <c r="H735" s="1037"/>
      <c r="I735" s="1037"/>
      <c r="J735" s="1038"/>
    </row>
    <row r="736">
      <c r="A736" s="1037"/>
      <c r="B736" s="1037"/>
      <c r="C736" s="1037"/>
      <c r="D736" s="1037"/>
      <c r="E736" s="1037"/>
      <c r="F736" s="1037"/>
      <c r="G736" s="1037"/>
      <c r="H736" s="1037"/>
      <c r="I736" s="1037"/>
      <c r="J736" s="1038"/>
    </row>
    <row r="737">
      <c r="A737" s="1037"/>
      <c r="B737" s="1037"/>
      <c r="C737" s="1037"/>
      <c r="D737" s="1037"/>
      <c r="E737" s="1037"/>
      <c r="F737" s="1037"/>
      <c r="G737" s="1037"/>
      <c r="H737" s="1037"/>
      <c r="I737" s="1037"/>
      <c r="J737" s="1038"/>
    </row>
    <row r="738">
      <c r="A738" s="1037"/>
      <c r="B738" s="1037"/>
      <c r="C738" s="1037"/>
      <c r="D738" s="1037"/>
      <c r="E738" s="1037"/>
      <c r="F738" s="1037"/>
      <c r="G738" s="1037"/>
      <c r="H738" s="1037"/>
      <c r="I738" s="1037"/>
      <c r="J738" s="1038"/>
    </row>
    <row r="739">
      <c r="A739" s="1037"/>
      <c r="B739" s="1037"/>
      <c r="C739" s="1037"/>
      <c r="D739" s="1037"/>
      <c r="E739" s="1037"/>
      <c r="F739" s="1037"/>
      <c r="G739" s="1037"/>
      <c r="H739" s="1037"/>
      <c r="I739" s="1037"/>
      <c r="J739" s="1038"/>
    </row>
    <row r="740">
      <c r="A740" s="1037"/>
      <c r="B740" s="1037"/>
      <c r="C740" s="1037"/>
      <c r="D740" s="1037"/>
      <c r="E740" s="1037"/>
      <c r="F740" s="1037"/>
      <c r="G740" s="1037"/>
      <c r="H740" s="1037"/>
      <c r="I740" s="1037"/>
      <c r="J740" s="1038"/>
    </row>
    <row r="741">
      <c r="A741" s="1037"/>
      <c r="B741" s="1037"/>
      <c r="C741" s="1037"/>
      <c r="D741" s="1037"/>
      <c r="E741" s="1037"/>
      <c r="F741" s="1037"/>
      <c r="G741" s="1037"/>
      <c r="H741" s="1037"/>
      <c r="I741" s="1037"/>
      <c r="J741" s="1038"/>
    </row>
    <row r="742">
      <c r="A742" s="1037"/>
      <c r="B742" s="1037"/>
      <c r="C742" s="1037"/>
      <c r="D742" s="1037"/>
      <c r="E742" s="1037"/>
      <c r="F742" s="1037"/>
      <c r="G742" s="1037"/>
      <c r="H742" s="1037"/>
      <c r="I742" s="1037"/>
      <c r="J742" s="1038"/>
    </row>
    <row r="743">
      <c r="A743" s="1037"/>
      <c r="B743" s="1037"/>
      <c r="C743" s="1037"/>
      <c r="D743" s="1037"/>
      <c r="E743" s="1037"/>
      <c r="F743" s="1037"/>
      <c r="G743" s="1037"/>
      <c r="H743" s="1037"/>
      <c r="I743" s="1037"/>
      <c r="J743" s="1038"/>
    </row>
    <row r="744">
      <c r="A744" s="1037"/>
      <c r="B744" s="1037"/>
      <c r="C744" s="1037"/>
      <c r="D744" s="1037"/>
      <c r="E744" s="1037"/>
      <c r="F744" s="1037"/>
      <c r="G744" s="1037"/>
      <c r="H744" s="1037"/>
      <c r="I744" s="1037"/>
      <c r="J744" s="1038"/>
    </row>
    <row r="745">
      <c r="A745" s="1037"/>
      <c r="B745" s="1037"/>
      <c r="C745" s="1037"/>
      <c r="D745" s="1037"/>
      <c r="E745" s="1037"/>
      <c r="F745" s="1037"/>
      <c r="G745" s="1037"/>
      <c r="H745" s="1037"/>
      <c r="I745" s="1037"/>
      <c r="J745" s="1038"/>
    </row>
    <row r="746">
      <c r="A746" s="1037"/>
      <c r="B746" s="1037"/>
      <c r="C746" s="1037"/>
      <c r="D746" s="1037"/>
      <c r="E746" s="1037"/>
      <c r="F746" s="1037"/>
      <c r="G746" s="1037"/>
      <c r="H746" s="1037"/>
      <c r="I746" s="1037"/>
      <c r="J746" s="1038"/>
    </row>
    <row r="747">
      <c r="A747" s="1037"/>
      <c r="B747" s="1037"/>
      <c r="C747" s="1037"/>
      <c r="D747" s="1037"/>
      <c r="E747" s="1037"/>
      <c r="F747" s="1037"/>
      <c r="G747" s="1037"/>
      <c r="H747" s="1037"/>
      <c r="I747" s="1037"/>
      <c r="J747" s="1038"/>
    </row>
    <row r="748">
      <c r="A748" s="1037"/>
      <c r="B748" s="1037"/>
      <c r="C748" s="1037"/>
      <c r="D748" s="1037"/>
      <c r="E748" s="1037"/>
      <c r="F748" s="1037"/>
      <c r="G748" s="1037"/>
      <c r="H748" s="1037"/>
      <c r="I748" s="1037"/>
      <c r="J748" s="1038"/>
    </row>
    <row r="749">
      <c r="A749" s="1037"/>
      <c r="B749" s="1037"/>
      <c r="C749" s="1037"/>
      <c r="D749" s="1037"/>
      <c r="E749" s="1037"/>
      <c r="F749" s="1037"/>
      <c r="G749" s="1037"/>
      <c r="H749" s="1037"/>
      <c r="I749" s="1037"/>
      <c r="J749" s="1038"/>
    </row>
    <row r="750">
      <c r="A750" s="1037"/>
      <c r="B750" s="1037"/>
      <c r="C750" s="1037"/>
      <c r="D750" s="1037"/>
      <c r="E750" s="1037"/>
      <c r="F750" s="1037"/>
      <c r="G750" s="1037"/>
      <c r="H750" s="1037"/>
      <c r="I750" s="1037"/>
      <c r="J750" s="1038"/>
    </row>
    <row r="751">
      <c r="A751" s="1037"/>
      <c r="B751" s="1037"/>
      <c r="C751" s="1037"/>
      <c r="D751" s="1037"/>
      <c r="E751" s="1037"/>
      <c r="F751" s="1037"/>
      <c r="G751" s="1037"/>
      <c r="H751" s="1037"/>
      <c r="I751" s="1037"/>
      <c r="J751" s="1038"/>
    </row>
    <row r="752">
      <c r="A752" s="1037"/>
      <c r="B752" s="1037"/>
      <c r="C752" s="1037"/>
      <c r="D752" s="1037"/>
      <c r="E752" s="1037"/>
      <c r="F752" s="1037"/>
      <c r="G752" s="1037"/>
      <c r="H752" s="1037"/>
      <c r="I752" s="1037"/>
      <c r="J752" s="1038"/>
    </row>
    <row r="753">
      <c r="A753" s="1037"/>
      <c r="B753" s="1037"/>
      <c r="C753" s="1037"/>
      <c r="D753" s="1037"/>
      <c r="E753" s="1037"/>
      <c r="F753" s="1037"/>
      <c r="G753" s="1037"/>
      <c r="H753" s="1037"/>
      <c r="I753" s="1037"/>
      <c r="J753" s="1038"/>
    </row>
    <row r="754">
      <c r="A754" s="1037"/>
      <c r="B754" s="1037"/>
      <c r="C754" s="1037"/>
      <c r="D754" s="1037"/>
      <c r="E754" s="1037"/>
      <c r="F754" s="1037"/>
      <c r="G754" s="1037"/>
      <c r="H754" s="1037"/>
      <c r="I754" s="1037"/>
      <c r="J754" s="1038"/>
    </row>
    <row r="755">
      <c r="A755" s="1037"/>
      <c r="B755" s="1037"/>
      <c r="C755" s="1037"/>
      <c r="D755" s="1037"/>
      <c r="E755" s="1037"/>
      <c r="F755" s="1037"/>
      <c r="G755" s="1037"/>
      <c r="H755" s="1037"/>
      <c r="I755" s="1037"/>
      <c r="J755" s="1038"/>
    </row>
    <row r="756">
      <c r="A756" s="1037"/>
      <c r="B756" s="1037"/>
      <c r="C756" s="1037"/>
      <c r="D756" s="1037"/>
      <c r="E756" s="1037"/>
      <c r="F756" s="1037"/>
      <c r="G756" s="1037"/>
      <c r="H756" s="1037"/>
      <c r="I756" s="1037"/>
      <c r="J756" s="1038"/>
    </row>
    <row r="757">
      <c r="A757" s="1037"/>
      <c r="B757" s="1037"/>
      <c r="C757" s="1037"/>
      <c r="D757" s="1037"/>
      <c r="E757" s="1037"/>
      <c r="F757" s="1037"/>
      <c r="G757" s="1037"/>
      <c r="H757" s="1037"/>
      <c r="I757" s="1037"/>
      <c r="J757" s="1038"/>
    </row>
    <row r="758">
      <c r="A758" s="1037"/>
      <c r="B758" s="1037"/>
      <c r="C758" s="1037"/>
      <c r="D758" s="1037"/>
      <c r="E758" s="1037"/>
      <c r="F758" s="1037"/>
      <c r="G758" s="1037"/>
      <c r="H758" s="1037"/>
      <c r="I758" s="1037"/>
      <c r="J758" s="1038"/>
    </row>
    <row r="759">
      <c r="A759" s="1037"/>
      <c r="B759" s="1037"/>
      <c r="C759" s="1037"/>
      <c r="D759" s="1037"/>
      <c r="E759" s="1037"/>
      <c r="F759" s="1037"/>
      <c r="G759" s="1037"/>
      <c r="H759" s="1037"/>
      <c r="I759" s="1037"/>
      <c r="J759" s="1038"/>
    </row>
    <row r="760">
      <c r="A760" s="1037"/>
      <c r="B760" s="1037"/>
      <c r="C760" s="1037"/>
      <c r="D760" s="1037"/>
      <c r="E760" s="1037"/>
      <c r="F760" s="1037"/>
      <c r="G760" s="1037"/>
      <c r="H760" s="1037"/>
      <c r="I760" s="1037"/>
      <c r="J760" s="1038"/>
    </row>
    <row r="761">
      <c r="A761" s="1037"/>
      <c r="B761" s="1037"/>
      <c r="C761" s="1037"/>
      <c r="D761" s="1037"/>
      <c r="E761" s="1037"/>
      <c r="F761" s="1037"/>
      <c r="G761" s="1037"/>
      <c r="H761" s="1037"/>
      <c r="I761" s="1037"/>
      <c r="J761" s="1038"/>
    </row>
    <row r="762">
      <c r="A762" s="1037"/>
      <c r="B762" s="1037"/>
      <c r="C762" s="1037"/>
      <c r="D762" s="1037"/>
      <c r="E762" s="1037"/>
      <c r="F762" s="1037"/>
      <c r="G762" s="1037"/>
      <c r="H762" s="1037"/>
      <c r="I762" s="1037"/>
      <c r="J762" s="1038"/>
    </row>
    <row r="763">
      <c r="A763" s="1037"/>
      <c r="B763" s="1037"/>
      <c r="C763" s="1037"/>
      <c r="D763" s="1037"/>
      <c r="E763" s="1037"/>
      <c r="F763" s="1037"/>
      <c r="G763" s="1037"/>
      <c r="H763" s="1037"/>
      <c r="I763" s="1037"/>
      <c r="J763" s="1038"/>
    </row>
    <row r="764">
      <c r="A764" s="1037"/>
      <c r="B764" s="1037"/>
      <c r="C764" s="1037"/>
      <c r="D764" s="1037"/>
      <c r="E764" s="1037"/>
      <c r="F764" s="1037"/>
      <c r="G764" s="1037"/>
      <c r="H764" s="1037"/>
      <c r="I764" s="1037"/>
      <c r="J764" s="1038"/>
    </row>
    <row r="765">
      <c r="A765" s="1037"/>
      <c r="B765" s="1037"/>
      <c r="C765" s="1037"/>
      <c r="D765" s="1037"/>
      <c r="E765" s="1037"/>
      <c r="F765" s="1037"/>
      <c r="G765" s="1037"/>
      <c r="H765" s="1037"/>
      <c r="I765" s="1037"/>
      <c r="J765" s="1038"/>
    </row>
    <row r="766">
      <c r="A766" s="1037"/>
      <c r="B766" s="1037"/>
      <c r="C766" s="1037"/>
      <c r="D766" s="1037"/>
      <c r="E766" s="1037"/>
      <c r="F766" s="1037"/>
      <c r="G766" s="1037"/>
      <c r="H766" s="1037"/>
      <c r="I766" s="1037"/>
      <c r="J766" s="1038"/>
    </row>
    <row r="767">
      <c r="A767" s="1037"/>
      <c r="B767" s="1037"/>
      <c r="C767" s="1037"/>
      <c r="D767" s="1037"/>
      <c r="E767" s="1037"/>
      <c r="F767" s="1037"/>
      <c r="G767" s="1037"/>
      <c r="H767" s="1037"/>
      <c r="I767" s="1037"/>
      <c r="J767" s="1038"/>
    </row>
    <row r="768">
      <c r="A768" s="1037"/>
      <c r="B768" s="1037"/>
      <c r="C768" s="1037"/>
      <c r="D768" s="1037"/>
      <c r="E768" s="1037"/>
      <c r="F768" s="1037"/>
      <c r="G768" s="1037"/>
      <c r="H768" s="1037"/>
      <c r="I768" s="1037"/>
      <c r="J768" s="1038"/>
    </row>
    <row r="769">
      <c r="A769" s="1037"/>
      <c r="B769" s="1037"/>
      <c r="C769" s="1037"/>
      <c r="D769" s="1037"/>
      <c r="E769" s="1037"/>
      <c r="F769" s="1037"/>
      <c r="G769" s="1037"/>
      <c r="H769" s="1037"/>
      <c r="I769" s="1037"/>
      <c r="J769" s="1038"/>
    </row>
    <row r="770">
      <c r="A770" s="1037"/>
      <c r="B770" s="1037"/>
      <c r="C770" s="1037"/>
      <c r="D770" s="1037"/>
      <c r="E770" s="1037"/>
      <c r="F770" s="1037"/>
      <c r="G770" s="1037"/>
      <c r="H770" s="1037"/>
      <c r="I770" s="1037"/>
      <c r="J770" s="1038"/>
    </row>
    <row r="771">
      <c r="A771" s="1037"/>
      <c r="B771" s="1037"/>
      <c r="C771" s="1037"/>
      <c r="D771" s="1037"/>
      <c r="E771" s="1037"/>
      <c r="F771" s="1037"/>
      <c r="G771" s="1037"/>
      <c r="H771" s="1037"/>
      <c r="I771" s="1037"/>
      <c r="J771" s="1038"/>
    </row>
    <row r="772">
      <c r="A772" s="1037"/>
      <c r="B772" s="1037"/>
      <c r="C772" s="1037"/>
      <c r="D772" s="1037"/>
      <c r="E772" s="1037"/>
      <c r="F772" s="1037"/>
      <c r="G772" s="1037"/>
      <c r="H772" s="1037"/>
      <c r="I772" s="1037"/>
      <c r="J772" s="1038"/>
    </row>
    <row r="773">
      <c r="A773" s="1037"/>
      <c r="B773" s="1037"/>
      <c r="C773" s="1037"/>
      <c r="D773" s="1037"/>
      <c r="E773" s="1037"/>
      <c r="F773" s="1037"/>
      <c r="G773" s="1037"/>
      <c r="H773" s="1037"/>
      <c r="I773" s="1037"/>
      <c r="J773" s="1038"/>
    </row>
    <row r="774">
      <c r="A774" s="1037"/>
      <c r="B774" s="1037"/>
      <c r="C774" s="1037"/>
      <c r="D774" s="1037"/>
      <c r="E774" s="1037"/>
      <c r="F774" s="1037"/>
      <c r="G774" s="1037"/>
      <c r="H774" s="1037"/>
      <c r="I774" s="1037"/>
      <c r="J774" s="1038"/>
    </row>
    <row r="775">
      <c r="A775" s="1037"/>
      <c r="B775" s="1037"/>
      <c r="C775" s="1037"/>
      <c r="D775" s="1037"/>
      <c r="E775" s="1037"/>
      <c r="F775" s="1037"/>
      <c r="G775" s="1037"/>
      <c r="H775" s="1037"/>
      <c r="I775" s="1037"/>
      <c r="J775" s="1038"/>
    </row>
    <row r="776">
      <c r="A776" s="1037"/>
      <c r="B776" s="1037"/>
      <c r="C776" s="1037"/>
      <c r="D776" s="1037"/>
      <c r="E776" s="1037"/>
      <c r="F776" s="1037"/>
      <c r="G776" s="1037"/>
      <c r="H776" s="1037"/>
      <c r="I776" s="1037"/>
      <c r="J776" s="1038"/>
    </row>
    <row r="777">
      <c r="A777" s="1037"/>
      <c r="B777" s="1037"/>
      <c r="C777" s="1037"/>
      <c r="D777" s="1037"/>
      <c r="E777" s="1037"/>
      <c r="F777" s="1037"/>
      <c r="G777" s="1037"/>
      <c r="H777" s="1037"/>
      <c r="I777" s="1037"/>
      <c r="J777" s="1038"/>
    </row>
    <row r="778">
      <c r="A778" s="1037"/>
      <c r="B778" s="1037"/>
      <c r="C778" s="1037"/>
      <c r="D778" s="1037"/>
      <c r="E778" s="1037"/>
      <c r="F778" s="1037"/>
      <c r="G778" s="1037"/>
      <c r="H778" s="1037"/>
      <c r="I778" s="1037"/>
      <c r="J778" s="1038"/>
    </row>
    <row r="779">
      <c r="A779" s="1037"/>
      <c r="B779" s="1037"/>
      <c r="C779" s="1037"/>
      <c r="D779" s="1037"/>
      <c r="E779" s="1037"/>
      <c r="F779" s="1037"/>
      <c r="G779" s="1037"/>
      <c r="H779" s="1037"/>
      <c r="I779" s="1037"/>
      <c r="J779" s="1038"/>
    </row>
    <row r="780">
      <c r="A780" s="1037"/>
      <c r="B780" s="1037"/>
      <c r="C780" s="1037"/>
      <c r="D780" s="1037"/>
      <c r="E780" s="1037"/>
      <c r="F780" s="1037"/>
      <c r="G780" s="1037"/>
      <c r="H780" s="1037"/>
      <c r="I780" s="1037"/>
      <c r="J780" s="1038"/>
    </row>
    <row r="781">
      <c r="A781" s="1037"/>
      <c r="B781" s="1037"/>
      <c r="C781" s="1037"/>
      <c r="D781" s="1037"/>
      <c r="E781" s="1037"/>
      <c r="F781" s="1037"/>
      <c r="G781" s="1037"/>
      <c r="H781" s="1037"/>
      <c r="I781" s="1037"/>
      <c r="J781" s="1038"/>
    </row>
    <row r="782">
      <c r="A782" s="1037"/>
      <c r="B782" s="1037"/>
      <c r="C782" s="1037"/>
      <c r="D782" s="1037"/>
      <c r="E782" s="1037"/>
      <c r="F782" s="1037"/>
      <c r="G782" s="1037"/>
      <c r="H782" s="1037"/>
      <c r="I782" s="1037"/>
      <c r="J782" s="1038"/>
    </row>
    <row r="783">
      <c r="A783" s="1037"/>
      <c r="B783" s="1037"/>
      <c r="C783" s="1037"/>
      <c r="D783" s="1037"/>
      <c r="E783" s="1037"/>
      <c r="F783" s="1037"/>
      <c r="G783" s="1037"/>
      <c r="H783" s="1037"/>
      <c r="I783" s="1037"/>
      <c r="J783" s="1038"/>
    </row>
    <row r="784">
      <c r="A784" s="1037"/>
      <c r="B784" s="1037"/>
      <c r="C784" s="1037"/>
      <c r="D784" s="1037"/>
      <c r="E784" s="1037"/>
      <c r="F784" s="1037"/>
      <c r="G784" s="1037"/>
      <c r="H784" s="1037"/>
      <c r="I784" s="1037"/>
      <c r="J784" s="1038"/>
    </row>
    <row r="785">
      <c r="A785" s="1037"/>
      <c r="B785" s="1037"/>
      <c r="C785" s="1037"/>
      <c r="D785" s="1037"/>
      <c r="E785" s="1037"/>
      <c r="F785" s="1037"/>
      <c r="G785" s="1037"/>
      <c r="H785" s="1037"/>
      <c r="I785" s="1037"/>
      <c r="J785" s="1038"/>
    </row>
    <row r="786">
      <c r="A786" s="1037"/>
      <c r="B786" s="1037"/>
      <c r="C786" s="1037"/>
      <c r="D786" s="1037"/>
      <c r="E786" s="1037"/>
      <c r="F786" s="1037"/>
      <c r="G786" s="1037"/>
      <c r="H786" s="1037"/>
      <c r="I786" s="1037"/>
      <c r="J786" s="1038"/>
    </row>
    <row r="787">
      <c r="A787" s="1037"/>
      <c r="B787" s="1037"/>
      <c r="C787" s="1037"/>
      <c r="D787" s="1037"/>
      <c r="E787" s="1037"/>
      <c r="F787" s="1037"/>
      <c r="G787" s="1037"/>
      <c r="H787" s="1037"/>
      <c r="I787" s="1037"/>
      <c r="J787" s="1038"/>
    </row>
    <row r="788">
      <c r="A788" s="1037"/>
      <c r="B788" s="1037"/>
      <c r="C788" s="1037"/>
      <c r="D788" s="1037"/>
      <c r="E788" s="1037"/>
      <c r="F788" s="1037"/>
      <c r="G788" s="1037"/>
      <c r="H788" s="1037"/>
      <c r="I788" s="1037"/>
      <c r="J788" s="1038"/>
    </row>
    <row r="789">
      <c r="A789" s="1037"/>
      <c r="B789" s="1037"/>
      <c r="C789" s="1037"/>
      <c r="D789" s="1037"/>
      <c r="E789" s="1037"/>
      <c r="F789" s="1037"/>
      <c r="G789" s="1037"/>
      <c r="H789" s="1037"/>
      <c r="I789" s="1037"/>
      <c r="J789" s="1038"/>
    </row>
    <row r="790">
      <c r="A790" s="1037"/>
      <c r="B790" s="1037"/>
      <c r="C790" s="1037"/>
      <c r="D790" s="1037"/>
      <c r="E790" s="1037"/>
      <c r="F790" s="1037"/>
      <c r="G790" s="1037"/>
      <c r="H790" s="1037"/>
      <c r="I790" s="1037"/>
      <c r="J790" s="1038"/>
    </row>
    <row r="791">
      <c r="A791" s="1037"/>
      <c r="B791" s="1037"/>
      <c r="C791" s="1037"/>
      <c r="D791" s="1037"/>
      <c r="E791" s="1037"/>
      <c r="F791" s="1037"/>
      <c r="G791" s="1037"/>
      <c r="H791" s="1037"/>
      <c r="I791" s="1037"/>
      <c r="J791" s="1038"/>
    </row>
    <row r="792">
      <c r="A792" s="1037"/>
      <c r="B792" s="1037"/>
      <c r="C792" s="1037"/>
      <c r="D792" s="1037"/>
      <c r="E792" s="1037"/>
      <c r="F792" s="1037"/>
      <c r="G792" s="1037"/>
      <c r="H792" s="1037"/>
      <c r="I792" s="1037"/>
      <c r="J792" s="1038"/>
    </row>
    <row r="793">
      <c r="A793" s="1037"/>
      <c r="B793" s="1037"/>
      <c r="C793" s="1037"/>
      <c r="D793" s="1037"/>
      <c r="E793" s="1037"/>
      <c r="F793" s="1037"/>
      <c r="G793" s="1037"/>
      <c r="H793" s="1037"/>
      <c r="I793" s="1037"/>
      <c r="J793" s="1038"/>
    </row>
    <row r="794">
      <c r="A794" s="1037"/>
      <c r="B794" s="1037"/>
      <c r="C794" s="1037"/>
      <c r="D794" s="1037"/>
      <c r="E794" s="1037"/>
      <c r="F794" s="1037"/>
      <c r="G794" s="1037"/>
      <c r="H794" s="1037"/>
      <c r="I794" s="1037"/>
      <c r="J794" s="1038"/>
    </row>
    <row r="795">
      <c r="A795" s="1037"/>
      <c r="B795" s="1037"/>
      <c r="C795" s="1037"/>
      <c r="D795" s="1037"/>
      <c r="E795" s="1037"/>
      <c r="F795" s="1037"/>
      <c r="G795" s="1037"/>
      <c r="H795" s="1037"/>
      <c r="I795" s="1037"/>
      <c r="J795" s="1038"/>
    </row>
    <row r="796">
      <c r="A796" s="1037"/>
      <c r="B796" s="1037"/>
      <c r="C796" s="1037"/>
      <c r="D796" s="1037"/>
      <c r="E796" s="1037"/>
      <c r="F796" s="1037"/>
      <c r="G796" s="1037"/>
      <c r="H796" s="1037"/>
      <c r="I796" s="1037"/>
      <c r="J796" s="1038"/>
    </row>
    <row r="797">
      <c r="A797" s="1037"/>
      <c r="B797" s="1037"/>
      <c r="C797" s="1037"/>
      <c r="D797" s="1037"/>
      <c r="E797" s="1037"/>
      <c r="F797" s="1037"/>
      <c r="G797" s="1037"/>
      <c r="H797" s="1037"/>
      <c r="I797" s="1037"/>
      <c r="J797" s="1038"/>
    </row>
    <row r="798">
      <c r="A798" s="1037"/>
      <c r="B798" s="1037"/>
      <c r="C798" s="1037"/>
      <c r="D798" s="1037"/>
      <c r="E798" s="1037"/>
      <c r="F798" s="1037"/>
      <c r="G798" s="1037"/>
      <c r="H798" s="1037"/>
      <c r="I798" s="1037"/>
      <c r="J798" s="1038"/>
    </row>
    <row r="799">
      <c r="A799" s="1037"/>
      <c r="B799" s="1037"/>
      <c r="C799" s="1037"/>
      <c r="D799" s="1037"/>
      <c r="E799" s="1037"/>
      <c r="F799" s="1037"/>
      <c r="G799" s="1037"/>
      <c r="H799" s="1037"/>
      <c r="I799" s="1037"/>
      <c r="J799" s="1038"/>
    </row>
    <row r="800">
      <c r="A800" s="1037"/>
      <c r="B800" s="1037"/>
      <c r="C800" s="1037"/>
      <c r="D800" s="1037"/>
      <c r="E800" s="1037"/>
      <c r="F800" s="1037"/>
      <c r="G800" s="1037"/>
      <c r="H800" s="1037"/>
      <c r="I800" s="1037"/>
      <c r="J800" s="1038"/>
    </row>
    <row r="801">
      <c r="A801" s="1037"/>
      <c r="B801" s="1037"/>
      <c r="C801" s="1037"/>
      <c r="D801" s="1037"/>
      <c r="E801" s="1037"/>
      <c r="F801" s="1037"/>
      <c r="G801" s="1037"/>
      <c r="H801" s="1037"/>
      <c r="I801" s="1037"/>
      <c r="J801" s="1038"/>
    </row>
    <row r="802">
      <c r="A802" s="1037"/>
      <c r="B802" s="1037"/>
      <c r="C802" s="1037"/>
      <c r="D802" s="1037"/>
      <c r="E802" s="1037"/>
      <c r="F802" s="1037"/>
      <c r="G802" s="1037"/>
      <c r="H802" s="1037"/>
      <c r="I802" s="1037"/>
      <c r="J802" s="1038"/>
    </row>
    <row r="803">
      <c r="A803" s="1037"/>
      <c r="B803" s="1037"/>
      <c r="C803" s="1037"/>
      <c r="D803" s="1037"/>
      <c r="E803" s="1037"/>
      <c r="F803" s="1037"/>
      <c r="G803" s="1037"/>
      <c r="H803" s="1037"/>
      <c r="I803" s="1037"/>
      <c r="J803" s="1038"/>
    </row>
    <row r="804">
      <c r="A804" s="1037"/>
      <c r="B804" s="1037"/>
      <c r="C804" s="1037"/>
      <c r="D804" s="1037"/>
      <c r="E804" s="1037"/>
      <c r="F804" s="1037"/>
      <c r="G804" s="1037"/>
      <c r="H804" s="1037"/>
      <c r="I804" s="1037"/>
      <c r="J804" s="1038"/>
    </row>
    <row r="805">
      <c r="A805" s="1037"/>
      <c r="B805" s="1037"/>
      <c r="C805" s="1037"/>
      <c r="D805" s="1037"/>
      <c r="E805" s="1037"/>
      <c r="F805" s="1037"/>
      <c r="G805" s="1037"/>
      <c r="H805" s="1037"/>
      <c r="I805" s="1037"/>
      <c r="J805" s="1038"/>
    </row>
    <row r="806">
      <c r="A806" s="1037"/>
      <c r="B806" s="1037"/>
      <c r="C806" s="1037"/>
      <c r="D806" s="1037"/>
      <c r="E806" s="1037"/>
      <c r="F806" s="1037"/>
      <c r="G806" s="1037"/>
      <c r="H806" s="1037"/>
      <c r="I806" s="1037"/>
      <c r="J806" s="1038"/>
    </row>
    <row r="807">
      <c r="A807" s="1037"/>
      <c r="B807" s="1037"/>
      <c r="C807" s="1037"/>
      <c r="D807" s="1037"/>
      <c r="E807" s="1037"/>
      <c r="F807" s="1037"/>
      <c r="G807" s="1037"/>
      <c r="H807" s="1037"/>
      <c r="I807" s="1037"/>
      <c r="J807" s="1038"/>
    </row>
    <row r="808">
      <c r="A808" s="1037"/>
      <c r="B808" s="1037"/>
      <c r="C808" s="1037"/>
      <c r="D808" s="1037"/>
      <c r="E808" s="1037"/>
      <c r="F808" s="1037"/>
      <c r="G808" s="1037"/>
      <c r="H808" s="1037"/>
      <c r="I808" s="1037"/>
      <c r="J808" s="1038"/>
    </row>
    <row r="809">
      <c r="A809" s="1037"/>
      <c r="B809" s="1037"/>
      <c r="C809" s="1037"/>
      <c r="D809" s="1037"/>
      <c r="E809" s="1037"/>
      <c r="F809" s="1037"/>
      <c r="G809" s="1037"/>
      <c r="H809" s="1037"/>
      <c r="I809" s="1037"/>
      <c r="J809" s="1038"/>
    </row>
    <row r="810">
      <c r="A810" s="1037"/>
      <c r="B810" s="1037"/>
      <c r="C810" s="1037"/>
      <c r="D810" s="1037"/>
      <c r="E810" s="1037"/>
      <c r="F810" s="1037"/>
      <c r="G810" s="1037"/>
      <c r="H810" s="1037"/>
      <c r="I810" s="1037"/>
      <c r="J810" s="1038"/>
    </row>
    <row r="811">
      <c r="A811" s="1037"/>
      <c r="B811" s="1037"/>
      <c r="C811" s="1037"/>
      <c r="D811" s="1037"/>
      <c r="E811" s="1037"/>
      <c r="F811" s="1037"/>
      <c r="G811" s="1037"/>
      <c r="H811" s="1037"/>
      <c r="I811" s="1037"/>
      <c r="J811" s="1038"/>
    </row>
    <row r="812">
      <c r="A812" s="1037"/>
      <c r="B812" s="1037"/>
      <c r="C812" s="1037"/>
      <c r="D812" s="1037"/>
      <c r="E812" s="1037"/>
      <c r="F812" s="1037"/>
      <c r="G812" s="1037"/>
      <c r="H812" s="1037"/>
      <c r="I812" s="1037"/>
      <c r="J812" s="1038"/>
    </row>
    <row r="813">
      <c r="A813" s="1037"/>
      <c r="B813" s="1037"/>
      <c r="C813" s="1037"/>
      <c r="D813" s="1037"/>
      <c r="E813" s="1037"/>
      <c r="F813" s="1037"/>
      <c r="G813" s="1037"/>
      <c r="H813" s="1037"/>
      <c r="I813" s="1037"/>
      <c r="J813" s="1038"/>
    </row>
    <row r="814">
      <c r="A814" s="1037"/>
      <c r="B814" s="1037"/>
      <c r="C814" s="1037"/>
      <c r="D814" s="1037"/>
      <c r="E814" s="1037"/>
      <c r="F814" s="1037"/>
      <c r="G814" s="1037"/>
      <c r="H814" s="1037"/>
      <c r="I814" s="1037"/>
      <c r="J814" s="1038"/>
    </row>
    <row r="815">
      <c r="A815" s="1037"/>
      <c r="B815" s="1037"/>
      <c r="C815" s="1037"/>
      <c r="D815" s="1037"/>
      <c r="E815" s="1037"/>
      <c r="F815" s="1037"/>
      <c r="G815" s="1037"/>
      <c r="H815" s="1037"/>
      <c r="I815" s="1037"/>
      <c r="J815" s="1038"/>
    </row>
    <row r="816">
      <c r="A816" s="1037"/>
      <c r="B816" s="1037"/>
      <c r="C816" s="1037"/>
      <c r="D816" s="1037"/>
      <c r="E816" s="1037"/>
      <c r="F816" s="1037"/>
      <c r="G816" s="1037"/>
      <c r="H816" s="1037"/>
      <c r="I816" s="1037"/>
      <c r="J816" s="1038"/>
    </row>
    <row r="817">
      <c r="A817" s="1037"/>
      <c r="B817" s="1037"/>
      <c r="C817" s="1037"/>
      <c r="D817" s="1037"/>
      <c r="E817" s="1037"/>
      <c r="F817" s="1037"/>
      <c r="G817" s="1037"/>
      <c r="H817" s="1037"/>
      <c r="I817" s="1037"/>
      <c r="J817" s="1038"/>
    </row>
    <row r="818">
      <c r="A818" s="1037"/>
      <c r="B818" s="1037"/>
      <c r="C818" s="1037"/>
      <c r="D818" s="1037"/>
      <c r="E818" s="1037"/>
      <c r="F818" s="1037"/>
      <c r="G818" s="1037"/>
      <c r="H818" s="1037"/>
      <c r="I818" s="1037"/>
      <c r="J818" s="1038"/>
    </row>
    <row r="819">
      <c r="A819" s="1037"/>
      <c r="B819" s="1037"/>
      <c r="C819" s="1037"/>
      <c r="D819" s="1037"/>
      <c r="E819" s="1037"/>
      <c r="F819" s="1037"/>
      <c r="G819" s="1037"/>
      <c r="H819" s="1037"/>
      <c r="I819" s="1037"/>
      <c r="J819" s="1038"/>
    </row>
    <row r="820">
      <c r="A820" s="1037"/>
      <c r="B820" s="1037"/>
      <c r="C820" s="1037"/>
      <c r="D820" s="1037"/>
      <c r="E820" s="1037"/>
      <c r="F820" s="1037"/>
      <c r="G820" s="1037"/>
      <c r="H820" s="1037"/>
      <c r="I820" s="1037"/>
      <c r="J820" s="1038"/>
    </row>
    <row r="821">
      <c r="A821" s="1037"/>
      <c r="B821" s="1037"/>
      <c r="C821" s="1037"/>
      <c r="D821" s="1037"/>
      <c r="E821" s="1037"/>
      <c r="F821" s="1037"/>
      <c r="G821" s="1037"/>
      <c r="H821" s="1037"/>
      <c r="I821" s="1037"/>
      <c r="J821" s="1038"/>
    </row>
    <row r="822">
      <c r="A822" s="1037"/>
      <c r="B822" s="1037"/>
      <c r="C822" s="1037"/>
      <c r="D822" s="1037"/>
      <c r="E822" s="1037"/>
      <c r="F822" s="1037"/>
      <c r="G822" s="1037"/>
      <c r="H822" s="1037"/>
      <c r="I822" s="1037"/>
      <c r="J822" s="1038"/>
    </row>
    <row r="823">
      <c r="A823" s="1037"/>
      <c r="B823" s="1037"/>
      <c r="C823" s="1037"/>
      <c r="D823" s="1037"/>
      <c r="E823" s="1037"/>
      <c r="F823" s="1037"/>
      <c r="G823" s="1037"/>
      <c r="H823" s="1037"/>
      <c r="I823" s="1037"/>
      <c r="J823" s="1038"/>
    </row>
    <row r="824">
      <c r="A824" s="1037"/>
      <c r="B824" s="1037"/>
      <c r="C824" s="1037"/>
      <c r="D824" s="1037"/>
      <c r="E824" s="1037"/>
      <c r="F824" s="1037"/>
      <c r="G824" s="1037"/>
      <c r="H824" s="1037"/>
      <c r="I824" s="1037"/>
      <c r="J824" s="1038"/>
    </row>
    <row r="825">
      <c r="A825" s="1037"/>
      <c r="B825" s="1037"/>
      <c r="C825" s="1037"/>
      <c r="D825" s="1037"/>
      <c r="E825" s="1037"/>
      <c r="F825" s="1037"/>
      <c r="G825" s="1037"/>
      <c r="H825" s="1037"/>
      <c r="I825" s="1037"/>
      <c r="J825" s="1038"/>
    </row>
    <row r="826">
      <c r="A826" s="1037"/>
      <c r="B826" s="1037"/>
      <c r="C826" s="1037"/>
      <c r="D826" s="1037"/>
      <c r="E826" s="1037"/>
      <c r="F826" s="1037"/>
      <c r="G826" s="1037"/>
      <c r="H826" s="1037"/>
      <c r="I826" s="1037"/>
      <c r="J826" s="1038"/>
    </row>
    <row r="827">
      <c r="A827" s="1037"/>
      <c r="B827" s="1037"/>
      <c r="C827" s="1037"/>
      <c r="D827" s="1037"/>
      <c r="E827" s="1037"/>
      <c r="F827" s="1037"/>
      <c r="G827" s="1037"/>
      <c r="H827" s="1037"/>
      <c r="I827" s="1037"/>
      <c r="J827" s="1038"/>
    </row>
    <row r="828">
      <c r="A828" s="1037"/>
      <c r="B828" s="1037"/>
      <c r="C828" s="1037"/>
      <c r="D828" s="1037"/>
      <c r="E828" s="1037"/>
      <c r="F828" s="1037"/>
      <c r="G828" s="1037"/>
      <c r="H828" s="1037"/>
      <c r="I828" s="1037"/>
      <c r="J828" s="1038"/>
    </row>
    <row r="829">
      <c r="A829" s="1037"/>
      <c r="B829" s="1037"/>
      <c r="C829" s="1037"/>
      <c r="D829" s="1037"/>
      <c r="E829" s="1037"/>
      <c r="F829" s="1037"/>
      <c r="G829" s="1037"/>
      <c r="H829" s="1037"/>
      <c r="I829" s="1037"/>
      <c r="J829" s="1038"/>
    </row>
    <row r="830">
      <c r="A830" s="1037"/>
      <c r="B830" s="1037"/>
      <c r="C830" s="1037"/>
      <c r="D830" s="1037"/>
      <c r="E830" s="1037"/>
      <c r="F830" s="1037"/>
      <c r="G830" s="1037"/>
      <c r="H830" s="1037"/>
      <c r="I830" s="1037"/>
      <c r="J830" s="1038"/>
    </row>
    <row r="831">
      <c r="A831" s="1037"/>
      <c r="B831" s="1037"/>
      <c r="C831" s="1037"/>
      <c r="D831" s="1037"/>
      <c r="E831" s="1037"/>
      <c r="F831" s="1037"/>
      <c r="G831" s="1037"/>
      <c r="H831" s="1037"/>
      <c r="I831" s="1037"/>
      <c r="J831" s="1038"/>
    </row>
    <row r="832">
      <c r="A832" s="1037"/>
      <c r="B832" s="1037"/>
      <c r="C832" s="1037"/>
      <c r="D832" s="1037"/>
      <c r="E832" s="1037"/>
      <c r="F832" s="1037"/>
      <c r="G832" s="1037"/>
      <c r="H832" s="1037"/>
      <c r="I832" s="1037"/>
      <c r="J832" s="1038"/>
    </row>
    <row r="833">
      <c r="A833" s="1037"/>
      <c r="B833" s="1037"/>
      <c r="C833" s="1037"/>
      <c r="D833" s="1037"/>
      <c r="E833" s="1037"/>
      <c r="F833" s="1037"/>
      <c r="G833" s="1037"/>
      <c r="H833" s="1037"/>
      <c r="I833" s="1037"/>
      <c r="J833" s="1038"/>
    </row>
    <row r="834">
      <c r="A834" s="1037"/>
      <c r="B834" s="1037"/>
      <c r="C834" s="1037"/>
      <c r="D834" s="1037"/>
      <c r="E834" s="1037"/>
      <c r="F834" s="1037"/>
      <c r="G834" s="1037"/>
      <c r="H834" s="1037"/>
      <c r="I834" s="1037"/>
      <c r="J834" s="1038"/>
    </row>
    <row r="835">
      <c r="A835" s="1037"/>
      <c r="B835" s="1037"/>
      <c r="C835" s="1037"/>
      <c r="D835" s="1037"/>
      <c r="E835" s="1037"/>
      <c r="F835" s="1037"/>
      <c r="G835" s="1037"/>
      <c r="H835" s="1037"/>
      <c r="I835" s="1037"/>
      <c r="J835" s="1038"/>
    </row>
    <row r="836">
      <c r="A836" s="1037"/>
      <c r="B836" s="1037"/>
      <c r="C836" s="1037"/>
      <c r="D836" s="1037"/>
      <c r="E836" s="1037"/>
      <c r="F836" s="1037"/>
      <c r="G836" s="1037"/>
      <c r="H836" s="1037"/>
      <c r="I836" s="1037"/>
      <c r="J836" s="1038"/>
    </row>
    <row r="837">
      <c r="A837" s="1037"/>
      <c r="B837" s="1037"/>
      <c r="C837" s="1037"/>
      <c r="D837" s="1037"/>
      <c r="E837" s="1037"/>
      <c r="F837" s="1037"/>
      <c r="G837" s="1037"/>
      <c r="H837" s="1037"/>
      <c r="I837" s="1037"/>
      <c r="J837" s="1038"/>
    </row>
    <row r="838">
      <c r="A838" s="1037"/>
      <c r="B838" s="1037"/>
      <c r="C838" s="1037"/>
      <c r="D838" s="1037"/>
      <c r="E838" s="1037"/>
      <c r="F838" s="1037"/>
      <c r="G838" s="1037"/>
      <c r="H838" s="1037"/>
      <c r="I838" s="1037"/>
      <c r="J838" s="1038"/>
    </row>
    <row r="839">
      <c r="A839" s="1037"/>
      <c r="B839" s="1037"/>
      <c r="C839" s="1037"/>
      <c r="D839" s="1037"/>
      <c r="E839" s="1037"/>
      <c r="F839" s="1037"/>
      <c r="G839" s="1037"/>
      <c r="H839" s="1037"/>
      <c r="I839" s="1037"/>
      <c r="J839" s="1038"/>
    </row>
    <row r="840">
      <c r="A840" s="1037"/>
      <c r="B840" s="1037"/>
      <c r="C840" s="1037"/>
      <c r="D840" s="1037"/>
      <c r="E840" s="1037"/>
      <c r="F840" s="1037"/>
      <c r="G840" s="1037"/>
      <c r="H840" s="1037"/>
      <c r="I840" s="1037"/>
      <c r="J840" s="1038"/>
    </row>
    <row r="841">
      <c r="A841" s="1037"/>
      <c r="B841" s="1037"/>
      <c r="C841" s="1037"/>
      <c r="D841" s="1037"/>
      <c r="E841" s="1037"/>
      <c r="F841" s="1037"/>
      <c r="G841" s="1037"/>
      <c r="H841" s="1037"/>
      <c r="I841" s="1037"/>
      <c r="J841" s="1038"/>
    </row>
    <row r="842">
      <c r="A842" s="1037"/>
      <c r="B842" s="1037"/>
      <c r="C842" s="1037"/>
      <c r="D842" s="1037"/>
      <c r="E842" s="1037"/>
      <c r="F842" s="1037"/>
      <c r="G842" s="1037"/>
      <c r="H842" s="1037"/>
      <c r="I842" s="1037"/>
      <c r="J842" s="1038"/>
    </row>
    <row r="843">
      <c r="A843" s="1037"/>
      <c r="B843" s="1037"/>
      <c r="C843" s="1037"/>
      <c r="D843" s="1037"/>
      <c r="E843" s="1037"/>
      <c r="F843" s="1037"/>
      <c r="G843" s="1037"/>
      <c r="H843" s="1037"/>
      <c r="I843" s="1037"/>
      <c r="J843" s="1038"/>
    </row>
    <row r="844">
      <c r="A844" s="1037"/>
      <c r="B844" s="1037"/>
      <c r="C844" s="1037"/>
      <c r="D844" s="1037"/>
      <c r="E844" s="1037"/>
      <c r="F844" s="1037"/>
      <c r="G844" s="1037"/>
      <c r="H844" s="1037"/>
      <c r="I844" s="1037"/>
      <c r="J844" s="1038"/>
    </row>
    <row r="845">
      <c r="A845" s="1037"/>
      <c r="B845" s="1037"/>
      <c r="C845" s="1037"/>
      <c r="D845" s="1037"/>
      <c r="E845" s="1037"/>
      <c r="F845" s="1037"/>
      <c r="G845" s="1037"/>
      <c r="H845" s="1037"/>
      <c r="I845" s="1037"/>
      <c r="J845" s="1038"/>
    </row>
    <row r="846">
      <c r="A846" s="1037"/>
      <c r="B846" s="1037"/>
      <c r="C846" s="1037"/>
      <c r="D846" s="1037"/>
      <c r="E846" s="1037"/>
      <c r="F846" s="1037"/>
      <c r="G846" s="1037"/>
      <c r="H846" s="1037"/>
      <c r="I846" s="1037"/>
      <c r="J846" s="1038"/>
    </row>
    <row r="847">
      <c r="A847" s="1037"/>
      <c r="B847" s="1037"/>
      <c r="C847" s="1037"/>
      <c r="D847" s="1037"/>
      <c r="E847" s="1037"/>
      <c r="F847" s="1037"/>
      <c r="G847" s="1037"/>
      <c r="H847" s="1037"/>
      <c r="I847" s="1037"/>
      <c r="J847" s="1038"/>
    </row>
    <row r="848">
      <c r="A848" s="1037"/>
      <c r="B848" s="1037"/>
      <c r="C848" s="1037"/>
      <c r="D848" s="1037"/>
      <c r="E848" s="1037"/>
      <c r="F848" s="1037"/>
      <c r="G848" s="1037"/>
      <c r="H848" s="1037"/>
      <c r="I848" s="1037"/>
      <c r="J848" s="1038"/>
    </row>
    <row r="849">
      <c r="A849" s="1037"/>
      <c r="B849" s="1037"/>
      <c r="C849" s="1037"/>
      <c r="D849" s="1037"/>
      <c r="E849" s="1037"/>
      <c r="F849" s="1037"/>
      <c r="G849" s="1037"/>
      <c r="H849" s="1037"/>
      <c r="I849" s="1037"/>
      <c r="J849" s="1038"/>
    </row>
    <row r="850">
      <c r="A850" s="1037"/>
      <c r="B850" s="1037"/>
      <c r="C850" s="1037"/>
      <c r="D850" s="1037"/>
      <c r="E850" s="1037"/>
      <c r="F850" s="1037"/>
      <c r="G850" s="1037"/>
      <c r="H850" s="1037"/>
      <c r="I850" s="1037"/>
      <c r="J850" s="1038"/>
    </row>
    <row r="851">
      <c r="A851" s="1037"/>
      <c r="B851" s="1037"/>
      <c r="C851" s="1037"/>
      <c r="D851" s="1037"/>
      <c r="E851" s="1037"/>
      <c r="F851" s="1037"/>
      <c r="G851" s="1037"/>
      <c r="H851" s="1037"/>
      <c r="I851" s="1037"/>
      <c r="J851" s="1038"/>
    </row>
    <row r="852">
      <c r="A852" s="1037"/>
      <c r="B852" s="1037"/>
      <c r="C852" s="1037"/>
      <c r="D852" s="1037"/>
      <c r="E852" s="1037"/>
      <c r="F852" s="1037"/>
      <c r="G852" s="1037"/>
      <c r="H852" s="1037"/>
      <c r="I852" s="1037"/>
      <c r="J852" s="1038"/>
    </row>
    <row r="853">
      <c r="A853" s="1037"/>
      <c r="B853" s="1037"/>
      <c r="C853" s="1037"/>
      <c r="D853" s="1037"/>
      <c r="E853" s="1037"/>
      <c r="F853" s="1037"/>
      <c r="G853" s="1037"/>
      <c r="H853" s="1037"/>
      <c r="I853" s="1037"/>
      <c r="J853" s="1038"/>
    </row>
    <row r="854">
      <c r="A854" s="1037"/>
      <c r="B854" s="1037"/>
      <c r="C854" s="1037"/>
      <c r="D854" s="1037"/>
      <c r="E854" s="1037"/>
      <c r="F854" s="1037"/>
      <c r="G854" s="1037"/>
      <c r="H854" s="1037"/>
      <c r="I854" s="1037"/>
      <c r="J854" s="1038"/>
    </row>
    <row r="855">
      <c r="A855" s="1037"/>
      <c r="B855" s="1037"/>
      <c r="C855" s="1037"/>
      <c r="D855" s="1037"/>
      <c r="E855" s="1037"/>
      <c r="F855" s="1037"/>
      <c r="G855" s="1037"/>
      <c r="H855" s="1037"/>
      <c r="I855" s="1037"/>
      <c r="J855" s="1038"/>
    </row>
    <row r="856">
      <c r="A856" s="1037"/>
      <c r="B856" s="1037"/>
      <c r="C856" s="1037"/>
      <c r="D856" s="1037"/>
      <c r="E856" s="1037"/>
      <c r="F856" s="1037"/>
      <c r="G856" s="1037"/>
      <c r="H856" s="1037"/>
      <c r="I856" s="1037"/>
      <c r="J856" s="1038"/>
    </row>
    <row r="857">
      <c r="A857" s="1037"/>
      <c r="B857" s="1037"/>
      <c r="C857" s="1037"/>
      <c r="D857" s="1037"/>
      <c r="E857" s="1037"/>
      <c r="F857" s="1037"/>
      <c r="G857" s="1037"/>
      <c r="H857" s="1037"/>
      <c r="I857" s="1037"/>
      <c r="J857" s="1038"/>
    </row>
    <row r="858">
      <c r="A858" s="1037"/>
      <c r="B858" s="1037"/>
      <c r="C858" s="1037"/>
      <c r="D858" s="1037"/>
      <c r="E858" s="1037"/>
      <c r="F858" s="1037"/>
      <c r="G858" s="1037"/>
      <c r="H858" s="1037"/>
      <c r="I858" s="1037"/>
      <c r="J858" s="1038"/>
    </row>
    <row r="859">
      <c r="A859" s="1037"/>
      <c r="B859" s="1037"/>
      <c r="C859" s="1037"/>
      <c r="D859" s="1037"/>
      <c r="E859" s="1037"/>
      <c r="F859" s="1037"/>
      <c r="G859" s="1037"/>
      <c r="H859" s="1037"/>
      <c r="I859" s="1037"/>
      <c r="J859" s="1038"/>
    </row>
    <row r="860">
      <c r="A860" s="1037"/>
      <c r="B860" s="1037"/>
      <c r="C860" s="1037"/>
      <c r="D860" s="1037"/>
      <c r="E860" s="1037"/>
      <c r="F860" s="1037"/>
      <c r="G860" s="1037"/>
      <c r="H860" s="1037"/>
      <c r="I860" s="1037"/>
      <c r="J860" s="1038"/>
    </row>
    <row r="861">
      <c r="A861" s="1037"/>
      <c r="B861" s="1037"/>
      <c r="C861" s="1037"/>
      <c r="D861" s="1037"/>
      <c r="E861" s="1037"/>
      <c r="F861" s="1037"/>
      <c r="G861" s="1037"/>
      <c r="H861" s="1037"/>
      <c r="I861" s="1037"/>
      <c r="J861" s="1038"/>
    </row>
    <row r="862">
      <c r="A862" s="1037"/>
      <c r="B862" s="1037"/>
      <c r="C862" s="1037"/>
      <c r="D862" s="1037"/>
      <c r="E862" s="1037"/>
      <c r="F862" s="1037"/>
      <c r="G862" s="1037"/>
      <c r="H862" s="1037"/>
      <c r="I862" s="1037"/>
      <c r="J862" s="1038"/>
    </row>
    <row r="863">
      <c r="A863" s="1037"/>
      <c r="B863" s="1037"/>
      <c r="C863" s="1037"/>
      <c r="D863" s="1037"/>
      <c r="E863" s="1037"/>
      <c r="F863" s="1037"/>
      <c r="G863" s="1037"/>
      <c r="H863" s="1037"/>
      <c r="I863" s="1037"/>
      <c r="J863" s="1038"/>
    </row>
    <row r="864">
      <c r="A864" s="1037"/>
      <c r="B864" s="1037"/>
      <c r="C864" s="1037"/>
      <c r="D864" s="1037"/>
      <c r="E864" s="1037"/>
      <c r="F864" s="1037"/>
      <c r="G864" s="1037"/>
      <c r="H864" s="1037"/>
      <c r="I864" s="1037"/>
      <c r="J864" s="1038"/>
    </row>
    <row r="865">
      <c r="A865" s="1037"/>
      <c r="B865" s="1037"/>
      <c r="C865" s="1037"/>
      <c r="D865" s="1037"/>
      <c r="E865" s="1037"/>
      <c r="F865" s="1037"/>
      <c r="G865" s="1037"/>
      <c r="H865" s="1037"/>
      <c r="I865" s="1037"/>
      <c r="J865" s="1038"/>
    </row>
    <row r="866">
      <c r="A866" s="1037"/>
      <c r="B866" s="1037"/>
      <c r="C866" s="1037"/>
      <c r="D866" s="1037"/>
      <c r="E866" s="1037"/>
      <c r="F866" s="1037"/>
      <c r="G866" s="1037"/>
      <c r="H866" s="1037"/>
      <c r="I866" s="1037"/>
      <c r="J866" s="1038"/>
    </row>
    <row r="867">
      <c r="A867" s="1037"/>
      <c r="B867" s="1037"/>
      <c r="C867" s="1037"/>
      <c r="D867" s="1037"/>
      <c r="E867" s="1037"/>
      <c r="F867" s="1037"/>
      <c r="G867" s="1037"/>
      <c r="H867" s="1037"/>
      <c r="I867" s="1037"/>
      <c r="J867" s="1038"/>
    </row>
    <row r="868">
      <c r="A868" s="1037"/>
      <c r="B868" s="1037"/>
      <c r="C868" s="1037"/>
      <c r="D868" s="1037"/>
      <c r="E868" s="1037"/>
      <c r="F868" s="1037"/>
      <c r="G868" s="1037"/>
      <c r="H868" s="1037"/>
      <c r="I868" s="1037"/>
      <c r="J868" s="1038"/>
    </row>
    <row r="869">
      <c r="A869" s="1037"/>
      <c r="B869" s="1037"/>
      <c r="C869" s="1037"/>
      <c r="D869" s="1037"/>
      <c r="E869" s="1037"/>
      <c r="F869" s="1037"/>
      <c r="G869" s="1037"/>
      <c r="H869" s="1037"/>
      <c r="I869" s="1037"/>
      <c r="J869" s="1038"/>
    </row>
    <row r="870">
      <c r="A870" s="1037"/>
      <c r="B870" s="1037"/>
      <c r="C870" s="1037"/>
      <c r="D870" s="1037"/>
      <c r="E870" s="1037"/>
      <c r="F870" s="1037"/>
      <c r="G870" s="1037"/>
      <c r="H870" s="1037"/>
      <c r="I870" s="1037"/>
      <c r="J870" s="1038"/>
    </row>
    <row r="871">
      <c r="A871" s="1037"/>
      <c r="B871" s="1037"/>
      <c r="C871" s="1037"/>
      <c r="D871" s="1037"/>
      <c r="E871" s="1037"/>
      <c r="F871" s="1037"/>
      <c r="G871" s="1037"/>
      <c r="H871" s="1037"/>
      <c r="I871" s="1037"/>
      <c r="J871" s="1038"/>
    </row>
    <row r="872">
      <c r="A872" s="1037"/>
      <c r="B872" s="1037"/>
      <c r="C872" s="1037"/>
      <c r="D872" s="1037"/>
      <c r="E872" s="1037"/>
      <c r="F872" s="1037"/>
      <c r="G872" s="1037"/>
      <c r="H872" s="1037"/>
      <c r="I872" s="1037"/>
      <c r="J872" s="1038"/>
    </row>
    <row r="873">
      <c r="A873" s="1037"/>
      <c r="B873" s="1037"/>
      <c r="C873" s="1037"/>
      <c r="D873" s="1037"/>
      <c r="E873" s="1037"/>
      <c r="F873" s="1037"/>
      <c r="G873" s="1037"/>
      <c r="H873" s="1037"/>
      <c r="I873" s="1037"/>
      <c r="J873" s="1038"/>
    </row>
    <row r="874">
      <c r="A874" s="1037"/>
      <c r="B874" s="1037"/>
      <c r="C874" s="1037"/>
      <c r="D874" s="1037"/>
      <c r="E874" s="1037"/>
      <c r="F874" s="1037"/>
      <c r="G874" s="1037"/>
      <c r="H874" s="1037"/>
      <c r="I874" s="1037"/>
      <c r="J874" s="1038"/>
    </row>
    <row r="875">
      <c r="A875" s="1037"/>
      <c r="B875" s="1037"/>
      <c r="C875" s="1037"/>
      <c r="D875" s="1037"/>
      <c r="E875" s="1037"/>
      <c r="F875" s="1037"/>
      <c r="G875" s="1037"/>
      <c r="H875" s="1037"/>
      <c r="I875" s="1037"/>
      <c r="J875" s="1038"/>
    </row>
    <row r="876">
      <c r="A876" s="1037"/>
      <c r="B876" s="1037"/>
      <c r="C876" s="1037"/>
      <c r="D876" s="1037"/>
      <c r="E876" s="1037"/>
      <c r="F876" s="1037"/>
      <c r="G876" s="1037"/>
      <c r="H876" s="1037"/>
      <c r="I876" s="1037"/>
      <c r="J876" s="1038"/>
    </row>
    <row r="877">
      <c r="A877" s="1037"/>
      <c r="B877" s="1037"/>
      <c r="C877" s="1037"/>
      <c r="D877" s="1037"/>
      <c r="E877" s="1037"/>
      <c r="F877" s="1037"/>
      <c r="G877" s="1037"/>
      <c r="H877" s="1037"/>
      <c r="I877" s="1037"/>
      <c r="J877" s="1038"/>
    </row>
    <row r="878">
      <c r="A878" s="1037"/>
      <c r="B878" s="1037"/>
      <c r="C878" s="1037"/>
      <c r="D878" s="1037"/>
      <c r="E878" s="1037"/>
      <c r="F878" s="1037"/>
      <c r="G878" s="1037"/>
      <c r="H878" s="1037"/>
      <c r="I878" s="1037"/>
      <c r="J878" s="1038"/>
    </row>
    <row r="879">
      <c r="A879" s="1037"/>
      <c r="B879" s="1037"/>
      <c r="C879" s="1037"/>
      <c r="D879" s="1037"/>
      <c r="E879" s="1037"/>
      <c r="F879" s="1037"/>
      <c r="G879" s="1037"/>
      <c r="H879" s="1037"/>
      <c r="I879" s="1037"/>
      <c r="J879" s="1038"/>
    </row>
    <row r="880">
      <c r="A880" s="1037"/>
      <c r="B880" s="1037"/>
      <c r="C880" s="1037"/>
      <c r="D880" s="1037"/>
      <c r="E880" s="1037"/>
      <c r="F880" s="1037"/>
      <c r="G880" s="1037"/>
      <c r="H880" s="1037"/>
      <c r="I880" s="1037"/>
      <c r="J880" s="1038"/>
    </row>
    <row r="881">
      <c r="A881" s="1037"/>
      <c r="B881" s="1037"/>
      <c r="C881" s="1037"/>
      <c r="D881" s="1037"/>
      <c r="E881" s="1037"/>
      <c r="F881" s="1037"/>
      <c r="G881" s="1037"/>
      <c r="H881" s="1037"/>
      <c r="I881" s="1037"/>
      <c r="J881" s="1038"/>
    </row>
    <row r="882">
      <c r="A882" s="1037"/>
      <c r="B882" s="1037"/>
      <c r="C882" s="1037"/>
      <c r="D882" s="1037"/>
      <c r="E882" s="1037"/>
      <c r="F882" s="1037"/>
      <c r="G882" s="1037"/>
      <c r="H882" s="1037"/>
      <c r="I882" s="1037"/>
      <c r="J882" s="1038"/>
    </row>
    <row r="883">
      <c r="A883" s="1037"/>
      <c r="B883" s="1037"/>
      <c r="C883" s="1037"/>
      <c r="D883" s="1037"/>
      <c r="E883" s="1037"/>
      <c r="F883" s="1037"/>
      <c r="G883" s="1037"/>
      <c r="H883" s="1037"/>
      <c r="I883" s="1037"/>
      <c r="J883" s="1038"/>
    </row>
    <row r="884">
      <c r="A884" s="1037"/>
      <c r="B884" s="1037"/>
      <c r="C884" s="1037"/>
      <c r="D884" s="1037"/>
      <c r="E884" s="1037"/>
      <c r="F884" s="1037"/>
      <c r="G884" s="1037"/>
      <c r="H884" s="1037"/>
      <c r="I884" s="1037"/>
      <c r="J884" s="1038"/>
    </row>
    <row r="885">
      <c r="A885" s="1037"/>
      <c r="B885" s="1037"/>
      <c r="C885" s="1037"/>
      <c r="D885" s="1037"/>
      <c r="E885" s="1037"/>
      <c r="F885" s="1037"/>
      <c r="G885" s="1037"/>
      <c r="H885" s="1037"/>
      <c r="I885" s="1037"/>
      <c r="J885" s="1038"/>
    </row>
    <row r="886">
      <c r="A886" s="1037"/>
      <c r="B886" s="1037"/>
      <c r="C886" s="1037"/>
      <c r="D886" s="1037"/>
      <c r="E886" s="1037"/>
      <c r="F886" s="1037"/>
      <c r="G886" s="1037"/>
      <c r="H886" s="1037"/>
      <c r="I886" s="1037"/>
      <c r="J886" s="1038"/>
    </row>
    <row r="887">
      <c r="A887" s="1037"/>
      <c r="B887" s="1037"/>
      <c r="C887" s="1037"/>
      <c r="D887" s="1037"/>
      <c r="E887" s="1037"/>
      <c r="F887" s="1037"/>
      <c r="G887" s="1037"/>
      <c r="H887" s="1037"/>
      <c r="I887" s="1037"/>
      <c r="J887" s="1038"/>
    </row>
    <row r="888">
      <c r="A888" s="1037"/>
      <c r="B888" s="1037"/>
      <c r="C888" s="1037"/>
      <c r="D888" s="1037"/>
      <c r="E888" s="1037"/>
      <c r="F888" s="1037"/>
      <c r="G888" s="1037"/>
      <c r="H888" s="1037"/>
      <c r="I888" s="1037"/>
      <c r="J888" s="1038"/>
    </row>
    <row r="889">
      <c r="A889" s="1037"/>
      <c r="B889" s="1037"/>
      <c r="C889" s="1037"/>
      <c r="D889" s="1037"/>
      <c r="E889" s="1037"/>
      <c r="F889" s="1037"/>
      <c r="G889" s="1037"/>
      <c r="H889" s="1037"/>
      <c r="I889" s="1037"/>
      <c r="J889" s="1038"/>
    </row>
    <row r="890">
      <c r="A890" s="1037"/>
      <c r="B890" s="1037"/>
      <c r="C890" s="1037"/>
      <c r="D890" s="1037"/>
      <c r="E890" s="1037"/>
      <c r="F890" s="1037"/>
      <c r="G890" s="1037"/>
      <c r="H890" s="1037"/>
      <c r="I890" s="1037"/>
      <c r="J890" s="1038"/>
    </row>
    <row r="891">
      <c r="A891" s="1037"/>
      <c r="B891" s="1037"/>
      <c r="C891" s="1037"/>
      <c r="D891" s="1037"/>
      <c r="E891" s="1037"/>
      <c r="F891" s="1037"/>
      <c r="G891" s="1037"/>
      <c r="H891" s="1037"/>
      <c r="I891" s="1037"/>
      <c r="J891" s="1038"/>
    </row>
    <row r="892">
      <c r="A892" s="1037"/>
      <c r="B892" s="1037"/>
      <c r="C892" s="1037"/>
      <c r="D892" s="1037"/>
      <c r="E892" s="1037"/>
      <c r="F892" s="1037"/>
      <c r="G892" s="1037"/>
      <c r="H892" s="1037"/>
      <c r="I892" s="1037"/>
      <c r="J892" s="1038"/>
    </row>
    <row r="893">
      <c r="A893" s="1037"/>
      <c r="B893" s="1037"/>
      <c r="C893" s="1037"/>
      <c r="D893" s="1037"/>
      <c r="E893" s="1037"/>
      <c r="F893" s="1037"/>
      <c r="G893" s="1037"/>
      <c r="H893" s="1037"/>
      <c r="I893" s="1037"/>
      <c r="J893" s="1038"/>
    </row>
    <row r="894">
      <c r="A894" s="1037"/>
      <c r="B894" s="1037"/>
      <c r="C894" s="1037"/>
      <c r="D894" s="1037"/>
      <c r="E894" s="1037"/>
      <c r="F894" s="1037"/>
      <c r="G894" s="1037"/>
      <c r="H894" s="1037"/>
      <c r="I894" s="1037"/>
      <c r="J894" s="1038"/>
    </row>
    <row r="895">
      <c r="A895" s="1037"/>
      <c r="B895" s="1037"/>
      <c r="C895" s="1037"/>
      <c r="D895" s="1037"/>
      <c r="E895" s="1037"/>
      <c r="F895" s="1037"/>
      <c r="G895" s="1037"/>
      <c r="H895" s="1037"/>
      <c r="I895" s="1037"/>
      <c r="J895" s="1038"/>
    </row>
    <row r="896">
      <c r="A896" s="1037"/>
      <c r="B896" s="1037"/>
      <c r="C896" s="1037"/>
      <c r="D896" s="1037"/>
      <c r="E896" s="1037"/>
      <c r="F896" s="1037"/>
      <c r="G896" s="1037"/>
      <c r="H896" s="1037"/>
      <c r="I896" s="1037"/>
      <c r="J896" s="1038"/>
    </row>
    <row r="897">
      <c r="A897" s="1037"/>
      <c r="B897" s="1037"/>
      <c r="C897" s="1037"/>
      <c r="D897" s="1037"/>
      <c r="E897" s="1037"/>
      <c r="F897" s="1037"/>
      <c r="G897" s="1037"/>
      <c r="H897" s="1037"/>
      <c r="I897" s="1037"/>
      <c r="J897" s="1038"/>
    </row>
    <row r="898">
      <c r="A898" s="1037"/>
      <c r="B898" s="1037"/>
      <c r="C898" s="1037"/>
      <c r="D898" s="1037"/>
      <c r="E898" s="1037"/>
      <c r="F898" s="1037"/>
      <c r="G898" s="1037"/>
      <c r="H898" s="1037"/>
      <c r="I898" s="1037"/>
      <c r="J898" s="1038"/>
    </row>
    <row r="899">
      <c r="A899" s="1037"/>
      <c r="B899" s="1037"/>
      <c r="C899" s="1037"/>
      <c r="D899" s="1037"/>
      <c r="E899" s="1037"/>
      <c r="F899" s="1037"/>
      <c r="G899" s="1037"/>
      <c r="H899" s="1037"/>
      <c r="I899" s="1037"/>
      <c r="J899" s="1038"/>
    </row>
    <row r="900">
      <c r="A900" s="1037"/>
      <c r="B900" s="1037"/>
      <c r="C900" s="1037"/>
      <c r="D900" s="1037"/>
      <c r="E900" s="1037"/>
      <c r="F900" s="1037"/>
      <c r="G900" s="1037"/>
      <c r="H900" s="1037"/>
      <c r="I900" s="1037"/>
      <c r="J900" s="1038"/>
    </row>
    <row r="901">
      <c r="A901" s="1037"/>
      <c r="B901" s="1037"/>
      <c r="C901" s="1037"/>
      <c r="D901" s="1037"/>
      <c r="E901" s="1037"/>
      <c r="F901" s="1037"/>
      <c r="G901" s="1037"/>
      <c r="H901" s="1037"/>
      <c r="I901" s="1037"/>
      <c r="J901" s="1038"/>
    </row>
    <row r="902">
      <c r="A902" s="1037"/>
      <c r="B902" s="1037"/>
      <c r="C902" s="1037"/>
      <c r="D902" s="1037"/>
      <c r="E902" s="1037"/>
      <c r="F902" s="1037"/>
      <c r="G902" s="1037"/>
      <c r="H902" s="1037"/>
      <c r="I902" s="1037"/>
      <c r="J902" s="1038"/>
    </row>
    <row r="903">
      <c r="A903" s="1037"/>
      <c r="B903" s="1037"/>
      <c r="C903" s="1037"/>
      <c r="D903" s="1037"/>
      <c r="E903" s="1037"/>
      <c r="F903" s="1037"/>
      <c r="G903" s="1037"/>
      <c r="H903" s="1037"/>
      <c r="I903" s="1037"/>
      <c r="J903" s="1038"/>
    </row>
    <row r="904">
      <c r="A904" s="1037"/>
      <c r="B904" s="1037"/>
      <c r="C904" s="1037"/>
      <c r="D904" s="1037"/>
      <c r="E904" s="1037"/>
      <c r="F904" s="1037"/>
      <c r="G904" s="1037"/>
      <c r="H904" s="1037"/>
      <c r="I904" s="1037"/>
      <c r="J904" s="1038"/>
    </row>
    <row r="905">
      <c r="A905" s="1037"/>
      <c r="B905" s="1037"/>
      <c r="C905" s="1037"/>
      <c r="D905" s="1037"/>
      <c r="E905" s="1037"/>
      <c r="F905" s="1037"/>
      <c r="G905" s="1037"/>
      <c r="H905" s="1037"/>
      <c r="I905" s="1037"/>
      <c r="J905" s="1038"/>
    </row>
    <row r="906">
      <c r="A906" s="1037"/>
      <c r="B906" s="1037"/>
      <c r="C906" s="1037"/>
      <c r="D906" s="1037"/>
      <c r="E906" s="1037"/>
      <c r="F906" s="1037"/>
      <c r="G906" s="1037"/>
      <c r="H906" s="1037"/>
      <c r="I906" s="1037"/>
      <c r="J906" s="1038"/>
    </row>
    <row r="907">
      <c r="A907" s="1037"/>
      <c r="B907" s="1037"/>
      <c r="C907" s="1037"/>
      <c r="D907" s="1037"/>
      <c r="E907" s="1037"/>
      <c r="F907" s="1037"/>
      <c r="G907" s="1037"/>
      <c r="H907" s="1037"/>
      <c r="I907" s="1037"/>
      <c r="J907" s="1038"/>
    </row>
    <row r="908">
      <c r="A908" s="1037"/>
      <c r="B908" s="1037"/>
      <c r="C908" s="1037"/>
      <c r="D908" s="1037"/>
      <c r="E908" s="1037"/>
      <c r="F908" s="1037"/>
      <c r="G908" s="1037"/>
      <c r="H908" s="1037"/>
      <c r="I908" s="1037"/>
      <c r="J908" s="1038"/>
    </row>
    <row r="909">
      <c r="A909" s="1037"/>
      <c r="B909" s="1037"/>
      <c r="C909" s="1037"/>
      <c r="D909" s="1037"/>
      <c r="E909" s="1037"/>
      <c r="F909" s="1037"/>
      <c r="G909" s="1037"/>
      <c r="H909" s="1037"/>
      <c r="I909" s="1037"/>
      <c r="J909" s="1038"/>
    </row>
    <row r="910">
      <c r="A910" s="1037"/>
      <c r="B910" s="1037"/>
      <c r="C910" s="1037"/>
      <c r="D910" s="1037"/>
      <c r="E910" s="1037"/>
      <c r="F910" s="1037"/>
      <c r="G910" s="1037"/>
      <c r="H910" s="1037"/>
      <c r="I910" s="1037"/>
      <c r="J910" s="1038"/>
    </row>
    <row r="911">
      <c r="A911" s="1037"/>
      <c r="B911" s="1037"/>
      <c r="C911" s="1037"/>
      <c r="D911" s="1037"/>
      <c r="E911" s="1037"/>
      <c r="F911" s="1037"/>
      <c r="G911" s="1037"/>
      <c r="H911" s="1037"/>
      <c r="I911" s="1037"/>
      <c r="J911" s="1038"/>
    </row>
    <row r="912">
      <c r="A912" s="1037"/>
      <c r="B912" s="1037"/>
      <c r="C912" s="1037"/>
      <c r="D912" s="1037"/>
      <c r="E912" s="1037"/>
      <c r="F912" s="1037"/>
      <c r="G912" s="1037"/>
      <c r="H912" s="1037"/>
      <c r="I912" s="1037"/>
      <c r="J912" s="1038"/>
    </row>
    <row r="913">
      <c r="A913" s="1037"/>
      <c r="B913" s="1037"/>
      <c r="C913" s="1037"/>
      <c r="D913" s="1037"/>
      <c r="E913" s="1037"/>
      <c r="F913" s="1037"/>
      <c r="G913" s="1037"/>
      <c r="H913" s="1037"/>
      <c r="I913" s="1037"/>
      <c r="J913" s="1038"/>
    </row>
    <row r="914">
      <c r="A914" s="1037"/>
      <c r="B914" s="1037"/>
      <c r="C914" s="1037"/>
      <c r="D914" s="1037"/>
      <c r="E914" s="1037"/>
      <c r="F914" s="1037"/>
      <c r="G914" s="1037"/>
      <c r="H914" s="1037"/>
      <c r="I914" s="1037"/>
      <c r="J914" s="1038"/>
    </row>
    <row r="915">
      <c r="A915" s="1037"/>
      <c r="B915" s="1037"/>
      <c r="C915" s="1037"/>
      <c r="D915" s="1037"/>
      <c r="E915" s="1037"/>
      <c r="F915" s="1037"/>
      <c r="G915" s="1037"/>
      <c r="H915" s="1037"/>
      <c r="I915" s="1037"/>
      <c r="J915" s="1038"/>
    </row>
    <row r="916">
      <c r="A916" s="1037"/>
      <c r="B916" s="1037"/>
      <c r="C916" s="1037"/>
      <c r="D916" s="1037"/>
      <c r="E916" s="1037"/>
      <c r="F916" s="1037"/>
      <c r="G916" s="1037"/>
      <c r="H916" s="1037"/>
      <c r="I916" s="1037"/>
      <c r="J916" s="1038"/>
    </row>
    <row r="917">
      <c r="A917" s="1037"/>
      <c r="B917" s="1037"/>
      <c r="C917" s="1037"/>
      <c r="D917" s="1037"/>
      <c r="E917" s="1037"/>
      <c r="F917" s="1037"/>
      <c r="G917" s="1037"/>
      <c r="H917" s="1037"/>
      <c r="I917" s="1037"/>
      <c r="J917" s="1038"/>
    </row>
    <row r="918">
      <c r="A918" s="1037"/>
      <c r="B918" s="1037"/>
      <c r="C918" s="1037"/>
      <c r="D918" s="1037"/>
      <c r="E918" s="1037"/>
      <c r="F918" s="1037"/>
      <c r="G918" s="1037"/>
      <c r="H918" s="1037"/>
      <c r="I918" s="1037"/>
      <c r="J918" s="1038"/>
    </row>
    <row r="919">
      <c r="A919" s="1037"/>
      <c r="B919" s="1037"/>
      <c r="C919" s="1037"/>
      <c r="D919" s="1037"/>
      <c r="E919" s="1037"/>
      <c r="F919" s="1037"/>
      <c r="G919" s="1037"/>
      <c r="H919" s="1037"/>
      <c r="I919" s="1037"/>
      <c r="J919" s="1038"/>
    </row>
    <row r="920">
      <c r="A920" s="1037"/>
      <c r="B920" s="1037"/>
      <c r="C920" s="1037"/>
      <c r="D920" s="1037"/>
      <c r="E920" s="1037"/>
      <c r="F920" s="1037"/>
      <c r="G920" s="1037"/>
      <c r="H920" s="1037"/>
      <c r="I920" s="1037"/>
      <c r="J920" s="1038"/>
    </row>
    <row r="921">
      <c r="A921" s="1037"/>
      <c r="B921" s="1037"/>
      <c r="C921" s="1037"/>
      <c r="D921" s="1037"/>
      <c r="E921" s="1037"/>
      <c r="F921" s="1037"/>
      <c r="G921" s="1037"/>
      <c r="H921" s="1037"/>
      <c r="I921" s="1037"/>
      <c r="J921" s="1038"/>
    </row>
    <row r="922">
      <c r="A922" s="1037"/>
      <c r="B922" s="1037"/>
      <c r="C922" s="1037"/>
      <c r="D922" s="1037"/>
      <c r="E922" s="1037"/>
      <c r="F922" s="1037"/>
      <c r="G922" s="1037"/>
      <c r="H922" s="1037"/>
      <c r="I922" s="1037"/>
      <c r="J922" s="1038"/>
    </row>
    <row r="923">
      <c r="A923" s="1037"/>
      <c r="B923" s="1037"/>
      <c r="C923" s="1037"/>
      <c r="D923" s="1037"/>
      <c r="E923" s="1037"/>
      <c r="F923" s="1037"/>
      <c r="G923" s="1037"/>
      <c r="H923" s="1037"/>
      <c r="I923" s="1037"/>
      <c r="J923" s="1038"/>
    </row>
    <row r="924">
      <c r="A924" s="1037"/>
      <c r="B924" s="1037"/>
      <c r="C924" s="1037"/>
      <c r="D924" s="1037"/>
      <c r="E924" s="1037"/>
      <c r="F924" s="1037"/>
      <c r="G924" s="1037"/>
      <c r="H924" s="1037"/>
      <c r="I924" s="1037"/>
      <c r="J924" s="1038"/>
    </row>
    <row r="925">
      <c r="A925" s="1037"/>
      <c r="B925" s="1037"/>
      <c r="C925" s="1037"/>
      <c r="D925" s="1037"/>
      <c r="E925" s="1037"/>
      <c r="F925" s="1037"/>
      <c r="G925" s="1037"/>
      <c r="H925" s="1037"/>
      <c r="I925" s="1037"/>
      <c r="J925" s="1038"/>
    </row>
    <row r="926">
      <c r="A926" s="1037"/>
      <c r="B926" s="1037"/>
      <c r="C926" s="1037"/>
      <c r="D926" s="1037"/>
      <c r="E926" s="1037"/>
      <c r="F926" s="1037"/>
      <c r="G926" s="1037"/>
      <c r="H926" s="1037"/>
      <c r="I926" s="1037"/>
      <c r="J926" s="1038"/>
    </row>
    <row r="927">
      <c r="A927" s="1037"/>
      <c r="B927" s="1037"/>
      <c r="C927" s="1037"/>
      <c r="D927" s="1037"/>
      <c r="E927" s="1037"/>
      <c r="F927" s="1037"/>
      <c r="G927" s="1037"/>
      <c r="H927" s="1037"/>
      <c r="I927" s="1037"/>
      <c r="J927" s="1038"/>
    </row>
    <row r="928">
      <c r="A928" s="1037"/>
      <c r="B928" s="1037"/>
      <c r="C928" s="1037"/>
      <c r="D928" s="1037"/>
      <c r="E928" s="1037"/>
      <c r="F928" s="1037"/>
      <c r="G928" s="1037"/>
      <c r="H928" s="1037"/>
      <c r="I928" s="1037"/>
      <c r="J928" s="1038"/>
    </row>
    <row r="929">
      <c r="A929" s="1037"/>
      <c r="B929" s="1037"/>
      <c r="C929" s="1037"/>
      <c r="D929" s="1037"/>
      <c r="E929" s="1037"/>
      <c r="F929" s="1037"/>
      <c r="G929" s="1037"/>
      <c r="H929" s="1037"/>
      <c r="I929" s="1037"/>
      <c r="J929" s="1038"/>
    </row>
    <row r="930">
      <c r="A930" s="1037"/>
      <c r="B930" s="1037"/>
      <c r="C930" s="1037"/>
      <c r="D930" s="1037"/>
      <c r="E930" s="1037"/>
      <c r="F930" s="1037"/>
      <c r="G930" s="1037"/>
      <c r="H930" s="1037"/>
      <c r="I930" s="1037"/>
      <c r="J930" s="1038"/>
    </row>
    <row r="931">
      <c r="A931" s="1037"/>
      <c r="B931" s="1037"/>
      <c r="C931" s="1037"/>
      <c r="D931" s="1037"/>
      <c r="E931" s="1037"/>
      <c r="F931" s="1037"/>
      <c r="G931" s="1037"/>
      <c r="H931" s="1037"/>
      <c r="I931" s="1037"/>
      <c r="J931" s="1038"/>
    </row>
    <row r="932">
      <c r="A932" s="1037"/>
      <c r="B932" s="1037"/>
      <c r="C932" s="1037"/>
      <c r="D932" s="1037"/>
      <c r="E932" s="1037"/>
      <c r="F932" s="1037"/>
      <c r="G932" s="1037"/>
      <c r="H932" s="1037"/>
      <c r="I932" s="1037"/>
      <c r="J932" s="1038"/>
    </row>
    <row r="933">
      <c r="A933" s="1037"/>
      <c r="B933" s="1037"/>
      <c r="C933" s="1037"/>
      <c r="D933" s="1037"/>
      <c r="E933" s="1037"/>
      <c r="F933" s="1037"/>
      <c r="G933" s="1037"/>
      <c r="H933" s="1037"/>
      <c r="I933" s="1037"/>
      <c r="J933" s="1038"/>
    </row>
    <row r="934">
      <c r="A934" s="1037"/>
      <c r="B934" s="1037"/>
      <c r="C934" s="1037"/>
      <c r="D934" s="1037"/>
      <c r="E934" s="1037"/>
      <c r="F934" s="1037"/>
      <c r="G934" s="1037"/>
      <c r="H934" s="1037"/>
      <c r="I934" s="1037"/>
      <c r="J934" s="1038"/>
    </row>
    <row r="935">
      <c r="A935" s="1037"/>
      <c r="B935" s="1037"/>
      <c r="C935" s="1037"/>
      <c r="D935" s="1037"/>
      <c r="E935" s="1037"/>
      <c r="F935" s="1037"/>
      <c r="G935" s="1037"/>
      <c r="H935" s="1037"/>
      <c r="I935" s="1037"/>
      <c r="J935" s="1038"/>
    </row>
    <row r="936">
      <c r="A936" s="1037"/>
      <c r="B936" s="1037"/>
      <c r="C936" s="1037"/>
      <c r="D936" s="1037"/>
      <c r="E936" s="1037"/>
      <c r="F936" s="1037"/>
      <c r="G936" s="1037"/>
      <c r="H936" s="1037"/>
      <c r="I936" s="1037"/>
      <c r="J936" s="1038"/>
    </row>
    <row r="937">
      <c r="A937" s="1037"/>
      <c r="B937" s="1037"/>
      <c r="C937" s="1037"/>
      <c r="D937" s="1037"/>
      <c r="E937" s="1037"/>
      <c r="F937" s="1037"/>
      <c r="G937" s="1037"/>
      <c r="H937" s="1037"/>
      <c r="I937" s="1037"/>
      <c r="J937" s="1038"/>
    </row>
    <row r="938">
      <c r="A938" s="1037"/>
      <c r="B938" s="1037"/>
      <c r="C938" s="1037"/>
      <c r="D938" s="1037"/>
      <c r="E938" s="1037"/>
      <c r="F938" s="1037"/>
      <c r="G938" s="1037"/>
      <c r="H938" s="1037"/>
      <c r="I938" s="1037"/>
      <c r="J938" s="1038"/>
    </row>
    <row r="939">
      <c r="A939" s="1037"/>
      <c r="B939" s="1037"/>
      <c r="C939" s="1037"/>
      <c r="D939" s="1037"/>
      <c r="E939" s="1037"/>
      <c r="F939" s="1037"/>
      <c r="G939" s="1037"/>
      <c r="H939" s="1037"/>
      <c r="I939" s="1037"/>
      <c r="J939" s="1038"/>
    </row>
    <row r="940">
      <c r="A940" s="1037"/>
      <c r="B940" s="1037"/>
      <c r="C940" s="1037"/>
      <c r="D940" s="1037"/>
      <c r="E940" s="1037"/>
      <c r="F940" s="1037"/>
      <c r="G940" s="1037"/>
      <c r="H940" s="1037"/>
      <c r="I940" s="1037"/>
      <c r="J940" s="1038"/>
    </row>
    <row r="941">
      <c r="A941" s="1037"/>
      <c r="B941" s="1037"/>
      <c r="C941" s="1037"/>
      <c r="D941" s="1037"/>
      <c r="E941" s="1037"/>
      <c r="F941" s="1037"/>
      <c r="G941" s="1037"/>
      <c r="H941" s="1037"/>
      <c r="I941" s="1037"/>
      <c r="J941" s="1038"/>
    </row>
    <row r="942">
      <c r="A942" s="1037"/>
      <c r="B942" s="1037"/>
      <c r="C942" s="1037"/>
      <c r="D942" s="1037"/>
      <c r="E942" s="1037"/>
      <c r="F942" s="1037"/>
      <c r="G942" s="1037"/>
      <c r="H942" s="1037"/>
      <c r="I942" s="1037"/>
      <c r="J942" s="1038"/>
    </row>
    <row r="943">
      <c r="A943" s="1037"/>
      <c r="B943" s="1037"/>
      <c r="C943" s="1037"/>
      <c r="D943" s="1037"/>
      <c r="E943" s="1037"/>
      <c r="F943" s="1037"/>
      <c r="G943" s="1037"/>
      <c r="H943" s="1037"/>
      <c r="I943" s="1037"/>
      <c r="J943" s="1038"/>
    </row>
    <row r="944">
      <c r="A944" s="1037"/>
      <c r="B944" s="1037"/>
      <c r="C944" s="1037"/>
      <c r="D944" s="1037"/>
      <c r="E944" s="1037"/>
      <c r="F944" s="1037"/>
      <c r="G944" s="1037"/>
      <c r="H944" s="1037"/>
      <c r="I944" s="1037"/>
      <c r="J944" s="1038"/>
    </row>
    <row r="945">
      <c r="A945" s="1037"/>
      <c r="B945" s="1037"/>
      <c r="C945" s="1037"/>
      <c r="D945" s="1037"/>
      <c r="E945" s="1037"/>
      <c r="F945" s="1037"/>
      <c r="G945" s="1037"/>
      <c r="H945" s="1037"/>
      <c r="I945" s="1037"/>
      <c r="J945" s="1038"/>
    </row>
    <row r="946">
      <c r="A946" s="1037"/>
      <c r="B946" s="1037"/>
      <c r="C946" s="1037"/>
      <c r="D946" s="1037"/>
      <c r="E946" s="1037"/>
      <c r="F946" s="1037"/>
      <c r="G946" s="1037"/>
      <c r="H946" s="1037"/>
      <c r="I946" s="1037"/>
      <c r="J946" s="1038"/>
    </row>
    <row r="947">
      <c r="A947" s="1037"/>
      <c r="B947" s="1037"/>
      <c r="C947" s="1037"/>
      <c r="D947" s="1037"/>
      <c r="E947" s="1037"/>
      <c r="F947" s="1037"/>
      <c r="G947" s="1037"/>
      <c r="H947" s="1037"/>
      <c r="I947" s="1037"/>
      <c r="J947" s="1038"/>
    </row>
    <row r="948">
      <c r="A948" s="1037"/>
      <c r="B948" s="1037"/>
      <c r="C948" s="1037"/>
      <c r="D948" s="1037"/>
      <c r="E948" s="1037"/>
      <c r="F948" s="1037"/>
      <c r="G948" s="1037"/>
      <c r="H948" s="1037"/>
      <c r="I948" s="1037"/>
      <c r="J948" s="1038"/>
    </row>
    <row r="949">
      <c r="A949" s="1037"/>
      <c r="B949" s="1037"/>
      <c r="C949" s="1037"/>
      <c r="D949" s="1037"/>
      <c r="E949" s="1037"/>
      <c r="F949" s="1037"/>
      <c r="G949" s="1037"/>
      <c r="H949" s="1037"/>
      <c r="I949" s="1037"/>
      <c r="J949" s="1038"/>
    </row>
    <row r="950">
      <c r="A950" s="1037"/>
      <c r="B950" s="1037"/>
      <c r="C950" s="1037"/>
      <c r="D950" s="1037"/>
      <c r="E950" s="1037"/>
      <c r="F950" s="1037"/>
      <c r="G950" s="1037"/>
      <c r="H950" s="1037"/>
      <c r="I950" s="1037"/>
      <c r="J950" s="1038"/>
    </row>
    <row r="951">
      <c r="A951" s="1037"/>
      <c r="B951" s="1037"/>
      <c r="C951" s="1037"/>
      <c r="D951" s="1037"/>
      <c r="E951" s="1037"/>
      <c r="F951" s="1037"/>
      <c r="G951" s="1037"/>
      <c r="H951" s="1037"/>
      <c r="I951" s="1037"/>
      <c r="J951" s="1038"/>
    </row>
    <row r="952">
      <c r="A952" s="1037"/>
      <c r="B952" s="1037"/>
      <c r="C952" s="1037"/>
      <c r="D952" s="1037"/>
      <c r="E952" s="1037"/>
      <c r="F952" s="1037"/>
      <c r="G952" s="1037"/>
      <c r="H952" s="1037"/>
      <c r="I952" s="1037"/>
      <c r="J952" s="1038"/>
    </row>
    <row r="953">
      <c r="A953" s="1037"/>
      <c r="B953" s="1037"/>
      <c r="C953" s="1037"/>
      <c r="D953" s="1037"/>
      <c r="E953" s="1037"/>
      <c r="F953" s="1037"/>
      <c r="G953" s="1037"/>
      <c r="H953" s="1037"/>
      <c r="I953" s="1037"/>
      <c r="J953" s="1038"/>
    </row>
    <row r="954">
      <c r="A954" s="1037"/>
      <c r="B954" s="1037"/>
      <c r="C954" s="1037"/>
      <c r="D954" s="1037"/>
      <c r="E954" s="1037"/>
      <c r="F954" s="1037"/>
      <c r="G954" s="1037"/>
      <c r="H954" s="1037"/>
      <c r="I954" s="1037"/>
      <c r="J954" s="1038"/>
    </row>
    <row r="955">
      <c r="A955" s="1037"/>
      <c r="B955" s="1037"/>
      <c r="C955" s="1037"/>
      <c r="D955" s="1037"/>
      <c r="E955" s="1037"/>
      <c r="F955" s="1037"/>
      <c r="G955" s="1037"/>
      <c r="H955" s="1037"/>
      <c r="I955" s="1037"/>
      <c r="J955" s="1038"/>
    </row>
    <row r="956">
      <c r="A956" s="1037"/>
      <c r="B956" s="1037"/>
      <c r="C956" s="1037"/>
      <c r="D956" s="1037"/>
      <c r="E956" s="1037"/>
      <c r="F956" s="1037"/>
      <c r="G956" s="1037"/>
      <c r="H956" s="1037"/>
      <c r="I956" s="1037"/>
      <c r="J956" s="1038"/>
    </row>
    <row r="957">
      <c r="A957" s="1037"/>
      <c r="B957" s="1037"/>
      <c r="C957" s="1037"/>
      <c r="D957" s="1037"/>
      <c r="E957" s="1037"/>
      <c r="F957" s="1037"/>
      <c r="G957" s="1037"/>
      <c r="H957" s="1037"/>
      <c r="I957" s="1037"/>
      <c r="J957" s="1038"/>
    </row>
    <row r="958">
      <c r="A958" s="1037"/>
      <c r="B958" s="1037"/>
      <c r="C958" s="1037"/>
      <c r="D958" s="1037"/>
      <c r="E958" s="1037"/>
      <c r="F958" s="1037"/>
      <c r="G958" s="1037"/>
      <c r="H958" s="1037"/>
      <c r="I958" s="1037"/>
      <c r="J958" s="1038"/>
    </row>
    <row r="959">
      <c r="A959" s="1037"/>
      <c r="B959" s="1037"/>
      <c r="C959" s="1037"/>
      <c r="D959" s="1037"/>
      <c r="E959" s="1037"/>
      <c r="F959" s="1037"/>
      <c r="G959" s="1037"/>
      <c r="H959" s="1037"/>
      <c r="I959" s="1037"/>
      <c r="J959" s="1038"/>
    </row>
    <row r="960">
      <c r="A960" s="1037"/>
      <c r="B960" s="1037"/>
      <c r="C960" s="1037"/>
      <c r="D960" s="1037"/>
      <c r="E960" s="1037"/>
      <c r="F960" s="1037"/>
      <c r="G960" s="1037"/>
      <c r="H960" s="1037"/>
      <c r="I960" s="1037"/>
      <c r="J960" s="1038"/>
    </row>
    <row r="961">
      <c r="A961" s="1037"/>
      <c r="B961" s="1037"/>
      <c r="C961" s="1037"/>
      <c r="D961" s="1037"/>
      <c r="E961" s="1037"/>
      <c r="F961" s="1037"/>
      <c r="G961" s="1037"/>
      <c r="H961" s="1037"/>
      <c r="I961" s="1037"/>
      <c r="J961" s="1038"/>
    </row>
    <row r="962">
      <c r="A962" s="1037"/>
      <c r="B962" s="1037"/>
      <c r="C962" s="1037"/>
      <c r="D962" s="1037"/>
      <c r="E962" s="1037"/>
      <c r="F962" s="1037"/>
      <c r="G962" s="1037"/>
      <c r="H962" s="1037"/>
      <c r="I962" s="1037"/>
      <c r="J962" s="1038"/>
    </row>
    <row r="963">
      <c r="A963" s="1037"/>
      <c r="B963" s="1037"/>
      <c r="C963" s="1037"/>
      <c r="D963" s="1037"/>
      <c r="E963" s="1037"/>
      <c r="F963" s="1037"/>
      <c r="G963" s="1037"/>
      <c r="H963" s="1037"/>
      <c r="I963" s="1037"/>
      <c r="J963" s="1038"/>
    </row>
    <row r="964">
      <c r="A964" s="1037"/>
      <c r="B964" s="1037"/>
      <c r="C964" s="1037"/>
      <c r="D964" s="1037"/>
      <c r="E964" s="1037"/>
      <c r="F964" s="1037"/>
      <c r="G964" s="1037"/>
      <c r="H964" s="1037"/>
      <c r="I964" s="1037"/>
      <c r="J964" s="1038"/>
    </row>
    <row r="965">
      <c r="A965" s="1037"/>
      <c r="B965" s="1037"/>
      <c r="C965" s="1037"/>
      <c r="D965" s="1037"/>
      <c r="E965" s="1037"/>
      <c r="F965" s="1037"/>
      <c r="G965" s="1037"/>
      <c r="H965" s="1037"/>
      <c r="I965" s="1037"/>
      <c r="J965" s="1038"/>
    </row>
    <row r="966">
      <c r="A966" s="1037"/>
      <c r="B966" s="1037"/>
      <c r="C966" s="1037"/>
      <c r="D966" s="1037"/>
      <c r="E966" s="1037"/>
      <c r="F966" s="1037"/>
      <c r="G966" s="1037"/>
      <c r="H966" s="1037"/>
      <c r="I966" s="1037"/>
      <c r="J966" s="1038"/>
    </row>
    <row r="967">
      <c r="A967" s="1037"/>
      <c r="B967" s="1037"/>
      <c r="C967" s="1037"/>
      <c r="D967" s="1037"/>
      <c r="E967" s="1037"/>
      <c r="F967" s="1037"/>
      <c r="G967" s="1037"/>
      <c r="H967" s="1037"/>
      <c r="I967" s="1037"/>
      <c r="J967" s="1038"/>
    </row>
    <row r="968">
      <c r="A968" s="1037"/>
      <c r="B968" s="1037"/>
      <c r="C968" s="1037"/>
      <c r="D968" s="1037"/>
      <c r="E968" s="1037"/>
      <c r="F968" s="1037"/>
      <c r="G968" s="1037"/>
      <c r="H968" s="1037"/>
      <c r="I968" s="1037"/>
      <c r="J968" s="1038"/>
    </row>
    <row r="969">
      <c r="A969" s="1037"/>
      <c r="B969" s="1037"/>
      <c r="C969" s="1037"/>
      <c r="D969" s="1037"/>
      <c r="E969" s="1037"/>
      <c r="F969" s="1037"/>
      <c r="G969" s="1037"/>
      <c r="H969" s="1037"/>
      <c r="I969" s="1037"/>
      <c r="J969" s="1038"/>
    </row>
    <row r="970">
      <c r="A970" s="1037"/>
      <c r="B970" s="1037"/>
      <c r="C970" s="1037"/>
      <c r="D970" s="1037"/>
      <c r="E970" s="1037"/>
      <c r="F970" s="1037"/>
      <c r="G970" s="1037"/>
      <c r="H970" s="1037"/>
      <c r="I970" s="1037"/>
      <c r="J970" s="1038"/>
    </row>
    <row r="971">
      <c r="A971" s="1037"/>
      <c r="B971" s="1037"/>
      <c r="C971" s="1037"/>
      <c r="D971" s="1037"/>
      <c r="E971" s="1037"/>
      <c r="F971" s="1037"/>
      <c r="G971" s="1037"/>
      <c r="H971" s="1037"/>
      <c r="I971" s="1037"/>
      <c r="J971" s="1038"/>
    </row>
    <row r="972">
      <c r="A972" s="1037"/>
      <c r="B972" s="1037"/>
      <c r="C972" s="1037"/>
      <c r="D972" s="1037"/>
      <c r="E972" s="1037"/>
      <c r="F972" s="1037"/>
      <c r="G972" s="1037"/>
      <c r="H972" s="1037"/>
      <c r="I972" s="1037"/>
      <c r="J972" s="1038"/>
    </row>
    <row r="973">
      <c r="A973" s="1037"/>
      <c r="B973" s="1037"/>
      <c r="C973" s="1037"/>
      <c r="D973" s="1037"/>
      <c r="E973" s="1037"/>
      <c r="F973" s="1037"/>
      <c r="G973" s="1037"/>
      <c r="H973" s="1037"/>
      <c r="I973" s="1037"/>
      <c r="J973" s="1038"/>
    </row>
    <row r="974">
      <c r="A974" s="1037"/>
      <c r="B974" s="1037"/>
      <c r="C974" s="1037"/>
      <c r="D974" s="1037"/>
      <c r="E974" s="1037"/>
      <c r="F974" s="1037"/>
      <c r="G974" s="1037"/>
      <c r="H974" s="1037"/>
      <c r="I974" s="1037"/>
      <c r="J974" s="1038"/>
    </row>
    <row r="975">
      <c r="A975" s="1037"/>
      <c r="B975" s="1037"/>
      <c r="C975" s="1037"/>
      <c r="D975" s="1037"/>
      <c r="E975" s="1037"/>
      <c r="F975" s="1037"/>
      <c r="G975" s="1037"/>
      <c r="H975" s="1037"/>
      <c r="I975" s="1037"/>
      <c r="J975" s="1038"/>
    </row>
    <row r="976">
      <c r="A976" s="1037"/>
      <c r="B976" s="1037"/>
      <c r="C976" s="1037"/>
      <c r="D976" s="1037"/>
      <c r="E976" s="1037"/>
      <c r="F976" s="1037"/>
      <c r="G976" s="1037"/>
      <c r="H976" s="1037"/>
      <c r="I976" s="1037"/>
      <c r="J976" s="1038"/>
    </row>
    <row r="977">
      <c r="A977" s="1037"/>
      <c r="B977" s="1037"/>
      <c r="C977" s="1037"/>
      <c r="D977" s="1037"/>
      <c r="E977" s="1037"/>
      <c r="F977" s="1037"/>
      <c r="G977" s="1037"/>
      <c r="H977" s="1037"/>
      <c r="I977" s="1037"/>
      <c r="J977" s="1038"/>
    </row>
    <row r="978">
      <c r="A978" s="1037"/>
      <c r="B978" s="1037"/>
      <c r="C978" s="1037"/>
      <c r="D978" s="1037"/>
      <c r="E978" s="1037"/>
      <c r="F978" s="1037"/>
      <c r="G978" s="1037"/>
      <c r="H978" s="1037"/>
      <c r="I978" s="1037"/>
      <c r="J978" s="1038"/>
    </row>
    <row r="979">
      <c r="A979" s="1037"/>
      <c r="B979" s="1037"/>
      <c r="C979" s="1037"/>
      <c r="D979" s="1037"/>
      <c r="E979" s="1037"/>
      <c r="F979" s="1037"/>
      <c r="G979" s="1037"/>
      <c r="H979" s="1037"/>
      <c r="I979" s="1037"/>
      <c r="J979" s="1038"/>
    </row>
    <row r="980">
      <c r="A980" s="1037"/>
      <c r="B980" s="1037"/>
      <c r="C980" s="1037"/>
      <c r="D980" s="1037"/>
      <c r="E980" s="1037"/>
      <c r="F980" s="1037"/>
      <c r="G980" s="1037"/>
      <c r="H980" s="1037"/>
      <c r="I980" s="1037"/>
      <c r="J980" s="1038"/>
    </row>
    <row r="981">
      <c r="A981" s="1037"/>
      <c r="B981" s="1037"/>
      <c r="C981" s="1037"/>
      <c r="D981" s="1037"/>
      <c r="E981" s="1037"/>
      <c r="F981" s="1037"/>
      <c r="G981" s="1037"/>
      <c r="H981" s="1037"/>
      <c r="I981" s="1037"/>
      <c r="J981" s="1038"/>
    </row>
    <row r="982">
      <c r="A982" s="1037"/>
      <c r="B982" s="1037"/>
      <c r="C982" s="1037"/>
      <c r="D982" s="1037"/>
      <c r="E982" s="1037"/>
      <c r="F982" s="1037"/>
      <c r="G982" s="1037"/>
      <c r="H982" s="1037"/>
      <c r="I982" s="1037"/>
      <c r="J982" s="1038"/>
    </row>
    <row r="983">
      <c r="A983" s="1037"/>
      <c r="B983" s="1037"/>
      <c r="C983" s="1037"/>
      <c r="D983" s="1037"/>
      <c r="E983" s="1037"/>
      <c r="F983" s="1037"/>
      <c r="G983" s="1037"/>
      <c r="H983" s="1037"/>
      <c r="I983" s="1037"/>
      <c r="J983" s="1038"/>
    </row>
    <row r="984">
      <c r="A984" s="1037"/>
      <c r="B984" s="1037"/>
      <c r="C984" s="1037"/>
      <c r="D984" s="1037"/>
      <c r="E984" s="1037"/>
      <c r="F984" s="1037"/>
      <c r="G984" s="1037"/>
      <c r="H984" s="1037"/>
      <c r="I984" s="1037"/>
      <c r="J984" s="1038"/>
    </row>
    <row r="985">
      <c r="A985" s="1037"/>
      <c r="B985" s="1037"/>
      <c r="C985" s="1037"/>
      <c r="D985" s="1037"/>
      <c r="E985" s="1037"/>
      <c r="F985" s="1037"/>
      <c r="G985" s="1037"/>
      <c r="H985" s="1037"/>
      <c r="I985" s="1037"/>
      <c r="J985" s="1038"/>
    </row>
    <row r="986">
      <c r="A986" s="1037"/>
      <c r="B986" s="1037"/>
      <c r="C986" s="1037"/>
      <c r="D986" s="1037"/>
      <c r="E986" s="1037"/>
      <c r="F986" s="1037"/>
      <c r="G986" s="1037"/>
      <c r="H986" s="1037"/>
      <c r="I986" s="1037"/>
      <c r="J986" s="1038"/>
    </row>
    <row r="987">
      <c r="A987" s="1037"/>
      <c r="B987" s="1037"/>
      <c r="C987" s="1037"/>
      <c r="D987" s="1037"/>
      <c r="E987" s="1037"/>
      <c r="F987" s="1037"/>
      <c r="G987" s="1037"/>
      <c r="H987" s="1037"/>
      <c r="I987" s="1037"/>
      <c r="J987" s="1038"/>
    </row>
    <row r="988">
      <c r="A988" s="1037"/>
      <c r="B988" s="1037"/>
      <c r="C988" s="1037"/>
      <c r="D988" s="1037"/>
      <c r="E988" s="1037"/>
      <c r="F988" s="1037"/>
      <c r="G988" s="1037"/>
      <c r="H988" s="1037"/>
      <c r="I988" s="1037"/>
      <c r="J988" s="1038"/>
    </row>
    <row r="989">
      <c r="A989" s="1037"/>
      <c r="B989" s="1037"/>
      <c r="C989" s="1037"/>
      <c r="D989" s="1037"/>
      <c r="E989" s="1037"/>
      <c r="F989" s="1037"/>
      <c r="G989" s="1037"/>
      <c r="H989" s="1037"/>
      <c r="I989" s="1037"/>
      <c r="J989" s="1038"/>
    </row>
    <row r="990">
      <c r="A990" s="1037"/>
      <c r="B990" s="1037"/>
      <c r="C990" s="1037"/>
      <c r="D990" s="1037"/>
      <c r="E990" s="1037"/>
      <c r="F990" s="1037"/>
      <c r="G990" s="1037"/>
      <c r="H990" s="1037"/>
      <c r="I990" s="1037"/>
      <c r="J990" s="1038"/>
    </row>
    <row r="991">
      <c r="A991" s="1037"/>
      <c r="B991" s="1037"/>
      <c r="C991" s="1037"/>
      <c r="D991" s="1037"/>
      <c r="E991" s="1037"/>
      <c r="F991" s="1037"/>
      <c r="G991" s="1037"/>
      <c r="H991" s="1037"/>
      <c r="I991" s="1037"/>
      <c r="J991" s="1038"/>
    </row>
    <row r="992">
      <c r="A992" s="1037"/>
      <c r="B992" s="1037"/>
      <c r="C992" s="1037"/>
      <c r="D992" s="1037"/>
      <c r="E992" s="1037"/>
      <c r="F992" s="1037"/>
      <c r="G992" s="1037"/>
      <c r="H992" s="1037"/>
      <c r="I992" s="1037"/>
      <c r="J992" s="1038"/>
    </row>
    <row r="993">
      <c r="A993" s="1037"/>
      <c r="B993" s="1037"/>
      <c r="C993" s="1037"/>
      <c r="D993" s="1037"/>
      <c r="E993" s="1037"/>
      <c r="F993" s="1037"/>
      <c r="G993" s="1037"/>
      <c r="H993" s="1037"/>
      <c r="I993" s="1037"/>
      <c r="J993" s="1038"/>
    </row>
    <row r="994">
      <c r="A994" s="1037"/>
      <c r="B994" s="1037"/>
      <c r="C994" s="1037"/>
      <c r="D994" s="1037"/>
      <c r="E994" s="1037"/>
      <c r="F994" s="1037"/>
      <c r="G994" s="1037"/>
      <c r="H994" s="1037"/>
      <c r="I994" s="1037"/>
      <c r="J994" s="1038"/>
    </row>
    <row r="995">
      <c r="A995" s="1037"/>
      <c r="B995" s="1037"/>
      <c r="C995" s="1037"/>
      <c r="D995" s="1037"/>
      <c r="E995" s="1037"/>
      <c r="F995" s="1037"/>
      <c r="G995" s="1037"/>
      <c r="H995" s="1037"/>
      <c r="I995" s="1037"/>
      <c r="J995" s="1038"/>
    </row>
    <row r="996">
      <c r="A996" s="1037"/>
      <c r="B996" s="1037"/>
      <c r="C996" s="1037"/>
      <c r="D996" s="1037"/>
      <c r="E996" s="1037"/>
      <c r="F996" s="1037"/>
      <c r="G996" s="1037"/>
      <c r="H996" s="1037"/>
      <c r="I996" s="1037"/>
      <c r="J996" s="1038"/>
    </row>
    <row r="997">
      <c r="A997" s="1037"/>
      <c r="B997" s="1037"/>
      <c r="C997" s="1037"/>
      <c r="D997" s="1037"/>
      <c r="E997" s="1037"/>
      <c r="F997" s="1037"/>
      <c r="G997" s="1037"/>
      <c r="H997" s="1037"/>
      <c r="I997" s="1037"/>
      <c r="J997" s="1038"/>
    </row>
    <row r="998">
      <c r="A998" s="1037"/>
      <c r="B998" s="1037"/>
      <c r="C998" s="1037"/>
      <c r="D998" s="1037"/>
      <c r="E998" s="1037"/>
      <c r="F998" s="1037"/>
      <c r="G998" s="1037"/>
      <c r="H998" s="1037"/>
      <c r="I998" s="1037"/>
      <c r="J998" s="1038"/>
    </row>
    <row r="999">
      <c r="A999" s="1037"/>
      <c r="B999" s="1037"/>
      <c r="C999" s="1037"/>
      <c r="D999" s="1037"/>
      <c r="E999" s="1037"/>
      <c r="F999" s="1037"/>
      <c r="G999" s="1037"/>
      <c r="H999" s="1037"/>
      <c r="I999" s="1037"/>
      <c r="J999" s="1038"/>
    </row>
    <row r="1000">
      <c r="A1000" s="1037"/>
      <c r="B1000" s="1037"/>
      <c r="C1000" s="1037"/>
      <c r="D1000" s="1037"/>
      <c r="E1000" s="1037"/>
      <c r="F1000" s="1037"/>
      <c r="G1000" s="1037"/>
      <c r="H1000" s="1037"/>
      <c r="I1000" s="1037"/>
      <c r="J1000" s="1038"/>
    </row>
    <row r="1001">
      <c r="A1001" s="1037"/>
      <c r="B1001" s="1037"/>
      <c r="C1001" s="1037"/>
      <c r="D1001" s="1037"/>
      <c r="E1001" s="1037"/>
      <c r="F1001" s="1037"/>
      <c r="G1001" s="1037"/>
      <c r="H1001" s="1037"/>
      <c r="I1001" s="1037"/>
      <c r="J1001" s="1038"/>
    </row>
    <row r="1002">
      <c r="A1002" s="1037"/>
      <c r="B1002" s="1037"/>
      <c r="C1002" s="1037"/>
      <c r="D1002" s="1037"/>
      <c r="E1002" s="1037"/>
      <c r="F1002" s="1037"/>
      <c r="G1002" s="1037"/>
      <c r="H1002" s="1037"/>
      <c r="I1002" s="1037"/>
      <c r="J1002" s="1038"/>
    </row>
    <row r="1003">
      <c r="A1003" s="1037"/>
      <c r="B1003" s="1037"/>
      <c r="C1003" s="1037"/>
      <c r="D1003" s="1037"/>
      <c r="E1003" s="1037"/>
      <c r="F1003" s="1037"/>
      <c r="G1003" s="1037"/>
      <c r="H1003" s="1037"/>
      <c r="I1003" s="1037"/>
      <c r="J1003" s="1038"/>
    </row>
    <row r="1004">
      <c r="A1004" s="1037"/>
      <c r="B1004" s="1037"/>
      <c r="C1004" s="1037"/>
      <c r="D1004" s="1037"/>
      <c r="E1004" s="1037"/>
      <c r="F1004" s="1037"/>
      <c r="G1004" s="1037"/>
      <c r="H1004" s="1037"/>
      <c r="I1004" s="1037"/>
      <c r="J1004" s="1038"/>
    </row>
    <row r="1005">
      <c r="A1005" s="1037"/>
      <c r="B1005" s="1037"/>
      <c r="C1005" s="1037"/>
      <c r="D1005" s="1037"/>
      <c r="E1005" s="1037"/>
      <c r="F1005" s="1037"/>
      <c r="G1005" s="1037"/>
      <c r="H1005" s="1037"/>
      <c r="I1005" s="1037"/>
      <c r="J1005" s="1038"/>
    </row>
    <row r="1006">
      <c r="A1006" s="1037"/>
      <c r="B1006" s="1037"/>
      <c r="C1006" s="1037"/>
      <c r="D1006" s="1037"/>
      <c r="E1006" s="1037"/>
      <c r="F1006" s="1037"/>
      <c r="G1006" s="1037"/>
      <c r="H1006" s="1037"/>
      <c r="I1006" s="1037"/>
      <c r="J1006" s="1038"/>
    </row>
    <row r="1007">
      <c r="A1007" s="1037"/>
      <c r="B1007" s="1037"/>
      <c r="C1007" s="1037"/>
      <c r="D1007" s="1037"/>
      <c r="E1007" s="1037"/>
      <c r="F1007" s="1037"/>
      <c r="G1007" s="1037"/>
      <c r="H1007" s="1037"/>
      <c r="I1007" s="1037"/>
      <c r="J1007" s="1038"/>
    </row>
    <row r="1008">
      <c r="A1008" s="1037"/>
      <c r="B1008" s="1037"/>
      <c r="C1008" s="1037"/>
      <c r="D1008" s="1037"/>
      <c r="E1008" s="1037"/>
      <c r="F1008" s="1037"/>
      <c r="G1008" s="1037"/>
      <c r="H1008" s="1037"/>
      <c r="I1008" s="1037"/>
      <c r="J1008" s="1038"/>
    </row>
    <row r="1009">
      <c r="A1009" s="1037"/>
      <c r="B1009" s="1037"/>
      <c r="C1009" s="1037"/>
      <c r="D1009" s="1037"/>
      <c r="E1009" s="1037"/>
      <c r="F1009" s="1037"/>
      <c r="G1009" s="1037"/>
      <c r="H1009" s="1037"/>
      <c r="I1009" s="1037"/>
      <c r="J1009" s="1038"/>
    </row>
    <row r="1010">
      <c r="A1010" s="1037"/>
      <c r="B1010" s="1037"/>
      <c r="C1010" s="1037"/>
      <c r="D1010" s="1037"/>
      <c r="E1010" s="1037"/>
      <c r="F1010" s="1037"/>
      <c r="G1010" s="1037"/>
      <c r="H1010" s="1037"/>
      <c r="I1010" s="1037"/>
      <c r="J1010" s="1038"/>
    </row>
    <row r="1011">
      <c r="A1011" s="1037"/>
      <c r="B1011" s="1037"/>
      <c r="C1011" s="1037"/>
      <c r="D1011" s="1037"/>
      <c r="E1011" s="1037"/>
      <c r="F1011" s="1037"/>
      <c r="G1011" s="1037"/>
      <c r="H1011" s="1037"/>
      <c r="I1011" s="1037"/>
      <c r="J1011" s="1038"/>
    </row>
    <row r="1012">
      <c r="A1012" s="1037"/>
      <c r="B1012" s="1037"/>
      <c r="C1012" s="1037"/>
      <c r="D1012" s="1037"/>
      <c r="E1012" s="1037"/>
      <c r="F1012" s="1037"/>
      <c r="G1012" s="1037"/>
      <c r="H1012" s="1037"/>
      <c r="I1012" s="1037"/>
      <c r="J1012" s="1038"/>
    </row>
    <row r="1013">
      <c r="A1013" s="1037"/>
      <c r="B1013" s="1037"/>
      <c r="C1013" s="1037"/>
      <c r="D1013" s="1037"/>
      <c r="E1013" s="1037"/>
      <c r="F1013" s="1037"/>
      <c r="G1013" s="1037"/>
      <c r="H1013" s="1037"/>
      <c r="I1013" s="1037"/>
      <c r="J1013" s="1038"/>
    </row>
    <row r="1014">
      <c r="A1014" s="1037"/>
      <c r="B1014" s="1037"/>
      <c r="C1014" s="1037"/>
      <c r="D1014" s="1037"/>
      <c r="E1014" s="1037"/>
      <c r="F1014" s="1037"/>
      <c r="G1014" s="1037"/>
      <c r="H1014" s="1037"/>
      <c r="I1014" s="1037"/>
      <c r="J1014" s="1038"/>
    </row>
    <row r="1015">
      <c r="A1015" s="1037"/>
      <c r="B1015" s="1037"/>
      <c r="C1015" s="1037"/>
      <c r="D1015" s="1037"/>
      <c r="E1015" s="1037"/>
      <c r="F1015" s="1037"/>
      <c r="G1015" s="1037"/>
      <c r="H1015" s="1037"/>
      <c r="I1015" s="1037"/>
      <c r="J1015" s="1038"/>
    </row>
    <row r="1016">
      <c r="A1016" s="1037"/>
      <c r="B1016" s="1037"/>
      <c r="C1016" s="1037"/>
      <c r="D1016" s="1037"/>
      <c r="E1016" s="1037"/>
      <c r="F1016" s="1037"/>
      <c r="G1016" s="1037"/>
      <c r="H1016" s="1037"/>
      <c r="I1016" s="1037"/>
      <c r="J1016" s="1038"/>
    </row>
    <row r="1017">
      <c r="A1017" s="1037"/>
      <c r="B1017" s="1037"/>
      <c r="C1017" s="1037"/>
      <c r="D1017" s="1037"/>
      <c r="E1017" s="1037"/>
      <c r="F1017" s="1037"/>
      <c r="G1017" s="1037"/>
      <c r="H1017" s="1037"/>
      <c r="I1017" s="1037"/>
      <c r="J1017" s="1038"/>
    </row>
    <row r="1018">
      <c r="A1018" s="1037"/>
      <c r="B1018" s="1037"/>
      <c r="C1018" s="1037"/>
      <c r="D1018" s="1037"/>
      <c r="E1018" s="1037"/>
      <c r="F1018" s="1037"/>
      <c r="G1018" s="1037"/>
      <c r="H1018" s="1037"/>
      <c r="I1018" s="1037"/>
      <c r="J1018" s="1038"/>
    </row>
    <row r="1019">
      <c r="A1019" s="1037"/>
      <c r="B1019" s="1037"/>
      <c r="C1019" s="1037"/>
      <c r="D1019" s="1037"/>
      <c r="E1019" s="1037"/>
      <c r="F1019" s="1037"/>
      <c r="G1019" s="1037"/>
      <c r="H1019" s="1037"/>
      <c r="I1019" s="1037"/>
      <c r="J1019" s="1038"/>
    </row>
    <row r="1020">
      <c r="A1020" s="1037"/>
      <c r="B1020" s="1037"/>
      <c r="C1020" s="1037"/>
      <c r="D1020" s="1037"/>
      <c r="E1020" s="1037"/>
      <c r="F1020" s="1037"/>
      <c r="G1020" s="1037"/>
      <c r="H1020" s="1037"/>
      <c r="I1020" s="1037"/>
      <c r="J1020" s="1038"/>
    </row>
    <row r="1021">
      <c r="A1021" s="1037"/>
      <c r="B1021" s="1037"/>
      <c r="C1021" s="1037"/>
      <c r="D1021" s="1037"/>
      <c r="E1021" s="1037"/>
      <c r="F1021" s="1037"/>
      <c r="G1021" s="1037"/>
      <c r="H1021" s="1037"/>
      <c r="I1021" s="1037"/>
      <c r="J1021" s="1038"/>
    </row>
    <row r="1022">
      <c r="A1022" s="1037"/>
      <c r="B1022" s="1037"/>
      <c r="C1022" s="1037"/>
      <c r="D1022" s="1037"/>
      <c r="E1022" s="1037"/>
      <c r="F1022" s="1037"/>
      <c r="G1022" s="1037"/>
      <c r="H1022" s="1037"/>
      <c r="I1022" s="1037"/>
      <c r="J1022" s="1038"/>
    </row>
  </sheetData>
  <mergeCells count="1">
    <mergeCell ref="A1:I1"/>
  </mergeCells>
  <dataValidations>
    <dataValidation type="list" allowBlank="1" showErrorMessage="1" sqref="H4:I102">
      <formula1>"No,Optional,Yes"</formula1>
    </dataValidation>
    <dataValidation type="list" allowBlank="1" showErrorMessage="1" sqref="H103:J119">
      <formula1>"No,Optional,Yes"</formula1>
    </dataValidation>
  </dataValidations>
  <printOptions gridLines="1" horizontalCentered="1"/>
  <pageMargins bottom="0.75" footer="0.0" header="0.0" left="0.7" right="0.7" top="0.75"/>
  <pageSetup fitToHeight="0" cellComments="atEnd" orientation="landscape" pageOrder="overThenDown" paperHeight="14in" paperWidth="17i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5"/>
    <col customWidth="1" min="2" max="2" width="45.88"/>
    <col customWidth="1" min="3" max="3" width="43.38"/>
    <col customWidth="1" min="4" max="4" width="41.13"/>
    <col customWidth="1" min="5" max="5" width="41.88"/>
  </cols>
  <sheetData>
    <row r="1">
      <c r="A1" s="972"/>
    </row>
    <row r="3">
      <c r="A3" s="973" t="s">
        <v>6435</v>
      </c>
    </row>
    <row r="4">
      <c r="A4" s="974" t="s">
        <v>6440</v>
      </c>
    </row>
    <row r="6">
      <c r="A6" s="974" t="s">
        <v>6441</v>
      </c>
    </row>
    <row r="7">
      <c r="E7" s="821"/>
    </row>
    <row r="8">
      <c r="E8" s="821"/>
    </row>
    <row r="10" ht="16.5" customHeight="1">
      <c r="A10" s="975" t="s">
        <v>6442</v>
      </c>
      <c r="B10" s="976" t="s">
        <v>6444</v>
      </c>
      <c r="C10" s="976" t="s">
        <v>6444</v>
      </c>
      <c r="D10" s="976" t="s">
        <v>6445</v>
      </c>
      <c r="E10" s="976" t="s">
        <v>6445</v>
      </c>
    </row>
    <row r="11">
      <c r="A11" s="977" t="s">
        <v>6446</v>
      </c>
      <c r="B11" s="652"/>
      <c r="C11" s="652"/>
      <c r="D11" s="652"/>
      <c r="E11" s="607"/>
    </row>
    <row r="12" ht="1.5" customHeight="1">
      <c r="A12" s="979" t="s">
        <v>6449</v>
      </c>
    </row>
    <row r="13" ht="67.5" customHeight="1">
      <c r="A13" s="980"/>
      <c r="B13" s="787" t="s">
        <v>6450</v>
      </c>
      <c r="C13" s="787"/>
      <c r="D13" s="787"/>
      <c r="E13" s="337"/>
    </row>
    <row r="14" ht="67.5" customHeight="1">
      <c r="A14" s="980">
        <v>45732.0</v>
      </c>
      <c r="B14" s="787" t="s">
        <v>424</v>
      </c>
      <c r="C14" s="787"/>
      <c r="D14" s="787"/>
      <c r="E14" s="337"/>
    </row>
    <row r="15" ht="67.5" customHeight="1">
      <c r="A15" s="980">
        <v>45713.0</v>
      </c>
      <c r="B15" s="787" t="s">
        <v>6451</v>
      </c>
      <c r="C15" s="787" t="s">
        <v>1</v>
      </c>
      <c r="D15" s="787" t="s">
        <v>4082</v>
      </c>
      <c r="E15" s="337" t="s">
        <v>6452</v>
      </c>
    </row>
    <row r="16" ht="67.5" customHeight="1">
      <c r="A16" s="980">
        <v>45687.0</v>
      </c>
      <c r="B16" s="787" t="s">
        <v>6453</v>
      </c>
      <c r="C16" s="787" t="s">
        <v>6454</v>
      </c>
      <c r="D16" s="787"/>
      <c r="E16" s="337"/>
    </row>
    <row r="17" ht="67.5" customHeight="1">
      <c r="A17" s="980">
        <v>45684.0</v>
      </c>
      <c r="B17" s="787" t="s">
        <v>6455</v>
      </c>
      <c r="C17" s="787" t="s">
        <v>6456</v>
      </c>
      <c r="D17" s="787"/>
      <c r="E17" s="337"/>
    </row>
    <row r="18" ht="67.5" customHeight="1">
      <c r="A18" s="980">
        <v>45677.0</v>
      </c>
      <c r="B18" s="787" t="s">
        <v>6458</v>
      </c>
      <c r="C18" s="787" t="s">
        <v>6459</v>
      </c>
      <c r="D18" s="787" t="s">
        <v>6460</v>
      </c>
      <c r="E18" s="337" t="s">
        <v>6461</v>
      </c>
    </row>
    <row r="19" ht="67.5" customHeight="1">
      <c r="A19" s="980">
        <v>45674.0</v>
      </c>
      <c r="B19" s="787" t="s">
        <v>6462</v>
      </c>
      <c r="C19" s="787" t="s">
        <v>6463</v>
      </c>
      <c r="D19" s="787"/>
      <c r="E19" s="981"/>
    </row>
    <row r="20" ht="67.5" customHeight="1">
      <c r="A20" s="980"/>
      <c r="B20" s="787" t="s">
        <v>6464</v>
      </c>
      <c r="C20" s="787" t="s">
        <v>6465</v>
      </c>
      <c r="D20" s="787"/>
      <c r="E20" s="981"/>
    </row>
    <row r="21" ht="67.5" customHeight="1">
      <c r="A21" s="980">
        <v>45673.0</v>
      </c>
      <c r="B21" s="787" t="s">
        <v>6466</v>
      </c>
      <c r="C21" s="787" t="s">
        <v>6467</v>
      </c>
      <c r="D21" s="787"/>
      <c r="E21" s="981"/>
    </row>
    <row r="22" ht="67.5" customHeight="1">
      <c r="A22" s="980">
        <v>45670.0</v>
      </c>
      <c r="B22" s="787" t="s">
        <v>6469</v>
      </c>
      <c r="C22" s="787"/>
      <c r="D22" s="787"/>
      <c r="E22" s="981"/>
    </row>
    <row r="23" ht="67.5" customHeight="1">
      <c r="A23" s="980">
        <v>45646.0</v>
      </c>
      <c r="B23" s="787" t="s">
        <v>6470</v>
      </c>
      <c r="C23" s="787"/>
      <c r="D23" s="787"/>
      <c r="E23" s="981"/>
    </row>
    <row r="24" ht="89.25" customHeight="1">
      <c r="A24" s="980">
        <v>45638.0</v>
      </c>
      <c r="B24" s="787" t="s">
        <v>6471</v>
      </c>
      <c r="C24" s="787" t="s">
        <v>6473</v>
      </c>
      <c r="D24" s="787" t="s">
        <v>6474</v>
      </c>
      <c r="E24" s="337" t="s">
        <v>6475</v>
      </c>
    </row>
    <row r="25" ht="67.5" customHeight="1">
      <c r="A25" s="980">
        <v>45638.0</v>
      </c>
      <c r="B25" s="787" t="s">
        <v>6477</v>
      </c>
      <c r="C25" s="787"/>
      <c r="D25" s="787"/>
      <c r="E25" s="981"/>
    </row>
    <row r="26" ht="67.5" customHeight="1">
      <c r="A26" s="980">
        <v>45632.0</v>
      </c>
      <c r="B26" s="787" t="s">
        <v>6478</v>
      </c>
      <c r="C26" s="787" t="s">
        <v>6479</v>
      </c>
      <c r="D26" s="787" t="s">
        <v>6480</v>
      </c>
      <c r="E26" s="337" t="s">
        <v>6481</v>
      </c>
    </row>
    <row r="27" ht="54.75" customHeight="1">
      <c r="A27" s="980">
        <v>45630.0</v>
      </c>
      <c r="B27" s="787" t="s">
        <v>6482</v>
      </c>
      <c r="C27" s="787" t="s">
        <v>6483</v>
      </c>
      <c r="D27" s="787"/>
      <c r="E27" s="981"/>
    </row>
    <row r="28" ht="117.75" customHeight="1">
      <c r="A28" s="980"/>
      <c r="B28" s="983" t="s">
        <v>6484</v>
      </c>
      <c r="C28" s="787" t="s">
        <v>6485</v>
      </c>
      <c r="D28" s="787" t="s">
        <v>6486</v>
      </c>
      <c r="E28" s="981"/>
    </row>
    <row r="29" ht="104.25" customHeight="1">
      <c r="A29" s="980">
        <v>45614.0</v>
      </c>
      <c r="B29" s="787" t="s">
        <v>6487</v>
      </c>
      <c r="C29" s="787" t="s">
        <v>6488</v>
      </c>
      <c r="D29" s="787"/>
      <c r="E29" s="984"/>
    </row>
    <row r="30" ht="52.5" customHeight="1">
      <c r="A30" s="980">
        <v>45614.0</v>
      </c>
      <c r="B30" s="787" t="s">
        <v>6489</v>
      </c>
      <c r="C30" s="787" t="s">
        <v>6490</v>
      </c>
      <c r="D30" s="787" t="s">
        <v>6491</v>
      </c>
      <c r="E30" s="984"/>
    </row>
    <row r="31" ht="52.5" customHeight="1">
      <c r="A31" s="980">
        <v>45613.0</v>
      </c>
      <c r="B31" s="787" t="s">
        <v>6492</v>
      </c>
      <c r="C31" s="787" t="s">
        <v>6493</v>
      </c>
      <c r="D31" s="787" t="s">
        <v>6494</v>
      </c>
      <c r="E31" s="984"/>
    </row>
    <row r="32" ht="52.5" customHeight="1">
      <c r="A32" s="980">
        <v>45603.0</v>
      </c>
      <c r="B32" s="787" t="s">
        <v>6495</v>
      </c>
      <c r="C32" s="787" t="s">
        <v>6496</v>
      </c>
      <c r="D32" s="787" t="s">
        <v>6497</v>
      </c>
      <c r="E32" s="984"/>
    </row>
    <row r="33" ht="32.25" customHeight="1">
      <c r="A33" s="985">
        <v>45603.0</v>
      </c>
      <c r="B33" s="337" t="s">
        <v>6498</v>
      </c>
      <c r="C33" s="787"/>
      <c r="D33" s="787"/>
      <c r="E33" s="787"/>
    </row>
    <row r="34">
      <c r="A34" s="985">
        <v>45602.0</v>
      </c>
      <c r="B34" s="337" t="s">
        <v>6499</v>
      </c>
      <c r="C34" s="787"/>
      <c r="D34" s="787"/>
      <c r="E34" s="787"/>
    </row>
    <row r="35">
      <c r="A35" s="985">
        <v>45600.0</v>
      </c>
      <c r="B35" s="337" t="s">
        <v>6501</v>
      </c>
      <c r="C35" s="787" t="s">
        <v>6502</v>
      </c>
      <c r="D35" s="787"/>
      <c r="E35" s="787"/>
    </row>
    <row r="36">
      <c r="A36" s="985">
        <v>45599.0</v>
      </c>
      <c r="B36" s="337" t="s">
        <v>6504</v>
      </c>
      <c r="C36" s="787" t="s">
        <v>6505</v>
      </c>
      <c r="D36" s="787"/>
      <c r="E36" s="787"/>
    </row>
    <row r="37">
      <c r="A37" s="985">
        <v>45598.0</v>
      </c>
      <c r="B37" s="337" t="s">
        <v>6506</v>
      </c>
      <c r="C37" s="787" t="s">
        <v>6507</v>
      </c>
      <c r="D37" s="787" t="s">
        <v>6508</v>
      </c>
      <c r="E37" s="787" t="s">
        <v>6509</v>
      </c>
    </row>
    <row r="38">
      <c r="A38" s="985">
        <v>45598.0</v>
      </c>
      <c r="B38" s="337" t="s">
        <v>6510</v>
      </c>
      <c r="C38" s="787" t="s">
        <v>6511</v>
      </c>
      <c r="D38" s="787"/>
      <c r="E38" s="787"/>
    </row>
    <row r="39">
      <c r="A39" s="985"/>
      <c r="B39" s="337" t="s">
        <v>2890</v>
      </c>
      <c r="C39" s="787"/>
      <c r="D39" s="787"/>
      <c r="E39" s="787"/>
    </row>
    <row r="40">
      <c r="A40" s="985">
        <v>45597.0</v>
      </c>
      <c r="B40" s="337" t="s">
        <v>6512</v>
      </c>
      <c r="C40" s="787"/>
      <c r="D40" s="787"/>
      <c r="E40" s="787"/>
    </row>
    <row r="41">
      <c r="A41" s="985">
        <v>45594.0</v>
      </c>
      <c r="B41" s="337" t="s">
        <v>6513</v>
      </c>
      <c r="C41" s="787" t="s">
        <v>6514</v>
      </c>
      <c r="D41" s="787" t="s">
        <v>1982</v>
      </c>
      <c r="E41" s="787"/>
    </row>
    <row r="42">
      <c r="A42" s="985">
        <v>45588.0</v>
      </c>
      <c r="B42" s="337" t="s">
        <v>6515</v>
      </c>
      <c r="C42" s="787" t="s">
        <v>1833</v>
      </c>
      <c r="D42" s="787" t="s">
        <v>6517</v>
      </c>
      <c r="E42" s="986" t="s">
        <v>6518</v>
      </c>
    </row>
    <row r="43">
      <c r="A43" s="985">
        <v>45567.0</v>
      </c>
      <c r="B43" s="987" t="s">
        <v>6519</v>
      </c>
      <c r="C43" s="787" t="s">
        <v>6520</v>
      </c>
      <c r="D43" s="787" t="s">
        <v>6521</v>
      </c>
      <c r="E43" s="986"/>
    </row>
    <row r="44">
      <c r="A44" s="988">
        <v>45562.0</v>
      </c>
      <c r="B44" s="787" t="s">
        <v>6522</v>
      </c>
      <c r="C44" s="787" t="s">
        <v>6523</v>
      </c>
      <c r="D44" s="787" t="s">
        <v>6524</v>
      </c>
      <c r="E44" s="986"/>
    </row>
    <row r="45" ht="15.0" customHeight="1">
      <c r="A45" s="985">
        <v>45593.0</v>
      </c>
      <c r="B45" s="990" t="s">
        <v>6522</v>
      </c>
      <c r="C45" s="787"/>
      <c r="D45" s="787"/>
      <c r="E45" s="986"/>
    </row>
    <row r="46">
      <c r="A46" s="985">
        <v>45676.0</v>
      </c>
      <c r="B46" s="133" t="s">
        <v>6526</v>
      </c>
      <c r="C46" s="787"/>
      <c r="D46" s="430"/>
      <c r="E46" s="991"/>
    </row>
    <row r="47">
      <c r="A47" s="992"/>
      <c r="B47" s="98"/>
      <c r="C47" s="256"/>
      <c r="D47" s="256"/>
      <c r="E47" s="993"/>
    </row>
    <row r="48">
      <c r="A48" s="992"/>
      <c r="B48" s="98"/>
      <c r="C48" s="256"/>
      <c r="D48" s="256"/>
      <c r="E48" s="993"/>
    </row>
    <row r="49">
      <c r="A49" s="992"/>
      <c r="B49" s="98"/>
      <c r="C49" s="256"/>
      <c r="D49" s="945"/>
      <c r="E49" s="993"/>
    </row>
    <row r="50">
      <c r="A50" s="992"/>
      <c r="B50" s="98"/>
      <c r="C50" s="256"/>
      <c r="D50" s="945"/>
      <c r="E50" s="993"/>
    </row>
    <row r="51">
      <c r="A51" s="994"/>
      <c r="B51" s="995"/>
      <c r="C51" s="996"/>
      <c r="D51" s="997"/>
      <c r="E51" s="998"/>
    </row>
    <row r="52">
      <c r="A52" s="999"/>
      <c r="B52" s="996"/>
      <c r="C52" s="996"/>
      <c r="D52" s="997"/>
      <c r="E52" s="998"/>
    </row>
    <row r="53">
      <c r="A53" s="994"/>
      <c r="B53" s="996"/>
      <c r="C53" s="996"/>
      <c r="D53" s="1000"/>
      <c r="E53" s="998"/>
    </row>
    <row r="54">
      <c r="A54" s="994"/>
      <c r="B54" s="996"/>
      <c r="C54" s="1001"/>
      <c r="D54" s="1000"/>
      <c r="E54" s="998"/>
    </row>
    <row r="55">
      <c r="A55" s="994"/>
      <c r="B55" s="996"/>
      <c r="C55" s="996"/>
      <c r="D55" s="1002"/>
      <c r="E55" s="998"/>
    </row>
    <row r="56">
      <c r="A56" s="994"/>
      <c r="B56" s="996"/>
      <c r="C56" s="996"/>
      <c r="D56" s="1003"/>
      <c r="E56" s="998"/>
    </row>
    <row r="57">
      <c r="A57" s="994"/>
      <c r="B57" s="996"/>
      <c r="C57" s="1003"/>
      <c r="D57" s="1000"/>
      <c r="E57" s="998"/>
    </row>
    <row r="58">
      <c r="A58" s="994"/>
      <c r="B58" s="1003"/>
      <c r="C58" s="996"/>
      <c r="D58" s="1002"/>
      <c r="E58" s="1004"/>
    </row>
    <row r="59">
      <c r="A59" s="994"/>
      <c r="B59" s="1003"/>
      <c r="C59" s="1003"/>
      <c r="D59" s="1003"/>
      <c r="E59" s="1005"/>
    </row>
    <row r="60">
      <c r="A60" s="1000"/>
      <c r="B60" s="1000"/>
      <c r="C60" s="1000"/>
      <c r="D60" s="1000"/>
      <c r="E60" s="998"/>
    </row>
    <row r="61">
      <c r="A61" s="1000"/>
      <c r="B61" s="1002"/>
      <c r="C61" s="1000"/>
      <c r="D61" s="1000"/>
      <c r="E61" s="998"/>
    </row>
    <row r="62">
      <c r="A62" s="1000"/>
      <c r="B62" s="1000"/>
      <c r="C62" s="1000"/>
      <c r="D62" s="1000"/>
      <c r="E62" s="998"/>
    </row>
    <row r="63">
      <c r="A63" s="1000"/>
      <c r="B63" s="1000"/>
      <c r="C63" s="1000"/>
      <c r="D63" s="1000"/>
      <c r="E63" s="998"/>
    </row>
    <row r="64">
      <c r="A64" s="1000"/>
      <c r="B64" s="1000"/>
      <c r="C64" s="1000"/>
      <c r="D64" s="1000"/>
      <c r="E64" s="998"/>
    </row>
    <row r="65">
      <c r="A65" s="1000"/>
      <c r="B65" s="1000"/>
      <c r="C65" s="1000"/>
      <c r="D65" s="1000"/>
      <c r="E65" s="998"/>
    </row>
    <row r="66">
      <c r="A66" s="945"/>
      <c r="B66" s="945"/>
      <c r="C66" s="945"/>
      <c r="D66" s="945"/>
      <c r="E66" s="993"/>
    </row>
    <row r="67">
      <c r="E67" s="821"/>
    </row>
    <row r="68">
      <c r="E68" s="821"/>
    </row>
    <row r="69">
      <c r="E69" s="821"/>
    </row>
    <row r="70">
      <c r="E70" s="821"/>
    </row>
    <row r="71">
      <c r="E71" s="821"/>
    </row>
    <row r="72">
      <c r="E72" s="821"/>
    </row>
    <row r="73">
      <c r="E73" s="821"/>
    </row>
    <row r="74">
      <c r="E74" s="821"/>
    </row>
    <row r="75">
      <c r="E75" s="821"/>
    </row>
    <row r="76">
      <c r="E76" s="821"/>
    </row>
    <row r="77">
      <c r="E77" s="821"/>
    </row>
    <row r="78">
      <c r="E78" s="821"/>
    </row>
    <row r="79">
      <c r="E79" s="821"/>
    </row>
    <row r="80">
      <c r="E80" s="821"/>
    </row>
    <row r="81">
      <c r="E81" s="821"/>
    </row>
    <row r="82">
      <c r="E82" s="821"/>
    </row>
    <row r="83">
      <c r="E83" s="821"/>
    </row>
    <row r="84">
      <c r="E84" s="821"/>
    </row>
    <row r="85">
      <c r="E85" s="821"/>
    </row>
    <row r="86">
      <c r="E86" s="821"/>
    </row>
    <row r="87">
      <c r="E87" s="821"/>
    </row>
    <row r="88">
      <c r="E88" s="821"/>
    </row>
    <row r="89">
      <c r="E89" s="821"/>
    </row>
    <row r="90">
      <c r="E90" s="821"/>
    </row>
    <row r="91">
      <c r="E91" s="821"/>
    </row>
    <row r="92">
      <c r="E92" s="821"/>
    </row>
    <row r="93">
      <c r="E93" s="821"/>
    </row>
    <row r="94">
      <c r="E94" s="821"/>
    </row>
    <row r="95">
      <c r="E95" s="821"/>
    </row>
    <row r="96">
      <c r="E96" s="821"/>
    </row>
    <row r="97">
      <c r="E97" s="821"/>
    </row>
    <row r="98">
      <c r="E98" s="821"/>
    </row>
    <row r="99">
      <c r="E99" s="821"/>
    </row>
    <row r="100">
      <c r="E100" s="821"/>
    </row>
    <row r="101">
      <c r="E101" s="821"/>
    </row>
    <row r="102">
      <c r="E102" s="821"/>
    </row>
    <row r="103">
      <c r="E103" s="821"/>
    </row>
    <row r="104">
      <c r="E104" s="821"/>
    </row>
    <row r="105">
      <c r="E105" s="821"/>
    </row>
    <row r="106">
      <c r="E106" s="821"/>
    </row>
    <row r="107">
      <c r="E107" s="821"/>
    </row>
    <row r="108">
      <c r="E108" s="821"/>
    </row>
    <row r="109">
      <c r="E109" s="821"/>
    </row>
    <row r="110">
      <c r="E110" s="821"/>
    </row>
    <row r="111">
      <c r="E111" s="821"/>
    </row>
    <row r="112">
      <c r="E112" s="821"/>
    </row>
    <row r="113">
      <c r="E113" s="821"/>
    </row>
    <row r="114">
      <c r="E114" s="821"/>
    </row>
    <row r="115">
      <c r="E115" s="821"/>
    </row>
    <row r="116">
      <c r="E116" s="821"/>
    </row>
    <row r="117">
      <c r="E117" s="821"/>
    </row>
    <row r="118">
      <c r="E118" s="821"/>
    </row>
    <row r="119">
      <c r="E119" s="821"/>
    </row>
    <row r="120">
      <c r="E120" s="821"/>
    </row>
    <row r="121">
      <c r="E121" s="821"/>
    </row>
    <row r="122">
      <c r="E122" s="821"/>
    </row>
    <row r="123">
      <c r="E123" s="821"/>
    </row>
    <row r="124">
      <c r="E124" s="821"/>
    </row>
    <row r="125">
      <c r="E125" s="821"/>
    </row>
    <row r="126">
      <c r="E126" s="821"/>
    </row>
    <row r="127">
      <c r="E127" s="821"/>
    </row>
    <row r="128">
      <c r="E128" s="821"/>
    </row>
    <row r="129">
      <c r="E129" s="821"/>
    </row>
    <row r="130">
      <c r="E130" s="821"/>
    </row>
    <row r="131">
      <c r="E131" s="821"/>
    </row>
    <row r="132">
      <c r="E132" s="821"/>
    </row>
    <row r="133">
      <c r="E133" s="821"/>
    </row>
    <row r="134">
      <c r="E134" s="821"/>
    </row>
    <row r="135">
      <c r="E135" s="821"/>
    </row>
    <row r="136">
      <c r="E136" s="821"/>
    </row>
    <row r="137">
      <c r="E137" s="821"/>
    </row>
    <row r="138">
      <c r="E138" s="821"/>
    </row>
    <row r="139">
      <c r="E139" s="821"/>
    </row>
    <row r="140">
      <c r="E140" s="821"/>
    </row>
    <row r="141">
      <c r="E141" s="821"/>
    </row>
    <row r="142">
      <c r="E142" s="821"/>
    </row>
    <row r="143">
      <c r="E143" s="821"/>
    </row>
    <row r="144">
      <c r="E144" s="821"/>
    </row>
    <row r="145">
      <c r="E145" s="821"/>
    </row>
    <row r="146">
      <c r="E146" s="821"/>
    </row>
    <row r="147">
      <c r="E147" s="821"/>
    </row>
    <row r="148">
      <c r="E148" s="821"/>
    </row>
    <row r="149">
      <c r="E149" s="821"/>
    </row>
    <row r="150">
      <c r="E150" s="821"/>
    </row>
    <row r="151">
      <c r="E151" s="821"/>
    </row>
    <row r="152">
      <c r="E152" s="821"/>
    </row>
    <row r="153">
      <c r="E153" s="821"/>
    </row>
    <row r="154">
      <c r="E154" s="821"/>
    </row>
    <row r="155">
      <c r="E155" s="821"/>
    </row>
    <row r="156">
      <c r="E156" s="821"/>
    </row>
    <row r="157">
      <c r="E157" s="821"/>
    </row>
    <row r="158">
      <c r="E158" s="821"/>
    </row>
    <row r="159">
      <c r="E159" s="821"/>
    </row>
    <row r="160">
      <c r="E160" s="821"/>
    </row>
    <row r="161">
      <c r="E161" s="821"/>
    </row>
    <row r="162">
      <c r="E162" s="821"/>
    </row>
    <row r="163">
      <c r="E163" s="821"/>
    </row>
    <row r="164">
      <c r="E164" s="821"/>
    </row>
    <row r="165">
      <c r="E165" s="821"/>
    </row>
    <row r="166">
      <c r="E166" s="821"/>
    </row>
    <row r="167">
      <c r="E167" s="821"/>
    </row>
    <row r="168">
      <c r="E168" s="821"/>
    </row>
    <row r="169">
      <c r="E169" s="821"/>
    </row>
    <row r="170">
      <c r="E170" s="821"/>
    </row>
    <row r="171">
      <c r="E171" s="821"/>
    </row>
    <row r="172">
      <c r="E172" s="821"/>
    </row>
    <row r="173">
      <c r="E173" s="821"/>
    </row>
    <row r="174">
      <c r="E174" s="821"/>
    </row>
    <row r="175">
      <c r="E175" s="821"/>
    </row>
    <row r="176">
      <c r="E176" s="821"/>
    </row>
    <row r="177">
      <c r="E177" s="821"/>
    </row>
    <row r="178">
      <c r="E178" s="821"/>
    </row>
    <row r="179">
      <c r="E179" s="821"/>
    </row>
    <row r="180">
      <c r="E180" s="821"/>
    </row>
    <row r="181">
      <c r="E181" s="821"/>
    </row>
    <row r="182">
      <c r="E182" s="821"/>
    </row>
    <row r="183">
      <c r="E183" s="821"/>
    </row>
    <row r="184">
      <c r="E184" s="821"/>
    </row>
    <row r="185">
      <c r="E185" s="821"/>
    </row>
    <row r="186">
      <c r="E186" s="821"/>
    </row>
    <row r="187">
      <c r="E187" s="821"/>
    </row>
    <row r="188">
      <c r="E188" s="821"/>
    </row>
    <row r="189">
      <c r="E189" s="821"/>
    </row>
    <row r="190">
      <c r="E190" s="821"/>
    </row>
    <row r="191">
      <c r="E191" s="821"/>
    </row>
    <row r="192">
      <c r="E192" s="821"/>
    </row>
    <row r="193">
      <c r="E193" s="821"/>
    </row>
    <row r="194">
      <c r="E194" s="821"/>
    </row>
    <row r="195">
      <c r="E195" s="821"/>
    </row>
    <row r="196">
      <c r="E196" s="821"/>
    </row>
    <row r="197">
      <c r="E197" s="821"/>
    </row>
    <row r="198">
      <c r="E198" s="821"/>
    </row>
    <row r="199">
      <c r="E199" s="821"/>
    </row>
    <row r="200">
      <c r="E200" s="821"/>
    </row>
    <row r="201">
      <c r="E201" s="821"/>
    </row>
    <row r="202">
      <c r="E202" s="821"/>
    </row>
    <row r="203">
      <c r="E203" s="821"/>
    </row>
    <row r="204">
      <c r="E204" s="821"/>
    </row>
    <row r="205">
      <c r="E205" s="821"/>
    </row>
    <row r="206">
      <c r="E206" s="821"/>
    </row>
    <row r="207">
      <c r="E207" s="821"/>
    </row>
    <row r="208">
      <c r="E208" s="821"/>
    </row>
    <row r="209">
      <c r="E209" s="821"/>
    </row>
    <row r="210">
      <c r="E210" s="821"/>
    </row>
    <row r="211">
      <c r="E211" s="821"/>
    </row>
    <row r="212">
      <c r="E212" s="821"/>
    </row>
    <row r="213">
      <c r="E213" s="821"/>
    </row>
    <row r="214">
      <c r="E214" s="821"/>
    </row>
    <row r="215">
      <c r="E215" s="821"/>
    </row>
    <row r="216">
      <c r="E216" s="821"/>
    </row>
    <row r="217">
      <c r="E217" s="821"/>
    </row>
    <row r="218">
      <c r="E218" s="821"/>
    </row>
    <row r="219">
      <c r="E219" s="821"/>
    </row>
    <row r="220">
      <c r="E220" s="821"/>
    </row>
    <row r="221">
      <c r="E221" s="821"/>
    </row>
    <row r="222">
      <c r="E222" s="821"/>
    </row>
    <row r="223">
      <c r="E223" s="821"/>
    </row>
    <row r="224">
      <c r="E224" s="821"/>
    </row>
    <row r="225">
      <c r="E225" s="821"/>
    </row>
    <row r="226">
      <c r="E226" s="821"/>
    </row>
    <row r="227">
      <c r="E227" s="821"/>
    </row>
    <row r="228">
      <c r="E228" s="821"/>
    </row>
    <row r="229">
      <c r="E229" s="821"/>
    </row>
    <row r="230">
      <c r="E230" s="821"/>
    </row>
    <row r="231">
      <c r="E231" s="821"/>
    </row>
    <row r="232">
      <c r="E232" s="821"/>
    </row>
    <row r="233">
      <c r="E233" s="821"/>
    </row>
    <row r="234">
      <c r="E234" s="821"/>
    </row>
    <row r="235">
      <c r="E235" s="821"/>
    </row>
    <row r="236">
      <c r="E236" s="821"/>
    </row>
    <row r="237">
      <c r="E237" s="821"/>
    </row>
    <row r="238">
      <c r="E238" s="821"/>
    </row>
    <row r="239">
      <c r="E239" s="821"/>
    </row>
    <row r="240">
      <c r="E240" s="821"/>
    </row>
    <row r="241">
      <c r="E241" s="821"/>
    </row>
    <row r="242">
      <c r="E242" s="821"/>
    </row>
    <row r="243">
      <c r="E243" s="821"/>
    </row>
    <row r="244">
      <c r="E244" s="821"/>
    </row>
    <row r="245">
      <c r="E245" s="821"/>
    </row>
    <row r="246">
      <c r="E246" s="821"/>
    </row>
    <row r="247">
      <c r="E247" s="821"/>
    </row>
    <row r="248">
      <c r="E248" s="821"/>
    </row>
    <row r="249">
      <c r="E249" s="821"/>
    </row>
    <row r="250">
      <c r="E250" s="821"/>
    </row>
    <row r="251">
      <c r="E251" s="821"/>
    </row>
    <row r="252">
      <c r="E252" s="821"/>
    </row>
    <row r="253">
      <c r="E253" s="821"/>
    </row>
    <row r="254">
      <c r="E254" s="821"/>
    </row>
    <row r="255">
      <c r="E255" s="821"/>
    </row>
    <row r="256">
      <c r="E256" s="821"/>
    </row>
    <row r="257">
      <c r="E257" s="821"/>
    </row>
    <row r="258">
      <c r="E258" s="821"/>
    </row>
    <row r="259">
      <c r="E259" s="821"/>
    </row>
    <row r="260">
      <c r="E260" s="821"/>
    </row>
    <row r="261">
      <c r="E261" s="821"/>
    </row>
    <row r="262">
      <c r="E262" s="821"/>
    </row>
    <row r="263">
      <c r="E263" s="821"/>
    </row>
    <row r="264">
      <c r="E264" s="821"/>
    </row>
    <row r="265">
      <c r="E265" s="821"/>
    </row>
    <row r="266">
      <c r="E266" s="821"/>
    </row>
    <row r="267">
      <c r="E267" s="821"/>
    </row>
    <row r="268">
      <c r="E268" s="821"/>
    </row>
    <row r="269">
      <c r="E269" s="821"/>
    </row>
    <row r="270">
      <c r="E270" s="821"/>
    </row>
    <row r="271">
      <c r="E271" s="821"/>
    </row>
    <row r="272">
      <c r="E272" s="821"/>
    </row>
    <row r="273">
      <c r="E273" s="821"/>
    </row>
    <row r="274">
      <c r="E274" s="821"/>
    </row>
    <row r="275">
      <c r="E275" s="821"/>
    </row>
    <row r="276">
      <c r="E276" s="821"/>
    </row>
    <row r="277">
      <c r="E277" s="821"/>
    </row>
    <row r="278">
      <c r="E278" s="821"/>
    </row>
    <row r="279">
      <c r="E279" s="821"/>
    </row>
    <row r="280">
      <c r="E280" s="821"/>
    </row>
    <row r="281">
      <c r="E281" s="821"/>
    </row>
    <row r="282">
      <c r="E282" s="821"/>
    </row>
    <row r="283">
      <c r="E283" s="821"/>
    </row>
    <row r="284">
      <c r="E284" s="821"/>
    </row>
    <row r="285">
      <c r="E285" s="821"/>
    </row>
    <row r="286">
      <c r="E286" s="821"/>
    </row>
    <row r="287">
      <c r="E287" s="821"/>
    </row>
    <row r="288">
      <c r="E288" s="821"/>
    </row>
    <row r="289">
      <c r="E289" s="821"/>
    </row>
    <row r="290">
      <c r="E290" s="821"/>
    </row>
    <row r="291">
      <c r="E291" s="821"/>
    </row>
    <row r="292">
      <c r="E292" s="821"/>
    </row>
    <row r="293">
      <c r="E293" s="821"/>
    </row>
    <row r="294">
      <c r="E294" s="821"/>
    </row>
    <row r="295">
      <c r="E295" s="821"/>
    </row>
    <row r="296">
      <c r="E296" s="821"/>
    </row>
    <row r="297">
      <c r="E297" s="821"/>
    </row>
    <row r="298">
      <c r="E298" s="821"/>
    </row>
    <row r="299">
      <c r="E299" s="821"/>
    </row>
    <row r="300">
      <c r="E300" s="821"/>
    </row>
    <row r="301">
      <c r="E301" s="821"/>
    </row>
    <row r="302">
      <c r="E302" s="821"/>
    </row>
    <row r="303">
      <c r="E303" s="821"/>
    </row>
    <row r="304">
      <c r="E304" s="821"/>
    </row>
    <row r="305">
      <c r="E305" s="821"/>
    </row>
    <row r="306">
      <c r="E306" s="821"/>
    </row>
    <row r="307">
      <c r="E307" s="821"/>
    </row>
    <row r="308">
      <c r="E308" s="821"/>
    </row>
    <row r="309">
      <c r="E309" s="821"/>
    </row>
    <row r="310">
      <c r="E310" s="821"/>
    </row>
    <row r="311">
      <c r="E311" s="821"/>
    </row>
    <row r="312">
      <c r="E312" s="821"/>
    </row>
    <row r="313">
      <c r="E313" s="821"/>
    </row>
    <row r="314">
      <c r="E314" s="821"/>
    </row>
    <row r="315">
      <c r="E315" s="821"/>
    </row>
    <row r="316">
      <c r="E316" s="821"/>
    </row>
    <row r="317">
      <c r="E317" s="821"/>
    </row>
    <row r="318">
      <c r="E318" s="821"/>
    </row>
    <row r="319">
      <c r="E319" s="821"/>
    </row>
    <row r="320">
      <c r="E320" s="821"/>
    </row>
    <row r="321">
      <c r="E321" s="821"/>
    </row>
    <row r="322">
      <c r="E322" s="821"/>
    </row>
    <row r="323">
      <c r="E323" s="821"/>
    </row>
    <row r="324">
      <c r="E324" s="821"/>
    </row>
    <row r="325">
      <c r="E325" s="821"/>
    </row>
    <row r="326">
      <c r="E326" s="821"/>
    </row>
    <row r="327">
      <c r="E327" s="821"/>
    </row>
    <row r="328">
      <c r="E328" s="821"/>
    </row>
    <row r="329">
      <c r="E329" s="821"/>
    </row>
    <row r="330">
      <c r="E330" s="821"/>
    </row>
    <row r="331">
      <c r="E331" s="821"/>
    </row>
    <row r="332">
      <c r="E332" s="821"/>
    </row>
    <row r="333">
      <c r="E333" s="821"/>
    </row>
    <row r="334">
      <c r="E334" s="821"/>
    </row>
    <row r="335">
      <c r="E335" s="821"/>
    </row>
    <row r="336">
      <c r="E336" s="821"/>
    </row>
    <row r="337">
      <c r="E337" s="821"/>
    </row>
    <row r="338">
      <c r="E338" s="821"/>
    </row>
    <row r="339">
      <c r="E339" s="821"/>
    </row>
    <row r="340">
      <c r="E340" s="821"/>
    </row>
    <row r="341">
      <c r="E341" s="821"/>
    </row>
    <row r="342">
      <c r="E342" s="821"/>
    </row>
    <row r="343">
      <c r="E343" s="821"/>
    </row>
    <row r="344">
      <c r="E344" s="821"/>
    </row>
    <row r="345">
      <c r="E345" s="821"/>
    </row>
    <row r="346">
      <c r="E346" s="821"/>
    </row>
    <row r="347">
      <c r="E347" s="821"/>
    </row>
    <row r="348">
      <c r="E348" s="821"/>
    </row>
    <row r="349">
      <c r="E349" s="821"/>
    </row>
    <row r="350">
      <c r="E350" s="821"/>
    </row>
    <row r="351">
      <c r="E351" s="821"/>
    </row>
    <row r="352">
      <c r="E352" s="821"/>
    </row>
    <row r="353">
      <c r="E353" s="821"/>
    </row>
    <row r="354">
      <c r="E354" s="821"/>
    </row>
    <row r="355">
      <c r="E355" s="821"/>
    </row>
    <row r="356">
      <c r="E356" s="821"/>
    </row>
    <row r="357">
      <c r="E357" s="821"/>
    </row>
    <row r="358">
      <c r="E358" s="821"/>
    </row>
    <row r="359">
      <c r="E359" s="821"/>
    </row>
    <row r="360">
      <c r="E360" s="821"/>
    </row>
    <row r="361">
      <c r="E361" s="821"/>
    </row>
    <row r="362">
      <c r="E362" s="821"/>
    </row>
    <row r="363">
      <c r="E363" s="821"/>
    </row>
    <row r="364">
      <c r="E364" s="821"/>
    </row>
    <row r="365">
      <c r="E365" s="821"/>
    </row>
    <row r="366">
      <c r="E366" s="821"/>
    </row>
    <row r="367">
      <c r="E367" s="821"/>
    </row>
    <row r="368">
      <c r="E368" s="821"/>
    </row>
    <row r="369">
      <c r="E369" s="821"/>
    </row>
    <row r="370">
      <c r="E370" s="821"/>
    </row>
    <row r="371">
      <c r="E371" s="821"/>
    </row>
    <row r="372">
      <c r="E372" s="821"/>
    </row>
    <row r="373">
      <c r="E373" s="821"/>
    </row>
    <row r="374">
      <c r="E374" s="821"/>
    </row>
    <row r="375">
      <c r="E375" s="821"/>
    </row>
    <row r="376">
      <c r="E376" s="821"/>
    </row>
    <row r="377">
      <c r="E377" s="821"/>
    </row>
    <row r="378">
      <c r="E378" s="821"/>
    </row>
    <row r="379">
      <c r="E379" s="821"/>
    </row>
    <row r="380">
      <c r="E380" s="821"/>
    </row>
    <row r="381">
      <c r="E381" s="821"/>
    </row>
    <row r="382">
      <c r="E382" s="821"/>
    </row>
    <row r="383">
      <c r="E383" s="821"/>
    </row>
    <row r="384">
      <c r="E384" s="821"/>
    </row>
    <row r="385">
      <c r="E385" s="821"/>
    </row>
    <row r="386">
      <c r="E386" s="821"/>
    </row>
    <row r="387">
      <c r="E387" s="821"/>
    </row>
    <row r="388">
      <c r="E388" s="821"/>
    </row>
    <row r="389">
      <c r="E389" s="821"/>
    </row>
    <row r="390">
      <c r="E390" s="821"/>
    </row>
    <row r="391">
      <c r="E391" s="821"/>
    </row>
    <row r="392">
      <c r="E392" s="821"/>
    </row>
    <row r="393">
      <c r="E393" s="821"/>
    </row>
    <row r="394">
      <c r="E394" s="821"/>
    </row>
    <row r="395">
      <c r="E395" s="821"/>
    </row>
    <row r="396">
      <c r="E396" s="821"/>
    </row>
    <row r="397">
      <c r="E397" s="821"/>
    </row>
    <row r="398">
      <c r="E398" s="821"/>
    </row>
    <row r="399">
      <c r="E399" s="821"/>
    </row>
    <row r="400">
      <c r="E400" s="821"/>
    </row>
    <row r="401">
      <c r="E401" s="821"/>
    </row>
    <row r="402">
      <c r="E402" s="821"/>
    </row>
    <row r="403">
      <c r="E403" s="821"/>
    </row>
    <row r="404">
      <c r="E404" s="821"/>
    </row>
    <row r="405">
      <c r="E405" s="821"/>
    </row>
    <row r="406">
      <c r="E406" s="821"/>
    </row>
    <row r="407">
      <c r="E407" s="821"/>
    </row>
    <row r="408">
      <c r="E408" s="821"/>
    </row>
    <row r="409">
      <c r="E409" s="821"/>
    </row>
    <row r="410">
      <c r="E410" s="821"/>
    </row>
    <row r="411">
      <c r="E411" s="821"/>
    </row>
    <row r="412">
      <c r="E412" s="821"/>
    </row>
    <row r="413">
      <c r="E413" s="821"/>
    </row>
    <row r="414">
      <c r="E414" s="821"/>
    </row>
    <row r="415">
      <c r="E415" s="821"/>
    </row>
    <row r="416">
      <c r="E416" s="821"/>
    </row>
    <row r="417">
      <c r="E417" s="821"/>
    </row>
    <row r="418">
      <c r="E418" s="821"/>
    </row>
    <row r="419">
      <c r="E419" s="821"/>
    </row>
    <row r="420">
      <c r="E420" s="821"/>
    </row>
    <row r="421">
      <c r="E421" s="821"/>
    </row>
    <row r="422">
      <c r="E422" s="821"/>
    </row>
    <row r="423">
      <c r="E423" s="821"/>
    </row>
    <row r="424">
      <c r="E424" s="821"/>
    </row>
    <row r="425">
      <c r="E425" s="821"/>
    </row>
    <row r="426">
      <c r="E426" s="821"/>
    </row>
    <row r="427">
      <c r="E427" s="821"/>
    </row>
    <row r="428">
      <c r="E428" s="821"/>
    </row>
    <row r="429">
      <c r="E429" s="821"/>
    </row>
    <row r="430">
      <c r="E430" s="821"/>
    </row>
    <row r="431">
      <c r="E431" s="821"/>
    </row>
    <row r="432">
      <c r="E432" s="821"/>
    </row>
    <row r="433">
      <c r="E433" s="821"/>
    </row>
    <row r="434">
      <c r="E434" s="821"/>
    </row>
    <row r="435">
      <c r="E435" s="821"/>
    </row>
    <row r="436">
      <c r="E436" s="821"/>
    </row>
    <row r="437">
      <c r="E437" s="821"/>
    </row>
    <row r="438">
      <c r="E438" s="821"/>
    </row>
    <row r="439">
      <c r="E439" s="821"/>
    </row>
    <row r="440">
      <c r="E440" s="821"/>
    </row>
    <row r="441">
      <c r="E441" s="821"/>
    </row>
    <row r="442">
      <c r="E442" s="821"/>
    </row>
    <row r="443">
      <c r="E443" s="821"/>
    </row>
    <row r="444">
      <c r="E444" s="821"/>
    </row>
    <row r="445">
      <c r="E445" s="821"/>
    </row>
    <row r="446">
      <c r="E446" s="821"/>
    </row>
    <row r="447">
      <c r="E447" s="821"/>
    </row>
    <row r="448">
      <c r="E448" s="821"/>
    </row>
    <row r="449">
      <c r="E449" s="821"/>
    </row>
    <row r="450">
      <c r="E450" s="821"/>
    </row>
    <row r="451">
      <c r="E451" s="821"/>
    </row>
    <row r="452">
      <c r="E452" s="821"/>
    </row>
    <row r="453">
      <c r="E453" s="821"/>
    </row>
    <row r="454">
      <c r="E454" s="821"/>
    </row>
    <row r="455">
      <c r="E455" s="821"/>
    </row>
    <row r="456">
      <c r="E456" s="821"/>
    </row>
    <row r="457">
      <c r="E457" s="821"/>
    </row>
    <row r="458">
      <c r="E458" s="821"/>
    </row>
    <row r="459">
      <c r="E459" s="821"/>
    </row>
    <row r="460">
      <c r="E460" s="821"/>
    </row>
    <row r="461">
      <c r="E461" s="821"/>
    </row>
    <row r="462">
      <c r="E462" s="821"/>
    </row>
    <row r="463">
      <c r="E463" s="821"/>
    </row>
    <row r="464">
      <c r="E464" s="821"/>
    </row>
    <row r="465">
      <c r="E465" s="821"/>
    </row>
    <row r="466">
      <c r="E466" s="821"/>
    </row>
    <row r="467">
      <c r="E467" s="821"/>
    </row>
    <row r="468">
      <c r="E468" s="821"/>
    </row>
    <row r="469">
      <c r="E469" s="821"/>
    </row>
    <row r="470">
      <c r="E470" s="821"/>
    </row>
    <row r="471">
      <c r="E471" s="821"/>
    </row>
    <row r="472">
      <c r="E472" s="821"/>
    </row>
    <row r="473">
      <c r="E473" s="821"/>
    </row>
    <row r="474">
      <c r="E474" s="821"/>
    </row>
    <row r="475">
      <c r="E475" s="821"/>
    </row>
    <row r="476">
      <c r="E476" s="821"/>
    </row>
    <row r="477">
      <c r="E477" s="821"/>
    </row>
    <row r="478">
      <c r="E478" s="821"/>
    </row>
    <row r="479">
      <c r="E479" s="821"/>
    </row>
    <row r="480">
      <c r="E480" s="821"/>
    </row>
    <row r="481">
      <c r="E481" s="821"/>
    </row>
    <row r="482">
      <c r="E482" s="821"/>
    </row>
    <row r="483">
      <c r="E483" s="821"/>
    </row>
    <row r="484">
      <c r="E484" s="821"/>
    </row>
    <row r="485">
      <c r="E485" s="821"/>
    </row>
    <row r="486">
      <c r="E486" s="821"/>
    </row>
    <row r="487">
      <c r="E487" s="821"/>
    </row>
    <row r="488">
      <c r="E488" s="821"/>
    </row>
    <row r="489">
      <c r="E489" s="821"/>
    </row>
    <row r="490">
      <c r="E490" s="821"/>
    </row>
    <row r="491">
      <c r="E491" s="821"/>
    </row>
    <row r="492">
      <c r="E492" s="821"/>
    </row>
    <row r="493">
      <c r="E493" s="821"/>
    </row>
    <row r="494">
      <c r="E494" s="821"/>
    </row>
    <row r="495">
      <c r="E495" s="821"/>
    </row>
    <row r="496">
      <c r="E496" s="821"/>
    </row>
    <row r="497">
      <c r="E497" s="821"/>
    </row>
    <row r="498">
      <c r="E498" s="821"/>
    </row>
    <row r="499">
      <c r="E499" s="821"/>
    </row>
    <row r="500">
      <c r="E500" s="821"/>
    </row>
    <row r="501">
      <c r="E501" s="821"/>
    </row>
    <row r="502">
      <c r="E502" s="821"/>
    </row>
    <row r="503">
      <c r="E503" s="821"/>
    </row>
    <row r="504">
      <c r="E504" s="821"/>
    </row>
    <row r="505">
      <c r="E505" s="821"/>
    </row>
    <row r="506">
      <c r="E506" s="821"/>
    </row>
    <row r="507">
      <c r="E507" s="821"/>
    </row>
    <row r="508">
      <c r="E508" s="821"/>
    </row>
    <row r="509">
      <c r="E509" s="821"/>
    </row>
    <row r="510">
      <c r="E510" s="821"/>
    </row>
    <row r="511">
      <c r="E511" s="821"/>
    </row>
    <row r="512">
      <c r="E512" s="821"/>
    </row>
    <row r="513">
      <c r="E513" s="821"/>
    </row>
    <row r="514">
      <c r="E514" s="821"/>
    </row>
    <row r="515">
      <c r="E515" s="821"/>
    </row>
    <row r="516">
      <c r="E516" s="821"/>
    </row>
    <row r="517">
      <c r="E517" s="821"/>
    </row>
    <row r="518">
      <c r="E518" s="821"/>
    </row>
    <row r="519">
      <c r="E519" s="821"/>
    </row>
    <row r="520">
      <c r="E520" s="821"/>
    </row>
    <row r="521">
      <c r="E521" s="821"/>
    </row>
    <row r="522">
      <c r="E522" s="821"/>
    </row>
    <row r="523">
      <c r="E523" s="821"/>
    </row>
    <row r="524">
      <c r="E524" s="821"/>
    </row>
    <row r="525">
      <c r="E525" s="821"/>
    </row>
    <row r="526">
      <c r="E526" s="821"/>
    </row>
    <row r="527">
      <c r="E527" s="821"/>
    </row>
    <row r="528">
      <c r="E528" s="821"/>
    </row>
    <row r="529">
      <c r="E529" s="821"/>
    </row>
    <row r="530">
      <c r="E530" s="821"/>
    </row>
    <row r="531">
      <c r="E531" s="821"/>
    </row>
    <row r="532">
      <c r="E532" s="821"/>
    </row>
    <row r="533">
      <c r="E533" s="821"/>
    </row>
    <row r="534">
      <c r="E534" s="821"/>
    </row>
    <row r="535">
      <c r="E535" s="821"/>
    </row>
    <row r="536">
      <c r="E536" s="821"/>
    </row>
    <row r="537">
      <c r="E537" s="821"/>
    </row>
    <row r="538">
      <c r="E538" s="821"/>
    </row>
    <row r="539">
      <c r="E539" s="821"/>
    </row>
    <row r="540">
      <c r="E540" s="821"/>
    </row>
    <row r="541">
      <c r="E541" s="821"/>
    </row>
    <row r="542">
      <c r="E542" s="821"/>
    </row>
    <row r="543">
      <c r="E543" s="821"/>
    </row>
    <row r="544">
      <c r="E544" s="821"/>
    </row>
    <row r="545">
      <c r="E545" s="821"/>
    </row>
    <row r="546">
      <c r="E546" s="821"/>
    </row>
    <row r="547">
      <c r="E547" s="821"/>
    </row>
    <row r="548">
      <c r="E548" s="821"/>
    </row>
    <row r="549">
      <c r="E549" s="821"/>
    </row>
    <row r="550">
      <c r="E550" s="821"/>
    </row>
    <row r="551">
      <c r="E551" s="821"/>
    </row>
    <row r="552">
      <c r="E552" s="821"/>
    </row>
    <row r="553">
      <c r="E553" s="821"/>
    </row>
    <row r="554">
      <c r="E554" s="821"/>
    </row>
    <row r="555">
      <c r="E555" s="821"/>
    </row>
    <row r="556">
      <c r="E556" s="821"/>
    </row>
    <row r="557">
      <c r="E557" s="821"/>
    </row>
    <row r="558">
      <c r="E558" s="821"/>
    </row>
    <row r="559">
      <c r="E559" s="821"/>
    </row>
    <row r="560">
      <c r="E560" s="821"/>
    </row>
    <row r="561">
      <c r="E561" s="821"/>
    </row>
    <row r="562">
      <c r="E562" s="821"/>
    </row>
    <row r="563">
      <c r="E563" s="821"/>
    </row>
    <row r="564">
      <c r="E564" s="821"/>
    </row>
    <row r="565">
      <c r="E565" s="821"/>
    </row>
    <row r="566">
      <c r="E566" s="821"/>
    </row>
    <row r="567">
      <c r="E567" s="821"/>
    </row>
    <row r="568">
      <c r="E568" s="821"/>
    </row>
    <row r="569">
      <c r="E569" s="821"/>
    </row>
    <row r="570">
      <c r="E570" s="821"/>
    </row>
    <row r="571">
      <c r="E571" s="821"/>
    </row>
    <row r="572">
      <c r="E572" s="821"/>
    </row>
    <row r="573">
      <c r="E573" s="821"/>
    </row>
    <row r="574">
      <c r="E574" s="821"/>
    </row>
    <row r="575">
      <c r="E575" s="821"/>
    </row>
    <row r="576">
      <c r="E576" s="821"/>
    </row>
    <row r="577">
      <c r="E577" s="821"/>
    </row>
    <row r="578">
      <c r="E578" s="821"/>
    </row>
    <row r="579">
      <c r="E579" s="821"/>
    </row>
    <row r="580">
      <c r="E580" s="821"/>
    </row>
    <row r="581">
      <c r="E581" s="821"/>
    </row>
    <row r="582">
      <c r="E582" s="821"/>
    </row>
    <row r="583">
      <c r="E583" s="821"/>
    </row>
    <row r="584">
      <c r="E584" s="821"/>
    </row>
    <row r="585">
      <c r="E585" s="821"/>
    </row>
    <row r="586">
      <c r="E586" s="821"/>
    </row>
    <row r="587">
      <c r="E587" s="821"/>
    </row>
    <row r="588">
      <c r="E588" s="821"/>
    </row>
    <row r="589">
      <c r="E589" s="821"/>
    </row>
    <row r="590">
      <c r="E590" s="821"/>
    </row>
    <row r="591">
      <c r="E591" s="821"/>
    </row>
    <row r="592">
      <c r="E592" s="821"/>
    </row>
    <row r="593">
      <c r="E593" s="821"/>
    </row>
    <row r="594">
      <c r="E594" s="821"/>
    </row>
    <row r="595">
      <c r="E595" s="821"/>
    </row>
    <row r="596">
      <c r="E596" s="821"/>
    </row>
    <row r="597">
      <c r="E597" s="821"/>
    </row>
    <row r="598">
      <c r="E598" s="821"/>
    </row>
    <row r="599">
      <c r="E599" s="821"/>
    </row>
    <row r="600">
      <c r="E600" s="821"/>
    </row>
    <row r="601">
      <c r="E601" s="821"/>
    </row>
    <row r="602">
      <c r="E602" s="821"/>
    </row>
    <row r="603">
      <c r="E603" s="821"/>
    </row>
    <row r="604">
      <c r="E604" s="821"/>
    </row>
    <row r="605">
      <c r="E605" s="821"/>
    </row>
    <row r="606">
      <c r="E606" s="821"/>
    </row>
    <row r="607">
      <c r="E607" s="821"/>
    </row>
    <row r="608">
      <c r="E608" s="821"/>
    </row>
    <row r="609">
      <c r="E609" s="821"/>
    </row>
    <row r="610">
      <c r="E610" s="821"/>
    </row>
    <row r="611">
      <c r="E611" s="821"/>
    </row>
    <row r="612">
      <c r="E612" s="821"/>
    </row>
    <row r="613">
      <c r="E613" s="821"/>
    </row>
    <row r="614">
      <c r="E614" s="821"/>
    </row>
    <row r="615">
      <c r="E615" s="821"/>
    </row>
    <row r="616">
      <c r="E616" s="821"/>
    </row>
    <row r="617">
      <c r="E617" s="821"/>
    </row>
    <row r="618">
      <c r="E618" s="821"/>
    </row>
    <row r="619">
      <c r="E619" s="821"/>
    </row>
    <row r="620">
      <c r="E620" s="821"/>
    </row>
    <row r="621">
      <c r="E621" s="821"/>
    </row>
    <row r="622">
      <c r="E622" s="821"/>
    </row>
    <row r="623">
      <c r="E623" s="821"/>
    </row>
    <row r="624">
      <c r="E624" s="821"/>
    </row>
    <row r="625">
      <c r="E625" s="821"/>
    </row>
    <row r="626">
      <c r="E626" s="821"/>
    </row>
    <row r="627">
      <c r="E627" s="821"/>
    </row>
    <row r="628">
      <c r="E628" s="821"/>
    </row>
    <row r="629">
      <c r="E629" s="821"/>
    </row>
    <row r="630">
      <c r="E630" s="821"/>
    </row>
    <row r="631">
      <c r="E631" s="821"/>
    </row>
    <row r="632">
      <c r="E632" s="821"/>
    </row>
    <row r="633">
      <c r="E633" s="821"/>
    </row>
    <row r="634">
      <c r="E634" s="821"/>
    </row>
    <row r="635">
      <c r="E635" s="821"/>
    </row>
    <row r="636">
      <c r="E636" s="821"/>
    </row>
    <row r="637">
      <c r="E637" s="821"/>
    </row>
    <row r="638">
      <c r="E638" s="821"/>
    </row>
    <row r="639">
      <c r="E639" s="821"/>
    </row>
    <row r="640">
      <c r="E640" s="821"/>
    </row>
    <row r="641">
      <c r="E641" s="821"/>
    </row>
    <row r="642">
      <c r="E642" s="821"/>
    </row>
    <row r="643">
      <c r="E643" s="821"/>
    </row>
    <row r="644">
      <c r="E644" s="821"/>
    </row>
    <row r="645">
      <c r="E645" s="821"/>
    </row>
    <row r="646">
      <c r="E646" s="821"/>
    </row>
    <row r="647">
      <c r="E647" s="821"/>
    </row>
    <row r="648">
      <c r="E648" s="821"/>
    </row>
    <row r="649">
      <c r="E649" s="821"/>
    </row>
    <row r="650">
      <c r="E650" s="821"/>
    </row>
    <row r="651">
      <c r="E651" s="821"/>
    </row>
    <row r="652">
      <c r="E652" s="821"/>
    </row>
    <row r="653">
      <c r="E653" s="821"/>
    </row>
    <row r="654">
      <c r="E654" s="821"/>
    </row>
    <row r="655">
      <c r="E655" s="821"/>
    </row>
    <row r="656">
      <c r="E656" s="821"/>
    </row>
    <row r="657">
      <c r="E657" s="821"/>
    </row>
    <row r="658">
      <c r="E658" s="821"/>
    </row>
    <row r="659">
      <c r="E659" s="821"/>
    </row>
    <row r="660">
      <c r="E660" s="821"/>
    </row>
    <row r="661">
      <c r="E661" s="821"/>
    </row>
    <row r="662">
      <c r="E662" s="821"/>
    </row>
    <row r="663">
      <c r="E663" s="821"/>
    </row>
    <row r="664">
      <c r="E664" s="821"/>
    </row>
    <row r="665">
      <c r="E665" s="821"/>
    </row>
    <row r="666">
      <c r="E666" s="821"/>
    </row>
    <row r="667">
      <c r="E667" s="821"/>
    </row>
    <row r="668">
      <c r="E668" s="821"/>
    </row>
    <row r="669">
      <c r="E669" s="821"/>
    </row>
    <row r="670">
      <c r="E670" s="821"/>
    </row>
    <row r="671">
      <c r="E671" s="821"/>
    </row>
    <row r="672">
      <c r="E672" s="821"/>
    </row>
    <row r="673">
      <c r="E673" s="821"/>
    </row>
    <row r="674">
      <c r="E674" s="821"/>
    </row>
    <row r="675">
      <c r="E675" s="821"/>
    </row>
    <row r="676">
      <c r="E676" s="821"/>
    </row>
    <row r="677">
      <c r="E677" s="821"/>
    </row>
    <row r="678">
      <c r="E678" s="821"/>
    </row>
    <row r="679">
      <c r="E679" s="821"/>
    </row>
    <row r="680">
      <c r="E680" s="821"/>
    </row>
    <row r="681">
      <c r="E681" s="821"/>
    </row>
    <row r="682">
      <c r="E682" s="821"/>
    </row>
    <row r="683">
      <c r="E683" s="821"/>
    </row>
    <row r="684">
      <c r="E684" s="821"/>
    </row>
    <row r="685">
      <c r="E685" s="821"/>
    </row>
    <row r="686">
      <c r="E686" s="821"/>
    </row>
    <row r="687">
      <c r="E687" s="821"/>
    </row>
    <row r="688">
      <c r="E688" s="821"/>
    </row>
    <row r="689">
      <c r="E689" s="821"/>
    </row>
    <row r="690">
      <c r="E690" s="821"/>
    </row>
    <row r="691">
      <c r="E691" s="821"/>
    </row>
    <row r="692">
      <c r="E692" s="821"/>
    </row>
    <row r="693">
      <c r="E693" s="821"/>
    </row>
    <row r="694">
      <c r="E694" s="821"/>
    </row>
    <row r="695">
      <c r="E695" s="821"/>
    </row>
    <row r="696">
      <c r="E696" s="821"/>
    </row>
    <row r="697">
      <c r="E697" s="821"/>
    </row>
    <row r="698">
      <c r="E698" s="821"/>
    </row>
    <row r="699">
      <c r="E699" s="821"/>
    </row>
    <row r="700">
      <c r="E700" s="821"/>
    </row>
    <row r="701">
      <c r="E701" s="821"/>
    </row>
    <row r="702">
      <c r="E702" s="821"/>
    </row>
    <row r="703">
      <c r="E703" s="821"/>
    </row>
    <row r="704">
      <c r="E704" s="821"/>
    </row>
    <row r="705">
      <c r="E705" s="821"/>
    </row>
    <row r="706">
      <c r="E706" s="821"/>
    </row>
    <row r="707">
      <c r="E707" s="821"/>
    </row>
    <row r="708">
      <c r="E708" s="821"/>
    </row>
    <row r="709">
      <c r="E709" s="821"/>
    </row>
    <row r="710">
      <c r="E710" s="821"/>
    </row>
    <row r="711">
      <c r="E711" s="821"/>
    </row>
    <row r="712">
      <c r="E712" s="821"/>
    </row>
    <row r="713">
      <c r="E713" s="821"/>
    </row>
    <row r="714">
      <c r="E714" s="821"/>
    </row>
    <row r="715">
      <c r="E715" s="821"/>
    </row>
    <row r="716">
      <c r="E716" s="821"/>
    </row>
    <row r="717">
      <c r="E717" s="821"/>
    </row>
    <row r="718">
      <c r="E718" s="821"/>
    </row>
    <row r="719">
      <c r="E719" s="821"/>
    </row>
    <row r="720">
      <c r="E720" s="821"/>
    </row>
    <row r="721">
      <c r="E721" s="821"/>
    </row>
    <row r="722">
      <c r="E722" s="821"/>
    </row>
    <row r="723">
      <c r="E723" s="821"/>
    </row>
    <row r="724">
      <c r="E724" s="821"/>
    </row>
    <row r="725">
      <c r="E725" s="821"/>
    </row>
    <row r="726">
      <c r="E726" s="821"/>
    </row>
    <row r="727">
      <c r="E727" s="821"/>
    </row>
    <row r="728">
      <c r="E728" s="821"/>
    </row>
    <row r="729">
      <c r="E729" s="821"/>
    </row>
    <row r="730">
      <c r="E730" s="821"/>
    </row>
    <row r="731">
      <c r="E731" s="821"/>
    </row>
    <row r="732">
      <c r="E732" s="821"/>
    </row>
    <row r="733">
      <c r="E733" s="821"/>
    </row>
    <row r="734">
      <c r="E734" s="821"/>
    </row>
    <row r="735">
      <c r="E735" s="821"/>
    </row>
    <row r="736">
      <c r="E736" s="821"/>
    </row>
    <row r="737">
      <c r="E737" s="821"/>
    </row>
    <row r="738">
      <c r="E738" s="821"/>
    </row>
    <row r="739">
      <c r="E739" s="821"/>
    </row>
    <row r="740">
      <c r="E740" s="821"/>
    </row>
    <row r="741">
      <c r="E741" s="821"/>
    </row>
    <row r="742">
      <c r="E742" s="821"/>
    </row>
    <row r="743">
      <c r="E743" s="821"/>
    </row>
    <row r="744">
      <c r="E744" s="821"/>
    </row>
    <row r="745">
      <c r="E745" s="821"/>
    </row>
    <row r="746">
      <c r="E746" s="821"/>
    </row>
    <row r="747">
      <c r="E747" s="821"/>
    </row>
    <row r="748">
      <c r="E748" s="821"/>
    </row>
    <row r="749">
      <c r="E749" s="821"/>
    </row>
    <row r="750">
      <c r="E750" s="821"/>
    </row>
    <row r="751">
      <c r="E751" s="821"/>
    </row>
    <row r="752">
      <c r="E752" s="821"/>
    </row>
    <row r="753">
      <c r="E753" s="821"/>
    </row>
    <row r="754">
      <c r="E754" s="821"/>
    </row>
    <row r="755">
      <c r="E755" s="821"/>
    </row>
    <row r="756">
      <c r="E756" s="821"/>
    </row>
    <row r="757">
      <c r="E757" s="821"/>
    </row>
    <row r="758">
      <c r="E758" s="821"/>
    </row>
    <row r="759">
      <c r="E759" s="821"/>
    </row>
    <row r="760">
      <c r="E760" s="821"/>
    </row>
    <row r="761">
      <c r="E761" s="821"/>
    </row>
    <row r="762">
      <c r="E762" s="821"/>
    </row>
    <row r="763">
      <c r="E763" s="821"/>
    </row>
    <row r="764">
      <c r="E764" s="821"/>
    </row>
    <row r="765">
      <c r="E765" s="821"/>
    </row>
    <row r="766">
      <c r="E766" s="821"/>
    </row>
    <row r="767">
      <c r="E767" s="821"/>
    </row>
    <row r="768">
      <c r="E768" s="821"/>
    </row>
    <row r="769">
      <c r="E769" s="821"/>
    </row>
    <row r="770">
      <c r="E770" s="821"/>
    </row>
    <row r="771">
      <c r="E771" s="821"/>
    </row>
    <row r="772">
      <c r="E772" s="821"/>
    </row>
    <row r="773">
      <c r="E773" s="821"/>
    </row>
    <row r="774">
      <c r="E774" s="821"/>
    </row>
    <row r="775">
      <c r="E775" s="821"/>
    </row>
    <row r="776">
      <c r="E776" s="821"/>
    </row>
    <row r="777">
      <c r="E777" s="821"/>
    </row>
    <row r="778">
      <c r="E778" s="821"/>
    </row>
    <row r="779">
      <c r="E779" s="821"/>
    </row>
    <row r="780">
      <c r="E780" s="821"/>
    </row>
    <row r="781">
      <c r="E781" s="821"/>
    </row>
    <row r="782">
      <c r="E782" s="821"/>
    </row>
    <row r="783">
      <c r="E783" s="821"/>
    </row>
    <row r="784">
      <c r="E784" s="821"/>
    </row>
    <row r="785">
      <c r="E785" s="821"/>
    </row>
    <row r="786">
      <c r="E786" s="821"/>
    </row>
    <row r="787">
      <c r="E787" s="821"/>
    </row>
    <row r="788">
      <c r="E788" s="821"/>
    </row>
    <row r="789">
      <c r="E789" s="821"/>
    </row>
    <row r="790">
      <c r="E790" s="821"/>
    </row>
    <row r="791">
      <c r="E791" s="821"/>
    </row>
    <row r="792">
      <c r="E792" s="821"/>
    </row>
    <row r="793">
      <c r="E793" s="821"/>
    </row>
    <row r="794">
      <c r="E794" s="821"/>
    </row>
    <row r="795">
      <c r="E795" s="821"/>
    </row>
    <row r="796">
      <c r="E796" s="821"/>
    </row>
    <row r="797">
      <c r="E797" s="821"/>
    </row>
    <row r="798">
      <c r="E798" s="821"/>
    </row>
    <row r="799">
      <c r="E799" s="821"/>
    </row>
    <row r="800">
      <c r="E800" s="821"/>
    </row>
    <row r="801">
      <c r="E801" s="821"/>
    </row>
    <row r="802">
      <c r="E802" s="821"/>
    </row>
    <row r="803">
      <c r="E803" s="821"/>
    </row>
    <row r="804">
      <c r="E804" s="821"/>
    </row>
    <row r="805">
      <c r="E805" s="821"/>
    </row>
    <row r="806">
      <c r="E806" s="821"/>
    </row>
    <row r="807">
      <c r="E807" s="821"/>
    </row>
    <row r="808">
      <c r="E808" s="821"/>
    </row>
    <row r="809">
      <c r="E809" s="821"/>
    </row>
    <row r="810">
      <c r="E810" s="821"/>
    </row>
    <row r="811">
      <c r="E811" s="821"/>
    </row>
    <row r="812">
      <c r="E812" s="821"/>
    </row>
    <row r="813">
      <c r="E813" s="821"/>
    </row>
    <row r="814">
      <c r="E814" s="821"/>
    </row>
    <row r="815">
      <c r="E815" s="821"/>
    </row>
    <row r="816">
      <c r="E816" s="821"/>
    </row>
    <row r="817">
      <c r="E817" s="821"/>
    </row>
    <row r="818">
      <c r="E818" s="821"/>
    </row>
    <row r="819">
      <c r="E819" s="821"/>
    </row>
    <row r="820">
      <c r="E820" s="821"/>
    </row>
    <row r="821">
      <c r="E821" s="821"/>
    </row>
    <row r="822">
      <c r="E822" s="821"/>
    </row>
    <row r="823">
      <c r="E823" s="821"/>
    </row>
    <row r="824">
      <c r="E824" s="821"/>
    </row>
    <row r="825">
      <c r="E825" s="821"/>
    </row>
    <row r="826">
      <c r="E826" s="821"/>
    </row>
    <row r="827">
      <c r="E827" s="821"/>
    </row>
    <row r="828">
      <c r="E828" s="821"/>
    </row>
    <row r="829">
      <c r="E829" s="821"/>
    </row>
    <row r="830">
      <c r="E830" s="821"/>
    </row>
    <row r="831">
      <c r="E831" s="821"/>
    </row>
    <row r="832">
      <c r="E832" s="821"/>
    </row>
    <row r="833">
      <c r="E833" s="821"/>
    </row>
    <row r="834">
      <c r="E834" s="821"/>
    </row>
    <row r="835">
      <c r="E835" s="821"/>
    </row>
    <row r="836">
      <c r="E836" s="821"/>
    </row>
    <row r="837">
      <c r="E837" s="821"/>
    </row>
    <row r="838">
      <c r="E838" s="821"/>
    </row>
    <row r="839">
      <c r="E839" s="821"/>
    </row>
    <row r="840">
      <c r="E840" s="821"/>
    </row>
    <row r="841">
      <c r="E841" s="821"/>
    </row>
    <row r="842">
      <c r="E842" s="821"/>
    </row>
    <row r="843">
      <c r="E843" s="821"/>
    </row>
    <row r="844">
      <c r="E844" s="821"/>
    </row>
    <row r="845">
      <c r="E845" s="821"/>
    </row>
    <row r="846">
      <c r="E846" s="821"/>
    </row>
    <row r="847">
      <c r="E847" s="821"/>
    </row>
    <row r="848">
      <c r="E848" s="821"/>
    </row>
    <row r="849">
      <c r="E849" s="821"/>
    </row>
    <row r="850">
      <c r="E850" s="821"/>
    </row>
    <row r="851">
      <c r="E851" s="821"/>
    </row>
    <row r="852">
      <c r="E852" s="821"/>
    </row>
    <row r="853">
      <c r="E853" s="821"/>
    </row>
    <row r="854">
      <c r="E854" s="821"/>
    </row>
    <row r="855">
      <c r="E855" s="821"/>
    </row>
    <row r="856">
      <c r="E856" s="821"/>
    </row>
    <row r="857">
      <c r="E857" s="821"/>
    </row>
    <row r="858">
      <c r="E858" s="821"/>
    </row>
    <row r="859">
      <c r="E859" s="821"/>
    </row>
    <row r="860">
      <c r="E860" s="821"/>
    </row>
    <row r="861">
      <c r="E861" s="821"/>
    </row>
    <row r="862">
      <c r="E862" s="821"/>
    </row>
    <row r="863">
      <c r="E863" s="821"/>
    </row>
    <row r="864">
      <c r="E864" s="821"/>
    </row>
    <row r="865">
      <c r="E865" s="821"/>
    </row>
    <row r="866">
      <c r="E866" s="821"/>
    </row>
    <row r="867">
      <c r="E867" s="821"/>
    </row>
    <row r="868">
      <c r="E868" s="821"/>
    </row>
    <row r="869">
      <c r="E869" s="821"/>
    </row>
    <row r="870">
      <c r="E870" s="821"/>
    </row>
    <row r="871">
      <c r="E871" s="821"/>
    </row>
    <row r="872">
      <c r="E872" s="821"/>
    </row>
    <row r="873">
      <c r="E873" s="821"/>
    </row>
    <row r="874">
      <c r="E874" s="821"/>
    </row>
    <row r="875">
      <c r="E875" s="821"/>
    </row>
    <row r="876">
      <c r="E876" s="821"/>
    </row>
    <row r="877">
      <c r="E877" s="821"/>
    </row>
    <row r="878">
      <c r="E878" s="821"/>
    </row>
    <row r="879">
      <c r="E879" s="821"/>
    </row>
    <row r="880">
      <c r="E880" s="821"/>
    </row>
    <row r="881">
      <c r="E881" s="821"/>
    </row>
    <row r="882">
      <c r="E882" s="821"/>
    </row>
    <row r="883">
      <c r="E883" s="821"/>
    </row>
    <row r="884">
      <c r="E884" s="821"/>
    </row>
    <row r="885">
      <c r="E885" s="821"/>
    </row>
    <row r="886">
      <c r="E886" s="821"/>
    </row>
    <row r="887">
      <c r="E887" s="821"/>
    </row>
    <row r="888">
      <c r="E888" s="821"/>
    </row>
    <row r="889">
      <c r="E889" s="821"/>
    </row>
    <row r="890">
      <c r="E890" s="821"/>
    </row>
    <row r="891">
      <c r="E891" s="821"/>
    </row>
    <row r="892">
      <c r="E892" s="821"/>
    </row>
    <row r="893">
      <c r="E893" s="821"/>
    </row>
    <row r="894">
      <c r="E894" s="821"/>
    </row>
    <row r="895">
      <c r="E895" s="821"/>
    </row>
    <row r="896">
      <c r="E896" s="821"/>
    </row>
    <row r="897">
      <c r="E897" s="821"/>
    </row>
    <row r="898">
      <c r="E898" s="821"/>
    </row>
    <row r="899">
      <c r="E899" s="821"/>
    </row>
    <row r="900">
      <c r="E900" s="821"/>
    </row>
    <row r="901">
      <c r="E901" s="821"/>
    </row>
    <row r="902">
      <c r="E902" s="821"/>
    </row>
    <row r="903">
      <c r="E903" s="821"/>
    </row>
    <row r="904">
      <c r="E904" s="821"/>
    </row>
    <row r="905">
      <c r="E905" s="821"/>
    </row>
    <row r="906">
      <c r="E906" s="821"/>
    </row>
    <row r="907">
      <c r="E907" s="821"/>
    </row>
    <row r="908">
      <c r="E908" s="821"/>
    </row>
    <row r="909">
      <c r="E909" s="821"/>
    </row>
    <row r="910">
      <c r="E910" s="821"/>
    </row>
    <row r="911">
      <c r="E911" s="821"/>
    </row>
    <row r="912">
      <c r="E912" s="821"/>
    </row>
    <row r="913">
      <c r="E913" s="821"/>
    </row>
    <row r="914">
      <c r="E914" s="821"/>
    </row>
    <row r="915">
      <c r="E915" s="821"/>
    </row>
    <row r="916">
      <c r="E916" s="821"/>
    </row>
    <row r="917">
      <c r="E917" s="821"/>
    </row>
    <row r="918">
      <c r="E918" s="821"/>
    </row>
    <row r="919">
      <c r="E919" s="821"/>
    </row>
    <row r="920">
      <c r="E920" s="821"/>
    </row>
    <row r="921">
      <c r="E921" s="821"/>
    </row>
    <row r="922">
      <c r="E922" s="821"/>
    </row>
    <row r="923">
      <c r="E923" s="821"/>
    </row>
    <row r="924">
      <c r="E924" s="821"/>
    </row>
    <row r="925">
      <c r="E925" s="821"/>
    </row>
    <row r="926">
      <c r="E926" s="821"/>
    </row>
    <row r="927">
      <c r="E927" s="821"/>
    </row>
    <row r="928">
      <c r="E928" s="821"/>
    </row>
    <row r="929">
      <c r="E929" s="821"/>
    </row>
    <row r="930">
      <c r="E930" s="821"/>
    </row>
    <row r="931">
      <c r="E931" s="821"/>
    </row>
    <row r="932">
      <c r="E932" s="821"/>
    </row>
    <row r="933">
      <c r="E933" s="821"/>
    </row>
    <row r="934">
      <c r="E934" s="821"/>
    </row>
    <row r="935">
      <c r="E935" s="821"/>
    </row>
    <row r="936">
      <c r="E936" s="821"/>
    </row>
    <row r="937">
      <c r="E937" s="821"/>
    </row>
    <row r="938">
      <c r="E938" s="821"/>
    </row>
    <row r="939">
      <c r="E939" s="821"/>
    </row>
    <row r="940">
      <c r="E940" s="821"/>
    </row>
    <row r="941">
      <c r="E941" s="821"/>
    </row>
    <row r="942">
      <c r="E942" s="821"/>
    </row>
    <row r="943">
      <c r="E943" s="821"/>
    </row>
    <row r="944">
      <c r="E944" s="821"/>
    </row>
    <row r="945">
      <c r="E945" s="821"/>
    </row>
    <row r="946">
      <c r="E946" s="821"/>
    </row>
    <row r="947">
      <c r="E947" s="821"/>
    </row>
    <row r="948">
      <c r="E948" s="821"/>
    </row>
    <row r="949">
      <c r="E949" s="821"/>
    </row>
    <row r="950">
      <c r="E950" s="821"/>
    </row>
    <row r="951">
      <c r="E951" s="821"/>
    </row>
    <row r="952">
      <c r="E952" s="821"/>
    </row>
    <row r="953">
      <c r="E953" s="821"/>
    </row>
    <row r="954">
      <c r="E954" s="821"/>
    </row>
    <row r="955">
      <c r="E955" s="821"/>
    </row>
    <row r="956">
      <c r="E956" s="821"/>
    </row>
    <row r="957">
      <c r="E957" s="821"/>
    </row>
    <row r="958">
      <c r="E958" s="821"/>
    </row>
    <row r="959">
      <c r="E959" s="821"/>
    </row>
    <row r="960">
      <c r="E960" s="821"/>
    </row>
    <row r="961">
      <c r="E961" s="821"/>
    </row>
    <row r="962">
      <c r="E962" s="821"/>
    </row>
    <row r="963">
      <c r="E963" s="821"/>
    </row>
    <row r="964">
      <c r="E964" s="821"/>
    </row>
    <row r="965">
      <c r="E965" s="821"/>
    </row>
    <row r="966">
      <c r="E966" s="821"/>
    </row>
    <row r="967">
      <c r="E967" s="821"/>
    </row>
    <row r="968">
      <c r="E968" s="821"/>
    </row>
    <row r="969">
      <c r="E969" s="821"/>
    </row>
    <row r="970">
      <c r="E970" s="821"/>
    </row>
    <row r="971">
      <c r="E971" s="821"/>
    </row>
    <row r="972">
      <c r="E972" s="821"/>
    </row>
    <row r="973">
      <c r="E973" s="821"/>
    </row>
    <row r="974">
      <c r="E974" s="821"/>
    </row>
    <row r="975">
      <c r="E975" s="821"/>
    </row>
    <row r="976">
      <c r="E976" s="821"/>
    </row>
    <row r="977">
      <c r="E977" s="821"/>
    </row>
    <row r="978">
      <c r="E978" s="821"/>
    </row>
    <row r="979">
      <c r="E979" s="821"/>
    </row>
    <row r="980">
      <c r="E980" s="821"/>
    </row>
    <row r="981">
      <c r="E981" s="821"/>
    </row>
    <row r="982">
      <c r="E982" s="821"/>
    </row>
    <row r="983">
      <c r="E983" s="821"/>
    </row>
    <row r="984">
      <c r="E984" s="821"/>
    </row>
    <row r="985">
      <c r="E985" s="821"/>
    </row>
    <row r="986">
      <c r="E986" s="821"/>
    </row>
    <row r="987">
      <c r="E987" s="821"/>
    </row>
    <row r="988">
      <c r="E988" s="821"/>
    </row>
    <row r="989">
      <c r="E989" s="821"/>
    </row>
    <row r="990">
      <c r="E990" s="821"/>
    </row>
    <row r="991">
      <c r="E991" s="821"/>
    </row>
    <row r="992">
      <c r="E992" s="821"/>
    </row>
    <row r="993">
      <c r="E993" s="821"/>
    </row>
    <row r="994">
      <c r="E994" s="821"/>
    </row>
    <row r="995">
      <c r="E995" s="821"/>
    </row>
    <row r="996">
      <c r="E996" s="821"/>
    </row>
    <row r="997">
      <c r="E997" s="821"/>
    </row>
    <row r="998">
      <c r="E998" s="821"/>
    </row>
    <row r="999">
      <c r="E999" s="821"/>
    </row>
    <row r="1000">
      <c r="E1000" s="821"/>
    </row>
    <row r="1001">
      <c r="E1001" s="821"/>
    </row>
    <row r="1002">
      <c r="E1002" s="821"/>
    </row>
    <row r="1003">
      <c r="E1003" s="821"/>
    </row>
    <row r="1004">
      <c r="E1004" s="821"/>
    </row>
    <row r="1005">
      <c r="E1005" s="821"/>
    </row>
    <row r="1006">
      <c r="E1006" s="821"/>
    </row>
    <row r="1007">
      <c r="E1007" s="821"/>
    </row>
    <row r="1008">
      <c r="E1008" s="821"/>
    </row>
    <row r="1009">
      <c r="E1009" s="821"/>
    </row>
    <row r="1010">
      <c r="E1010" s="821"/>
    </row>
    <row r="1011">
      <c r="E1011" s="821"/>
    </row>
    <row r="1012">
      <c r="E1012" s="821"/>
    </row>
    <row r="1013">
      <c r="E1013" s="821"/>
    </row>
    <row r="1014">
      <c r="E1014" s="821"/>
    </row>
    <row r="1015">
      <c r="E1015" s="821"/>
    </row>
    <row r="1016">
      <c r="E1016" s="821"/>
    </row>
    <row r="1017">
      <c r="E1017" s="821"/>
    </row>
    <row r="1018">
      <c r="E1018" s="821"/>
    </row>
    <row r="1019">
      <c r="E1019" s="821"/>
    </row>
    <row r="1020">
      <c r="E1020" s="821"/>
    </row>
    <row r="1021">
      <c r="E1021" s="821"/>
    </row>
    <row r="1022">
      <c r="E1022" s="821"/>
    </row>
    <row r="1023">
      <c r="E1023" s="821"/>
    </row>
    <row r="1024">
      <c r="E1024" s="821"/>
    </row>
    <row r="1025">
      <c r="E1025" s="821"/>
    </row>
    <row r="1026">
      <c r="E1026" s="821"/>
    </row>
    <row r="1027">
      <c r="E1027" s="821"/>
    </row>
    <row r="1028">
      <c r="E1028" s="821"/>
    </row>
    <row r="1029">
      <c r="E1029" s="821"/>
    </row>
    <row r="1030">
      <c r="E1030" s="821"/>
    </row>
    <row r="1031">
      <c r="E1031" s="821"/>
    </row>
    <row r="1032">
      <c r="E1032" s="821"/>
    </row>
    <row r="1033">
      <c r="E1033" s="821"/>
    </row>
    <row r="1034">
      <c r="E1034" s="821"/>
    </row>
    <row r="1035">
      <c r="E1035" s="821"/>
    </row>
    <row r="1036">
      <c r="E1036" s="821"/>
    </row>
    <row r="1037">
      <c r="E1037" s="821"/>
    </row>
    <row r="1038">
      <c r="E1038" s="821"/>
    </row>
    <row r="1039">
      <c r="E1039" s="821"/>
    </row>
    <row r="1040">
      <c r="E1040" s="821"/>
    </row>
    <row r="1041">
      <c r="E1041" s="821"/>
    </row>
    <row r="1042">
      <c r="E1042" s="821"/>
    </row>
    <row r="1043">
      <c r="E1043" s="821"/>
    </row>
    <row r="1044">
      <c r="E1044" s="821"/>
    </row>
    <row r="1045">
      <c r="E1045" s="821"/>
    </row>
    <row r="1046">
      <c r="E1046" s="821"/>
    </row>
    <row r="1047">
      <c r="E1047" s="821"/>
    </row>
    <row r="1048">
      <c r="E1048" s="821"/>
    </row>
  </sheetData>
  <mergeCells count="7">
    <mergeCell ref="A1:E1"/>
    <mergeCell ref="A3:E3"/>
    <mergeCell ref="A4:E4"/>
    <mergeCell ref="A6:E6"/>
    <mergeCell ref="A9:E9"/>
    <mergeCell ref="A11:E11"/>
    <mergeCell ref="A12:E12"/>
  </mergeCells>
  <dataValidations>
    <dataValidation type="list" allowBlank="1" showErrorMessage="1" sqref="A4">
      <formula1>"🩺 Interview Impressions"</formula1>
    </dataValidation>
  </dataValidations>
  <hyperlinks>
    <hyperlink display="🩺 Prelim Applicant Chat " location="'Prelim Chat'!C9" ref="A3"/>
  </hyperlinks>
  <printOptions gridLines="1" horizontalCentered="1"/>
  <pageMargins bottom="0.75" footer="0.0" header="0.0" left="0.7" right="0.7" top="0.75"/>
  <pageSetup fitToHeight="0" cellComments="atEnd" orientation="landscape" pageOrder="overThenDown" paperHeight="14in" paperWidth="17i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6.75"/>
    <col customWidth="1" min="5" max="5" width="17.5"/>
    <col customWidth="1" min="6" max="6" width="25.5"/>
    <col customWidth="1" min="7" max="7" width="6.5"/>
    <col customWidth="1" min="9" max="9" width="89.25"/>
    <col customWidth="1" min="10" max="10" width="74.5"/>
    <col customWidth="1" min="11" max="11" width="26.63"/>
  </cols>
  <sheetData>
    <row r="1">
      <c r="A1" s="1010" t="s">
        <v>6600</v>
      </c>
      <c r="B1" s="1011" t="s">
        <v>6602</v>
      </c>
      <c r="C1" s="1011" t="s">
        <v>6603</v>
      </c>
      <c r="D1" s="1011" t="s">
        <v>6604</v>
      </c>
      <c r="E1" s="1011" t="s">
        <v>6606</v>
      </c>
      <c r="F1" s="1011" t="s">
        <v>6607</v>
      </c>
      <c r="G1" s="1011" t="s">
        <v>6608</v>
      </c>
      <c r="H1" s="1011" t="s">
        <v>6609</v>
      </c>
      <c r="I1" s="1011" t="s">
        <v>6610</v>
      </c>
      <c r="J1" s="1012"/>
      <c r="K1" s="1012"/>
    </row>
    <row r="2">
      <c r="A2" s="1013" t="s">
        <v>6612</v>
      </c>
      <c r="B2" s="1013">
        <v>2.0</v>
      </c>
      <c r="C2" s="1014">
        <v>45617.0</v>
      </c>
      <c r="D2" s="1014">
        <v>45609.0</v>
      </c>
      <c r="E2" s="1013" t="s">
        <v>6613</v>
      </c>
      <c r="F2" s="1013" t="s">
        <v>6614</v>
      </c>
      <c r="G2" s="1013"/>
      <c r="H2" s="1015"/>
      <c r="I2" s="1016" t="s">
        <v>6615</v>
      </c>
      <c r="J2" s="1017"/>
      <c r="K2" s="1017"/>
    </row>
    <row r="3" ht="45.0" customHeight="1">
      <c r="A3" s="1013" t="s">
        <v>1426</v>
      </c>
      <c r="B3" s="1015"/>
      <c r="C3" s="1014">
        <v>45617.0</v>
      </c>
      <c r="D3" s="1014">
        <v>45610.0</v>
      </c>
      <c r="E3" s="1013" t="s">
        <v>6616</v>
      </c>
      <c r="F3" s="1013" t="s">
        <v>6614</v>
      </c>
      <c r="G3" s="1015"/>
      <c r="H3" s="1015"/>
      <c r="I3" s="1018" t="s">
        <v>6617</v>
      </c>
      <c r="J3" s="1018" t="s">
        <v>6618</v>
      </c>
      <c r="K3" s="1018" t="s">
        <v>6619</v>
      </c>
    </row>
    <row r="4">
      <c r="A4" s="1018" t="s">
        <v>443</v>
      </c>
      <c r="B4" s="1013">
        <v>4.0</v>
      </c>
      <c r="C4" s="1014">
        <v>45617.0</v>
      </c>
      <c r="D4" s="1014">
        <v>45600.0</v>
      </c>
      <c r="E4" s="1013" t="s">
        <v>6620</v>
      </c>
      <c r="F4" s="1013" t="s">
        <v>6621</v>
      </c>
      <c r="G4" s="1015"/>
      <c r="H4" s="1015"/>
      <c r="I4" s="1013" t="s">
        <v>6622</v>
      </c>
      <c r="J4" s="1018" t="s">
        <v>6623</v>
      </c>
      <c r="K4" s="1019"/>
    </row>
    <row r="5">
      <c r="A5" s="1013" t="s">
        <v>6624</v>
      </c>
      <c r="B5" s="1015"/>
      <c r="C5" s="1014">
        <v>45617.0</v>
      </c>
      <c r="D5" s="1015"/>
      <c r="E5" s="1013" t="s">
        <v>6613</v>
      </c>
      <c r="F5" s="1013" t="s">
        <v>6621</v>
      </c>
      <c r="G5" s="1015"/>
      <c r="H5" s="1015"/>
      <c r="I5" s="1013" t="s">
        <v>6625</v>
      </c>
      <c r="J5" s="1015"/>
      <c r="K5" s="1015"/>
    </row>
    <row r="6">
      <c r="A6" s="1013" t="s">
        <v>6626</v>
      </c>
      <c r="B6" s="1015">
        <f>2</f>
        <v>2</v>
      </c>
      <c r="C6" s="1015"/>
      <c r="D6" s="1015"/>
      <c r="E6" s="1013" t="s">
        <v>6616</v>
      </c>
      <c r="F6" s="1013" t="s">
        <v>6621</v>
      </c>
      <c r="G6" s="1015"/>
      <c r="H6" s="1015"/>
      <c r="I6" s="1013" t="s">
        <v>6627</v>
      </c>
      <c r="J6" s="1015"/>
      <c r="K6" s="1015"/>
    </row>
    <row r="7">
      <c r="A7" s="1013" t="s">
        <v>5847</v>
      </c>
      <c r="B7" s="1013">
        <v>1.0</v>
      </c>
      <c r="C7" s="1015"/>
      <c r="D7" s="1015"/>
      <c r="E7" s="1013" t="s">
        <v>6628</v>
      </c>
      <c r="F7" s="1013" t="s">
        <v>6621</v>
      </c>
      <c r="G7" s="1015"/>
      <c r="H7" s="1015"/>
      <c r="J7" s="1015"/>
      <c r="K7" s="1015"/>
    </row>
    <row r="8">
      <c r="A8" s="1013" t="s">
        <v>1809</v>
      </c>
      <c r="B8" s="1020">
        <v>5.0</v>
      </c>
      <c r="C8" s="1015"/>
      <c r="D8" s="1015"/>
      <c r="E8" s="1013" t="s">
        <v>6629</v>
      </c>
      <c r="F8" s="1013" t="s">
        <v>6621</v>
      </c>
      <c r="G8" s="1015"/>
      <c r="H8" s="1015"/>
      <c r="I8" s="1013" t="s">
        <v>6630</v>
      </c>
      <c r="J8" s="1018" t="s">
        <v>6631</v>
      </c>
      <c r="K8" s="1015"/>
      <c r="M8" s="886"/>
    </row>
    <row r="9">
      <c r="A9" s="1013" t="s">
        <v>1518</v>
      </c>
      <c r="B9" s="1013">
        <v>2.0</v>
      </c>
      <c r="C9" s="1015"/>
      <c r="D9" s="1015"/>
      <c r="E9" s="1013" t="s">
        <v>6616</v>
      </c>
      <c r="F9" s="1013" t="s">
        <v>6621</v>
      </c>
      <c r="G9" s="1015"/>
      <c r="H9" s="1015"/>
      <c r="I9" s="1013" t="s">
        <v>6632</v>
      </c>
      <c r="J9" s="1015"/>
      <c r="K9" s="1015"/>
    </row>
    <row r="10">
      <c r="A10" s="1013" t="s">
        <v>1199</v>
      </c>
      <c r="B10" s="1013">
        <v>3.0</v>
      </c>
      <c r="C10" s="1014">
        <v>45623.0</v>
      </c>
      <c r="D10" s="1015"/>
      <c r="E10" s="1013" t="s">
        <v>6616</v>
      </c>
      <c r="F10" s="1013" t="s">
        <v>6621</v>
      </c>
      <c r="G10" s="1015"/>
      <c r="H10" s="1015"/>
      <c r="I10" s="1013" t="s">
        <v>6634</v>
      </c>
      <c r="J10" s="1015"/>
      <c r="K10" s="1015"/>
    </row>
    <row r="11">
      <c r="A11" s="1013" t="s">
        <v>6636</v>
      </c>
      <c r="B11" s="1015"/>
      <c r="C11" s="1014">
        <v>45613.0</v>
      </c>
      <c r="D11" s="1014">
        <v>45611.0</v>
      </c>
      <c r="E11" s="1013" t="s">
        <v>6616</v>
      </c>
      <c r="F11" s="1013" t="s">
        <v>6621</v>
      </c>
      <c r="G11" s="1015"/>
      <c r="H11" s="1015"/>
      <c r="I11" s="1013" t="s">
        <v>6638</v>
      </c>
      <c r="J11" s="1015"/>
      <c r="K11" s="1015"/>
    </row>
    <row r="12">
      <c r="A12" s="1013" t="s">
        <v>2792</v>
      </c>
      <c r="B12" s="1015"/>
      <c r="C12" s="1014">
        <v>45626.0</v>
      </c>
      <c r="D12" s="1014">
        <v>45618.0</v>
      </c>
      <c r="E12" s="1013" t="s">
        <v>6616</v>
      </c>
      <c r="F12" s="1013" t="s">
        <v>6621</v>
      </c>
      <c r="G12" s="1015"/>
      <c r="H12" s="1015"/>
      <c r="I12" s="1013" t="s">
        <v>6639</v>
      </c>
      <c r="J12" s="1015"/>
      <c r="K12" s="1015"/>
    </row>
    <row r="13">
      <c r="A13" s="1013" t="s">
        <v>31</v>
      </c>
      <c r="B13" s="1013">
        <v>5.0</v>
      </c>
      <c r="C13" s="1015"/>
      <c r="D13" s="1015"/>
      <c r="E13" s="1013" t="s">
        <v>6616</v>
      </c>
      <c r="F13" s="1013" t="s">
        <v>6621</v>
      </c>
      <c r="G13" s="1015"/>
      <c r="H13" s="1015"/>
      <c r="I13" s="1013" t="s">
        <v>6640</v>
      </c>
      <c r="J13" s="1013" t="s">
        <v>6641</v>
      </c>
      <c r="K13" s="1015"/>
    </row>
    <row r="14">
      <c r="A14" s="1013" t="s">
        <v>1038</v>
      </c>
      <c r="B14" s="1013">
        <v>3.0</v>
      </c>
      <c r="C14" s="1015"/>
      <c r="D14" s="1015"/>
      <c r="E14" s="1013" t="s">
        <v>6629</v>
      </c>
      <c r="F14" s="1013" t="s">
        <v>6621</v>
      </c>
      <c r="G14" s="1015"/>
      <c r="H14" s="1015"/>
      <c r="I14" s="1013" t="s">
        <v>6643</v>
      </c>
      <c r="J14" s="1015"/>
      <c r="K14" s="1015"/>
    </row>
    <row r="15">
      <c r="A15" s="1013" t="s">
        <v>2587</v>
      </c>
      <c r="B15" s="1013">
        <v>2.0</v>
      </c>
      <c r="C15" s="889">
        <v>45614.0</v>
      </c>
      <c r="D15" s="1014">
        <v>45611.0</v>
      </c>
      <c r="E15" s="1013" t="s">
        <v>6616</v>
      </c>
      <c r="F15" s="1013" t="s">
        <v>6621</v>
      </c>
      <c r="G15" s="1015"/>
      <c r="H15" s="1015"/>
      <c r="I15" s="1013" t="s">
        <v>6645</v>
      </c>
      <c r="J15" s="1015"/>
      <c r="K15" s="1015"/>
    </row>
    <row r="16">
      <c r="A16" s="1013" t="s">
        <v>390</v>
      </c>
      <c r="B16" s="1015"/>
      <c r="C16" s="1014">
        <v>45631.0</v>
      </c>
      <c r="D16" s="1014">
        <v>45618.0</v>
      </c>
      <c r="E16" s="1013" t="s">
        <v>6646</v>
      </c>
      <c r="F16" s="1013" t="s">
        <v>6621</v>
      </c>
      <c r="G16" s="1015"/>
      <c r="H16" s="1013" t="s">
        <v>6647</v>
      </c>
      <c r="I16" s="1021" t="s">
        <v>6648</v>
      </c>
      <c r="J16" s="1015"/>
      <c r="K16" s="1015"/>
    </row>
    <row r="17">
      <c r="A17" s="1013" t="s">
        <v>6649</v>
      </c>
      <c r="B17" s="1013">
        <v>5.0</v>
      </c>
      <c r="C17" s="1014">
        <v>45635.0</v>
      </c>
      <c r="D17" s="1015"/>
      <c r="E17" s="1013" t="s">
        <v>6616</v>
      </c>
      <c r="F17" s="1013" t="s">
        <v>6621</v>
      </c>
      <c r="G17" s="1015"/>
      <c r="H17" s="1015"/>
      <c r="I17" s="1013" t="s">
        <v>6650</v>
      </c>
      <c r="J17" s="1015"/>
      <c r="K17" s="1015"/>
    </row>
    <row r="18">
      <c r="A18" s="1013" t="s">
        <v>784</v>
      </c>
      <c r="B18" s="1015"/>
      <c r="C18" s="1014">
        <v>45635.0</v>
      </c>
      <c r="D18" s="1015"/>
      <c r="E18" s="1013" t="s">
        <v>6652</v>
      </c>
      <c r="F18" s="1013" t="s">
        <v>6653</v>
      </c>
      <c r="G18" s="1015"/>
      <c r="H18" s="1015"/>
      <c r="I18" s="1013" t="s">
        <v>6654</v>
      </c>
      <c r="J18" s="1015"/>
      <c r="K18" s="1015"/>
    </row>
    <row r="19">
      <c r="A19" s="1013" t="s">
        <v>1015</v>
      </c>
      <c r="B19" s="1013">
        <v>3.0</v>
      </c>
      <c r="C19" s="1014">
        <v>45635.0</v>
      </c>
      <c r="D19" s="1015"/>
      <c r="E19" s="1013" t="s">
        <v>6629</v>
      </c>
      <c r="F19" s="1013" t="s">
        <v>6621</v>
      </c>
      <c r="G19" s="1015"/>
      <c r="H19" s="1015"/>
      <c r="I19" s="1013" t="s">
        <v>6655</v>
      </c>
      <c r="J19" s="1015"/>
      <c r="K19" s="1015"/>
    </row>
    <row r="20">
      <c r="A20" s="1013" t="s">
        <v>6657</v>
      </c>
      <c r="B20" s="1015"/>
      <c r="C20" s="1014">
        <v>45635.0</v>
      </c>
      <c r="D20" s="1014">
        <v>45632.0</v>
      </c>
      <c r="E20" s="1013" t="s">
        <v>6646</v>
      </c>
      <c r="F20" s="1013" t="s">
        <v>6621</v>
      </c>
      <c r="G20" s="1015"/>
      <c r="H20" s="1015"/>
      <c r="I20" s="1013" t="s">
        <v>6659</v>
      </c>
      <c r="J20" s="1015"/>
      <c r="K20" s="1015"/>
    </row>
    <row r="21">
      <c r="A21" s="1013" t="s">
        <v>6661</v>
      </c>
      <c r="B21" s="1013">
        <v>2.0</v>
      </c>
      <c r="C21" s="1013" t="s">
        <v>6662</v>
      </c>
      <c r="D21" s="1014">
        <v>45608.0</v>
      </c>
      <c r="E21" s="1013" t="s">
        <v>6616</v>
      </c>
      <c r="F21" s="1013" t="s">
        <v>6621</v>
      </c>
      <c r="G21" s="1015"/>
      <c r="H21" s="1015"/>
      <c r="I21" s="1013" t="s">
        <v>6663</v>
      </c>
      <c r="J21" s="1015"/>
      <c r="K21" s="1015"/>
    </row>
    <row r="22">
      <c r="A22" s="1013" t="s">
        <v>6664</v>
      </c>
      <c r="B22" s="1013">
        <v>2.0</v>
      </c>
      <c r="C22" s="1014">
        <v>45636.0</v>
      </c>
      <c r="D22" s="1014">
        <v>45637.0</v>
      </c>
      <c r="E22" s="1013" t="s">
        <v>6616</v>
      </c>
      <c r="F22" s="1013" t="s">
        <v>6621</v>
      </c>
      <c r="G22" s="1015"/>
      <c r="H22" s="1015"/>
      <c r="I22" s="1013" t="s">
        <v>6665</v>
      </c>
      <c r="J22" s="1015"/>
      <c r="K22" s="1015"/>
    </row>
    <row r="23">
      <c r="A23" s="1013" t="s">
        <v>1746</v>
      </c>
      <c r="B23" s="1015"/>
      <c r="C23" s="1014">
        <v>45638.0</v>
      </c>
      <c r="D23" s="1014">
        <v>45638.0</v>
      </c>
      <c r="E23" s="1013" t="s">
        <v>6613</v>
      </c>
      <c r="F23" s="1013" t="s">
        <v>6621</v>
      </c>
      <c r="G23" s="1015"/>
      <c r="H23" s="1015"/>
      <c r="I23" s="1013" t="s">
        <v>6655</v>
      </c>
      <c r="J23" s="1015"/>
      <c r="K23" s="1015"/>
    </row>
    <row r="24">
      <c r="A24" s="1013" t="s">
        <v>1465</v>
      </c>
      <c r="B24" s="1013">
        <v>2.0</v>
      </c>
      <c r="C24" s="1014">
        <v>45997.0</v>
      </c>
      <c r="D24" s="1015"/>
      <c r="E24" s="1013" t="s">
        <v>6616</v>
      </c>
      <c r="F24" s="1013" t="s">
        <v>6621</v>
      </c>
      <c r="G24" s="1015"/>
      <c r="H24" s="1015"/>
      <c r="I24" s="1013" t="s">
        <v>6666</v>
      </c>
      <c r="J24" s="1015"/>
      <c r="K24" s="1015"/>
    </row>
    <row r="25">
      <c r="A25" s="1013" t="s">
        <v>1929</v>
      </c>
      <c r="B25" s="1013">
        <v>3.0</v>
      </c>
      <c r="C25" s="1013" t="s">
        <v>6667</v>
      </c>
      <c r="D25" s="1015"/>
      <c r="E25" s="1013" t="s">
        <v>6668</v>
      </c>
      <c r="F25" s="1013" t="s">
        <v>6670</v>
      </c>
      <c r="G25" s="1015"/>
      <c r="H25" s="1015"/>
      <c r="I25" s="1013" t="s">
        <v>6671</v>
      </c>
      <c r="J25" s="1015"/>
      <c r="K25" s="1015"/>
    </row>
    <row r="26">
      <c r="A26" s="1013" t="s">
        <v>1095</v>
      </c>
      <c r="B26" s="1015"/>
      <c r="C26" s="1013" t="s">
        <v>6672</v>
      </c>
      <c r="D26" s="1015"/>
      <c r="E26" s="1013" t="s">
        <v>6616</v>
      </c>
      <c r="F26" s="1013" t="s">
        <v>6621</v>
      </c>
      <c r="G26" s="1015"/>
      <c r="H26" s="1015"/>
      <c r="I26" s="1013" t="s">
        <v>6673</v>
      </c>
      <c r="J26" s="1015"/>
      <c r="K26" s="1015"/>
    </row>
    <row r="27">
      <c r="A27" s="1013" t="s">
        <v>443</v>
      </c>
      <c r="B27" s="1013">
        <v>4.0</v>
      </c>
      <c r="C27" s="1014">
        <v>45642.0</v>
      </c>
      <c r="D27" s="1015"/>
      <c r="E27" s="1013" t="s">
        <v>6674</v>
      </c>
      <c r="F27" s="1013" t="s">
        <v>6621</v>
      </c>
      <c r="G27" s="1015"/>
      <c r="H27" s="1015"/>
      <c r="I27" s="1013" t="s">
        <v>6675</v>
      </c>
      <c r="J27" s="1015"/>
      <c r="K27" s="1015"/>
    </row>
    <row r="28">
      <c r="A28" s="1018" t="s">
        <v>447</v>
      </c>
      <c r="B28" s="1013">
        <v>4.0</v>
      </c>
      <c r="C28" s="1014">
        <v>45644.0</v>
      </c>
      <c r="D28" s="1014"/>
      <c r="E28" s="1013" t="s">
        <v>6620</v>
      </c>
      <c r="F28" s="1013" t="s">
        <v>6621</v>
      </c>
      <c r="G28" s="1015"/>
      <c r="H28" s="1015"/>
      <c r="I28" s="1013" t="s">
        <v>6676</v>
      </c>
      <c r="J28" s="1018"/>
      <c r="K28" s="1019"/>
    </row>
    <row r="29">
      <c r="A29" s="1013" t="s">
        <v>1802</v>
      </c>
      <c r="B29" s="1015"/>
      <c r="C29" s="1015"/>
      <c r="D29" s="1015"/>
      <c r="E29" s="1013" t="s">
        <v>6616</v>
      </c>
      <c r="F29" s="1013" t="s">
        <v>6621</v>
      </c>
      <c r="G29" s="1015"/>
      <c r="H29" s="1015"/>
      <c r="I29" s="1013" t="s">
        <v>6677</v>
      </c>
      <c r="J29" s="1015"/>
      <c r="K29" s="1015"/>
    </row>
    <row r="30">
      <c r="A30" s="1013" t="s">
        <v>6678</v>
      </c>
      <c r="B30" s="1013">
        <v>3.0</v>
      </c>
      <c r="C30" s="1015"/>
      <c r="D30" s="1015"/>
      <c r="E30" s="1013" t="s">
        <v>6629</v>
      </c>
      <c r="F30" s="1013" t="s">
        <v>6621</v>
      </c>
      <c r="G30" s="1015"/>
      <c r="H30" s="1015"/>
      <c r="I30" s="1013" t="s">
        <v>6679</v>
      </c>
      <c r="J30" s="1015"/>
      <c r="K30" s="1015"/>
    </row>
    <row r="31">
      <c r="A31" s="1013" t="s">
        <v>1746</v>
      </c>
      <c r="B31" s="1013">
        <v>2.0</v>
      </c>
      <c r="C31" s="1014">
        <v>45650.0</v>
      </c>
      <c r="D31" s="1014">
        <v>45638.0</v>
      </c>
      <c r="E31" s="1013" t="s">
        <v>6681</v>
      </c>
      <c r="F31" s="1013" t="s">
        <v>6621</v>
      </c>
      <c r="G31" s="1015"/>
      <c r="H31" s="1015"/>
      <c r="I31" s="1013" t="s">
        <v>6682</v>
      </c>
      <c r="J31" s="1015"/>
      <c r="K31" s="1015"/>
    </row>
    <row r="32">
      <c r="A32" s="1013" t="s">
        <v>2365</v>
      </c>
      <c r="B32" s="1015"/>
      <c r="C32" s="1015"/>
      <c r="D32" s="1015"/>
      <c r="E32" s="1013" t="s">
        <v>6683</v>
      </c>
      <c r="F32" s="1013" t="s">
        <v>6653</v>
      </c>
      <c r="G32" s="1015"/>
      <c r="H32" s="1015"/>
      <c r="I32" s="1013" t="s">
        <v>6684</v>
      </c>
      <c r="J32" s="1015"/>
      <c r="K32" s="1015"/>
    </row>
    <row r="33">
      <c r="A33" s="1013" t="s">
        <v>2048</v>
      </c>
      <c r="B33" s="1015"/>
      <c r="C33" s="1014">
        <v>45995.0</v>
      </c>
      <c r="D33" s="1014">
        <v>45981.0</v>
      </c>
      <c r="E33" s="1013" t="s">
        <v>6685</v>
      </c>
      <c r="F33" s="1013" t="s">
        <v>6653</v>
      </c>
      <c r="G33" s="1015"/>
      <c r="H33" s="1015"/>
      <c r="I33" s="1013" t="s">
        <v>3382</v>
      </c>
      <c r="J33" s="1015"/>
      <c r="K33" s="1015"/>
    </row>
    <row r="34">
      <c r="A34" s="1013" t="s">
        <v>2072</v>
      </c>
      <c r="B34" s="1013">
        <v>2.0</v>
      </c>
      <c r="C34" s="1014">
        <v>45663.0</v>
      </c>
      <c r="D34" s="1015"/>
      <c r="E34" s="1013" t="s">
        <v>6686</v>
      </c>
      <c r="F34" s="1013" t="s">
        <v>6621</v>
      </c>
      <c r="G34" s="1015"/>
      <c r="H34" s="1015"/>
      <c r="I34" s="1013" t="s">
        <v>6687</v>
      </c>
      <c r="J34" s="1015"/>
      <c r="K34" s="1015"/>
    </row>
    <row r="35">
      <c r="A35" s="1013" t="s">
        <v>5862</v>
      </c>
      <c r="B35" s="1013">
        <v>2.0</v>
      </c>
      <c r="C35" s="1014">
        <v>45663.0</v>
      </c>
      <c r="D35" s="1015"/>
      <c r="E35" s="1013" t="s">
        <v>6686</v>
      </c>
      <c r="F35" s="1013" t="s">
        <v>6614</v>
      </c>
      <c r="G35" s="1015"/>
      <c r="H35" s="1015"/>
      <c r="I35" s="1013" t="s">
        <v>6688</v>
      </c>
      <c r="J35" s="1015"/>
      <c r="K35" s="1015"/>
    </row>
    <row r="36">
      <c r="A36" s="1013" t="s">
        <v>6689</v>
      </c>
      <c r="B36" s="1013">
        <v>1.0</v>
      </c>
      <c r="C36" s="1015"/>
      <c r="D36" s="1015"/>
      <c r="E36" s="1013" t="s">
        <v>6690</v>
      </c>
      <c r="F36" s="1013" t="s">
        <v>6653</v>
      </c>
      <c r="G36" s="1015"/>
      <c r="H36" s="1015"/>
      <c r="I36" s="1013" t="s">
        <v>6691</v>
      </c>
      <c r="J36" s="1015"/>
      <c r="K36" s="1015"/>
    </row>
    <row r="37">
      <c r="A37" s="1013" t="s">
        <v>6535</v>
      </c>
      <c r="B37" s="1013">
        <v>2.0</v>
      </c>
      <c r="C37" s="1013" t="s">
        <v>6692</v>
      </c>
      <c r="D37" s="1015"/>
      <c r="E37" s="1013" t="s">
        <v>6686</v>
      </c>
      <c r="F37" s="1013" t="s">
        <v>6693</v>
      </c>
      <c r="G37" s="1015"/>
      <c r="H37" s="1015"/>
      <c r="I37" s="1013" t="s">
        <v>6694</v>
      </c>
      <c r="J37" s="1015"/>
      <c r="K37" s="1015"/>
    </row>
    <row r="38">
      <c r="A38" s="1013" t="s">
        <v>2547</v>
      </c>
      <c r="B38" s="1013">
        <v>3.0</v>
      </c>
      <c r="C38" s="1014">
        <v>45670.0</v>
      </c>
      <c r="D38" s="1015"/>
      <c r="E38" s="1013" t="s">
        <v>6686</v>
      </c>
      <c r="F38" s="1013" t="s">
        <v>6696</v>
      </c>
      <c r="G38" s="1015"/>
      <c r="H38" s="1015"/>
      <c r="I38" s="1013" t="s">
        <v>6697</v>
      </c>
      <c r="J38" s="1015"/>
      <c r="K38" s="1015"/>
    </row>
    <row r="39">
      <c r="A39" s="1013" t="s">
        <v>6698</v>
      </c>
      <c r="B39" s="1015"/>
      <c r="C39" s="1014">
        <v>45670.0</v>
      </c>
      <c r="D39" s="1015"/>
      <c r="E39" s="1013" t="s">
        <v>6674</v>
      </c>
      <c r="F39" s="1013" t="s">
        <v>6621</v>
      </c>
      <c r="G39" s="1015"/>
      <c r="H39" s="1015"/>
      <c r="I39" s="1013" t="s">
        <v>6699</v>
      </c>
      <c r="J39" s="1015"/>
      <c r="K39" s="1015"/>
    </row>
    <row r="40">
      <c r="A40" s="1013" t="s">
        <v>6578</v>
      </c>
      <c r="B40" s="1013">
        <v>2.0</v>
      </c>
      <c r="C40" s="1013" t="s">
        <v>6700</v>
      </c>
      <c r="D40" s="1015"/>
      <c r="E40" s="1013" t="s">
        <v>6616</v>
      </c>
      <c r="F40" s="1013" t="s">
        <v>6621</v>
      </c>
      <c r="G40" s="1015"/>
      <c r="H40" s="1015"/>
      <c r="I40" s="1013" t="s">
        <v>6701</v>
      </c>
      <c r="J40" s="1015"/>
      <c r="K40" s="1015"/>
    </row>
    <row r="41">
      <c r="A41" s="1013" t="s">
        <v>5806</v>
      </c>
      <c r="B41" s="1013">
        <v>3.0</v>
      </c>
      <c r="C41" s="1014">
        <v>45673.0</v>
      </c>
      <c r="D41" s="1015"/>
      <c r="E41" s="1013" t="s">
        <v>6686</v>
      </c>
      <c r="F41" s="1013" t="s">
        <v>6621</v>
      </c>
      <c r="G41" s="1015"/>
      <c r="H41" s="1015"/>
      <c r="I41" s="1013" t="s">
        <v>6688</v>
      </c>
      <c r="J41" s="1015"/>
      <c r="K41" s="1015"/>
    </row>
    <row r="42">
      <c r="A42" s="1013" t="s">
        <v>2701</v>
      </c>
      <c r="B42" s="1013">
        <v>3.0</v>
      </c>
      <c r="C42" s="1014">
        <v>45675.0</v>
      </c>
      <c r="D42" s="1015"/>
      <c r="E42" s="1013" t="s">
        <v>6616</v>
      </c>
      <c r="F42" s="1013" t="s">
        <v>6696</v>
      </c>
      <c r="G42" s="1015"/>
      <c r="H42" s="1015"/>
      <c r="I42" s="1013" t="s">
        <v>6703</v>
      </c>
      <c r="J42" s="1022" t="s">
        <v>6705</v>
      </c>
      <c r="K42" s="1015"/>
    </row>
    <row r="43">
      <c r="A43" s="1013" t="s">
        <v>293</v>
      </c>
      <c r="B43" s="1013">
        <v>7.0</v>
      </c>
      <c r="C43" s="1013" t="s">
        <v>6692</v>
      </c>
      <c r="D43" s="1015"/>
      <c r="E43" s="1013" t="s">
        <v>6686</v>
      </c>
      <c r="F43" s="1013" t="s">
        <v>6696</v>
      </c>
      <c r="G43" s="1015"/>
      <c r="H43" s="1015"/>
      <c r="I43" s="1013" t="s">
        <v>6708</v>
      </c>
      <c r="J43" s="1015"/>
      <c r="K43" s="1015"/>
    </row>
    <row r="44">
      <c r="A44" s="1013" t="s">
        <v>2072</v>
      </c>
      <c r="B44" s="1013">
        <v>2.0</v>
      </c>
      <c r="C44" s="1014">
        <v>45678.0</v>
      </c>
      <c r="D44" s="1015"/>
      <c r="E44" s="1013" t="s">
        <v>6686</v>
      </c>
      <c r="F44" s="1013" t="s">
        <v>6696</v>
      </c>
      <c r="G44" s="1015"/>
      <c r="H44" s="1015"/>
      <c r="I44" s="1013" t="s">
        <v>6710</v>
      </c>
      <c r="J44" s="1015"/>
      <c r="K44" s="1015"/>
    </row>
    <row r="45">
      <c r="A45" s="1013" t="s">
        <v>1173</v>
      </c>
      <c r="B45" s="1013">
        <v>4.0</v>
      </c>
      <c r="C45" s="1014">
        <v>45678.0</v>
      </c>
      <c r="D45" s="1015"/>
      <c r="E45" s="1013" t="s">
        <v>6685</v>
      </c>
      <c r="F45" s="1013" t="s">
        <v>6621</v>
      </c>
      <c r="G45" s="1015"/>
      <c r="H45" s="1015"/>
      <c r="I45" s="1013" t="s">
        <v>6688</v>
      </c>
      <c r="J45" s="1015"/>
      <c r="K45" s="1015"/>
    </row>
    <row r="46">
      <c r="A46" s="1013" t="s">
        <v>1173</v>
      </c>
      <c r="B46" s="1013">
        <v>2.0</v>
      </c>
      <c r="C46" s="1014">
        <v>45714.0</v>
      </c>
      <c r="D46" s="1015"/>
      <c r="E46" s="1013" t="s">
        <v>6711</v>
      </c>
      <c r="F46" s="1013" t="s">
        <v>6693</v>
      </c>
      <c r="G46" s="1015"/>
      <c r="H46" s="1015"/>
      <c r="I46" s="1013" t="s">
        <v>6712</v>
      </c>
      <c r="J46" s="1015"/>
      <c r="K46" s="1015"/>
    </row>
    <row r="47">
      <c r="A47" s="1013" t="s">
        <v>447</v>
      </c>
      <c r="B47" s="1013">
        <v>2.0</v>
      </c>
      <c r="C47" s="1014">
        <v>45678.0</v>
      </c>
      <c r="D47" s="1015"/>
      <c r="E47" s="1013" t="s">
        <v>6685</v>
      </c>
      <c r="F47" s="1013" t="s">
        <v>6696</v>
      </c>
      <c r="G47" s="1015"/>
      <c r="H47" s="1015"/>
      <c r="I47" s="1013" t="s">
        <v>6714</v>
      </c>
      <c r="J47" s="1015"/>
      <c r="K47" s="1015"/>
    </row>
    <row r="48">
      <c r="A48" s="1013" t="s">
        <v>2151</v>
      </c>
      <c r="B48" s="1013"/>
      <c r="C48" s="1013" t="s">
        <v>6692</v>
      </c>
      <c r="D48" s="1015"/>
      <c r="E48" s="1013" t="s">
        <v>6685</v>
      </c>
      <c r="F48" s="1013" t="s">
        <v>6696</v>
      </c>
      <c r="G48" s="1015"/>
      <c r="H48" s="1015"/>
      <c r="I48" s="1013" t="s">
        <v>6715</v>
      </c>
      <c r="J48" s="1015"/>
      <c r="K48" s="1015"/>
    </row>
    <row r="49">
      <c r="A49" s="1013" t="s">
        <v>6664</v>
      </c>
      <c r="B49" s="1013">
        <v>2.0</v>
      </c>
      <c r="C49" s="1013" t="s">
        <v>6692</v>
      </c>
      <c r="D49" s="1015"/>
      <c r="E49" s="1013" t="s">
        <v>6716</v>
      </c>
      <c r="F49" s="1013" t="s">
        <v>6693</v>
      </c>
      <c r="G49" s="1015"/>
      <c r="H49" s="1015"/>
      <c r="J49" s="1013" t="s">
        <v>6718</v>
      </c>
      <c r="K49" s="1015"/>
    </row>
    <row r="50">
      <c r="A50" s="1013" t="s">
        <v>157</v>
      </c>
      <c r="B50" s="1013">
        <v>5.0</v>
      </c>
      <c r="C50" s="1014">
        <v>45679.0</v>
      </c>
      <c r="D50" s="1015"/>
      <c r="E50" s="1013" t="s">
        <v>6685</v>
      </c>
      <c r="F50" s="1013" t="s">
        <v>6693</v>
      </c>
      <c r="G50" s="1015"/>
      <c r="H50" s="1015"/>
      <c r="I50" s="1013" t="s">
        <v>6720</v>
      </c>
      <c r="J50" s="1015"/>
      <c r="K50" s="1015"/>
    </row>
    <row r="51">
      <c r="A51" s="1013" t="s">
        <v>157</v>
      </c>
      <c r="B51" s="1013">
        <v>8.0</v>
      </c>
      <c r="C51" s="1014">
        <v>45680.0</v>
      </c>
      <c r="D51" s="1015"/>
      <c r="E51" s="1013" t="s">
        <v>6685</v>
      </c>
      <c r="F51" s="1013" t="s">
        <v>6653</v>
      </c>
      <c r="G51" s="1015"/>
      <c r="H51" s="1015"/>
      <c r="I51" s="1013" t="s">
        <v>6722</v>
      </c>
      <c r="J51" s="1015"/>
      <c r="K51" s="1015"/>
    </row>
    <row r="52">
      <c r="A52" s="1013" t="s">
        <v>6723</v>
      </c>
      <c r="B52" s="1013">
        <v>4.0</v>
      </c>
      <c r="C52" s="1014">
        <v>45680.0</v>
      </c>
      <c r="D52" s="1015"/>
      <c r="E52" s="1013" t="s">
        <v>6616</v>
      </c>
      <c r="F52" s="1013" t="s">
        <v>6696</v>
      </c>
      <c r="G52" s="1015"/>
      <c r="H52" s="1015"/>
      <c r="I52" s="1013" t="s">
        <v>6724</v>
      </c>
      <c r="J52" s="1015"/>
      <c r="K52" s="1015"/>
    </row>
    <row r="53">
      <c r="A53" s="1013" t="s">
        <v>6725</v>
      </c>
      <c r="B53" s="1015"/>
      <c r="C53" s="1015"/>
      <c r="D53" s="1015"/>
      <c r="E53" s="1015"/>
      <c r="F53" s="1015"/>
      <c r="G53" s="1015"/>
      <c r="H53" s="1015"/>
      <c r="I53" s="1013" t="s">
        <v>6726</v>
      </c>
      <c r="J53" s="1015"/>
      <c r="K53" s="1015"/>
    </row>
    <row r="54">
      <c r="A54" s="1013" t="s">
        <v>6727</v>
      </c>
      <c r="B54" s="1013">
        <v>3.0</v>
      </c>
      <c r="C54" s="1014">
        <v>45683.0</v>
      </c>
      <c r="D54" s="1015"/>
      <c r="E54" s="1013" t="s">
        <v>6728</v>
      </c>
      <c r="F54" s="1013" t="s">
        <v>6729</v>
      </c>
      <c r="G54" s="1015"/>
      <c r="H54" s="1015"/>
      <c r="I54" s="1013" t="s">
        <v>6730</v>
      </c>
      <c r="J54" s="1015"/>
      <c r="K54" s="1015"/>
    </row>
    <row r="55">
      <c r="A55" s="1013" t="s">
        <v>6731</v>
      </c>
      <c r="B55" s="1013">
        <v>4.0</v>
      </c>
      <c r="C55" s="1014">
        <v>45685.0</v>
      </c>
      <c r="D55" s="1015"/>
      <c r="E55" s="1013" t="s">
        <v>6728</v>
      </c>
      <c r="F55" s="1013" t="s">
        <v>6696</v>
      </c>
      <c r="G55" s="1015"/>
      <c r="H55" s="1015"/>
      <c r="I55" s="1018" t="s">
        <v>6732</v>
      </c>
      <c r="J55" s="1013" t="s">
        <v>6733</v>
      </c>
      <c r="K55" s="1013" t="s">
        <v>6734</v>
      </c>
    </row>
    <row r="56">
      <c r="A56" s="1013" t="s">
        <v>6736</v>
      </c>
      <c r="B56" s="1013">
        <v>1.0</v>
      </c>
      <c r="C56" s="1014">
        <v>45667.0</v>
      </c>
      <c r="D56" s="1015"/>
      <c r="E56" s="1013" t="s">
        <v>6737</v>
      </c>
      <c r="F56" s="1013" t="s">
        <v>6696</v>
      </c>
      <c r="G56" s="1015"/>
      <c r="H56" s="1015"/>
      <c r="I56" s="1013" t="s">
        <v>6714</v>
      </c>
      <c r="J56" s="1015"/>
      <c r="K56" s="1015"/>
    </row>
    <row r="57">
      <c r="A57" s="1013" t="s">
        <v>6738</v>
      </c>
      <c r="B57" s="1013">
        <v>5.0</v>
      </c>
      <c r="C57" s="1015"/>
      <c r="D57" s="1015"/>
      <c r="E57" s="1013" t="s">
        <v>6739</v>
      </c>
      <c r="F57" s="1015"/>
      <c r="G57" s="1015"/>
      <c r="H57" s="1015"/>
      <c r="I57" s="1013" t="s">
        <v>6740</v>
      </c>
      <c r="J57" s="1013" t="s">
        <v>6741</v>
      </c>
      <c r="K57" s="1015"/>
    </row>
    <row r="58">
      <c r="A58" s="1013" t="s">
        <v>293</v>
      </c>
      <c r="B58" s="1013">
        <v>2.0</v>
      </c>
      <c r="C58" s="1015"/>
      <c r="D58" s="1015"/>
      <c r="E58" s="1013" t="s">
        <v>6686</v>
      </c>
      <c r="F58" s="1013" t="s">
        <v>6696</v>
      </c>
      <c r="G58" s="1015"/>
      <c r="H58" s="1015"/>
      <c r="I58" s="1013" t="s">
        <v>6742</v>
      </c>
      <c r="J58" s="1015"/>
      <c r="K58" s="1015"/>
    </row>
    <row r="59">
      <c r="A59" s="1013" t="s">
        <v>3035</v>
      </c>
      <c r="B59" s="1013">
        <v>2.0</v>
      </c>
      <c r="C59" s="1023">
        <v>45672.0</v>
      </c>
      <c r="D59" s="1015"/>
      <c r="E59" s="1013" t="s">
        <v>6743</v>
      </c>
      <c r="F59" s="1013" t="s">
        <v>6696</v>
      </c>
      <c r="G59" s="1015"/>
      <c r="H59" s="1015"/>
      <c r="I59" s="1013" t="s">
        <v>6744</v>
      </c>
      <c r="J59" s="1015"/>
      <c r="K59" s="1015"/>
    </row>
    <row r="60">
      <c r="A60" s="1013" t="s">
        <v>2303</v>
      </c>
      <c r="B60" s="1013">
        <v>1.0</v>
      </c>
      <c r="C60" s="1015"/>
      <c r="D60" s="1015"/>
      <c r="E60" s="1013" t="s">
        <v>6686</v>
      </c>
      <c r="F60" s="1013" t="s">
        <v>6696</v>
      </c>
      <c r="G60" s="1015"/>
      <c r="H60" s="1015"/>
      <c r="I60" s="1013" t="s">
        <v>6714</v>
      </c>
      <c r="J60" s="1015"/>
      <c r="K60" s="1015"/>
    </row>
    <row r="61">
      <c r="A61" s="1013" t="s">
        <v>6746</v>
      </c>
      <c r="B61" s="1013">
        <v>2.0</v>
      </c>
      <c r="C61" s="1014">
        <v>45694.0</v>
      </c>
      <c r="D61" s="1015"/>
      <c r="E61" s="1013" t="s">
        <v>6690</v>
      </c>
      <c r="F61" s="1013" t="s">
        <v>6747</v>
      </c>
      <c r="G61" s="1015"/>
      <c r="H61" s="1015"/>
      <c r="I61" s="1013" t="s">
        <v>6749</v>
      </c>
      <c r="J61" s="1013" t="s">
        <v>6750</v>
      </c>
      <c r="K61" s="1015"/>
    </row>
    <row r="62">
      <c r="A62" s="1013" t="s">
        <v>3431</v>
      </c>
      <c r="B62" s="1013">
        <v>4.0</v>
      </c>
      <c r="C62" s="1014">
        <v>45695.0</v>
      </c>
      <c r="D62" s="1015"/>
      <c r="E62" s="1013" t="s">
        <v>6752</v>
      </c>
      <c r="F62" s="1013" t="s">
        <v>6753</v>
      </c>
      <c r="G62" s="1013" t="s">
        <v>6754</v>
      </c>
      <c r="H62" s="1015"/>
      <c r="I62" s="1013" t="s">
        <v>6755</v>
      </c>
      <c r="J62" s="1015"/>
      <c r="K62" s="1015"/>
    </row>
    <row r="63">
      <c r="A63" s="1013" t="s">
        <v>6624</v>
      </c>
      <c r="B63" s="1015"/>
      <c r="C63" s="1014">
        <v>45694.0</v>
      </c>
      <c r="D63" s="1015"/>
      <c r="E63" s="1013" t="s">
        <v>6686</v>
      </c>
      <c r="F63" s="1013" t="s">
        <v>6621</v>
      </c>
      <c r="G63" s="1015"/>
      <c r="H63" s="1015"/>
      <c r="I63" s="1013" t="s">
        <v>6756</v>
      </c>
      <c r="J63" s="1015"/>
      <c r="K63" s="1015"/>
    </row>
    <row r="64">
      <c r="A64" s="1013" t="s">
        <v>6757</v>
      </c>
      <c r="B64" s="1013">
        <v>4.0</v>
      </c>
      <c r="C64" s="1014">
        <v>45698.0</v>
      </c>
      <c r="D64" s="1015"/>
      <c r="E64" s="1013" t="s">
        <v>6686</v>
      </c>
      <c r="F64" s="1013" t="s">
        <v>6758</v>
      </c>
      <c r="G64" s="1015"/>
      <c r="H64" s="1015"/>
      <c r="I64" s="1018" t="s">
        <v>6760</v>
      </c>
      <c r="J64" s="1015"/>
      <c r="K64" s="1015"/>
    </row>
    <row r="65">
      <c r="A65" s="1013" t="s">
        <v>1123</v>
      </c>
      <c r="B65" s="1015"/>
      <c r="C65" s="1015"/>
      <c r="D65" s="1015"/>
      <c r="E65" s="1013" t="s">
        <v>6616</v>
      </c>
      <c r="F65" s="1013" t="s">
        <v>6621</v>
      </c>
      <c r="G65" s="1015"/>
      <c r="H65" s="1015"/>
      <c r="I65" s="1013" t="s">
        <v>6761</v>
      </c>
      <c r="J65" s="1015"/>
      <c r="K65" s="1015"/>
    </row>
    <row r="66">
      <c r="A66" s="1013" t="s">
        <v>6763</v>
      </c>
      <c r="B66" s="1015"/>
      <c r="C66" s="1014">
        <v>45698.0</v>
      </c>
      <c r="D66" s="1015"/>
      <c r="E66" s="1013" t="s">
        <v>6686</v>
      </c>
      <c r="F66" s="1013" t="s">
        <v>6621</v>
      </c>
      <c r="G66" s="1015"/>
      <c r="H66" s="1015"/>
      <c r="I66" s="1013" t="s">
        <v>6765</v>
      </c>
      <c r="J66" s="1015"/>
      <c r="K66" s="1015"/>
    </row>
    <row r="67">
      <c r="A67" s="1013" t="s">
        <v>6767</v>
      </c>
      <c r="B67" s="1013">
        <v>3.0</v>
      </c>
      <c r="C67" s="1015"/>
      <c r="D67" s="1015"/>
      <c r="E67" s="1013" t="s">
        <v>6685</v>
      </c>
      <c r="F67" s="1013" t="s">
        <v>6768</v>
      </c>
      <c r="G67" s="1015"/>
      <c r="H67" s="1015"/>
      <c r="I67" s="1015"/>
      <c r="J67" s="1015"/>
      <c r="K67" s="1015"/>
    </row>
    <row r="68">
      <c r="A68" s="1013" t="s">
        <v>6548</v>
      </c>
      <c r="B68" s="1013">
        <v>2.0</v>
      </c>
      <c r="C68" s="1014">
        <v>45702.0</v>
      </c>
      <c r="D68" s="1015"/>
      <c r="E68" s="1013" t="s">
        <v>6613</v>
      </c>
      <c r="F68" s="1013" t="s">
        <v>6747</v>
      </c>
      <c r="G68" s="1015"/>
      <c r="H68" s="1015"/>
      <c r="I68" s="1013" t="s">
        <v>6770</v>
      </c>
      <c r="J68" s="1015"/>
      <c r="K68" s="1015"/>
    </row>
    <row r="69">
      <c r="A69" s="1013" t="s">
        <v>6771</v>
      </c>
      <c r="B69" s="1015"/>
      <c r="C69" s="1015"/>
      <c r="D69" s="1015"/>
      <c r="E69" s="1013" t="s">
        <v>6685</v>
      </c>
      <c r="F69" s="1013" t="s">
        <v>6693</v>
      </c>
      <c r="G69" s="1015"/>
      <c r="H69" s="1015"/>
      <c r="I69" s="1013" t="s">
        <v>6772</v>
      </c>
      <c r="J69" s="1015"/>
      <c r="K69" s="1015"/>
    </row>
    <row r="70">
      <c r="A70" s="1013" t="s">
        <v>6773</v>
      </c>
      <c r="B70" s="1013">
        <v>2.0</v>
      </c>
      <c r="C70" s="1014">
        <v>45707.0</v>
      </c>
      <c r="D70" s="1015"/>
      <c r="E70" s="1013" t="s">
        <v>6774</v>
      </c>
      <c r="F70" s="1013" t="s">
        <v>6696</v>
      </c>
      <c r="G70" s="1015"/>
      <c r="H70" s="1015"/>
      <c r="I70" s="1013" t="s">
        <v>6775</v>
      </c>
      <c r="J70" s="1015"/>
      <c r="K70" s="1015"/>
    </row>
    <row r="71">
      <c r="A71" s="1013" t="s">
        <v>6535</v>
      </c>
      <c r="B71" s="1013">
        <v>6.0</v>
      </c>
      <c r="C71" s="1014">
        <v>45710.0</v>
      </c>
      <c r="D71" s="1015"/>
      <c r="E71" s="1013" t="s">
        <v>6776</v>
      </c>
      <c r="F71" s="1013" t="s">
        <v>6696</v>
      </c>
      <c r="G71" s="1013" t="s">
        <v>6777</v>
      </c>
      <c r="H71" s="1015"/>
      <c r="I71" s="1013" t="s">
        <v>6778</v>
      </c>
      <c r="J71" s="1015"/>
      <c r="K71" s="1015"/>
    </row>
    <row r="72">
      <c r="A72" s="1013" t="s">
        <v>2492</v>
      </c>
      <c r="B72" s="1013">
        <v>2.0</v>
      </c>
      <c r="C72" s="1014">
        <v>45688.0</v>
      </c>
      <c r="D72" s="1015"/>
      <c r="E72" s="1013" t="s">
        <v>6686</v>
      </c>
      <c r="F72" s="1013" t="s">
        <v>6781</v>
      </c>
      <c r="G72" s="1015"/>
      <c r="H72" s="1015"/>
      <c r="I72" s="1013" t="s">
        <v>6783</v>
      </c>
      <c r="J72" s="1015"/>
      <c r="K72" s="1015"/>
    </row>
    <row r="73">
      <c r="A73" s="1013" t="s">
        <v>1892</v>
      </c>
      <c r="B73" s="1015"/>
      <c r="C73" s="1015"/>
      <c r="D73" s="1015"/>
      <c r="E73" s="1013" t="s">
        <v>6686</v>
      </c>
      <c r="F73" s="1013" t="s">
        <v>6621</v>
      </c>
      <c r="G73" s="1015"/>
      <c r="H73" s="1015"/>
      <c r="I73" s="1013" t="s">
        <v>6784</v>
      </c>
      <c r="J73" s="1015"/>
      <c r="K73" s="1015"/>
    </row>
    <row r="74">
      <c r="A74" s="1013" t="s">
        <v>6785</v>
      </c>
      <c r="B74" s="1015"/>
      <c r="C74" s="1014">
        <v>45687.0</v>
      </c>
      <c r="D74" s="1015"/>
      <c r="E74" s="1013" t="s">
        <v>6743</v>
      </c>
      <c r="F74" s="1013" t="s">
        <v>6696</v>
      </c>
      <c r="G74" s="1015"/>
      <c r="H74" s="1015"/>
      <c r="I74" s="1013" t="s">
        <v>6786</v>
      </c>
      <c r="J74" s="1015"/>
      <c r="K74" s="1015"/>
    </row>
    <row r="75">
      <c r="A75" s="1013" t="s">
        <v>6763</v>
      </c>
      <c r="B75" s="1013">
        <v>1.0</v>
      </c>
      <c r="C75" s="1014">
        <v>45701.0</v>
      </c>
      <c r="D75" s="1015"/>
      <c r="E75" s="1013" t="s">
        <v>6686</v>
      </c>
      <c r="F75" s="1013" t="s">
        <v>6696</v>
      </c>
      <c r="G75" s="1015"/>
      <c r="H75" s="1015"/>
      <c r="I75" s="1013" t="s">
        <v>6786</v>
      </c>
      <c r="J75" s="1015"/>
      <c r="K75" s="1015"/>
    </row>
    <row r="76">
      <c r="A76" s="1013" t="s">
        <v>31</v>
      </c>
      <c r="B76" s="1013">
        <v>51.0</v>
      </c>
      <c r="C76" s="1015"/>
      <c r="D76" s="1015"/>
      <c r="E76" s="1013" t="s">
        <v>6728</v>
      </c>
      <c r="F76" s="1013" t="s">
        <v>6789</v>
      </c>
      <c r="G76" s="1015"/>
      <c r="H76" s="1015"/>
      <c r="I76" s="1013" t="s">
        <v>6790</v>
      </c>
      <c r="J76" s="1013" t="s">
        <v>1</v>
      </c>
      <c r="K76" s="1015"/>
    </row>
    <row r="77">
      <c r="A77" s="1013" t="s">
        <v>2036</v>
      </c>
      <c r="B77" s="1013">
        <v>3.0</v>
      </c>
      <c r="C77" s="1014">
        <v>45715.0</v>
      </c>
      <c r="D77" s="1015"/>
      <c r="E77" s="1013" t="s">
        <v>6613</v>
      </c>
      <c r="F77" s="1013" t="s">
        <v>6791</v>
      </c>
      <c r="G77" s="1015"/>
      <c r="H77" s="1015"/>
      <c r="I77" s="1013" t="s">
        <v>6792</v>
      </c>
      <c r="J77" s="1015"/>
      <c r="K77" s="1015"/>
    </row>
    <row r="78">
      <c r="A78" s="1013" t="s">
        <v>6793</v>
      </c>
      <c r="B78" s="1015"/>
      <c r="C78" s="1014">
        <v>45715.0</v>
      </c>
      <c r="D78" s="1015"/>
      <c r="E78" s="1013" t="s">
        <v>6613</v>
      </c>
      <c r="F78" s="1013" t="s">
        <v>6621</v>
      </c>
      <c r="G78" s="1015"/>
      <c r="H78" s="1015"/>
      <c r="I78" s="1013" t="s">
        <v>6794</v>
      </c>
      <c r="J78" s="1015"/>
      <c r="K78" s="1015"/>
    </row>
    <row r="79">
      <c r="A79" s="1013" t="s">
        <v>1038</v>
      </c>
      <c r="B79" s="1013">
        <v>4.0</v>
      </c>
      <c r="C79" s="1014">
        <v>45716.0</v>
      </c>
      <c r="D79" s="1015"/>
      <c r="E79" s="1013" t="s">
        <v>6613</v>
      </c>
      <c r="F79" s="1013" t="s">
        <v>6621</v>
      </c>
      <c r="G79" s="1015"/>
      <c r="H79" s="1015"/>
      <c r="I79" s="1013" t="s">
        <v>6795</v>
      </c>
      <c r="J79" s="1015"/>
      <c r="K79" s="1015"/>
    </row>
    <row r="80">
      <c r="A80" s="1013" t="s">
        <v>3026</v>
      </c>
      <c r="B80" s="1013">
        <v>2.0</v>
      </c>
      <c r="C80" s="1014">
        <v>45717.0</v>
      </c>
      <c r="D80" s="1015"/>
      <c r="E80" s="1013" t="s">
        <v>6796</v>
      </c>
      <c r="F80" s="1013" t="s">
        <v>6621</v>
      </c>
      <c r="G80" s="1015"/>
      <c r="H80" s="1015"/>
      <c r="I80" s="1013" t="s">
        <v>6797</v>
      </c>
      <c r="J80" s="1015"/>
      <c r="K80" s="1015"/>
    </row>
    <row r="81">
      <c r="A81" s="1013" t="s">
        <v>6799</v>
      </c>
      <c r="B81" s="1013">
        <v>3.0</v>
      </c>
      <c r="C81" s="1014">
        <v>45719.0</v>
      </c>
      <c r="D81" s="1015"/>
      <c r="E81" s="1013" t="s">
        <v>6613</v>
      </c>
      <c r="F81" s="1013" t="s">
        <v>6696</v>
      </c>
      <c r="G81" s="1015"/>
      <c r="H81" s="1015"/>
      <c r="I81" s="1013" t="s">
        <v>6800</v>
      </c>
      <c r="J81" s="1015"/>
      <c r="K81" s="1015"/>
    </row>
    <row r="82">
      <c r="A82" s="1013" t="s">
        <v>2307</v>
      </c>
      <c r="B82" s="1013">
        <v>3.0</v>
      </c>
      <c r="C82" s="1014">
        <v>45719.0</v>
      </c>
      <c r="D82" s="1015"/>
      <c r="E82" s="1013" t="s">
        <v>6613</v>
      </c>
      <c r="F82" s="1013" t="s">
        <v>6696</v>
      </c>
      <c r="G82" s="1015"/>
      <c r="H82" s="1015"/>
      <c r="I82" s="1013" t="s">
        <v>6802</v>
      </c>
      <c r="J82" s="1015"/>
      <c r="K82" s="1015"/>
    </row>
    <row r="83">
      <c r="A83" s="1013" t="s">
        <v>5799</v>
      </c>
      <c r="B83" s="1015"/>
      <c r="C83" s="1015"/>
      <c r="D83" s="1015"/>
      <c r="E83" s="1015"/>
      <c r="F83" s="1013" t="s">
        <v>6696</v>
      </c>
      <c r="G83" s="1015"/>
      <c r="H83" s="1015"/>
      <c r="I83" s="1013" t="s">
        <v>6803</v>
      </c>
      <c r="J83" s="1015"/>
      <c r="K83" s="1015"/>
    </row>
    <row r="84">
      <c r="A84" s="1013" t="s">
        <v>2401</v>
      </c>
      <c r="B84" s="1015"/>
      <c r="C84" s="1014">
        <v>45720.0</v>
      </c>
      <c r="D84" s="1014">
        <v>45664.0</v>
      </c>
      <c r="E84" s="1013" t="s">
        <v>6804</v>
      </c>
      <c r="F84" s="1013" t="s">
        <v>6696</v>
      </c>
      <c r="G84" s="1015"/>
      <c r="H84" s="1015"/>
      <c r="I84" s="1015"/>
      <c r="J84" s="1015"/>
      <c r="K84" s="1015"/>
    </row>
    <row r="85">
      <c r="A85" s="1013" t="s">
        <v>5799</v>
      </c>
      <c r="B85" s="1013">
        <v>1.0</v>
      </c>
      <c r="C85" s="1015"/>
      <c r="D85" s="1015"/>
      <c r="E85" s="1013" t="s">
        <v>6805</v>
      </c>
      <c r="F85" s="1013" t="s">
        <v>6696</v>
      </c>
      <c r="G85" s="1015"/>
      <c r="H85" s="1015"/>
      <c r="I85" s="1013" t="s">
        <v>6806</v>
      </c>
      <c r="J85" s="1015"/>
      <c r="K85" s="1015"/>
    </row>
    <row r="86">
      <c r="A86" s="1013" t="s">
        <v>362</v>
      </c>
      <c r="B86" s="1013">
        <v>2.0</v>
      </c>
      <c r="C86" s="1023">
        <v>45714.0</v>
      </c>
      <c r="D86" s="1015"/>
      <c r="E86" s="1013" t="s">
        <v>6686</v>
      </c>
      <c r="F86" s="1013" t="s">
        <v>6696</v>
      </c>
      <c r="G86" s="1015"/>
      <c r="H86" s="1015"/>
      <c r="I86" s="1013" t="s">
        <v>6807</v>
      </c>
      <c r="J86" s="1015"/>
      <c r="K86" s="1015"/>
    </row>
    <row r="87">
      <c r="A87" s="1013" t="s">
        <v>1518</v>
      </c>
      <c r="B87" s="1013">
        <v>1.0</v>
      </c>
      <c r="C87" s="1014">
        <v>45721.0</v>
      </c>
      <c r="D87" s="1015"/>
      <c r="E87" s="1013" t="s">
        <v>6674</v>
      </c>
      <c r="F87" s="1013" t="s">
        <v>6621</v>
      </c>
      <c r="G87" s="1015"/>
      <c r="H87" s="1015"/>
      <c r="I87" s="1013" t="s">
        <v>6809</v>
      </c>
      <c r="J87" s="1015"/>
      <c r="K87" s="1015"/>
    </row>
    <row r="88">
      <c r="A88" s="1013" t="s">
        <v>1721</v>
      </c>
      <c r="B88" s="1015"/>
      <c r="C88" s="1014">
        <v>45708.0</v>
      </c>
      <c r="D88" s="1015"/>
      <c r="E88" s="1013" t="s">
        <v>6613</v>
      </c>
      <c r="F88" s="1013" t="s">
        <v>6696</v>
      </c>
      <c r="G88" s="1015"/>
      <c r="H88" s="1015"/>
      <c r="I88" s="1013" t="s">
        <v>6807</v>
      </c>
      <c r="J88" s="1015"/>
      <c r="K88" s="1015"/>
    </row>
    <row r="89">
      <c r="A89" s="1015"/>
      <c r="B89" s="1015"/>
      <c r="C89" s="1015"/>
      <c r="D89" s="1015"/>
      <c r="E89" s="1015"/>
      <c r="F89" s="1015"/>
      <c r="G89" s="1015"/>
      <c r="H89" s="1015"/>
      <c r="I89" s="1015"/>
      <c r="J89" s="1015"/>
      <c r="K89" s="1015"/>
    </row>
    <row r="90">
      <c r="A90" s="1015"/>
      <c r="B90" s="1015"/>
      <c r="C90" s="1015"/>
      <c r="D90" s="1015"/>
      <c r="E90" s="1015"/>
      <c r="F90" s="1015"/>
      <c r="G90" s="1015"/>
      <c r="H90" s="1015"/>
      <c r="I90" s="1015"/>
      <c r="J90" s="1015"/>
      <c r="K90" s="1015"/>
    </row>
    <row r="91">
      <c r="A91" s="1015"/>
      <c r="B91" s="1015"/>
      <c r="C91" s="1015"/>
      <c r="D91" s="1015"/>
      <c r="E91" s="1015"/>
      <c r="F91" s="1015"/>
      <c r="G91" s="1015"/>
      <c r="H91" s="1015"/>
      <c r="I91" s="1015"/>
      <c r="J91" s="1015"/>
      <c r="K91" s="1015"/>
    </row>
    <row r="92">
      <c r="A92" s="1015"/>
      <c r="B92" s="1015"/>
      <c r="C92" s="1015"/>
      <c r="D92" s="1015"/>
      <c r="E92" s="1015"/>
      <c r="F92" s="1015"/>
      <c r="G92" s="1015"/>
      <c r="H92" s="1015"/>
      <c r="I92" s="1015"/>
      <c r="J92" s="1015"/>
      <c r="K92" s="1015"/>
    </row>
    <row r="93">
      <c r="A93" s="1015"/>
      <c r="B93" s="1015"/>
      <c r="C93" s="1015"/>
      <c r="D93" s="1015"/>
      <c r="E93" s="1015"/>
      <c r="F93" s="1015"/>
      <c r="G93" s="1015"/>
      <c r="H93" s="1015"/>
      <c r="I93" s="1015"/>
      <c r="J93" s="1015"/>
      <c r="K93" s="1015"/>
    </row>
    <row r="94">
      <c r="A94" s="1015"/>
      <c r="B94" s="1015"/>
      <c r="C94" s="1015"/>
      <c r="D94" s="1015"/>
      <c r="E94" s="1015"/>
      <c r="F94" s="1015"/>
      <c r="G94" s="1015"/>
      <c r="H94" s="1015"/>
      <c r="I94" s="1015"/>
      <c r="J94" s="1015"/>
      <c r="K94" s="1015"/>
    </row>
    <row r="95">
      <c r="A95" s="1015"/>
      <c r="B95" s="1015"/>
      <c r="C95" s="1015"/>
      <c r="D95" s="1015"/>
      <c r="E95" s="1015"/>
      <c r="F95" s="1015"/>
      <c r="G95" s="1015"/>
      <c r="H95" s="1015"/>
      <c r="I95" s="1015"/>
      <c r="J95" s="1015"/>
      <c r="K95" s="1015"/>
    </row>
    <row r="96">
      <c r="A96" s="1015"/>
      <c r="B96" s="1015"/>
      <c r="C96" s="1015"/>
      <c r="D96" s="1015"/>
      <c r="E96" s="1015"/>
      <c r="F96" s="1015"/>
      <c r="G96" s="1015"/>
      <c r="H96" s="1015"/>
      <c r="I96" s="1015"/>
      <c r="J96" s="1015"/>
      <c r="K96" s="1015"/>
    </row>
    <row r="97">
      <c r="A97" s="1015"/>
      <c r="B97" s="1015"/>
      <c r="C97" s="1015"/>
      <c r="D97" s="1015"/>
      <c r="E97" s="1015"/>
      <c r="F97" s="1015"/>
      <c r="G97" s="1015"/>
      <c r="H97" s="1015"/>
      <c r="I97" s="1015"/>
      <c r="J97" s="1015"/>
      <c r="K97" s="1015"/>
    </row>
    <row r="107">
      <c r="E107" s="923"/>
    </row>
  </sheetData>
  <dataValidations>
    <dataValidation type="list" allowBlank="1" showErrorMessage="1" sqref="I39">
      <formula1>"2nd look "</formula1>
    </dataValidation>
  </dataValidations>
  <printOptions gridLines="1" horizontalCentered="1"/>
  <pageMargins bottom="0.75" footer="0.0" header="0.0" left="0.7" right="0.7" top="0.75"/>
  <pageSetup fitToHeight="0"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1" max="2" width="9.5"/>
    <col customWidth="1" min="3" max="7" width="30.13"/>
  </cols>
  <sheetData>
    <row r="1">
      <c r="A1" s="1024"/>
    </row>
    <row r="3">
      <c r="A3" s="973" t="s">
        <v>6832</v>
      </c>
    </row>
    <row r="4">
      <c r="A4" s="1025" t="s">
        <v>6833</v>
      </c>
    </row>
    <row r="6">
      <c r="A6" s="1025" t="s">
        <v>6834</v>
      </c>
    </row>
    <row r="7">
      <c r="G7" s="821"/>
    </row>
    <row r="8">
      <c r="G8" s="821"/>
    </row>
    <row r="9">
      <c r="A9" s="1028" t="s">
        <v>6832</v>
      </c>
      <c r="B9" s="652"/>
      <c r="C9" s="652"/>
      <c r="D9" s="652"/>
      <c r="E9" s="652"/>
      <c r="F9" s="652"/>
      <c r="G9" s="823"/>
    </row>
    <row r="10">
      <c r="A10" s="1029" t="s">
        <v>6442</v>
      </c>
      <c r="B10" s="1030"/>
      <c r="C10" s="1030" t="s">
        <v>6444</v>
      </c>
      <c r="D10" s="1030"/>
      <c r="E10" s="1030" t="s">
        <v>6444</v>
      </c>
      <c r="F10" s="1030" t="s">
        <v>6445</v>
      </c>
      <c r="G10" s="1030" t="s">
        <v>6445</v>
      </c>
    </row>
    <row r="11" ht="39.0" customHeight="1">
      <c r="A11" s="1031"/>
      <c r="B11" s="1032"/>
      <c r="C11" s="1032"/>
      <c r="D11" s="1032"/>
      <c r="E11" s="1032"/>
      <c r="F11" s="1032"/>
      <c r="G11" s="1032"/>
    </row>
    <row r="12" ht="39.0" customHeight="1">
      <c r="A12" s="1031" t="s">
        <v>6835</v>
      </c>
      <c r="B12" s="652"/>
      <c r="C12" s="652"/>
      <c r="D12" s="652"/>
      <c r="E12" s="652"/>
      <c r="F12" s="652"/>
      <c r="G12" s="607"/>
    </row>
    <row r="13" ht="93.0" customHeight="1">
      <c r="A13" s="980">
        <v>45763.0</v>
      </c>
      <c r="B13" s="787"/>
      <c r="C13" s="34" t="s">
        <v>6836</v>
      </c>
      <c r="D13" s="787"/>
      <c r="E13" s="787"/>
      <c r="F13" s="787"/>
      <c r="G13" s="787"/>
    </row>
    <row r="14" ht="93.0" customHeight="1">
      <c r="A14" s="980">
        <v>45733.0</v>
      </c>
      <c r="B14" s="787"/>
      <c r="C14" s="34" t="s">
        <v>6837</v>
      </c>
      <c r="D14" s="787"/>
      <c r="E14" s="787"/>
      <c r="F14" s="787"/>
      <c r="G14" s="787"/>
    </row>
    <row r="15" ht="93.0" customHeight="1">
      <c r="A15" s="980">
        <v>45732.0</v>
      </c>
      <c r="B15" s="787"/>
      <c r="C15" s="34" t="s">
        <v>424</v>
      </c>
      <c r="D15" s="787">
        <v>7.0</v>
      </c>
      <c r="E15" s="787"/>
      <c r="F15" s="787"/>
      <c r="G15" s="787"/>
    </row>
    <row r="16" ht="93.0" customHeight="1">
      <c r="A16" s="980">
        <v>45731.0</v>
      </c>
      <c r="B16" s="787" t="s">
        <v>6838</v>
      </c>
      <c r="C16" s="34" t="s">
        <v>6839</v>
      </c>
      <c r="D16" s="787" t="s">
        <v>6840</v>
      </c>
      <c r="E16" s="787" t="s">
        <v>6841</v>
      </c>
      <c r="F16" s="787" t="s">
        <v>6842</v>
      </c>
      <c r="G16" s="787"/>
    </row>
    <row r="17" ht="93.0" customHeight="1">
      <c r="A17" s="980">
        <v>45687.0</v>
      </c>
      <c r="B17" s="794"/>
      <c r="C17" s="34" t="s">
        <v>6843</v>
      </c>
      <c r="D17" s="787"/>
      <c r="E17" s="787"/>
      <c r="F17" s="787"/>
      <c r="G17" s="787"/>
    </row>
    <row r="18" ht="93.0" customHeight="1">
      <c r="A18" s="980">
        <v>45687.0</v>
      </c>
      <c r="B18" s="794"/>
      <c r="C18" s="34" t="s">
        <v>6844</v>
      </c>
      <c r="D18" s="787" t="s">
        <v>6845</v>
      </c>
      <c r="E18" s="787" t="s">
        <v>6846</v>
      </c>
      <c r="F18" s="787" t="s">
        <v>6847</v>
      </c>
      <c r="G18" s="787" t="s">
        <v>6848</v>
      </c>
    </row>
    <row r="19" ht="93.0" customHeight="1">
      <c r="A19" s="980">
        <v>45686.0</v>
      </c>
      <c r="B19" s="794"/>
      <c r="C19" s="1033" t="s">
        <v>6849</v>
      </c>
      <c r="D19" s="787" t="s">
        <v>6850</v>
      </c>
      <c r="E19" s="787"/>
      <c r="F19" s="787"/>
      <c r="G19" s="787"/>
    </row>
    <row r="20" ht="93.0" customHeight="1">
      <c r="A20" s="980">
        <v>45684.0</v>
      </c>
      <c r="B20" s="794"/>
      <c r="C20" s="1033" t="s">
        <v>6851</v>
      </c>
      <c r="D20" s="787" t="s">
        <v>6852</v>
      </c>
      <c r="E20" s="787"/>
      <c r="F20" s="787"/>
      <c r="G20" s="787"/>
    </row>
    <row r="21" ht="93.0" customHeight="1">
      <c r="A21" s="980">
        <v>45684.0</v>
      </c>
      <c r="B21" s="794"/>
      <c r="C21" s="1033" t="s">
        <v>6853</v>
      </c>
      <c r="D21" s="787" t="s">
        <v>1270</v>
      </c>
      <c r="E21" s="787"/>
      <c r="F21" s="787"/>
      <c r="G21" s="787"/>
    </row>
    <row r="22" ht="93.0" customHeight="1">
      <c r="A22" s="980">
        <v>45681.0</v>
      </c>
      <c r="B22" s="794"/>
      <c r="C22" s="1033" t="s">
        <v>6854</v>
      </c>
      <c r="D22" s="787" t="s">
        <v>1270</v>
      </c>
      <c r="E22" s="787"/>
      <c r="F22" s="787"/>
      <c r="G22" s="787"/>
    </row>
    <row r="23" ht="93.0" customHeight="1">
      <c r="A23" s="980">
        <v>45673.0</v>
      </c>
      <c r="B23" s="794"/>
      <c r="C23" s="1033" t="s">
        <v>6855</v>
      </c>
      <c r="D23" s="787" t="s">
        <v>6856</v>
      </c>
      <c r="E23" s="787" t="s">
        <v>2150</v>
      </c>
      <c r="F23" s="787"/>
    </row>
    <row r="24" ht="93.0" customHeight="1">
      <c r="A24" s="980">
        <v>45673.0</v>
      </c>
      <c r="B24" s="794"/>
      <c r="C24" s="1033" t="s">
        <v>6857</v>
      </c>
      <c r="D24" s="787" t="s">
        <v>6858</v>
      </c>
      <c r="E24" s="787" t="s">
        <v>6859</v>
      </c>
      <c r="F24" s="787" t="s">
        <v>6860</v>
      </c>
      <c r="G24" s="787" t="s">
        <v>6861</v>
      </c>
    </row>
    <row r="25" ht="93.0" customHeight="1">
      <c r="A25" s="980">
        <v>45663.0</v>
      </c>
      <c r="B25" s="794"/>
      <c r="C25" s="1033" t="s">
        <v>6862</v>
      </c>
      <c r="D25" s="787" t="s">
        <v>6863</v>
      </c>
      <c r="E25" s="787" t="s">
        <v>6864</v>
      </c>
      <c r="F25" s="787"/>
      <c r="G25" s="787"/>
    </row>
    <row r="26" ht="30.75" customHeight="1">
      <c r="A26" s="980">
        <v>45645.0</v>
      </c>
      <c r="B26" s="794"/>
      <c r="C26" s="1033" t="s">
        <v>6865</v>
      </c>
      <c r="D26" s="787"/>
      <c r="E26" s="787"/>
      <c r="F26" s="787"/>
      <c r="G26" s="787"/>
    </row>
    <row r="27" ht="79.5" customHeight="1">
      <c r="A27" s="980">
        <v>45638.0</v>
      </c>
      <c r="B27" s="794"/>
      <c r="C27" s="1033" t="s">
        <v>6866</v>
      </c>
      <c r="D27" s="787" t="s">
        <v>6867</v>
      </c>
      <c r="E27" s="787"/>
      <c r="F27" s="787"/>
      <c r="G27" s="787"/>
    </row>
    <row r="28" ht="170.25" customHeight="1">
      <c r="A28" s="980">
        <v>45635.0</v>
      </c>
      <c r="B28" s="794"/>
      <c r="C28" s="1033" t="s">
        <v>6868</v>
      </c>
      <c r="D28" s="787"/>
      <c r="E28" s="787"/>
      <c r="F28" s="787"/>
      <c r="G28" s="794"/>
    </row>
    <row r="29" ht="170.25" customHeight="1">
      <c r="A29" s="980">
        <v>45635.0</v>
      </c>
      <c r="B29" s="794"/>
      <c r="C29" s="1033" t="s">
        <v>6869</v>
      </c>
      <c r="D29" s="787" t="s">
        <v>6870</v>
      </c>
      <c r="E29" s="787" t="s">
        <v>6871</v>
      </c>
      <c r="F29" s="787" t="s">
        <v>6872</v>
      </c>
      <c r="G29" s="794"/>
    </row>
    <row r="30" ht="170.25" customHeight="1">
      <c r="A30" s="980">
        <v>45635.0</v>
      </c>
      <c r="B30" s="794"/>
      <c r="C30" s="1033" t="s">
        <v>6484</v>
      </c>
      <c r="D30" s="787" t="s">
        <v>6873</v>
      </c>
      <c r="E30" s="787" t="s">
        <v>6874</v>
      </c>
      <c r="F30" s="787" t="s">
        <v>6875</v>
      </c>
      <c r="G30" s="787" t="s">
        <v>6876</v>
      </c>
    </row>
    <row r="31" ht="66.0" customHeight="1">
      <c r="A31" s="980"/>
      <c r="B31" s="794"/>
      <c r="C31" s="787" t="s">
        <v>6877</v>
      </c>
      <c r="D31" s="787" t="s">
        <v>6878</v>
      </c>
      <c r="E31" s="787"/>
      <c r="F31" s="787"/>
      <c r="G31" s="794"/>
    </row>
    <row r="32" ht="79.5" customHeight="1">
      <c r="A32" s="980"/>
      <c r="B32" s="794"/>
      <c r="C32" s="1033" t="s">
        <v>6879</v>
      </c>
      <c r="D32" s="787"/>
      <c r="E32" s="787"/>
      <c r="F32" s="787"/>
      <c r="G32" s="794"/>
    </row>
    <row r="33" ht="80.25" customHeight="1">
      <c r="A33" s="980"/>
      <c r="B33" s="794"/>
      <c r="C33" s="1033" t="s">
        <v>6880</v>
      </c>
      <c r="D33" s="787" t="s">
        <v>6881</v>
      </c>
      <c r="E33" s="787" t="s">
        <v>6882</v>
      </c>
      <c r="F33" s="787"/>
      <c r="G33" s="794"/>
    </row>
    <row r="34" ht="170.25" customHeight="1">
      <c r="A34" s="980">
        <v>45629.0</v>
      </c>
      <c r="B34" s="794"/>
      <c r="C34" s="1033" t="s">
        <v>6342</v>
      </c>
      <c r="D34" s="787" t="s">
        <v>6883</v>
      </c>
      <c r="E34" s="787" t="s">
        <v>6877</v>
      </c>
      <c r="F34" s="787"/>
      <c r="G34" s="794"/>
    </row>
    <row r="35" ht="76.5" customHeight="1">
      <c r="A35" s="980"/>
      <c r="B35" s="794"/>
      <c r="C35" s="1033" t="s">
        <v>6884</v>
      </c>
      <c r="D35" s="787" t="s">
        <v>6885</v>
      </c>
      <c r="E35" s="787" t="s">
        <v>6886</v>
      </c>
      <c r="F35" s="787" t="s">
        <v>6887</v>
      </c>
      <c r="G35" s="794"/>
    </row>
    <row r="36" ht="76.5" customHeight="1">
      <c r="A36" s="980">
        <v>45626.0</v>
      </c>
      <c r="B36" s="794"/>
      <c r="C36" s="1033" t="s">
        <v>6888</v>
      </c>
      <c r="D36" s="787" t="s">
        <v>6889</v>
      </c>
      <c r="E36" s="787" t="s">
        <v>6890</v>
      </c>
      <c r="F36" s="133"/>
      <c r="G36" s="794"/>
    </row>
    <row r="37" ht="76.5" customHeight="1">
      <c r="A37" s="980">
        <v>45621.0</v>
      </c>
      <c r="B37" s="794"/>
      <c r="C37" s="1033" t="s">
        <v>6891</v>
      </c>
      <c r="D37" s="787" t="s">
        <v>6892</v>
      </c>
      <c r="E37" s="787" t="s">
        <v>6893</v>
      </c>
      <c r="F37" s="133"/>
      <c r="G37" s="794"/>
    </row>
    <row r="38" ht="149.25" customHeight="1">
      <c r="A38" s="980">
        <v>45618.0</v>
      </c>
      <c r="B38" s="794"/>
      <c r="C38" s="1033" t="s">
        <v>6894</v>
      </c>
      <c r="D38" s="787" t="s">
        <v>6895</v>
      </c>
      <c r="E38" s="787">
        <v>0.0</v>
      </c>
      <c r="F38" s="133">
        <v>0.0</v>
      </c>
      <c r="G38" s="794"/>
    </row>
    <row r="39" ht="125.25" customHeight="1">
      <c r="A39" s="980">
        <v>45616.0</v>
      </c>
      <c r="B39" s="794"/>
      <c r="C39" s="1033" t="s">
        <v>6896</v>
      </c>
      <c r="D39" s="787" t="s">
        <v>6897</v>
      </c>
      <c r="E39" s="787"/>
      <c r="F39" s="794"/>
      <c r="G39" s="794"/>
    </row>
    <row r="40" ht="145.5" customHeight="1">
      <c r="A40" s="980">
        <v>45615.0</v>
      </c>
      <c r="B40" s="794"/>
      <c r="C40" s="1039" t="s">
        <v>6898</v>
      </c>
      <c r="D40" s="787" t="s">
        <v>6899</v>
      </c>
      <c r="E40" s="787"/>
      <c r="F40" s="794"/>
      <c r="G40" s="794"/>
    </row>
    <row r="41" ht="76.5" customHeight="1">
      <c r="A41" s="980">
        <v>45615.0</v>
      </c>
      <c r="B41" s="794"/>
      <c r="C41" s="1039" t="s">
        <v>6900</v>
      </c>
      <c r="D41" s="787" t="s">
        <v>6901</v>
      </c>
      <c r="E41" s="787"/>
      <c r="F41" s="794"/>
      <c r="G41" s="794"/>
    </row>
    <row r="42" ht="76.5" customHeight="1">
      <c r="A42" s="980">
        <v>45611.0</v>
      </c>
      <c r="B42" s="794"/>
      <c r="C42" s="1039" t="s">
        <v>6902</v>
      </c>
      <c r="D42" s="787" t="s">
        <v>6903</v>
      </c>
      <c r="E42" s="787"/>
      <c r="F42" s="794"/>
      <c r="G42" s="794"/>
    </row>
    <row r="43" ht="76.5" customHeight="1">
      <c r="A43" s="980">
        <v>45610.0</v>
      </c>
      <c r="B43" s="794"/>
      <c r="C43" s="1039" t="s">
        <v>6904</v>
      </c>
      <c r="D43" s="787"/>
      <c r="E43" s="787"/>
      <c r="F43" s="794"/>
      <c r="G43" s="794"/>
    </row>
    <row r="44" ht="76.5" customHeight="1">
      <c r="A44" s="980">
        <v>45609.0</v>
      </c>
      <c r="B44" s="794"/>
      <c r="C44" s="1039" t="s">
        <v>6905</v>
      </c>
      <c r="D44" s="787" t="s">
        <v>6906</v>
      </c>
      <c r="E44" s="787" t="s">
        <v>1</v>
      </c>
      <c r="F44" s="133" t="s">
        <v>6907</v>
      </c>
      <c r="G44" s="794"/>
    </row>
    <row r="45" ht="76.5" customHeight="1">
      <c r="A45" s="980">
        <v>45609.0</v>
      </c>
      <c r="B45" s="794"/>
      <c r="C45" s="1039" t="s">
        <v>6908</v>
      </c>
      <c r="D45" s="787" t="s">
        <v>6909</v>
      </c>
      <c r="E45" s="133" t="s">
        <v>6910</v>
      </c>
      <c r="F45" s="794"/>
      <c r="G45" s="794"/>
    </row>
    <row r="46" ht="76.5" customHeight="1">
      <c r="A46" s="980">
        <v>45609.0</v>
      </c>
      <c r="B46" s="794"/>
      <c r="C46" s="1039" t="s">
        <v>6911</v>
      </c>
      <c r="D46" s="787" t="s">
        <v>6912</v>
      </c>
      <c r="E46" s="133" t="s">
        <v>6913</v>
      </c>
      <c r="F46" s="133">
        <v>4.0</v>
      </c>
      <c r="G46" s="794"/>
    </row>
    <row r="47" ht="76.5" customHeight="1">
      <c r="A47" s="980">
        <v>45607.0</v>
      </c>
      <c r="B47" s="794"/>
      <c r="C47" s="1039" t="s">
        <v>6914</v>
      </c>
      <c r="D47" s="787" t="s">
        <v>717</v>
      </c>
      <c r="E47" s="133"/>
      <c r="F47" s="794"/>
      <c r="G47" s="794"/>
    </row>
    <row r="48" ht="76.5" customHeight="1">
      <c r="A48" s="980">
        <v>45607.0</v>
      </c>
      <c r="B48" s="794"/>
      <c r="C48" s="1039" t="s">
        <v>6915</v>
      </c>
      <c r="D48" s="787" t="s">
        <v>6916</v>
      </c>
      <c r="E48" s="133">
        <v>0.0</v>
      </c>
      <c r="F48" s="133">
        <v>0.0</v>
      </c>
      <c r="G48" s="794"/>
    </row>
    <row r="49" ht="76.5" customHeight="1">
      <c r="A49" s="980">
        <v>45605.0</v>
      </c>
      <c r="B49" s="794"/>
      <c r="C49" s="1039" t="s">
        <v>6917</v>
      </c>
      <c r="D49" s="787" t="s">
        <v>6918</v>
      </c>
      <c r="E49" s="133"/>
      <c r="F49" s="794"/>
      <c r="G49" s="794"/>
    </row>
    <row r="50" ht="76.5" customHeight="1">
      <c r="A50" s="980">
        <v>45605.0</v>
      </c>
      <c r="B50" s="794"/>
      <c r="C50" s="1039" t="s">
        <v>6498</v>
      </c>
      <c r="D50" s="787" t="s">
        <v>6919</v>
      </c>
      <c r="E50" s="133"/>
      <c r="F50" s="794"/>
      <c r="G50" s="794"/>
    </row>
    <row r="51" ht="76.5" customHeight="1">
      <c r="A51" s="980"/>
      <c r="B51" s="794"/>
      <c r="C51" s="1039" t="s">
        <v>6920</v>
      </c>
      <c r="D51" s="787" t="s">
        <v>6921</v>
      </c>
      <c r="E51" s="133"/>
      <c r="F51" s="794"/>
      <c r="G51" s="794"/>
    </row>
    <row r="52" ht="76.5" customHeight="1">
      <c r="A52" s="980"/>
      <c r="B52" s="794"/>
      <c r="C52" s="1039" t="s">
        <v>6922</v>
      </c>
      <c r="D52" s="787" t="s">
        <v>6923</v>
      </c>
      <c r="E52" s="133"/>
      <c r="F52" s="794"/>
      <c r="G52" s="794"/>
    </row>
    <row r="53" ht="76.5" customHeight="1">
      <c r="A53" s="980">
        <v>45603.0</v>
      </c>
      <c r="B53" s="794"/>
      <c r="C53" s="1039" t="s">
        <v>6924</v>
      </c>
      <c r="D53" s="787" t="s">
        <v>6925</v>
      </c>
      <c r="E53" s="133" t="s">
        <v>6926</v>
      </c>
      <c r="F53" s="133" t="s">
        <v>6927</v>
      </c>
      <c r="G53" s="794"/>
    </row>
    <row r="54" ht="76.5" customHeight="1">
      <c r="A54" s="980"/>
      <c r="B54" s="794"/>
      <c r="C54" s="1039" t="s">
        <v>6928</v>
      </c>
      <c r="D54" s="1040" t="s">
        <v>6929</v>
      </c>
      <c r="E54" s="133"/>
      <c r="F54" s="794"/>
      <c r="G54" s="794"/>
    </row>
    <row r="55" ht="76.5" customHeight="1">
      <c r="A55" s="980"/>
      <c r="B55" s="794"/>
      <c r="C55" s="1039" t="s">
        <v>6930</v>
      </c>
      <c r="D55" s="787"/>
      <c r="E55" s="133"/>
      <c r="F55" s="794"/>
      <c r="G55" s="794"/>
    </row>
    <row r="56" ht="76.5" customHeight="1">
      <c r="A56" s="980"/>
      <c r="B56" s="794"/>
      <c r="C56" s="1039" t="s">
        <v>6931</v>
      </c>
      <c r="D56" s="787">
        <v>3.0</v>
      </c>
      <c r="E56" s="133">
        <v>0.0</v>
      </c>
      <c r="F56" s="794"/>
      <c r="G56" s="794"/>
    </row>
    <row r="57" ht="76.5" customHeight="1">
      <c r="A57" s="980"/>
      <c r="B57" s="794"/>
      <c r="C57" s="1039" t="s">
        <v>6932</v>
      </c>
      <c r="D57" s="787" t="s">
        <v>6933</v>
      </c>
      <c r="E57" s="133">
        <v>0.0</v>
      </c>
      <c r="F57" s="1041"/>
      <c r="G57" s="794"/>
    </row>
    <row r="58" ht="76.5" customHeight="1">
      <c r="A58" s="980"/>
      <c r="B58" s="794"/>
      <c r="C58" s="1039"/>
      <c r="D58" s="787" t="s">
        <v>6934</v>
      </c>
      <c r="E58" s="133" t="s">
        <v>6935</v>
      </c>
      <c r="F58" s="794"/>
      <c r="G58" s="794"/>
    </row>
    <row r="59" ht="76.5" customHeight="1">
      <c r="A59" s="980"/>
      <c r="B59" s="794"/>
      <c r="C59" s="1039" t="s">
        <v>4213</v>
      </c>
      <c r="D59" s="787" t="s">
        <v>6936</v>
      </c>
      <c r="E59" s="133"/>
      <c r="F59" s="794"/>
      <c r="G59" s="794"/>
    </row>
    <row r="60" ht="158.25" customHeight="1">
      <c r="A60" s="980">
        <v>45596.0</v>
      </c>
      <c r="B60" s="794"/>
      <c r="C60" s="1039" t="s">
        <v>4320</v>
      </c>
      <c r="D60" s="787" t="s">
        <v>6937</v>
      </c>
      <c r="E60" s="787" t="s">
        <v>6938</v>
      </c>
      <c r="F60" s="787" t="s">
        <v>6939</v>
      </c>
      <c r="G60" s="794"/>
    </row>
    <row r="61" ht="76.5" customHeight="1">
      <c r="A61" s="980">
        <v>45596.0</v>
      </c>
      <c r="B61" s="794"/>
      <c r="C61" s="1039" t="s">
        <v>6940</v>
      </c>
      <c r="D61" s="787" t="s">
        <v>6941</v>
      </c>
      <c r="E61" s="133"/>
      <c r="F61" s="794"/>
      <c r="G61" s="794"/>
    </row>
    <row r="62" ht="76.5" customHeight="1">
      <c r="A62" s="980">
        <v>45595.0</v>
      </c>
      <c r="B62" s="794"/>
      <c r="C62" s="1039" t="s">
        <v>6942</v>
      </c>
      <c r="D62" s="787" t="s">
        <v>6943</v>
      </c>
      <c r="E62" s="133"/>
      <c r="F62" s="794"/>
      <c r="G62" s="794"/>
    </row>
    <row r="63" ht="76.5" customHeight="1">
      <c r="A63" s="980">
        <v>45596.0</v>
      </c>
      <c r="B63" s="794"/>
      <c r="C63" s="1039" t="s">
        <v>6944</v>
      </c>
      <c r="D63" s="787" t="s">
        <v>6945</v>
      </c>
      <c r="E63" s="133" t="s">
        <v>6946</v>
      </c>
      <c r="F63" s="133" t="s">
        <v>6947</v>
      </c>
      <c r="G63" s="794"/>
    </row>
    <row r="64" ht="76.5" customHeight="1">
      <c r="A64" s="980">
        <v>45594.0</v>
      </c>
      <c r="B64" s="794"/>
      <c r="C64" s="1039" t="s">
        <v>6948</v>
      </c>
      <c r="D64" s="787" t="s">
        <v>6949</v>
      </c>
      <c r="E64" s="133" t="s">
        <v>6950</v>
      </c>
      <c r="F64" s="133" t="s">
        <v>6951</v>
      </c>
      <c r="G64" s="794"/>
    </row>
    <row r="65" ht="123.75" customHeight="1">
      <c r="A65" s="980">
        <v>45594.0</v>
      </c>
      <c r="B65" s="794"/>
      <c r="C65" s="1039" t="s">
        <v>6952</v>
      </c>
      <c r="D65" s="787" t="s">
        <v>6953</v>
      </c>
      <c r="E65" s="980">
        <v>45366.0</v>
      </c>
      <c r="F65" s="133" t="s">
        <v>6954</v>
      </c>
      <c r="G65" s="794"/>
    </row>
    <row r="66" ht="76.5" customHeight="1">
      <c r="A66" s="980">
        <v>45594.0</v>
      </c>
      <c r="B66" s="794"/>
      <c r="C66" s="1039" t="s">
        <v>6955</v>
      </c>
      <c r="D66" s="787" t="s">
        <v>6956</v>
      </c>
      <c r="E66" s="794"/>
      <c r="F66" s="794"/>
      <c r="G66" s="794"/>
    </row>
    <row r="67" ht="32.25" customHeight="1">
      <c r="A67" s="980">
        <v>45593.0</v>
      </c>
      <c r="B67" s="794"/>
      <c r="C67" s="990" t="s">
        <v>6957</v>
      </c>
      <c r="D67" s="133" t="s">
        <v>6958</v>
      </c>
      <c r="E67" s="133" t="s">
        <v>6959</v>
      </c>
      <c r="F67" s="794"/>
      <c r="G67" s="794"/>
    </row>
    <row r="68">
      <c r="A68" s="980">
        <v>45592.0</v>
      </c>
      <c r="B68" s="794"/>
      <c r="C68" s="990" t="s">
        <v>6960</v>
      </c>
      <c r="D68" s="794"/>
      <c r="E68" s="794"/>
      <c r="F68" s="794"/>
      <c r="G68" s="794"/>
    </row>
    <row r="69">
      <c r="A69" s="980">
        <v>45591.0</v>
      </c>
      <c r="B69" s="980"/>
      <c r="C69" s="787" t="s">
        <v>6961</v>
      </c>
      <c r="D69" s="787" t="s">
        <v>6962</v>
      </c>
      <c r="E69" s="794"/>
      <c r="F69" s="794"/>
      <c r="G69" s="794"/>
    </row>
    <row r="70">
      <c r="A70" s="980">
        <v>45590.0</v>
      </c>
      <c r="B70" s="980"/>
      <c r="C70" s="1039" t="s">
        <v>6963</v>
      </c>
      <c r="D70" s="787" t="s">
        <v>6964</v>
      </c>
      <c r="E70" s="133" t="s">
        <v>6965</v>
      </c>
      <c r="F70" s="133" t="s">
        <v>6966</v>
      </c>
      <c r="G70" s="794"/>
    </row>
    <row r="71">
      <c r="A71" s="980">
        <v>45590.0</v>
      </c>
      <c r="B71" s="980"/>
      <c r="C71" s="990" t="s">
        <v>6967</v>
      </c>
      <c r="D71" s="787"/>
      <c r="E71" s="794"/>
      <c r="F71" s="794"/>
      <c r="G71" s="794"/>
    </row>
    <row r="72">
      <c r="A72" s="980">
        <v>45590.0</v>
      </c>
      <c r="B72" s="980"/>
      <c r="C72" s="990" t="s">
        <v>6968</v>
      </c>
      <c r="D72" s="787">
        <v>8.0</v>
      </c>
      <c r="E72" s="794"/>
      <c r="F72" s="794"/>
      <c r="G72" s="794"/>
    </row>
    <row r="73">
      <c r="A73" s="980">
        <v>45590.0</v>
      </c>
      <c r="B73" s="980"/>
      <c r="C73" s="133" t="s">
        <v>6969</v>
      </c>
      <c r="D73" s="787"/>
      <c r="E73" s="794"/>
      <c r="F73" s="794"/>
      <c r="G73" s="794"/>
    </row>
    <row r="74">
      <c r="A74" s="980">
        <v>45590.0</v>
      </c>
      <c r="B74" s="980"/>
      <c r="C74" s="133" t="s">
        <v>6970</v>
      </c>
      <c r="D74" s="133" t="s">
        <v>6971</v>
      </c>
      <c r="E74" s="787" t="s">
        <v>6972</v>
      </c>
      <c r="F74" s="986" t="s">
        <v>6973</v>
      </c>
      <c r="G74" s="794"/>
    </row>
    <row r="75">
      <c r="A75" s="980">
        <v>45590.0</v>
      </c>
      <c r="B75" s="980"/>
      <c r="C75" s="787" t="s">
        <v>6974</v>
      </c>
      <c r="D75" s="133" t="s">
        <v>6975</v>
      </c>
      <c r="E75" s="133" t="s">
        <v>6976</v>
      </c>
      <c r="F75" s="1042" t="s">
        <v>6977</v>
      </c>
      <c r="G75" s="794"/>
    </row>
    <row r="76">
      <c r="A76" s="980">
        <v>45589.0</v>
      </c>
      <c r="B76" s="980"/>
      <c r="C76" s="1043" t="s">
        <v>6978</v>
      </c>
      <c r="D76" s="133" t="s">
        <v>6979</v>
      </c>
      <c r="E76" s="794"/>
      <c r="F76" s="1044"/>
      <c r="G76" s="794"/>
    </row>
    <row r="77">
      <c r="A77" s="980">
        <v>45589.0</v>
      </c>
      <c r="B77" s="980"/>
      <c r="C77" s="787" t="s">
        <v>6980</v>
      </c>
      <c r="D77" s="133" t="s">
        <v>6981</v>
      </c>
      <c r="E77" s="133" t="s">
        <v>6982</v>
      </c>
      <c r="F77" s="1044"/>
      <c r="G77" s="794"/>
    </row>
    <row r="78">
      <c r="A78" s="980">
        <v>45589.0</v>
      </c>
      <c r="B78" s="980"/>
      <c r="C78" s="133" t="s">
        <v>6983</v>
      </c>
      <c r="D78" s="794"/>
      <c r="E78" s="133" t="s">
        <v>6984</v>
      </c>
      <c r="F78" s="1044"/>
      <c r="G78" s="794"/>
    </row>
    <row r="79">
      <c r="A79" s="980">
        <v>45589.0</v>
      </c>
      <c r="B79" s="980"/>
      <c r="C79" s="794"/>
      <c r="D79" s="787" t="s">
        <v>6985</v>
      </c>
      <c r="E79" s="787" t="s">
        <v>6986</v>
      </c>
      <c r="F79" s="1044"/>
      <c r="G79" s="794"/>
    </row>
    <row r="80">
      <c r="A80" s="980">
        <v>45588.0</v>
      </c>
      <c r="B80" s="980"/>
      <c r="C80" s="133" t="s">
        <v>5084</v>
      </c>
      <c r="D80" s="787" t="s">
        <v>6987</v>
      </c>
      <c r="E80" s="787" t="s">
        <v>6988</v>
      </c>
      <c r="F80" s="1044"/>
      <c r="G80" s="794"/>
    </row>
    <row r="81">
      <c r="A81" s="980">
        <v>45588.0</v>
      </c>
      <c r="B81" s="980"/>
      <c r="C81" s="787" t="s">
        <v>6989</v>
      </c>
      <c r="D81" s="133" t="s">
        <v>6990</v>
      </c>
      <c r="E81" s="794"/>
      <c r="F81" s="1044"/>
      <c r="G81" s="794"/>
    </row>
    <row r="82">
      <c r="A82" s="985">
        <v>45588.0</v>
      </c>
      <c r="B82" s="985"/>
      <c r="C82" s="133" t="s">
        <v>6991</v>
      </c>
      <c r="E82" s="133" t="s">
        <v>6992</v>
      </c>
      <c r="F82" s="1042" t="s">
        <v>6993</v>
      </c>
      <c r="G82" s="794"/>
    </row>
    <row r="83">
      <c r="A83" s="985">
        <v>45588.0</v>
      </c>
      <c r="B83" s="985"/>
      <c r="C83" s="133" t="s">
        <v>6994</v>
      </c>
      <c r="D83" s="133" t="s">
        <v>6995</v>
      </c>
      <c r="E83" s="133" t="s">
        <v>6992</v>
      </c>
      <c r="F83" s="1044"/>
      <c r="G83" s="794"/>
    </row>
    <row r="84">
      <c r="A84" s="985">
        <v>45588.0</v>
      </c>
      <c r="B84" s="985"/>
      <c r="C84" s="133" t="s">
        <v>6996</v>
      </c>
      <c r="D84" s="787" t="s">
        <v>6997</v>
      </c>
      <c r="E84" s="787" t="s">
        <v>6998</v>
      </c>
      <c r="F84" s="1044"/>
      <c r="G84" s="794"/>
    </row>
    <row r="85">
      <c r="A85" s="1045">
        <v>45587.0</v>
      </c>
      <c r="B85" s="1046"/>
      <c r="C85" s="133" t="s">
        <v>6999</v>
      </c>
      <c r="D85" s="337" t="s">
        <v>7000</v>
      </c>
      <c r="E85" s="337" t="s">
        <v>7001</v>
      </c>
      <c r="F85" s="1047"/>
      <c r="G85" s="794"/>
    </row>
    <row r="86">
      <c r="A86" s="1045">
        <v>45587.0</v>
      </c>
      <c r="B86" s="1046"/>
      <c r="C86" s="337" t="s">
        <v>7002</v>
      </c>
      <c r="D86" s="1048" t="s">
        <v>7003</v>
      </c>
      <c r="E86" s="1048" t="s">
        <v>7004</v>
      </c>
      <c r="F86" s="1047"/>
      <c r="G86" s="794"/>
    </row>
    <row r="87">
      <c r="A87" s="1045">
        <v>45586.0</v>
      </c>
      <c r="B87" s="1045"/>
      <c r="C87" s="337" t="s">
        <v>7005</v>
      </c>
      <c r="D87" s="337" t="s">
        <v>7006</v>
      </c>
      <c r="E87" s="1048" t="s">
        <v>7007</v>
      </c>
      <c r="F87" s="1047"/>
      <c r="G87" s="794"/>
    </row>
    <row r="88">
      <c r="A88" s="1045">
        <v>45586.0</v>
      </c>
      <c r="B88" s="1045"/>
      <c r="C88" s="1048" t="s">
        <v>7008</v>
      </c>
      <c r="D88" s="1048" t="s">
        <v>7009</v>
      </c>
      <c r="E88" s="337" t="s">
        <v>7010</v>
      </c>
      <c r="F88" s="1049" t="s">
        <v>7011</v>
      </c>
      <c r="G88" s="794"/>
    </row>
    <row r="89">
      <c r="A89" s="1045">
        <v>45585.0</v>
      </c>
      <c r="B89" s="1045"/>
      <c r="C89" s="1048" t="s">
        <v>7012</v>
      </c>
      <c r="D89" s="1046"/>
      <c r="E89" s="1046"/>
      <c r="F89" s="1047"/>
      <c r="G89" s="794"/>
    </row>
    <row r="90">
      <c r="A90" s="1045">
        <v>45585.0</v>
      </c>
      <c r="B90" s="1045"/>
      <c r="C90" s="1048" t="s">
        <v>7013</v>
      </c>
      <c r="D90" s="1048" t="s">
        <v>7014</v>
      </c>
      <c r="E90" s="1046"/>
      <c r="F90" s="1047"/>
      <c r="G90" s="794"/>
    </row>
    <row r="91">
      <c r="A91" s="1050">
        <v>45584.0</v>
      </c>
      <c r="B91" s="1050"/>
      <c r="C91" s="1048" t="s">
        <v>7015</v>
      </c>
      <c r="D91" s="337" t="s">
        <v>7016</v>
      </c>
      <c r="E91" s="1051"/>
      <c r="F91" s="1052"/>
      <c r="G91" s="794"/>
    </row>
    <row r="92">
      <c r="A92" s="1050">
        <v>45583.0</v>
      </c>
      <c r="B92" s="1050"/>
      <c r="C92" s="337" t="s">
        <v>7017</v>
      </c>
      <c r="D92" s="337" t="s">
        <v>7018</v>
      </c>
      <c r="E92" s="1053"/>
      <c r="F92" s="1054"/>
      <c r="G92" s="794"/>
    </row>
    <row r="93">
      <c r="A93" s="1050">
        <v>45582.0</v>
      </c>
      <c r="B93" s="1050"/>
      <c r="C93" s="337" t="s">
        <v>7019</v>
      </c>
      <c r="D93" s="337" t="s">
        <v>7020</v>
      </c>
      <c r="E93" s="1051"/>
      <c r="F93" s="1047"/>
      <c r="G93" s="794"/>
    </row>
    <row r="94">
      <c r="A94" s="1050">
        <v>45582.0</v>
      </c>
      <c r="B94" s="1050"/>
      <c r="C94" s="337" t="s">
        <v>7021</v>
      </c>
      <c r="D94" s="337" t="s">
        <v>7022</v>
      </c>
      <c r="E94" s="1046"/>
      <c r="F94" s="1047"/>
      <c r="G94" s="794"/>
    </row>
    <row r="95">
      <c r="A95" s="1050">
        <v>45581.0</v>
      </c>
      <c r="B95" s="1050"/>
      <c r="C95" s="337" t="s">
        <v>7023</v>
      </c>
      <c r="D95" s="337" t="s">
        <v>7024</v>
      </c>
      <c r="E95" s="1053"/>
      <c r="F95" s="1047"/>
      <c r="G95" s="794"/>
    </row>
    <row r="96">
      <c r="A96" s="1050">
        <v>45580.0</v>
      </c>
      <c r="B96" s="1050"/>
      <c r="C96" s="337" t="s">
        <v>7025</v>
      </c>
      <c r="D96" s="337" t="s">
        <v>7026</v>
      </c>
      <c r="E96" s="1048" t="s">
        <v>7027</v>
      </c>
      <c r="F96" s="1047"/>
      <c r="G96" s="794"/>
    </row>
    <row r="97">
      <c r="A97" s="1045">
        <v>45577.0</v>
      </c>
      <c r="B97" s="1045"/>
      <c r="C97" s="337" t="s">
        <v>7028</v>
      </c>
      <c r="D97" s="337" t="s">
        <v>7029</v>
      </c>
      <c r="E97" s="1048" t="s">
        <v>7030</v>
      </c>
      <c r="F97" s="1049" t="s">
        <v>7031</v>
      </c>
      <c r="G97" s="794"/>
    </row>
    <row r="98">
      <c r="A98" s="985">
        <v>45576.0</v>
      </c>
      <c r="B98" s="985"/>
      <c r="C98" s="337" t="s">
        <v>7032</v>
      </c>
      <c r="D98" s="787" t="s">
        <v>7033</v>
      </c>
      <c r="E98" s="430"/>
      <c r="F98" s="991"/>
      <c r="G98" s="794"/>
    </row>
    <row r="99">
      <c r="A99" s="1050">
        <v>45576.0</v>
      </c>
      <c r="B99" s="1050"/>
      <c r="C99" s="1039" t="s">
        <v>7034</v>
      </c>
      <c r="D99" s="981"/>
      <c r="E99" s="1048"/>
      <c r="F99" s="1047"/>
      <c r="G99" s="794"/>
    </row>
    <row r="100" ht="26.25" customHeight="1">
      <c r="A100" s="985">
        <v>45575.0</v>
      </c>
      <c r="B100" s="985"/>
      <c r="C100" s="337" t="s">
        <v>7035</v>
      </c>
      <c r="D100" s="787" t="s">
        <v>7036</v>
      </c>
      <c r="E100" s="430"/>
      <c r="F100" s="991"/>
      <c r="G100" s="794"/>
    </row>
    <row r="101">
      <c r="A101" s="985">
        <v>45574.0</v>
      </c>
      <c r="B101" s="985"/>
      <c r="C101" s="1039" t="s">
        <v>7037</v>
      </c>
      <c r="D101" s="787" t="s">
        <v>7038</v>
      </c>
      <c r="E101" s="787" t="s">
        <v>7039</v>
      </c>
      <c r="F101" s="986" t="s">
        <v>7040</v>
      </c>
      <c r="G101" s="794"/>
    </row>
    <row r="102">
      <c r="A102" s="985">
        <v>45573.0</v>
      </c>
      <c r="B102" s="985"/>
      <c r="C102" s="1039" t="s">
        <v>7041</v>
      </c>
      <c r="D102" s="787" t="s">
        <v>7042</v>
      </c>
      <c r="E102" s="787" t="s">
        <v>7043</v>
      </c>
      <c r="F102" s="430"/>
      <c r="G102" s="794"/>
    </row>
    <row r="103">
      <c r="A103" s="985">
        <v>45573.0</v>
      </c>
      <c r="B103" s="985"/>
      <c r="C103" s="787" t="s">
        <v>5735</v>
      </c>
      <c r="D103" s="787"/>
      <c r="E103" s="787"/>
      <c r="F103" s="991"/>
      <c r="G103" s="794"/>
    </row>
    <row r="104">
      <c r="A104" s="985">
        <v>45572.0</v>
      </c>
      <c r="B104" s="985"/>
      <c r="C104" s="1039" t="s">
        <v>7044</v>
      </c>
      <c r="D104" s="787" t="s">
        <v>7045</v>
      </c>
      <c r="E104" s="787" t="s">
        <v>7046</v>
      </c>
      <c r="F104" s="986" t="s">
        <v>7047</v>
      </c>
      <c r="G104" s="794"/>
    </row>
    <row r="105">
      <c r="A105" s="985">
        <v>45571.0</v>
      </c>
      <c r="B105" s="985"/>
      <c r="C105" s="1039" t="s">
        <v>7048</v>
      </c>
      <c r="D105" s="787" t="s">
        <v>7049</v>
      </c>
      <c r="E105" s="787"/>
      <c r="F105" s="986"/>
      <c r="G105" s="794"/>
    </row>
    <row r="106">
      <c r="G106" s="821"/>
    </row>
    <row r="107">
      <c r="G107" s="821"/>
    </row>
    <row r="108">
      <c r="G108" s="821"/>
    </row>
    <row r="109">
      <c r="B109" s="31"/>
      <c r="G109" s="821"/>
    </row>
    <row r="110">
      <c r="G110" s="821"/>
    </row>
    <row r="111">
      <c r="G111" s="821"/>
    </row>
    <row r="112">
      <c r="G112" s="821"/>
    </row>
    <row r="113">
      <c r="G113" s="821"/>
    </row>
    <row r="114">
      <c r="G114" s="821"/>
    </row>
    <row r="115">
      <c r="G115" s="821"/>
    </row>
    <row r="116">
      <c r="G116" s="821"/>
    </row>
    <row r="117">
      <c r="G117" s="821"/>
    </row>
    <row r="118">
      <c r="G118" s="821"/>
    </row>
    <row r="119">
      <c r="G119" s="821"/>
    </row>
    <row r="120">
      <c r="G120" s="821"/>
    </row>
    <row r="121">
      <c r="G121" s="821"/>
    </row>
    <row r="122">
      <c r="G122" s="821"/>
    </row>
    <row r="123">
      <c r="G123" s="821"/>
    </row>
    <row r="124">
      <c r="G124" s="821"/>
    </row>
    <row r="125">
      <c r="G125" s="821"/>
    </row>
    <row r="126">
      <c r="G126" s="821"/>
    </row>
    <row r="127">
      <c r="G127" s="821"/>
    </row>
    <row r="128">
      <c r="G128" s="821"/>
    </row>
    <row r="129">
      <c r="G129" s="821"/>
    </row>
    <row r="130">
      <c r="G130" s="821"/>
    </row>
    <row r="131">
      <c r="G131" s="821"/>
    </row>
    <row r="132">
      <c r="G132" s="821"/>
    </row>
    <row r="133">
      <c r="G133" s="821"/>
    </row>
    <row r="134">
      <c r="G134" s="821"/>
    </row>
    <row r="135">
      <c r="G135" s="821"/>
    </row>
    <row r="136">
      <c r="G136" s="821"/>
    </row>
    <row r="137">
      <c r="G137" s="821"/>
    </row>
    <row r="138">
      <c r="G138" s="821"/>
    </row>
    <row r="139">
      <c r="G139" s="821"/>
    </row>
    <row r="140">
      <c r="G140" s="821"/>
    </row>
    <row r="141">
      <c r="G141" s="821"/>
    </row>
    <row r="142">
      <c r="G142" s="821"/>
    </row>
    <row r="143">
      <c r="G143" s="821"/>
    </row>
    <row r="144">
      <c r="G144" s="821"/>
    </row>
    <row r="145">
      <c r="G145" s="821"/>
    </row>
    <row r="146">
      <c r="G146" s="821"/>
    </row>
    <row r="147">
      <c r="G147" s="821"/>
    </row>
    <row r="148">
      <c r="G148" s="821"/>
    </row>
    <row r="149">
      <c r="G149" s="821"/>
    </row>
    <row r="150">
      <c r="G150" s="821"/>
    </row>
    <row r="151">
      <c r="G151" s="821"/>
    </row>
    <row r="152">
      <c r="G152" s="821"/>
    </row>
    <row r="153">
      <c r="G153" s="821"/>
    </row>
    <row r="154">
      <c r="G154" s="821"/>
    </row>
    <row r="155">
      <c r="G155" s="821"/>
    </row>
    <row r="156">
      <c r="G156" s="821"/>
    </row>
    <row r="157">
      <c r="G157" s="821"/>
    </row>
    <row r="158">
      <c r="G158" s="821"/>
    </row>
    <row r="159">
      <c r="G159" s="821"/>
    </row>
    <row r="160">
      <c r="G160" s="821"/>
    </row>
    <row r="161">
      <c r="G161" s="821"/>
    </row>
    <row r="162">
      <c r="G162" s="821"/>
    </row>
    <row r="163">
      <c r="G163" s="821"/>
    </row>
    <row r="164">
      <c r="G164" s="821"/>
    </row>
    <row r="165">
      <c r="G165" s="821"/>
    </row>
    <row r="166">
      <c r="G166" s="821"/>
    </row>
    <row r="167">
      <c r="G167" s="821"/>
    </row>
    <row r="168">
      <c r="G168" s="821"/>
    </row>
    <row r="169">
      <c r="G169" s="821"/>
    </row>
    <row r="170">
      <c r="G170" s="821"/>
    </row>
    <row r="171">
      <c r="G171" s="821"/>
    </row>
    <row r="172">
      <c r="G172" s="821"/>
    </row>
    <row r="173">
      <c r="G173" s="821"/>
    </row>
    <row r="174">
      <c r="G174" s="821"/>
    </row>
    <row r="175">
      <c r="G175" s="821"/>
    </row>
    <row r="176">
      <c r="G176" s="821"/>
    </row>
    <row r="177">
      <c r="G177" s="821"/>
    </row>
    <row r="178">
      <c r="G178" s="821"/>
    </row>
    <row r="179">
      <c r="G179" s="821"/>
    </row>
    <row r="180">
      <c r="G180" s="821"/>
    </row>
    <row r="181">
      <c r="G181" s="821"/>
    </row>
    <row r="182">
      <c r="G182" s="821"/>
    </row>
    <row r="183">
      <c r="G183" s="821"/>
    </row>
    <row r="184">
      <c r="G184" s="821"/>
    </row>
    <row r="185">
      <c r="G185" s="821"/>
    </row>
    <row r="186">
      <c r="G186" s="821"/>
    </row>
    <row r="187">
      <c r="G187" s="821"/>
    </row>
    <row r="188">
      <c r="G188" s="821"/>
    </row>
    <row r="189">
      <c r="G189" s="821"/>
    </row>
    <row r="190">
      <c r="G190" s="821"/>
    </row>
    <row r="191">
      <c r="G191" s="821"/>
    </row>
    <row r="192">
      <c r="G192" s="821"/>
    </row>
    <row r="193">
      <c r="G193" s="821"/>
    </row>
    <row r="194">
      <c r="G194" s="821"/>
    </row>
    <row r="195">
      <c r="G195" s="821"/>
    </row>
    <row r="196">
      <c r="G196" s="821"/>
    </row>
    <row r="197">
      <c r="G197" s="821"/>
    </row>
    <row r="198">
      <c r="G198" s="821"/>
    </row>
    <row r="199">
      <c r="G199" s="821"/>
    </row>
    <row r="200">
      <c r="G200" s="821"/>
    </row>
    <row r="201">
      <c r="G201" s="821"/>
    </row>
    <row r="202">
      <c r="G202" s="821"/>
    </row>
    <row r="203">
      <c r="G203" s="821"/>
    </row>
    <row r="204">
      <c r="G204" s="821"/>
    </row>
    <row r="205">
      <c r="G205" s="821"/>
    </row>
    <row r="206">
      <c r="G206" s="821"/>
    </row>
    <row r="207">
      <c r="G207" s="821"/>
    </row>
    <row r="208">
      <c r="G208" s="821"/>
    </row>
    <row r="209">
      <c r="G209" s="821"/>
    </row>
    <row r="210">
      <c r="G210" s="821"/>
    </row>
    <row r="211">
      <c r="G211" s="821"/>
    </row>
    <row r="212">
      <c r="G212" s="821"/>
    </row>
    <row r="213">
      <c r="G213" s="821"/>
    </row>
    <row r="214">
      <c r="G214" s="821"/>
    </row>
    <row r="215">
      <c r="G215" s="821"/>
    </row>
    <row r="216">
      <c r="G216" s="821"/>
    </row>
    <row r="217">
      <c r="G217" s="821"/>
    </row>
    <row r="218">
      <c r="G218" s="821"/>
    </row>
    <row r="219">
      <c r="G219" s="821"/>
    </row>
    <row r="220">
      <c r="G220" s="821"/>
    </row>
    <row r="221">
      <c r="G221" s="821"/>
    </row>
    <row r="222">
      <c r="G222" s="821"/>
    </row>
    <row r="223">
      <c r="G223" s="821"/>
    </row>
    <row r="224">
      <c r="G224" s="821"/>
    </row>
    <row r="225">
      <c r="G225" s="821"/>
    </row>
    <row r="226">
      <c r="G226" s="821"/>
    </row>
    <row r="227">
      <c r="G227" s="821"/>
    </row>
    <row r="228">
      <c r="G228" s="821"/>
    </row>
    <row r="229">
      <c r="G229" s="821"/>
    </row>
    <row r="230">
      <c r="G230" s="821"/>
    </row>
    <row r="231">
      <c r="G231" s="821"/>
    </row>
    <row r="232">
      <c r="G232" s="821"/>
    </row>
    <row r="233">
      <c r="G233" s="821"/>
    </row>
    <row r="234">
      <c r="G234" s="821"/>
    </row>
    <row r="235">
      <c r="G235" s="821"/>
    </row>
    <row r="236">
      <c r="G236" s="821"/>
    </row>
    <row r="237">
      <c r="G237" s="821"/>
    </row>
    <row r="238">
      <c r="G238" s="821"/>
    </row>
    <row r="239">
      <c r="G239" s="821"/>
    </row>
    <row r="240">
      <c r="G240" s="821"/>
    </row>
    <row r="241">
      <c r="G241" s="821"/>
    </row>
    <row r="242">
      <c r="G242" s="821"/>
    </row>
    <row r="243">
      <c r="G243" s="821"/>
    </row>
    <row r="244">
      <c r="G244" s="821"/>
    </row>
    <row r="245">
      <c r="G245" s="821"/>
    </row>
    <row r="246">
      <c r="G246" s="821"/>
    </row>
    <row r="247">
      <c r="G247" s="821"/>
    </row>
    <row r="248">
      <c r="G248" s="821"/>
    </row>
    <row r="249">
      <c r="G249" s="821"/>
    </row>
    <row r="250">
      <c r="G250" s="821"/>
    </row>
    <row r="251">
      <c r="G251" s="821"/>
    </row>
    <row r="252">
      <c r="G252" s="821"/>
    </row>
    <row r="253">
      <c r="G253" s="821"/>
    </row>
    <row r="254">
      <c r="G254" s="821"/>
    </row>
    <row r="255">
      <c r="G255" s="821"/>
    </row>
    <row r="256">
      <c r="G256" s="821"/>
    </row>
    <row r="257">
      <c r="G257" s="821"/>
    </row>
    <row r="258">
      <c r="G258" s="821"/>
    </row>
    <row r="259">
      <c r="G259" s="821"/>
    </row>
    <row r="260">
      <c r="G260" s="821"/>
    </row>
    <row r="261">
      <c r="G261" s="821"/>
    </row>
    <row r="262">
      <c r="G262" s="821"/>
    </row>
    <row r="263">
      <c r="G263" s="821"/>
    </row>
    <row r="264">
      <c r="G264" s="821"/>
    </row>
    <row r="265">
      <c r="G265" s="821"/>
    </row>
    <row r="266">
      <c r="G266" s="821"/>
    </row>
    <row r="267">
      <c r="G267" s="821"/>
    </row>
    <row r="268">
      <c r="G268" s="821"/>
    </row>
    <row r="269">
      <c r="G269" s="821"/>
    </row>
    <row r="270">
      <c r="G270" s="821"/>
    </row>
    <row r="271">
      <c r="G271" s="821"/>
    </row>
    <row r="272">
      <c r="G272" s="821"/>
    </row>
    <row r="273">
      <c r="G273" s="821"/>
    </row>
    <row r="274">
      <c r="G274" s="821"/>
    </row>
    <row r="275">
      <c r="G275" s="821"/>
    </row>
    <row r="276">
      <c r="G276" s="821"/>
    </row>
    <row r="277">
      <c r="G277" s="821"/>
    </row>
    <row r="278">
      <c r="G278" s="821"/>
    </row>
    <row r="279">
      <c r="G279" s="821"/>
    </row>
    <row r="280">
      <c r="G280" s="821"/>
    </row>
    <row r="281">
      <c r="G281" s="821"/>
    </row>
    <row r="282">
      <c r="G282" s="821"/>
    </row>
    <row r="283">
      <c r="G283" s="821"/>
    </row>
    <row r="284">
      <c r="G284" s="821"/>
    </row>
    <row r="285">
      <c r="G285" s="821"/>
    </row>
    <row r="286">
      <c r="G286" s="821"/>
    </row>
    <row r="287">
      <c r="G287" s="821"/>
    </row>
    <row r="288">
      <c r="G288" s="821"/>
    </row>
    <row r="289">
      <c r="G289" s="821"/>
    </row>
    <row r="290">
      <c r="G290" s="821"/>
    </row>
    <row r="291">
      <c r="G291" s="821"/>
    </row>
    <row r="292">
      <c r="G292" s="821"/>
    </row>
    <row r="293">
      <c r="G293" s="821"/>
    </row>
    <row r="294">
      <c r="G294" s="821"/>
    </row>
    <row r="295">
      <c r="G295" s="821"/>
    </row>
    <row r="296">
      <c r="G296" s="821"/>
    </row>
    <row r="297">
      <c r="G297" s="821"/>
    </row>
    <row r="298">
      <c r="G298" s="821"/>
    </row>
    <row r="299">
      <c r="G299" s="821"/>
    </row>
    <row r="300">
      <c r="G300" s="821"/>
    </row>
    <row r="301">
      <c r="G301" s="821"/>
    </row>
    <row r="302">
      <c r="G302" s="821"/>
    </row>
    <row r="303">
      <c r="G303" s="821"/>
    </row>
    <row r="304">
      <c r="G304" s="821"/>
    </row>
    <row r="305">
      <c r="G305" s="821"/>
    </row>
    <row r="306">
      <c r="G306" s="821"/>
    </row>
    <row r="307">
      <c r="G307" s="821"/>
    </row>
    <row r="308">
      <c r="G308" s="821"/>
    </row>
    <row r="309">
      <c r="G309" s="821"/>
    </row>
    <row r="310">
      <c r="G310" s="821"/>
    </row>
    <row r="311">
      <c r="G311" s="821"/>
    </row>
    <row r="312">
      <c r="G312" s="821"/>
    </row>
    <row r="313">
      <c r="G313" s="821"/>
    </row>
    <row r="314">
      <c r="G314" s="821"/>
    </row>
    <row r="315">
      <c r="G315" s="821"/>
    </row>
    <row r="316">
      <c r="G316" s="821"/>
    </row>
    <row r="317">
      <c r="G317" s="821"/>
    </row>
    <row r="318">
      <c r="G318" s="821"/>
    </row>
    <row r="319">
      <c r="G319" s="821"/>
    </row>
    <row r="320">
      <c r="G320" s="821"/>
    </row>
    <row r="321">
      <c r="G321" s="821"/>
    </row>
    <row r="322">
      <c r="G322" s="821"/>
    </row>
    <row r="323">
      <c r="G323" s="821"/>
    </row>
    <row r="324">
      <c r="G324" s="821"/>
    </row>
    <row r="325">
      <c r="G325" s="821"/>
    </row>
    <row r="326">
      <c r="G326" s="821"/>
    </row>
    <row r="327">
      <c r="G327" s="821"/>
    </row>
    <row r="328">
      <c r="G328" s="821"/>
    </row>
    <row r="329">
      <c r="G329" s="821"/>
    </row>
    <row r="330">
      <c r="G330" s="821"/>
    </row>
    <row r="331">
      <c r="G331" s="821"/>
    </row>
    <row r="332">
      <c r="G332" s="821"/>
    </row>
    <row r="333">
      <c r="G333" s="821"/>
    </row>
    <row r="334">
      <c r="G334" s="821"/>
    </row>
    <row r="335">
      <c r="G335" s="821"/>
    </row>
    <row r="336">
      <c r="G336" s="821"/>
    </row>
    <row r="337">
      <c r="G337" s="821"/>
    </row>
    <row r="338">
      <c r="G338" s="821"/>
    </row>
    <row r="339">
      <c r="G339" s="821"/>
    </row>
    <row r="340">
      <c r="G340" s="821"/>
    </row>
    <row r="341">
      <c r="G341" s="821"/>
    </row>
    <row r="342">
      <c r="G342" s="821"/>
    </row>
    <row r="343">
      <c r="G343" s="821"/>
    </row>
    <row r="344">
      <c r="G344" s="821"/>
    </row>
    <row r="345">
      <c r="G345" s="821"/>
    </row>
    <row r="346">
      <c r="G346" s="821"/>
    </row>
    <row r="347">
      <c r="G347" s="821"/>
    </row>
    <row r="348">
      <c r="G348" s="821"/>
    </row>
    <row r="349">
      <c r="G349" s="821"/>
    </row>
    <row r="350">
      <c r="G350" s="821"/>
    </row>
    <row r="351">
      <c r="G351" s="821"/>
    </row>
    <row r="352">
      <c r="G352" s="821"/>
    </row>
    <row r="353">
      <c r="G353" s="821"/>
    </row>
    <row r="354">
      <c r="G354" s="821"/>
    </row>
    <row r="355">
      <c r="G355" s="821"/>
    </row>
    <row r="356">
      <c r="G356" s="821"/>
    </row>
    <row r="357">
      <c r="G357" s="821"/>
    </row>
    <row r="358">
      <c r="G358" s="821"/>
    </row>
    <row r="359">
      <c r="G359" s="821"/>
    </row>
    <row r="360">
      <c r="G360" s="821"/>
    </row>
    <row r="361">
      <c r="G361" s="821"/>
    </row>
    <row r="362">
      <c r="G362" s="821"/>
    </row>
    <row r="363">
      <c r="G363" s="821"/>
    </row>
    <row r="364">
      <c r="G364" s="821"/>
    </row>
    <row r="365">
      <c r="G365" s="821"/>
    </row>
    <row r="366">
      <c r="G366" s="821"/>
    </row>
    <row r="367">
      <c r="G367" s="821"/>
    </row>
    <row r="368">
      <c r="G368" s="821"/>
    </row>
    <row r="369">
      <c r="G369" s="821"/>
    </row>
    <row r="370">
      <c r="G370" s="821"/>
    </row>
    <row r="371">
      <c r="G371" s="821"/>
    </row>
    <row r="372">
      <c r="G372" s="821"/>
    </row>
    <row r="373">
      <c r="G373" s="821"/>
    </row>
    <row r="374">
      <c r="G374" s="821"/>
    </row>
    <row r="375">
      <c r="G375" s="821"/>
    </row>
    <row r="376">
      <c r="G376" s="821"/>
    </row>
    <row r="377">
      <c r="G377" s="821"/>
    </row>
    <row r="378">
      <c r="G378" s="821"/>
    </row>
    <row r="379">
      <c r="G379" s="821"/>
    </row>
    <row r="380">
      <c r="G380" s="821"/>
    </row>
    <row r="381">
      <c r="G381" s="821"/>
    </row>
    <row r="382">
      <c r="G382" s="821"/>
    </row>
    <row r="383">
      <c r="G383" s="821"/>
    </row>
    <row r="384">
      <c r="G384" s="821"/>
    </row>
    <row r="385">
      <c r="G385" s="821"/>
    </row>
    <row r="386">
      <c r="G386" s="821"/>
    </row>
    <row r="387">
      <c r="G387" s="821"/>
    </row>
    <row r="388">
      <c r="G388" s="821"/>
    </row>
    <row r="389">
      <c r="G389" s="821"/>
    </row>
    <row r="390">
      <c r="G390" s="821"/>
    </row>
    <row r="391">
      <c r="G391" s="821"/>
    </row>
    <row r="392">
      <c r="G392" s="821"/>
    </row>
    <row r="393">
      <c r="G393" s="821"/>
    </row>
    <row r="394">
      <c r="G394" s="821"/>
    </row>
    <row r="395">
      <c r="G395" s="821"/>
    </row>
    <row r="396">
      <c r="G396" s="821"/>
    </row>
    <row r="397">
      <c r="G397" s="821"/>
    </row>
    <row r="398">
      <c r="G398" s="821"/>
    </row>
    <row r="399">
      <c r="G399" s="821"/>
    </row>
    <row r="400">
      <c r="G400" s="821"/>
    </row>
    <row r="401">
      <c r="G401" s="821"/>
    </row>
    <row r="402">
      <c r="G402" s="821"/>
    </row>
    <row r="403">
      <c r="G403" s="821"/>
    </row>
    <row r="404">
      <c r="G404" s="821"/>
    </row>
    <row r="405">
      <c r="G405" s="821"/>
    </row>
    <row r="406">
      <c r="G406" s="821"/>
    </row>
    <row r="407">
      <c r="G407" s="821"/>
    </row>
    <row r="408">
      <c r="G408" s="821"/>
    </row>
    <row r="409">
      <c r="G409" s="821"/>
    </row>
    <row r="410">
      <c r="G410" s="821"/>
    </row>
    <row r="411">
      <c r="G411" s="821"/>
    </row>
    <row r="412">
      <c r="G412" s="821"/>
    </row>
    <row r="413">
      <c r="G413" s="821"/>
    </row>
    <row r="414">
      <c r="G414" s="821"/>
    </row>
    <row r="415">
      <c r="G415" s="821"/>
    </row>
    <row r="416">
      <c r="G416" s="821"/>
    </row>
    <row r="417">
      <c r="G417" s="821"/>
    </row>
    <row r="418">
      <c r="G418" s="821"/>
    </row>
    <row r="419">
      <c r="G419" s="821"/>
    </row>
    <row r="420">
      <c r="G420" s="821"/>
    </row>
    <row r="421">
      <c r="G421" s="821"/>
    </row>
    <row r="422">
      <c r="G422" s="821"/>
    </row>
    <row r="423">
      <c r="G423" s="821"/>
    </row>
    <row r="424">
      <c r="G424" s="821"/>
    </row>
    <row r="425">
      <c r="G425" s="821"/>
    </row>
    <row r="426">
      <c r="G426" s="821"/>
    </row>
    <row r="427">
      <c r="G427" s="821"/>
    </row>
    <row r="428">
      <c r="G428" s="821"/>
    </row>
    <row r="429">
      <c r="G429" s="821"/>
    </row>
    <row r="430">
      <c r="G430" s="821"/>
    </row>
    <row r="431">
      <c r="G431" s="821"/>
    </row>
    <row r="432">
      <c r="G432" s="821"/>
    </row>
    <row r="433">
      <c r="G433" s="821"/>
    </row>
    <row r="434">
      <c r="G434" s="821"/>
    </row>
    <row r="435">
      <c r="G435" s="821"/>
    </row>
    <row r="436">
      <c r="G436" s="821"/>
    </row>
    <row r="437">
      <c r="G437" s="821"/>
    </row>
    <row r="438">
      <c r="G438" s="821"/>
    </row>
    <row r="439">
      <c r="G439" s="821"/>
    </row>
    <row r="440">
      <c r="G440" s="821"/>
    </row>
    <row r="441">
      <c r="G441" s="821"/>
    </row>
    <row r="442">
      <c r="G442" s="821"/>
    </row>
    <row r="443">
      <c r="G443" s="821"/>
    </row>
    <row r="444">
      <c r="G444" s="821"/>
    </row>
    <row r="445">
      <c r="G445" s="821"/>
    </row>
    <row r="446">
      <c r="G446" s="821"/>
    </row>
    <row r="447">
      <c r="G447" s="821"/>
    </row>
    <row r="448">
      <c r="G448" s="821"/>
    </row>
    <row r="449">
      <c r="G449" s="821"/>
    </row>
    <row r="450">
      <c r="G450" s="821"/>
    </row>
    <row r="451">
      <c r="G451" s="821"/>
    </row>
    <row r="452">
      <c r="G452" s="821"/>
    </row>
    <row r="453">
      <c r="G453" s="821"/>
    </row>
    <row r="454">
      <c r="G454" s="821"/>
    </row>
    <row r="455">
      <c r="G455" s="821"/>
    </row>
    <row r="456">
      <c r="G456" s="821"/>
    </row>
    <row r="457">
      <c r="G457" s="821"/>
    </row>
    <row r="458">
      <c r="G458" s="821"/>
    </row>
    <row r="459">
      <c r="G459" s="821"/>
    </row>
    <row r="460">
      <c r="G460" s="821"/>
    </row>
    <row r="461">
      <c r="G461" s="821"/>
    </row>
    <row r="462">
      <c r="G462" s="821"/>
    </row>
    <row r="463">
      <c r="G463" s="821"/>
    </row>
    <row r="464">
      <c r="G464" s="821"/>
    </row>
    <row r="465">
      <c r="G465" s="821"/>
    </row>
    <row r="466">
      <c r="G466" s="821"/>
    </row>
    <row r="467">
      <c r="G467" s="821"/>
    </row>
    <row r="468">
      <c r="G468" s="821"/>
    </row>
    <row r="469">
      <c r="G469" s="821"/>
    </row>
    <row r="470">
      <c r="G470" s="821"/>
    </row>
    <row r="471">
      <c r="G471" s="821"/>
    </row>
    <row r="472">
      <c r="G472" s="821"/>
    </row>
    <row r="473">
      <c r="G473" s="821"/>
    </row>
    <row r="474">
      <c r="G474" s="821"/>
    </row>
    <row r="475">
      <c r="G475" s="821"/>
    </row>
    <row r="476">
      <c r="G476" s="821"/>
    </row>
    <row r="477">
      <c r="G477" s="821"/>
    </row>
    <row r="478">
      <c r="G478" s="821"/>
    </row>
    <row r="479">
      <c r="G479" s="821"/>
    </row>
    <row r="480">
      <c r="G480" s="821"/>
    </row>
    <row r="481">
      <c r="G481" s="821"/>
    </row>
    <row r="482">
      <c r="G482" s="821"/>
    </row>
    <row r="483">
      <c r="G483" s="821"/>
    </row>
    <row r="484">
      <c r="G484" s="821"/>
    </row>
    <row r="485">
      <c r="G485" s="821"/>
    </row>
    <row r="486">
      <c r="G486" s="821"/>
    </row>
    <row r="487">
      <c r="G487" s="821"/>
    </row>
    <row r="488">
      <c r="G488" s="821"/>
    </row>
    <row r="489">
      <c r="G489" s="821"/>
    </row>
    <row r="490">
      <c r="G490" s="821"/>
    </row>
    <row r="491">
      <c r="G491" s="821"/>
    </row>
    <row r="492">
      <c r="G492" s="821"/>
    </row>
    <row r="493">
      <c r="G493" s="821"/>
    </row>
    <row r="494">
      <c r="G494" s="821"/>
    </row>
    <row r="495">
      <c r="G495" s="821"/>
    </row>
    <row r="496">
      <c r="G496" s="821"/>
    </row>
    <row r="497">
      <c r="G497" s="821"/>
    </row>
    <row r="498">
      <c r="G498" s="821"/>
    </row>
    <row r="499">
      <c r="G499" s="821"/>
    </row>
    <row r="500">
      <c r="G500" s="821"/>
    </row>
    <row r="501">
      <c r="G501" s="821"/>
    </row>
    <row r="502">
      <c r="G502" s="821"/>
    </row>
    <row r="503">
      <c r="G503" s="821"/>
    </row>
    <row r="504">
      <c r="G504" s="821"/>
    </row>
    <row r="505">
      <c r="G505" s="821"/>
    </row>
    <row r="506">
      <c r="G506" s="821"/>
    </row>
    <row r="507">
      <c r="G507" s="821"/>
    </row>
    <row r="508">
      <c r="G508" s="821"/>
    </row>
    <row r="509">
      <c r="G509" s="821"/>
    </row>
    <row r="510">
      <c r="G510" s="821"/>
    </row>
    <row r="511">
      <c r="G511" s="821"/>
    </row>
    <row r="512">
      <c r="G512" s="821"/>
    </row>
    <row r="513">
      <c r="G513" s="821"/>
    </row>
    <row r="514">
      <c r="G514" s="821"/>
    </row>
    <row r="515">
      <c r="G515" s="821"/>
    </row>
    <row r="516">
      <c r="G516" s="821"/>
    </row>
    <row r="517">
      <c r="G517" s="821"/>
    </row>
    <row r="518">
      <c r="G518" s="821"/>
    </row>
    <row r="519">
      <c r="G519" s="821"/>
    </row>
    <row r="520">
      <c r="G520" s="821"/>
    </row>
    <row r="521">
      <c r="G521" s="821"/>
    </row>
    <row r="522">
      <c r="G522" s="821"/>
    </row>
    <row r="523">
      <c r="G523" s="821"/>
    </row>
    <row r="524">
      <c r="G524" s="821"/>
    </row>
    <row r="525">
      <c r="G525" s="821"/>
    </row>
    <row r="526">
      <c r="G526" s="821"/>
    </row>
    <row r="527">
      <c r="G527" s="821"/>
    </row>
    <row r="528">
      <c r="G528" s="821"/>
    </row>
    <row r="529">
      <c r="G529" s="821"/>
    </row>
    <row r="530">
      <c r="G530" s="821"/>
    </row>
    <row r="531">
      <c r="G531" s="821"/>
    </row>
    <row r="532">
      <c r="G532" s="821"/>
    </row>
    <row r="533">
      <c r="G533" s="821"/>
    </row>
    <row r="534">
      <c r="G534" s="821"/>
    </row>
    <row r="535">
      <c r="G535" s="821"/>
    </row>
    <row r="536">
      <c r="G536" s="821"/>
    </row>
    <row r="537">
      <c r="G537" s="821"/>
    </row>
    <row r="538">
      <c r="G538" s="821"/>
    </row>
    <row r="539">
      <c r="G539" s="821"/>
    </row>
    <row r="540">
      <c r="G540" s="821"/>
    </row>
    <row r="541">
      <c r="G541" s="821"/>
    </row>
    <row r="542">
      <c r="G542" s="821"/>
    </row>
    <row r="543">
      <c r="G543" s="821"/>
    </row>
    <row r="544">
      <c r="G544" s="821"/>
    </row>
    <row r="545">
      <c r="G545" s="821"/>
    </row>
    <row r="546">
      <c r="G546" s="821"/>
    </row>
    <row r="547">
      <c r="G547" s="821"/>
    </row>
    <row r="548">
      <c r="G548" s="821"/>
    </row>
    <row r="549">
      <c r="G549" s="821"/>
    </row>
    <row r="550">
      <c r="G550" s="821"/>
    </row>
    <row r="551">
      <c r="G551" s="821"/>
    </row>
    <row r="552">
      <c r="G552" s="821"/>
    </row>
    <row r="553">
      <c r="G553" s="821"/>
    </row>
    <row r="554">
      <c r="G554" s="821"/>
    </row>
    <row r="555">
      <c r="G555" s="821"/>
    </row>
    <row r="556">
      <c r="G556" s="821"/>
    </row>
    <row r="557">
      <c r="G557" s="821"/>
    </row>
    <row r="558">
      <c r="G558" s="821"/>
    </row>
    <row r="559">
      <c r="G559" s="821"/>
    </row>
    <row r="560">
      <c r="G560" s="821"/>
    </row>
    <row r="561">
      <c r="G561" s="821"/>
    </row>
    <row r="562">
      <c r="G562" s="821"/>
    </row>
    <row r="563">
      <c r="G563" s="821"/>
    </row>
    <row r="564">
      <c r="G564" s="821"/>
    </row>
    <row r="565">
      <c r="G565" s="821"/>
    </row>
    <row r="566">
      <c r="G566" s="821"/>
    </row>
    <row r="567">
      <c r="G567" s="821"/>
    </row>
    <row r="568">
      <c r="G568" s="821"/>
    </row>
    <row r="569">
      <c r="G569" s="821"/>
    </row>
    <row r="570">
      <c r="G570" s="821"/>
    </row>
    <row r="571">
      <c r="G571" s="821"/>
    </row>
    <row r="572">
      <c r="G572" s="821"/>
    </row>
    <row r="573">
      <c r="G573" s="821"/>
    </row>
    <row r="574">
      <c r="G574" s="821"/>
    </row>
    <row r="575">
      <c r="G575" s="821"/>
    </row>
    <row r="576">
      <c r="G576" s="821"/>
    </row>
    <row r="577">
      <c r="G577" s="821"/>
    </row>
    <row r="578">
      <c r="G578" s="821"/>
    </row>
    <row r="579">
      <c r="G579" s="821"/>
    </row>
    <row r="580">
      <c r="G580" s="821"/>
    </row>
    <row r="581">
      <c r="G581" s="821"/>
    </row>
    <row r="582">
      <c r="G582" s="821"/>
    </row>
    <row r="583">
      <c r="G583" s="821"/>
    </row>
    <row r="584">
      <c r="G584" s="821"/>
    </row>
    <row r="585">
      <c r="G585" s="821"/>
    </row>
    <row r="586">
      <c r="G586" s="821"/>
    </row>
    <row r="587">
      <c r="G587" s="821"/>
    </row>
    <row r="588">
      <c r="G588" s="821"/>
    </row>
    <row r="589">
      <c r="G589" s="821"/>
    </row>
    <row r="590">
      <c r="G590" s="821"/>
    </row>
    <row r="591">
      <c r="G591" s="821"/>
    </row>
    <row r="592">
      <c r="G592" s="821"/>
    </row>
    <row r="593">
      <c r="G593" s="821"/>
    </row>
    <row r="594">
      <c r="G594" s="821"/>
    </row>
    <row r="595">
      <c r="G595" s="821"/>
    </row>
    <row r="596">
      <c r="G596" s="821"/>
    </row>
    <row r="597">
      <c r="G597" s="821"/>
    </row>
    <row r="598">
      <c r="G598" s="821"/>
    </row>
    <row r="599">
      <c r="G599" s="821"/>
    </row>
    <row r="600">
      <c r="G600" s="821"/>
    </row>
    <row r="601">
      <c r="G601" s="821"/>
    </row>
    <row r="602">
      <c r="G602" s="821"/>
    </row>
    <row r="603">
      <c r="G603" s="821"/>
    </row>
    <row r="604">
      <c r="G604" s="821"/>
    </row>
    <row r="605">
      <c r="G605" s="821"/>
    </row>
    <row r="606">
      <c r="G606" s="821"/>
    </row>
    <row r="607">
      <c r="G607" s="821"/>
    </row>
    <row r="608">
      <c r="G608" s="821"/>
    </row>
    <row r="609">
      <c r="G609" s="821"/>
    </row>
    <row r="610">
      <c r="G610" s="821"/>
    </row>
    <row r="611">
      <c r="G611" s="821"/>
    </row>
    <row r="612">
      <c r="G612" s="821"/>
    </row>
    <row r="613">
      <c r="G613" s="821"/>
    </row>
    <row r="614">
      <c r="G614" s="821"/>
    </row>
    <row r="615">
      <c r="G615" s="821"/>
    </row>
    <row r="616">
      <c r="G616" s="821"/>
    </row>
    <row r="617">
      <c r="G617" s="821"/>
    </row>
    <row r="618">
      <c r="G618" s="821"/>
    </row>
    <row r="619">
      <c r="G619" s="821"/>
    </row>
    <row r="620">
      <c r="G620" s="821"/>
    </row>
    <row r="621">
      <c r="G621" s="821"/>
    </row>
    <row r="622">
      <c r="G622" s="821"/>
    </row>
    <row r="623">
      <c r="G623" s="821"/>
    </row>
    <row r="624">
      <c r="G624" s="821"/>
    </row>
    <row r="625">
      <c r="G625" s="821"/>
    </row>
    <row r="626">
      <c r="G626" s="821"/>
    </row>
    <row r="627">
      <c r="G627" s="821"/>
    </row>
    <row r="628">
      <c r="G628" s="821"/>
    </row>
    <row r="629">
      <c r="G629" s="821"/>
    </row>
    <row r="630">
      <c r="G630" s="821"/>
    </row>
    <row r="631">
      <c r="G631" s="821"/>
    </row>
    <row r="632">
      <c r="G632" s="821"/>
    </row>
    <row r="633">
      <c r="G633" s="821"/>
    </row>
    <row r="634">
      <c r="G634" s="821"/>
    </row>
    <row r="635">
      <c r="G635" s="821"/>
    </row>
    <row r="636">
      <c r="G636" s="821"/>
    </row>
    <row r="637">
      <c r="G637" s="821"/>
    </row>
    <row r="638">
      <c r="G638" s="821"/>
    </row>
    <row r="639">
      <c r="G639" s="821"/>
    </row>
    <row r="640">
      <c r="G640" s="821"/>
    </row>
    <row r="641">
      <c r="G641" s="821"/>
    </row>
    <row r="642">
      <c r="G642" s="821"/>
    </row>
    <row r="643">
      <c r="G643" s="821"/>
    </row>
    <row r="644">
      <c r="G644" s="821"/>
    </row>
    <row r="645">
      <c r="G645" s="821"/>
    </row>
    <row r="646">
      <c r="G646" s="821"/>
    </row>
    <row r="647">
      <c r="G647" s="821"/>
    </row>
    <row r="648">
      <c r="G648" s="821"/>
    </row>
    <row r="649">
      <c r="G649" s="821"/>
    </row>
    <row r="650">
      <c r="G650" s="821"/>
    </row>
    <row r="651">
      <c r="G651" s="821"/>
    </row>
    <row r="652">
      <c r="G652" s="821"/>
    </row>
    <row r="653">
      <c r="G653" s="821"/>
    </row>
    <row r="654">
      <c r="G654" s="821"/>
    </row>
    <row r="655">
      <c r="G655" s="821"/>
    </row>
    <row r="656">
      <c r="G656" s="821"/>
    </row>
    <row r="657">
      <c r="G657" s="821"/>
    </row>
    <row r="658">
      <c r="G658" s="821"/>
    </row>
    <row r="659">
      <c r="G659" s="821"/>
    </row>
    <row r="660">
      <c r="G660" s="821"/>
    </row>
    <row r="661">
      <c r="G661" s="821"/>
    </row>
    <row r="662">
      <c r="G662" s="821"/>
    </row>
    <row r="663">
      <c r="G663" s="821"/>
    </row>
    <row r="664">
      <c r="G664" s="821"/>
    </row>
    <row r="665">
      <c r="G665" s="821"/>
    </row>
    <row r="666">
      <c r="G666" s="821"/>
    </row>
    <row r="667">
      <c r="G667" s="821"/>
    </row>
    <row r="668">
      <c r="G668" s="821"/>
    </row>
    <row r="669">
      <c r="G669" s="821"/>
    </row>
    <row r="670">
      <c r="G670" s="821"/>
    </row>
    <row r="671">
      <c r="G671" s="821"/>
    </row>
    <row r="672">
      <c r="G672" s="821"/>
    </row>
    <row r="673">
      <c r="G673" s="821"/>
    </row>
    <row r="674">
      <c r="G674" s="821"/>
    </row>
    <row r="675">
      <c r="G675" s="821"/>
    </row>
    <row r="676">
      <c r="G676" s="821"/>
    </row>
    <row r="677">
      <c r="G677" s="821"/>
    </row>
    <row r="678">
      <c r="G678" s="821"/>
    </row>
    <row r="679">
      <c r="G679" s="821"/>
    </row>
    <row r="680">
      <c r="G680" s="821"/>
    </row>
    <row r="681">
      <c r="G681" s="821"/>
    </row>
    <row r="682">
      <c r="G682" s="821"/>
    </row>
    <row r="683">
      <c r="G683" s="821"/>
    </row>
    <row r="684">
      <c r="G684" s="821"/>
    </row>
    <row r="685">
      <c r="G685" s="821"/>
    </row>
    <row r="686">
      <c r="G686" s="821"/>
    </row>
    <row r="687">
      <c r="G687" s="821"/>
    </row>
    <row r="688">
      <c r="G688" s="821"/>
    </row>
    <row r="689">
      <c r="G689" s="821"/>
    </row>
    <row r="690">
      <c r="G690" s="821"/>
    </row>
    <row r="691">
      <c r="G691" s="821"/>
    </row>
    <row r="692">
      <c r="G692" s="821"/>
    </row>
    <row r="693">
      <c r="G693" s="821"/>
    </row>
    <row r="694">
      <c r="G694" s="821"/>
    </row>
    <row r="695">
      <c r="G695" s="821"/>
    </row>
    <row r="696">
      <c r="G696" s="821"/>
    </row>
    <row r="697">
      <c r="G697" s="821"/>
    </row>
    <row r="698">
      <c r="G698" s="821"/>
    </row>
    <row r="699">
      <c r="G699" s="821"/>
    </row>
    <row r="700">
      <c r="G700" s="821"/>
    </row>
    <row r="701">
      <c r="G701" s="821"/>
    </row>
    <row r="702">
      <c r="G702" s="821"/>
    </row>
    <row r="703">
      <c r="G703" s="821"/>
    </row>
    <row r="704">
      <c r="G704" s="821"/>
    </row>
    <row r="705">
      <c r="G705" s="821"/>
    </row>
    <row r="706">
      <c r="G706" s="821"/>
    </row>
    <row r="707">
      <c r="G707" s="821"/>
    </row>
    <row r="708">
      <c r="G708" s="821"/>
    </row>
    <row r="709">
      <c r="G709" s="821"/>
    </row>
    <row r="710">
      <c r="G710" s="821"/>
    </row>
    <row r="711">
      <c r="G711" s="821"/>
    </row>
    <row r="712">
      <c r="G712" s="821"/>
    </row>
    <row r="713">
      <c r="G713" s="821"/>
    </row>
    <row r="714">
      <c r="G714" s="821"/>
    </row>
    <row r="715">
      <c r="G715" s="821"/>
    </row>
    <row r="716">
      <c r="G716" s="821"/>
    </row>
    <row r="717">
      <c r="G717" s="821"/>
    </row>
    <row r="718">
      <c r="G718" s="821"/>
    </row>
    <row r="719">
      <c r="G719" s="821"/>
    </row>
    <row r="720">
      <c r="G720" s="821"/>
    </row>
    <row r="721">
      <c r="G721" s="821"/>
    </row>
    <row r="722">
      <c r="G722" s="821"/>
    </row>
    <row r="723">
      <c r="G723" s="821"/>
    </row>
    <row r="724">
      <c r="G724" s="821"/>
    </row>
    <row r="725">
      <c r="G725" s="821"/>
    </row>
    <row r="726">
      <c r="G726" s="821"/>
    </row>
    <row r="727">
      <c r="G727" s="821"/>
    </row>
    <row r="728">
      <c r="G728" s="821"/>
    </row>
    <row r="729">
      <c r="G729" s="821"/>
    </row>
    <row r="730">
      <c r="G730" s="821"/>
    </row>
    <row r="731">
      <c r="G731" s="821"/>
    </row>
    <row r="732">
      <c r="G732" s="821"/>
    </row>
    <row r="733">
      <c r="G733" s="821"/>
    </row>
    <row r="734">
      <c r="G734" s="821"/>
    </row>
    <row r="735">
      <c r="G735" s="821"/>
    </row>
    <row r="736">
      <c r="G736" s="821"/>
    </row>
    <row r="737">
      <c r="G737" s="821"/>
    </row>
    <row r="738">
      <c r="G738" s="821"/>
    </row>
    <row r="739">
      <c r="G739" s="821"/>
    </row>
    <row r="740">
      <c r="G740" s="821"/>
    </row>
    <row r="741">
      <c r="G741" s="821"/>
    </row>
    <row r="742">
      <c r="G742" s="821"/>
    </row>
    <row r="743">
      <c r="G743" s="821"/>
    </row>
    <row r="744">
      <c r="G744" s="821"/>
    </row>
    <row r="745">
      <c r="G745" s="821"/>
    </row>
    <row r="746">
      <c r="G746" s="821"/>
    </row>
    <row r="747">
      <c r="G747" s="821"/>
    </row>
    <row r="748">
      <c r="G748" s="821"/>
    </row>
    <row r="749">
      <c r="G749" s="821"/>
    </row>
    <row r="750">
      <c r="G750" s="821"/>
    </row>
    <row r="751">
      <c r="G751" s="821"/>
    </row>
    <row r="752">
      <c r="G752" s="821"/>
    </row>
    <row r="753">
      <c r="G753" s="821"/>
    </row>
    <row r="754">
      <c r="G754" s="821"/>
    </row>
    <row r="755">
      <c r="G755" s="821"/>
    </row>
    <row r="756">
      <c r="G756" s="821"/>
    </row>
    <row r="757">
      <c r="G757" s="821"/>
    </row>
    <row r="758">
      <c r="G758" s="821"/>
    </row>
    <row r="759">
      <c r="G759" s="821"/>
    </row>
    <row r="760">
      <c r="G760" s="821"/>
    </row>
    <row r="761">
      <c r="G761" s="821"/>
    </row>
    <row r="762">
      <c r="G762" s="821"/>
    </row>
    <row r="763">
      <c r="G763" s="821"/>
    </row>
    <row r="764">
      <c r="G764" s="821"/>
    </row>
    <row r="765">
      <c r="G765" s="821"/>
    </row>
    <row r="766">
      <c r="G766" s="821"/>
    </row>
    <row r="767">
      <c r="G767" s="821"/>
    </row>
    <row r="768">
      <c r="G768" s="821"/>
    </row>
    <row r="769">
      <c r="G769" s="821"/>
    </row>
    <row r="770">
      <c r="G770" s="821"/>
    </row>
    <row r="771">
      <c r="G771" s="821"/>
    </row>
    <row r="772">
      <c r="G772" s="821"/>
    </row>
    <row r="773">
      <c r="G773" s="821"/>
    </row>
    <row r="774">
      <c r="G774" s="821"/>
    </row>
    <row r="775">
      <c r="G775" s="821"/>
    </row>
    <row r="776">
      <c r="G776" s="821"/>
    </row>
    <row r="777">
      <c r="G777" s="821"/>
    </row>
    <row r="778">
      <c r="G778" s="821"/>
    </row>
    <row r="779">
      <c r="G779" s="821"/>
    </row>
    <row r="780">
      <c r="G780" s="821"/>
    </row>
    <row r="781">
      <c r="G781" s="821"/>
    </row>
    <row r="782">
      <c r="G782" s="821"/>
    </row>
    <row r="783">
      <c r="G783" s="821"/>
    </row>
    <row r="784">
      <c r="G784" s="821"/>
    </row>
    <row r="785">
      <c r="G785" s="821"/>
    </row>
    <row r="786">
      <c r="G786" s="821"/>
    </row>
    <row r="787">
      <c r="G787" s="821"/>
    </row>
    <row r="788">
      <c r="G788" s="821"/>
    </row>
    <row r="789">
      <c r="G789" s="821"/>
    </row>
    <row r="790">
      <c r="G790" s="821"/>
    </row>
    <row r="791">
      <c r="G791" s="821"/>
    </row>
    <row r="792">
      <c r="G792" s="821"/>
    </row>
    <row r="793">
      <c r="G793" s="821"/>
    </row>
    <row r="794">
      <c r="G794" s="821"/>
    </row>
    <row r="795">
      <c r="G795" s="821"/>
    </row>
    <row r="796">
      <c r="G796" s="821"/>
    </row>
    <row r="797">
      <c r="G797" s="821"/>
    </row>
    <row r="798">
      <c r="G798" s="821"/>
    </row>
    <row r="799">
      <c r="G799" s="821"/>
    </row>
    <row r="800">
      <c r="G800" s="821"/>
    </row>
    <row r="801">
      <c r="G801" s="821"/>
    </row>
    <row r="802">
      <c r="G802" s="821"/>
    </row>
    <row r="803">
      <c r="G803" s="821"/>
    </row>
    <row r="804">
      <c r="G804" s="821"/>
    </row>
    <row r="805">
      <c r="G805" s="821"/>
    </row>
    <row r="806">
      <c r="G806" s="821"/>
    </row>
    <row r="807">
      <c r="G807" s="821"/>
    </row>
    <row r="808">
      <c r="G808" s="821"/>
    </row>
    <row r="809">
      <c r="G809" s="821"/>
    </row>
    <row r="810">
      <c r="G810" s="821"/>
    </row>
    <row r="811">
      <c r="G811" s="821"/>
    </row>
    <row r="812">
      <c r="G812" s="821"/>
    </row>
    <row r="813">
      <c r="G813" s="821"/>
    </row>
    <row r="814">
      <c r="G814" s="821"/>
    </row>
    <row r="815">
      <c r="G815" s="821"/>
    </row>
    <row r="816">
      <c r="G816" s="821"/>
    </row>
    <row r="817">
      <c r="G817" s="821"/>
    </row>
    <row r="818">
      <c r="G818" s="821"/>
    </row>
    <row r="819">
      <c r="G819" s="821"/>
    </row>
    <row r="820">
      <c r="G820" s="821"/>
    </row>
    <row r="821">
      <c r="G821" s="821"/>
    </row>
    <row r="822">
      <c r="G822" s="821"/>
    </row>
    <row r="823">
      <c r="G823" s="821"/>
    </row>
    <row r="824">
      <c r="G824" s="821"/>
    </row>
    <row r="825">
      <c r="G825" s="821"/>
    </row>
    <row r="826">
      <c r="G826" s="821"/>
    </row>
    <row r="827">
      <c r="G827" s="821"/>
    </row>
    <row r="828">
      <c r="G828" s="821"/>
    </row>
    <row r="829">
      <c r="G829" s="821"/>
    </row>
    <row r="830">
      <c r="G830" s="821"/>
    </row>
    <row r="831">
      <c r="G831" s="821"/>
    </row>
    <row r="832">
      <c r="G832" s="821"/>
    </row>
    <row r="833">
      <c r="G833" s="821"/>
    </row>
    <row r="834">
      <c r="G834" s="821"/>
    </row>
    <row r="835">
      <c r="G835" s="821"/>
    </row>
    <row r="836">
      <c r="G836" s="821"/>
    </row>
    <row r="837">
      <c r="G837" s="821"/>
    </row>
    <row r="838">
      <c r="G838" s="821"/>
    </row>
    <row r="839">
      <c r="G839" s="821"/>
    </row>
    <row r="840">
      <c r="G840" s="821"/>
    </row>
    <row r="841">
      <c r="G841" s="821"/>
    </row>
    <row r="842">
      <c r="G842" s="821"/>
    </row>
    <row r="843">
      <c r="G843" s="821"/>
    </row>
    <row r="844">
      <c r="G844" s="821"/>
    </row>
    <row r="845">
      <c r="G845" s="821"/>
    </row>
    <row r="846">
      <c r="G846" s="821"/>
    </row>
    <row r="847">
      <c r="G847" s="821"/>
    </row>
    <row r="848">
      <c r="G848" s="821"/>
    </row>
    <row r="849">
      <c r="G849" s="821"/>
    </row>
    <row r="850">
      <c r="G850" s="821"/>
    </row>
    <row r="851">
      <c r="G851" s="821"/>
    </row>
    <row r="852">
      <c r="G852" s="821"/>
    </row>
    <row r="853">
      <c r="G853" s="821"/>
    </row>
    <row r="854">
      <c r="G854" s="821"/>
    </row>
    <row r="855">
      <c r="G855" s="821"/>
    </row>
    <row r="856">
      <c r="G856" s="821"/>
    </row>
    <row r="857">
      <c r="G857" s="821"/>
    </row>
    <row r="858">
      <c r="G858" s="821"/>
    </row>
    <row r="859">
      <c r="G859" s="821"/>
    </row>
    <row r="860">
      <c r="G860" s="821"/>
    </row>
    <row r="861">
      <c r="G861" s="821"/>
    </row>
    <row r="862">
      <c r="G862" s="821"/>
    </row>
    <row r="863">
      <c r="G863" s="821"/>
    </row>
    <row r="864">
      <c r="G864" s="821"/>
    </row>
    <row r="865">
      <c r="G865" s="821"/>
    </row>
    <row r="866">
      <c r="G866" s="821"/>
    </row>
    <row r="867">
      <c r="G867" s="821"/>
    </row>
    <row r="868">
      <c r="G868" s="821"/>
    </row>
    <row r="869">
      <c r="G869" s="821"/>
    </row>
    <row r="870">
      <c r="G870" s="821"/>
    </row>
    <row r="871">
      <c r="G871" s="821"/>
    </row>
    <row r="872">
      <c r="G872" s="821"/>
    </row>
    <row r="873">
      <c r="G873" s="821"/>
    </row>
    <row r="874">
      <c r="G874" s="821"/>
    </row>
    <row r="875">
      <c r="G875" s="821"/>
    </row>
    <row r="876">
      <c r="G876" s="821"/>
    </row>
    <row r="877">
      <c r="G877" s="821"/>
    </row>
    <row r="878">
      <c r="G878" s="821"/>
    </row>
    <row r="879">
      <c r="G879" s="821"/>
    </row>
    <row r="880">
      <c r="G880" s="821"/>
    </row>
    <row r="881">
      <c r="G881" s="821"/>
    </row>
    <row r="882">
      <c r="G882" s="821"/>
    </row>
    <row r="883">
      <c r="G883" s="821"/>
    </row>
    <row r="884">
      <c r="G884" s="821"/>
    </row>
    <row r="885">
      <c r="G885" s="821"/>
    </row>
    <row r="886">
      <c r="G886" s="821"/>
    </row>
    <row r="887">
      <c r="G887" s="821"/>
    </row>
    <row r="888">
      <c r="G888" s="821"/>
    </row>
    <row r="889">
      <c r="G889" s="821"/>
    </row>
    <row r="890">
      <c r="G890" s="821"/>
    </row>
    <row r="891">
      <c r="G891" s="821"/>
    </row>
    <row r="892">
      <c r="G892" s="821"/>
    </row>
    <row r="893">
      <c r="G893" s="821"/>
    </row>
    <row r="894">
      <c r="G894" s="821"/>
    </row>
    <row r="895">
      <c r="G895" s="821"/>
    </row>
    <row r="896">
      <c r="G896" s="821"/>
    </row>
    <row r="897">
      <c r="G897" s="821"/>
    </row>
    <row r="898">
      <c r="G898" s="821"/>
    </row>
    <row r="899">
      <c r="G899" s="821"/>
    </row>
    <row r="900">
      <c r="G900" s="821"/>
    </row>
    <row r="901">
      <c r="G901" s="821"/>
    </row>
    <row r="902">
      <c r="G902" s="821"/>
    </row>
    <row r="903">
      <c r="G903" s="821"/>
    </row>
    <row r="904">
      <c r="G904" s="821"/>
    </row>
    <row r="905">
      <c r="G905" s="821"/>
    </row>
    <row r="906">
      <c r="G906" s="821"/>
    </row>
    <row r="907">
      <c r="G907" s="821"/>
    </row>
    <row r="908">
      <c r="G908" s="821"/>
    </row>
    <row r="909">
      <c r="G909" s="821"/>
    </row>
    <row r="910">
      <c r="G910" s="821"/>
    </row>
    <row r="911">
      <c r="G911" s="821"/>
    </row>
    <row r="912">
      <c r="G912" s="821"/>
    </row>
    <row r="913">
      <c r="G913" s="821"/>
    </row>
    <row r="914">
      <c r="G914" s="821"/>
    </row>
    <row r="915">
      <c r="G915" s="821"/>
    </row>
    <row r="916">
      <c r="G916" s="821"/>
    </row>
    <row r="917">
      <c r="G917" s="821"/>
    </row>
    <row r="918">
      <c r="G918" s="821"/>
    </row>
    <row r="919">
      <c r="G919" s="821"/>
    </row>
    <row r="920">
      <c r="G920" s="821"/>
    </row>
    <row r="921">
      <c r="G921" s="821"/>
    </row>
    <row r="922">
      <c r="G922" s="821"/>
    </row>
    <row r="923">
      <c r="G923" s="821"/>
    </row>
    <row r="924">
      <c r="G924" s="821"/>
    </row>
    <row r="925">
      <c r="G925" s="821"/>
    </row>
    <row r="926">
      <c r="G926" s="821"/>
    </row>
    <row r="927">
      <c r="G927" s="821"/>
    </row>
    <row r="928">
      <c r="G928" s="821"/>
    </row>
    <row r="929">
      <c r="G929" s="821"/>
    </row>
    <row r="930">
      <c r="G930" s="821"/>
    </row>
    <row r="931">
      <c r="G931" s="821"/>
    </row>
    <row r="932">
      <c r="G932" s="821"/>
    </row>
    <row r="933">
      <c r="G933" s="821"/>
    </row>
    <row r="934">
      <c r="G934" s="821"/>
    </row>
    <row r="935">
      <c r="G935" s="821"/>
    </row>
    <row r="936">
      <c r="G936" s="821"/>
    </row>
    <row r="937">
      <c r="G937" s="821"/>
    </row>
    <row r="938">
      <c r="G938" s="821"/>
    </row>
    <row r="939">
      <c r="G939" s="821"/>
    </row>
    <row r="940">
      <c r="G940" s="821"/>
    </row>
    <row r="941">
      <c r="G941" s="821"/>
    </row>
    <row r="942">
      <c r="G942" s="821"/>
    </row>
    <row r="943">
      <c r="G943" s="821"/>
    </row>
    <row r="944">
      <c r="G944" s="821"/>
    </row>
    <row r="945">
      <c r="G945" s="821"/>
    </row>
    <row r="946">
      <c r="G946" s="821"/>
    </row>
    <row r="947">
      <c r="G947" s="821"/>
    </row>
    <row r="948">
      <c r="G948" s="821"/>
    </row>
    <row r="949">
      <c r="G949" s="821"/>
    </row>
    <row r="950">
      <c r="G950" s="821"/>
    </row>
    <row r="951">
      <c r="G951" s="821"/>
    </row>
    <row r="952">
      <c r="G952" s="821"/>
    </row>
    <row r="953">
      <c r="G953" s="821"/>
    </row>
    <row r="954">
      <c r="G954" s="821"/>
    </row>
    <row r="955">
      <c r="G955" s="821"/>
    </row>
    <row r="956">
      <c r="G956" s="821"/>
    </row>
    <row r="957">
      <c r="G957" s="821"/>
    </row>
    <row r="958">
      <c r="G958" s="821"/>
    </row>
    <row r="959">
      <c r="G959" s="821"/>
    </row>
    <row r="960">
      <c r="G960" s="821"/>
    </row>
    <row r="961">
      <c r="G961" s="821"/>
    </row>
    <row r="962">
      <c r="G962" s="821"/>
    </row>
    <row r="963">
      <c r="G963" s="821"/>
    </row>
    <row r="964">
      <c r="G964" s="821"/>
    </row>
    <row r="965">
      <c r="G965" s="821"/>
    </row>
    <row r="966">
      <c r="G966" s="821"/>
    </row>
    <row r="967">
      <c r="G967" s="821"/>
    </row>
    <row r="968">
      <c r="G968" s="821"/>
    </row>
    <row r="969">
      <c r="G969" s="821"/>
    </row>
    <row r="970">
      <c r="G970" s="821"/>
    </row>
    <row r="971">
      <c r="G971" s="821"/>
    </row>
    <row r="972">
      <c r="G972" s="821"/>
    </row>
    <row r="973">
      <c r="G973" s="821"/>
    </row>
    <row r="974">
      <c r="G974" s="821"/>
    </row>
    <row r="975">
      <c r="G975" s="821"/>
    </row>
    <row r="976">
      <c r="G976" s="821"/>
    </row>
    <row r="977">
      <c r="G977" s="821"/>
    </row>
    <row r="978">
      <c r="G978" s="821"/>
    </row>
    <row r="979">
      <c r="G979" s="821"/>
    </row>
    <row r="980">
      <c r="G980" s="821"/>
    </row>
    <row r="981">
      <c r="G981" s="821"/>
    </row>
    <row r="982">
      <c r="G982" s="821"/>
    </row>
    <row r="983">
      <c r="G983" s="821"/>
    </row>
    <row r="984">
      <c r="G984" s="821"/>
    </row>
    <row r="985">
      <c r="G985" s="821"/>
    </row>
    <row r="986">
      <c r="G986" s="821"/>
    </row>
    <row r="987">
      <c r="G987" s="821"/>
    </row>
    <row r="988">
      <c r="G988" s="821"/>
    </row>
    <row r="989">
      <c r="G989" s="821"/>
    </row>
    <row r="990">
      <c r="G990" s="821"/>
    </row>
    <row r="991">
      <c r="G991" s="821"/>
    </row>
    <row r="992">
      <c r="G992" s="821"/>
    </row>
    <row r="993">
      <c r="G993" s="821"/>
    </row>
    <row r="994">
      <c r="G994" s="821"/>
    </row>
    <row r="995">
      <c r="G995" s="821"/>
    </row>
    <row r="996">
      <c r="G996" s="821"/>
    </row>
    <row r="997">
      <c r="G997" s="821"/>
    </row>
    <row r="998">
      <c r="G998" s="821"/>
    </row>
    <row r="999">
      <c r="G999" s="821"/>
    </row>
    <row r="1000">
      <c r="G1000" s="821"/>
    </row>
    <row r="1001">
      <c r="G1001" s="821"/>
    </row>
    <row r="1002">
      <c r="G1002" s="821"/>
    </row>
    <row r="1003">
      <c r="G1003" s="821"/>
    </row>
    <row r="1004">
      <c r="G1004" s="821"/>
    </row>
    <row r="1005">
      <c r="G1005" s="821"/>
    </row>
    <row r="1006">
      <c r="G1006" s="821"/>
    </row>
    <row r="1007">
      <c r="G1007" s="821"/>
    </row>
    <row r="1008">
      <c r="G1008" s="821"/>
    </row>
    <row r="1009">
      <c r="G1009" s="821"/>
    </row>
    <row r="1010">
      <c r="G1010" s="821"/>
    </row>
    <row r="1011">
      <c r="G1011" s="821"/>
    </row>
    <row r="1012">
      <c r="G1012" s="821"/>
    </row>
    <row r="1013">
      <c r="G1013" s="821"/>
    </row>
    <row r="1014">
      <c r="G1014" s="821"/>
    </row>
    <row r="1015">
      <c r="G1015" s="821"/>
    </row>
    <row r="1016">
      <c r="G1016" s="821"/>
    </row>
    <row r="1017">
      <c r="G1017" s="821"/>
    </row>
    <row r="1018">
      <c r="G1018" s="821"/>
    </row>
    <row r="1019">
      <c r="G1019" s="821"/>
    </row>
    <row r="1020">
      <c r="G1020" s="821"/>
    </row>
    <row r="1021">
      <c r="G1021" s="821"/>
    </row>
    <row r="1022">
      <c r="G1022" s="821"/>
    </row>
    <row r="1023">
      <c r="G1023" s="821"/>
    </row>
    <row r="1024">
      <c r="G1024" s="821"/>
    </row>
    <row r="1025">
      <c r="G1025" s="821"/>
    </row>
    <row r="1026">
      <c r="G1026" s="821"/>
    </row>
    <row r="1027">
      <c r="G1027" s="821"/>
    </row>
    <row r="1028">
      <c r="G1028" s="821"/>
    </row>
    <row r="1029">
      <c r="G1029" s="821"/>
    </row>
    <row r="1030">
      <c r="G1030" s="821"/>
    </row>
    <row r="1031">
      <c r="G1031" s="821"/>
    </row>
    <row r="1032">
      <c r="G1032" s="821"/>
    </row>
    <row r="1033">
      <c r="G1033" s="821"/>
    </row>
    <row r="1034">
      <c r="G1034" s="821"/>
    </row>
    <row r="1035">
      <c r="G1035" s="821"/>
    </row>
    <row r="1036">
      <c r="G1036" s="821"/>
    </row>
    <row r="1037">
      <c r="G1037" s="821"/>
    </row>
    <row r="1038">
      <c r="G1038" s="821"/>
    </row>
    <row r="1039">
      <c r="G1039" s="821"/>
    </row>
    <row r="1040">
      <c r="G1040" s="821"/>
    </row>
    <row r="1041">
      <c r="G1041" s="821"/>
    </row>
    <row r="1042">
      <c r="G1042" s="821"/>
    </row>
    <row r="1043">
      <c r="G1043" s="821"/>
    </row>
    <row r="1044">
      <c r="G1044" s="821"/>
    </row>
    <row r="1045">
      <c r="G1045" s="821"/>
    </row>
    <row r="1046">
      <c r="G1046" s="821"/>
    </row>
    <row r="1047">
      <c r="G1047" s="821"/>
    </row>
    <row r="1048">
      <c r="G1048" s="821"/>
    </row>
    <row r="1049">
      <c r="G1049" s="821"/>
    </row>
    <row r="1050">
      <c r="G1050" s="821"/>
    </row>
    <row r="1051">
      <c r="G1051" s="821"/>
    </row>
    <row r="1052">
      <c r="G1052" s="821"/>
    </row>
    <row r="1053">
      <c r="G1053" s="821"/>
    </row>
    <row r="1054">
      <c r="G1054" s="821"/>
    </row>
    <row r="1055">
      <c r="G1055" s="821"/>
    </row>
    <row r="1056">
      <c r="G1056" s="821"/>
    </row>
    <row r="1057">
      <c r="G1057" s="821"/>
    </row>
    <row r="1058">
      <c r="G1058" s="821"/>
    </row>
    <row r="1059">
      <c r="G1059" s="821"/>
    </row>
    <row r="1060">
      <c r="G1060" s="821"/>
    </row>
    <row r="1061">
      <c r="G1061" s="821"/>
    </row>
    <row r="1062">
      <c r="G1062" s="821"/>
    </row>
    <row r="1063">
      <c r="G1063" s="821"/>
    </row>
    <row r="1064">
      <c r="G1064" s="821"/>
    </row>
    <row r="1065">
      <c r="G1065" s="821"/>
    </row>
    <row r="1066">
      <c r="G1066" s="821"/>
    </row>
    <row r="1067">
      <c r="G1067" s="821"/>
    </row>
    <row r="1068">
      <c r="G1068" s="821"/>
    </row>
    <row r="1069">
      <c r="G1069" s="821"/>
    </row>
    <row r="1070">
      <c r="G1070" s="821"/>
    </row>
    <row r="1071">
      <c r="G1071" s="821"/>
    </row>
    <row r="1072">
      <c r="G1072" s="821"/>
    </row>
  </sheetData>
  <autoFilter ref="$A$9:$G$105">
    <sortState ref="A9:G105">
      <sortCondition descending="1" ref="A9:A105"/>
    </sortState>
  </autoFilter>
  <mergeCells count="6">
    <mergeCell ref="A1:G1"/>
    <mergeCell ref="A3:G3"/>
    <mergeCell ref="A4:G4"/>
    <mergeCell ref="A6:G6"/>
    <mergeCell ref="A9:G9"/>
    <mergeCell ref="A12:G12"/>
  </mergeCells>
  <conditionalFormatting sqref="C78">
    <cfRule type="expression" dxfId="12" priority="1">
      <formula>ISODD(ROW())</formula>
    </cfRule>
  </conditionalFormatting>
  <printOptions gridLines="1" horizontalCentered="1"/>
  <pageMargins bottom="0.75" footer="0.0" header="0.0" left="0.7" right="0.7" top="0.75"/>
  <pageSetup fitToHeight="0" cellComments="atEnd" orientation="landscape" pageOrder="overThenDown" paperHeight="14in" paperWidth="17in"/>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66.25"/>
    <col customWidth="1" min="2" max="2" width="17.25"/>
    <col customWidth="1" min="3" max="3" width="5.63"/>
    <col customWidth="1" min="4" max="4" width="7.25"/>
    <col customWidth="1" min="5" max="25" width="6.5"/>
  </cols>
  <sheetData>
    <row r="1">
      <c r="A1" s="1055" t="s">
        <v>1</v>
      </c>
      <c r="B1" s="1056" t="s">
        <v>862</v>
      </c>
      <c r="C1" s="1057" t="s">
        <v>857</v>
      </c>
      <c r="D1" s="1058">
        <f t="shared" ref="D1:D66" si="1">SUM(E1:Y1)</f>
        <v>1</v>
      </c>
      <c r="E1" s="1059">
        <v>1.0</v>
      </c>
      <c r="F1" s="1059"/>
      <c r="G1" s="1060"/>
      <c r="H1" s="1057"/>
      <c r="I1" s="1059"/>
      <c r="J1" s="1057"/>
      <c r="K1" s="1057"/>
      <c r="L1" s="1057"/>
      <c r="M1" s="1060"/>
      <c r="N1" s="1060"/>
      <c r="O1" s="1060"/>
      <c r="P1" s="1060"/>
      <c r="Q1" s="1057"/>
      <c r="R1" s="1057"/>
      <c r="S1" s="1057"/>
      <c r="T1" s="1060"/>
      <c r="U1" s="1057"/>
      <c r="V1" s="1057"/>
      <c r="W1" s="1060"/>
      <c r="X1" s="1060"/>
      <c r="Y1" s="1060"/>
    </row>
    <row r="2">
      <c r="A2" s="1061" t="s">
        <v>1642</v>
      </c>
      <c r="B2" s="1056" t="s">
        <v>1644</v>
      </c>
      <c r="C2" s="1057" t="s">
        <v>1646</v>
      </c>
      <c r="D2" s="1058">
        <f t="shared" si="1"/>
        <v>0</v>
      </c>
      <c r="E2" s="1059"/>
      <c r="F2" s="1059"/>
      <c r="G2" s="1059"/>
      <c r="H2" s="1060"/>
      <c r="I2" s="1057"/>
      <c r="J2" s="1059"/>
      <c r="K2" s="1057"/>
      <c r="L2" s="1057"/>
      <c r="M2" s="1057"/>
      <c r="N2" s="1057"/>
      <c r="O2" s="1057"/>
      <c r="P2" s="1057"/>
      <c r="Q2" s="1057"/>
      <c r="R2" s="1057"/>
      <c r="S2" s="1059"/>
      <c r="T2" s="1057"/>
      <c r="U2" s="1057"/>
      <c r="V2" s="1057"/>
      <c r="W2" s="1057"/>
      <c r="X2" s="1060"/>
      <c r="Y2" s="1060"/>
    </row>
    <row r="3">
      <c r="A3" s="1061" t="s">
        <v>64</v>
      </c>
      <c r="B3" s="1061" t="s">
        <v>7050</v>
      </c>
      <c r="C3" s="1062" t="s">
        <v>57</v>
      </c>
      <c r="D3" s="1063">
        <f t="shared" si="1"/>
        <v>0</v>
      </c>
      <c r="E3" s="1064"/>
      <c r="F3" s="1065"/>
      <c r="G3" s="1066"/>
      <c r="H3" s="1067"/>
      <c r="I3" s="1066"/>
      <c r="J3" s="1067"/>
      <c r="K3" s="1065"/>
      <c r="L3" s="1065"/>
      <c r="M3" s="1065"/>
      <c r="N3" s="1066"/>
      <c r="O3" s="1066"/>
      <c r="P3" s="1066"/>
      <c r="Q3" s="1066"/>
      <c r="R3" s="1065"/>
      <c r="S3" s="1067"/>
      <c r="T3" s="1065"/>
      <c r="U3" s="1066"/>
      <c r="V3" s="1065"/>
      <c r="W3" s="1065"/>
      <c r="X3" s="1065"/>
      <c r="Y3" s="1065"/>
    </row>
    <row r="4">
      <c r="A4" s="1061" t="s">
        <v>7051</v>
      </c>
      <c r="B4" s="1061" t="s">
        <v>532</v>
      </c>
      <c r="C4" s="1066" t="s">
        <v>446</v>
      </c>
      <c r="D4" s="1063">
        <f t="shared" si="1"/>
        <v>0</v>
      </c>
      <c r="E4" s="1066"/>
      <c r="F4" s="1065"/>
      <c r="G4" s="1065"/>
      <c r="H4" s="1066"/>
      <c r="I4" s="1067"/>
      <c r="J4" s="1066"/>
      <c r="K4" s="1067"/>
      <c r="L4" s="1066"/>
      <c r="M4" s="1066"/>
      <c r="N4" s="1067"/>
      <c r="O4" s="1067"/>
      <c r="P4" s="1066"/>
      <c r="Q4" s="1066"/>
      <c r="R4" s="1066"/>
      <c r="S4" s="1067"/>
      <c r="T4" s="1065"/>
      <c r="U4" s="1065"/>
      <c r="V4" s="1065"/>
      <c r="W4" s="1067"/>
      <c r="X4" s="1065"/>
      <c r="Y4" s="1067"/>
    </row>
    <row r="5">
      <c r="A5" s="1061" t="s">
        <v>7052</v>
      </c>
      <c r="B5" s="1061" t="s">
        <v>674</v>
      </c>
      <c r="C5" s="1066" t="s">
        <v>656</v>
      </c>
      <c r="D5" s="1063">
        <f t="shared" si="1"/>
        <v>0</v>
      </c>
      <c r="E5" s="1066"/>
      <c r="F5" s="1066"/>
      <c r="G5" s="1066"/>
      <c r="H5" s="1066"/>
      <c r="I5" s="1066"/>
      <c r="J5" s="1066"/>
      <c r="K5" s="1066"/>
      <c r="L5" s="1066"/>
      <c r="M5" s="1066"/>
      <c r="N5" s="1066"/>
      <c r="O5" s="1065"/>
      <c r="P5" s="1066"/>
      <c r="Q5" s="1066"/>
      <c r="R5" s="1066"/>
      <c r="S5" s="1065"/>
      <c r="T5" s="1066"/>
      <c r="U5" s="1066"/>
      <c r="V5" s="1066"/>
      <c r="W5" s="1065"/>
      <c r="X5" s="1065"/>
      <c r="Y5" s="1065"/>
    </row>
    <row r="6" ht="17.25" customHeight="1">
      <c r="A6" s="1068" t="s">
        <v>7053</v>
      </c>
      <c r="B6" s="1068" t="s">
        <v>1481</v>
      </c>
      <c r="C6" s="1069" t="s">
        <v>1483</v>
      </c>
      <c r="D6" s="1063">
        <f t="shared" si="1"/>
        <v>0</v>
      </c>
      <c r="E6" s="1070"/>
      <c r="F6" s="1071"/>
      <c r="G6" s="1071"/>
      <c r="H6" s="1071"/>
      <c r="I6" s="1071"/>
      <c r="J6" s="1072"/>
      <c r="K6" s="1072"/>
      <c r="L6" s="1072"/>
      <c r="M6" s="1072"/>
      <c r="N6" s="1073"/>
      <c r="O6" s="1073"/>
      <c r="P6" s="1073"/>
      <c r="Q6" s="1073"/>
      <c r="R6" s="1073"/>
      <c r="S6" s="1073"/>
      <c r="T6" s="1073"/>
      <c r="U6" s="1073"/>
      <c r="V6" s="1073"/>
      <c r="W6" s="1073"/>
      <c r="X6" s="1073"/>
      <c r="Y6" s="1073"/>
    </row>
    <row r="7" ht="17.25" customHeight="1">
      <c r="A7" s="1074" t="s">
        <v>7054</v>
      </c>
      <c r="B7" s="1074" t="s">
        <v>1276</v>
      </c>
      <c r="C7" s="1075" t="s">
        <v>1278</v>
      </c>
      <c r="D7" s="1063">
        <f t="shared" si="1"/>
        <v>0</v>
      </c>
      <c r="E7" s="1076"/>
      <c r="F7" s="1077"/>
      <c r="G7" s="1077"/>
      <c r="H7" s="1078"/>
      <c r="I7" s="1078"/>
      <c r="J7" s="1079"/>
      <c r="K7" s="1079"/>
      <c r="L7" s="1078"/>
      <c r="M7" s="1079"/>
      <c r="N7" s="1079"/>
      <c r="O7" s="1077"/>
      <c r="P7" s="1079"/>
      <c r="Q7" s="1079"/>
      <c r="R7" s="1079"/>
      <c r="S7" s="1079"/>
      <c r="T7" s="1079"/>
      <c r="U7" s="1077"/>
      <c r="V7" s="1079"/>
      <c r="W7" s="1077"/>
      <c r="X7" s="1077"/>
      <c r="Y7" s="1077"/>
    </row>
    <row r="8" ht="17.25" customHeight="1">
      <c r="A8" s="1068" t="s">
        <v>7055</v>
      </c>
      <c r="B8" s="1068" t="s">
        <v>1679</v>
      </c>
      <c r="C8" s="1069" t="s">
        <v>1646</v>
      </c>
      <c r="D8" s="1063">
        <f t="shared" si="1"/>
        <v>1</v>
      </c>
      <c r="E8" s="1070">
        <v>1.0</v>
      </c>
      <c r="F8" s="1072"/>
      <c r="G8" s="1071"/>
      <c r="H8" s="1071"/>
      <c r="I8" s="1071"/>
      <c r="J8" s="1072"/>
      <c r="K8" s="1072"/>
      <c r="L8" s="1072"/>
      <c r="M8" s="1072"/>
      <c r="N8" s="1073"/>
      <c r="O8" s="1072"/>
      <c r="P8" s="1072"/>
      <c r="Q8" s="1073"/>
      <c r="R8" s="1073"/>
      <c r="S8" s="1071"/>
      <c r="T8" s="1072"/>
      <c r="U8" s="1073"/>
      <c r="V8" s="1073"/>
      <c r="W8" s="1072"/>
      <c r="X8" s="1073"/>
      <c r="Y8" s="1073"/>
    </row>
    <row r="9" ht="17.25" customHeight="1">
      <c r="A9" s="1074" t="s">
        <v>7056</v>
      </c>
      <c r="B9" s="1074" t="s">
        <v>1700</v>
      </c>
      <c r="C9" s="1075" t="s">
        <v>1646</v>
      </c>
      <c r="D9" s="1063">
        <f t="shared" si="1"/>
        <v>0</v>
      </c>
      <c r="E9" s="1080"/>
      <c r="F9" s="1079"/>
      <c r="G9" s="1079"/>
      <c r="H9" s="1081"/>
      <c r="I9" s="1079"/>
      <c r="J9" s="1077"/>
      <c r="K9" s="1079"/>
      <c r="L9" s="1077"/>
      <c r="M9" s="1077"/>
      <c r="N9" s="1078"/>
      <c r="O9" s="1077"/>
      <c r="P9" s="1077"/>
      <c r="Q9" s="1079"/>
      <c r="R9" s="1077"/>
      <c r="S9" s="1079"/>
      <c r="T9" s="1077"/>
      <c r="U9" s="1077"/>
      <c r="V9" s="1079"/>
      <c r="W9" s="1077"/>
      <c r="X9" s="1077"/>
      <c r="Y9" s="1077"/>
    </row>
    <row r="10" ht="17.25" customHeight="1">
      <c r="A10" s="1068" t="s">
        <v>7057</v>
      </c>
      <c r="B10" s="1068" t="s">
        <v>856</v>
      </c>
      <c r="C10" s="1069" t="s">
        <v>857</v>
      </c>
      <c r="D10" s="1063">
        <f t="shared" si="1"/>
        <v>0</v>
      </c>
      <c r="E10" s="1082"/>
      <c r="F10" s="1071"/>
      <c r="G10" s="1073"/>
      <c r="H10" s="1083"/>
      <c r="I10" s="1072"/>
      <c r="J10" s="1071"/>
      <c r="K10" s="1072"/>
      <c r="L10" s="1072"/>
      <c r="M10" s="1073"/>
      <c r="N10" s="1071"/>
      <c r="O10" s="1072"/>
      <c r="P10" s="1073"/>
      <c r="Q10" s="1073"/>
      <c r="R10" s="1072"/>
      <c r="S10" s="1073"/>
      <c r="T10" s="1072"/>
      <c r="U10" s="1073"/>
      <c r="V10" s="1073"/>
      <c r="W10" s="1073"/>
      <c r="X10" s="1073"/>
      <c r="Y10" s="1073"/>
    </row>
    <row r="11" ht="17.25" customHeight="1">
      <c r="A11" s="1074" t="s">
        <v>7058</v>
      </c>
      <c r="B11" s="1074" t="s">
        <v>306</v>
      </c>
      <c r="C11" s="1075" t="s">
        <v>114</v>
      </c>
      <c r="D11" s="1063">
        <f t="shared" si="1"/>
        <v>0</v>
      </c>
      <c r="E11" s="1080"/>
      <c r="F11" s="1077"/>
      <c r="G11" s="1079"/>
      <c r="H11" s="1079"/>
      <c r="I11" s="1078"/>
      <c r="J11" s="1078"/>
      <c r="K11" s="1077"/>
      <c r="L11" s="1079"/>
      <c r="M11" s="1077"/>
      <c r="N11" s="1077"/>
      <c r="O11" s="1077"/>
      <c r="P11" s="1079"/>
      <c r="Q11" s="1077"/>
      <c r="R11" s="1077"/>
      <c r="S11" s="1079"/>
      <c r="T11" s="1077"/>
      <c r="U11" s="1077"/>
      <c r="V11" s="1077"/>
      <c r="W11" s="1077"/>
      <c r="X11" s="1077"/>
      <c r="Y11" s="1077"/>
    </row>
    <row r="12" ht="17.25" customHeight="1">
      <c r="A12" s="1068" t="s">
        <v>893</v>
      </c>
      <c r="B12" s="1068" t="s">
        <v>894</v>
      </c>
      <c r="C12" s="1069" t="s">
        <v>895</v>
      </c>
      <c r="D12" s="1063">
        <f t="shared" si="1"/>
        <v>0</v>
      </c>
      <c r="E12" s="1084"/>
      <c r="F12" s="1073"/>
      <c r="G12" s="1073"/>
      <c r="H12" s="1071"/>
      <c r="I12" s="1072"/>
      <c r="J12" s="1071"/>
      <c r="K12" s="1072"/>
      <c r="L12" s="1072"/>
      <c r="M12" s="1071"/>
      <c r="N12" s="1072"/>
      <c r="O12" s="1072"/>
      <c r="P12" s="1071"/>
      <c r="Q12" s="1072"/>
      <c r="R12" s="1073"/>
      <c r="S12" s="1072"/>
      <c r="T12" s="1072"/>
      <c r="U12" s="1072"/>
      <c r="V12" s="1073"/>
      <c r="W12" s="1073"/>
      <c r="X12" s="1073"/>
      <c r="Y12" s="1073"/>
    </row>
    <row r="13" ht="17.25" customHeight="1">
      <c r="A13" s="1074" t="s">
        <v>7059</v>
      </c>
      <c r="B13" s="1074" t="s">
        <v>655</v>
      </c>
      <c r="C13" s="1075" t="s">
        <v>656</v>
      </c>
      <c r="D13" s="1063">
        <f t="shared" si="1"/>
        <v>0</v>
      </c>
      <c r="E13" s="1080"/>
      <c r="F13" s="1077"/>
      <c r="G13" s="1079"/>
      <c r="H13" s="1079"/>
      <c r="I13" s="1078"/>
      <c r="J13" s="1077"/>
      <c r="K13" s="1079"/>
      <c r="L13" s="1078"/>
      <c r="M13" s="1079"/>
      <c r="N13" s="1077"/>
      <c r="O13" s="1077"/>
      <c r="P13" s="1079"/>
      <c r="Q13" s="1077"/>
      <c r="R13" s="1079"/>
      <c r="S13" s="1077"/>
      <c r="T13" s="1077"/>
      <c r="U13" s="1079"/>
      <c r="V13" s="1077"/>
      <c r="W13" s="1079"/>
      <c r="X13" s="1079"/>
      <c r="Y13" s="1079"/>
    </row>
    <row r="14" ht="17.25" customHeight="1">
      <c r="A14" s="1068" t="s">
        <v>899</v>
      </c>
      <c r="B14" s="1068" t="s">
        <v>900</v>
      </c>
      <c r="C14" s="1069" t="s">
        <v>895</v>
      </c>
      <c r="D14" s="1063">
        <f t="shared" si="1"/>
        <v>0</v>
      </c>
      <c r="E14" s="1070"/>
      <c r="F14" s="1073"/>
      <c r="G14" s="1073"/>
      <c r="H14" s="1072"/>
      <c r="I14" s="1073"/>
      <c r="J14" s="1072"/>
      <c r="K14" s="1073"/>
      <c r="L14" s="1072"/>
      <c r="M14" s="1073"/>
      <c r="N14" s="1072"/>
      <c r="O14" s="1071"/>
      <c r="P14" s="1073"/>
      <c r="Q14" s="1073"/>
      <c r="R14" s="1073"/>
      <c r="S14" s="1071"/>
      <c r="T14" s="1073"/>
      <c r="U14" s="1073"/>
      <c r="V14" s="1073"/>
      <c r="W14" s="1072"/>
      <c r="X14" s="1073"/>
      <c r="Y14" s="1073"/>
    </row>
    <row r="15" ht="17.25" customHeight="1">
      <c r="A15" s="1074" t="s">
        <v>902</v>
      </c>
      <c r="B15" s="1074" t="s">
        <v>903</v>
      </c>
      <c r="C15" s="1075" t="s">
        <v>895</v>
      </c>
      <c r="D15" s="1063">
        <f t="shared" si="1"/>
        <v>2</v>
      </c>
      <c r="E15" s="1080">
        <v>2.0</v>
      </c>
      <c r="F15" s="1079"/>
      <c r="G15" s="1079"/>
      <c r="H15" s="1079"/>
      <c r="I15" s="1079"/>
      <c r="J15" s="1078"/>
      <c r="K15" s="1077"/>
      <c r="L15" s="1079"/>
      <c r="M15" s="1077"/>
      <c r="N15" s="1077"/>
      <c r="O15" s="1079"/>
      <c r="P15" s="1077"/>
      <c r="Q15" s="1078"/>
      <c r="R15" s="1077"/>
      <c r="S15" s="1077"/>
      <c r="T15" s="1077"/>
      <c r="U15" s="1077"/>
      <c r="V15" s="1077"/>
      <c r="W15" s="1077"/>
      <c r="X15" s="1077"/>
      <c r="Y15" s="1077"/>
    </row>
    <row r="16" ht="17.25" customHeight="1">
      <c r="A16" s="1068" t="s">
        <v>905</v>
      </c>
      <c r="B16" s="1068" t="s">
        <v>906</v>
      </c>
      <c r="C16" s="1069" t="s">
        <v>895</v>
      </c>
      <c r="D16" s="1063">
        <f t="shared" si="1"/>
        <v>0</v>
      </c>
      <c r="E16" s="1070"/>
      <c r="F16" s="1071"/>
      <c r="G16" s="1071"/>
      <c r="H16" s="1072"/>
      <c r="I16" s="1072"/>
      <c r="J16" s="1071"/>
      <c r="K16" s="1071"/>
      <c r="L16" s="1072"/>
      <c r="M16" s="1072"/>
      <c r="N16" s="1073"/>
      <c r="O16" s="1073"/>
      <c r="P16" s="1072"/>
      <c r="Q16" s="1073"/>
      <c r="R16" s="1073"/>
      <c r="S16" s="1073"/>
      <c r="T16" s="1072"/>
      <c r="U16" s="1073"/>
      <c r="V16" s="1073"/>
      <c r="W16" s="1073"/>
      <c r="X16" s="1073"/>
      <c r="Y16" s="1073"/>
    </row>
    <row r="17" ht="17.25" customHeight="1">
      <c r="A17" s="1074" t="s">
        <v>7060</v>
      </c>
      <c r="B17" s="1074" t="s">
        <v>1155</v>
      </c>
      <c r="C17" s="1085" t="s">
        <v>1157</v>
      </c>
      <c r="D17" s="1063">
        <f t="shared" si="1"/>
        <v>0</v>
      </c>
      <c r="E17" s="1080"/>
      <c r="F17" s="1078"/>
      <c r="G17" s="1077"/>
      <c r="H17" s="1077"/>
      <c r="I17" s="1079"/>
      <c r="J17" s="1079"/>
      <c r="K17" s="1079"/>
      <c r="L17" s="1079"/>
      <c r="M17" s="1077"/>
      <c r="N17" s="1079"/>
      <c r="O17" s="1077"/>
      <c r="P17" s="1079"/>
      <c r="Q17" s="1077"/>
      <c r="R17" s="1077"/>
      <c r="S17" s="1077"/>
      <c r="T17" s="1079"/>
      <c r="U17" s="1077"/>
      <c r="V17" s="1077"/>
      <c r="W17" s="1077"/>
      <c r="X17" s="1077"/>
      <c r="Y17" s="1077"/>
    </row>
    <row r="18" ht="17.25" customHeight="1">
      <c r="A18" s="1068" t="s">
        <v>7061</v>
      </c>
      <c r="B18" s="1068" t="s">
        <v>587</v>
      </c>
      <c r="C18" s="1069" t="s">
        <v>579</v>
      </c>
      <c r="D18" s="1063">
        <f t="shared" si="1"/>
        <v>0</v>
      </c>
      <c r="E18" s="1070"/>
      <c r="F18" s="1071"/>
      <c r="G18" s="1072"/>
      <c r="H18" s="1072"/>
      <c r="I18" s="1073"/>
      <c r="J18" s="1073"/>
      <c r="K18" s="1072"/>
      <c r="L18" s="1073"/>
      <c r="M18" s="1072"/>
      <c r="N18" s="1072"/>
      <c r="O18" s="1072"/>
      <c r="P18" s="1072"/>
      <c r="Q18" s="1072"/>
      <c r="R18" s="1072"/>
      <c r="S18" s="1072"/>
      <c r="T18" s="1073"/>
      <c r="U18" s="1073"/>
      <c r="V18" s="1072"/>
      <c r="W18" s="1072"/>
      <c r="X18" s="1073"/>
      <c r="Y18" s="1073"/>
    </row>
    <row r="19" ht="17.25" customHeight="1">
      <c r="A19" s="1074" t="s">
        <v>1996</v>
      </c>
      <c r="B19" s="1074" t="s">
        <v>1998</v>
      </c>
      <c r="C19" s="1075" t="s">
        <v>1999</v>
      </c>
      <c r="D19" s="1063">
        <f t="shared" si="1"/>
        <v>0</v>
      </c>
      <c r="E19" s="1076"/>
      <c r="F19" s="1079"/>
      <c r="G19" s="1079"/>
      <c r="H19" s="1079"/>
      <c r="I19" s="1077"/>
      <c r="J19" s="1077"/>
      <c r="K19" s="1078"/>
      <c r="L19" s="1079"/>
      <c r="M19" s="1077"/>
      <c r="N19" s="1077"/>
      <c r="O19" s="1078"/>
      <c r="P19" s="1078"/>
      <c r="Q19" s="1077"/>
      <c r="R19" s="1078"/>
      <c r="S19" s="1077"/>
      <c r="T19" s="1078"/>
      <c r="U19" s="1077"/>
      <c r="V19" s="1077"/>
      <c r="W19" s="1077"/>
      <c r="X19" s="1077"/>
      <c r="Y19" s="1078"/>
    </row>
    <row r="20" ht="17.25" customHeight="1">
      <c r="A20" s="1068" t="s">
        <v>7062</v>
      </c>
      <c r="B20" s="1068" t="s">
        <v>1284</v>
      </c>
      <c r="C20" s="1069" t="s">
        <v>1278</v>
      </c>
      <c r="D20" s="1063">
        <f t="shared" si="1"/>
        <v>0</v>
      </c>
      <c r="E20" s="1082"/>
      <c r="F20" s="1073"/>
      <c r="G20" s="1073"/>
      <c r="H20" s="1073"/>
      <c r="I20" s="1072"/>
      <c r="J20" s="1072"/>
      <c r="K20" s="1071"/>
      <c r="L20" s="1071"/>
      <c r="M20" s="1073"/>
      <c r="N20" s="1073"/>
      <c r="O20" s="1071"/>
      <c r="P20" s="1072"/>
      <c r="Q20" s="1072"/>
      <c r="R20" s="1073"/>
      <c r="S20" s="1073"/>
      <c r="T20" s="1073"/>
      <c r="U20" s="1073"/>
      <c r="V20" s="1073"/>
      <c r="W20" s="1073"/>
      <c r="X20" s="1073"/>
      <c r="Y20" s="1073"/>
    </row>
    <row r="21" ht="17.25" customHeight="1">
      <c r="A21" s="1074" t="s">
        <v>427</v>
      </c>
      <c r="B21" s="1074" t="s">
        <v>429</v>
      </c>
      <c r="C21" s="1075" t="s">
        <v>431</v>
      </c>
      <c r="D21" s="1063">
        <f t="shared" si="1"/>
        <v>0</v>
      </c>
      <c r="E21" s="1086"/>
      <c r="F21" s="1079"/>
      <c r="G21" s="1079"/>
      <c r="H21" s="1079"/>
      <c r="I21" s="1079"/>
      <c r="J21" s="1078"/>
      <c r="K21" s="1079"/>
      <c r="L21" s="1079"/>
      <c r="M21" s="1079"/>
      <c r="N21" s="1077"/>
      <c r="O21" s="1079"/>
      <c r="P21" s="1077"/>
      <c r="Q21" s="1077"/>
      <c r="R21" s="1077"/>
      <c r="S21" s="1077"/>
      <c r="T21" s="1077"/>
      <c r="U21" s="1077"/>
      <c r="V21" s="1077"/>
      <c r="W21" s="1077"/>
      <c r="X21" s="1079"/>
      <c r="Y21" s="1079"/>
    </row>
    <row r="22" ht="17.25" customHeight="1">
      <c r="A22" s="1068" t="s">
        <v>7063</v>
      </c>
      <c r="B22" s="1068" t="s">
        <v>2114</v>
      </c>
      <c r="C22" s="1069" t="s">
        <v>2045</v>
      </c>
      <c r="D22" s="1063">
        <f t="shared" si="1"/>
        <v>0</v>
      </c>
      <c r="E22" s="1082"/>
      <c r="F22" s="1071"/>
      <c r="G22" s="1073"/>
      <c r="H22" s="1073"/>
      <c r="I22" s="1073"/>
      <c r="J22" s="1072"/>
      <c r="K22" s="1073"/>
      <c r="L22" s="1072"/>
      <c r="M22" s="1073"/>
      <c r="N22" s="1073"/>
      <c r="O22" s="1073"/>
      <c r="P22" s="1073"/>
      <c r="Q22" s="1073"/>
      <c r="R22" s="1072"/>
      <c r="S22" s="1073"/>
      <c r="T22" s="1072"/>
      <c r="U22" s="1073"/>
      <c r="V22" s="1073"/>
      <c r="W22" s="1073"/>
      <c r="X22" s="1073"/>
      <c r="Y22" s="1073"/>
    </row>
    <row r="23" ht="17.25" customHeight="1">
      <c r="A23" s="1074" t="s">
        <v>7064</v>
      </c>
      <c r="B23" s="1074" t="s">
        <v>2044</v>
      </c>
      <c r="C23" s="1075" t="s">
        <v>2045</v>
      </c>
      <c r="D23" s="1063">
        <f t="shared" si="1"/>
        <v>0</v>
      </c>
      <c r="E23" s="1086"/>
      <c r="F23" s="1077"/>
      <c r="G23" s="1078"/>
      <c r="H23" s="1078"/>
      <c r="I23" s="1078"/>
      <c r="J23" s="1078"/>
      <c r="K23" s="1077"/>
      <c r="L23" s="1077"/>
      <c r="M23" s="1079"/>
      <c r="N23" s="1079"/>
      <c r="O23" s="1077"/>
      <c r="P23" s="1079"/>
      <c r="Q23" s="1077"/>
      <c r="R23" s="1077"/>
      <c r="S23" s="1077"/>
      <c r="T23" s="1077"/>
      <c r="U23" s="1079"/>
      <c r="V23" s="1077"/>
      <c r="W23" s="1077"/>
      <c r="X23" s="1077"/>
      <c r="Y23" s="1077"/>
    </row>
    <row r="24" ht="17.25" customHeight="1">
      <c r="A24" s="1068" t="s">
        <v>7065</v>
      </c>
      <c r="B24" s="1068" t="s">
        <v>2052</v>
      </c>
      <c r="C24" s="1069" t="s">
        <v>2045</v>
      </c>
      <c r="D24" s="1063">
        <f t="shared" si="1"/>
        <v>0</v>
      </c>
      <c r="E24" s="1070"/>
      <c r="F24" s="1071"/>
      <c r="G24" s="1071"/>
      <c r="H24" s="1071"/>
      <c r="I24" s="1071"/>
      <c r="J24" s="1071"/>
      <c r="K24" s="1071"/>
      <c r="L24" s="1071"/>
      <c r="M24" s="1073"/>
      <c r="N24" s="1073"/>
      <c r="O24" s="1073"/>
      <c r="P24" s="1073"/>
      <c r="Q24" s="1073"/>
      <c r="R24" s="1072"/>
      <c r="S24" s="1071"/>
      <c r="T24" s="1072"/>
      <c r="U24" s="1073"/>
      <c r="V24" s="1073"/>
      <c r="W24" s="1073"/>
      <c r="X24" s="1073"/>
      <c r="Y24" s="1073"/>
    </row>
    <row r="25" ht="16.5" customHeight="1">
      <c r="A25" s="1074" t="s">
        <v>7066</v>
      </c>
      <c r="B25" s="1074" t="s">
        <v>923</v>
      </c>
      <c r="C25" s="1075" t="s">
        <v>895</v>
      </c>
      <c r="D25" s="1063">
        <f t="shared" si="1"/>
        <v>0</v>
      </c>
      <c r="E25" s="1076"/>
      <c r="F25" s="1078"/>
      <c r="G25" s="1077"/>
      <c r="H25" s="1079"/>
      <c r="I25" s="1078"/>
      <c r="J25" s="1079"/>
      <c r="K25" s="1079"/>
      <c r="L25" s="1079"/>
      <c r="M25" s="1077"/>
      <c r="N25" s="1077"/>
      <c r="O25" s="1079"/>
      <c r="P25" s="1079"/>
      <c r="Q25" s="1077"/>
      <c r="R25" s="1079"/>
      <c r="S25" s="1079"/>
      <c r="T25" s="1077"/>
      <c r="U25" s="1077"/>
      <c r="V25" s="1077"/>
      <c r="W25" s="1077"/>
      <c r="X25" s="1077"/>
      <c r="Y25" s="1077"/>
    </row>
    <row r="26" ht="16.5" customHeight="1">
      <c r="A26" s="1068" t="s">
        <v>917</v>
      </c>
      <c r="B26" s="1068" t="s">
        <v>918</v>
      </c>
      <c r="C26" s="1069" t="s">
        <v>895</v>
      </c>
      <c r="D26" s="1063">
        <f t="shared" si="1"/>
        <v>0</v>
      </c>
      <c r="E26" s="1084"/>
      <c r="F26" s="1072"/>
      <c r="G26" s="1071"/>
      <c r="H26" s="1072"/>
      <c r="I26" s="1072"/>
      <c r="J26" s="1072"/>
      <c r="K26" s="1072"/>
      <c r="L26" s="1073"/>
      <c r="M26" s="1072"/>
      <c r="N26" s="1071"/>
      <c r="O26" s="1073"/>
      <c r="P26" s="1073"/>
      <c r="Q26" s="1072"/>
      <c r="R26" s="1072"/>
      <c r="S26" s="1072"/>
      <c r="T26" s="1072"/>
      <c r="U26" s="1072"/>
      <c r="V26" s="1072"/>
      <c r="W26" s="1072"/>
      <c r="X26" s="1072"/>
      <c r="Y26" s="1072"/>
    </row>
    <row r="27" ht="17.25" customHeight="1">
      <c r="A27" s="1074" t="s">
        <v>7067</v>
      </c>
      <c r="B27" s="1074" t="s">
        <v>932</v>
      </c>
      <c r="C27" s="1075" t="s">
        <v>895</v>
      </c>
      <c r="D27" s="1063">
        <f t="shared" si="1"/>
        <v>1</v>
      </c>
      <c r="E27" s="1080"/>
      <c r="F27" s="1078">
        <v>1.0</v>
      </c>
      <c r="G27" s="1079"/>
      <c r="H27" s="1078"/>
      <c r="I27" s="1079"/>
      <c r="J27" s="1078"/>
      <c r="K27" s="1079"/>
      <c r="L27" s="1079"/>
      <c r="M27" s="1079"/>
      <c r="N27" s="1079"/>
      <c r="O27" s="1079"/>
      <c r="P27" s="1079"/>
      <c r="Q27" s="1077"/>
      <c r="R27" s="1077"/>
      <c r="S27" s="1079"/>
      <c r="T27" s="1077"/>
      <c r="U27" s="1077"/>
      <c r="V27" s="1079"/>
      <c r="W27" s="1077"/>
      <c r="X27" s="1077"/>
      <c r="Y27" s="1077"/>
    </row>
    <row r="28" ht="17.25" customHeight="1">
      <c r="A28" s="1068" t="s">
        <v>7068</v>
      </c>
      <c r="B28" s="1068" t="s">
        <v>811</v>
      </c>
      <c r="C28" s="1069" t="s">
        <v>812</v>
      </c>
      <c r="D28" s="1063">
        <f t="shared" si="1"/>
        <v>0</v>
      </c>
      <c r="E28" s="1082"/>
      <c r="F28" s="1073"/>
      <c r="G28" s="1073"/>
      <c r="H28" s="1072"/>
      <c r="I28" s="1073"/>
      <c r="J28" s="1073"/>
      <c r="K28" s="1072"/>
      <c r="L28" s="1072"/>
      <c r="M28" s="1072"/>
      <c r="N28" s="1073"/>
      <c r="O28" s="1072"/>
      <c r="P28" s="1072"/>
      <c r="Q28" s="1072"/>
      <c r="R28" s="1072"/>
      <c r="S28" s="1072"/>
      <c r="T28" s="1073"/>
      <c r="U28" s="1072"/>
      <c r="V28" s="1073"/>
      <c r="W28" s="1073"/>
      <c r="X28" s="1073"/>
      <c r="Y28" s="1073"/>
    </row>
    <row r="29" ht="17.25" customHeight="1">
      <c r="A29" s="1074" t="s">
        <v>7069</v>
      </c>
      <c r="B29" s="1074" t="s">
        <v>816</v>
      </c>
      <c r="C29" s="1075" t="s">
        <v>812</v>
      </c>
      <c r="D29" s="1063">
        <f t="shared" si="1"/>
        <v>6</v>
      </c>
      <c r="E29" s="1080">
        <v>2.0</v>
      </c>
      <c r="F29" s="1078"/>
      <c r="G29" s="1078">
        <v>3.0</v>
      </c>
      <c r="H29" s="1078">
        <v>1.0</v>
      </c>
      <c r="I29" s="1077"/>
      <c r="J29" s="1077"/>
      <c r="K29" s="1079"/>
      <c r="L29" s="1079"/>
      <c r="M29" s="1079"/>
      <c r="N29" s="1077"/>
      <c r="O29" s="1077"/>
      <c r="P29" s="1077"/>
      <c r="Q29" s="1077"/>
      <c r="R29" s="1077"/>
      <c r="S29" s="1079"/>
      <c r="T29" s="1079"/>
      <c r="U29" s="1077"/>
      <c r="V29" s="1077"/>
      <c r="W29" s="1079"/>
      <c r="X29" s="1077"/>
      <c r="Y29" s="1077"/>
    </row>
    <row r="30" ht="17.25" customHeight="1">
      <c r="A30" s="1068" t="s">
        <v>7070</v>
      </c>
      <c r="B30" s="1068" t="s">
        <v>816</v>
      </c>
      <c r="C30" s="1069" t="s">
        <v>812</v>
      </c>
      <c r="D30" s="1063">
        <f t="shared" si="1"/>
        <v>0</v>
      </c>
      <c r="E30" s="1070"/>
      <c r="F30" s="1072"/>
      <c r="G30" s="1072"/>
      <c r="H30" s="1072"/>
      <c r="I30" s="1071"/>
      <c r="J30" s="1072"/>
      <c r="K30" s="1072"/>
      <c r="L30" s="1072"/>
      <c r="M30" s="1071"/>
      <c r="N30" s="1073"/>
      <c r="O30" s="1072"/>
      <c r="P30" s="1073"/>
      <c r="Q30" s="1071"/>
      <c r="R30" s="1073"/>
      <c r="S30" s="1073"/>
      <c r="T30" s="1073"/>
      <c r="U30" s="1073"/>
      <c r="V30" s="1073"/>
      <c r="W30" s="1072"/>
      <c r="X30" s="1073"/>
      <c r="Y30" s="1073"/>
    </row>
    <row r="31" ht="17.25" customHeight="1">
      <c r="A31" s="1087" t="s">
        <v>7071</v>
      </c>
      <c r="B31" s="1074" t="s">
        <v>816</v>
      </c>
      <c r="C31" s="1075" t="s">
        <v>812</v>
      </c>
      <c r="D31" s="1063">
        <f t="shared" si="1"/>
        <v>0</v>
      </c>
      <c r="E31" s="1080"/>
      <c r="F31" s="1079"/>
      <c r="G31" s="1078"/>
      <c r="H31" s="1078"/>
      <c r="I31" s="1079"/>
      <c r="J31" s="1079"/>
      <c r="K31" s="1077"/>
      <c r="L31" s="1077"/>
      <c r="M31" s="1077"/>
      <c r="N31" s="1079"/>
      <c r="O31" s="1077"/>
      <c r="P31" s="1077"/>
      <c r="Q31" s="1077"/>
      <c r="R31" s="1077"/>
      <c r="S31" s="1077"/>
      <c r="T31" s="1077"/>
      <c r="U31" s="1077"/>
      <c r="V31" s="1077"/>
      <c r="W31" s="1077"/>
      <c r="X31" s="1077"/>
      <c r="Y31" s="1077"/>
    </row>
    <row r="32" ht="17.25" customHeight="1">
      <c r="A32" s="1068" t="s">
        <v>7072</v>
      </c>
      <c r="B32" s="1068" t="s">
        <v>1288</v>
      </c>
      <c r="C32" s="1069" t="s">
        <v>1278</v>
      </c>
      <c r="D32" s="1063">
        <f t="shared" si="1"/>
        <v>1</v>
      </c>
      <c r="E32" s="1084"/>
      <c r="F32" s="1071"/>
      <c r="G32" s="1072"/>
      <c r="H32" s="1071">
        <v>1.0</v>
      </c>
      <c r="I32" s="1071"/>
      <c r="J32" s="1072"/>
      <c r="K32" s="1072"/>
      <c r="L32" s="1073"/>
      <c r="M32" s="1073"/>
      <c r="N32" s="1072"/>
      <c r="O32" s="1073"/>
      <c r="P32" s="1073"/>
      <c r="Q32" s="1072"/>
      <c r="R32" s="1072"/>
      <c r="S32" s="1072"/>
      <c r="T32" s="1072"/>
      <c r="U32" s="1073"/>
      <c r="V32" s="1073"/>
      <c r="W32" s="1073"/>
      <c r="X32" s="1073"/>
      <c r="Y32" s="1073"/>
    </row>
    <row r="33" ht="17.25" customHeight="1">
      <c r="A33" s="1074" t="s">
        <v>7073</v>
      </c>
      <c r="B33" s="1074" t="s">
        <v>1291</v>
      </c>
      <c r="C33" s="1075" t="s">
        <v>1278</v>
      </c>
      <c r="D33" s="1063">
        <f t="shared" si="1"/>
        <v>1</v>
      </c>
      <c r="E33" s="1080">
        <v>1.0</v>
      </c>
      <c r="F33" s="1078"/>
      <c r="G33" s="1077"/>
      <c r="H33" s="1077"/>
      <c r="I33" s="1078"/>
      <c r="J33" s="1077"/>
      <c r="K33" s="1077"/>
      <c r="L33" s="1077"/>
      <c r="M33" s="1077"/>
      <c r="N33" s="1077"/>
      <c r="O33" s="1079"/>
      <c r="P33" s="1079"/>
      <c r="Q33" s="1077"/>
      <c r="R33" s="1077"/>
      <c r="S33" s="1077"/>
      <c r="T33" s="1077"/>
      <c r="U33" s="1079"/>
      <c r="V33" s="1077"/>
      <c r="W33" s="1077"/>
      <c r="X33" s="1077"/>
      <c r="Y33" s="1077"/>
    </row>
    <row r="34" ht="17.25" customHeight="1">
      <c r="A34" s="1068" t="s">
        <v>7074</v>
      </c>
      <c r="B34" s="1068" t="s">
        <v>33</v>
      </c>
      <c r="C34" s="1069" t="s">
        <v>34</v>
      </c>
      <c r="D34" s="1063">
        <f t="shared" si="1"/>
        <v>0</v>
      </c>
      <c r="E34" s="1070"/>
      <c r="F34" s="1073"/>
      <c r="G34" s="1071"/>
      <c r="H34" s="1072"/>
      <c r="I34" s="1071"/>
      <c r="J34" s="1072"/>
      <c r="K34" s="1072"/>
      <c r="L34" s="1072"/>
      <c r="M34" s="1072"/>
      <c r="N34" s="1072"/>
      <c r="O34" s="1071"/>
      <c r="P34" s="1073"/>
      <c r="Q34" s="1072"/>
      <c r="R34" s="1073"/>
      <c r="S34" s="1073"/>
      <c r="T34" s="1073"/>
      <c r="U34" s="1072"/>
      <c r="V34" s="1073"/>
      <c r="W34" s="1073"/>
      <c r="X34" s="1073"/>
      <c r="Y34" s="1073"/>
    </row>
    <row r="35" ht="17.25" customHeight="1">
      <c r="A35" s="1074" t="s">
        <v>459</v>
      </c>
      <c r="B35" s="1074" t="s">
        <v>460</v>
      </c>
      <c r="C35" s="1075" t="s">
        <v>446</v>
      </c>
      <c r="D35" s="1063">
        <f t="shared" si="1"/>
        <v>0</v>
      </c>
      <c r="E35" s="1076"/>
      <c r="F35" s="1079"/>
      <c r="G35" s="1079"/>
      <c r="H35" s="1079"/>
      <c r="I35" s="1078"/>
      <c r="J35" s="1079"/>
      <c r="K35" s="1078"/>
      <c r="L35" s="1079"/>
      <c r="M35" s="1079"/>
      <c r="N35" s="1079"/>
      <c r="O35" s="1077"/>
      <c r="P35" s="1077"/>
      <c r="Q35" s="1077"/>
      <c r="R35" s="1077"/>
      <c r="S35" s="1077"/>
      <c r="T35" s="1077"/>
      <c r="U35" s="1077"/>
      <c r="V35" s="1077"/>
      <c r="W35" s="1077"/>
      <c r="X35" s="1077"/>
      <c r="Y35" s="1077"/>
    </row>
    <row r="36">
      <c r="A36" s="1068" t="s">
        <v>7075</v>
      </c>
      <c r="B36" s="1068" t="s">
        <v>1948</v>
      </c>
      <c r="C36" s="1069" t="s">
        <v>1949</v>
      </c>
      <c r="D36" s="1063">
        <f t="shared" si="1"/>
        <v>2</v>
      </c>
      <c r="E36" s="1070"/>
      <c r="F36" s="1072"/>
      <c r="G36" s="1071">
        <v>2.0</v>
      </c>
      <c r="H36" s="1071"/>
      <c r="I36" s="1071"/>
      <c r="J36" s="1071"/>
      <c r="K36" s="1072"/>
      <c r="L36" s="1072"/>
      <c r="M36" s="1072"/>
      <c r="N36" s="1073"/>
      <c r="O36" s="1072"/>
      <c r="P36" s="1073"/>
      <c r="Q36" s="1072"/>
      <c r="R36" s="1073"/>
      <c r="S36" s="1073"/>
      <c r="T36" s="1073"/>
      <c r="U36" s="1073"/>
      <c r="V36" s="1073"/>
      <c r="W36" s="1073"/>
      <c r="X36" s="1073"/>
      <c r="Y36" s="1073"/>
    </row>
    <row r="37">
      <c r="A37" s="1074" t="s">
        <v>7076</v>
      </c>
      <c r="B37" s="1074" t="s">
        <v>7077</v>
      </c>
      <c r="C37" s="1075" t="s">
        <v>1091</v>
      </c>
      <c r="D37" s="1063">
        <f t="shared" si="1"/>
        <v>0</v>
      </c>
      <c r="E37" s="1080"/>
      <c r="F37" s="1079"/>
      <c r="G37" s="1079"/>
      <c r="H37" s="1077"/>
      <c r="I37" s="1079"/>
      <c r="J37" s="1078"/>
      <c r="K37" s="1078"/>
      <c r="L37" s="1077"/>
      <c r="M37" s="1079"/>
      <c r="N37" s="1077"/>
      <c r="O37" s="1079"/>
      <c r="P37" s="1077"/>
      <c r="Q37" s="1079"/>
      <c r="R37" s="1077"/>
      <c r="S37" s="1079"/>
      <c r="T37" s="1077"/>
      <c r="U37" s="1079"/>
      <c r="V37" s="1077"/>
      <c r="W37" s="1077"/>
      <c r="X37" s="1077"/>
      <c r="Y37" s="1077"/>
    </row>
    <row r="38">
      <c r="A38" s="1068" t="s">
        <v>7078</v>
      </c>
      <c r="B38" s="1068" t="s">
        <v>2215</v>
      </c>
      <c r="C38" s="1069" t="s">
        <v>2216</v>
      </c>
      <c r="D38" s="1063">
        <f t="shared" si="1"/>
        <v>0</v>
      </c>
      <c r="E38" s="1082"/>
      <c r="F38" s="1071"/>
      <c r="G38" s="1073"/>
      <c r="H38" s="1073"/>
      <c r="I38" s="1073"/>
      <c r="J38" s="1072"/>
      <c r="K38" s="1073"/>
      <c r="L38" s="1072"/>
      <c r="M38" s="1073"/>
      <c r="N38" s="1073"/>
      <c r="O38" s="1073"/>
      <c r="P38" s="1073"/>
      <c r="Q38" s="1073"/>
      <c r="R38" s="1072"/>
      <c r="S38" s="1073"/>
      <c r="T38" s="1072"/>
      <c r="U38" s="1073"/>
      <c r="V38" s="1073"/>
      <c r="W38" s="1073"/>
      <c r="X38" s="1073"/>
      <c r="Y38" s="1071"/>
    </row>
    <row r="39">
      <c r="A39" s="1074" t="s">
        <v>7079</v>
      </c>
      <c r="B39" s="1074" t="s">
        <v>688</v>
      </c>
      <c r="C39" s="1075" t="s">
        <v>656</v>
      </c>
      <c r="D39" s="1063">
        <f t="shared" si="1"/>
        <v>0</v>
      </c>
      <c r="E39" s="1086"/>
      <c r="F39" s="1079"/>
      <c r="G39" s="1078"/>
      <c r="H39" s="1079"/>
      <c r="I39" s="1079"/>
      <c r="J39" s="1079"/>
      <c r="K39" s="1078"/>
      <c r="L39" s="1077"/>
      <c r="M39" s="1079"/>
      <c r="N39" s="1079"/>
      <c r="O39" s="1077"/>
      <c r="P39" s="1077"/>
      <c r="Q39" s="1077"/>
      <c r="R39" s="1077"/>
      <c r="S39" s="1077"/>
      <c r="T39" s="1077"/>
      <c r="U39" s="1077"/>
      <c r="V39" s="1077"/>
      <c r="W39" s="1077"/>
      <c r="X39" s="1077"/>
      <c r="Y39" s="1077"/>
    </row>
    <row r="40">
      <c r="A40" s="1068" t="s">
        <v>7080</v>
      </c>
      <c r="B40" s="1068" t="s">
        <v>1089</v>
      </c>
      <c r="C40" s="1069" t="s">
        <v>1091</v>
      </c>
      <c r="D40" s="1063">
        <f t="shared" si="1"/>
        <v>1</v>
      </c>
      <c r="E40" s="1070"/>
      <c r="F40" s="1071"/>
      <c r="G40" s="1071"/>
      <c r="H40" s="1072"/>
      <c r="I40" s="1072"/>
      <c r="J40" s="1072"/>
      <c r="K40" s="1072"/>
      <c r="L40" s="1073"/>
      <c r="M40" s="1073"/>
      <c r="N40" s="1073"/>
      <c r="O40" s="1071">
        <v>1.0</v>
      </c>
      <c r="P40" s="1073"/>
      <c r="Q40" s="1073"/>
      <c r="R40" s="1073"/>
      <c r="S40" s="1073"/>
      <c r="T40" s="1073"/>
      <c r="U40" s="1073"/>
      <c r="V40" s="1073"/>
      <c r="W40" s="1073"/>
      <c r="X40" s="1073"/>
      <c r="Y40" s="1073"/>
    </row>
    <row r="41">
      <c r="A41" s="1074" t="s">
        <v>7081</v>
      </c>
      <c r="B41" s="1074" t="s">
        <v>1487</v>
      </c>
      <c r="C41" s="1075" t="s">
        <v>1483</v>
      </c>
      <c r="D41" s="1063">
        <f t="shared" si="1"/>
        <v>0</v>
      </c>
      <c r="E41" s="1076"/>
      <c r="F41" s="1079"/>
      <c r="G41" s="1079"/>
      <c r="H41" s="1078"/>
      <c r="I41" s="1077"/>
      <c r="J41" s="1079"/>
      <c r="K41" s="1077"/>
      <c r="L41" s="1078"/>
      <c r="M41" s="1079"/>
      <c r="N41" s="1078"/>
      <c r="O41" s="1078"/>
      <c r="P41" s="1078"/>
      <c r="Q41" s="1079"/>
      <c r="R41" s="1079"/>
      <c r="S41" s="1077"/>
      <c r="T41" s="1079"/>
      <c r="U41" s="1079"/>
      <c r="V41" s="1079"/>
      <c r="W41" s="1078"/>
      <c r="X41" s="1079"/>
      <c r="Y41" s="1079"/>
    </row>
    <row r="42">
      <c r="A42" s="1068" t="s">
        <v>7082</v>
      </c>
      <c r="B42" s="1068" t="s">
        <v>161</v>
      </c>
      <c r="C42" s="1069" t="s">
        <v>114</v>
      </c>
      <c r="D42" s="1063">
        <f t="shared" si="1"/>
        <v>0</v>
      </c>
      <c r="E42" s="1082"/>
      <c r="F42" s="1071"/>
      <c r="G42" s="1071"/>
      <c r="H42" s="1071"/>
      <c r="I42" s="1072"/>
      <c r="J42" s="1072"/>
      <c r="K42" s="1072"/>
      <c r="L42" s="1072"/>
      <c r="M42" s="1072"/>
      <c r="N42" s="1072"/>
      <c r="O42" s="1072"/>
      <c r="P42" s="1072"/>
      <c r="Q42" s="1072"/>
      <c r="R42" s="1073"/>
      <c r="S42" s="1073"/>
      <c r="T42" s="1073"/>
      <c r="U42" s="1071"/>
      <c r="V42" s="1073"/>
      <c r="W42" s="1072"/>
      <c r="X42" s="1073"/>
      <c r="Y42" s="1073"/>
    </row>
    <row r="43">
      <c r="A43" s="1074" t="s">
        <v>625</v>
      </c>
      <c r="B43" s="1074" t="s">
        <v>626</v>
      </c>
      <c r="C43" s="1075" t="s">
        <v>627</v>
      </c>
      <c r="D43" s="1063">
        <f t="shared" si="1"/>
        <v>0</v>
      </c>
      <c r="E43" s="1086"/>
      <c r="F43" s="1079"/>
      <c r="G43" s="1079"/>
      <c r="H43" s="1078"/>
      <c r="I43" s="1078"/>
      <c r="J43" s="1077"/>
      <c r="K43" s="1078"/>
      <c r="L43" s="1077"/>
      <c r="M43" s="1079"/>
      <c r="N43" s="1079"/>
      <c r="O43" s="1077"/>
      <c r="P43" s="1077"/>
      <c r="Q43" s="1077"/>
      <c r="R43" s="1077"/>
      <c r="S43" s="1077"/>
      <c r="T43" s="1077"/>
      <c r="U43" s="1077"/>
      <c r="V43" s="1077"/>
      <c r="W43" s="1077"/>
      <c r="X43" s="1077"/>
      <c r="Y43" s="1077"/>
    </row>
    <row r="44">
      <c r="A44" s="1068" t="s">
        <v>937</v>
      </c>
      <c r="B44" s="1068" t="s">
        <v>938</v>
      </c>
      <c r="C44" s="1069" t="s">
        <v>895</v>
      </c>
      <c r="D44" s="1063">
        <f t="shared" si="1"/>
        <v>0</v>
      </c>
      <c r="E44" s="1084"/>
      <c r="F44" s="1072"/>
      <c r="G44" s="1073"/>
      <c r="H44" s="1072"/>
      <c r="I44" s="1072"/>
      <c r="J44" s="1073"/>
      <c r="K44" s="1071"/>
      <c r="L44" s="1073"/>
      <c r="M44" s="1072"/>
      <c r="N44" s="1073"/>
      <c r="O44" s="1072"/>
      <c r="P44" s="1073"/>
      <c r="Q44" s="1073"/>
      <c r="R44" s="1073"/>
      <c r="S44" s="1073"/>
      <c r="T44" s="1072"/>
      <c r="U44" s="1073"/>
      <c r="V44" s="1073"/>
      <c r="W44" s="1073"/>
      <c r="X44" s="1073"/>
      <c r="Y44" s="1073"/>
    </row>
    <row r="45">
      <c r="A45" s="1074" t="s">
        <v>7091</v>
      </c>
      <c r="B45" s="1074" t="s">
        <v>438</v>
      </c>
      <c r="C45" s="1075" t="s">
        <v>431</v>
      </c>
      <c r="D45" s="1063">
        <f t="shared" si="1"/>
        <v>0</v>
      </c>
      <c r="E45" s="1080"/>
      <c r="F45" s="1077"/>
      <c r="G45" s="1078"/>
      <c r="H45" s="1077"/>
      <c r="I45" s="1078"/>
      <c r="J45" s="1078"/>
      <c r="K45" s="1077"/>
      <c r="L45" s="1079"/>
      <c r="M45" s="1077"/>
      <c r="N45" s="1077"/>
      <c r="O45" s="1077"/>
      <c r="P45" s="1079"/>
      <c r="Q45" s="1079"/>
      <c r="R45" s="1077"/>
      <c r="S45" s="1077"/>
      <c r="T45" s="1079"/>
      <c r="U45" s="1079"/>
      <c r="V45" s="1079"/>
      <c r="W45" s="1077"/>
      <c r="X45" s="1077"/>
      <c r="Y45" s="1078"/>
    </row>
    <row r="46" ht="18.0" customHeight="1">
      <c r="A46" s="1068" t="s">
        <v>7096</v>
      </c>
      <c r="B46" s="1068" t="s">
        <v>466</v>
      </c>
      <c r="C46" s="1069" t="s">
        <v>446</v>
      </c>
      <c r="D46" s="1063">
        <f t="shared" si="1"/>
        <v>4</v>
      </c>
      <c r="E46" s="1070">
        <v>1.0</v>
      </c>
      <c r="F46" s="1071">
        <v>1.0</v>
      </c>
      <c r="G46" s="1072"/>
      <c r="H46" s="1071">
        <v>1.0</v>
      </c>
      <c r="I46" s="1071">
        <v>1.0</v>
      </c>
      <c r="J46" s="1072"/>
      <c r="K46" s="1073"/>
      <c r="L46" s="1073"/>
      <c r="M46" s="1073"/>
      <c r="N46" s="1073"/>
      <c r="O46" s="1073"/>
      <c r="P46" s="1072"/>
      <c r="Q46" s="1073"/>
      <c r="R46" s="1073"/>
      <c r="S46" s="1072"/>
      <c r="T46" s="1072"/>
      <c r="U46" s="1072"/>
      <c r="V46" s="1072"/>
      <c r="W46" s="1072"/>
      <c r="X46" s="1072"/>
      <c r="Y46" s="1072"/>
    </row>
    <row r="47">
      <c r="A47" s="1074" t="s">
        <v>7096</v>
      </c>
      <c r="B47" s="1074" t="s">
        <v>466</v>
      </c>
      <c r="C47" s="1075" t="s">
        <v>446</v>
      </c>
      <c r="D47" s="1063">
        <f t="shared" si="1"/>
        <v>4</v>
      </c>
      <c r="E47" s="1080">
        <v>1.0</v>
      </c>
      <c r="F47" s="1078">
        <v>1.0</v>
      </c>
      <c r="G47" s="1079"/>
      <c r="H47" s="1078">
        <v>1.0</v>
      </c>
      <c r="I47" s="1078">
        <v>1.0</v>
      </c>
      <c r="J47" s="1079"/>
      <c r="K47" s="1077"/>
      <c r="L47" s="1077"/>
      <c r="M47" s="1077"/>
      <c r="N47" s="1077"/>
      <c r="O47" s="1077"/>
      <c r="P47" s="1079"/>
      <c r="Q47" s="1077"/>
      <c r="R47" s="1077"/>
      <c r="S47" s="1079"/>
      <c r="T47" s="1079"/>
      <c r="U47" s="1079"/>
      <c r="V47" s="1079"/>
      <c r="W47" s="1079"/>
      <c r="X47" s="1079"/>
      <c r="Y47" s="1079"/>
    </row>
    <row r="48">
      <c r="A48" s="1068" t="s">
        <v>7111</v>
      </c>
      <c r="B48" s="1068" t="s">
        <v>1487</v>
      </c>
      <c r="C48" s="1069" t="s">
        <v>1483</v>
      </c>
      <c r="D48" s="1063">
        <f t="shared" si="1"/>
        <v>3</v>
      </c>
      <c r="E48" s="1070">
        <v>1.0</v>
      </c>
      <c r="F48" s="1073"/>
      <c r="G48" s="1071"/>
      <c r="H48" s="1071">
        <v>1.0</v>
      </c>
      <c r="I48" s="1072"/>
      <c r="J48" s="1071">
        <v>1.0</v>
      </c>
      <c r="K48" s="1072"/>
      <c r="L48" s="1071"/>
      <c r="M48" s="1071"/>
      <c r="N48" s="1073"/>
      <c r="O48" s="1072"/>
      <c r="P48" s="1072"/>
      <c r="Q48" s="1073"/>
      <c r="R48" s="1073"/>
      <c r="S48" s="1073"/>
      <c r="T48" s="1072"/>
      <c r="U48" s="1073"/>
      <c r="V48" s="1072"/>
      <c r="W48" s="1073"/>
      <c r="X48" s="1073"/>
      <c r="Y48" s="1073"/>
    </row>
    <row r="49">
      <c r="A49" s="1074" t="s">
        <v>7122</v>
      </c>
      <c r="B49" s="1074" t="s">
        <v>7125</v>
      </c>
      <c r="C49" s="1075" t="s">
        <v>1483</v>
      </c>
      <c r="D49" s="1063">
        <f t="shared" si="1"/>
        <v>0</v>
      </c>
      <c r="E49" s="1076"/>
      <c r="F49" s="1077"/>
      <c r="G49" s="1077"/>
      <c r="H49" s="1077"/>
      <c r="I49" s="1077"/>
      <c r="J49" s="1077"/>
      <c r="K49" s="1077"/>
      <c r="L49" s="1077"/>
      <c r="M49" s="1078"/>
      <c r="N49" s="1077"/>
      <c r="O49" s="1077"/>
      <c r="P49" s="1078"/>
      <c r="Q49" s="1077"/>
      <c r="R49" s="1077"/>
      <c r="S49" s="1077"/>
      <c r="T49" s="1077"/>
      <c r="U49" s="1077"/>
      <c r="V49" s="1077"/>
      <c r="W49" s="1077"/>
      <c r="X49" s="1077"/>
      <c r="Y49" s="1077"/>
    </row>
    <row r="50">
      <c r="A50" s="1068" t="s">
        <v>7138</v>
      </c>
      <c r="B50" s="1068" t="s">
        <v>194</v>
      </c>
      <c r="C50" s="1069" t="s">
        <v>114</v>
      </c>
      <c r="D50" s="1063">
        <f t="shared" si="1"/>
        <v>0</v>
      </c>
      <c r="E50" s="1092"/>
      <c r="F50" s="1071"/>
      <c r="G50" s="1071"/>
      <c r="H50" s="1071"/>
      <c r="I50" s="1072"/>
      <c r="J50" s="1072"/>
      <c r="K50" s="1073"/>
      <c r="L50" s="1073"/>
      <c r="M50" s="1073"/>
      <c r="N50" s="1073"/>
      <c r="O50" s="1073"/>
      <c r="P50" s="1073"/>
      <c r="Q50" s="1072"/>
      <c r="R50" s="1073"/>
      <c r="S50" s="1073"/>
      <c r="T50" s="1071"/>
      <c r="U50" s="1073"/>
      <c r="V50" s="1073"/>
      <c r="W50" s="1073"/>
      <c r="X50" s="1073"/>
      <c r="Y50" s="1073"/>
    </row>
    <row r="51">
      <c r="A51" s="1074" t="s">
        <v>7146</v>
      </c>
      <c r="B51" s="1074" t="s">
        <v>1714</v>
      </c>
      <c r="C51" s="1075" t="s">
        <v>1646</v>
      </c>
      <c r="D51" s="1063">
        <f t="shared" si="1"/>
        <v>0</v>
      </c>
      <c r="E51" s="1076"/>
      <c r="F51" s="1079"/>
      <c r="G51" s="1079"/>
      <c r="H51" s="1079"/>
      <c r="I51" s="1079"/>
      <c r="J51" s="1079"/>
      <c r="K51" s="1079"/>
      <c r="L51" s="1078"/>
      <c r="M51" s="1079"/>
      <c r="N51" s="1079"/>
      <c r="O51" s="1079"/>
      <c r="P51" s="1079"/>
      <c r="Q51" s="1079"/>
      <c r="R51" s="1077"/>
      <c r="S51" s="1079"/>
      <c r="T51" s="1077"/>
      <c r="U51" s="1079"/>
      <c r="V51" s="1079"/>
      <c r="W51" s="1077"/>
      <c r="X51" s="1077"/>
      <c r="Y51" s="1078"/>
    </row>
    <row r="52">
      <c r="A52" s="1068" t="s">
        <v>7156</v>
      </c>
      <c r="B52" s="1068" t="s">
        <v>1163</v>
      </c>
      <c r="C52" s="1069" t="s">
        <v>1157</v>
      </c>
      <c r="D52" s="1063">
        <f t="shared" si="1"/>
        <v>0</v>
      </c>
      <c r="E52" s="1084"/>
      <c r="F52" s="1073"/>
      <c r="G52" s="1071"/>
      <c r="H52" s="1072"/>
      <c r="I52" s="1071"/>
      <c r="J52" s="1072"/>
      <c r="K52" s="1072"/>
      <c r="L52" s="1071"/>
      <c r="M52" s="1072"/>
      <c r="N52" s="1072"/>
      <c r="O52" s="1072"/>
      <c r="P52" s="1073"/>
      <c r="Q52" s="1073"/>
      <c r="R52" s="1073"/>
      <c r="S52" s="1073"/>
      <c r="T52" s="1072"/>
      <c r="U52" s="1072"/>
      <c r="V52" s="1073"/>
      <c r="W52" s="1071"/>
      <c r="X52" s="1073"/>
      <c r="Y52" s="1073"/>
    </row>
    <row r="53">
      <c r="A53" s="1074" t="s">
        <v>7164</v>
      </c>
      <c r="B53" s="1074" t="s">
        <v>1134</v>
      </c>
      <c r="C53" s="1075" t="s">
        <v>1136</v>
      </c>
      <c r="D53" s="1063">
        <f t="shared" si="1"/>
        <v>0</v>
      </c>
      <c r="E53" s="1086"/>
      <c r="F53" s="1077"/>
      <c r="G53" s="1078"/>
      <c r="H53" s="1079"/>
      <c r="I53" s="1079"/>
      <c r="J53" s="1079"/>
      <c r="K53" s="1079"/>
      <c r="L53" s="1079"/>
      <c r="M53" s="1079"/>
      <c r="N53" s="1079"/>
      <c r="O53" s="1079"/>
      <c r="P53" s="1079"/>
      <c r="Q53" s="1079"/>
      <c r="R53" s="1077"/>
      <c r="S53" s="1077"/>
      <c r="T53" s="1077"/>
      <c r="U53" s="1078"/>
      <c r="V53" s="1078"/>
      <c r="W53" s="1077"/>
      <c r="X53" s="1077"/>
      <c r="Y53" s="1077"/>
    </row>
    <row r="54">
      <c r="A54" s="1068" t="s">
        <v>7172</v>
      </c>
      <c r="B54" s="1068" t="s">
        <v>77</v>
      </c>
      <c r="C54" s="1069" t="s">
        <v>57</v>
      </c>
      <c r="D54" s="1063">
        <f t="shared" si="1"/>
        <v>0</v>
      </c>
      <c r="E54" s="1084"/>
      <c r="F54" s="1072"/>
      <c r="G54" s="1068"/>
      <c r="H54" s="1071"/>
      <c r="I54" s="1072"/>
      <c r="J54" s="1071"/>
      <c r="K54" s="1071"/>
      <c r="L54" s="1072"/>
      <c r="M54" s="1071"/>
      <c r="N54" s="1073"/>
      <c r="O54" s="1072"/>
      <c r="P54" s="1073"/>
      <c r="Q54" s="1072"/>
      <c r="R54" s="1073"/>
      <c r="S54" s="1073"/>
      <c r="T54" s="1073"/>
      <c r="U54" s="1073"/>
      <c r="V54" s="1073"/>
      <c r="W54" s="1071"/>
      <c r="X54" s="1072"/>
      <c r="Y54" s="1072"/>
    </row>
    <row r="55">
      <c r="A55" s="1074" t="s">
        <v>7180</v>
      </c>
      <c r="B55" s="1074" t="s">
        <v>1725</v>
      </c>
      <c r="C55" s="1075" t="s">
        <v>1646</v>
      </c>
      <c r="D55" s="1063">
        <f t="shared" si="1"/>
        <v>0</v>
      </c>
      <c r="E55" s="1086"/>
      <c r="F55" s="1077"/>
      <c r="G55" s="1079"/>
      <c r="H55" s="1077"/>
      <c r="I55" s="1079"/>
      <c r="J55" s="1079"/>
      <c r="K55" s="1079"/>
      <c r="L55" s="1079"/>
      <c r="M55" s="1079"/>
      <c r="N55" s="1079"/>
      <c r="O55" s="1077"/>
      <c r="P55" s="1079"/>
      <c r="Q55" s="1079"/>
      <c r="R55" s="1077"/>
      <c r="S55" s="1079"/>
      <c r="T55" s="1077"/>
      <c r="U55" s="1079"/>
      <c r="V55" s="1077"/>
      <c r="W55" s="1077"/>
      <c r="X55" s="1077"/>
      <c r="Y55" s="1077"/>
    </row>
    <row r="56">
      <c r="A56" s="1068" t="s">
        <v>7187</v>
      </c>
      <c r="B56" s="1068" t="s">
        <v>364</v>
      </c>
      <c r="C56" s="1069" t="s">
        <v>366</v>
      </c>
      <c r="D56" s="1063">
        <f t="shared" si="1"/>
        <v>0</v>
      </c>
      <c r="E56" s="1084"/>
      <c r="F56" s="1073"/>
      <c r="G56" s="1073"/>
      <c r="H56" s="1072"/>
      <c r="I56" s="1071"/>
      <c r="J56" s="1073"/>
      <c r="K56" s="1072"/>
      <c r="L56" s="1073"/>
      <c r="M56" s="1071"/>
      <c r="N56" s="1072"/>
      <c r="O56" s="1071"/>
      <c r="P56" s="1072"/>
      <c r="Q56" s="1071"/>
      <c r="R56" s="1071"/>
      <c r="S56" s="1072"/>
      <c r="T56" s="1072"/>
      <c r="U56" s="1072"/>
      <c r="V56" s="1073"/>
      <c r="W56" s="1073"/>
      <c r="X56" s="1073"/>
      <c r="Y56" s="1073"/>
    </row>
    <row r="57">
      <c r="A57" s="1074" t="s">
        <v>7197</v>
      </c>
      <c r="B57" s="1074" t="s">
        <v>1149</v>
      </c>
      <c r="C57" s="1075" t="s">
        <v>1151</v>
      </c>
      <c r="D57" s="1063">
        <f t="shared" si="1"/>
        <v>1</v>
      </c>
      <c r="E57" s="1080"/>
      <c r="F57" s="1078"/>
      <c r="G57" s="1078">
        <v>1.0</v>
      </c>
      <c r="H57" s="1079"/>
      <c r="I57" s="1079"/>
      <c r="J57" s="1079"/>
      <c r="K57" s="1078"/>
      <c r="L57" s="1079"/>
      <c r="M57" s="1079"/>
      <c r="N57" s="1077"/>
      <c r="O57" s="1079"/>
      <c r="P57" s="1079"/>
      <c r="Q57" s="1079"/>
      <c r="R57" s="1079"/>
      <c r="S57" s="1077"/>
      <c r="T57" s="1077"/>
      <c r="U57" s="1077"/>
      <c r="V57" s="1077"/>
      <c r="W57" s="1077"/>
      <c r="X57" s="1077"/>
      <c r="Y57" s="1077"/>
    </row>
    <row r="58">
      <c r="A58" s="1096" t="s">
        <v>7203</v>
      </c>
      <c r="B58" s="1068" t="s">
        <v>111</v>
      </c>
      <c r="C58" s="1069" t="s">
        <v>114</v>
      </c>
      <c r="D58" s="1063">
        <f t="shared" si="1"/>
        <v>0</v>
      </c>
      <c r="E58" s="1082"/>
      <c r="F58" s="1073"/>
      <c r="G58" s="1073"/>
      <c r="H58" s="1072"/>
      <c r="I58" s="1073"/>
      <c r="J58" s="1073"/>
      <c r="K58" s="1072"/>
      <c r="L58" s="1072"/>
      <c r="M58" s="1072"/>
      <c r="N58" s="1073"/>
      <c r="O58" s="1072"/>
      <c r="P58" s="1072"/>
      <c r="Q58" s="1072"/>
      <c r="R58" s="1072"/>
      <c r="S58" s="1072"/>
      <c r="T58" s="1073"/>
      <c r="U58" s="1073"/>
      <c r="V58" s="1073"/>
      <c r="W58" s="1073"/>
      <c r="X58" s="1073"/>
      <c r="Y58" s="1073"/>
    </row>
    <row r="59">
      <c r="A59" s="1074" t="s">
        <v>7209</v>
      </c>
      <c r="B59" s="1074" t="s">
        <v>906</v>
      </c>
      <c r="C59" s="1075" t="s">
        <v>895</v>
      </c>
      <c r="D59" s="1063">
        <f t="shared" si="1"/>
        <v>0</v>
      </c>
      <c r="E59" s="1076"/>
      <c r="F59" s="1078"/>
      <c r="G59" s="1078"/>
      <c r="H59" s="1079"/>
      <c r="I59" s="1079"/>
      <c r="J59" s="1078"/>
      <c r="K59" s="1079"/>
      <c r="L59" s="1079"/>
      <c r="M59" s="1078"/>
      <c r="N59" s="1079"/>
      <c r="O59" s="1079"/>
      <c r="P59" s="1079"/>
      <c r="Q59" s="1077"/>
      <c r="R59" s="1079"/>
      <c r="S59" s="1077"/>
      <c r="T59" s="1079"/>
      <c r="U59" s="1079"/>
      <c r="V59" s="1077"/>
      <c r="W59" s="1079"/>
      <c r="X59" s="1079"/>
      <c r="Y59" s="1079"/>
    </row>
    <row r="60">
      <c r="A60" s="1068" t="s">
        <v>7218</v>
      </c>
      <c r="B60" s="1068" t="s">
        <v>906</v>
      </c>
      <c r="C60" s="1069" t="s">
        <v>895</v>
      </c>
      <c r="D60" s="1063">
        <f t="shared" si="1"/>
        <v>1</v>
      </c>
      <c r="E60" s="1070"/>
      <c r="F60" s="1073"/>
      <c r="G60" s="1073"/>
      <c r="H60" s="1072"/>
      <c r="I60" s="1071">
        <v>1.0</v>
      </c>
      <c r="J60" s="1072"/>
      <c r="K60" s="1072"/>
      <c r="L60" s="1072"/>
      <c r="M60" s="1072"/>
      <c r="N60" s="1073"/>
      <c r="O60" s="1072"/>
      <c r="P60" s="1071"/>
      <c r="Q60" s="1072"/>
      <c r="R60" s="1073"/>
      <c r="S60" s="1072"/>
      <c r="T60" s="1072"/>
      <c r="U60" s="1072"/>
      <c r="V60" s="1073"/>
      <c r="W60" s="1073"/>
      <c r="X60" s="1072"/>
      <c r="Y60" s="1071"/>
    </row>
    <row r="61">
      <c r="A61" s="1074" t="s">
        <v>7227</v>
      </c>
      <c r="B61" s="1074" t="s">
        <v>56</v>
      </c>
      <c r="C61" s="1075" t="s">
        <v>57</v>
      </c>
      <c r="D61" s="1063">
        <f t="shared" si="1"/>
        <v>0</v>
      </c>
      <c r="E61" s="1086"/>
      <c r="F61" s="1079"/>
      <c r="G61" s="1079"/>
      <c r="H61" s="1101"/>
      <c r="I61" s="1079"/>
      <c r="J61" s="1079"/>
      <c r="K61" s="1079"/>
      <c r="L61" s="1079"/>
      <c r="M61" s="1078"/>
      <c r="N61" s="1079"/>
      <c r="O61" s="1077"/>
      <c r="P61" s="1079"/>
      <c r="Q61" s="1077"/>
      <c r="R61" s="1077"/>
      <c r="S61" s="1079"/>
      <c r="T61" s="1078"/>
      <c r="U61" s="1077"/>
      <c r="V61" s="1077"/>
      <c r="W61" s="1077"/>
      <c r="X61" s="1077"/>
      <c r="Y61" s="1077"/>
    </row>
    <row r="62">
      <c r="A62" s="1068" t="s">
        <v>7231</v>
      </c>
      <c r="B62" s="1068" t="s">
        <v>1097</v>
      </c>
      <c r="C62" s="1069" t="s">
        <v>1091</v>
      </c>
      <c r="D62" s="1063">
        <f t="shared" si="1"/>
        <v>3</v>
      </c>
      <c r="E62" s="1070"/>
      <c r="F62" s="1071">
        <v>1.0</v>
      </c>
      <c r="G62" s="1071">
        <v>1.0</v>
      </c>
      <c r="H62" s="1071">
        <v>1.0</v>
      </c>
      <c r="I62" s="1071"/>
      <c r="J62" s="1072"/>
      <c r="K62" s="1072"/>
      <c r="L62" s="1073"/>
      <c r="M62" s="1072"/>
      <c r="N62" s="1072"/>
      <c r="O62" s="1072"/>
      <c r="P62" s="1072"/>
      <c r="Q62" s="1072"/>
      <c r="R62" s="1072"/>
      <c r="S62" s="1073"/>
      <c r="T62" s="1073"/>
      <c r="U62" s="1073"/>
      <c r="V62" s="1073"/>
      <c r="W62" s="1073"/>
      <c r="X62" s="1073"/>
      <c r="Y62" s="1073"/>
    </row>
    <row r="63">
      <c r="A63" s="1074" t="s">
        <v>7242</v>
      </c>
      <c r="B63" s="1074" t="s">
        <v>2004</v>
      </c>
      <c r="C63" s="1075" t="s">
        <v>1999</v>
      </c>
      <c r="D63" s="1063">
        <f t="shared" si="1"/>
        <v>0</v>
      </c>
      <c r="E63" s="1080"/>
      <c r="F63" s="1078"/>
      <c r="G63" s="1078"/>
      <c r="H63" s="1078"/>
      <c r="I63" s="1078"/>
      <c r="J63" s="1078"/>
      <c r="K63" s="1079"/>
      <c r="L63" s="1078"/>
      <c r="M63" s="1079"/>
      <c r="N63" s="1077"/>
      <c r="O63" s="1079"/>
      <c r="P63" s="1077"/>
      <c r="Q63" s="1077"/>
      <c r="R63" s="1077"/>
      <c r="S63" s="1077"/>
      <c r="T63" s="1077"/>
      <c r="U63" s="1077"/>
      <c r="V63" s="1077"/>
      <c r="W63" s="1077"/>
      <c r="X63" s="1077"/>
      <c r="Y63" s="1077"/>
    </row>
    <row r="64">
      <c r="A64" s="1068" t="s">
        <v>7253</v>
      </c>
      <c r="B64" s="1068" t="s">
        <v>2221</v>
      </c>
      <c r="C64" s="1069" t="s">
        <v>2216</v>
      </c>
      <c r="D64" s="1063">
        <f t="shared" si="1"/>
        <v>0</v>
      </c>
      <c r="E64" s="1082"/>
      <c r="F64" s="1073"/>
      <c r="G64" s="1071"/>
      <c r="H64" s="1071"/>
      <c r="I64" s="1071"/>
      <c r="J64" s="1072"/>
      <c r="K64" s="1073"/>
      <c r="L64" s="1072"/>
      <c r="M64" s="1071"/>
      <c r="N64" s="1073"/>
      <c r="O64" s="1073"/>
      <c r="P64" s="1073"/>
      <c r="Q64" s="1073"/>
      <c r="R64" s="1072"/>
      <c r="S64" s="1073"/>
      <c r="T64" s="1072"/>
      <c r="U64" s="1073"/>
      <c r="V64" s="1073"/>
      <c r="W64" s="1073"/>
      <c r="X64" s="1073"/>
      <c r="Y64" s="1073"/>
    </row>
    <row r="65">
      <c r="A65" s="1074" t="s">
        <v>7255</v>
      </c>
      <c r="B65" s="1074" t="s">
        <v>1102</v>
      </c>
      <c r="C65" s="1075" t="s">
        <v>1091</v>
      </c>
      <c r="D65" s="1063">
        <f t="shared" si="1"/>
        <v>0</v>
      </c>
      <c r="E65" s="1076"/>
      <c r="F65" s="1078"/>
      <c r="G65" s="1077"/>
      <c r="H65" s="1078"/>
      <c r="I65" s="1078"/>
      <c r="J65" s="1079"/>
      <c r="K65" s="1078"/>
      <c r="L65" s="1078"/>
      <c r="M65" s="1077"/>
      <c r="N65" s="1079"/>
      <c r="O65" s="1077"/>
      <c r="P65" s="1077"/>
      <c r="Q65" s="1077"/>
      <c r="R65" s="1077"/>
      <c r="S65" s="1077"/>
      <c r="T65" s="1077"/>
      <c r="U65" s="1077"/>
      <c r="V65" s="1078"/>
      <c r="W65" s="1077"/>
      <c r="X65" s="1077"/>
      <c r="Y65" s="1077"/>
    </row>
    <row r="66">
      <c r="A66" s="1068" t="s">
        <v>7258</v>
      </c>
      <c r="B66" s="1068" t="s">
        <v>578</v>
      </c>
      <c r="C66" s="1069" t="s">
        <v>579</v>
      </c>
      <c r="D66" s="1063">
        <f t="shared" si="1"/>
        <v>2</v>
      </c>
      <c r="E66" s="1070">
        <v>1.0</v>
      </c>
      <c r="F66" s="1071"/>
      <c r="G66" s="1071"/>
      <c r="H66" s="1072"/>
      <c r="I66" s="1071"/>
      <c r="J66" s="1071">
        <v>1.0</v>
      </c>
      <c r="K66" s="1072"/>
      <c r="L66" s="1072"/>
      <c r="M66" s="1072"/>
      <c r="N66" s="1072"/>
      <c r="O66" s="1072"/>
      <c r="P66" s="1073"/>
      <c r="Q66" s="1073"/>
      <c r="R66" s="1072"/>
      <c r="S66" s="1073"/>
      <c r="T66" s="1073"/>
      <c r="U66" s="1073"/>
      <c r="V66" s="1073"/>
      <c r="W66" s="1073"/>
      <c r="X66" s="1073"/>
      <c r="Y66" s="1073"/>
    </row>
    <row r="67">
      <c r="A67" s="1117" t="s">
        <v>7260</v>
      </c>
      <c r="B67" s="1119"/>
      <c r="C67" s="1119"/>
      <c r="D67" s="1119"/>
      <c r="E67" s="1119"/>
      <c r="F67" s="1119"/>
      <c r="G67" s="1119"/>
      <c r="H67" s="1119"/>
      <c r="I67" s="1119"/>
      <c r="J67" s="1119"/>
      <c r="K67" s="1119"/>
      <c r="L67" s="1119"/>
      <c r="M67" s="1119"/>
      <c r="N67" s="1119"/>
      <c r="O67" s="1119"/>
      <c r="P67" s="1119"/>
      <c r="Q67" s="1119"/>
      <c r="R67" s="1119"/>
      <c r="S67" s="1119"/>
      <c r="T67" s="1119"/>
      <c r="U67" s="1119"/>
      <c r="V67" s="1119"/>
      <c r="W67" s="1119"/>
      <c r="X67" s="1119"/>
      <c r="Y67" s="1121"/>
    </row>
    <row r="68">
      <c r="A68" s="1068" t="s">
        <v>7262</v>
      </c>
      <c r="B68" s="1068" t="s">
        <v>1478</v>
      </c>
      <c r="C68" s="1069" t="s">
        <v>1278</v>
      </c>
      <c r="D68" s="1063">
        <f t="shared" ref="D68:D104" si="2">SUM(E68:Y68)</f>
        <v>0</v>
      </c>
      <c r="E68" s="1082"/>
      <c r="F68" s="1073"/>
      <c r="G68" s="1073"/>
      <c r="H68" s="1072"/>
      <c r="I68" s="1072"/>
      <c r="J68" s="1072"/>
      <c r="K68" s="1072"/>
      <c r="L68" s="1072"/>
      <c r="M68" s="1072"/>
      <c r="N68" s="1072"/>
      <c r="O68" s="1072"/>
      <c r="P68" s="1072"/>
      <c r="Q68" s="1072"/>
      <c r="R68" s="1072"/>
      <c r="S68" s="1073"/>
      <c r="T68" s="1073"/>
      <c r="U68" s="1073"/>
      <c r="V68" s="1073"/>
      <c r="W68" s="1072"/>
      <c r="X68" s="1071"/>
      <c r="Y68" s="1073"/>
    </row>
    <row r="69">
      <c r="A69" s="1074" t="s">
        <v>7267</v>
      </c>
      <c r="B69" s="1074" t="s">
        <v>470</v>
      </c>
      <c r="C69" s="1075" t="s">
        <v>446</v>
      </c>
      <c r="D69" s="1063">
        <f t="shared" si="2"/>
        <v>0</v>
      </c>
      <c r="E69" s="1080"/>
      <c r="F69" s="1078"/>
      <c r="G69" s="1077"/>
      <c r="H69" s="1079"/>
      <c r="I69" s="1079"/>
      <c r="J69" s="1079"/>
      <c r="K69" s="1079"/>
      <c r="L69" s="1079"/>
      <c r="M69" s="1079"/>
      <c r="N69" s="1079"/>
      <c r="O69" s="1079"/>
      <c r="P69" s="1079"/>
      <c r="Q69" s="1077"/>
      <c r="R69" s="1077"/>
      <c r="S69" s="1079"/>
      <c r="T69" s="1079"/>
      <c r="U69" s="1077"/>
      <c r="V69" s="1077"/>
      <c r="W69" s="1079"/>
      <c r="X69" s="1077"/>
      <c r="Y69" s="1077"/>
    </row>
    <row r="70">
      <c r="A70" s="1068" t="s">
        <v>7269</v>
      </c>
      <c r="B70" s="1068" t="s">
        <v>476</v>
      </c>
      <c r="C70" s="1069" t="s">
        <v>446</v>
      </c>
      <c r="D70" s="1063">
        <f t="shared" si="2"/>
        <v>0</v>
      </c>
      <c r="E70" s="1082"/>
      <c r="F70" s="1073"/>
      <c r="G70" s="1073"/>
      <c r="H70" s="1072"/>
      <c r="I70" s="1072"/>
      <c r="J70" s="1072"/>
      <c r="K70" s="1072"/>
      <c r="L70" s="1071"/>
      <c r="M70" s="1071"/>
      <c r="N70" s="1072"/>
      <c r="O70" s="1072"/>
      <c r="P70" s="1073"/>
      <c r="Q70" s="1073"/>
      <c r="R70" s="1072"/>
      <c r="S70" s="1072"/>
      <c r="T70" s="1072"/>
      <c r="U70" s="1073"/>
      <c r="V70" s="1073"/>
      <c r="W70" s="1073"/>
      <c r="X70" s="1073"/>
      <c r="Y70" s="1073"/>
    </row>
    <row r="71">
      <c r="A71" s="1074" t="s">
        <v>7271</v>
      </c>
      <c r="B71" s="1074" t="s">
        <v>1305</v>
      </c>
      <c r="C71" s="1075" t="s">
        <v>1278</v>
      </c>
      <c r="D71" s="1063">
        <f t="shared" si="2"/>
        <v>0</v>
      </c>
      <c r="E71" s="1076"/>
      <c r="F71" s="1077"/>
      <c r="G71" s="1077"/>
      <c r="H71" s="1077"/>
      <c r="I71" s="1077"/>
      <c r="J71" s="1077"/>
      <c r="K71" s="1077"/>
      <c r="L71" s="1077"/>
      <c r="M71" s="1079"/>
      <c r="N71" s="1077"/>
      <c r="O71" s="1077"/>
      <c r="P71" s="1077"/>
      <c r="Q71" s="1077"/>
      <c r="R71" s="1077"/>
      <c r="S71" s="1077"/>
      <c r="T71" s="1079"/>
      <c r="U71" s="1077"/>
      <c r="V71" s="1077"/>
      <c r="W71" s="1077"/>
      <c r="X71" s="1077"/>
      <c r="Y71" s="1077"/>
    </row>
    <row r="72">
      <c r="A72" s="1068" t="s">
        <v>7272</v>
      </c>
      <c r="B72" s="1068" t="s">
        <v>663</v>
      </c>
      <c r="C72" s="1069" t="s">
        <v>656</v>
      </c>
      <c r="D72" s="1063">
        <f t="shared" si="2"/>
        <v>0</v>
      </c>
      <c r="E72" s="1070"/>
      <c r="F72" s="1071"/>
      <c r="G72" s="1073"/>
      <c r="H72" s="1071"/>
      <c r="I72" s="1073"/>
      <c r="J72" s="1072"/>
      <c r="K72" s="1072"/>
      <c r="L72" s="1072"/>
      <c r="M72" s="1072"/>
      <c r="N72" s="1072"/>
      <c r="O72" s="1072"/>
      <c r="P72" s="1072"/>
      <c r="Q72" s="1072"/>
      <c r="R72" s="1072"/>
      <c r="S72" s="1073"/>
      <c r="T72" s="1073"/>
      <c r="U72" s="1072"/>
      <c r="V72" s="1073"/>
      <c r="W72" s="1073"/>
      <c r="X72" s="1073"/>
      <c r="Y72" s="1073"/>
    </row>
    <row r="73">
      <c r="A73" s="1074" t="s">
        <v>7275</v>
      </c>
      <c r="B73" s="1074" t="s">
        <v>943</v>
      </c>
      <c r="C73" s="1075" t="s">
        <v>895</v>
      </c>
      <c r="D73" s="1063">
        <f t="shared" si="2"/>
        <v>0</v>
      </c>
      <c r="E73" s="1086"/>
      <c r="F73" s="1079"/>
      <c r="G73" s="1079"/>
      <c r="H73" s="1079"/>
      <c r="I73" s="1079"/>
      <c r="J73" s="1079"/>
      <c r="K73" s="1079"/>
      <c r="L73" s="1079"/>
      <c r="M73" s="1079"/>
      <c r="N73" s="1079"/>
      <c r="O73" s="1078"/>
      <c r="P73" s="1077"/>
      <c r="Q73" s="1079"/>
      <c r="R73" s="1077"/>
      <c r="S73" s="1077"/>
      <c r="T73" s="1077"/>
      <c r="U73" s="1079"/>
      <c r="V73" s="1077"/>
      <c r="W73" s="1077"/>
      <c r="X73" s="1079"/>
      <c r="Y73" s="1079"/>
    </row>
    <row r="74">
      <c r="A74" s="1068" t="s">
        <v>7276</v>
      </c>
      <c r="B74" s="1068" t="s">
        <v>7277</v>
      </c>
      <c r="C74" s="1069" t="s">
        <v>1278</v>
      </c>
      <c r="D74" s="1063">
        <f t="shared" si="2"/>
        <v>0</v>
      </c>
      <c r="E74" s="1070"/>
      <c r="F74" s="1072"/>
      <c r="G74" s="1072"/>
      <c r="H74" s="1073"/>
      <c r="I74" s="1071"/>
      <c r="J74" s="1072"/>
      <c r="K74" s="1073"/>
      <c r="L74" s="1072"/>
      <c r="M74" s="1071"/>
      <c r="N74" s="1072"/>
      <c r="O74" s="1073"/>
      <c r="P74" s="1073"/>
      <c r="Q74" s="1072"/>
      <c r="R74" s="1073"/>
      <c r="S74" s="1073"/>
      <c r="T74" s="1073"/>
      <c r="U74" s="1073"/>
      <c r="V74" s="1073"/>
      <c r="W74" s="1073"/>
      <c r="X74" s="1073"/>
      <c r="Y74" s="1073"/>
    </row>
    <row r="75">
      <c r="A75" s="1074" t="s">
        <v>7279</v>
      </c>
      <c r="B75" s="1074" t="s">
        <v>1749</v>
      </c>
      <c r="C75" s="1075" t="s">
        <v>1646</v>
      </c>
      <c r="D75" s="1063">
        <f t="shared" si="2"/>
        <v>0</v>
      </c>
      <c r="E75" s="1086"/>
      <c r="F75" s="1079"/>
      <c r="G75" s="1079"/>
      <c r="H75" s="1079"/>
      <c r="I75" s="1078"/>
      <c r="J75" s="1079"/>
      <c r="K75" s="1079"/>
      <c r="L75" s="1079"/>
      <c r="M75" s="1079"/>
      <c r="N75" s="1079"/>
      <c r="O75" s="1079"/>
      <c r="P75" s="1079"/>
      <c r="Q75" s="1079"/>
      <c r="R75" s="1079"/>
      <c r="S75" s="1077"/>
      <c r="T75" s="1077"/>
      <c r="U75" s="1077"/>
      <c r="V75" s="1079"/>
      <c r="W75" s="1077"/>
      <c r="X75" s="1077"/>
      <c r="Y75" s="1077"/>
    </row>
    <row r="76">
      <c r="A76" s="1068" t="s">
        <v>7281</v>
      </c>
      <c r="B76" s="1068" t="s">
        <v>1736</v>
      </c>
      <c r="C76" s="1069" t="s">
        <v>1646</v>
      </c>
      <c r="D76" s="1063">
        <f t="shared" si="2"/>
        <v>0</v>
      </c>
      <c r="E76" s="1070"/>
      <c r="F76" s="1071"/>
      <c r="G76" s="1073"/>
      <c r="H76" s="1071"/>
      <c r="I76" s="1071"/>
      <c r="J76" s="1073"/>
      <c r="K76" s="1073"/>
      <c r="L76" s="1072"/>
      <c r="M76" s="1072"/>
      <c r="N76" s="1072"/>
      <c r="O76" s="1072"/>
      <c r="P76" s="1072"/>
      <c r="Q76" s="1073"/>
      <c r="R76" s="1071"/>
      <c r="S76" s="1073"/>
      <c r="T76" s="1073"/>
      <c r="U76" s="1073"/>
      <c r="V76" s="1073"/>
      <c r="W76" s="1073"/>
      <c r="X76" s="1072"/>
      <c r="Y76" s="1072"/>
    </row>
    <row r="77">
      <c r="A77" s="1074" t="s">
        <v>7256</v>
      </c>
      <c r="B77" s="1074" t="s">
        <v>399</v>
      </c>
      <c r="C77" s="1075" t="s">
        <v>402</v>
      </c>
      <c r="D77" s="1063">
        <f t="shared" si="2"/>
        <v>0</v>
      </c>
      <c r="E77" s="1076"/>
      <c r="F77" s="1078"/>
      <c r="G77" s="1077"/>
      <c r="H77" s="1077"/>
      <c r="I77" s="1078"/>
      <c r="J77" s="1079"/>
      <c r="K77" s="1079"/>
      <c r="L77" s="1077"/>
      <c r="M77" s="1077"/>
      <c r="N77" s="1077"/>
      <c r="O77" s="1079"/>
      <c r="P77" s="1079"/>
      <c r="Q77" s="1079"/>
      <c r="R77" s="1077"/>
      <c r="S77" s="1077"/>
      <c r="T77" s="1079"/>
      <c r="U77" s="1079"/>
      <c r="V77" s="1079"/>
      <c r="W77" s="1077"/>
      <c r="X77" s="1077"/>
      <c r="Y77" s="1078"/>
    </row>
    <row r="78">
      <c r="A78" s="1068" t="s">
        <v>7284</v>
      </c>
      <c r="B78" s="1068" t="s">
        <v>7285</v>
      </c>
      <c r="C78" s="1069" t="s">
        <v>1278</v>
      </c>
      <c r="D78" s="1063">
        <f t="shared" si="2"/>
        <v>0</v>
      </c>
      <c r="E78" s="1084"/>
      <c r="F78" s="1071"/>
      <c r="G78" s="1073"/>
      <c r="H78" s="1072"/>
      <c r="I78" s="1072"/>
      <c r="J78" s="1072"/>
      <c r="K78" s="1071"/>
      <c r="L78" s="1072"/>
      <c r="M78" s="1073"/>
      <c r="N78" s="1073"/>
      <c r="O78" s="1072"/>
      <c r="P78" s="1072"/>
      <c r="Q78" s="1073"/>
      <c r="R78" s="1072"/>
      <c r="S78" s="1072"/>
      <c r="T78" s="1073"/>
      <c r="U78" s="1073"/>
      <c r="V78" s="1073"/>
      <c r="W78" s="1073"/>
      <c r="X78" s="1073"/>
      <c r="Y78" s="1073"/>
    </row>
    <row r="79">
      <c r="A79" s="1074" t="s">
        <v>1168</v>
      </c>
      <c r="B79" s="1074" t="s">
        <v>1170</v>
      </c>
      <c r="C79" s="1075" t="s">
        <v>1157</v>
      </c>
      <c r="D79" s="1063">
        <f t="shared" si="2"/>
        <v>0</v>
      </c>
      <c r="E79" s="1076"/>
      <c r="F79" s="1077"/>
      <c r="G79" s="1078"/>
      <c r="H79" s="1079"/>
      <c r="I79" s="1079"/>
      <c r="J79" s="1079"/>
      <c r="K79" s="1079"/>
      <c r="L79" s="1079"/>
      <c r="M79" s="1079"/>
      <c r="N79" s="1079"/>
      <c r="O79" s="1079"/>
      <c r="P79" s="1077"/>
      <c r="Q79" s="1079"/>
      <c r="R79" s="1077"/>
      <c r="S79" s="1078"/>
      <c r="T79" s="1079"/>
      <c r="U79" s="1077"/>
      <c r="V79" s="1077"/>
      <c r="W79" s="1077"/>
      <c r="X79" s="1077"/>
      <c r="Y79" s="1077"/>
    </row>
    <row r="80">
      <c r="A80" s="1068" t="s">
        <v>7289</v>
      </c>
      <c r="B80" s="1068" t="s">
        <v>1179</v>
      </c>
      <c r="C80" s="1069" t="s">
        <v>1157</v>
      </c>
      <c r="D80" s="1063">
        <f t="shared" si="2"/>
        <v>0</v>
      </c>
      <c r="E80" s="1082"/>
      <c r="F80" s="1073"/>
      <c r="G80" s="1073"/>
      <c r="H80" s="1073"/>
      <c r="I80" s="1073"/>
      <c r="J80" s="1072"/>
      <c r="K80" s="1072"/>
      <c r="L80" s="1073"/>
      <c r="M80" s="1073"/>
      <c r="N80" s="1072"/>
      <c r="O80" s="1071"/>
      <c r="P80" s="1073"/>
      <c r="Q80" s="1072"/>
      <c r="R80" s="1072"/>
      <c r="S80" s="1073"/>
      <c r="T80" s="1072"/>
      <c r="U80" s="1072"/>
      <c r="V80" s="1073"/>
      <c r="W80" s="1073"/>
      <c r="X80" s="1073"/>
      <c r="Y80" s="1073"/>
    </row>
    <row r="81">
      <c r="A81" s="1074" t="s">
        <v>7291</v>
      </c>
      <c r="B81" s="1074" t="s">
        <v>1315</v>
      </c>
      <c r="C81" s="1075" t="s">
        <v>1278</v>
      </c>
      <c r="D81" s="1063">
        <f t="shared" si="2"/>
        <v>0</v>
      </c>
      <c r="E81" s="1086"/>
      <c r="F81" s="1077"/>
      <c r="G81" s="1077"/>
      <c r="H81" s="1079"/>
      <c r="I81" s="1079"/>
      <c r="J81" s="1079"/>
      <c r="K81" s="1079"/>
      <c r="L81" s="1079"/>
      <c r="M81" s="1079"/>
      <c r="N81" s="1079"/>
      <c r="O81" s="1079"/>
      <c r="P81" s="1079"/>
      <c r="Q81" s="1077"/>
      <c r="R81" s="1077"/>
      <c r="S81" s="1077"/>
      <c r="T81" s="1079"/>
      <c r="U81" s="1077"/>
      <c r="V81" s="1077"/>
      <c r="W81" s="1079"/>
      <c r="X81" s="1077"/>
      <c r="Y81" s="1078"/>
    </row>
    <row r="82">
      <c r="A82" s="1068" t="s">
        <v>7294</v>
      </c>
      <c r="B82" s="1068" t="s">
        <v>499</v>
      </c>
      <c r="C82" s="1069" t="s">
        <v>446</v>
      </c>
      <c r="D82" s="1063">
        <f t="shared" si="2"/>
        <v>0</v>
      </c>
      <c r="E82" s="1082"/>
      <c r="F82" s="1073"/>
      <c r="G82" s="1073"/>
      <c r="H82" s="1071"/>
      <c r="I82" s="1073"/>
      <c r="J82" s="1073"/>
      <c r="K82" s="1072"/>
      <c r="L82" s="1073"/>
      <c r="M82" s="1073"/>
      <c r="N82" s="1073"/>
      <c r="O82" s="1073"/>
      <c r="P82" s="1073"/>
      <c r="Q82" s="1073"/>
      <c r="R82" s="1073"/>
      <c r="S82" s="1073"/>
      <c r="T82" s="1072"/>
      <c r="U82" s="1073"/>
      <c r="V82" s="1073"/>
      <c r="W82" s="1073"/>
      <c r="X82" s="1073"/>
      <c r="Y82" s="1073"/>
    </row>
    <row r="83">
      <c r="A83" s="1074" t="s">
        <v>7297</v>
      </c>
      <c r="B83" s="1074" t="s">
        <v>7298</v>
      </c>
      <c r="C83" s="1075" t="s">
        <v>446</v>
      </c>
      <c r="D83" s="1063">
        <f t="shared" si="2"/>
        <v>0</v>
      </c>
      <c r="E83" s="1086"/>
      <c r="F83" s="1079"/>
      <c r="G83" s="1079"/>
      <c r="H83" s="1079"/>
      <c r="I83" s="1079"/>
      <c r="J83" s="1079"/>
      <c r="K83" s="1079"/>
      <c r="L83" s="1078"/>
      <c r="M83" s="1079"/>
      <c r="N83" s="1077"/>
      <c r="O83" s="1077"/>
      <c r="P83" s="1079"/>
      <c r="Q83" s="1079"/>
      <c r="R83" s="1077"/>
      <c r="S83" s="1077"/>
      <c r="T83" s="1077"/>
      <c r="U83" s="1077"/>
      <c r="V83" s="1077"/>
      <c r="W83" s="1077"/>
      <c r="X83" s="1077"/>
      <c r="Y83" s="1077"/>
    </row>
    <row r="84">
      <c r="A84" s="1068" t="s">
        <v>7301</v>
      </c>
      <c r="B84" s="1068" t="s">
        <v>483</v>
      </c>
      <c r="C84" s="1069" t="s">
        <v>446</v>
      </c>
      <c r="D84" s="1063">
        <f t="shared" si="2"/>
        <v>1</v>
      </c>
      <c r="E84" s="1084"/>
      <c r="F84" s="1072"/>
      <c r="G84" s="1072"/>
      <c r="H84" s="1072"/>
      <c r="I84" s="1072"/>
      <c r="J84" s="1071">
        <v>1.0</v>
      </c>
      <c r="K84" s="1072"/>
      <c r="L84" s="1072"/>
      <c r="M84" s="1072"/>
      <c r="N84" s="1072"/>
      <c r="O84" s="1072"/>
      <c r="P84" s="1073"/>
      <c r="Q84" s="1072"/>
      <c r="R84" s="1073"/>
      <c r="S84" s="1072"/>
      <c r="T84" s="1073"/>
      <c r="U84" s="1072"/>
      <c r="V84" s="1073"/>
      <c r="W84" s="1073"/>
      <c r="X84" s="1073"/>
      <c r="Y84" s="1073"/>
    </row>
    <row r="85">
      <c r="A85" s="1074" t="s">
        <v>7304</v>
      </c>
      <c r="B85" s="1074" t="s">
        <v>451</v>
      </c>
      <c r="C85" s="1075" t="s">
        <v>446</v>
      </c>
      <c r="D85" s="1063">
        <f t="shared" si="2"/>
        <v>0</v>
      </c>
      <c r="E85" s="1086"/>
      <c r="F85" s="1079"/>
      <c r="G85" s="1078"/>
      <c r="H85" s="1079"/>
      <c r="I85" s="1079"/>
      <c r="J85" s="1079"/>
      <c r="K85" s="1079"/>
      <c r="L85" s="1078"/>
      <c r="M85" s="1077"/>
      <c r="N85" s="1079"/>
      <c r="O85" s="1077"/>
      <c r="P85" s="1077"/>
      <c r="Q85" s="1077"/>
      <c r="R85" s="1077"/>
      <c r="S85" s="1077"/>
      <c r="T85" s="1077"/>
      <c r="U85" s="1077"/>
      <c r="V85" s="1077"/>
      <c r="W85" s="1077"/>
      <c r="X85" s="1077"/>
      <c r="Y85" s="1077"/>
    </row>
    <row r="86">
      <c r="A86" s="1068" t="s">
        <v>7307</v>
      </c>
      <c r="B86" s="1068" t="s">
        <v>491</v>
      </c>
      <c r="C86" s="1069" t="s">
        <v>446</v>
      </c>
      <c r="D86" s="1063">
        <f t="shared" si="2"/>
        <v>0</v>
      </c>
      <c r="E86" s="1084"/>
      <c r="F86" s="1073"/>
      <c r="G86" s="1073"/>
      <c r="H86" s="1073"/>
      <c r="I86" s="1073"/>
      <c r="J86" s="1072"/>
      <c r="K86" s="1073"/>
      <c r="L86" s="1072"/>
      <c r="M86" s="1072"/>
      <c r="N86" s="1072"/>
      <c r="O86" s="1072"/>
      <c r="P86" s="1073"/>
      <c r="Q86" s="1072"/>
      <c r="R86" s="1072"/>
      <c r="S86" s="1073"/>
      <c r="T86" s="1072"/>
      <c r="U86" s="1073"/>
      <c r="V86" s="1073"/>
      <c r="W86" s="1073"/>
      <c r="X86" s="1072"/>
      <c r="Y86" s="1072"/>
    </row>
    <row r="87">
      <c r="A87" s="1074" t="s">
        <v>7308</v>
      </c>
      <c r="B87" s="1074" t="s">
        <v>7309</v>
      </c>
      <c r="C87" s="1075" t="s">
        <v>446</v>
      </c>
      <c r="D87" s="1063">
        <f t="shared" si="2"/>
        <v>0</v>
      </c>
      <c r="E87" s="1076"/>
      <c r="F87" s="1077"/>
      <c r="G87" s="1077"/>
      <c r="H87" s="1079"/>
      <c r="I87" s="1079"/>
      <c r="J87" s="1079"/>
      <c r="K87" s="1079"/>
      <c r="L87" s="1079"/>
      <c r="M87" s="1079"/>
      <c r="N87" s="1079"/>
      <c r="O87" s="1079"/>
      <c r="P87" s="1077"/>
      <c r="Q87" s="1079"/>
      <c r="R87" s="1077"/>
      <c r="S87" s="1079"/>
      <c r="T87" s="1077"/>
      <c r="U87" s="1077"/>
      <c r="V87" s="1077"/>
      <c r="W87" s="1077"/>
      <c r="X87" s="1077"/>
      <c r="Y87" s="1077"/>
    </row>
    <row r="88">
      <c r="A88" s="1068" t="s">
        <v>7312</v>
      </c>
      <c r="B88" s="1068" t="s">
        <v>524</v>
      </c>
      <c r="C88" s="1069" t="s">
        <v>446</v>
      </c>
      <c r="D88" s="1063">
        <f t="shared" si="2"/>
        <v>0</v>
      </c>
      <c r="E88" s="1082"/>
      <c r="F88" s="1073"/>
      <c r="G88" s="1073"/>
      <c r="H88" s="1071"/>
      <c r="I88" s="1072"/>
      <c r="J88" s="1071"/>
      <c r="K88" s="1073"/>
      <c r="L88" s="1073"/>
      <c r="M88" s="1071"/>
      <c r="N88" s="1073"/>
      <c r="O88" s="1072"/>
      <c r="P88" s="1073"/>
      <c r="Q88" s="1072"/>
      <c r="R88" s="1073"/>
      <c r="S88" s="1072"/>
      <c r="T88" s="1073"/>
      <c r="U88" s="1073"/>
      <c r="V88" s="1073"/>
      <c r="W88" s="1073"/>
      <c r="X88" s="1073"/>
      <c r="Y88" s="1073"/>
    </row>
    <row r="89">
      <c r="A89" s="1074" t="s">
        <v>7315</v>
      </c>
      <c r="B89" s="1074" t="s">
        <v>747</v>
      </c>
      <c r="C89" s="1075" t="s">
        <v>750</v>
      </c>
      <c r="D89" s="1063">
        <f t="shared" si="2"/>
        <v>0</v>
      </c>
      <c r="E89" s="1076"/>
      <c r="F89" s="1077"/>
      <c r="G89" s="1077"/>
      <c r="H89" s="1079"/>
      <c r="I89" s="1079"/>
      <c r="J89" s="1079"/>
      <c r="K89" s="1078"/>
      <c r="L89" s="1079"/>
      <c r="M89" s="1077"/>
      <c r="N89" s="1078"/>
      <c r="O89" s="1078"/>
      <c r="P89" s="1079"/>
      <c r="Q89" s="1079"/>
      <c r="R89" s="1077"/>
      <c r="S89" s="1079"/>
      <c r="T89" s="1079"/>
      <c r="U89" s="1077"/>
      <c r="V89" s="1077"/>
      <c r="W89" s="1077"/>
      <c r="X89" s="1077"/>
      <c r="Y89" s="1077"/>
    </row>
    <row r="90">
      <c r="A90" s="1068" t="s">
        <v>7318</v>
      </c>
      <c r="B90" s="1068" t="s">
        <v>202</v>
      </c>
      <c r="C90" s="1069" t="s">
        <v>114</v>
      </c>
      <c r="D90" s="1063">
        <f t="shared" si="2"/>
        <v>0</v>
      </c>
      <c r="E90" s="1082"/>
      <c r="F90" s="1073"/>
      <c r="G90" s="1073"/>
      <c r="H90" s="1073"/>
      <c r="I90" s="1073"/>
      <c r="J90" s="1073"/>
      <c r="K90" s="1073"/>
      <c r="L90" s="1072"/>
      <c r="M90" s="1073"/>
      <c r="N90" s="1071"/>
      <c r="O90" s="1073"/>
      <c r="P90" s="1073"/>
      <c r="Q90" s="1073"/>
      <c r="R90" s="1073"/>
      <c r="S90" s="1073"/>
      <c r="T90" s="1073"/>
      <c r="U90" s="1073"/>
      <c r="V90" s="1073"/>
      <c r="W90" s="1073"/>
      <c r="X90" s="1073"/>
      <c r="Y90" s="1073"/>
    </row>
    <row r="91">
      <c r="A91" s="1074" t="s">
        <v>7321</v>
      </c>
      <c r="B91" s="1074" t="s">
        <v>1260</v>
      </c>
      <c r="C91" s="1075" t="s">
        <v>1261</v>
      </c>
      <c r="D91" s="1063">
        <f t="shared" si="2"/>
        <v>0</v>
      </c>
      <c r="E91" s="1076"/>
      <c r="F91" s="1077"/>
      <c r="G91" s="1077"/>
      <c r="H91" s="1079"/>
      <c r="I91" s="1079"/>
      <c r="J91" s="1078"/>
      <c r="K91" s="1079"/>
      <c r="L91" s="1079"/>
      <c r="M91" s="1079"/>
      <c r="N91" s="1079"/>
      <c r="O91" s="1079"/>
      <c r="P91" s="1079"/>
      <c r="Q91" s="1079"/>
      <c r="R91" s="1077"/>
      <c r="S91" s="1077"/>
      <c r="T91" s="1079"/>
      <c r="U91" s="1077"/>
      <c r="V91" s="1077"/>
      <c r="W91" s="1077"/>
      <c r="X91" s="1077"/>
      <c r="Y91" s="1077"/>
    </row>
    <row r="92">
      <c r="A92" s="1068" t="s">
        <v>7324</v>
      </c>
      <c r="B92" s="1068" t="s">
        <v>127</v>
      </c>
      <c r="C92" s="1069" t="s">
        <v>114</v>
      </c>
      <c r="D92" s="1063">
        <f t="shared" si="2"/>
        <v>0</v>
      </c>
      <c r="E92" s="1084"/>
      <c r="F92" s="1072"/>
      <c r="G92" s="1072"/>
      <c r="H92" s="1072"/>
      <c r="I92" s="1072"/>
      <c r="J92" s="1072"/>
      <c r="K92" s="1072"/>
      <c r="L92" s="1072"/>
      <c r="M92" s="1071"/>
      <c r="N92" s="1072"/>
      <c r="O92" s="1072"/>
      <c r="P92" s="1073"/>
      <c r="Q92" s="1072"/>
      <c r="R92" s="1073"/>
      <c r="S92" s="1073"/>
      <c r="T92" s="1073"/>
      <c r="U92" s="1073"/>
      <c r="V92" s="1073"/>
      <c r="W92" s="1073"/>
      <c r="X92" s="1073"/>
      <c r="Y92" s="1073"/>
    </row>
    <row r="93">
      <c r="A93" s="1074" t="s">
        <v>7326</v>
      </c>
      <c r="B93" s="1074" t="s">
        <v>1965</v>
      </c>
      <c r="C93" s="1075" t="s">
        <v>1958</v>
      </c>
      <c r="D93" s="1063">
        <f t="shared" si="2"/>
        <v>0</v>
      </c>
      <c r="E93" s="1086"/>
      <c r="F93" s="1078"/>
      <c r="G93" s="1077"/>
      <c r="H93" s="1079"/>
      <c r="I93" s="1079"/>
      <c r="J93" s="1079"/>
      <c r="K93" s="1077"/>
      <c r="L93" s="1079"/>
      <c r="M93" s="1078"/>
      <c r="N93" s="1077"/>
      <c r="O93" s="1077"/>
      <c r="P93" s="1077"/>
      <c r="Q93" s="1079"/>
      <c r="R93" s="1079"/>
      <c r="S93" s="1077"/>
      <c r="T93" s="1077"/>
      <c r="U93" s="1077"/>
      <c r="V93" s="1077"/>
      <c r="W93" s="1077"/>
      <c r="X93" s="1077"/>
      <c r="Y93" s="1077"/>
    </row>
    <row r="94">
      <c r="A94" s="1068" t="s">
        <v>7327</v>
      </c>
      <c r="B94" s="1068" t="s">
        <v>608</v>
      </c>
      <c r="C94" s="1069" t="s">
        <v>579</v>
      </c>
      <c r="D94" s="1063">
        <f t="shared" si="2"/>
        <v>0</v>
      </c>
      <c r="E94" s="1084"/>
      <c r="F94" s="1072"/>
      <c r="G94" s="1071"/>
      <c r="H94" s="1072"/>
      <c r="I94" s="1072"/>
      <c r="J94" s="1072"/>
      <c r="K94" s="1072"/>
      <c r="L94" s="1072"/>
      <c r="M94" s="1072"/>
      <c r="N94" s="1072"/>
      <c r="O94" s="1072"/>
      <c r="P94" s="1073"/>
      <c r="Q94" s="1072"/>
      <c r="R94" s="1073"/>
      <c r="S94" s="1072"/>
      <c r="T94" s="1072"/>
      <c r="U94" s="1072"/>
      <c r="V94" s="1072"/>
      <c r="W94" s="1072"/>
      <c r="X94" s="1072"/>
      <c r="Y94" s="1072"/>
    </row>
    <row r="95">
      <c r="A95" s="1074" t="s">
        <v>7329</v>
      </c>
      <c r="B95" s="1074" t="s">
        <v>1969</v>
      </c>
      <c r="C95" s="1075" t="s">
        <v>1958</v>
      </c>
      <c r="D95" s="1063">
        <f t="shared" si="2"/>
        <v>0</v>
      </c>
      <c r="E95" s="1076"/>
      <c r="F95" s="1077"/>
      <c r="G95" s="1077"/>
      <c r="H95" s="1077"/>
      <c r="I95" s="1077"/>
      <c r="J95" s="1077"/>
      <c r="K95" s="1077"/>
      <c r="L95" s="1077"/>
      <c r="M95" s="1077"/>
      <c r="N95" s="1077"/>
      <c r="O95" s="1077"/>
      <c r="P95" s="1077"/>
      <c r="Q95" s="1077"/>
      <c r="R95" s="1077"/>
      <c r="S95" s="1077"/>
      <c r="T95" s="1077"/>
      <c r="U95" s="1077"/>
      <c r="V95" s="1077"/>
      <c r="W95" s="1077"/>
      <c r="X95" s="1077"/>
      <c r="Y95" s="1077"/>
    </row>
    <row r="96">
      <c r="A96" s="1068" t="s">
        <v>7332</v>
      </c>
      <c r="B96" s="1068" t="s">
        <v>321</v>
      </c>
      <c r="C96" s="1069" t="s">
        <v>316</v>
      </c>
      <c r="D96" s="1063">
        <f t="shared" si="2"/>
        <v>0</v>
      </c>
      <c r="E96" s="1084"/>
      <c r="F96" s="1071"/>
      <c r="G96" s="1071"/>
      <c r="H96" s="1073"/>
      <c r="I96" s="1071"/>
      <c r="J96" s="1072"/>
      <c r="K96" s="1073"/>
      <c r="L96" s="1073"/>
      <c r="M96" s="1073"/>
      <c r="N96" s="1073"/>
      <c r="O96" s="1073"/>
      <c r="P96" s="1073"/>
      <c r="Q96" s="1073"/>
      <c r="R96" s="1073"/>
      <c r="S96" s="1073"/>
      <c r="T96" s="1073"/>
      <c r="U96" s="1072"/>
      <c r="V96" s="1073"/>
      <c r="W96" s="1072"/>
      <c r="X96" s="1073"/>
      <c r="Y96" s="1073"/>
    </row>
    <row r="97">
      <c r="A97" s="1074" t="s">
        <v>7334</v>
      </c>
      <c r="B97" s="1074" t="s">
        <v>315</v>
      </c>
      <c r="C97" s="1075" t="s">
        <v>316</v>
      </c>
      <c r="D97" s="1063">
        <f t="shared" si="2"/>
        <v>0</v>
      </c>
      <c r="E97" s="1080"/>
      <c r="F97" s="1079"/>
      <c r="G97" s="1078"/>
      <c r="H97" s="1078"/>
      <c r="I97" s="1079"/>
      <c r="J97" s="1078"/>
      <c r="K97" s="1079"/>
      <c r="L97" s="1079"/>
      <c r="M97" s="1079"/>
      <c r="N97" s="1077"/>
      <c r="O97" s="1077"/>
      <c r="P97" s="1077"/>
      <c r="Q97" s="1077"/>
      <c r="R97" s="1077"/>
      <c r="S97" s="1077"/>
      <c r="T97" s="1078"/>
      <c r="U97" s="1077"/>
      <c r="V97" s="1077"/>
      <c r="W97" s="1077"/>
      <c r="X97" s="1077"/>
      <c r="Y97" s="1077"/>
    </row>
    <row r="98">
      <c r="A98" s="1068" t="s">
        <v>7335</v>
      </c>
      <c r="B98" s="1068" t="s">
        <v>2199</v>
      </c>
      <c r="C98" s="1069" t="s">
        <v>2045</v>
      </c>
      <c r="D98" s="1063">
        <f t="shared" si="2"/>
        <v>0</v>
      </c>
      <c r="E98" s="1082"/>
      <c r="F98" s="1073"/>
      <c r="G98" s="1073"/>
      <c r="H98" s="1073"/>
      <c r="I98" s="1073"/>
      <c r="J98" s="1072"/>
      <c r="K98" s="1071"/>
      <c r="L98" s="1072"/>
      <c r="M98" s="1073"/>
      <c r="N98" s="1073"/>
      <c r="O98" s="1073"/>
      <c r="P98" s="1073"/>
      <c r="Q98" s="1073"/>
      <c r="R98" s="1072"/>
      <c r="S98" s="1073"/>
      <c r="T98" s="1072"/>
      <c r="U98" s="1073"/>
      <c r="V98" s="1073"/>
      <c r="W98" s="1073"/>
      <c r="X98" s="1073"/>
      <c r="Y98" s="1073"/>
    </row>
    <row r="99">
      <c r="A99" s="1074" t="s">
        <v>7336</v>
      </c>
      <c r="B99" s="1074" t="s">
        <v>2063</v>
      </c>
      <c r="C99" s="1075" t="s">
        <v>2045</v>
      </c>
      <c r="D99" s="1063">
        <f t="shared" si="2"/>
        <v>0</v>
      </c>
      <c r="E99" s="1076"/>
      <c r="F99" s="1077"/>
      <c r="G99" s="1077"/>
      <c r="H99" s="1077"/>
      <c r="I99" s="1077"/>
      <c r="J99" s="1079"/>
      <c r="K99" s="1077"/>
      <c r="L99" s="1079"/>
      <c r="M99" s="1077"/>
      <c r="N99" s="1077"/>
      <c r="O99" s="1077"/>
      <c r="P99" s="1077"/>
      <c r="Q99" s="1077"/>
      <c r="R99" s="1079"/>
      <c r="S99" s="1077"/>
      <c r="T99" s="1079"/>
      <c r="U99" s="1077"/>
      <c r="V99" s="1077"/>
      <c r="W99" s="1077"/>
      <c r="X99" s="1077"/>
      <c r="Y99" s="1077"/>
    </row>
    <row r="100">
      <c r="A100" s="1068" t="s">
        <v>7338</v>
      </c>
      <c r="B100" s="1068" t="s">
        <v>1030</v>
      </c>
      <c r="C100" s="1069" t="s">
        <v>1032</v>
      </c>
      <c r="D100" s="1063">
        <f t="shared" si="2"/>
        <v>0</v>
      </c>
      <c r="E100" s="1070"/>
      <c r="F100" s="1072"/>
      <c r="G100" s="1072"/>
      <c r="H100" s="1073"/>
      <c r="I100" s="1071"/>
      <c r="J100" s="1072"/>
      <c r="K100" s="1073"/>
      <c r="L100" s="1071"/>
      <c r="M100" s="1073"/>
      <c r="N100" s="1071"/>
      <c r="O100" s="1073"/>
      <c r="P100" s="1072"/>
      <c r="Q100" s="1073"/>
      <c r="R100" s="1073"/>
      <c r="S100" s="1073"/>
      <c r="T100" s="1073"/>
      <c r="U100" s="1073"/>
      <c r="V100" s="1073"/>
      <c r="W100" s="1073"/>
      <c r="X100" s="1073"/>
      <c r="Y100" s="1073"/>
    </row>
    <row r="101">
      <c r="A101" s="1074" t="s">
        <v>7341</v>
      </c>
      <c r="B101" s="1074" t="s">
        <v>906</v>
      </c>
      <c r="C101" s="1075" t="s">
        <v>895</v>
      </c>
      <c r="D101" s="1063">
        <f t="shared" si="2"/>
        <v>2</v>
      </c>
      <c r="E101" s="1080">
        <v>1.0</v>
      </c>
      <c r="F101" s="1079"/>
      <c r="G101" s="1078">
        <v>1.0</v>
      </c>
      <c r="H101" s="1079"/>
      <c r="I101" s="1079"/>
      <c r="J101" s="1078"/>
      <c r="K101" s="1079"/>
      <c r="L101" s="1078"/>
      <c r="M101" s="1079"/>
      <c r="N101" s="1077"/>
      <c r="O101" s="1077"/>
      <c r="P101" s="1079"/>
      <c r="Q101" s="1077"/>
      <c r="R101" s="1078"/>
      <c r="S101" s="1077"/>
      <c r="T101" s="1079"/>
      <c r="U101" s="1077"/>
      <c r="V101" s="1077"/>
      <c r="W101" s="1077"/>
      <c r="X101" s="1078"/>
      <c r="Y101" s="1077"/>
    </row>
    <row r="102">
      <c r="A102" s="1068" t="s">
        <v>7344</v>
      </c>
      <c r="B102" s="1068" t="s">
        <v>946</v>
      </c>
      <c r="C102" s="1069" t="s">
        <v>895</v>
      </c>
      <c r="D102" s="1063">
        <f t="shared" si="2"/>
        <v>0</v>
      </c>
      <c r="E102" s="1084"/>
      <c r="F102" s="1073"/>
      <c r="G102" s="1071"/>
      <c r="H102" s="1071"/>
      <c r="I102" s="1072"/>
      <c r="J102" s="1073"/>
      <c r="K102" s="1072"/>
      <c r="L102" s="1071"/>
      <c r="M102" s="1073"/>
      <c r="N102" s="1072"/>
      <c r="O102" s="1071"/>
      <c r="P102" s="1073"/>
      <c r="Q102" s="1073"/>
      <c r="R102" s="1073"/>
      <c r="S102" s="1073"/>
      <c r="T102" s="1073"/>
      <c r="U102" s="1073"/>
      <c r="V102" s="1073"/>
      <c r="W102" s="1073"/>
      <c r="X102" s="1073"/>
      <c r="Y102" s="1073"/>
    </row>
    <row r="103">
      <c r="A103" s="1074" t="s">
        <v>7346</v>
      </c>
      <c r="B103" s="1074" t="s">
        <v>953</v>
      </c>
      <c r="C103" s="1075" t="s">
        <v>895</v>
      </c>
      <c r="D103" s="1063">
        <f t="shared" si="2"/>
        <v>0</v>
      </c>
      <c r="E103" s="1080"/>
      <c r="F103" s="1079"/>
      <c r="G103" s="1078"/>
      <c r="H103" s="1078"/>
      <c r="I103" s="1078"/>
      <c r="J103" s="1079"/>
      <c r="K103" s="1079"/>
      <c r="L103" s="1078"/>
      <c r="M103" s="1079"/>
      <c r="N103" s="1077"/>
      <c r="O103" s="1077"/>
      <c r="P103" s="1077"/>
      <c r="Q103" s="1077"/>
      <c r="R103" s="1079"/>
      <c r="S103" s="1077"/>
      <c r="T103" s="1077"/>
      <c r="U103" s="1077"/>
      <c r="V103" s="1077"/>
      <c r="W103" s="1077"/>
      <c r="X103" s="1077"/>
      <c r="Y103" s="1077"/>
    </row>
    <row r="104">
      <c r="A104" s="1068" t="s">
        <v>7349</v>
      </c>
      <c r="B104" s="1068" t="s">
        <v>957</v>
      </c>
      <c r="C104" s="1069" t="s">
        <v>895</v>
      </c>
      <c r="D104" s="1063">
        <f t="shared" si="2"/>
        <v>0</v>
      </c>
      <c r="E104" s="1082"/>
      <c r="F104" s="1073"/>
      <c r="G104" s="1071"/>
      <c r="H104" s="1124"/>
      <c r="I104" s="1073"/>
      <c r="J104" s="1073"/>
      <c r="K104" s="1073"/>
      <c r="L104" s="1071"/>
      <c r="M104" s="1073"/>
      <c r="N104" s="1071"/>
      <c r="O104" s="1073"/>
      <c r="P104" s="1073"/>
      <c r="Q104" s="1073"/>
      <c r="R104" s="1072"/>
      <c r="S104" s="1072"/>
      <c r="T104" s="1072"/>
      <c r="U104" s="1073"/>
      <c r="V104" s="1073"/>
      <c r="W104" s="1073"/>
      <c r="X104" s="1073"/>
      <c r="Y104" s="1073"/>
    </row>
    <row r="105">
      <c r="A105" s="1108" t="s">
        <v>2921</v>
      </c>
      <c r="B105" s="1108" t="s">
        <v>7351</v>
      </c>
      <c r="C105" s="1126" t="s">
        <v>1157</v>
      </c>
      <c r="D105" s="1098">
        <v>0.0</v>
      </c>
      <c r="E105" s="1086"/>
      <c r="F105" s="1077"/>
      <c r="G105" s="1077"/>
      <c r="H105" s="1079"/>
      <c r="I105" s="1079"/>
      <c r="J105" s="1079"/>
      <c r="K105" s="1079"/>
      <c r="L105" s="1079"/>
      <c r="M105" s="1079"/>
      <c r="N105" s="1077"/>
      <c r="O105" s="1077"/>
      <c r="P105" s="1079"/>
      <c r="Q105" s="1077"/>
      <c r="R105" s="1079"/>
      <c r="S105" s="1077"/>
      <c r="T105" s="1079"/>
      <c r="U105" s="1077"/>
      <c r="V105" s="1079"/>
      <c r="W105" s="1077"/>
      <c r="X105" s="1077"/>
      <c r="Y105" s="1077"/>
    </row>
    <row r="106">
      <c r="A106" s="1068" t="s">
        <v>74</v>
      </c>
      <c r="B106" s="1068" t="s">
        <v>77</v>
      </c>
      <c r="C106" s="1069" t="s">
        <v>57</v>
      </c>
      <c r="D106" s="1063">
        <f t="shared" ref="D106:D113" si="3">SUM(E106:Y106)</f>
        <v>0</v>
      </c>
      <c r="E106" s="1084"/>
      <c r="F106" s="1073"/>
      <c r="G106" s="1073"/>
      <c r="H106" s="1073"/>
      <c r="I106" s="1072"/>
      <c r="J106" s="1071"/>
      <c r="K106" s="1072"/>
      <c r="L106" s="1071"/>
      <c r="M106" s="1073"/>
      <c r="N106" s="1072"/>
      <c r="O106" s="1073"/>
      <c r="P106" s="1072"/>
      <c r="Q106" s="1072"/>
      <c r="R106" s="1072"/>
      <c r="S106" s="1073"/>
      <c r="T106" s="1072"/>
      <c r="U106" s="1073"/>
      <c r="V106" s="1073"/>
      <c r="W106" s="1073"/>
      <c r="X106" s="1073"/>
      <c r="Y106" s="1073"/>
    </row>
    <row r="107">
      <c r="A107" s="1074" t="s">
        <v>7355</v>
      </c>
      <c r="B107" s="1074" t="s">
        <v>1931</v>
      </c>
      <c r="C107" s="1075" t="s">
        <v>1933</v>
      </c>
      <c r="D107" s="1063">
        <f t="shared" si="3"/>
        <v>0</v>
      </c>
      <c r="E107" s="1086"/>
      <c r="F107" s="1079"/>
      <c r="G107" s="1079"/>
      <c r="H107" s="1079"/>
      <c r="I107" s="1079"/>
      <c r="J107" s="1079"/>
      <c r="K107" s="1079"/>
      <c r="L107" s="1079"/>
      <c r="M107" s="1079"/>
      <c r="N107" s="1077"/>
      <c r="O107" s="1079"/>
      <c r="P107" s="1077"/>
      <c r="Q107" s="1079"/>
      <c r="R107" s="1079"/>
      <c r="S107" s="1077"/>
      <c r="T107" s="1077"/>
      <c r="U107" s="1077"/>
      <c r="V107" s="1077"/>
      <c r="W107" s="1077"/>
      <c r="X107" s="1077"/>
      <c r="Y107" s="1077"/>
    </row>
    <row r="108">
      <c r="A108" s="1068" t="s">
        <v>409</v>
      </c>
      <c r="B108" s="1068" t="s">
        <v>399</v>
      </c>
      <c r="C108" s="1069" t="s">
        <v>402</v>
      </c>
      <c r="D108" s="1063">
        <f t="shared" si="3"/>
        <v>0</v>
      </c>
      <c r="E108" s="1070"/>
      <c r="F108" s="1072"/>
      <c r="G108" s="1071"/>
      <c r="H108" s="1072"/>
      <c r="I108" s="1072"/>
      <c r="J108" s="1072"/>
      <c r="K108" s="1071"/>
      <c r="L108" s="1072"/>
      <c r="M108" s="1073"/>
      <c r="N108" s="1072"/>
      <c r="O108" s="1073"/>
      <c r="P108" s="1071"/>
      <c r="Q108" s="1073"/>
      <c r="R108" s="1073"/>
      <c r="S108" s="1073"/>
      <c r="T108" s="1073"/>
      <c r="U108" s="1072"/>
      <c r="V108" s="1073"/>
      <c r="W108" s="1073"/>
      <c r="X108" s="1073"/>
      <c r="Y108" s="1073"/>
    </row>
    <row r="109">
      <c r="A109" s="1074" t="s">
        <v>7350</v>
      </c>
      <c r="B109" s="1074" t="s">
        <v>133</v>
      </c>
      <c r="C109" s="1075" t="s">
        <v>114</v>
      </c>
      <c r="D109" s="1063">
        <f t="shared" si="3"/>
        <v>0</v>
      </c>
      <c r="E109" s="1080"/>
      <c r="F109" s="1078"/>
      <c r="G109" s="1078"/>
      <c r="H109" s="1077"/>
      <c r="I109" s="1077"/>
      <c r="J109" s="1077"/>
      <c r="K109" s="1077"/>
      <c r="L109" s="1079"/>
      <c r="M109" s="1078"/>
      <c r="N109" s="1079"/>
      <c r="O109" s="1077"/>
      <c r="P109" s="1077"/>
      <c r="Q109" s="1079"/>
      <c r="R109" s="1077"/>
      <c r="S109" s="1079"/>
      <c r="T109" s="1077"/>
      <c r="U109" s="1077"/>
      <c r="V109" s="1077"/>
      <c r="W109" s="1077"/>
      <c r="X109" s="1077"/>
      <c r="Y109" s="1077"/>
    </row>
    <row r="110">
      <c r="A110" s="1068" t="s">
        <v>7358</v>
      </c>
      <c r="B110" s="1068" t="s">
        <v>1315</v>
      </c>
      <c r="C110" s="1069" t="s">
        <v>1278</v>
      </c>
      <c r="D110" s="1063">
        <f t="shared" si="3"/>
        <v>1</v>
      </c>
      <c r="E110" s="1082"/>
      <c r="F110" s="1071"/>
      <c r="G110" s="1073"/>
      <c r="H110" s="1073"/>
      <c r="I110" s="1071"/>
      <c r="J110" s="1072"/>
      <c r="K110" s="1072"/>
      <c r="L110" s="1073"/>
      <c r="M110" s="1072"/>
      <c r="N110" s="1071">
        <v>1.0</v>
      </c>
      <c r="O110" s="1072"/>
      <c r="P110" s="1073"/>
      <c r="Q110" s="1073"/>
      <c r="R110" s="1073"/>
      <c r="S110" s="1073"/>
      <c r="T110" s="1072"/>
      <c r="U110" s="1072"/>
      <c r="V110" s="1073"/>
      <c r="W110" s="1073"/>
      <c r="X110" s="1073"/>
      <c r="Y110" s="1073"/>
    </row>
    <row r="111">
      <c r="A111" s="1074" t="s">
        <v>7361</v>
      </c>
      <c r="B111" s="1074" t="s">
        <v>1315</v>
      </c>
      <c r="C111" s="1075" t="s">
        <v>1278</v>
      </c>
      <c r="D111" s="1063">
        <f t="shared" si="3"/>
        <v>0</v>
      </c>
      <c r="E111" s="1076"/>
      <c r="F111" s="1077"/>
      <c r="G111" s="1077"/>
      <c r="H111" s="1079"/>
      <c r="I111" s="1079"/>
      <c r="J111" s="1079"/>
      <c r="K111" s="1077"/>
      <c r="L111" s="1079"/>
      <c r="M111" s="1079"/>
      <c r="N111" s="1079"/>
      <c r="O111" s="1079"/>
      <c r="P111" s="1079"/>
      <c r="Q111" s="1077"/>
      <c r="R111" s="1077"/>
      <c r="S111" s="1079"/>
      <c r="T111" s="1077"/>
      <c r="U111" s="1077"/>
      <c r="V111" s="1077"/>
      <c r="W111" s="1077"/>
      <c r="X111" s="1077"/>
      <c r="Y111" s="1077"/>
    </row>
    <row r="112">
      <c r="A112" s="1068" t="s">
        <v>7364</v>
      </c>
      <c r="B112" s="1068" t="s">
        <v>1315</v>
      </c>
      <c r="C112" s="1069" t="s">
        <v>1278</v>
      </c>
      <c r="D112" s="1063">
        <f t="shared" si="3"/>
        <v>0</v>
      </c>
      <c r="E112" s="1082"/>
      <c r="F112" s="1073"/>
      <c r="G112" s="1073"/>
      <c r="H112" s="1071"/>
      <c r="I112" s="1072"/>
      <c r="J112" s="1073"/>
      <c r="K112" s="1072"/>
      <c r="L112" s="1072"/>
      <c r="M112" s="1073"/>
      <c r="N112" s="1073"/>
      <c r="O112" s="1072"/>
      <c r="P112" s="1073"/>
      <c r="Q112" s="1071"/>
      <c r="R112" s="1073"/>
      <c r="S112" s="1073"/>
      <c r="T112" s="1073"/>
      <c r="U112" s="1073"/>
      <c r="V112" s="1073"/>
      <c r="W112" s="1073"/>
      <c r="X112" s="1073"/>
      <c r="Y112" s="1073"/>
    </row>
    <row r="113" ht="15.75" customHeight="1">
      <c r="A113" s="1074" t="s">
        <v>7367</v>
      </c>
      <c r="B113" s="1074" t="s">
        <v>7368</v>
      </c>
      <c r="C113" s="1075" t="s">
        <v>1278</v>
      </c>
      <c r="D113" s="1063">
        <f t="shared" si="3"/>
        <v>0</v>
      </c>
      <c r="E113" s="1086"/>
      <c r="F113" s="1078"/>
      <c r="G113" s="1079"/>
      <c r="H113" s="1079"/>
      <c r="I113" s="1079"/>
      <c r="J113" s="1079"/>
      <c r="K113" s="1077"/>
      <c r="L113" s="1079"/>
      <c r="M113" s="1079"/>
      <c r="N113" s="1079"/>
      <c r="O113" s="1079"/>
      <c r="P113" s="1077"/>
      <c r="Q113" s="1079"/>
      <c r="R113" s="1077"/>
      <c r="S113" s="1077"/>
      <c r="T113" s="1079"/>
      <c r="U113" s="1079"/>
      <c r="V113" s="1077"/>
      <c r="W113" s="1077"/>
      <c r="X113" s="1077"/>
      <c r="Y113" s="1077"/>
    </row>
    <row r="114">
      <c r="A114" s="1068" t="s">
        <v>7333</v>
      </c>
      <c r="B114" s="1068" t="s">
        <v>734</v>
      </c>
      <c r="C114" s="1069" t="s">
        <v>735</v>
      </c>
      <c r="D114" s="1098">
        <v>1.0</v>
      </c>
      <c r="E114" s="1070"/>
      <c r="F114" s="1071"/>
      <c r="G114" s="1071"/>
      <c r="H114" s="1071"/>
      <c r="I114" s="1071"/>
      <c r="J114" s="1072"/>
      <c r="K114" s="1073"/>
      <c r="L114" s="1073"/>
      <c r="M114" s="1073"/>
      <c r="N114" s="1072"/>
      <c r="O114" s="1073"/>
      <c r="P114" s="1073"/>
      <c r="Q114" s="1073"/>
      <c r="R114" s="1072"/>
      <c r="S114" s="1073"/>
      <c r="T114" s="1071">
        <v>1.0</v>
      </c>
      <c r="U114" s="1073"/>
      <c r="V114" s="1073"/>
      <c r="W114" s="1073"/>
      <c r="X114" s="1073"/>
      <c r="Y114" s="1073"/>
    </row>
    <row r="115">
      <c r="A115" s="1074" t="s">
        <v>7370</v>
      </c>
      <c r="B115" s="1074" t="s">
        <v>2228</v>
      </c>
      <c r="C115" s="1075" t="s">
        <v>2216</v>
      </c>
      <c r="D115" s="1063">
        <f t="shared" ref="D115:D137" si="4">SUM(E115:Y115)</f>
        <v>0</v>
      </c>
      <c r="E115" s="1080"/>
      <c r="F115" s="1078"/>
      <c r="G115" s="1077"/>
      <c r="H115" s="1078"/>
      <c r="I115" s="1078"/>
      <c r="J115" s="1079"/>
      <c r="K115" s="1078"/>
      <c r="L115" s="1079"/>
      <c r="M115" s="1077"/>
      <c r="N115" s="1077"/>
      <c r="O115" s="1077"/>
      <c r="P115" s="1077"/>
      <c r="Q115" s="1077"/>
      <c r="R115" s="1079"/>
      <c r="S115" s="1077"/>
      <c r="T115" s="1079"/>
      <c r="U115" s="1077"/>
      <c r="V115" s="1077"/>
      <c r="W115" s="1077"/>
      <c r="X115" s="1077"/>
      <c r="Y115" s="1077"/>
    </row>
    <row r="116">
      <c r="A116" s="1068" t="s">
        <v>7373</v>
      </c>
      <c r="B116" s="1068" t="s">
        <v>1184</v>
      </c>
      <c r="C116" s="1069" t="s">
        <v>1157</v>
      </c>
      <c r="D116" s="1063">
        <f t="shared" si="4"/>
        <v>0</v>
      </c>
      <c r="E116" s="1084"/>
      <c r="F116" s="1073"/>
      <c r="G116" s="1073"/>
      <c r="H116" s="1072"/>
      <c r="I116" s="1072"/>
      <c r="J116" s="1072"/>
      <c r="K116" s="1071"/>
      <c r="L116" s="1072"/>
      <c r="M116" s="1072"/>
      <c r="N116" s="1072"/>
      <c r="O116" s="1073"/>
      <c r="P116" s="1072"/>
      <c r="Q116" s="1072"/>
      <c r="R116" s="1072"/>
      <c r="S116" s="1072"/>
      <c r="T116" s="1073"/>
      <c r="U116" s="1072"/>
      <c r="V116" s="1073"/>
      <c r="W116" s="1073"/>
      <c r="X116" s="1073"/>
      <c r="Y116" s="1073"/>
    </row>
    <row r="117">
      <c r="A117" s="1074" t="s">
        <v>7375</v>
      </c>
      <c r="B117" s="1074" t="s">
        <v>7376</v>
      </c>
      <c r="C117" s="1075" t="s">
        <v>1157</v>
      </c>
      <c r="D117" s="1063">
        <f t="shared" si="4"/>
        <v>0</v>
      </c>
      <c r="E117" s="1076"/>
      <c r="F117" s="1077"/>
      <c r="G117" s="1078"/>
      <c r="H117" s="1079"/>
      <c r="I117" s="1079"/>
      <c r="J117" s="1078"/>
      <c r="K117" s="1079"/>
      <c r="L117" s="1079"/>
      <c r="M117" s="1077"/>
      <c r="N117" s="1077"/>
      <c r="O117" s="1077"/>
      <c r="P117" s="1079"/>
      <c r="Q117" s="1079"/>
      <c r="R117" s="1078"/>
      <c r="S117" s="1077"/>
      <c r="T117" s="1077"/>
      <c r="U117" s="1077"/>
      <c r="V117" s="1077"/>
      <c r="W117" s="1077"/>
      <c r="X117" s="1077"/>
      <c r="Y117" s="1077"/>
    </row>
    <row r="118">
      <c r="A118" s="1068" t="s">
        <v>7378</v>
      </c>
      <c r="B118" s="1068" t="s">
        <v>1500</v>
      </c>
      <c r="C118" s="1069" t="s">
        <v>1483</v>
      </c>
      <c r="D118" s="1063">
        <f t="shared" si="4"/>
        <v>0</v>
      </c>
      <c r="E118" s="1084"/>
      <c r="F118" s="1073"/>
      <c r="G118" s="1073"/>
      <c r="H118" s="1073"/>
      <c r="I118" s="1072"/>
      <c r="J118" s="1073"/>
      <c r="K118" s="1072"/>
      <c r="L118" s="1073"/>
      <c r="M118" s="1071"/>
      <c r="N118" s="1072"/>
      <c r="O118" s="1072"/>
      <c r="P118" s="1073"/>
      <c r="Q118" s="1072"/>
      <c r="R118" s="1072"/>
      <c r="S118" s="1073"/>
      <c r="T118" s="1072"/>
      <c r="U118" s="1073"/>
      <c r="V118" s="1072"/>
      <c r="W118" s="1073"/>
      <c r="X118" s="1073"/>
      <c r="Y118" s="1073"/>
    </row>
    <row r="119">
      <c r="A119" s="1074" t="s">
        <v>7374</v>
      </c>
      <c r="B119" s="1074" t="s">
        <v>161</v>
      </c>
      <c r="C119" s="1075" t="s">
        <v>114</v>
      </c>
      <c r="D119" s="1063">
        <f t="shared" si="4"/>
        <v>0</v>
      </c>
      <c r="E119" s="1080"/>
      <c r="F119" s="1078"/>
      <c r="G119" s="1078"/>
      <c r="H119" s="1078"/>
      <c r="I119" s="1078"/>
      <c r="J119" s="1079"/>
      <c r="K119" s="1078"/>
      <c r="L119" s="1077"/>
      <c r="M119" s="1078"/>
      <c r="N119" s="1077"/>
      <c r="O119" s="1077"/>
      <c r="P119" s="1077"/>
      <c r="Q119" s="1077"/>
      <c r="R119" s="1077"/>
      <c r="S119" s="1077"/>
      <c r="T119" s="1077"/>
      <c r="U119" s="1077"/>
      <c r="V119" s="1077"/>
      <c r="W119" s="1077"/>
      <c r="X119" s="1077"/>
      <c r="Y119" s="1077"/>
    </row>
    <row r="120">
      <c r="A120" s="1068" t="s">
        <v>7380</v>
      </c>
      <c r="B120" s="1068" t="s">
        <v>329</v>
      </c>
      <c r="C120" s="1069" t="s">
        <v>316</v>
      </c>
      <c r="D120" s="1063">
        <f t="shared" si="4"/>
        <v>0</v>
      </c>
      <c r="E120" s="1070"/>
      <c r="F120" s="1071"/>
      <c r="G120" s="1071"/>
      <c r="H120" s="1072"/>
      <c r="I120" s="1072"/>
      <c r="J120" s="1072"/>
      <c r="K120" s="1072"/>
      <c r="L120" s="1072"/>
      <c r="M120" s="1072"/>
      <c r="N120" s="1072"/>
      <c r="O120" s="1072"/>
      <c r="P120" s="1072"/>
      <c r="Q120" s="1072"/>
      <c r="R120" s="1073"/>
      <c r="S120" s="1072"/>
      <c r="T120" s="1072"/>
      <c r="U120" s="1073"/>
      <c r="V120" s="1073"/>
      <c r="W120" s="1073"/>
      <c r="X120" s="1072"/>
      <c r="Y120" s="1072"/>
    </row>
    <row r="121">
      <c r="A121" s="1074" t="s">
        <v>7382</v>
      </c>
      <c r="B121" s="1074" t="s">
        <v>1058</v>
      </c>
      <c r="C121" s="1075" t="s">
        <v>1051</v>
      </c>
      <c r="D121" s="1063">
        <f t="shared" si="4"/>
        <v>0</v>
      </c>
      <c r="E121" s="1076"/>
      <c r="F121" s="1077"/>
      <c r="G121" s="1077"/>
      <c r="H121" s="1079"/>
      <c r="I121" s="1077"/>
      <c r="J121" s="1079"/>
      <c r="K121" s="1079"/>
      <c r="L121" s="1077"/>
      <c r="M121" s="1078"/>
      <c r="N121" s="1077"/>
      <c r="O121" s="1077"/>
      <c r="P121" s="1077"/>
      <c r="Q121" s="1077"/>
      <c r="R121" s="1079"/>
      <c r="S121" s="1079"/>
      <c r="T121" s="1079"/>
      <c r="U121" s="1079"/>
      <c r="V121" s="1077"/>
      <c r="W121" s="1077"/>
      <c r="X121" s="1077"/>
      <c r="Y121" s="1077"/>
    </row>
    <row r="122">
      <c r="A122" s="1068" t="s">
        <v>7384</v>
      </c>
      <c r="B122" s="1068" t="s">
        <v>171</v>
      </c>
      <c r="C122" s="1069" t="s">
        <v>114</v>
      </c>
      <c r="D122" s="1063">
        <f t="shared" si="4"/>
        <v>0</v>
      </c>
      <c r="E122" s="1084"/>
      <c r="F122" s="1072"/>
      <c r="G122" s="1072"/>
      <c r="H122" s="1071"/>
      <c r="I122" s="1073"/>
      <c r="J122" s="1071"/>
      <c r="K122" s="1072"/>
      <c r="L122" s="1071"/>
      <c r="M122" s="1073"/>
      <c r="N122" s="1072"/>
      <c r="O122" s="1072"/>
      <c r="P122" s="1073"/>
      <c r="Q122" s="1073"/>
      <c r="R122" s="1073"/>
      <c r="S122" s="1072"/>
      <c r="T122" s="1073"/>
      <c r="U122" s="1071"/>
      <c r="V122" s="1073"/>
      <c r="W122" s="1071"/>
      <c r="X122" s="1073"/>
      <c r="Y122" s="1073"/>
    </row>
    <row r="123">
      <c r="A123" s="1074" t="s">
        <v>7387</v>
      </c>
      <c r="B123" s="1120" t="s">
        <v>1567</v>
      </c>
      <c r="C123" s="1075" t="s">
        <v>1483</v>
      </c>
      <c r="D123" s="1063">
        <f t="shared" si="4"/>
        <v>0</v>
      </c>
      <c r="E123" s="1076"/>
      <c r="F123" s="1077"/>
      <c r="G123" s="1079"/>
      <c r="H123" s="1079"/>
      <c r="I123" s="1077"/>
      <c r="J123" s="1079"/>
      <c r="K123" s="1078"/>
      <c r="L123" s="1078"/>
      <c r="M123" s="1077"/>
      <c r="N123" s="1079"/>
      <c r="O123" s="1077"/>
      <c r="P123" s="1077"/>
      <c r="Q123" s="1077"/>
      <c r="R123" s="1077"/>
      <c r="S123" s="1077"/>
      <c r="T123" s="1079"/>
      <c r="U123" s="1077"/>
      <c r="V123" s="1079"/>
      <c r="W123" s="1077"/>
      <c r="X123" s="1077"/>
      <c r="Y123" s="1077"/>
    </row>
    <row r="124">
      <c r="A124" s="1068" t="s">
        <v>7357</v>
      </c>
      <c r="B124" s="1068" t="s">
        <v>1260</v>
      </c>
      <c r="C124" s="1069" t="s">
        <v>1261</v>
      </c>
      <c r="D124" s="1063">
        <f t="shared" si="4"/>
        <v>0</v>
      </c>
      <c r="E124" s="1070"/>
      <c r="F124" s="1072"/>
      <c r="G124" s="1071"/>
      <c r="H124" s="1071"/>
      <c r="I124" s="1072"/>
      <c r="J124" s="1072"/>
      <c r="K124" s="1071"/>
      <c r="L124" s="1071"/>
      <c r="M124" s="1072"/>
      <c r="N124" s="1071"/>
      <c r="O124" s="1073"/>
      <c r="P124" s="1071"/>
      <c r="Q124" s="1073"/>
      <c r="R124" s="1072"/>
      <c r="S124" s="1073"/>
      <c r="T124" s="1073"/>
      <c r="U124" s="1073"/>
      <c r="V124" s="1073"/>
      <c r="W124" s="1073"/>
      <c r="X124" s="1073"/>
      <c r="Y124" s="1071"/>
    </row>
    <row r="125">
      <c r="A125" s="1087" t="s">
        <v>7388</v>
      </c>
      <c r="B125" s="1074" t="s">
        <v>830</v>
      </c>
      <c r="C125" s="1075" t="s">
        <v>812</v>
      </c>
      <c r="D125" s="1063">
        <f t="shared" si="4"/>
        <v>0</v>
      </c>
      <c r="E125" s="1076"/>
      <c r="F125" s="1078"/>
      <c r="G125" s="1077"/>
      <c r="H125" s="1077"/>
      <c r="I125" s="1077"/>
      <c r="J125" s="1079"/>
      <c r="K125" s="1077"/>
      <c r="L125" s="1079"/>
      <c r="M125" s="1079"/>
      <c r="N125" s="1077"/>
      <c r="O125" s="1079"/>
      <c r="P125" s="1079"/>
      <c r="Q125" s="1077"/>
      <c r="R125" s="1077"/>
      <c r="S125" s="1079"/>
      <c r="T125" s="1079"/>
      <c r="U125" s="1079"/>
      <c r="V125" s="1077"/>
      <c r="W125" s="1077"/>
      <c r="X125" s="1077"/>
      <c r="Y125" s="1077"/>
    </row>
    <row r="126">
      <c r="A126" s="1068" t="s">
        <v>461</v>
      </c>
      <c r="B126" s="1068" t="s">
        <v>2334</v>
      </c>
      <c r="C126" s="1069" t="s">
        <v>446</v>
      </c>
      <c r="D126" s="1063">
        <f t="shared" si="4"/>
        <v>0</v>
      </c>
      <c r="E126" s="1070"/>
      <c r="F126" s="1073"/>
      <c r="G126" s="1073"/>
      <c r="H126" s="1072"/>
      <c r="I126" s="1072"/>
      <c r="J126" s="1071"/>
      <c r="K126" s="1071"/>
      <c r="L126" s="1073"/>
      <c r="M126" s="1071"/>
      <c r="N126" s="1072"/>
      <c r="O126" s="1071"/>
      <c r="P126" s="1072"/>
      <c r="Q126" s="1073"/>
      <c r="R126" s="1073"/>
      <c r="S126" s="1072"/>
      <c r="T126" s="1072"/>
      <c r="U126" s="1072"/>
      <c r="V126" s="1073"/>
      <c r="W126" s="1073"/>
      <c r="X126" s="1073"/>
      <c r="Y126" s="1073"/>
    </row>
    <row r="127">
      <c r="A127" s="1074" t="s">
        <v>7393</v>
      </c>
      <c r="B127" s="1074" t="s">
        <v>7394</v>
      </c>
      <c r="C127" s="1075" t="s">
        <v>446</v>
      </c>
      <c r="D127" s="1063">
        <f t="shared" si="4"/>
        <v>0</v>
      </c>
      <c r="E127" s="1080"/>
      <c r="F127" s="1079"/>
      <c r="G127" s="1079"/>
      <c r="H127" s="1079"/>
      <c r="I127" s="1079"/>
      <c r="J127" s="1079"/>
      <c r="K127" s="1079"/>
      <c r="L127" s="1079"/>
      <c r="M127" s="1079"/>
      <c r="N127" s="1079"/>
      <c r="O127" s="1079"/>
      <c r="P127" s="1079"/>
      <c r="Q127" s="1079"/>
      <c r="R127" s="1079"/>
      <c r="S127" s="1079"/>
      <c r="T127" s="1077"/>
      <c r="U127" s="1079"/>
      <c r="V127" s="1079"/>
      <c r="W127" s="1077"/>
      <c r="X127" s="1077"/>
      <c r="Y127" s="1077"/>
    </row>
    <row r="128">
      <c r="A128" s="1068" t="s">
        <v>7366</v>
      </c>
      <c r="B128" s="1068" t="s">
        <v>1770</v>
      </c>
      <c r="C128" s="1069" t="s">
        <v>1646</v>
      </c>
      <c r="D128" s="1063">
        <f t="shared" si="4"/>
        <v>0</v>
      </c>
      <c r="E128" s="1084"/>
      <c r="F128" s="1071"/>
      <c r="G128" s="1071"/>
      <c r="H128" s="1073"/>
      <c r="I128" s="1071"/>
      <c r="J128" s="1072"/>
      <c r="K128" s="1072"/>
      <c r="L128" s="1072"/>
      <c r="M128" s="1072"/>
      <c r="N128" s="1071"/>
      <c r="O128" s="1072"/>
      <c r="P128" s="1072"/>
      <c r="Q128" s="1071"/>
      <c r="R128" s="1072"/>
      <c r="S128" s="1073"/>
      <c r="T128" s="1072"/>
      <c r="U128" s="1071"/>
      <c r="V128" s="1071"/>
      <c r="W128" s="1072"/>
      <c r="X128" s="1073"/>
      <c r="Y128" s="1073"/>
    </row>
    <row r="129">
      <c r="A129" s="1074" t="s">
        <v>7395</v>
      </c>
      <c r="B129" s="1074" t="s">
        <v>1288</v>
      </c>
      <c r="C129" s="1075" t="s">
        <v>1278</v>
      </c>
      <c r="D129" s="1063">
        <f t="shared" si="4"/>
        <v>0</v>
      </c>
      <c r="E129" s="1086"/>
      <c r="F129" s="1079"/>
      <c r="G129" s="1079"/>
      <c r="H129" s="1078"/>
      <c r="I129" s="1078"/>
      <c r="J129" s="1079"/>
      <c r="K129" s="1078"/>
      <c r="L129" s="1079"/>
      <c r="M129" s="1078"/>
      <c r="N129" s="1077"/>
      <c r="O129" s="1079"/>
      <c r="P129" s="1079"/>
      <c r="Q129" s="1077"/>
      <c r="R129" s="1079"/>
      <c r="S129" s="1077"/>
      <c r="T129" s="1079"/>
      <c r="U129" s="1077"/>
      <c r="V129" s="1077"/>
      <c r="W129" s="1077"/>
      <c r="X129" s="1077"/>
      <c r="Y129" s="1077"/>
    </row>
    <row r="130">
      <c r="A130" s="1068" t="s">
        <v>7286</v>
      </c>
      <c r="B130" s="1068" t="s">
        <v>175</v>
      </c>
      <c r="C130" s="1069" t="s">
        <v>114</v>
      </c>
      <c r="D130" s="1063">
        <f t="shared" si="4"/>
        <v>4</v>
      </c>
      <c r="E130" s="1070">
        <v>1.0</v>
      </c>
      <c r="F130" s="1072"/>
      <c r="G130" s="1071">
        <v>2.0</v>
      </c>
      <c r="H130" s="1072"/>
      <c r="I130" s="1072"/>
      <c r="J130" s="1072"/>
      <c r="K130" s="1071"/>
      <c r="L130" s="1073"/>
      <c r="M130" s="1073"/>
      <c r="N130" s="1071"/>
      <c r="O130" s="1072"/>
      <c r="P130" s="1072"/>
      <c r="Q130" s="1072"/>
      <c r="R130" s="1072"/>
      <c r="S130" s="1072"/>
      <c r="T130" s="1073"/>
      <c r="U130" s="1073"/>
      <c r="V130" s="1073"/>
      <c r="W130" s="1071">
        <v>1.0</v>
      </c>
      <c r="X130" s="1073"/>
      <c r="Y130" s="1073"/>
    </row>
    <row r="131">
      <c r="A131" s="1074" t="s">
        <v>7261</v>
      </c>
      <c r="B131" s="1074" t="s">
        <v>138</v>
      </c>
      <c r="C131" s="1075" t="s">
        <v>114</v>
      </c>
      <c r="D131" s="1063">
        <f t="shared" si="4"/>
        <v>0</v>
      </c>
      <c r="E131" s="1080"/>
      <c r="F131" s="1078"/>
      <c r="G131" s="1078"/>
      <c r="H131" s="1078"/>
      <c r="I131" s="1077"/>
      <c r="J131" s="1078"/>
      <c r="K131" s="1078"/>
      <c r="L131" s="1077"/>
      <c r="M131" s="1078"/>
      <c r="N131" s="1077"/>
      <c r="O131" s="1077"/>
      <c r="P131" s="1079"/>
      <c r="Q131" s="1077"/>
      <c r="R131" s="1077"/>
      <c r="S131" s="1077"/>
      <c r="T131" s="1077"/>
      <c r="U131" s="1077"/>
      <c r="V131" s="1077"/>
      <c r="W131" s="1077"/>
      <c r="X131" s="1077"/>
      <c r="Y131" s="1077"/>
    </row>
    <row r="132">
      <c r="A132" s="1068" t="s">
        <v>7401</v>
      </c>
      <c r="B132" s="1068" t="s">
        <v>789</v>
      </c>
      <c r="C132" s="1069" t="s">
        <v>792</v>
      </c>
      <c r="D132" s="1063">
        <f t="shared" si="4"/>
        <v>0</v>
      </c>
      <c r="E132" s="1082"/>
      <c r="F132" s="1071"/>
      <c r="G132" s="1072"/>
      <c r="H132" s="1073"/>
      <c r="I132" s="1073"/>
      <c r="J132" s="1072"/>
      <c r="K132" s="1072"/>
      <c r="L132" s="1073"/>
      <c r="M132" s="1073"/>
      <c r="N132" s="1073"/>
      <c r="O132" s="1071"/>
      <c r="P132" s="1072"/>
      <c r="Q132" s="1071"/>
      <c r="R132" s="1072"/>
      <c r="S132" s="1073"/>
      <c r="T132" s="1073"/>
      <c r="U132" s="1073"/>
      <c r="V132" s="1073"/>
      <c r="W132" s="1073"/>
      <c r="X132" s="1073"/>
      <c r="Y132" s="1073"/>
    </row>
    <row r="133">
      <c r="A133" s="1074" t="s">
        <v>7386</v>
      </c>
      <c r="B133" s="1074" t="s">
        <v>794</v>
      </c>
      <c r="C133" s="1075" t="s">
        <v>792</v>
      </c>
      <c r="D133" s="1063">
        <f t="shared" si="4"/>
        <v>0</v>
      </c>
      <c r="E133" s="1080"/>
      <c r="F133" s="1079"/>
      <c r="G133" s="1077"/>
      <c r="H133" s="1078"/>
      <c r="I133" s="1079"/>
      <c r="J133" s="1078"/>
      <c r="K133" s="1079"/>
      <c r="L133" s="1078"/>
      <c r="M133" s="1078"/>
      <c r="N133" s="1079"/>
      <c r="O133" s="1079"/>
      <c r="P133" s="1079"/>
      <c r="Q133" s="1079"/>
      <c r="R133" s="1079"/>
      <c r="S133" s="1079"/>
      <c r="T133" s="1077"/>
      <c r="U133" s="1079"/>
      <c r="V133" s="1079"/>
      <c r="W133" s="1077"/>
      <c r="X133" s="1077"/>
      <c r="Y133" s="1077"/>
    </row>
    <row r="134">
      <c r="A134" s="1068" t="s">
        <v>7385</v>
      </c>
      <c r="B134" s="1068" t="s">
        <v>680</v>
      </c>
      <c r="C134" s="1069" t="s">
        <v>656</v>
      </c>
      <c r="D134" s="1063">
        <f t="shared" si="4"/>
        <v>0</v>
      </c>
      <c r="E134" s="1070"/>
      <c r="F134" s="1072"/>
      <c r="G134" s="1072"/>
      <c r="H134" s="1071"/>
      <c r="I134" s="1072"/>
      <c r="J134" s="1072"/>
      <c r="K134" s="1071"/>
      <c r="L134" s="1071"/>
      <c r="M134" s="1072"/>
      <c r="N134" s="1073"/>
      <c r="O134" s="1073"/>
      <c r="P134" s="1071"/>
      <c r="Q134" s="1072"/>
      <c r="R134" s="1073"/>
      <c r="S134" s="1073"/>
      <c r="T134" s="1073"/>
      <c r="U134" s="1073"/>
      <c r="V134" s="1071"/>
      <c r="W134" s="1073"/>
      <c r="X134" s="1073"/>
      <c r="Y134" s="1073"/>
    </row>
    <row r="135">
      <c r="A135" s="1074" t="s">
        <v>7396</v>
      </c>
      <c r="B135" s="1074" t="s">
        <v>1291</v>
      </c>
      <c r="C135" s="1075" t="s">
        <v>1278</v>
      </c>
      <c r="D135" s="1063">
        <f t="shared" si="4"/>
        <v>0</v>
      </c>
      <c r="E135" s="1086"/>
      <c r="F135" s="1079"/>
      <c r="G135" s="1077"/>
      <c r="H135" s="1077"/>
      <c r="I135" s="1079"/>
      <c r="J135" s="1077"/>
      <c r="K135" s="1079"/>
      <c r="L135" s="1077"/>
      <c r="M135" s="1079"/>
      <c r="N135" s="1079"/>
      <c r="O135" s="1077"/>
      <c r="P135" s="1079"/>
      <c r="Q135" s="1079"/>
      <c r="R135" s="1077"/>
      <c r="S135" s="1078"/>
      <c r="T135" s="1079"/>
      <c r="U135" s="1077"/>
      <c r="V135" s="1077"/>
      <c r="W135" s="1077"/>
      <c r="X135" s="1077"/>
      <c r="Y135" s="1077"/>
    </row>
    <row r="136">
      <c r="A136" s="1068" t="s">
        <v>7409</v>
      </c>
      <c r="B136" s="1068" t="s">
        <v>1789</v>
      </c>
      <c r="C136" s="1069" t="s">
        <v>1646</v>
      </c>
      <c r="D136" s="1063">
        <f t="shared" si="4"/>
        <v>0</v>
      </c>
      <c r="E136" s="1084"/>
      <c r="F136" s="1072"/>
      <c r="G136" s="1072"/>
      <c r="H136" s="1073"/>
      <c r="I136" s="1072"/>
      <c r="J136" s="1072"/>
      <c r="K136" s="1072"/>
      <c r="L136" s="1072"/>
      <c r="M136" s="1072"/>
      <c r="N136" s="1072"/>
      <c r="O136" s="1072"/>
      <c r="P136" s="1072"/>
      <c r="Q136" s="1073"/>
      <c r="R136" s="1072"/>
      <c r="S136" s="1073"/>
      <c r="T136" s="1072"/>
      <c r="U136" s="1072"/>
      <c r="V136" s="1072"/>
      <c r="W136" s="1072"/>
      <c r="X136" s="1073"/>
      <c r="Y136" s="1073"/>
    </row>
    <row r="137">
      <c r="A137" s="1074" t="s">
        <v>7390</v>
      </c>
      <c r="B137" s="1074" t="s">
        <v>888</v>
      </c>
      <c r="C137" s="1075" t="s">
        <v>889</v>
      </c>
      <c r="D137" s="1063">
        <f t="shared" si="4"/>
        <v>0</v>
      </c>
      <c r="E137" s="1086"/>
      <c r="F137" s="1078"/>
      <c r="G137" s="1079"/>
      <c r="H137" s="1077"/>
      <c r="I137" s="1079"/>
      <c r="J137" s="1079"/>
      <c r="K137" s="1079"/>
      <c r="L137" s="1079"/>
      <c r="M137" s="1077"/>
      <c r="N137" s="1079"/>
      <c r="O137" s="1079"/>
      <c r="P137" s="1077"/>
      <c r="Q137" s="1077"/>
      <c r="R137" s="1079"/>
      <c r="S137" s="1079"/>
      <c r="T137" s="1079"/>
      <c r="U137" s="1077"/>
      <c r="V137" s="1077"/>
      <c r="W137" s="1077"/>
      <c r="X137" s="1077"/>
      <c r="Y137" s="1077"/>
    </row>
    <row r="138">
      <c r="A138" s="1068" t="s">
        <v>7412</v>
      </c>
      <c r="B138" s="1068" t="s">
        <v>2335</v>
      </c>
      <c r="C138" s="1069" t="s">
        <v>2329</v>
      </c>
      <c r="D138" s="1098">
        <v>0.0</v>
      </c>
      <c r="E138" s="1070"/>
      <c r="F138" s="1072"/>
      <c r="G138" s="1071"/>
      <c r="H138" s="1072"/>
      <c r="I138" s="1071"/>
      <c r="J138" s="1071"/>
      <c r="K138" s="1071"/>
      <c r="L138" s="1072"/>
      <c r="M138" s="1072"/>
      <c r="N138" s="1071"/>
      <c r="O138" s="1072"/>
      <c r="P138" s="1072"/>
      <c r="Q138" s="1072"/>
      <c r="R138" s="1072"/>
      <c r="S138" s="1072"/>
      <c r="T138" s="1072"/>
      <c r="U138" s="1072"/>
      <c r="V138" s="1072"/>
      <c r="W138" s="1072"/>
      <c r="X138" s="1072"/>
      <c r="Y138" s="1072"/>
    </row>
    <row r="139">
      <c r="A139" s="1074" t="s">
        <v>7278</v>
      </c>
      <c r="B139" s="1127" t="s">
        <v>816</v>
      </c>
      <c r="C139" s="1075" t="s">
        <v>812</v>
      </c>
      <c r="D139" s="1098">
        <v>5.0</v>
      </c>
      <c r="E139" s="1080">
        <v>5.0</v>
      </c>
      <c r="F139" s="1078">
        <v>1.0</v>
      </c>
      <c r="G139" s="1078"/>
      <c r="H139" s="1079"/>
      <c r="I139" s="1079"/>
      <c r="J139" s="1078"/>
      <c r="K139" s="1079"/>
      <c r="L139" s="1079"/>
      <c r="M139" s="1077"/>
      <c r="N139" s="1079"/>
      <c r="O139" s="1077"/>
      <c r="P139" s="1079"/>
      <c r="Q139" s="1079"/>
      <c r="R139" s="1079"/>
      <c r="S139" s="1077"/>
      <c r="T139" s="1077"/>
      <c r="U139" s="1079"/>
      <c r="V139" s="1077"/>
      <c r="W139" s="1077"/>
      <c r="X139" s="1077"/>
      <c r="Y139" s="1077"/>
    </row>
    <row r="140">
      <c r="A140" s="1068" t="s">
        <v>7303</v>
      </c>
      <c r="B140" s="1068" t="s">
        <v>510</v>
      </c>
      <c r="C140" s="1069" t="s">
        <v>446</v>
      </c>
      <c r="D140" s="1063">
        <f t="shared" ref="D140:D155" si="5">SUM(E140:Y140)</f>
        <v>0</v>
      </c>
      <c r="E140" s="1084"/>
      <c r="F140" s="1072"/>
      <c r="G140" s="1073"/>
      <c r="H140" s="1073"/>
      <c r="I140" s="1072"/>
      <c r="J140" s="1072"/>
      <c r="K140" s="1072"/>
      <c r="L140" s="1071"/>
      <c r="M140" s="1073"/>
      <c r="N140" s="1071"/>
      <c r="O140" s="1072"/>
      <c r="P140" s="1073"/>
      <c r="Q140" s="1072"/>
      <c r="R140" s="1073"/>
      <c r="S140" s="1073"/>
      <c r="T140" s="1073"/>
      <c r="U140" s="1073"/>
      <c r="V140" s="1073"/>
      <c r="W140" s="1073"/>
      <c r="X140" s="1073"/>
      <c r="Y140" s="1073"/>
    </row>
    <row r="141">
      <c r="A141" s="1128" t="s">
        <v>7418</v>
      </c>
      <c r="B141" s="1074" t="s">
        <v>77</v>
      </c>
      <c r="C141" s="1075" t="s">
        <v>57</v>
      </c>
      <c r="D141" s="1063">
        <f t="shared" si="5"/>
        <v>2</v>
      </c>
      <c r="E141" s="1080"/>
      <c r="F141" s="1078"/>
      <c r="G141" s="1079"/>
      <c r="H141" s="1078">
        <v>1.0</v>
      </c>
      <c r="I141" s="1079"/>
      <c r="J141" s="1079"/>
      <c r="K141" s="1078">
        <v>1.0</v>
      </c>
      <c r="L141" s="1079"/>
      <c r="M141" s="1077"/>
      <c r="N141" s="1079"/>
      <c r="O141" s="1077"/>
      <c r="P141" s="1079"/>
      <c r="Q141" s="1077"/>
      <c r="R141" s="1077"/>
      <c r="S141" s="1077"/>
      <c r="T141" s="1077"/>
      <c r="U141" s="1079"/>
      <c r="V141" s="1077"/>
      <c r="W141" s="1077"/>
      <c r="X141" s="1077"/>
      <c r="Y141" s="1078"/>
    </row>
    <row r="142">
      <c r="A142" s="1122" t="s">
        <v>7305</v>
      </c>
      <c r="B142" s="1068" t="s">
        <v>1038</v>
      </c>
      <c r="C142" s="1069" t="s">
        <v>1032</v>
      </c>
      <c r="D142" s="1063">
        <f t="shared" si="5"/>
        <v>6</v>
      </c>
      <c r="E142" s="1070">
        <v>1.0</v>
      </c>
      <c r="F142" s="1071">
        <v>3.0</v>
      </c>
      <c r="G142" s="1071">
        <v>1.0</v>
      </c>
      <c r="H142" s="1071">
        <v>1.0</v>
      </c>
      <c r="I142" s="1073"/>
      <c r="J142" s="1071"/>
      <c r="K142" s="1073"/>
      <c r="L142" s="1073"/>
      <c r="M142" s="1073"/>
      <c r="N142" s="1073"/>
      <c r="O142" s="1072"/>
      <c r="P142" s="1072"/>
      <c r="Q142" s="1073"/>
      <c r="R142" s="1072"/>
      <c r="S142" s="1073"/>
      <c r="T142" s="1072"/>
      <c r="U142" s="1073"/>
      <c r="V142" s="1073"/>
      <c r="W142" s="1073"/>
      <c r="X142" s="1073"/>
      <c r="Y142" s="1071"/>
    </row>
    <row r="143">
      <c r="A143" s="1074" t="s">
        <v>683</v>
      </c>
      <c r="B143" s="1074" t="s">
        <v>655</v>
      </c>
      <c r="C143" s="1075" t="s">
        <v>656</v>
      </c>
      <c r="D143" s="1063">
        <f t="shared" si="5"/>
        <v>0</v>
      </c>
      <c r="E143" s="1080"/>
      <c r="F143" s="1078"/>
      <c r="G143" s="1078"/>
      <c r="H143" s="1079"/>
      <c r="I143" s="1078"/>
      <c r="J143" s="1078"/>
      <c r="K143" s="1077"/>
      <c r="L143" s="1077"/>
      <c r="M143" s="1079"/>
      <c r="N143" s="1079"/>
      <c r="O143" s="1077"/>
      <c r="P143" s="1079"/>
      <c r="Q143" s="1077"/>
      <c r="R143" s="1077"/>
      <c r="S143" s="1077"/>
      <c r="T143" s="1077"/>
      <c r="U143" s="1079"/>
      <c r="V143" s="1077"/>
      <c r="W143" s="1077"/>
      <c r="X143" s="1077"/>
      <c r="Y143" s="1077"/>
    </row>
    <row r="144">
      <c r="A144" s="1068" t="s">
        <v>977</v>
      </c>
      <c r="B144" s="1068" t="s">
        <v>979</v>
      </c>
      <c r="C144" s="1069" t="s">
        <v>895</v>
      </c>
      <c r="D144" s="1063">
        <f t="shared" si="5"/>
        <v>0</v>
      </c>
      <c r="E144" s="1084"/>
      <c r="F144" s="1072"/>
      <c r="G144" s="1072"/>
      <c r="H144" s="1072"/>
      <c r="I144" s="1072"/>
      <c r="J144" s="1073"/>
      <c r="K144" s="1072"/>
      <c r="L144" s="1072"/>
      <c r="M144" s="1072"/>
      <c r="N144" s="1073"/>
      <c r="O144" s="1073"/>
      <c r="P144" s="1073"/>
      <c r="Q144" s="1072"/>
      <c r="R144" s="1073"/>
      <c r="S144" s="1073"/>
      <c r="T144" s="1072"/>
      <c r="U144" s="1073"/>
      <c r="V144" s="1073"/>
      <c r="W144" s="1072"/>
      <c r="X144" s="1072"/>
      <c r="Y144" s="1072"/>
    </row>
    <row r="145">
      <c r="A145" s="1074" t="s">
        <v>974</v>
      </c>
      <c r="B145" s="1074" t="s">
        <v>7424</v>
      </c>
      <c r="C145" s="1075" t="s">
        <v>895</v>
      </c>
      <c r="D145" s="1063">
        <f t="shared" si="5"/>
        <v>0</v>
      </c>
      <c r="E145" s="1076"/>
      <c r="F145" s="1077"/>
      <c r="G145" s="1077"/>
      <c r="H145" s="1078"/>
      <c r="I145" s="1078"/>
      <c r="J145" s="1079"/>
      <c r="K145" s="1078"/>
      <c r="L145" s="1079"/>
      <c r="M145" s="1079"/>
      <c r="N145" s="1079"/>
      <c r="O145" s="1079"/>
      <c r="P145" s="1079"/>
      <c r="Q145" s="1079"/>
      <c r="R145" s="1079"/>
      <c r="S145" s="1077"/>
      <c r="T145" s="1079"/>
      <c r="U145" s="1077"/>
      <c r="V145" s="1077"/>
      <c r="W145" s="1077"/>
      <c r="X145" s="1077"/>
      <c r="Y145" s="1077"/>
    </row>
    <row r="146">
      <c r="A146" s="1068" t="s">
        <v>7426</v>
      </c>
      <c r="B146" s="1068" t="s">
        <v>594</v>
      </c>
      <c r="C146" s="1069" t="s">
        <v>579</v>
      </c>
      <c r="D146" s="1063">
        <f t="shared" si="5"/>
        <v>0</v>
      </c>
      <c r="E146" s="1070"/>
      <c r="F146" s="1072"/>
      <c r="G146" s="1072"/>
      <c r="H146" s="1072"/>
      <c r="I146" s="1071"/>
      <c r="J146" s="1072"/>
      <c r="K146" s="1072"/>
      <c r="L146" s="1073"/>
      <c r="M146" s="1073"/>
      <c r="N146" s="1072"/>
      <c r="O146" s="1073"/>
      <c r="P146" s="1072"/>
      <c r="Q146" s="1073"/>
      <c r="R146" s="1073"/>
      <c r="S146" s="1072"/>
      <c r="T146" s="1072"/>
      <c r="U146" s="1072"/>
      <c r="V146" s="1073"/>
      <c r="W146" s="1073"/>
      <c r="X146" s="1072"/>
      <c r="Y146" s="1072"/>
    </row>
    <row r="147">
      <c r="A147" s="1074" t="s">
        <v>7282</v>
      </c>
      <c r="B147" s="1074" t="s">
        <v>1969</v>
      </c>
      <c r="C147" s="1075" t="s">
        <v>1958</v>
      </c>
      <c r="D147" s="1063">
        <f t="shared" si="5"/>
        <v>0</v>
      </c>
      <c r="E147" s="1080"/>
      <c r="F147" s="1078"/>
      <c r="G147" s="1078"/>
      <c r="H147" s="1078"/>
      <c r="I147" s="1079"/>
      <c r="J147" s="1078"/>
      <c r="K147" s="1079"/>
      <c r="L147" s="1079"/>
      <c r="M147" s="1079"/>
      <c r="N147" s="1079"/>
      <c r="O147" s="1078"/>
      <c r="P147" s="1077"/>
      <c r="Q147" s="1079"/>
      <c r="R147" s="1079"/>
      <c r="S147" s="1079"/>
      <c r="T147" s="1079"/>
      <c r="U147" s="1079"/>
      <c r="V147" s="1077"/>
      <c r="W147" s="1077"/>
      <c r="X147" s="1077"/>
      <c r="Y147" s="1077"/>
    </row>
    <row r="148">
      <c r="A148" s="1068" t="s">
        <v>863</v>
      </c>
      <c r="B148" s="1068" t="s">
        <v>862</v>
      </c>
      <c r="C148" s="1069" t="s">
        <v>857</v>
      </c>
      <c r="D148" s="1063">
        <f t="shared" si="5"/>
        <v>0</v>
      </c>
      <c r="E148" s="1084"/>
      <c r="F148" s="1073"/>
      <c r="G148" s="1073"/>
      <c r="H148" s="1072"/>
      <c r="I148" s="1072"/>
      <c r="J148" s="1072"/>
      <c r="K148" s="1072"/>
      <c r="L148" s="1072"/>
      <c r="M148" s="1072"/>
      <c r="N148" s="1073"/>
      <c r="O148" s="1072"/>
      <c r="P148" s="1073"/>
      <c r="Q148" s="1072"/>
      <c r="R148" s="1073"/>
      <c r="S148" s="1072"/>
      <c r="T148" s="1073"/>
      <c r="U148" s="1073"/>
      <c r="V148" s="1073"/>
      <c r="W148" s="1073"/>
      <c r="X148" s="1073"/>
      <c r="Y148" s="1073"/>
    </row>
    <row r="149">
      <c r="A149" s="1074" t="s">
        <v>7302</v>
      </c>
      <c r="B149" s="1074" t="s">
        <v>399</v>
      </c>
      <c r="C149" s="1075" t="s">
        <v>402</v>
      </c>
      <c r="D149" s="1063">
        <f t="shared" si="5"/>
        <v>0</v>
      </c>
      <c r="E149" s="1080"/>
      <c r="F149" s="1078"/>
      <c r="G149" s="1078"/>
      <c r="H149" s="1078"/>
      <c r="I149" s="1078"/>
      <c r="J149" s="1078"/>
      <c r="K149" s="1077"/>
      <c r="L149" s="1079"/>
      <c r="M149" s="1079"/>
      <c r="N149" s="1078"/>
      <c r="O149" s="1078"/>
      <c r="P149" s="1079"/>
      <c r="Q149" s="1079"/>
      <c r="R149" s="1079"/>
      <c r="S149" s="1077"/>
      <c r="T149" s="1079"/>
      <c r="U149" s="1079"/>
      <c r="V149" s="1078"/>
      <c r="W149" s="1078"/>
      <c r="X149" s="1077"/>
      <c r="Y149" s="1078"/>
    </row>
    <row r="150">
      <c r="A150" s="1068" t="s">
        <v>513</v>
      </c>
      <c r="B150" s="1068" t="s">
        <v>514</v>
      </c>
      <c r="C150" s="1069" t="s">
        <v>446</v>
      </c>
      <c r="D150" s="1063">
        <f t="shared" si="5"/>
        <v>0</v>
      </c>
      <c r="E150" s="1084"/>
      <c r="F150" s="1072"/>
      <c r="G150" s="1072"/>
      <c r="H150" s="1072"/>
      <c r="I150" s="1072"/>
      <c r="J150" s="1073"/>
      <c r="K150" s="1072"/>
      <c r="L150" s="1071"/>
      <c r="M150" s="1071"/>
      <c r="N150" s="1073"/>
      <c r="O150" s="1072"/>
      <c r="P150" s="1072"/>
      <c r="Q150" s="1073"/>
      <c r="R150" s="1073"/>
      <c r="S150" s="1073"/>
      <c r="T150" s="1073"/>
      <c r="U150" s="1073"/>
      <c r="V150" s="1073"/>
      <c r="W150" s="1072"/>
      <c r="X150" s="1073"/>
      <c r="Y150" s="1073"/>
    </row>
    <row r="151">
      <c r="A151" s="1074" t="s">
        <v>7430</v>
      </c>
      <c r="B151" s="1074" t="s">
        <v>1803</v>
      </c>
      <c r="C151" s="1075" t="s">
        <v>1646</v>
      </c>
      <c r="D151" s="1063">
        <f t="shared" si="5"/>
        <v>0</v>
      </c>
      <c r="E151" s="1086"/>
      <c r="F151" s="1079"/>
      <c r="G151" s="1079"/>
      <c r="H151" s="1077"/>
      <c r="I151" s="1079"/>
      <c r="J151" s="1079"/>
      <c r="K151" s="1079"/>
      <c r="L151" s="1079"/>
      <c r="M151" s="1079"/>
      <c r="N151" s="1077"/>
      <c r="O151" s="1079"/>
      <c r="P151" s="1079"/>
      <c r="Q151" s="1079"/>
      <c r="R151" s="1077"/>
      <c r="S151" s="1077"/>
      <c r="T151" s="1079"/>
      <c r="U151" s="1077"/>
      <c r="V151" s="1077"/>
      <c r="W151" s="1077"/>
      <c r="X151" s="1077"/>
      <c r="Y151" s="1077"/>
    </row>
    <row r="152">
      <c r="A152" s="1068" t="s">
        <v>7432</v>
      </c>
      <c r="B152" s="1068" t="s">
        <v>1509</v>
      </c>
      <c r="C152" s="1069" t="s">
        <v>1483</v>
      </c>
      <c r="D152" s="1063">
        <f t="shared" si="5"/>
        <v>0</v>
      </c>
      <c r="E152" s="1084"/>
      <c r="F152" s="1072"/>
      <c r="G152" s="1072"/>
      <c r="H152" s="1072"/>
      <c r="I152" s="1072"/>
      <c r="J152" s="1072"/>
      <c r="K152" s="1071"/>
      <c r="L152" s="1072"/>
      <c r="M152" s="1072"/>
      <c r="N152" s="1073"/>
      <c r="O152" s="1073"/>
      <c r="P152" s="1073"/>
      <c r="Q152" s="1072"/>
      <c r="R152" s="1073"/>
      <c r="S152" s="1073"/>
      <c r="T152" s="1072"/>
      <c r="U152" s="1073"/>
      <c r="V152" s="1073"/>
      <c r="W152" s="1073"/>
      <c r="X152" s="1073"/>
      <c r="Y152" s="1073"/>
    </row>
    <row r="153">
      <c r="A153" s="1074" t="s">
        <v>7434</v>
      </c>
      <c r="B153" s="1074" t="s">
        <v>626</v>
      </c>
      <c r="C153" s="1075" t="s">
        <v>627</v>
      </c>
      <c r="D153" s="1063">
        <f t="shared" si="5"/>
        <v>0</v>
      </c>
      <c r="E153" s="1086"/>
      <c r="F153" s="1079"/>
      <c r="G153" s="1079"/>
      <c r="H153" s="1079"/>
      <c r="I153" s="1079"/>
      <c r="J153" s="1077"/>
      <c r="K153" s="1079"/>
      <c r="L153" s="1079"/>
      <c r="M153" s="1079"/>
      <c r="N153" s="1077"/>
      <c r="O153" s="1077"/>
      <c r="P153" s="1079"/>
      <c r="Q153" s="1077"/>
      <c r="R153" s="1079"/>
      <c r="S153" s="1077"/>
      <c r="T153" s="1077"/>
      <c r="U153" s="1077"/>
      <c r="V153" s="1077"/>
      <c r="W153" s="1077"/>
      <c r="X153" s="1079"/>
      <c r="Y153" s="1079"/>
    </row>
    <row r="154">
      <c r="A154" s="1068" t="s">
        <v>7435</v>
      </c>
      <c r="B154" s="1068" t="s">
        <v>2052</v>
      </c>
      <c r="C154" s="1069" t="s">
        <v>2045</v>
      </c>
      <c r="D154" s="1063">
        <f t="shared" si="5"/>
        <v>0</v>
      </c>
      <c r="E154" s="1070"/>
      <c r="F154" s="1071"/>
      <c r="G154" s="1071"/>
      <c r="H154" s="1071"/>
      <c r="I154" s="1073"/>
      <c r="J154" s="1072"/>
      <c r="K154" s="1073"/>
      <c r="L154" s="1072"/>
      <c r="M154" s="1073"/>
      <c r="N154" s="1073"/>
      <c r="O154" s="1073"/>
      <c r="P154" s="1073"/>
      <c r="Q154" s="1073"/>
      <c r="R154" s="1072"/>
      <c r="S154" s="1073"/>
      <c r="T154" s="1072"/>
      <c r="U154" s="1073"/>
      <c r="V154" s="1073"/>
      <c r="W154" s="1073"/>
      <c r="X154" s="1073"/>
      <c r="Y154" s="1073"/>
    </row>
    <row r="155">
      <c r="A155" s="1074" t="s">
        <v>7437</v>
      </c>
      <c r="B155" s="1074" t="s">
        <v>2044</v>
      </c>
      <c r="C155" s="1075" t="s">
        <v>2045</v>
      </c>
      <c r="D155" s="1063">
        <f t="shared" si="5"/>
        <v>3</v>
      </c>
      <c r="E155" s="1080">
        <v>1.0</v>
      </c>
      <c r="F155" s="1078">
        <v>1.0</v>
      </c>
      <c r="G155" s="1077"/>
      <c r="H155" s="1077"/>
      <c r="I155" s="1077"/>
      <c r="J155" s="1079"/>
      <c r="K155" s="1077"/>
      <c r="L155" s="1079"/>
      <c r="M155" s="1077"/>
      <c r="N155" s="1077"/>
      <c r="O155" s="1078">
        <v>1.0</v>
      </c>
      <c r="P155" s="1077"/>
      <c r="Q155" s="1078"/>
      <c r="R155" s="1079"/>
      <c r="S155" s="1077"/>
      <c r="T155" s="1079"/>
      <c r="U155" s="1077"/>
      <c r="V155" s="1077"/>
      <c r="W155" s="1077"/>
      <c r="X155" s="1077"/>
      <c r="Y155" s="1077"/>
    </row>
    <row r="156">
      <c r="A156" s="1122" t="s">
        <v>7342</v>
      </c>
      <c r="B156" s="1122" t="s">
        <v>2183</v>
      </c>
      <c r="C156" s="1129" t="s">
        <v>2045</v>
      </c>
      <c r="D156" s="1063">
        <f>SUM(E156:X156)</f>
        <v>0</v>
      </c>
      <c r="E156" s="1082"/>
      <c r="F156" s="1071"/>
      <c r="G156" s="1073"/>
      <c r="H156" s="1073"/>
      <c r="I156" s="1073"/>
      <c r="J156" s="1072"/>
      <c r="K156" s="1073"/>
      <c r="L156" s="1072"/>
      <c r="M156" s="1073"/>
      <c r="N156" s="1073"/>
      <c r="O156" s="1073"/>
      <c r="P156" s="1073"/>
      <c r="Q156" s="1071"/>
      <c r="R156" s="1072"/>
      <c r="S156" s="1073"/>
      <c r="T156" s="1072"/>
      <c r="U156" s="1073"/>
      <c r="V156" s="1073"/>
      <c r="W156" s="1073"/>
      <c r="X156" s="1073"/>
      <c r="Y156" s="1073"/>
    </row>
    <row r="157">
      <c r="A157" s="1074" t="s">
        <v>7292</v>
      </c>
      <c r="B157" s="1074" t="s">
        <v>1288</v>
      </c>
      <c r="C157" s="1075" t="s">
        <v>1278</v>
      </c>
      <c r="D157" s="1063">
        <f t="shared" ref="D157:D164" si="6">SUM(E157:Y157)</f>
        <v>2</v>
      </c>
      <c r="E157" s="1080"/>
      <c r="F157" s="1078"/>
      <c r="G157" s="1078"/>
      <c r="H157" s="1078"/>
      <c r="I157" s="1078">
        <v>1.0</v>
      </c>
      <c r="J157" s="1079"/>
      <c r="K157" s="1078"/>
      <c r="L157" s="1077"/>
      <c r="M157" s="1079"/>
      <c r="N157" s="1078">
        <v>1.0</v>
      </c>
      <c r="O157" s="1077"/>
      <c r="P157" s="1077"/>
      <c r="Q157" s="1077"/>
      <c r="R157" s="1077"/>
      <c r="S157" s="1077"/>
      <c r="T157" s="1077"/>
      <c r="U157" s="1077"/>
      <c r="V157" s="1077"/>
      <c r="W157" s="1077"/>
      <c r="X157" s="1077"/>
      <c r="Y157" s="1077"/>
    </row>
    <row r="158">
      <c r="A158" s="1068" t="s">
        <v>7443</v>
      </c>
      <c r="B158" s="1068" t="s">
        <v>578</v>
      </c>
      <c r="C158" s="1069" t="s">
        <v>579</v>
      </c>
      <c r="D158" s="1063">
        <f t="shared" si="6"/>
        <v>0</v>
      </c>
      <c r="E158" s="1084"/>
      <c r="F158" s="1073"/>
      <c r="G158" s="1072"/>
      <c r="H158" s="1072"/>
      <c r="I158" s="1072"/>
      <c r="J158" s="1071"/>
      <c r="K158" s="1071"/>
      <c r="L158" s="1072"/>
      <c r="M158" s="1072"/>
      <c r="N158" s="1072"/>
      <c r="O158" s="1073"/>
      <c r="P158" s="1072"/>
      <c r="Q158" s="1072"/>
      <c r="R158" s="1073"/>
      <c r="S158" s="1073"/>
      <c r="T158" s="1072"/>
      <c r="U158" s="1073"/>
      <c r="V158" s="1072"/>
      <c r="W158" s="1073"/>
      <c r="X158" s="1073"/>
      <c r="Y158" s="1073"/>
    </row>
    <row r="159">
      <c r="A159" s="1074" t="s">
        <v>7445</v>
      </c>
      <c r="B159" s="1074" t="s">
        <v>7446</v>
      </c>
      <c r="C159" s="1075" t="s">
        <v>1483</v>
      </c>
      <c r="D159" s="1063">
        <f t="shared" si="6"/>
        <v>0</v>
      </c>
      <c r="E159" s="1086"/>
      <c r="F159" s="1079"/>
      <c r="G159" s="1077"/>
      <c r="H159" s="1079"/>
      <c r="I159" s="1079"/>
      <c r="J159" s="1079"/>
      <c r="K159" s="1079"/>
      <c r="L159" s="1077"/>
      <c r="M159" s="1079"/>
      <c r="N159" s="1079"/>
      <c r="O159" s="1079"/>
      <c r="P159" s="1079"/>
      <c r="Q159" s="1079"/>
      <c r="R159" s="1079"/>
      <c r="S159" s="1077"/>
      <c r="T159" s="1077"/>
      <c r="U159" s="1079"/>
      <c r="V159" s="1077"/>
      <c r="W159" s="1077"/>
      <c r="X159" s="1077"/>
      <c r="Y159" s="1077"/>
    </row>
    <row r="160">
      <c r="A160" s="1068" t="s">
        <v>7379</v>
      </c>
      <c r="B160" s="1068" t="s">
        <v>519</v>
      </c>
      <c r="C160" s="1069" t="s">
        <v>446</v>
      </c>
      <c r="D160" s="1063">
        <f t="shared" si="6"/>
        <v>0</v>
      </c>
      <c r="E160" s="1082"/>
      <c r="F160" s="1073"/>
      <c r="G160" s="1073"/>
      <c r="H160" s="1072"/>
      <c r="I160" s="1072"/>
      <c r="J160" s="1072"/>
      <c r="K160" s="1073"/>
      <c r="L160" s="1072"/>
      <c r="M160" s="1073"/>
      <c r="N160" s="1072"/>
      <c r="O160" s="1073"/>
      <c r="P160" s="1072"/>
      <c r="Q160" s="1072"/>
      <c r="R160" s="1072"/>
      <c r="S160" s="1072"/>
      <c r="T160" s="1072"/>
      <c r="U160" s="1073"/>
      <c r="V160" s="1072"/>
      <c r="W160" s="1073"/>
      <c r="X160" s="1073"/>
      <c r="Y160" s="1073"/>
    </row>
    <row r="161">
      <c r="A161" s="1074" t="s">
        <v>7431</v>
      </c>
      <c r="B161" s="1074" t="s">
        <v>1106</v>
      </c>
      <c r="C161" s="1075" t="s">
        <v>1091</v>
      </c>
      <c r="D161" s="1063">
        <f t="shared" si="6"/>
        <v>0</v>
      </c>
      <c r="E161" s="1086"/>
      <c r="F161" s="1078"/>
      <c r="G161" s="1079"/>
      <c r="H161" s="1078"/>
      <c r="I161" s="1078"/>
      <c r="J161" s="1078"/>
      <c r="K161" s="1077"/>
      <c r="L161" s="1078"/>
      <c r="M161" s="1077"/>
      <c r="N161" s="1078"/>
      <c r="O161" s="1079"/>
      <c r="P161" s="1077"/>
      <c r="Q161" s="1077"/>
      <c r="R161" s="1077"/>
      <c r="S161" s="1077"/>
      <c r="T161" s="1077"/>
      <c r="U161" s="1077"/>
      <c r="V161" s="1077"/>
      <c r="W161" s="1077"/>
      <c r="X161" s="1077"/>
      <c r="Y161" s="1077"/>
    </row>
    <row r="162">
      <c r="A162" s="1068" t="s">
        <v>7449</v>
      </c>
      <c r="B162" s="1068" t="s">
        <v>1372</v>
      </c>
      <c r="C162" s="1069" t="s">
        <v>1278</v>
      </c>
      <c r="D162" s="1063">
        <f t="shared" si="6"/>
        <v>1</v>
      </c>
      <c r="E162" s="1082"/>
      <c r="F162" s="1073"/>
      <c r="G162" s="1073"/>
      <c r="H162" s="1073"/>
      <c r="I162" s="1073"/>
      <c r="J162" s="1073"/>
      <c r="K162" s="1072"/>
      <c r="L162" s="1071">
        <v>1.0</v>
      </c>
      <c r="M162" s="1073"/>
      <c r="N162" s="1073"/>
      <c r="O162" s="1073"/>
      <c r="P162" s="1073"/>
      <c r="Q162" s="1073"/>
      <c r="R162" s="1072"/>
      <c r="S162" s="1072"/>
      <c r="T162" s="1073"/>
      <c r="U162" s="1073"/>
      <c r="V162" s="1073"/>
      <c r="W162" s="1073"/>
      <c r="X162" s="1073"/>
      <c r="Y162" s="1073"/>
    </row>
    <row r="163">
      <c r="A163" s="1108" t="s">
        <v>7452</v>
      </c>
      <c r="B163" s="1074" t="s">
        <v>1497</v>
      </c>
      <c r="C163" s="1075" t="s">
        <v>1483</v>
      </c>
      <c r="D163" s="1063">
        <f t="shared" si="6"/>
        <v>0</v>
      </c>
      <c r="E163" s="1076"/>
      <c r="F163" s="1078"/>
      <c r="G163" s="1079"/>
      <c r="H163" s="1077"/>
      <c r="I163" s="1077"/>
      <c r="J163" s="1079"/>
      <c r="K163" s="1077"/>
      <c r="L163" s="1077"/>
      <c r="M163" s="1077"/>
      <c r="N163" s="1079"/>
      <c r="O163" s="1079"/>
      <c r="P163" s="1079"/>
      <c r="Q163" s="1077"/>
      <c r="R163" s="1079"/>
      <c r="S163" s="1077"/>
      <c r="T163" s="1079"/>
      <c r="U163" s="1077"/>
      <c r="V163" s="1077"/>
      <c r="W163" s="1079"/>
      <c r="X163" s="1077"/>
      <c r="Y163" s="1077"/>
    </row>
    <row r="164">
      <c r="A164" s="1068" t="s">
        <v>7454</v>
      </c>
      <c r="B164" s="1068" t="s">
        <v>1679</v>
      </c>
      <c r="C164" s="1069" t="s">
        <v>1646</v>
      </c>
      <c r="D164" s="1063">
        <f t="shared" si="6"/>
        <v>0</v>
      </c>
      <c r="E164" s="1084"/>
      <c r="F164" s="1072"/>
      <c r="G164" s="1072"/>
      <c r="H164" s="1072"/>
      <c r="I164" s="1072"/>
      <c r="J164" s="1072"/>
      <c r="K164" s="1072"/>
      <c r="L164" s="1072"/>
      <c r="M164" s="1072"/>
      <c r="N164" s="1072"/>
      <c r="O164" s="1072"/>
      <c r="P164" s="1073"/>
      <c r="Q164" s="1073"/>
      <c r="R164" s="1073"/>
      <c r="S164" s="1073"/>
      <c r="T164" s="1073"/>
      <c r="U164" s="1073"/>
      <c r="V164" s="1073"/>
      <c r="W164" s="1073"/>
      <c r="X164" s="1073"/>
      <c r="Y164" s="1073"/>
    </row>
    <row r="165">
      <c r="A165" s="1074" t="s">
        <v>7397</v>
      </c>
      <c r="B165" s="1074" t="s">
        <v>1315</v>
      </c>
      <c r="C165" s="1075" t="s">
        <v>1278</v>
      </c>
      <c r="D165" s="1098">
        <v>1.0</v>
      </c>
      <c r="E165" s="1080">
        <v>1.0</v>
      </c>
      <c r="F165" s="1079"/>
      <c r="G165" s="1078"/>
      <c r="H165" s="1078"/>
      <c r="I165" s="1078"/>
      <c r="J165" s="1079"/>
      <c r="K165" s="1077"/>
      <c r="L165" s="1078"/>
      <c r="M165" s="1079"/>
      <c r="N165" s="1079"/>
      <c r="O165" s="1077"/>
      <c r="P165" s="1079"/>
      <c r="Q165" s="1077"/>
      <c r="R165" s="1077"/>
      <c r="S165" s="1079"/>
      <c r="T165" s="1077"/>
      <c r="U165" s="1077"/>
      <c r="V165" s="1077"/>
      <c r="W165" s="1077"/>
      <c r="X165" s="1077"/>
      <c r="Y165" s="1077"/>
    </row>
    <row r="166">
      <c r="A166" s="1068" t="s">
        <v>7310</v>
      </c>
      <c r="B166" s="1068" t="s">
        <v>1315</v>
      </c>
      <c r="C166" s="1069" t="s">
        <v>1278</v>
      </c>
      <c r="D166" s="1063">
        <f t="shared" ref="D166:D168" si="7">SUM(E166:Y166)</f>
        <v>1</v>
      </c>
      <c r="E166" s="1070">
        <v>1.0</v>
      </c>
      <c r="F166" s="1071"/>
      <c r="G166" s="1071"/>
      <c r="H166" s="1072"/>
      <c r="I166" s="1072"/>
      <c r="J166" s="1073"/>
      <c r="K166" s="1071"/>
      <c r="L166" s="1072"/>
      <c r="M166" s="1072"/>
      <c r="N166" s="1071"/>
      <c r="O166" s="1072"/>
      <c r="P166" s="1072"/>
      <c r="Q166" s="1073"/>
      <c r="R166" s="1072"/>
      <c r="S166" s="1073"/>
      <c r="T166" s="1072"/>
      <c r="U166" s="1072"/>
      <c r="V166" s="1073"/>
      <c r="W166" s="1073"/>
      <c r="X166" s="1073"/>
      <c r="Y166" s="1073"/>
    </row>
    <row r="167">
      <c r="A167" s="1074" t="s">
        <v>7293</v>
      </c>
      <c r="B167" s="1074" t="s">
        <v>1315</v>
      </c>
      <c r="C167" s="1075" t="s">
        <v>1278</v>
      </c>
      <c r="D167" s="1063">
        <f t="shared" si="7"/>
        <v>1</v>
      </c>
      <c r="E167" s="1080"/>
      <c r="F167" s="1078"/>
      <c r="G167" s="1078">
        <v>1.0</v>
      </c>
      <c r="H167" s="1078"/>
      <c r="I167" s="1079"/>
      <c r="J167" s="1079"/>
      <c r="K167" s="1079"/>
      <c r="L167" s="1077"/>
      <c r="M167" s="1079"/>
      <c r="N167" s="1077"/>
      <c r="O167" s="1079"/>
      <c r="P167" s="1079"/>
      <c r="Q167" s="1077"/>
      <c r="R167" s="1079"/>
      <c r="S167" s="1079"/>
      <c r="T167" s="1077"/>
      <c r="U167" s="1077"/>
      <c r="V167" s="1079"/>
      <c r="W167" s="1077"/>
      <c r="X167" s="1077"/>
      <c r="Y167" s="1077"/>
    </row>
    <row r="168">
      <c r="A168" s="1068" t="s">
        <v>7439</v>
      </c>
      <c r="B168" s="1068" t="s">
        <v>1291</v>
      </c>
      <c r="C168" s="1069" t="s">
        <v>1278</v>
      </c>
      <c r="D168" s="1063">
        <f t="shared" si="7"/>
        <v>0</v>
      </c>
      <c r="E168" s="1082"/>
      <c r="F168" s="1071"/>
      <c r="G168" s="1072"/>
      <c r="H168" s="1071"/>
      <c r="I168" s="1071"/>
      <c r="J168" s="1071"/>
      <c r="K168" s="1072"/>
      <c r="L168" s="1072"/>
      <c r="M168" s="1072"/>
      <c r="N168" s="1073"/>
      <c r="O168" s="1071"/>
      <c r="P168" s="1072"/>
      <c r="Q168" s="1072"/>
      <c r="R168" s="1072"/>
      <c r="S168" s="1072"/>
      <c r="T168" s="1073"/>
      <c r="U168" s="1073"/>
      <c r="V168" s="1072"/>
      <c r="W168" s="1073"/>
      <c r="X168" s="1073"/>
      <c r="Y168" s="1073"/>
    </row>
    <row r="169">
      <c r="A169" s="1074" t="s">
        <v>7311</v>
      </c>
      <c r="B169" s="1074" t="s">
        <v>1305</v>
      </c>
      <c r="C169" s="1075" t="s">
        <v>1278</v>
      </c>
      <c r="D169" s="1098">
        <v>1.0</v>
      </c>
      <c r="E169" s="1080"/>
      <c r="F169" s="1079"/>
      <c r="G169" s="1079"/>
      <c r="H169" s="1079"/>
      <c r="I169" s="1078"/>
      <c r="J169" s="1079"/>
      <c r="K169" s="1079"/>
      <c r="L169" s="1079"/>
      <c r="M169" s="1079"/>
      <c r="N169" s="1079"/>
      <c r="O169" s="1077"/>
      <c r="P169" s="1077"/>
      <c r="Q169" s="1077"/>
      <c r="R169" s="1079"/>
      <c r="S169" s="1079"/>
      <c r="T169" s="1077"/>
      <c r="U169" s="1077"/>
      <c r="V169" s="1077"/>
      <c r="W169" s="1077"/>
      <c r="X169" s="1077"/>
      <c r="Y169" s="1077"/>
    </row>
    <row r="170">
      <c r="A170" s="1068" t="s">
        <v>7381</v>
      </c>
      <c r="B170" s="1068" t="s">
        <v>550</v>
      </c>
      <c r="C170" s="1069" t="s">
        <v>579</v>
      </c>
      <c r="D170" s="1063">
        <f t="shared" ref="D170:D187" si="8">SUM(E170:Y170)</f>
        <v>0</v>
      </c>
      <c r="E170" s="1070"/>
      <c r="F170" s="1071"/>
      <c r="G170" s="1071"/>
      <c r="H170" s="1071"/>
      <c r="I170" s="1072"/>
      <c r="J170" s="1071"/>
      <c r="K170" s="1072"/>
      <c r="L170" s="1072"/>
      <c r="M170" s="1071"/>
      <c r="N170" s="1072"/>
      <c r="O170" s="1072"/>
      <c r="P170" s="1073"/>
      <c r="Q170" s="1072"/>
      <c r="R170" s="1072"/>
      <c r="S170" s="1072"/>
      <c r="T170" s="1072"/>
      <c r="U170" s="1073"/>
      <c r="V170" s="1073"/>
      <c r="W170" s="1073"/>
      <c r="X170" s="1072"/>
      <c r="Y170" s="1072"/>
    </row>
    <row r="171">
      <c r="A171" s="1074" t="s">
        <v>7460</v>
      </c>
      <c r="B171" s="1074" t="s">
        <v>1112</v>
      </c>
      <c r="C171" s="1075" t="s">
        <v>1091</v>
      </c>
      <c r="D171" s="1063">
        <f t="shared" si="8"/>
        <v>0</v>
      </c>
      <c r="E171" s="1080"/>
      <c r="F171" s="1079"/>
      <c r="G171" s="1079"/>
      <c r="H171" s="1079"/>
      <c r="I171" s="1079"/>
      <c r="J171" s="1077"/>
      <c r="K171" s="1077"/>
      <c r="L171" s="1077"/>
      <c r="M171" s="1078"/>
      <c r="N171" s="1077"/>
      <c r="O171" s="1077"/>
      <c r="P171" s="1078"/>
      <c r="Q171" s="1077"/>
      <c r="R171" s="1077"/>
      <c r="S171" s="1077"/>
      <c r="T171" s="1077"/>
      <c r="U171" s="1077"/>
      <c r="V171" s="1077"/>
      <c r="W171" s="1077"/>
      <c r="X171" s="1077"/>
      <c r="Y171" s="1077"/>
    </row>
    <row r="172">
      <c r="A172" s="1068" t="s">
        <v>7398</v>
      </c>
      <c r="B172" s="1068" t="s">
        <v>1318</v>
      </c>
      <c r="C172" s="1069" t="s">
        <v>1278</v>
      </c>
      <c r="D172" s="1063">
        <f t="shared" si="8"/>
        <v>0</v>
      </c>
      <c r="E172" s="1084"/>
      <c r="F172" s="1072"/>
      <c r="G172" s="1071"/>
      <c r="H172" s="1072"/>
      <c r="I172" s="1072"/>
      <c r="J172" s="1072"/>
      <c r="K172" s="1072"/>
      <c r="L172" s="1071"/>
      <c r="M172" s="1072"/>
      <c r="N172" s="1073"/>
      <c r="O172" s="1071"/>
      <c r="P172" s="1073"/>
      <c r="Q172" s="1072"/>
      <c r="R172" s="1072"/>
      <c r="S172" s="1073"/>
      <c r="T172" s="1073"/>
      <c r="U172" s="1073"/>
      <c r="V172" s="1073"/>
      <c r="W172" s="1073"/>
      <c r="X172" s="1073"/>
      <c r="Y172" s="1073"/>
    </row>
    <row r="173">
      <c r="A173" s="1074" t="s">
        <v>7463</v>
      </c>
      <c r="B173" s="1074" t="s">
        <v>1291</v>
      </c>
      <c r="C173" s="1075" t="s">
        <v>1278</v>
      </c>
      <c r="D173" s="1063">
        <f t="shared" si="8"/>
        <v>0</v>
      </c>
      <c r="E173" s="1086"/>
      <c r="F173" s="1079"/>
      <c r="G173" s="1078"/>
      <c r="H173" s="1079"/>
      <c r="I173" s="1079"/>
      <c r="J173" s="1079"/>
      <c r="K173" s="1079"/>
      <c r="L173" s="1079"/>
      <c r="M173" s="1079"/>
      <c r="N173" s="1079"/>
      <c r="O173" s="1079"/>
      <c r="P173" s="1079"/>
      <c r="Q173" s="1079"/>
      <c r="R173" s="1079"/>
      <c r="S173" s="1077"/>
      <c r="T173" s="1077"/>
      <c r="U173" s="1079"/>
      <c r="V173" s="1077"/>
      <c r="W173" s="1077"/>
      <c r="X173" s="1077"/>
      <c r="Y173" s="1077"/>
    </row>
    <row r="174">
      <c r="A174" s="1068" t="s">
        <v>7464</v>
      </c>
      <c r="B174" s="1068" t="s">
        <v>1315</v>
      </c>
      <c r="C174" s="1069" t="s">
        <v>1278</v>
      </c>
      <c r="D174" s="1063">
        <f t="shared" si="8"/>
        <v>1</v>
      </c>
      <c r="E174" s="1070">
        <v>1.0</v>
      </c>
      <c r="F174" s="1071"/>
      <c r="G174" s="1073"/>
      <c r="H174" s="1071"/>
      <c r="I174" s="1072"/>
      <c r="J174" s="1071"/>
      <c r="K174" s="1072"/>
      <c r="L174" s="1072"/>
      <c r="M174" s="1073"/>
      <c r="N174" s="1073"/>
      <c r="O174" s="1072"/>
      <c r="P174" s="1073"/>
      <c r="Q174" s="1072"/>
      <c r="R174" s="1072"/>
      <c r="S174" s="1072"/>
      <c r="T174" s="1073"/>
      <c r="U174" s="1071"/>
      <c r="V174" s="1073"/>
      <c r="W174" s="1072"/>
      <c r="X174" s="1073"/>
      <c r="Y174" s="1073"/>
    </row>
    <row r="175">
      <c r="A175" s="1074" t="s">
        <v>7399</v>
      </c>
      <c r="B175" s="1074" t="s">
        <v>1439</v>
      </c>
      <c r="C175" s="1075" t="s">
        <v>1278</v>
      </c>
      <c r="D175" s="1063">
        <f t="shared" si="8"/>
        <v>0</v>
      </c>
      <c r="E175" s="1080"/>
      <c r="F175" s="1078"/>
      <c r="G175" s="1079"/>
      <c r="H175" s="1078"/>
      <c r="I175" s="1079"/>
      <c r="J175" s="1079"/>
      <c r="K175" s="1079"/>
      <c r="L175" s="1079"/>
      <c r="M175" s="1079"/>
      <c r="N175" s="1079"/>
      <c r="O175" s="1079"/>
      <c r="P175" s="1079"/>
      <c r="Q175" s="1079"/>
      <c r="R175" s="1079"/>
      <c r="S175" s="1077"/>
      <c r="T175" s="1078"/>
      <c r="U175" s="1079"/>
      <c r="V175" s="1077"/>
      <c r="W175" s="1077"/>
      <c r="X175" s="1077"/>
      <c r="Y175" s="1077"/>
    </row>
    <row r="176">
      <c r="A176" s="1068" t="s">
        <v>7268</v>
      </c>
      <c r="B176" s="1068" t="s">
        <v>794</v>
      </c>
      <c r="C176" s="1069" t="s">
        <v>792</v>
      </c>
      <c r="D176" s="1063">
        <f t="shared" si="8"/>
        <v>1</v>
      </c>
      <c r="E176" s="1070"/>
      <c r="F176" s="1073"/>
      <c r="G176" s="1073"/>
      <c r="H176" s="1071"/>
      <c r="I176" s="1073"/>
      <c r="J176" s="1073"/>
      <c r="K176" s="1072"/>
      <c r="L176" s="1072"/>
      <c r="M176" s="1072"/>
      <c r="N176" s="1071">
        <v>1.0</v>
      </c>
      <c r="O176" s="1071"/>
      <c r="P176" s="1072"/>
      <c r="Q176" s="1072"/>
      <c r="R176" s="1072"/>
      <c r="S176" s="1072"/>
      <c r="T176" s="1072"/>
      <c r="U176" s="1073"/>
      <c r="V176" s="1073"/>
      <c r="W176" s="1073"/>
      <c r="X176" s="1073"/>
      <c r="Y176" s="1073"/>
    </row>
    <row r="177">
      <c r="A177" s="1074" t="s">
        <v>7360</v>
      </c>
      <c r="B177" s="1074" t="s">
        <v>1497</v>
      </c>
      <c r="C177" s="1075" t="s">
        <v>1483</v>
      </c>
      <c r="D177" s="1063">
        <f t="shared" si="8"/>
        <v>0</v>
      </c>
      <c r="E177" s="1086"/>
      <c r="F177" s="1078"/>
      <c r="G177" s="1078"/>
      <c r="H177" s="1078"/>
      <c r="I177" s="1079"/>
      <c r="J177" s="1078"/>
      <c r="K177" s="1078"/>
      <c r="L177" s="1078"/>
      <c r="M177" s="1079"/>
      <c r="N177" s="1079"/>
      <c r="O177" s="1079"/>
      <c r="P177" s="1079"/>
      <c r="Q177" s="1079"/>
      <c r="R177" s="1079"/>
      <c r="S177" s="1079"/>
      <c r="T177" s="1079"/>
      <c r="U177" s="1077"/>
      <c r="V177" s="1079"/>
      <c r="W177" s="1077"/>
      <c r="X177" s="1077"/>
      <c r="Y177" s="1077"/>
    </row>
    <row r="178">
      <c r="A178" s="1068" t="s">
        <v>7402</v>
      </c>
      <c r="B178" s="1068" t="s">
        <v>1497</v>
      </c>
      <c r="C178" s="1069" t="s">
        <v>1483</v>
      </c>
      <c r="D178" s="1063">
        <f t="shared" si="8"/>
        <v>0</v>
      </c>
      <c r="E178" s="1084"/>
      <c r="F178" s="1071"/>
      <c r="G178" s="1071"/>
      <c r="H178" s="1071"/>
      <c r="I178" s="1072"/>
      <c r="J178" s="1073"/>
      <c r="K178" s="1071"/>
      <c r="L178" s="1073"/>
      <c r="M178" s="1073"/>
      <c r="N178" s="1071"/>
      <c r="O178" s="1072"/>
      <c r="P178" s="1073"/>
      <c r="Q178" s="1072"/>
      <c r="R178" s="1072"/>
      <c r="S178" s="1073"/>
      <c r="T178" s="1072"/>
      <c r="U178" s="1073"/>
      <c r="V178" s="1072"/>
      <c r="W178" s="1073"/>
      <c r="X178" s="1073"/>
      <c r="Y178" s="1073"/>
    </row>
    <row r="179">
      <c r="A179" s="1074" t="s">
        <v>1598</v>
      </c>
      <c r="B179" s="1074" t="s">
        <v>1600</v>
      </c>
      <c r="C179" s="1075" t="s">
        <v>1602</v>
      </c>
      <c r="D179" s="1063">
        <f t="shared" si="8"/>
        <v>0</v>
      </c>
      <c r="E179" s="1086"/>
      <c r="F179" s="1079"/>
      <c r="G179" s="1079"/>
      <c r="H179" s="1079"/>
      <c r="I179" s="1079"/>
      <c r="J179" s="1078"/>
      <c r="K179" s="1079"/>
      <c r="L179" s="1079"/>
      <c r="M179" s="1079"/>
      <c r="N179" s="1079"/>
      <c r="O179" s="1077"/>
      <c r="P179" s="1079"/>
      <c r="Q179" s="1077"/>
      <c r="R179" s="1079"/>
      <c r="S179" s="1077"/>
      <c r="T179" s="1077"/>
      <c r="U179" s="1077"/>
      <c r="V179" s="1077"/>
      <c r="W179" s="1077"/>
      <c r="X179" s="1077"/>
      <c r="Y179" s="1077"/>
    </row>
    <row r="180">
      <c r="A180" s="1068" t="s">
        <v>7467</v>
      </c>
      <c r="B180" s="1068" t="s">
        <v>1291</v>
      </c>
      <c r="C180" s="1069" t="s">
        <v>1278</v>
      </c>
      <c r="D180" s="1063">
        <f t="shared" si="8"/>
        <v>0</v>
      </c>
      <c r="E180" s="1084"/>
      <c r="F180" s="1072"/>
      <c r="G180" s="1073"/>
      <c r="H180" s="1072"/>
      <c r="I180" s="1072"/>
      <c r="J180" s="1072"/>
      <c r="K180" s="1072"/>
      <c r="L180" s="1073"/>
      <c r="M180" s="1072"/>
      <c r="N180" s="1072"/>
      <c r="O180" s="1073"/>
      <c r="P180" s="1072"/>
      <c r="Q180" s="1073"/>
      <c r="R180" s="1073"/>
      <c r="S180" s="1073"/>
      <c r="T180" s="1071"/>
      <c r="U180" s="1073"/>
      <c r="V180" s="1073"/>
      <c r="W180" s="1073"/>
      <c r="X180" s="1073"/>
      <c r="Y180" s="1073"/>
    </row>
    <row r="181">
      <c r="A181" s="1074" t="s">
        <v>7243</v>
      </c>
      <c r="B181" s="1074" t="s">
        <v>888</v>
      </c>
      <c r="C181" s="1075" t="s">
        <v>1628</v>
      </c>
      <c r="D181" s="1063">
        <f t="shared" si="8"/>
        <v>0</v>
      </c>
      <c r="E181" s="1080"/>
      <c r="F181" s="1078"/>
      <c r="G181" s="1078"/>
      <c r="H181" s="1078"/>
      <c r="I181" s="1078"/>
      <c r="J181" s="1079"/>
      <c r="K181" s="1079"/>
      <c r="L181" s="1078"/>
      <c r="M181" s="1079"/>
      <c r="N181" s="1077"/>
      <c r="O181" s="1079"/>
      <c r="P181" s="1077"/>
      <c r="Q181" s="1079"/>
      <c r="R181" s="1079"/>
      <c r="S181" s="1077"/>
      <c r="T181" s="1077"/>
      <c r="U181" s="1077"/>
      <c r="V181" s="1077"/>
      <c r="W181" s="1077"/>
      <c r="X181" s="1077"/>
      <c r="Y181" s="1077"/>
    </row>
    <row r="182">
      <c r="A182" s="1068" t="s">
        <v>531</v>
      </c>
      <c r="B182" s="1068" t="s">
        <v>532</v>
      </c>
      <c r="C182" s="1069" t="s">
        <v>446</v>
      </c>
      <c r="D182" s="1063">
        <f t="shared" si="8"/>
        <v>1</v>
      </c>
      <c r="E182" s="1070"/>
      <c r="F182" s="1073"/>
      <c r="G182" s="1071"/>
      <c r="H182" s="1071">
        <v>1.0</v>
      </c>
      <c r="I182" s="1072"/>
      <c r="J182" s="1072"/>
      <c r="K182" s="1072"/>
      <c r="L182" s="1072"/>
      <c r="M182" s="1072"/>
      <c r="N182" s="1072"/>
      <c r="O182" s="1072"/>
      <c r="P182" s="1072"/>
      <c r="Q182" s="1072"/>
      <c r="R182" s="1073"/>
      <c r="S182" s="1073"/>
      <c r="T182" s="1072"/>
      <c r="U182" s="1073"/>
      <c r="V182" s="1073"/>
      <c r="W182" s="1073"/>
      <c r="X182" s="1073"/>
      <c r="Y182" s="1073"/>
    </row>
    <row r="183">
      <c r="A183" s="1074" t="s">
        <v>7471</v>
      </c>
      <c r="B183" s="1074" t="s">
        <v>7473</v>
      </c>
      <c r="C183" s="1075" t="s">
        <v>735</v>
      </c>
      <c r="D183" s="1063">
        <f t="shared" si="8"/>
        <v>0</v>
      </c>
      <c r="E183" s="1076"/>
      <c r="F183" s="1077"/>
      <c r="G183" s="1079"/>
      <c r="H183" s="1079"/>
      <c r="I183" s="1079"/>
      <c r="J183" s="1077"/>
      <c r="K183" s="1077"/>
      <c r="L183" s="1077"/>
      <c r="M183" s="1077"/>
      <c r="N183" s="1077"/>
      <c r="O183" s="1079"/>
      <c r="P183" s="1077"/>
      <c r="Q183" s="1077"/>
      <c r="R183" s="1077"/>
      <c r="S183" s="1077"/>
      <c r="T183" s="1077"/>
      <c r="U183" s="1078"/>
      <c r="V183" s="1077"/>
      <c r="W183" s="1077"/>
      <c r="X183" s="1077"/>
      <c r="Y183" s="1077"/>
    </row>
    <row r="184">
      <c r="A184" s="1068" t="s">
        <v>7316</v>
      </c>
      <c r="B184" s="1068" t="s">
        <v>1829</v>
      </c>
      <c r="C184" s="1069" t="s">
        <v>1646</v>
      </c>
      <c r="D184" s="1063">
        <f t="shared" si="8"/>
        <v>0</v>
      </c>
      <c r="E184" s="1084"/>
      <c r="F184" s="1071"/>
      <c r="G184" s="1071"/>
      <c r="H184" s="1072"/>
      <c r="I184" s="1071"/>
      <c r="J184" s="1071"/>
      <c r="K184" s="1072"/>
      <c r="L184" s="1071"/>
      <c r="M184" s="1073"/>
      <c r="N184" s="1073"/>
      <c r="O184" s="1072"/>
      <c r="P184" s="1072"/>
      <c r="Q184" s="1073"/>
      <c r="R184" s="1073"/>
      <c r="S184" s="1072"/>
      <c r="T184" s="1072"/>
      <c r="U184" s="1073"/>
      <c r="V184" s="1073"/>
      <c r="W184" s="1073"/>
      <c r="X184" s="1073"/>
      <c r="Y184" s="1071"/>
    </row>
    <row r="185">
      <c r="A185" s="1074" t="s">
        <v>7476</v>
      </c>
      <c r="B185" s="1074" t="s">
        <v>1679</v>
      </c>
      <c r="C185" s="1075" t="s">
        <v>1646</v>
      </c>
      <c r="D185" s="1063">
        <f t="shared" si="8"/>
        <v>0</v>
      </c>
      <c r="E185" s="1086"/>
      <c r="F185" s="1077"/>
      <c r="G185" s="1077"/>
      <c r="H185" s="1079"/>
      <c r="I185" s="1079"/>
      <c r="J185" s="1078"/>
      <c r="K185" s="1078"/>
      <c r="L185" s="1079"/>
      <c r="M185" s="1079"/>
      <c r="N185" s="1079"/>
      <c r="O185" s="1079"/>
      <c r="P185" s="1077"/>
      <c r="Q185" s="1079"/>
      <c r="R185" s="1077"/>
      <c r="S185" s="1077"/>
      <c r="T185" s="1077"/>
      <c r="U185" s="1077"/>
      <c r="V185" s="1077"/>
      <c r="W185" s="1078"/>
      <c r="X185" s="1077"/>
      <c r="Y185" s="1078"/>
    </row>
    <row r="186">
      <c r="A186" s="1068" t="s">
        <v>7407</v>
      </c>
      <c r="B186" s="1068" t="s">
        <v>1061</v>
      </c>
      <c r="C186" s="1069" t="s">
        <v>1958</v>
      </c>
      <c r="D186" s="1063">
        <f t="shared" si="8"/>
        <v>0</v>
      </c>
      <c r="E186" s="1084"/>
      <c r="F186" s="1072"/>
      <c r="G186" s="1072"/>
      <c r="H186" s="1071"/>
      <c r="I186" s="1072"/>
      <c r="J186" s="1071"/>
      <c r="K186" s="1071"/>
      <c r="L186" s="1072"/>
      <c r="M186" s="1071"/>
      <c r="N186" s="1072"/>
      <c r="O186" s="1072"/>
      <c r="P186" s="1072"/>
      <c r="Q186" s="1072"/>
      <c r="R186" s="1072"/>
      <c r="S186" s="1072"/>
      <c r="T186" s="1072"/>
      <c r="U186" s="1072"/>
      <c r="V186" s="1072"/>
      <c r="W186" s="1072"/>
      <c r="X186" s="1072"/>
      <c r="Y186" s="1071"/>
    </row>
    <row r="187">
      <c r="A187" s="1074" t="s">
        <v>7369</v>
      </c>
      <c r="B187" s="1074" t="s">
        <v>1102</v>
      </c>
      <c r="C187" s="1075" t="s">
        <v>1958</v>
      </c>
      <c r="D187" s="1063">
        <f t="shared" si="8"/>
        <v>0</v>
      </c>
      <c r="E187" s="1086"/>
      <c r="F187" s="1077"/>
      <c r="G187" s="1078"/>
      <c r="H187" s="1077"/>
      <c r="I187" s="1079"/>
      <c r="J187" s="1077"/>
      <c r="K187" s="1077"/>
      <c r="L187" s="1077"/>
      <c r="M187" s="1077"/>
      <c r="N187" s="1078"/>
      <c r="O187" s="1078"/>
      <c r="P187" s="1077"/>
      <c r="Q187" s="1077"/>
      <c r="R187" s="1077"/>
      <c r="S187" s="1077"/>
      <c r="T187" s="1077"/>
      <c r="U187" s="1077"/>
      <c r="V187" s="1079"/>
      <c r="W187" s="1077"/>
      <c r="X187" s="1077"/>
      <c r="Y187" s="1077"/>
    </row>
    <row r="188">
      <c r="A188" s="1130" t="s">
        <v>1142</v>
      </c>
      <c r="B188" s="1131" t="s">
        <v>19</v>
      </c>
      <c r="C188" s="1132" t="s">
        <v>25</v>
      </c>
      <c r="D188" s="1133" t="s">
        <v>7482</v>
      </c>
      <c r="E188" s="1134" t="s">
        <v>7483</v>
      </c>
      <c r="F188" s="1135" t="s">
        <v>7484</v>
      </c>
      <c r="G188" s="1135" t="s">
        <v>7485</v>
      </c>
      <c r="H188" s="1136" t="s">
        <v>7486</v>
      </c>
      <c r="I188" s="1136" t="s">
        <v>7487</v>
      </c>
      <c r="J188" s="1136" t="s">
        <v>7488</v>
      </c>
      <c r="K188" s="1136" t="s">
        <v>7490</v>
      </c>
      <c r="L188" s="1136" t="s">
        <v>7492</v>
      </c>
      <c r="M188" s="1136" t="s">
        <v>7493</v>
      </c>
      <c r="N188" s="1135" t="s">
        <v>7494</v>
      </c>
      <c r="O188" s="1136" t="s">
        <v>7495</v>
      </c>
      <c r="P188" s="1136" t="s">
        <v>7496</v>
      </c>
      <c r="Q188" s="1136" t="s">
        <v>7497</v>
      </c>
      <c r="R188" s="1136" t="s">
        <v>7498</v>
      </c>
      <c r="S188" s="1136" t="s">
        <v>7499</v>
      </c>
      <c r="T188" s="1135" t="s">
        <v>7500</v>
      </c>
      <c r="U188" s="1135" t="s">
        <v>7501</v>
      </c>
      <c r="V188" s="1135" t="s">
        <v>7502</v>
      </c>
      <c r="W188" s="1135" t="s">
        <v>7503</v>
      </c>
      <c r="X188" s="1135" t="s">
        <v>7504</v>
      </c>
      <c r="Y188" s="1137" t="s">
        <v>7505</v>
      </c>
    </row>
    <row r="189">
      <c r="A189" s="1074" t="s">
        <v>7506</v>
      </c>
      <c r="B189" s="1074" t="s">
        <v>371</v>
      </c>
      <c r="C189" s="1075" t="s">
        <v>366</v>
      </c>
      <c r="D189" s="1063">
        <f t="shared" ref="D189:D199" si="9">SUM(E189:Y189)</f>
        <v>0</v>
      </c>
      <c r="E189" s="1086"/>
      <c r="F189" s="1077"/>
      <c r="G189" s="1078"/>
      <c r="H189" s="1078"/>
      <c r="I189" s="1079"/>
      <c r="J189" s="1079"/>
      <c r="K189" s="1079"/>
      <c r="L189" s="1079"/>
      <c r="M189" s="1079"/>
      <c r="N189" s="1079"/>
      <c r="O189" s="1079"/>
      <c r="P189" s="1079"/>
      <c r="Q189" s="1079"/>
      <c r="R189" s="1079"/>
      <c r="S189" s="1079"/>
      <c r="T189" s="1079"/>
      <c r="U189" s="1077"/>
      <c r="V189" s="1079"/>
      <c r="W189" s="1077"/>
      <c r="X189" s="1077"/>
      <c r="Y189" s="1077"/>
    </row>
    <row r="190">
      <c r="A190" s="1068" t="s">
        <v>7416</v>
      </c>
      <c r="B190" s="1068" t="s">
        <v>209</v>
      </c>
      <c r="C190" s="1069" t="s">
        <v>114</v>
      </c>
      <c r="D190" s="1063">
        <f t="shared" si="9"/>
        <v>1</v>
      </c>
      <c r="E190" s="1070"/>
      <c r="F190" s="1071"/>
      <c r="G190" s="1072"/>
      <c r="H190" s="1071"/>
      <c r="I190" s="1072"/>
      <c r="J190" s="1071"/>
      <c r="K190" s="1071">
        <v>1.0</v>
      </c>
      <c r="L190" s="1072"/>
      <c r="M190" s="1072"/>
      <c r="N190" s="1071"/>
      <c r="O190" s="1073"/>
      <c r="P190" s="1073"/>
      <c r="Q190" s="1073"/>
      <c r="R190" s="1072"/>
      <c r="S190" s="1073"/>
      <c r="T190" s="1073"/>
      <c r="U190" s="1073"/>
      <c r="V190" s="1073"/>
      <c r="W190" s="1073"/>
      <c r="X190" s="1073"/>
      <c r="Y190" s="1073"/>
    </row>
    <row r="191" ht="20.25" customHeight="1">
      <c r="A191" s="1074" t="s">
        <v>7404</v>
      </c>
      <c r="B191" s="1074" t="s">
        <v>1845</v>
      </c>
      <c r="C191" s="1075" t="s">
        <v>1646</v>
      </c>
      <c r="D191" s="1063">
        <f t="shared" si="9"/>
        <v>0</v>
      </c>
      <c r="E191" s="1086"/>
      <c r="F191" s="1079"/>
      <c r="G191" s="1079"/>
      <c r="H191" s="1079"/>
      <c r="I191" s="1079"/>
      <c r="J191" s="1079"/>
      <c r="K191" s="1078"/>
      <c r="L191" s="1079"/>
      <c r="M191" s="1078"/>
      <c r="N191" s="1079"/>
      <c r="O191" s="1079"/>
      <c r="P191" s="1079"/>
      <c r="Q191" s="1079"/>
      <c r="R191" s="1079"/>
      <c r="S191" s="1079"/>
      <c r="T191" s="1077"/>
      <c r="U191" s="1077"/>
      <c r="V191" s="1077"/>
      <c r="W191" s="1079"/>
      <c r="X191" s="1077"/>
      <c r="Y191" s="1077"/>
    </row>
    <row r="192">
      <c r="A192" s="1068" t="s">
        <v>7331</v>
      </c>
      <c r="B192" s="1068" t="s">
        <v>655</v>
      </c>
      <c r="C192" s="1069" t="s">
        <v>656</v>
      </c>
      <c r="D192" s="1063">
        <f t="shared" si="9"/>
        <v>1</v>
      </c>
      <c r="E192" s="1084"/>
      <c r="F192" s="1072"/>
      <c r="G192" s="1071"/>
      <c r="H192" s="1071"/>
      <c r="I192" s="1071"/>
      <c r="J192" s="1071"/>
      <c r="K192" s="1071"/>
      <c r="L192" s="1071"/>
      <c r="M192" s="1071"/>
      <c r="N192" s="1071"/>
      <c r="O192" s="1073"/>
      <c r="P192" s="1071">
        <v>1.0</v>
      </c>
      <c r="Q192" s="1073"/>
      <c r="R192" s="1073"/>
      <c r="S192" s="1073"/>
      <c r="T192" s="1073"/>
      <c r="U192" s="1073"/>
      <c r="V192" s="1073"/>
      <c r="W192" s="1073"/>
      <c r="X192" s="1073"/>
      <c r="Y192" s="1073"/>
    </row>
    <row r="193">
      <c r="A193" s="1087" t="s">
        <v>7513</v>
      </c>
      <c r="B193" s="1074" t="s">
        <v>1212</v>
      </c>
      <c r="C193" s="1075" t="s">
        <v>1157</v>
      </c>
      <c r="D193" s="1063">
        <f t="shared" si="9"/>
        <v>0</v>
      </c>
      <c r="E193" s="1076"/>
      <c r="F193" s="1078"/>
      <c r="G193" s="1077"/>
      <c r="H193" s="1079"/>
      <c r="I193" s="1079"/>
      <c r="J193" s="1079"/>
      <c r="K193" s="1079"/>
      <c r="L193" s="1079"/>
      <c r="M193" s="1079"/>
      <c r="N193" s="1078"/>
      <c r="O193" s="1079"/>
      <c r="P193" s="1078"/>
      <c r="Q193" s="1077"/>
      <c r="R193" s="1079"/>
      <c r="S193" s="1077"/>
      <c r="T193" s="1077"/>
      <c r="U193" s="1079"/>
      <c r="V193" s="1077"/>
      <c r="W193" s="1077"/>
      <c r="X193" s="1077"/>
      <c r="Y193" s="1077"/>
    </row>
    <row r="194">
      <c r="A194" s="1068" t="s">
        <v>7516</v>
      </c>
      <c r="B194" s="1068" t="s">
        <v>7517</v>
      </c>
      <c r="C194" s="1138" t="s">
        <v>1157</v>
      </c>
      <c r="D194" s="1063">
        <f t="shared" si="9"/>
        <v>0</v>
      </c>
      <c r="E194" s="1084"/>
      <c r="F194" s="1073"/>
      <c r="G194" s="1073"/>
      <c r="H194" s="1072"/>
      <c r="I194" s="1072"/>
      <c r="J194" s="1072"/>
      <c r="K194" s="1072"/>
      <c r="L194" s="1072"/>
      <c r="M194" s="1072"/>
      <c r="N194" s="1073"/>
      <c r="O194" s="1073"/>
      <c r="P194" s="1072"/>
      <c r="Q194" s="1073"/>
      <c r="R194" s="1072"/>
      <c r="S194" s="1073"/>
      <c r="T194" s="1072"/>
      <c r="U194" s="1073"/>
      <c r="V194" s="1072"/>
      <c r="W194" s="1073"/>
      <c r="X194" s="1073"/>
      <c r="Y194" s="1073"/>
    </row>
    <row r="195">
      <c r="A195" s="1074" t="s">
        <v>7436</v>
      </c>
      <c r="B195" s="1074" t="s">
        <v>438</v>
      </c>
      <c r="C195" s="1075" t="s">
        <v>1157</v>
      </c>
      <c r="D195" s="1063">
        <f t="shared" si="9"/>
        <v>0</v>
      </c>
      <c r="E195" s="1080"/>
      <c r="F195" s="1078"/>
      <c r="G195" s="1078"/>
      <c r="H195" s="1078"/>
      <c r="I195" s="1079"/>
      <c r="J195" s="1079"/>
      <c r="K195" s="1079"/>
      <c r="L195" s="1078"/>
      <c r="M195" s="1079"/>
      <c r="N195" s="1078"/>
      <c r="O195" s="1079"/>
      <c r="P195" s="1077"/>
      <c r="Q195" s="1077"/>
      <c r="R195" s="1077"/>
      <c r="S195" s="1077"/>
      <c r="T195" s="1077"/>
      <c r="U195" s="1077"/>
      <c r="V195" s="1077"/>
      <c r="W195" s="1079"/>
      <c r="X195" s="1079"/>
      <c r="Y195" s="1079"/>
    </row>
    <row r="196" ht="16.5" customHeight="1">
      <c r="A196" s="1068" t="s">
        <v>7337</v>
      </c>
      <c r="B196" s="1068" t="s">
        <v>1222</v>
      </c>
      <c r="C196" s="1069" t="s">
        <v>1157</v>
      </c>
      <c r="D196" s="1063">
        <f t="shared" si="9"/>
        <v>0</v>
      </c>
      <c r="E196" s="1070"/>
      <c r="F196" s="1073"/>
      <c r="G196" s="1073"/>
      <c r="H196" s="1072"/>
      <c r="I196" s="1071"/>
      <c r="J196" s="1072"/>
      <c r="K196" s="1072"/>
      <c r="L196" s="1072"/>
      <c r="M196" s="1073"/>
      <c r="N196" s="1072"/>
      <c r="O196" s="1072"/>
      <c r="P196" s="1072"/>
      <c r="Q196" s="1072"/>
      <c r="R196" s="1072"/>
      <c r="S196" s="1073"/>
      <c r="T196" s="1072"/>
      <c r="U196" s="1073"/>
      <c r="V196" s="1072"/>
      <c r="W196" s="1072"/>
      <c r="X196" s="1073"/>
      <c r="Y196" s="1073"/>
    </row>
    <row r="197">
      <c r="A197" s="1074" t="s">
        <v>7377</v>
      </c>
      <c r="B197" s="1074" t="s">
        <v>333</v>
      </c>
      <c r="C197" s="1075" t="s">
        <v>316</v>
      </c>
      <c r="D197" s="1063">
        <f t="shared" si="9"/>
        <v>0</v>
      </c>
      <c r="E197" s="1080"/>
      <c r="F197" s="1078"/>
      <c r="G197" s="1078"/>
      <c r="H197" s="1078"/>
      <c r="I197" s="1079"/>
      <c r="J197" s="1079"/>
      <c r="K197" s="1079"/>
      <c r="L197" s="1079"/>
      <c r="M197" s="1079"/>
      <c r="N197" s="1079"/>
      <c r="O197" s="1077"/>
      <c r="P197" s="1079"/>
      <c r="Q197" s="1079"/>
      <c r="R197" s="1079"/>
      <c r="S197" s="1077"/>
      <c r="T197" s="1077"/>
      <c r="U197" s="1077"/>
      <c r="V197" s="1077"/>
      <c r="W197" s="1077"/>
      <c r="X197" s="1077"/>
      <c r="Y197" s="1077"/>
    </row>
    <row r="198">
      <c r="A198" s="1068" t="s">
        <v>7523</v>
      </c>
      <c r="B198" s="1068" t="s">
        <v>1627</v>
      </c>
      <c r="C198" s="1069" t="s">
        <v>1628</v>
      </c>
      <c r="D198" s="1063">
        <f t="shared" si="9"/>
        <v>0</v>
      </c>
      <c r="E198" s="1084"/>
      <c r="F198" s="1072"/>
      <c r="G198" s="1071"/>
      <c r="H198" s="1072"/>
      <c r="I198" s="1071"/>
      <c r="J198" s="1071"/>
      <c r="K198" s="1072"/>
      <c r="L198" s="1072"/>
      <c r="M198" s="1072"/>
      <c r="N198" s="1072"/>
      <c r="O198" s="1073"/>
      <c r="P198" s="1073"/>
      <c r="Q198" s="1073"/>
      <c r="R198" s="1073"/>
      <c r="S198" s="1073"/>
      <c r="T198" s="1073"/>
      <c r="U198" s="1073"/>
      <c r="V198" s="1073"/>
      <c r="W198" s="1073"/>
      <c r="X198" s="1073"/>
      <c r="Y198" s="1073"/>
    </row>
    <row r="199">
      <c r="A199" s="1074" t="s">
        <v>7525</v>
      </c>
      <c r="B199" s="1074" t="s">
        <v>212</v>
      </c>
      <c r="C199" s="1075" t="s">
        <v>114</v>
      </c>
      <c r="D199" s="1063">
        <f t="shared" si="9"/>
        <v>0</v>
      </c>
      <c r="E199" s="1086"/>
      <c r="F199" s="1079"/>
      <c r="G199" s="1101"/>
      <c r="H199" s="1101"/>
      <c r="I199" s="1079"/>
      <c r="J199" s="1079"/>
      <c r="K199" s="1079"/>
      <c r="L199" s="1079"/>
      <c r="M199" s="1079"/>
      <c r="N199" s="1079"/>
      <c r="O199" s="1079"/>
      <c r="P199" s="1077"/>
      <c r="Q199" s="1077"/>
      <c r="R199" s="1079"/>
      <c r="S199" s="1077"/>
      <c r="T199" s="1077"/>
      <c r="U199" s="1079"/>
      <c r="V199" s="1077"/>
      <c r="W199" s="1077"/>
      <c r="X199" s="1077"/>
      <c r="Y199" s="1078"/>
    </row>
    <row r="200">
      <c r="A200" s="1068" t="s">
        <v>7300</v>
      </c>
      <c r="B200" s="1068" t="s">
        <v>217</v>
      </c>
      <c r="C200" s="1069" t="s">
        <v>114</v>
      </c>
      <c r="D200" s="1098">
        <v>0.0</v>
      </c>
      <c r="E200" s="1070"/>
      <c r="F200" s="1072"/>
      <c r="G200" s="1071"/>
      <c r="H200" s="1071"/>
      <c r="I200" s="1072"/>
      <c r="J200" s="1072"/>
      <c r="K200" s="1072"/>
      <c r="L200" s="1072"/>
      <c r="M200" s="1072"/>
      <c r="N200" s="1072"/>
      <c r="O200" s="1072"/>
      <c r="P200" s="1073"/>
      <c r="Q200" s="1073"/>
      <c r="R200" s="1073"/>
      <c r="S200" s="1073"/>
      <c r="T200" s="1073"/>
      <c r="U200" s="1073"/>
      <c r="V200" s="1073"/>
      <c r="W200" s="1073"/>
      <c r="X200" s="1073"/>
      <c r="Y200" s="1073"/>
    </row>
    <row r="201">
      <c r="A201" s="1074" t="s">
        <v>7405</v>
      </c>
      <c r="B201" s="1074" t="s">
        <v>1679</v>
      </c>
      <c r="C201" s="1075" t="s">
        <v>1646</v>
      </c>
      <c r="D201" s="1063">
        <f t="shared" ref="D201:D217" si="10">SUM(E201:Y201)</f>
        <v>0</v>
      </c>
      <c r="E201" s="1086"/>
      <c r="F201" s="1078"/>
      <c r="G201" s="1078"/>
      <c r="H201" s="1078"/>
      <c r="I201" s="1079"/>
      <c r="J201" s="1079"/>
      <c r="K201" s="1078"/>
      <c r="L201" s="1079"/>
      <c r="M201" s="1077"/>
      <c r="N201" s="1079"/>
      <c r="O201" s="1079"/>
      <c r="P201" s="1077"/>
      <c r="Q201" s="1077"/>
      <c r="R201" s="1079"/>
      <c r="S201" s="1077"/>
      <c r="T201" s="1077"/>
      <c r="U201" s="1077"/>
      <c r="V201" s="1077"/>
      <c r="W201" s="1077"/>
      <c r="X201" s="1077"/>
      <c r="Y201" s="1077"/>
    </row>
    <row r="202">
      <c r="A202" s="1068" t="s">
        <v>7472</v>
      </c>
      <c r="B202" s="1068" t="s">
        <v>862</v>
      </c>
      <c r="C202" s="1069" t="s">
        <v>857</v>
      </c>
      <c r="D202" s="1063">
        <f t="shared" si="10"/>
        <v>0</v>
      </c>
      <c r="E202" s="1070"/>
      <c r="F202" s="1072"/>
      <c r="G202" s="1071"/>
      <c r="H202" s="1071"/>
      <c r="I202" s="1071"/>
      <c r="J202" s="1072"/>
      <c r="K202" s="1072"/>
      <c r="L202" s="1071"/>
      <c r="M202" s="1072"/>
      <c r="N202" s="1072"/>
      <c r="O202" s="1072"/>
      <c r="P202" s="1073"/>
      <c r="Q202" s="1072"/>
      <c r="R202" s="1072"/>
      <c r="S202" s="1073"/>
      <c r="T202" s="1072"/>
      <c r="U202" s="1073"/>
      <c r="V202" s="1073"/>
      <c r="W202" s="1073"/>
      <c r="X202" s="1073"/>
      <c r="Y202" s="1071"/>
    </row>
    <row r="203">
      <c r="A203" s="1074" t="s">
        <v>7526</v>
      </c>
      <c r="B203" s="1074" t="s">
        <v>700</v>
      </c>
      <c r="C203" s="1075" t="s">
        <v>656</v>
      </c>
      <c r="D203" s="1063">
        <f t="shared" si="10"/>
        <v>0</v>
      </c>
      <c r="E203" s="1076"/>
      <c r="F203" s="1078"/>
      <c r="G203" s="1077"/>
      <c r="H203" s="1078"/>
      <c r="I203" s="1078"/>
      <c r="J203" s="1079"/>
      <c r="K203" s="1079"/>
      <c r="L203" s="1079"/>
      <c r="M203" s="1079"/>
      <c r="N203" s="1079"/>
      <c r="O203" s="1079"/>
      <c r="P203" s="1077"/>
      <c r="Q203" s="1077"/>
      <c r="R203" s="1079"/>
      <c r="S203" s="1079"/>
      <c r="T203" s="1077"/>
      <c r="U203" s="1077"/>
      <c r="V203" s="1077"/>
      <c r="W203" s="1077"/>
      <c r="X203" s="1077"/>
      <c r="Y203" s="1077"/>
    </row>
    <row r="204">
      <c r="A204" s="1068" t="s">
        <v>7427</v>
      </c>
      <c r="B204" s="1068" t="s">
        <v>979</v>
      </c>
      <c r="C204" s="1069" t="s">
        <v>895</v>
      </c>
      <c r="D204" s="1063">
        <f t="shared" si="10"/>
        <v>0</v>
      </c>
      <c r="E204" s="1082"/>
      <c r="F204" s="1073"/>
      <c r="G204" s="1073"/>
      <c r="H204" s="1072"/>
      <c r="I204" s="1072"/>
      <c r="J204" s="1071"/>
      <c r="K204" s="1072"/>
      <c r="L204" s="1072"/>
      <c r="M204" s="1072"/>
      <c r="N204" s="1072"/>
      <c r="O204" s="1071"/>
      <c r="P204" s="1073"/>
      <c r="Q204" s="1072"/>
      <c r="R204" s="1073"/>
      <c r="S204" s="1073"/>
      <c r="T204" s="1073"/>
      <c r="U204" s="1073"/>
      <c r="V204" s="1072"/>
      <c r="W204" s="1073"/>
      <c r="X204" s="1073"/>
      <c r="Y204" s="1073"/>
    </row>
    <row r="205">
      <c r="A205" s="1074" t="s">
        <v>1981</v>
      </c>
      <c r="B205" s="1074" t="s">
        <v>1983</v>
      </c>
      <c r="C205" s="1075" t="s">
        <v>1958</v>
      </c>
      <c r="D205" s="1063">
        <f t="shared" si="10"/>
        <v>0</v>
      </c>
      <c r="E205" s="1086"/>
      <c r="F205" s="1078"/>
      <c r="G205" s="1079"/>
      <c r="H205" s="1077"/>
      <c r="I205" s="1079"/>
      <c r="J205" s="1079"/>
      <c r="K205" s="1079"/>
      <c r="L205" s="1079"/>
      <c r="M205" s="1078"/>
      <c r="N205" s="1079"/>
      <c r="O205" s="1079"/>
      <c r="P205" s="1077"/>
      <c r="Q205" s="1079"/>
      <c r="R205" s="1079"/>
      <c r="S205" s="1079"/>
      <c r="T205" s="1077"/>
      <c r="U205" s="1079"/>
      <c r="V205" s="1077"/>
      <c r="W205" s="1077"/>
      <c r="X205" s="1077"/>
      <c r="Y205" s="1077"/>
    </row>
    <row r="206">
      <c r="A206" s="1068" t="s">
        <v>7428</v>
      </c>
      <c r="B206" s="1068" t="s">
        <v>1005</v>
      </c>
      <c r="C206" s="1069" t="s">
        <v>895</v>
      </c>
      <c r="D206" s="1063">
        <f t="shared" si="10"/>
        <v>1</v>
      </c>
      <c r="E206" s="1084"/>
      <c r="F206" s="1072"/>
      <c r="G206" s="1071">
        <v>1.0</v>
      </c>
      <c r="H206" s="1072"/>
      <c r="I206" s="1072"/>
      <c r="J206" s="1072"/>
      <c r="K206" s="1072"/>
      <c r="L206" s="1072"/>
      <c r="M206" s="1072"/>
      <c r="N206" s="1072"/>
      <c r="O206" s="1072"/>
      <c r="P206" s="1073"/>
      <c r="Q206" s="1072"/>
      <c r="R206" s="1072"/>
      <c r="S206" s="1073"/>
      <c r="T206" s="1073"/>
      <c r="U206" s="1073"/>
      <c r="V206" s="1073"/>
      <c r="W206" s="1073"/>
      <c r="X206" s="1073"/>
      <c r="Y206" s="1073"/>
    </row>
    <row r="207">
      <c r="A207" s="1074" t="s">
        <v>7530</v>
      </c>
      <c r="B207" s="1074" t="s">
        <v>862</v>
      </c>
      <c r="C207" s="1075" t="s">
        <v>857</v>
      </c>
      <c r="D207" s="1063">
        <f t="shared" si="10"/>
        <v>0</v>
      </c>
      <c r="E207" s="1076"/>
      <c r="F207" s="1077"/>
      <c r="G207" s="1077"/>
      <c r="H207" s="1078"/>
      <c r="I207" s="1077"/>
      <c r="J207" s="1077"/>
      <c r="K207" s="1077"/>
      <c r="L207" s="1079"/>
      <c r="M207" s="1077"/>
      <c r="N207" s="1077"/>
      <c r="O207" s="1077"/>
      <c r="P207" s="1077"/>
      <c r="Q207" s="1079"/>
      <c r="R207" s="1079"/>
      <c r="S207" s="1079"/>
      <c r="T207" s="1079"/>
      <c r="U207" s="1077"/>
      <c r="V207" s="1077"/>
      <c r="W207" s="1077"/>
      <c r="X207" s="1077"/>
      <c r="Y207" s="1077"/>
    </row>
    <row r="208">
      <c r="A208" s="1068" t="s">
        <v>7531</v>
      </c>
      <c r="B208" s="1068" t="s">
        <v>1288</v>
      </c>
      <c r="C208" s="1069" t="s">
        <v>1278</v>
      </c>
      <c r="D208" s="1063">
        <f t="shared" si="10"/>
        <v>0</v>
      </c>
      <c r="E208" s="1082"/>
      <c r="F208" s="1073"/>
      <c r="G208" s="1072"/>
      <c r="H208" s="1072"/>
      <c r="I208" s="1073"/>
      <c r="J208" s="1072"/>
      <c r="K208" s="1072"/>
      <c r="L208" s="1072"/>
      <c r="M208" s="1073"/>
      <c r="N208" s="1073"/>
      <c r="O208" s="1072"/>
      <c r="P208" s="1073"/>
      <c r="Q208" s="1073"/>
      <c r="R208" s="1073"/>
      <c r="S208" s="1073"/>
      <c r="T208" s="1073"/>
      <c r="U208" s="1073"/>
      <c r="V208" s="1073"/>
      <c r="W208" s="1073"/>
      <c r="X208" s="1072"/>
      <c r="Y208" s="1072"/>
    </row>
    <row r="209">
      <c r="A209" s="1074" t="s">
        <v>7532</v>
      </c>
      <c r="B209" s="1074" t="s">
        <v>1528</v>
      </c>
      <c r="C209" s="1075" t="s">
        <v>1483</v>
      </c>
      <c r="D209" s="1063">
        <f t="shared" si="10"/>
        <v>0</v>
      </c>
      <c r="E209" s="1086"/>
      <c r="F209" s="1079"/>
      <c r="G209" s="1077"/>
      <c r="H209" s="1079"/>
      <c r="I209" s="1079"/>
      <c r="J209" s="1077"/>
      <c r="K209" s="1079"/>
      <c r="L209" s="1079"/>
      <c r="M209" s="1077"/>
      <c r="N209" s="1079"/>
      <c r="O209" s="1079"/>
      <c r="P209" s="1079"/>
      <c r="Q209" s="1079"/>
      <c r="R209" s="1079"/>
      <c r="S209" s="1077"/>
      <c r="T209" s="1079"/>
      <c r="U209" s="1077"/>
      <c r="V209" s="1079"/>
      <c r="W209" s="1077"/>
      <c r="X209" s="1077"/>
      <c r="Y209" s="1077"/>
    </row>
    <row r="210">
      <c r="A210" s="1068" t="s">
        <v>7533</v>
      </c>
      <c r="B210" s="1068" t="s">
        <v>816</v>
      </c>
      <c r="C210" s="1069" t="s">
        <v>812</v>
      </c>
      <c r="D210" s="1063">
        <f t="shared" si="10"/>
        <v>0</v>
      </c>
      <c r="E210" s="1084"/>
      <c r="F210" s="1073"/>
      <c r="G210" s="1071"/>
      <c r="H210" s="1072"/>
      <c r="I210" s="1072"/>
      <c r="J210" s="1072"/>
      <c r="K210" s="1072"/>
      <c r="L210" s="1072"/>
      <c r="M210" s="1072"/>
      <c r="N210" s="1072"/>
      <c r="O210" s="1072"/>
      <c r="P210" s="1073"/>
      <c r="Q210" s="1072"/>
      <c r="R210" s="1072"/>
      <c r="S210" s="1072"/>
      <c r="T210" s="1072"/>
      <c r="U210" s="1073"/>
      <c r="V210" s="1073"/>
      <c r="W210" s="1073"/>
      <c r="X210" s="1073"/>
      <c r="Y210" s="1073"/>
    </row>
    <row r="211">
      <c r="A211" s="1074" t="s">
        <v>7535</v>
      </c>
      <c r="B211" s="1074" t="s">
        <v>1230</v>
      </c>
      <c r="C211" s="1075" t="s">
        <v>1157</v>
      </c>
      <c r="D211" s="1063">
        <f t="shared" si="10"/>
        <v>0</v>
      </c>
      <c r="E211" s="1080"/>
      <c r="F211" s="1079"/>
      <c r="G211" s="1079"/>
      <c r="H211" s="1079"/>
      <c r="I211" s="1077"/>
      <c r="J211" s="1077"/>
      <c r="K211" s="1077"/>
      <c r="L211" s="1079"/>
      <c r="M211" s="1077"/>
      <c r="N211" s="1079"/>
      <c r="O211" s="1077"/>
      <c r="P211" s="1077"/>
      <c r="Q211" s="1077"/>
      <c r="R211" s="1079"/>
      <c r="S211" s="1077"/>
      <c r="T211" s="1077"/>
      <c r="U211" s="1077"/>
      <c r="V211" s="1077"/>
      <c r="W211" s="1077"/>
      <c r="X211" s="1077"/>
      <c r="Y211" s="1078"/>
    </row>
    <row r="212">
      <c r="A212" s="1068" t="s">
        <v>7429</v>
      </c>
      <c r="B212" s="1068" t="s">
        <v>1071</v>
      </c>
      <c r="C212" s="1069" t="s">
        <v>1051</v>
      </c>
      <c r="D212" s="1063">
        <f t="shared" si="10"/>
        <v>0</v>
      </c>
      <c r="E212" s="1070"/>
      <c r="F212" s="1071"/>
      <c r="G212" s="1072"/>
      <c r="H212" s="1072"/>
      <c r="I212" s="1072"/>
      <c r="J212" s="1071"/>
      <c r="K212" s="1073"/>
      <c r="L212" s="1071"/>
      <c r="M212" s="1073"/>
      <c r="N212" s="1072"/>
      <c r="O212" s="1073"/>
      <c r="P212" s="1072"/>
      <c r="Q212" s="1073"/>
      <c r="R212" s="1073"/>
      <c r="S212" s="1072"/>
      <c r="T212" s="1073"/>
      <c r="U212" s="1073"/>
      <c r="V212" s="1073"/>
      <c r="W212" s="1073"/>
      <c r="X212" s="1073"/>
      <c r="Y212" s="1073"/>
    </row>
    <row r="213">
      <c r="A213" s="1074" t="s">
        <v>7406</v>
      </c>
      <c r="B213" s="1074" t="s">
        <v>1870</v>
      </c>
      <c r="C213" s="1075" t="s">
        <v>1646</v>
      </c>
      <c r="D213" s="1063">
        <f t="shared" si="10"/>
        <v>0</v>
      </c>
      <c r="E213" s="1080"/>
      <c r="F213" s="1078"/>
      <c r="G213" s="1079"/>
      <c r="H213" s="1077"/>
      <c r="I213" s="1079"/>
      <c r="J213" s="1079"/>
      <c r="K213" s="1079"/>
      <c r="L213" s="1079"/>
      <c r="M213" s="1079"/>
      <c r="N213" s="1079"/>
      <c r="O213" s="1079"/>
      <c r="P213" s="1079"/>
      <c r="Q213" s="1077"/>
      <c r="R213" s="1079"/>
      <c r="S213" s="1077"/>
      <c r="T213" s="1079"/>
      <c r="U213" s="1079"/>
      <c r="V213" s="1079"/>
      <c r="W213" s="1079"/>
      <c r="X213" s="1077"/>
      <c r="Y213" s="1077"/>
    </row>
    <row r="214">
      <c r="A214" s="1068" t="s">
        <v>7420</v>
      </c>
      <c r="B214" s="1068" t="s">
        <v>371</v>
      </c>
      <c r="C214" s="1069" t="s">
        <v>366</v>
      </c>
      <c r="D214" s="1063">
        <f t="shared" si="10"/>
        <v>0</v>
      </c>
      <c r="E214" s="1084"/>
      <c r="F214" s="1073"/>
      <c r="G214" s="1073"/>
      <c r="H214" s="1071"/>
      <c r="I214" s="1072"/>
      <c r="J214" s="1072"/>
      <c r="K214" s="1071"/>
      <c r="L214" s="1073"/>
      <c r="M214" s="1072"/>
      <c r="N214" s="1072"/>
      <c r="O214" s="1073"/>
      <c r="P214" s="1072"/>
      <c r="Q214" s="1072"/>
      <c r="R214" s="1072"/>
      <c r="S214" s="1072"/>
      <c r="T214" s="1072"/>
      <c r="U214" s="1073"/>
      <c r="V214" s="1072"/>
      <c r="W214" s="1073"/>
      <c r="X214" s="1073"/>
      <c r="Y214" s="1073"/>
    </row>
    <row r="215">
      <c r="A215" s="1074" t="s">
        <v>7408</v>
      </c>
      <c r="B215" s="1074" t="s">
        <v>2099</v>
      </c>
      <c r="C215" s="1075" t="s">
        <v>2045</v>
      </c>
      <c r="D215" s="1063">
        <f t="shared" si="10"/>
        <v>0</v>
      </c>
      <c r="E215" s="1080"/>
      <c r="F215" s="1078"/>
      <c r="G215" s="1078"/>
      <c r="H215" s="1079"/>
      <c r="I215" s="1077"/>
      <c r="J215" s="1077"/>
      <c r="K215" s="1077"/>
      <c r="L215" s="1077"/>
      <c r="M215" s="1077"/>
      <c r="N215" s="1077"/>
      <c r="O215" s="1077"/>
      <c r="P215" s="1077"/>
      <c r="Q215" s="1078"/>
      <c r="R215" s="1077"/>
      <c r="S215" s="1078"/>
      <c r="T215" s="1077"/>
      <c r="U215" s="1077"/>
      <c r="V215" s="1077"/>
      <c r="W215" s="1077"/>
      <c r="X215" s="1077"/>
      <c r="Y215" s="1078"/>
    </row>
    <row r="216">
      <c r="A216" s="1068" t="s">
        <v>7462</v>
      </c>
      <c r="B216" s="1068" t="s">
        <v>374</v>
      </c>
      <c r="C216" s="1069" t="s">
        <v>366</v>
      </c>
      <c r="D216" s="1063">
        <f t="shared" si="10"/>
        <v>0</v>
      </c>
      <c r="E216" s="1082"/>
      <c r="F216" s="1071"/>
      <c r="G216" s="1073"/>
      <c r="H216" s="1072"/>
      <c r="I216" s="1071"/>
      <c r="J216" s="1072"/>
      <c r="K216" s="1072"/>
      <c r="L216" s="1072"/>
      <c r="M216" s="1072"/>
      <c r="N216" s="1072"/>
      <c r="O216" s="1072"/>
      <c r="P216" s="1073"/>
      <c r="Q216" s="1072"/>
      <c r="R216" s="1072"/>
      <c r="S216" s="1072"/>
      <c r="T216" s="1072"/>
      <c r="U216" s="1073"/>
      <c r="V216" s="1073"/>
      <c r="W216" s="1073"/>
      <c r="X216" s="1073"/>
      <c r="Y216" s="1073"/>
    </row>
    <row r="217">
      <c r="A217" s="1108" t="s">
        <v>157</v>
      </c>
      <c r="B217" s="1108" t="s">
        <v>7540</v>
      </c>
      <c r="C217" s="1075" t="s">
        <v>114</v>
      </c>
      <c r="D217" s="1063">
        <f t="shared" si="10"/>
        <v>1</v>
      </c>
      <c r="E217" s="1080"/>
      <c r="F217" s="1078"/>
      <c r="G217" s="1078">
        <v>1.0</v>
      </c>
      <c r="H217" s="1079"/>
      <c r="I217" s="1078"/>
      <c r="J217" s="1079"/>
      <c r="K217" s="1079"/>
      <c r="L217" s="1079"/>
      <c r="M217" s="1079"/>
      <c r="N217" s="1079"/>
      <c r="O217" s="1079"/>
      <c r="P217" s="1079"/>
      <c r="Q217" s="1079"/>
      <c r="R217" s="1077"/>
      <c r="S217" s="1079"/>
      <c r="T217" s="1077"/>
      <c r="U217" s="1077"/>
      <c r="V217" s="1077"/>
      <c r="W217" s="1077"/>
      <c r="X217" s="1077"/>
      <c r="Y217" s="1077"/>
    </row>
    <row r="218">
      <c r="A218" s="1068" t="s">
        <v>7542</v>
      </c>
      <c r="B218" s="1068" t="s">
        <v>1445</v>
      </c>
      <c r="C218" s="1069" t="s">
        <v>1278</v>
      </c>
      <c r="D218" s="1098">
        <v>1.0</v>
      </c>
      <c r="E218" s="1082"/>
      <c r="F218" s="1071"/>
      <c r="G218" s="1073"/>
      <c r="H218" s="1071"/>
      <c r="I218" s="1072"/>
      <c r="J218" s="1071"/>
      <c r="K218" s="1072"/>
      <c r="L218" s="1072"/>
      <c r="M218" s="1071">
        <v>1.0</v>
      </c>
      <c r="N218" s="1071"/>
      <c r="O218" s="1073"/>
      <c r="P218" s="1073"/>
      <c r="Q218" s="1073"/>
      <c r="R218" s="1072"/>
      <c r="S218" s="1072"/>
      <c r="T218" s="1073"/>
      <c r="U218" s="1072"/>
      <c r="V218" s="1073"/>
      <c r="W218" s="1073"/>
      <c r="X218" s="1072"/>
      <c r="Y218" s="1071"/>
    </row>
    <row r="219">
      <c r="A219" s="1074" t="s">
        <v>7543</v>
      </c>
      <c r="B219" s="1074" t="s">
        <v>1450</v>
      </c>
      <c r="C219" s="1075" t="s">
        <v>1278</v>
      </c>
      <c r="D219" s="1063">
        <f t="shared" ref="D219:D310" si="11">SUM(E219:Y219)</f>
        <v>0</v>
      </c>
      <c r="E219" s="1076"/>
      <c r="F219" s="1077"/>
      <c r="G219" s="1077"/>
      <c r="H219" s="1077"/>
      <c r="I219" s="1079"/>
      <c r="J219" s="1079"/>
      <c r="K219" s="1079"/>
      <c r="L219" s="1079"/>
      <c r="M219" s="1079"/>
      <c r="N219" s="1079"/>
      <c r="O219" s="1077"/>
      <c r="P219" s="1077"/>
      <c r="Q219" s="1077"/>
      <c r="R219" s="1079"/>
      <c r="S219" s="1079"/>
      <c r="T219" s="1077"/>
      <c r="U219" s="1079"/>
      <c r="V219" s="1077"/>
      <c r="W219" s="1077"/>
      <c r="X219" s="1079"/>
      <c r="Y219" s="1079"/>
    </row>
    <row r="220">
      <c r="A220" s="1068" t="s">
        <v>7546</v>
      </c>
      <c r="B220" s="1068" t="s">
        <v>1481</v>
      </c>
      <c r="C220" s="1069" t="s">
        <v>1483</v>
      </c>
      <c r="D220" s="1063">
        <f t="shared" si="11"/>
        <v>0</v>
      </c>
      <c r="E220" s="1082"/>
      <c r="F220" s="1073"/>
      <c r="G220" s="1073"/>
      <c r="H220" s="1071"/>
      <c r="I220" s="1073"/>
      <c r="J220" s="1072"/>
      <c r="K220" s="1072"/>
      <c r="L220" s="1073"/>
      <c r="M220" s="1072"/>
      <c r="N220" s="1071"/>
      <c r="O220" s="1073"/>
      <c r="P220" s="1072"/>
      <c r="Q220" s="1072"/>
      <c r="R220" s="1073"/>
      <c r="S220" s="1073"/>
      <c r="T220" s="1073"/>
      <c r="U220" s="1073"/>
      <c r="V220" s="1073"/>
      <c r="W220" s="1073"/>
      <c r="X220" s="1073"/>
      <c r="Y220" s="1073"/>
    </row>
    <row r="221">
      <c r="A221" s="1074" t="s">
        <v>7440</v>
      </c>
      <c r="B221" s="1074" t="s">
        <v>1291</v>
      </c>
      <c r="C221" s="1075" t="s">
        <v>1278</v>
      </c>
      <c r="D221" s="1063">
        <f t="shared" si="11"/>
        <v>0</v>
      </c>
      <c r="E221" s="1076"/>
      <c r="F221" s="1077"/>
      <c r="G221" s="1077"/>
      <c r="H221" s="1079"/>
      <c r="I221" s="1079"/>
      <c r="J221" s="1078"/>
      <c r="K221" s="1077"/>
      <c r="L221" s="1078"/>
      <c r="M221" s="1078"/>
      <c r="N221" s="1078"/>
      <c r="O221" s="1077"/>
      <c r="P221" s="1077"/>
      <c r="Q221" s="1077"/>
      <c r="R221" s="1077"/>
      <c r="S221" s="1079"/>
      <c r="T221" s="1079"/>
      <c r="U221" s="1077"/>
      <c r="V221" s="1077"/>
      <c r="W221" s="1077"/>
      <c r="X221" s="1079"/>
      <c r="Y221" s="1078"/>
    </row>
    <row r="222">
      <c r="A222" s="1068" t="s">
        <v>7441</v>
      </c>
      <c r="B222" s="1068" t="s">
        <v>1458</v>
      </c>
      <c r="C222" s="1069" t="s">
        <v>1278</v>
      </c>
      <c r="D222" s="1063">
        <f t="shared" si="11"/>
        <v>0</v>
      </c>
      <c r="E222" s="1084"/>
      <c r="F222" s="1072"/>
      <c r="G222" s="1072"/>
      <c r="H222" s="1072"/>
      <c r="I222" s="1072"/>
      <c r="J222" s="1072"/>
      <c r="K222" s="1072"/>
      <c r="L222" s="1072"/>
      <c r="M222" s="1071"/>
      <c r="N222" s="1072"/>
      <c r="O222" s="1071"/>
      <c r="P222" s="1072"/>
      <c r="Q222" s="1072"/>
      <c r="R222" s="1072"/>
      <c r="S222" s="1072"/>
      <c r="T222" s="1072"/>
      <c r="U222" s="1072"/>
      <c r="V222" s="1073"/>
      <c r="W222" s="1073"/>
      <c r="X222" s="1073"/>
      <c r="Y222" s="1073"/>
    </row>
    <row r="223">
      <c r="A223" s="1087" t="s">
        <v>7459</v>
      </c>
      <c r="B223" s="1074" t="s">
        <v>231</v>
      </c>
      <c r="C223" s="1075" t="s">
        <v>114</v>
      </c>
      <c r="D223" s="1063">
        <f t="shared" si="11"/>
        <v>0</v>
      </c>
      <c r="E223" s="1086"/>
      <c r="F223" s="1078"/>
      <c r="G223" s="1078"/>
      <c r="H223" s="1079"/>
      <c r="I223" s="1078"/>
      <c r="J223" s="1079"/>
      <c r="K223" s="1078"/>
      <c r="L223" s="1078"/>
      <c r="M223" s="1079"/>
      <c r="N223" s="1078"/>
      <c r="O223" s="1077"/>
      <c r="P223" s="1079"/>
      <c r="Q223" s="1077"/>
      <c r="R223" s="1077"/>
      <c r="S223" s="1078"/>
      <c r="T223" s="1078"/>
      <c r="U223" s="1077"/>
      <c r="V223" s="1077"/>
      <c r="W223" s="1077"/>
      <c r="X223" s="1077"/>
      <c r="Y223" s="1077"/>
    </row>
    <row r="224">
      <c r="A224" s="1068" t="s">
        <v>7413</v>
      </c>
      <c r="B224" s="1068" t="s">
        <v>2256</v>
      </c>
      <c r="C224" s="1069" t="s">
        <v>2250</v>
      </c>
      <c r="D224" s="1063">
        <f t="shared" si="11"/>
        <v>0</v>
      </c>
      <c r="E224" s="1070"/>
      <c r="F224" s="1071"/>
      <c r="G224" s="1071"/>
      <c r="H224" s="1073"/>
      <c r="I224" s="1071"/>
      <c r="J224" s="1071"/>
      <c r="K224" s="1073"/>
      <c r="L224" s="1072"/>
      <c r="M224" s="1071"/>
      <c r="N224" s="1073"/>
      <c r="O224" s="1073"/>
      <c r="P224" s="1073"/>
      <c r="Q224" s="1073"/>
      <c r="R224" s="1072"/>
      <c r="S224" s="1073"/>
      <c r="T224" s="1072"/>
      <c r="U224" s="1073"/>
      <c r="V224" s="1073"/>
      <c r="W224" s="1073"/>
      <c r="X224" s="1073"/>
      <c r="Y224" s="1073"/>
    </row>
    <row r="225">
      <c r="A225" s="1074" t="s">
        <v>7547</v>
      </c>
      <c r="B225" s="1074" t="s">
        <v>1679</v>
      </c>
      <c r="C225" s="1075" t="s">
        <v>1646</v>
      </c>
      <c r="D225" s="1063">
        <f t="shared" si="11"/>
        <v>0</v>
      </c>
      <c r="E225" s="1076"/>
      <c r="F225" s="1078"/>
      <c r="G225" s="1077"/>
      <c r="H225" s="1078"/>
      <c r="I225" s="1079"/>
      <c r="J225" s="1077"/>
      <c r="K225" s="1079"/>
      <c r="L225" s="1079"/>
      <c r="M225" s="1077"/>
      <c r="N225" s="1077"/>
      <c r="O225" s="1077"/>
      <c r="P225" s="1077"/>
      <c r="Q225" s="1077"/>
      <c r="R225" s="1079"/>
      <c r="S225" s="1077"/>
      <c r="T225" s="1079"/>
      <c r="U225" s="1079"/>
      <c r="V225" s="1079"/>
      <c r="W225" s="1079"/>
      <c r="X225" s="1079"/>
      <c r="Y225" s="1079"/>
    </row>
    <row r="226">
      <c r="A226" s="1068" t="s">
        <v>7548</v>
      </c>
      <c r="B226" s="1068" t="s">
        <v>2048</v>
      </c>
      <c r="C226" s="1069" t="s">
        <v>2045</v>
      </c>
      <c r="D226" s="1063">
        <f t="shared" si="11"/>
        <v>0</v>
      </c>
      <c r="E226" s="1070"/>
      <c r="F226" s="1071"/>
      <c r="G226" s="1071"/>
      <c r="H226" s="1073"/>
      <c r="I226" s="1072"/>
      <c r="J226" s="1071"/>
      <c r="K226" s="1073"/>
      <c r="L226" s="1073"/>
      <c r="M226" s="1073"/>
      <c r="N226" s="1072"/>
      <c r="O226" s="1073"/>
      <c r="P226" s="1073"/>
      <c r="Q226" s="1073"/>
      <c r="R226" s="1073"/>
      <c r="S226" s="1073"/>
      <c r="T226" s="1073"/>
      <c r="U226" s="1073"/>
      <c r="V226" s="1073"/>
      <c r="W226" s="1073"/>
      <c r="X226" s="1073"/>
      <c r="Y226" s="1073"/>
    </row>
    <row r="227">
      <c r="A227" s="1074" t="s">
        <v>7323</v>
      </c>
      <c r="B227" s="1074" t="s">
        <v>2114</v>
      </c>
      <c r="C227" s="1075" t="s">
        <v>2045</v>
      </c>
      <c r="D227" s="1063">
        <f t="shared" si="11"/>
        <v>0</v>
      </c>
      <c r="E227" s="1080"/>
      <c r="F227" s="1078"/>
      <c r="G227" s="1078"/>
      <c r="H227" s="1078"/>
      <c r="I227" s="1077"/>
      <c r="J227" s="1079"/>
      <c r="K227" s="1077"/>
      <c r="L227" s="1079"/>
      <c r="M227" s="1077"/>
      <c r="N227" s="1077"/>
      <c r="O227" s="1077"/>
      <c r="P227" s="1077"/>
      <c r="Q227" s="1077"/>
      <c r="R227" s="1079"/>
      <c r="S227" s="1077"/>
      <c r="T227" s="1079"/>
      <c r="U227" s="1077"/>
      <c r="V227" s="1077"/>
      <c r="W227" s="1077"/>
      <c r="X227" s="1077"/>
      <c r="Y227" s="1077"/>
    </row>
    <row r="228">
      <c r="A228" s="1068" t="s">
        <v>7514</v>
      </c>
      <c r="B228" s="1068" t="s">
        <v>7515</v>
      </c>
      <c r="C228" s="1069" t="s">
        <v>2045</v>
      </c>
      <c r="D228" s="1063">
        <f t="shared" si="11"/>
        <v>0</v>
      </c>
      <c r="E228" s="1082"/>
      <c r="F228" s="1073"/>
      <c r="G228" s="1073"/>
      <c r="H228" s="1073"/>
      <c r="I228" s="1072"/>
      <c r="J228" s="1073"/>
      <c r="K228" s="1073"/>
      <c r="L228" s="1073"/>
      <c r="M228" s="1073"/>
      <c r="N228" s="1072"/>
      <c r="O228" s="1073"/>
      <c r="P228" s="1073"/>
      <c r="Q228" s="1073"/>
      <c r="R228" s="1073"/>
      <c r="S228" s="1073"/>
      <c r="T228" s="1072"/>
      <c r="U228" s="1073"/>
      <c r="V228" s="1073"/>
      <c r="W228" s="1073"/>
      <c r="X228" s="1073"/>
      <c r="Y228" s="1073"/>
    </row>
    <row r="229">
      <c r="A229" s="1074" t="s">
        <v>7550</v>
      </c>
      <c r="B229" s="1074" t="s">
        <v>2132</v>
      </c>
      <c r="C229" s="1075" t="s">
        <v>2045</v>
      </c>
      <c r="D229" s="1063">
        <f t="shared" si="11"/>
        <v>1</v>
      </c>
      <c r="E229" s="1080"/>
      <c r="F229" s="1077"/>
      <c r="G229" s="1077"/>
      <c r="H229" s="1077"/>
      <c r="I229" s="1077"/>
      <c r="J229" s="1079"/>
      <c r="K229" s="1077"/>
      <c r="L229" s="1079"/>
      <c r="M229" s="1077"/>
      <c r="N229" s="1078">
        <v>1.0</v>
      </c>
      <c r="O229" s="1077"/>
      <c r="P229" s="1077"/>
      <c r="Q229" s="1077"/>
      <c r="R229" s="1079"/>
      <c r="S229" s="1077"/>
      <c r="T229" s="1079"/>
      <c r="U229" s="1077"/>
      <c r="V229" s="1077"/>
      <c r="W229" s="1077"/>
      <c r="X229" s="1077"/>
      <c r="Y229" s="1077"/>
    </row>
    <row r="230">
      <c r="A230" s="1068" t="s">
        <v>7371</v>
      </c>
      <c r="B230" s="1068" t="s">
        <v>2124</v>
      </c>
      <c r="C230" s="1069" t="s">
        <v>2045</v>
      </c>
      <c r="D230" s="1063">
        <f t="shared" si="11"/>
        <v>1</v>
      </c>
      <c r="E230" s="1070"/>
      <c r="F230" s="1073"/>
      <c r="G230" s="1071"/>
      <c r="H230" s="1073"/>
      <c r="I230" s="1073"/>
      <c r="J230" s="1072"/>
      <c r="K230" s="1073"/>
      <c r="L230" s="1071"/>
      <c r="M230" s="1071"/>
      <c r="N230" s="1073"/>
      <c r="O230" s="1071"/>
      <c r="P230" s="1073"/>
      <c r="Q230" s="1073"/>
      <c r="R230" s="1072"/>
      <c r="S230" s="1073"/>
      <c r="T230" s="1071">
        <v>1.0</v>
      </c>
      <c r="U230" s="1073"/>
      <c r="V230" s="1073"/>
      <c r="W230" s="1073"/>
      <c r="X230" s="1073"/>
      <c r="Y230" s="1073"/>
    </row>
    <row r="231">
      <c r="A231" s="1074" t="s">
        <v>7362</v>
      </c>
      <c r="B231" s="1074" t="s">
        <v>1487</v>
      </c>
      <c r="C231" s="1075" t="s">
        <v>1483</v>
      </c>
      <c r="D231" s="1063">
        <f t="shared" si="11"/>
        <v>1</v>
      </c>
      <c r="E231" s="1076"/>
      <c r="F231" s="1077"/>
      <c r="G231" s="1078"/>
      <c r="H231" s="1078">
        <v>1.0</v>
      </c>
      <c r="I231" s="1077"/>
      <c r="J231" s="1079"/>
      <c r="K231" s="1077"/>
      <c r="L231" s="1079"/>
      <c r="M231" s="1077"/>
      <c r="N231" s="1079"/>
      <c r="O231" s="1079"/>
      <c r="P231" s="1079"/>
      <c r="Q231" s="1077"/>
      <c r="R231" s="1079"/>
      <c r="S231" s="1079"/>
      <c r="T231" s="1077"/>
      <c r="U231" s="1077"/>
      <c r="V231" s="1077"/>
      <c r="W231" s="1079"/>
      <c r="X231" s="1079"/>
      <c r="Y231" s="1079"/>
    </row>
    <row r="232">
      <c r="A232" s="1068" t="s">
        <v>7474</v>
      </c>
      <c r="B232" s="1068" t="s">
        <v>7475</v>
      </c>
      <c r="C232" s="1069" t="s">
        <v>857</v>
      </c>
      <c r="D232" s="1063">
        <f t="shared" si="11"/>
        <v>0</v>
      </c>
      <c r="E232" s="1082"/>
      <c r="F232" s="1072"/>
      <c r="G232" s="1072"/>
      <c r="H232" s="1072"/>
      <c r="I232" s="1072"/>
      <c r="J232" s="1072"/>
      <c r="K232" s="1072"/>
      <c r="L232" s="1072"/>
      <c r="M232" s="1072"/>
      <c r="N232" s="1073"/>
      <c r="O232" s="1073"/>
      <c r="P232" s="1072"/>
      <c r="Q232" s="1072"/>
      <c r="R232" s="1072"/>
      <c r="S232" s="1073"/>
      <c r="T232" s="1072"/>
      <c r="U232" s="1073"/>
      <c r="V232" s="1073"/>
      <c r="W232" s="1073"/>
      <c r="X232" s="1073"/>
      <c r="Y232" s="1073"/>
    </row>
    <row r="233">
      <c r="A233" s="1074" t="s">
        <v>7510</v>
      </c>
      <c r="B233" s="1074" t="s">
        <v>7511</v>
      </c>
      <c r="C233" s="1075" t="s">
        <v>1646</v>
      </c>
      <c r="D233" s="1063">
        <f t="shared" si="11"/>
        <v>0</v>
      </c>
      <c r="E233" s="1086"/>
      <c r="F233" s="1077"/>
      <c r="G233" s="1077"/>
      <c r="H233" s="1079"/>
      <c r="I233" s="1078"/>
      <c r="J233" s="1079"/>
      <c r="K233" s="1077"/>
      <c r="L233" s="1079"/>
      <c r="M233" s="1077"/>
      <c r="N233" s="1079"/>
      <c r="O233" s="1077"/>
      <c r="P233" s="1077"/>
      <c r="Q233" s="1077"/>
      <c r="R233" s="1077"/>
      <c r="S233" s="1077"/>
      <c r="T233" s="1077"/>
      <c r="U233" s="1079"/>
      <c r="V233" s="1077"/>
      <c r="W233" s="1077"/>
      <c r="X233" s="1077"/>
      <c r="Y233" s="1078"/>
    </row>
    <row r="234">
      <c r="A234" s="1068" t="s">
        <v>7448</v>
      </c>
      <c r="B234" s="1068" t="s">
        <v>1500</v>
      </c>
      <c r="C234" s="1069" t="s">
        <v>1483</v>
      </c>
      <c r="D234" s="1063">
        <f t="shared" si="11"/>
        <v>0</v>
      </c>
      <c r="E234" s="1070"/>
      <c r="F234" s="1071"/>
      <c r="G234" s="1071"/>
      <c r="H234" s="1071"/>
      <c r="I234" s="1073"/>
      <c r="J234" s="1072"/>
      <c r="K234" s="1071"/>
      <c r="L234" s="1073"/>
      <c r="M234" s="1073"/>
      <c r="N234" s="1071"/>
      <c r="O234" s="1073"/>
      <c r="P234" s="1072"/>
      <c r="Q234" s="1073"/>
      <c r="R234" s="1071"/>
      <c r="S234" s="1073"/>
      <c r="T234" s="1073"/>
      <c r="U234" s="1073"/>
      <c r="V234" s="1073"/>
      <c r="W234" s="1072"/>
      <c r="X234" s="1073"/>
      <c r="Y234" s="1073"/>
    </row>
    <row r="235">
      <c r="A235" s="1074" t="s">
        <v>7477</v>
      </c>
      <c r="B235" s="1074" t="s">
        <v>7478</v>
      </c>
      <c r="C235" s="1075" t="s">
        <v>895</v>
      </c>
      <c r="D235" s="1063">
        <f t="shared" si="11"/>
        <v>0</v>
      </c>
      <c r="E235" s="1080"/>
      <c r="F235" s="1078"/>
      <c r="G235" s="1077"/>
      <c r="H235" s="1078"/>
      <c r="I235" s="1078"/>
      <c r="J235" s="1079"/>
      <c r="K235" s="1079"/>
      <c r="L235" s="1079"/>
      <c r="M235" s="1079"/>
      <c r="N235" s="1078"/>
      <c r="O235" s="1077"/>
      <c r="P235" s="1079"/>
      <c r="Q235" s="1077"/>
      <c r="R235" s="1077"/>
      <c r="S235" s="1077"/>
      <c r="T235" s="1079"/>
      <c r="U235" s="1077"/>
      <c r="V235" s="1077"/>
      <c r="W235" s="1077"/>
      <c r="X235" s="1077"/>
      <c r="Y235" s="1077"/>
    </row>
    <row r="236">
      <c r="A236" s="1122" t="s">
        <v>7555</v>
      </c>
      <c r="B236" s="1068" t="s">
        <v>1011</v>
      </c>
      <c r="C236" s="1069" t="s">
        <v>895</v>
      </c>
      <c r="D236" s="1063">
        <f t="shared" si="11"/>
        <v>0</v>
      </c>
      <c r="E236" s="1082"/>
      <c r="F236" s="1073"/>
      <c r="G236" s="1073"/>
      <c r="H236" s="1072"/>
      <c r="I236" s="1072"/>
      <c r="J236" s="1072"/>
      <c r="K236" s="1071"/>
      <c r="L236" s="1072"/>
      <c r="M236" s="1072"/>
      <c r="N236" s="1072"/>
      <c r="O236" s="1072"/>
      <c r="P236" s="1072"/>
      <c r="Q236" s="1072"/>
      <c r="R236" s="1073"/>
      <c r="S236" s="1073"/>
      <c r="T236" s="1073"/>
      <c r="U236" s="1073"/>
      <c r="V236" s="1072"/>
      <c r="W236" s="1073"/>
      <c r="X236" s="1073"/>
      <c r="Y236" s="1073"/>
    </row>
    <row r="237">
      <c r="A237" s="1074" t="s">
        <v>7539</v>
      </c>
      <c r="B237" s="1074" t="s">
        <v>816</v>
      </c>
      <c r="C237" s="1075" t="s">
        <v>812</v>
      </c>
      <c r="D237" s="1063">
        <f t="shared" si="11"/>
        <v>0</v>
      </c>
      <c r="E237" s="1080"/>
      <c r="F237" s="1078"/>
      <c r="G237" s="1079"/>
      <c r="H237" s="1079"/>
      <c r="I237" s="1079"/>
      <c r="J237" s="1079"/>
      <c r="K237" s="1078"/>
      <c r="L237" s="1077"/>
      <c r="M237" s="1079"/>
      <c r="N237" s="1077"/>
      <c r="O237" s="1077"/>
      <c r="P237" s="1077"/>
      <c r="Q237" s="1077"/>
      <c r="R237" s="1077"/>
      <c r="S237" s="1077"/>
      <c r="T237" s="1077"/>
      <c r="U237" s="1077"/>
      <c r="V237" s="1077"/>
      <c r="W237" s="1077"/>
      <c r="X237" s="1077"/>
      <c r="Y237" s="1077"/>
    </row>
    <row r="238">
      <c r="A238" s="1068" t="s">
        <v>7288</v>
      </c>
      <c r="B238" s="1068" t="s">
        <v>794</v>
      </c>
      <c r="C238" s="1069" t="s">
        <v>792</v>
      </c>
      <c r="D238" s="1063">
        <f t="shared" si="11"/>
        <v>0</v>
      </c>
      <c r="E238" s="1070"/>
      <c r="F238" s="1073"/>
      <c r="G238" s="1073"/>
      <c r="H238" s="1071"/>
      <c r="I238" s="1072"/>
      <c r="J238" s="1072"/>
      <c r="K238" s="1072"/>
      <c r="L238" s="1072"/>
      <c r="M238" s="1072"/>
      <c r="N238" s="1073"/>
      <c r="O238" s="1073"/>
      <c r="P238" s="1072"/>
      <c r="Q238" s="1072"/>
      <c r="R238" s="1071"/>
      <c r="S238" s="1073"/>
      <c r="T238" s="1073"/>
      <c r="U238" s="1073"/>
      <c r="V238" s="1071"/>
      <c r="W238" s="1073"/>
      <c r="X238" s="1072"/>
      <c r="Y238" s="1071"/>
    </row>
    <row r="239">
      <c r="A239" s="1108" t="s">
        <v>249</v>
      </c>
      <c r="B239" s="1074" t="s">
        <v>250</v>
      </c>
      <c r="C239" s="1075" t="s">
        <v>114</v>
      </c>
      <c r="D239" s="1063">
        <f t="shared" si="11"/>
        <v>0</v>
      </c>
      <c r="E239" s="1080"/>
      <c r="F239" s="1078"/>
      <c r="G239" s="1078"/>
      <c r="H239" s="1079"/>
      <c r="I239" s="1079"/>
      <c r="J239" s="1078"/>
      <c r="K239" s="1079"/>
      <c r="L239" s="1078"/>
      <c r="M239" s="1077"/>
      <c r="N239" s="1077"/>
      <c r="O239" s="1077"/>
      <c r="P239" s="1079"/>
      <c r="Q239" s="1077"/>
      <c r="R239" s="1077"/>
      <c r="S239" s="1077"/>
      <c r="T239" s="1078"/>
      <c r="U239" s="1077"/>
      <c r="V239" s="1077"/>
      <c r="W239" s="1077"/>
      <c r="X239" s="1078"/>
      <c r="Y239" s="1078"/>
    </row>
    <row r="240">
      <c r="A240" s="1068" t="s">
        <v>7557</v>
      </c>
      <c r="B240" s="1068" t="s">
        <v>161</v>
      </c>
      <c r="C240" s="1069" t="s">
        <v>114</v>
      </c>
      <c r="D240" s="1063">
        <f t="shared" si="11"/>
        <v>0</v>
      </c>
      <c r="E240" s="1070"/>
      <c r="F240" s="1071"/>
      <c r="G240" s="1071"/>
      <c r="H240" s="1071"/>
      <c r="I240" s="1071"/>
      <c r="J240" s="1073"/>
      <c r="K240" s="1072"/>
      <c r="L240" s="1073"/>
      <c r="M240" s="1072"/>
      <c r="N240" s="1072"/>
      <c r="O240" s="1072"/>
      <c r="P240" s="1072"/>
      <c r="Q240" s="1072"/>
      <c r="R240" s="1073"/>
      <c r="S240" s="1072"/>
      <c r="T240" s="1073"/>
      <c r="U240" s="1073"/>
      <c r="V240" s="1072"/>
      <c r="W240" s="1072"/>
      <c r="X240" s="1072"/>
      <c r="Y240" s="1072"/>
    </row>
    <row r="241">
      <c r="A241" s="1074" t="s">
        <v>7417</v>
      </c>
      <c r="B241" s="1074" t="s">
        <v>116</v>
      </c>
      <c r="C241" s="1075" t="s">
        <v>114</v>
      </c>
      <c r="D241" s="1063">
        <f t="shared" si="11"/>
        <v>0</v>
      </c>
      <c r="E241" s="1080"/>
      <c r="F241" s="1079"/>
      <c r="G241" s="1079"/>
      <c r="H241" s="1079"/>
      <c r="I241" s="1079"/>
      <c r="J241" s="1079"/>
      <c r="K241" s="1079"/>
      <c r="L241" s="1079"/>
      <c r="M241" s="1079"/>
      <c r="N241" s="1077"/>
      <c r="O241" s="1077"/>
      <c r="P241" s="1077"/>
      <c r="Q241" s="1077"/>
      <c r="R241" s="1077"/>
      <c r="S241" s="1077"/>
      <c r="T241" s="1077"/>
      <c r="U241" s="1077"/>
      <c r="V241" s="1077"/>
      <c r="W241" s="1077"/>
      <c r="X241" s="1078"/>
      <c r="Y241" s="1077"/>
    </row>
    <row r="242">
      <c r="A242" s="1068" t="s">
        <v>7389</v>
      </c>
      <c r="B242" s="1068" t="s">
        <v>700</v>
      </c>
      <c r="C242" s="1069" t="s">
        <v>812</v>
      </c>
      <c r="D242" s="1063">
        <f t="shared" si="11"/>
        <v>0</v>
      </c>
      <c r="E242" s="1082"/>
      <c r="F242" s="1071"/>
      <c r="G242" s="1071"/>
      <c r="H242" s="1072"/>
      <c r="I242" s="1072"/>
      <c r="J242" s="1071"/>
      <c r="K242" s="1072"/>
      <c r="L242" s="1072"/>
      <c r="M242" s="1072"/>
      <c r="N242" s="1072"/>
      <c r="O242" s="1072"/>
      <c r="P242" s="1073"/>
      <c r="Q242" s="1073"/>
      <c r="R242" s="1071"/>
      <c r="S242" s="1073"/>
      <c r="T242" s="1073"/>
      <c r="U242" s="1073"/>
      <c r="V242" s="1073"/>
      <c r="W242" s="1073"/>
      <c r="X242" s="1073"/>
      <c r="Y242" s="1073"/>
    </row>
    <row r="243">
      <c r="A243" s="1074" t="s">
        <v>7225</v>
      </c>
      <c r="B243" s="1074" t="s">
        <v>850</v>
      </c>
      <c r="C243" s="1075" t="s">
        <v>812</v>
      </c>
      <c r="D243" s="1063">
        <f t="shared" si="11"/>
        <v>0</v>
      </c>
      <c r="E243" s="1086"/>
      <c r="F243" s="1077"/>
      <c r="G243" s="1077"/>
      <c r="H243" s="1078"/>
      <c r="I243" s="1078"/>
      <c r="J243" s="1077"/>
      <c r="K243" s="1078"/>
      <c r="L243" s="1079"/>
      <c r="M243" s="1078"/>
      <c r="N243" s="1077"/>
      <c r="O243" s="1077"/>
      <c r="P243" s="1077"/>
      <c r="Q243" s="1077"/>
      <c r="R243" s="1078"/>
      <c r="S243" s="1077"/>
      <c r="T243" s="1077"/>
      <c r="U243" s="1077"/>
      <c r="V243" s="1077"/>
      <c r="W243" s="1077"/>
      <c r="X243" s="1077"/>
      <c r="Y243" s="1077"/>
    </row>
    <row r="244">
      <c r="A244" s="1068" t="s">
        <v>7442</v>
      </c>
      <c r="B244" s="1068" t="s">
        <v>1465</v>
      </c>
      <c r="C244" s="1069" t="s">
        <v>1278</v>
      </c>
      <c r="D244" s="1063">
        <f t="shared" si="11"/>
        <v>0</v>
      </c>
      <c r="E244" s="1082"/>
      <c r="F244" s="1073"/>
      <c r="G244" s="1071"/>
      <c r="H244" s="1072"/>
      <c r="I244" s="1071"/>
      <c r="J244" s="1072"/>
      <c r="K244" s="1072"/>
      <c r="L244" s="1072"/>
      <c r="M244" s="1072"/>
      <c r="N244" s="1071"/>
      <c r="O244" s="1072"/>
      <c r="P244" s="1073"/>
      <c r="Q244" s="1072"/>
      <c r="R244" s="1073"/>
      <c r="S244" s="1073"/>
      <c r="T244" s="1073"/>
      <c r="U244" s="1072"/>
      <c r="V244" s="1073"/>
      <c r="W244" s="1073"/>
      <c r="X244" s="1073"/>
      <c r="Y244" s="1073"/>
    </row>
    <row r="245">
      <c r="A245" s="1074" t="s">
        <v>7559</v>
      </c>
      <c r="B245" s="1074" t="s">
        <v>33</v>
      </c>
      <c r="C245" s="1075" t="s">
        <v>34</v>
      </c>
      <c r="D245" s="1063">
        <f t="shared" si="11"/>
        <v>0</v>
      </c>
      <c r="E245" s="1086"/>
      <c r="F245" s="1078"/>
      <c r="G245" s="1078"/>
      <c r="H245" s="1078"/>
      <c r="I245" s="1078"/>
      <c r="J245" s="1078"/>
      <c r="K245" s="1079"/>
      <c r="L245" s="1079"/>
      <c r="M245" s="1077"/>
      <c r="N245" s="1077"/>
      <c r="O245" s="1079"/>
      <c r="P245" s="1078"/>
      <c r="Q245" s="1079"/>
      <c r="R245" s="1079"/>
      <c r="S245" s="1079"/>
      <c r="T245" s="1077"/>
      <c r="U245" s="1079"/>
      <c r="V245" s="1079"/>
      <c r="W245" s="1077"/>
      <c r="X245" s="1077"/>
      <c r="Y245" s="1077"/>
    </row>
    <row r="246">
      <c r="A246" s="1122" t="s">
        <v>7328</v>
      </c>
      <c r="B246" s="1068" t="s">
        <v>77</v>
      </c>
      <c r="C246" s="1069" t="s">
        <v>57</v>
      </c>
      <c r="D246" s="1063">
        <f t="shared" si="11"/>
        <v>0</v>
      </c>
      <c r="E246" s="1070"/>
      <c r="F246" s="1072"/>
      <c r="G246" s="1072"/>
      <c r="H246" s="1073"/>
      <c r="I246" s="1071"/>
      <c r="J246" s="1071"/>
      <c r="K246" s="1072"/>
      <c r="L246" s="1072"/>
      <c r="M246" s="1073"/>
      <c r="N246" s="1072"/>
      <c r="O246" s="1073"/>
      <c r="P246" s="1073"/>
      <c r="Q246" s="1073"/>
      <c r="R246" s="1073"/>
      <c r="S246" s="1072"/>
      <c r="T246" s="1073"/>
      <c r="U246" s="1073"/>
      <c r="V246" s="1073"/>
      <c r="W246" s="1073"/>
      <c r="X246" s="1073"/>
      <c r="Y246" s="1073"/>
    </row>
    <row r="247">
      <c r="A247" s="1074" t="s">
        <v>7348</v>
      </c>
      <c r="B247" s="1108" t="s">
        <v>102</v>
      </c>
      <c r="C247" s="1075" t="s">
        <v>57</v>
      </c>
      <c r="D247" s="1063">
        <f t="shared" si="11"/>
        <v>1</v>
      </c>
      <c r="E247" s="1076"/>
      <c r="F247" s="1079"/>
      <c r="G247" s="1077"/>
      <c r="H247" s="1079"/>
      <c r="I247" s="1078"/>
      <c r="J247" s="1078"/>
      <c r="K247" s="1078"/>
      <c r="L247" s="1079"/>
      <c r="M247" s="1078">
        <v>1.0</v>
      </c>
      <c r="N247" s="1078"/>
      <c r="O247" s="1077"/>
      <c r="P247" s="1077"/>
      <c r="Q247" s="1077"/>
      <c r="R247" s="1077"/>
      <c r="S247" s="1077"/>
      <c r="T247" s="1077"/>
      <c r="U247" s="1077"/>
      <c r="V247" s="1077"/>
      <c r="W247" s="1077"/>
      <c r="X247" s="1077"/>
      <c r="Y247" s="1077"/>
    </row>
    <row r="248">
      <c r="A248" s="1068" t="s">
        <v>7347</v>
      </c>
      <c r="B248" s="1068" t="s">
        <v>53</v>
      </c>
      <c r="C248" s="1069" t="s">
        <v>54</v>
      </c>
      <c r="D248" s="1063">
        <f t="shared" si="11"/>
        <v>0</v>
      </c>
      <c r="E248" s="1084"/>
      <c r="F248" s="1071"/>
      <c r="G248" s="1073"/>
      <c r="H248" s="1072"/>
      <c r="I248" s="1071"/>
      <c r="J248" s="1072"/>
      <c r="K248" s="1071"/>
      <c r="L248" s="1071"/>
      <c r="M248" s="1072"/>
      <c r="N248" s="1073"/>
      <c r="O248" s="1072"/>
      <c r="P248" s="1072"/>
      <c r="Q248" s="1071"/>
      <c r="R248" s="1072"/>
      <c r="S248" s="1072"/>
      <c r="T248" s="1072"/>
      <c r="U248" s="1073"/>
      <c r="V248" s="1073"/>
      <c r="W248" s="1073"/>
      <c r="X248" s="1073"/>
      <c r="Y248" s="1073"/>
    </row>
    <row r="249">
      <c r="A249" s="1074" t="s">
        <v>7263</v>
      </c>
      <c r="B249" s="1074" t="s">
        <v>7264</v>
      </c>
      <c r="C249" s="1075" t="s">
        <v>114</v>
      </c>
      <c r="D249" s="1063">
        <f t="shared" si="11"/>
        <v>0</v>
      </c>
      <c r="E249" s="1080"/>
      <c r="F249" s="1078"/>
      <c r="G249" s="1078"/>
      <c r="H249" s="1078"/>
      <c r="I249" s="1079"/>
      <c r="J249" s="1079"/>
      <c r="K249" s="1077"/>
      <c r="L249" s="1079"/>
      <c r="M249" s="1077"/>
      <c r="N249" s="1078"/>
      <c r="O249" s="1077"/>
      <c r="P249" s="1077"/>
      <c r="Q249" s="1077"/>
      <c r="R249" s="1077"/>
      <c r="S249" s="1077"/>
      <c r="T249" s="1078"/>
      <c r="U249" s="1077"/>
      <c r="V249" s="1077"/>
      <c r="W249" s="1077"/>
      <c r="X249" s="1077"/>
      <c r="Y249" s="1077"/>
    </row>
    <row r="250">
      <c r="A250" s="1068" t="s">
        <v>7352</v>
      </c>
      <c r="B250" s="1068" t="s">
        <v>294</v>
      </c>
      <c r="C250" s="1069" t="s">
        <v>114</v>
      </c>
      <c r="D250" s="1063">
        <f t="shared" si="11"/>
        <v>0</v>
      </c>
      <c r="E250" s="1070"/>
      <c r="F250" s="1073"/>
      <c r="G250" s="1073"/>
      <c r="H250" s="1072"/>
      <c r="I250" s="1072"/>
      <c r="J250" s="1072"/>
      <c r="K250" s="1072"/>
      <c r="L250" s="1072"/>
      <c r="M250" s="1072"/>
      <c r="N250" s="1072"/>
      <c r="O250" s="1072"/>
      <c r="P250" s="1072"/>
      <c r="Q250" s="1072"/>
      <c r="R250" s="1072"/>
      <c r="S250" s="1073"/>
      <c r="T250" s="1072"/>
      <c r="U250" s="1072"/>
      <c r="V250" s="1072"/>
      <c r="W250" s="1073"/>
      <c r="X250" s="1073"/>
      <c r="Y250" s="1073"/>
    </row>
    <row r="251">
      <c r="A251" s="1074" t="s">
        <v>7461</v>
      </c>
      <c r="B251" s="1074" t="s">
        <v>237</v>
      </c>
      <c r="C251" s="1075" t="s">
        <v>114</v>
      </c>
      <c r="D251" s="1063">
        <f t="shared" si="11"/>
        <v>0</v>
      </c>
      <c r="E251" s="1086"/>
      <c r="F251" s="1077"/>
      <c r="G251" s="1101"/>
      <c r="H251" s="1101"/>
      <c r="I251" s="1078"/>
      <c r="J251" s="1077"/>
      <c r="K251" s="1077"/>
      <c r="L251" s="1079"/>
      <c r="M251" s="1077"/>
      <c r="N251" s="1079"/>
      <c r="O251" s="1077"/>
      <c r="P251" s="1077"/>
      <c r="Q251" s="1079"/>
      <c r="R251" s="1079"/>
      <c r="S251" s="1079"/>
      <c r="T251" s="1079"/>
      <c r="U251" s="1077"/>
      <c r="V251" s="1077"/>
      <c r="W251" s="1077"/>
      <c r="X251" s="1077"/>
      <c r="Y251" s="1077"/>
    </row>
    <row r="252">
      <c r="A252" s="1068" t="s">
        <v>7265</v>
      </c>
      <c r="B252" s="1068" t="s">
        <v>244</v>
      </c>
      <c r="C252" s="1069" t="s">
        <v>114</v>
      </c>
      <c r="D252" s="1063">
        <f t="shared" si="11"/>
        <v>3</v>
      </c>
      <c r="E252" s="1070"/>
      <c r="F252" s="1071"/>
      <c r="G252" s="1071"/>
      <c r="H252" s="1072"/>
      <c r="I252" s="1072"/>
      <c r="J252" s="1071">
        <v>1.0</v>
      </c>
      <c r="K252" s="1072"/>
      <c r="L252" s="1071"/>
      <c r="M252" s="1071">
        <v>1.0</v>
      </c>
      <c r="N252" s="1071"/>
      <c r="O252" s="1072"/>
      <c r="P252" s="1072"/>
      <c r="Q252" s="1072"/>
      <c r="R252" s="1073"/>
      <c r="S252" s="1072"/>
      <c r="T252" s="1072"/>
      <c r="U252" s="1073"/>
      <c r="V252" s="1072"/>
      <c r="W252" s="1073"/>
      <c r="X252" s="1073"/>
      <c r="Y252" s="1071">
        <v>1.0</v>
      </c>
    </row>
    <row r="253">
      <c r="A253" s="1074" t="s">
        <v>7419</v>
      </c>
      <c r="B253" s="1074" t="s">
        <v>263</v>
      </c>
      <c r="C253" s="1075" t="s">
        <v>114</v>
      </c>
      <c r="D253" s="1063">
        <f t="shared" si="11"/>
        <v>1</v>
      </c>
      <c r="E253" s="1076"/>
      <c r="F253" s="1078"/>
      <c r="G253" s="1079"/>
      <c r="H253" s="1077"/>
      <c r="I253" s="1077"/>
      <c r="J253" s="1078">
        <v>1.0</v>
      </c>
      <c r="K253" s="1078"/>
      <c r="L253" s="1077"/>
      <c r="M253" s="1077"/>
      <c r="N253" s="1079"/>
      <c r="O253" s="1077"/>
      <c r="P253" s="1077"/>
      <c r="Q253" s="1077"/>
      <c r="R253" s="1077"/>
      <c r="S253" s="1077"/>
      <c r="T253" s="1077"/>
      <c r="U253" s="1077"/>
      <c r="V253" s="1077"/>
      <c r="W253" s="1077"/>
      <c r="X253" s="1077"/>
      <c r="Y253" s="1077"/>
    </row>
    <row r="254">
      <c r="A254" s="1068" t="s">
        <v>7465</v>
      </c>
      <c r="B254" s="1068" t="s">
        <v>532</v>
      </c>
      <c r="C254" s="1069" t="s">
        <v>446</v>
      </c>
      <c r="D254" s="1063">
        <f t="shared" si="11"/>
        <v>0</v>
      </c>
      <c r="E254" s="1082"/>
      <c r="F254" s="1073"/>
      <c r="G254" s="1071"/>
      <c r="H254" s="1072"/>
      <c r="I254" s="1072"/>
      <c r="J254" s="1072"/>
      <c r="K254" s="1072"/>
      <c r="L254" s="1072"/>
      <c r="M254" s="1072"/>
      <c r="N254" s="1073"/>
      <c r="O254" s="1073"/>
      <c r="P254" s="1072"/>
      <c r="Q254" s="1073"/>
      <c r="R254" s="1072"/>
      <c r="S254" s="1072"/>
      <c r="T254" s="1072"/>
      <c r="U254" s="1073"/>
      <c r="V254" s="1073"/>
      <c r="W254" s="1073"/>
      <c r="X254" s="1073"/>
      <c r="Y254" s="1073"/>
    </row>
    <row r="255">
      <c r="A255" s="1074" t="s">
        <v>7527</v>
      </c>
      <c r="B255" s="1074" t="s">
        <v>543</v>
      </c>
      <c r="C255" s="1075" t="s">
        <v>446</v>
      </c>
      <c r="D255" s="1063">
        <f t="shared" si="11"/>
        <v>0</v>
      </c>
      <c r="E255" s="1076"/>
      <c r="F255" s="1077"/>
      <c r="G255" s="1077"/>
      <c r="H255" s="1077"/>
      <c r="I255" s="1077"/>
      <c r="J255" s="1079"/>
      <c r="K255" s="1079"/>
      <c r="L255" s="1079"/>
      <c r="M255" s="1079"/>
      <c r="N255" s="1077"/>
      <c r="O255" s="1079"/>
      <c r="P255" s="1077"/>
      <c r="Q255" s="1077"/>
      <c r="R255" s="1079"/>
      <c r="S255" s="1079"/>
      <c r="T255" s="1077"/>
      <c r="U255" s="1077"/>
      <c r="V255" s="1077"/>
      <c r="W255" s="1077"/>
      <c r="X255" s="1077"/>
      <c r="Y255" s="1077"/>
    </row>
    <row r="256">
      <c r="A256" s="1068" t="s">
        <v>7528</v>
      </c>
      <c r="B256" s="1068" t="s">
        <v>7529</v>
      </c>
      <c r="C256" s="1069" t="s">
        <v>446</v>
      </c>
      <c r="D256" s="1063">
        <f t="shared" si="11"/>
        <v>0</v>
      </c>
      <c r="E256" s="1084"/>
      <c r="F256" s="1073"/>
      <c r="G256" s="1073"/>
      <c r="H256" s="1071"/>
      <c r="I256" s="1072"/>
      <c r="J256" s="1072"/>
      <c r="K256" s="1072"/>
      <c r="L256" s="1072"/>
      <c r="M256" s="1072"/>
      <c r="N256" s="1072"/>
      <c r="O256" s="1072"/>
      <c r="P256" s="1072"/>
      <c r="Q256" s="1072"/>
      <c r="R256" s="1071"/>
      <c r="S256" s="1072"/>
      <c r="T256" s="1072"/>
      <c r="U256" s="1073"/>
      <c r="V256" s="1073"/>
      <c r="W256" s="1073"/>
      <c r="X256" s="1073"/>
      <c r="Y256" s="1073"/>
    </row>
    <row r="257">
      <c r="A257" s="1074" t="s">
        <v>7238</v>
      </c>
      <c r="B257" s="1074" t="s">
        <v>655</v>
      </c>
      <c r="C257" s="1075" t="s">
        <v>656</v>
      </c>
      <c r="D257" s="1063">
        <f t="shared" si="11"/>
        <v>0</v>
      </c>
      <c r="E257" s="1080"/>
      <c r="F257" s="1079"/>
      <c r="G257" s="1078"/>
      <c r="H257" s="1078"/>
      <c r="I257" s="1078"/>
      <c r="J257" s="1079"/>
      <c r="K257" s="1079"/>
      <c r="L257" s="1079"/>
      <c r="M257" s="1077"/>
      <c r="N257" s="1077"/>
      <c r="O257" s="1079"/>
      <c r="P257" s="1079"/>
      <c r="Q257" s="1079"/>
      <c r="R257" s="1079"/>
      <c r="S257" s="1077"/>
      <c r="T257" s="1077"/>
      <c r="U257" s="1077"/>
      <c r="V257" s="1077"/>
      <c r="W257" s="1077"/>
      <c r="X257" s="1077"/>
      <c r="Y257" s="1077"/>
    </row>
    <row r="258">
      <c r="A258" s="1068" t="s">
        <v>7363</v>
      </c>
      <c r="B258" s="1068" t="s">
        <v>1500</v>
      </c>
      <c r="C258" s="1069" t="s">
        <v>1483</v>
      </c>
      <c r="D258" s="1063">
        <f t="shared" si="11"/>
        <v>0</v>
      </c>
      <c r="E258" s="1070"/>
      <c r="F258" s="1071"/>
      <c r="G258" s="1072"/>
      <c r="H258" s="1071"/>
      <c r="I258" s="1071"/>
      <c r="J258" s="1072"/>
      <c r="K258" s="1072"/>
      <c r="L258" s="1072"/>
      <c r="M258" s="1071"/>
      <c r="N258" s="1071"/>
      <c r="O258" s="1072"/>
      <c r="P258" s="1072"/>
      <c r="Q258" s="1072"/>
      <c r="R258" s="1073"/>
      <c r="S258" s="1073"/>
      <c r="T258" s="1073"/>
      <c r="U258" s="1073"/>
      <c r="V258" s="1073"/>
      <c r="W258" s="1073"/>
      <c r="X258" s="1073"/>
      <c r="Y258" s="1073"/>
    </row>
    <row r="259">
      <c r="A259" s="1074" t="s">
        <v>7259</v>
      </c>
      <c r="B259" s="1074" t="s">
        <v>354</v>
      </c>
      <c r="C259" s="1075" t="s">
        <v>316</v>
      </c>
      <c r="D259" s="1063">
        <f t="shared" si="11"/>
        <v>0</v>
      </c>
      <c r="E259" s="1080"/>
      <c r="F259" s="1078"/>
      <c r="G259" s="1077"/>
      <c r="H259" s="1079"/>
      <c r="I259" s="1079"/>
      <c r="J259" s="1078"/>
      <c r="K259" s="1078"/>
      <c r="L259" s="1077"/>
      <c r="M259" s="1078"/>
      <c r="N259" s="1079"/>
      <c r="O259" s="1079"/>
      <c r="P259" s="1079"/>
      <c r="Q259" s="1079"/>
      <c r="R259" s="1079"/>
      <c r="S259" s="1079"/>
      <c r="T259" s="1079"/>
      <c r="U259" s="1077"/>
      <c r="V259" s="1077"/>
      <c r="W259" s="1077"/>
      <c r="X259" s="1077"/>
      <c r="Y259" s="1078"/>
    </row>
    <row r="260">
      <c r="A260" s="1068" t="s">
        <v>7330</v>
      </c>
      <c r="B260" s="1068" t="s">
        <v>379</v>
      </c>
      <c r="C260" s="1069" t="s">
        <v>366</v>
      </c>
      <c r="D260" s="1063">
        <f t="shared" si="11"/>
        <v>1</v>
      </c>
      <c r="E260" s="1070"/>
      <c r="F260" s="1072"/>
      <c r="G260" s="1071"/>
      <c r="H260" s="1071"/>
      <c r="I260" s="1071">
        <v>1.0</v>
      </c>
      <c r="J260" s="1071"/>
      <c r="K260" s="1072"/>
      <c r="L260" s="1073"/>
      <c r="M260" s="1072"/>
      <c r="N260" s="1072"/>
      <c r="O260" s="1072"/>
      <c r="P260" s="1072"/>
      <c r="Q260" s="1073"/>
      <c r="R260" s="1072"/>
      <c r="S260" s="1072"/>
      <c r="T260" s="1072"/>
      <c r="U260" s="1073"/>
      <c r="V260" s="1073"/>
      <c r="W260" s="1073"/>
      <c r="X260" s="1071"/>
      <c r="Y260" s="1073"/>
    </row>
    <row r="261">
      <c r="A261" s="1074" t="s">
        <v>7421</v>
      </c>
      <c r="B261" s="1074" t="s">
        <v>510</v>
      </c>
      <c r="C261" s="1075" t="s">
        <v>446</v>
      </c>
      <c r="D261" s="1063">
        <f t="shared" si="11"/>
        <v>2</v>
      </c>
      <c r="E261" s="1086"/>
      <c r="F261" s="1077"/>
      <c r="G261" s="1077"/>
      <c r="H261" s="1077"/>
      <c r="I261" s="1078">
        <v>1.0</v>
      </c>
      <c r="J261" s="1079"/>
      <c r="K261" s="1079"/>
      <c r="L261" s="1078">
        <v>1.0</v>
      </c>
      <c r="M261" s="1078"/>
      <c r="N261" s="1079"/>
      <c r="O261" s="1079"/>
      <c r="P261" s="1078"/>
      <c r="Q261" s="1079"/>
      <c r="R261" s="1077"/>
      <c r="S261" s="1077"/>
      <c r="T261" s="1079"/>
      <c r="U261" s="1077"/>
      <c r="V261" s="1077"/>
      <c r="W261" s="1077"/>
      <c r="X261" s="1077"/>
      <c r="Y261" s="1077"/>
    </row>
    <row r="262">
      <c r="A262" s="1068" t="s">
        <v>7466</v>
      </c>
      <c r="B262" s="1068" t="s">
        <v>550</v>
      </c>
      <c r="C262" s="1069" t="s">
        <v>446</v>
      </c>
      <c r="D262" s="1063">
        <f t="shared" si="11"/>
        <v>0</v>
      </c>
      <c r="E262" s="1084"/>
      <c r="F262" s="1071"/>
      <c r="G262" s="1071"/>
      <c r="H262" s="1072"/>
      <c r="I262" s="1072"/>
      <c r="J262" s="1071"/>
      <c r="K262" s="1072"/>
      <c r="L262" s="1072"/>
      <c r="M262" s="1072"/>
      <c r="N262" s="1071"/>
      <c r="O262" s="1072"/>
      <c r="P262" s="1072"/>
      <c r="Q262" s="1072"/>
      <c r="R262" s="1072"/>
      <c r="S262" s="1072"/>
      <c r="T262" s="1073"/>
      <c r="U262" s="1073"/>
      <c r="V262" s="1073"/>
      <c r="W262" s="1073"/>
      <c r="X262" s="1072"/>
      <c r="Y262" s="1072"/>
    </row>
    <row r="263">
      <c r="A263" s="1074" t="s">
        <v>7565</v>
      </c>
      <c r="B263" s="1074" t="s">
        <v>615</v>
      </c>
      <c r="C263" s="1075" t="s">
        <v>616</v>
      </c>
      <c r="D263" s="1063">
        <f t="shared" si="11"/>
        <v>0</v>
      </c>
      <c r="E263" s="1076"/>
      <c r="F263" s="1077"/>
      <c r="G263" s="1077"/>
      <c r="H263" s="1079"/>
      <c r="I263" s="1079"/>
      <c r="J263" s="1079"/>
      <c r="K263" s="1078"/>
      <c r="L263" s="1079"/>
      <c r="M263" s="1079"/>
      <c r="N263" s="1079"/>
      <c r="O263" s="1077"/>
      <c r="P263" s="1079"/>
      <c r="Q263" s="1077"/>
      <c r="R263" s="1077"/>
      <c r="S263" s="1077"/>
      <c r="T263" s="1077"/>
      <c r="U263" s="1079"/>
      <c r="V263" s="1077"/>
      <c r="W263" s="1077"/>
      <c r="X263" s="1077"/>
      <c r="Y263" s="1077"/>
    </row>
    <row r="264">
      <c r="A264" s="1068" t="s">
        <v>7556</v>
      </c>
      <c r="B264" s="1068" t="s">
        <v>655</v>
      </c>
      <c r="C264" s="1069" t="s">
        <v>656</v>
      </c>
      <c r="D264" s="1063">
        <f t="shared" si="11"/>
        <v>0</v>
      </c>
      <c r="E264" s="1084"/>
      <c r="F264" s="1073"/>
      <c r="G264" s="1073"/>
      <c r="H264" s="1072"/>
      <c r="I264" s="1072"/>
      <c r="J264" s="1071"/>
      <c r="K264" s="1072"/>
      <c r="L264" s="1072"/>
      <c r="M264" s="1073"/>
      <c r="N264" s="1073"/>
      <c r="O264" s="1072"/>
      <c r="P264" s="1073"/>
      <c r="Q264" s="1073"/>
      <c r="R264" s="1073"/>
      <c r="S264" s="1073"/>
      <c r="T264" s="1073"/>
      <c r="U264" s="1073"/>
      <c r="V264" s="1072"/>
      <c r="W264" s="1073"/>
      <c r="X264" s="1073"/>
      <c r="Y264" s="1073"/>
    </row>
    <row r="265">
      <c r="A265" s="1074" t="s">
        <v>7468</v>
      </c>
      <c r="B265" s="1074" t="s">
        <v>655</v>
      </c>
      <c r="C265" s="1075" t="s">
        <v>656</v>
      </c>
      <c r="D265" s="1063">
        <f t="shared" si="11"/>
        <v>0</v>
      </c>
      <c r="E265" s="1086"/>
      <c r="F265" s="1079"/>
      <c r="G265" s="1079"/>
      <c r="H265" s="1079"/>
      <c r="I265" s="1078"/>
      <c r="J265" s="1078"/>
      <c r="K265" s="1077"/>
      <c r="L265" s="1079"/>
      <c r="M265" s="1077"/>
      <c r="N265" s="1077"/>
      <c r="O265" s="1079"/>
      <c r="P265" s="1077"/>
      <c r="Q265" s="1077"/>
      <c r="R265" s="1077"/>
      <c r="S265" s="1079"/>
      <c r="T265" s="1077"/>
      <c r="U265" s="1079"/>
      <c r="V265" s="1077"/>
      <c r="W265" s="1077"/>
      <c r="X265" s="1077"/>
      <c r="Y265" s="1077"/>
    </row>
    <row r="266">
      <c r="A266" s="1068" t="s">
        <v>7425</v>
      </c>
      <c r="B266" s="1068" t="s">
        <v>655</v>
      </c>
      <c r="C266" s="1069" t="s">
        <v>656</v>
      </c>
      <c r="D266" s="1063">
        <f t="shared" si="11"/>
        <v>2</v>
      </c>
      <c r="E266" s="1084"/>
      <c r="F266" s="1071">
        <v>1.0</v>
      </c>
      <c r="G266" s="1071"/>
      <c r="H266" s="1072"/>
      <c r="I266" s="1072"/>
      <c r="J266" s="1072"/>
      <c r="K266" s="1071">
        <v>1.0</v>
      </c>
      <c r="L266" s="1072"/>
      <c r="M266" s="1072"/>
      <c r="N266" s="1072"/>
      <c r="O266" s="1072"/>
      <c r="P266" s="1072"/>
      <c r="Q266" s="1072"/>
      <c r="R266" s="1073"/>
      <c r="S266" s="1073"/>
      <c r="T266" s="1072"/>
      <c r="U266" s="1071"/>
      <c r="V266" s="1073"/>
      <c r="W266" s="1073"/>
      <c r="X266" s="1073"/>
      <c r="Y266" s="1073"/>
    </row>
    <row r="267">
      <c r="A267" s="1074" t="s">
        <v>7534</v>
      </c>
      <c r="B267" s="1074" t="s">
        <v>712</v>
      </c>
      <c r="C267" s="1075" t="s">
        <v>656</v>
      </c>
      <c r="D267" s="1063">
        <f t="shared" si="11"/>
        <v>0</v>
      </c>
      <c r="E267" s="1080"/>
      <c r="F267" s="1079"/>
      <c r="G267" s="1079"/>
      <c r="H267" s="1079"/>
      <c r="I267" s="1078"/>
      <c r="J267" s="1079"/>
      <c r="K267" s="1079"/>
      <c r="L267" s="1077"/>
      <c r="M267" s="1079"/>
      <c r="N267" s="1079"/>
      <c r="O267" s="1077"/>
      <c r="P267" s="1077"/>
      <c r="Q267" s="1079"/>
      <c r="R267" s="1077"/>
      <c r="S267" s="1077"/>
      <c r="T267" s="1077"/>
      <c r="U267" s="1077"/>
      <c r="V267" s="1077"/>
      <c r="W267" s="1077"/>
      <c r="X267" s="1077"/>
      <c r="Y267" s="1077"/>
    </row>
    <row r="268">
      <c r="A268" s="1068" t="s">
        <v>7383</v>
      </c>
      <c r="B268" s="1068" t="s">
        <v>647</v>
      </c>
      <c r="C268" s="1069" t="s">
        <v>627</v>
      </c>
      <c r="D268" s="1063">
        <f t="shared" si="11"/>
        <v>1</v>
      </c>
      <c r="E268" s="1082"/>
      <c r="F268" s="1071">
        <v>1.0</v>
      </c>
      <c r="G268" s="1071"/>
      <c r="H268" s="1072"/>
      <c r="I268" s="1072"/>
      <c r="J268" s="1071"/>
      <c r="K268" s="1072"/>
      <c r="L268" s="1072"/>
      <c r="M268" s="1072"/>
      <c r="N268" s="1072"/>
      <c r="O268" s="1072"/>
      <c r="P268" s="1073"/>
      <c r="Q268" s="1072"/>
      <c r="R268" s="1072"/>
      <c r="S268" s="1071"/>
      <c r="T268" s="1073"/>
      <c r="U268" s="1072"/>
      <c r="V268" s="1073"/>
      <c r="W268" s="1073"/>
      <c r="X268" s="1073"/>
      <c r="Y268" s="1073"/>
    </row>
    <row r="269">
      <c r="A269" s="1074" t="s">
        <v>7354</v>
      </c>
      <c r="B269" s="1074" t="s">
        <v>762</v>
      </c>
      <c r="C269" s="1075" t="s">
        <v>750</v>
      </c>
      <c r="D269" s="1063">
        <f t="shared" si="11"/>
        <v>0</v>
      </c>
      <c r="E269" s="1086"/>
      <c r="F269" s="1079"/>
      <c r="G269" s="1078"/>
      <c r="H269" s="1078"/>
      <c r="I269" s="1079"/>
      <c r="J269" s="1079"/>
      <c r="K269" s="1077"/>
      <c r="L269" s="1079"/>
      <c r="M269" s="1079"/>
      <c r="N269" s="1079"/>
      <c r="O269" s="1077"/>
      <c r="P269" s="1078"/>
      <c r="Q269" s="1079"/>
      <c r="R269" s="1079"/>
      <c r="S269" s="1079"/>
      <c r="T269" s="1079"/>
      <c r="U269" s="1077"/>
      <c r="V269" s="1077"/>
      <c r="W269" s="1077"/>
      <c r="X269" s="1077"/>
      <c r="Y269" s="1077"/>
    </row>
    <row r="270">
      <c r="A270" s="1068" t="s">
        <v>7273</v>
      </c>
      <c r="B270" s="1068" t="s">
        <v>757</v>
      </c>
      <c r="C270" s="1069" t="s">
        <v>750</v>
      </c>
      <c r="D270" s="1063">
        <f t="shared" si="11"/>
        <v>0</v>
      </c>
      <c r="E270" s="1084"/>
      <c r="F270" s="1071"/>
      <c r="G270" s="1073"/>
      <c r="H270" s="1072"/>
      <c r="I270" s="1071"/>
      <c r="J270" s="1072"/>
      <c r="K270" s="1073"/>
      <c r="L270" s="1072"/>
      <c r="M270" s="1072"/>
      <c r="N270" s="1073"/>
      <c r="O270" s="1072"/>
      <c r="P270" s="1072"/>
      <c r="Q270" s="1072"/>
      <c r="R270" s="1072"/>
      <c r="S270" s="1072"/>
      <c r="T270" s="1072"/>
      <c r="U270" s="1072"/>
      <c r="V270" s="1073"/>
      <c r="W270" s="1073"/>
      <c r="X270" s="1073"/>
      <c r="Y270" s="1073"/>
    </row>
    <row r="271">
      <c r="A271" s="1074" t="s">
        <v>7536</v>
      </c>
      <c r="B271" s="1074" t="s">
        <v>7537</v>
      </c>
      <c r="C271" s="1075" t="s">
        <v>770</v>
      </c>
      <c r="D271" s="1063">
        <f t="shared" si="11"/>
        <v>0</v>
      </c>
      <c r="E271" s="1080"/>
      <c r="F271" s="1077"/>
      <c r="G271" s="1077"/>
      <c r="H271" s="1078"/>
      <c r="I271" s="1078"/>
      <c r="J271" s="1078"/>
      <c r="K271" s="1079"/>
      <c r="L271" s="1079"/>
      <c r="M271" s="1079"/>
      <c r="N271" s="1079"/>
      <c r="O271" s="1077"/>
      <c r="P271" s="1079"/>
      <c r="Q271" s="1077"/>
      <c r="R271" s="1079"/>
      <c r="S271" s="1079"/>
      <c r="T271" s="1077"/>
      <c r="U271" s="1077"/>
      <c r="V271" s="1077"/>
      <c r="W271" s="1077"/>
      <c r="X271" s="1077"/>
      <c r="Y271" s="1077"/>
    </row>
    <row r="272">
      <c r="A272" s="1068" t="s">
        <v>7266</v>
      </c>
      <c r="B272" s="1140" t="s">
        <v>768</v>
      </c>
      <c r="C272" s="1083" t="s">
        <v>770</v>
      </c>
      <c r="D272" s="1058">
        <f t="shared" si="11"/>
        <v>0</v>
      </c>
      <c r="E272" s="1092"/>
      <c r="F272" s="1124"/>
      <c r="G272" s="1092"/>
      <c r="H272" s="1092"/>
      <c r="I272" s="1083"/>
      <c r="J272" s="1124"/>
      <c r="K272" s="1124"/>
      <c r="L272" s="1124"/>
      <c r="M272" s="1124"/>
      <c r="N272" s="1124"/>
      <c r="O272" s="1083"/>
      <c r="P272" s="1124"/>
      <c r="Q272" s="1124"/>
      <c r="R272" s="1124"/>
      <c r="S272" s="1092"/>
      <c r="T272" s="1092"/>
      <c r="U272" s="1124"/>
      <c r="V272" s="1124"/>
      <c r="W272" s="1124"/>
      <c r="X272" s="1124"/>
      <c r="Y272" s="1124"/>
    </row>
    <row r="273">
      <c r="A273" s="1074" t="s">
        <v>7274</v>
      </c>
      <c r="B273" s="1074" t="s">
        <v>784</v>
      </c>
      <c r="C273" s="1075" t="s">
        <v>770</v>
      </c>
      <c r="D273" s="1063">
        <f t="shared" si="11"/>
        <v>0</v>
      </c>
      <c r="E273" s="1086"/>
      <c r="F273" s="1079"/>
      <c r="G273" s="1078"/>
      <c r="H273" s="1079"/>
      <c r="I273" s="1079"/>
      <c r="J273" s="1078"/>
      <c r="K273" s="1079"/>
      <c r="L273" s="1078"/>
      <c r="M273" s="1079"/>
      <c r="N273" s="1079"/>
      <c r="O273" s="1079"/>
      <c r="P273" s="1079"/>
      <c r="Q273" s="1079"/>
      <c r="R273" s="1078"/>
      <c r="S273" s="1077"/>
      <c r="T273" s="1079"/>
      <c r="U273" s="1077"/>
      <c r="V273" s="1077"/>
      <c r="W273" s="1077"/>
      <c r="X273" s="1077"/>
      <c r="Y273" s="1077"/>
    </row>
    <row r="274">
      <c r="A274" s="1068" t="s">
        <v>7356</v>
      </c>
      <c r="B274" s="1068" t="s">
        <v>862</v>
      </c>
      <c r="C274" s="1069" t="s">
        <v>857</v>
      </c>
      <c r="D274" s="1063">
        <f t="shared" si="11"/>
        <v>0</v>
      </c>
      <c r="E274" s="1070"/>
      <c r="F274" s="1072"/>
      <c r="G274" s="1071"/>
      <c r="H274" s="1072"/>
      <c r="I274" s="1071"/>
      <c r="J274" s="1071"/>
      <c r="K274" s="1071"/>
      <c r="L274" s="1071"/>
      <c r="M274" s="1072"/>
      <c r="N274" s="1073"/>
      <c r="O274" s="1072"/>
      <c r="P274" s="1073"/>
      <c r="Q274" s="1073"/>
      <c r="R274" s="1073"/>
      <c r="S274" s="1072"/>
      <c r="T274" s="1072"/>
      <c r="U274" s="1073"/>
      <c r="V274" s="1073"/>
      <c r="W274" s="1073"/>
      <c r="X274" s="1073"/>
      <c r="Y274" s="1073"/>
    </row>
    <row r="275">
      <c r="A275" s="1074" t="s">
        <v>558</v>
      </c>
      <c r="B275" s="1074" t="s">
        <v>460</v>
      </c>
      <c r="C275" s="1075" t="s">
        <v>446</v>
      </c>
      <c r="D275" s="1063">
        <f t="shared" si="11"/>
        <v>0</v>
      </c>
      <c r="E275" s="1086"/>
      <c r="F275" s="1079"/>
      <c r="G275" s="1078"/>
      <c r="H275" s="1079"/>
      <c r="I275" s="1079"/>
      <c r="J275" s="1079"/>
      <c r="K275" s="1079"/>
      <c r="L275" s="1078"/>
      <c r="M275" s="1077"/>
      <c r="N275" s="1078"/>
      <c r="O275" s="1079"/>
      <c r="P275" s="1079"/>
      <c r="Q275" s="1077"/>
      <c r="R275" s="1079"/>
      <c r="S275" s="1079"/>
      <c r="T275" s="1077"/>
      <c r="U275" s="1077"/>
      <c r="V275" s="1077"/>
      <c r="W275" s="1077"/>
      <c r="X275" s="1077"/>
      <c r="Y275" s="1077"/>
    </row>
    <row r="276">
      <c r="A276" s="1068" t="s">
        <v>7229</v>
      </c>
      <c r="B276" s="1068" t="s">
        <v>499</v>
      </c>
      <c r="C276" s="1069" t="s">
        <v>446</v>
      </c>
      <c r="D276" s="1063">
        <f t="shared" si="11"/>
        <v>9</v>
      </c>
      <c r="E276" s="1070"/>
      <c r="F276" s="1071">
        <v>2.0</v>
      </c>
      <c r="G276" s="1071">
        <v>2.0</v>
      </c>
      <c r="H276" s="1071"/>
      <c r="I276" s="1071">
        <v>2.0</v>
      </c>
      <c r="J276" s="1072"/>
      <c r="K276" s="1071">
        <v>1.0</v>
      </c>
      <c r="L276" s="1071"/>
      <c r="M276" s="1073"/>
      <c r="N276" s="1072"/>
      <c r="O276" s="1071">
        <v>1.0</v>
      </c>
      <c r="P276" s="1071">
        <v>1.0</v>
      </c>
      <c r="Q276" s="1073"/>
      <c r="R276" s="1072"/>
      <c r="S276" s="1073"/>
      <c r="T276" s="1073"/>
      <c r="U276" s="1072"/>
      <c r="V276" s="1073"/>
      <c r="W276" s="1073"/>
      <c r="X276" s="1073"/>
      <c r="Y276" s="1073"/>
    </row>
    <row r="277">
      <c r="A277" s="1074" t="s">
        <v>7210</v>
      </c>
      <c r="B277" s="1074" t="s">
        <v>1014</v>
      </c>
      <c r="C277" s="1075" t="s">
        <v>895</v>
      </c>
      <c r="D277" s="1063">
        <f t="shared" si="11"/>
        <v>0</v>
      </c>
      <c r="E277" s="1080"/>
      <c r="F277" s="1078"/>
      <c r="G277" s="1078"/>
      <c r="H277" s="1078"/>
      <c r="I277" s="1078"/>
      <c r="J277" s="1078"/>
      <c r="K277" s="1079"/>
      <c r="L277" s="1079"/>
      <c r="M277" s="1077"/>
      <c r="N277" s="1079"/>
      <c r="O277" s="1079"/>
      <c r="P277" s="1079"/>
      <c r="Q277" s="1079"/>
      <c r="R277" s="1079"/>
      <c r="S277" s="1079"/>
      <c r="T277" s="1077"/>
      <c r="U277" s="1077"/>
      <c r="V277" s="1077"/>
      <c r="W277" s="1077"/>
      <c r="X277" s="1077"/>
      <c r="Y277" s="1077"/>
    </row>
    <row r="278">
      <c r="A278" s="1068" t="s">
        <v>7391</v>
      </c>
      <c r="B278" s="1068" t="s">
        <v>990</v>
      </c>
      <c r="C278" s="1069" t="s">
        <v>895</v>
      </c>
      <c r="D278" s="1063">
        <f t="shared" si="11"/>
        <v>0</v>
      </c>
      <c r="E278" s="1082"/>
      <c r="F278" s="1073"/>
      <c r="G278" s="1073"/>
      <c r="H278" s="1072"/>
      <c r="I278" s="1072"/>
      <c r="J278" s="1072"/>
      <c r="K278" s="1072"/>
      <c r="L278" s="1072"/>
      <c r="M278" s="1072"/>
      <c r="N278" s="1072"/>
      <c r="O278" s="1072"/>
      <c r="P278" s="1072"/>
      <c r="Q278" s="1072"/>
      <c r="R278" s="1073"/>
      <c r="S278" s="1073"/>
      <c r="T278" s="1073"/>
      <c r="U278" s="1073"/>
      <c r="V278" s="1073"/>
      <c r="W278" s="1073"/>
      <c r="X278" s="1073"/>
      <c r="Y278" s="1073"/>
    </row>
    <row r="279">
      <c r="A279" s="1074" t="s">
        <v>7306</v>
      </c>
      <c r="B279" s="1074" t="s">
        <v>1030</v>
      </c>
      <c r="C279" s="1075" t="s">
        <v>1032</v>
      </c>
      <c r="D279" s="1063">
        <f t="shared" si="11"/>
        <v>0</v>
      </c>
      <c r="E279" s="1080"/>
      <c r="F279" s="1078"/>
      <c r="G279" s="1078"/>
      <c r="H279" s="1078"/>
      <c r="I279" s="1078"/>
      <c r="J279" s="1077"/>
      <c r="K279" s="1078"/>
      <c r="L279" s="1077"/>
      <c r="M279" s="1077"/>
      <c r="N279" s="1078"/>
      <c r="O279" s="1079"/>
      <c r="P279" s="1077"/>
      <c r="Q279" s="1077"/>
      <c r="R279" s="1077"/>
      <c r="S279" s="1077"/>
      <c r="T279" s="1079"/>
      <c r="U279" s="1077"/>
      <c r="V279" s="1077"/>
      <c r="W279" s="1077"/>
      <c r="X279" s="1077"/>
      <c r="Y279" s="1077"/>
    </row>
    <row r="280">
      <c r="A280" s="1068" t="s">
        <v>7290</v>
      </c>
      <c r="B280" s="1068" t="s">
        <v>946</v>
      </c>
      <c r="C280" s="1069" t="s">
        <v>1083</v>
      </c>
      <c r="D280" s="1063">
        <f t="shared" si="11"/>
        <v>0</v>
      </c>
      <c r="E280" s="1082"/>
      <c r="F280" s="1073"/>
      <c r="G280" s="1071"/>
      <c r="H280" s="1072"/>
      <c r="I280" s="1072"/>
      <c r="J280" s="1073"/>
      <c r="K280" s="1072"/>
      <c r="L280" s="1072"/>
      <c r="M280" s="1072"/>
      <c r="N280" s="1072"/>
      <c r="O280" s="1072"/>
      <c r="P280" s="1072"/>
      <c r="Q280" s="1072"/>
      <c r="R280" s="1072"/>
      <c r="S280" s="1072"/>
      <c r="T280" s="1073"/>
      <c r="U280" s="1073"/>
      <c r="V280" s="1072"/>
      <c r="W280" s="1072"/>
      <c r="X280" s="1073"/>
      <c r="Y280" s="1073"/>
    </row>
    <row r="281">
      <c r="A281" s="1074" t="s">
        <v>7392</v>
      </c>
      <c r="B281" s="1074" t="s">
        <v>1061</v>
      </c>
      <c r="C281" s="1075" t="s">
        <v>1051</v>
      </c>
      <c r="D281" s="1063">
        <f t="shared" si="11"/>
        <v>0</v>
      </c>
      <c r="E281" s="1086"/>
      <c r="F281" s="1079"/>
      <c r="G281" s="1079"/>
      <c r="H281" s="1078"/>
      <c r="I281" s="1078"/>
      <c r="J281" s="1078"/>
      <c r="K281" s="1079"/>
      <c r="L281" s="1077"/>
      <c r="M281" s="1078"/>
      <c r="N281" s="1077"/>
      <c r="O281" s="1079"/>
      <c r="P281" s="1077"/>
      <c r="Q281" s="1077"/>
      <c r="R281" s="1077"/>
      <c r="S281" s="1079"/>
      <c r="T281" s="1077"/>
      <c r="U281" s="1077"/>
      <c r="V281" s="1077"/>
      <c r="W281" s="1077"/>
      <c r="X281" s="1077"/>
      <c r="Y281" s="1077"/>
    </row>
    <row r="282">
      <c r="A282" s="1068" t="s">
        <v>7541</v>
      </c>
      <c r="B282" s="1068" t="s">
        <v>757</v>
      </c>
      <c r="C282" s="1069" t="s">
        <v>1051</v>
      </c>
      <c r="D282" s="1063">
        <f t="shared" si="11"/>
        <v>0</v>
      </c>
      <c r="E282" s="1070"/>
      <c r="F282" s="1071"/>
      <c r="G282" s="1071"/>
      <c r="H282" s="1072"/>
      <c r="I282" s="1072"/>
      <c r="J282" s="1072"/>
      <c r="K282" s="1072"/>
      <c r="L282" s="1072"/>
      <c r="M282" s="1072"/>
      <c r="N282" s="1073"/>
      <c r="O282" s="1072"/>
      <c r="P282" s="1072"/>
      <c r="Q282" s="1072"/>
      <c r="R282" s="1072"/>
      <c r="S282" s="1072"/>
      <c r="T282" s="1072"/>
      <c r="U282" s="1073"/>
      <c r="V282" s="1072"/>
      <c r="W282" s="1073"/>
      <c r="X282" s="1072"/>
      <c r="Y282" s="1072"/>
    </row>
    <row r="283">
      <c r="A283" s="1074" t="s">
        <v>7257</v>
      </c>
      <c r="B283" s="1074" t="s">
        <v>1134</v>
      </c>
      <c r="C283" s="1075" t="s">
        <v>1136</v>
      </c>
      <c r="D283" s="1063">
        <f t="shared" si="11"/>
        <v>0</v>
      </c>
      <c r="E283" s="1086"/>
      <c r="F283" s="1078"/>
      <c r="G283" s="1078"/>
      <c r="H283" s="1079"/>
      <c r="I283" s="1079"/>
      <c r="J283" s="1079"/>
      <c r="K283" s="1079"/>
      <c r="L283" s="1079"/>
      <c r="M283" s="1079"/>
      <c r="N283" s="1077"/>
      <c r="O283" s="1079"/>
      <c r="P283" s="1079"/>
      <c r="Q283" s="1078"/>
      <c r="R283" s="1079"/>
      <c r="S283" s="1077"/>
      <c r="T283" s="1079"/>
      <c r="U283" s="1077"/>
      <c r="V283" s="1077"/>
      <c r="W283" s="1079"/>
      <c r="X283" s="1077"/>
      <c r="Y283" s="1077"/>
    </row>
    <row r="284">
      <c r="A284" s="1068" t="s">
        <v>7438</v>
      </c>
      <c r="B284" s="1068" t="s">
        <v>1245</v>
      </c>
      <c r="C284" s="1069" t="s">
        <v>1247</v>
      </c>
      <c r="D284" s="1063">
        <f t="shared" si="11"/>
        <v>0</v>
      </c>
      <c r="E284" s="1082"/>
      <c r="F284" s="1073"/>
      <c r="G284" s="1073"/>
      <c r="H284" s="1072"/>
      <c r="I284" s="1072"/>
      <c r="J284" s="1072"/>
      <c r="K284" s="1072"/>
      <c r="L284" s="1072"/>
      <c r="M284" s="1072"/>
      <c r="N284" s="1072"/>
      <c r="O284" s="1072"/>
      <c r="P284" s="1072"/>
      <c r="Q284" s="1073"/>
      <c r="R284" s="1073"/>
      <c r="S284" s="1073"/>
      <c r="T284" s="1073"/>
      <c r="U284" s="1073"/>
      <c r="V284" s="1073"/>
      <c r="W284" s="1073"/>
      <c r="X284" s="1073"/>
      <c r="Y284" s="1073"/>
    </row>
    <row r="285">
      <c r="A285" s="1074" t="s">
        <v>7280</v>
      </c>
      <c r="B285" s="1074" t="s">
        <v>1115</v>
      </c>
      <c r="C285" s="1075" t="s">
        <v>1091</v>
      </c>
      <c r="D285" s="1063">
        <f t="shared" si="11"/>
        <v>0</v>
      </c>
      <c r="E285" s="1080"/>
      <c r="F285" s="1078"/>
      <c r="G285" s="1078"/>
      <c r="H285" s="1078"/>
      <c r="I285" s="1078"/>
      <c r="J285" s="1077"/>
      <c r="K285" s="1078"/>
      <c r="L285" s="1078"/>
      <c r="M285" s="1078"/>
      <c r="N285" s="1077"/>
      <c r="O285" s="1079"/>
      <c r="P285" s="1079"/>
      <c r="Q285" s="1077"/>
      <c r="R285" s="1077"/>
      <c r="S285" s="1077"/>
      <c r="T285" s="1077"/>
      <c r="U285" s="1077"/>
      <c r="V285" s="1077"/>
      <c r="W285" s="1079"/>
      <c r="X285" s="1079"/>
      <c r="Y285" s="1079"/>
    </row>
    <row r="286">
      <c r="A286" s="1068" t="s">
        <v>7480</v>
      </c>
      <c r="B286" s="1068" t="s">
        <v>1130</v>
      </c>
      <c r="C286" s="1069" t="s">
        <v>1132</v>
      </c>
      <c r="D286" s="1063">
        <f t="shared" si="11"/>
        <v>0</v>
      </c>
      <c r="E286" s="1084"/>
      <c r="F286" s="1073"/>
      <c r="G286" s="1071"/>
      <c r="H286" s="1071"/>
      <c r="I286" s="1072"/>
      <c r="J286" s="1072"/>
      <c r="K286" s="1072"/>
      <c r="L286" s="1072"/>
      <c r="M286" s="1072"/>
      <c r="N286" s="1072"/>
      <c r="O286" s="1072"/>
      <c r="P286" s="1071"/>
      <c r="Q286" s="1072"/>
      <c r="R286" s="1072"/>
      <c r="S286" s="1073"/>
      <c r="T286" s="1072"/>
      <c r="U286" s="1072"/>
      <c r="V286" s="1071"/>
      <c r="W286" s="1071"/>
      <c r="X286" s="1073"/>
      <c r="Y286" s="1073"/>
    </row>
    <row r="287">
      <c r="A287" s="1074" t="s">
        <v>7365</v>
      </c>
      <c r="B287" s="1074" t="s">
        <v>1613</v>
      </c>
      <c r="C287" s="1075" t="s">
        <v>1602</v>
      </c>
      <c r="D287" s="1063">
        <f t="shared" si="11"/>
        <v>0</v>
      </c>
      <c r="E287" s="1076"/>
      <c r="F287" s="1079"/>
      <c r="G287" s="1078"/>
      <c r="H287" s="1077"/>
      <c r="I287" s="1078"/>
      <c r="J287" s="1077"/>
      <c r="K287" s="1078"/>
      <c r="L287" s="1079"/>
      <c r="M287" s="1079"/>
      <c r="N287" s="1079"/>
      <c r="O287" s="1077"/>
      <c r="P287" s="1077"/>
      <c r="Q287" s="1077"/>
      <c r="R287" s="1077"/>
      <c r="S287" s="1077"/>
      <c r="T287" s="1079"/>
      <c r="U287" s="1077"/>
      <c r="V287" s="1077"/>
      <c r="W287" s="1077"/>
      <c r="X287" s="1077"/>
      <c r="Y287" s="1077"/>
    </row>
    <row r="288">
      <c r="A288" s="1068" t="s">
        <v>7403</v>
      </c>
      <c r="B288" s="1068" t="s">
        <v>1600</v>
      </c>
      <c r="C288" s="1069" t="s">
        <v>1602</v>
      </c>
      <c r="D288" s="1063">
        <f t="shared" si="11"/>
        <v>0</v>
      </c>
      <c r="E288" s="1082"/>
      <c r="F288" s="1073"/>
      <c r="G288" s="1071"/>
      <c r="H288" s="1071"/>
      <c r="I288" s="1072"/>
      <c r="J288" s="1071"/>
      <c r="K288" s="1072"/>
      <c r="L288" s="1071"/>
      <c r="M288" s="1073"/>
      <c r="N288" s="1072"/>
      <c r="O288" s="1072"/>
      <c r="P288" s="1072"/>
      <c r="Q288" s="1073"/>
      <c r="R288" s="1073"/>
      <c r="S288" s="1072"/>
      <c r="T288" s="1073"/>
      <c r="U288" s="1072"/>
      <c r="V288" s="1073"/>
      <c r="W288" s="1073"/>
      <c r="X288" s="1073"/>
      <c r="Y288" s="1073"/>
    </row>
    <row r="289">
      <c r="A289" s="1074" t="s">
        <v>7450</v>
      </c>
      <c r="B289" s="1074" t="s">
        <v>1679</v>
      </c>
      <c r="C289" s="1075" t="s">
        <v>1646</v>
      </c>
      <c r="D289" s="1063">
        <f t="shared" si="11"/>
        <v>0</v>
      </c>
      <c r="E289" s="1080"/>
      <c r="F289" s="1078"/>
      <c r="G289" s="1077"/>
      <c r="H289" s="1079"/>
      <c r="I289" s="1079"/>
      <c r="J289" s="1079"/>
      <c r="K289" s="1079"/>
      <c r="L289" s="1079"/>
      <c r="M289" s="1079"/>
      <c r="N289" s="1077"/>
      <c r="O289" s="1079"/>
      <c r="P289" s="1079"/>
      <c r="Q289" s="1079"/>
      <c r="R289" s="1079"/>
      <c r="S289" s="1079"/>
      <c r="T289" s="1077"/>
      <c r="U289" s="1077"/>
      <c r="V289" s="1077"/>
      <c r="W289" s="1077"/>
      <c r="X289" s="1077"/>
      <c r="Y289" s="1077"/>
    </row>
    <row r="290">
      <c r="A290" s="1068" t="s">
        <v>7562</v>
      </c>
      <c r="B290" s="1068" t="s">
        <v>1939</v>
      </c>
      <c r="C290" s="1069" t="s">
        <v>1933</v>
      </c>
      <c r="D290" s="1063">
        <f t="shared" si="11"/>
        <v>0</v>
      </c>
      <c r="E290" s="1084"/>
      <c r="F290" s="1071"/>
      <c r="G290" s="1072"/>
      <c r="H290" s="1073"/>
      <c r="I290" s="1073"/>
      <c r="J290" s="1073"/>
      <c r="K290" s="1073"/>
      <c r="L290" s="1072"/>
      <c r="M290" s="1072"/>
      <c r="N290" s="1072"/>
      <c r="O290" s="1072"/>
      <c r="P290" s="1073"/>
      <c r="Q290" s="1073"/>
      <c r="R290" s="1073"/>
      <c r="S290" s="1072"/>
      <c r="T290" s="1073"/>
      <c r="U290" s="1073"/>
      <c r="V290" s="1073"/>
      <c r="W290" s="1073"/>
      <c r="X290" s="1073"/>
      <c r="Y290" s="1073"/>
    </row>
    <row r="291">
      <c r="A291" s="1074" t="s">
        <v>7313</v>
      </c>
      <c r="B291" s="1074" t="s">
        <v>1038</v>
      </c>
      <c r="C291" s="1075" t="s">
        <v>1278</v>
      </c>
      <c r="D291" s="1063">
        <f t="shared" si="11"/>
        <v>1</v>
      </c>
      <c r="E291" s="1080">
        <v>1.0</v>
      </c>
      <c r="F291" s="1078"/>
      <c r="G291" s="1078"/>
      <c r="H291" s="1078"/>
      <c r="I291" s="1078"/>
      <c r="J291" s="1078"/>
      <c r="K291" s="1079"/>
      <c r="L291" s="1077"/>
      <c r="M291" s="1077"/>
      <c r="N291" s="1077"/>
      <c r="O291" s="1077"/>
      <c r="P291" s="1077"/>
      <c r="Q291" s="1077"/>
      <c r="R291" s="1078"/>
      <c r="S291" s="1077"/>
      <c r="T291" s="1077"/>
      <c r="U291" s="1077"/>
      <c r="V291" s="1077"/>
      <c r="W291" s="1077"/>
      <c r="X291" s="1079"/>
      <c r="Y291" s="1079"/>
    </row>
    <row r="292">
      <c r="A292" s="1068" t="s">
        <v>7455</v>
      </c>
      <c r="B292" s="1068" t="s">
        <v>1990</v>
      </c>
      <c r="C292" s="1069" t="s">
        <v>1991</v>
      </c>
      <c r="D292" s="1063">
        <f t="shared" si="11"/>
        <v>0</v>
      </c>
      <c r="E292" s="1084"/>
      <c r="F292" s="1073"/>
      <c r="G292" s="1073"/>
      <c r="H292" s="1072"/>
      <c r="I292" s="1072"/>
      <c r="J292" s="1072"/>
      <c r="K292" s="1071"/>
      <c r="L292" s="1072"/>
      <c r="M292" s="1071"/>
      <c r="N292" s="1071"/>
      <c r="O292" s="1071"/>
      <c r="P292" s="1073"/>
      <c r="Q292" s="1073"/>
      <c r="R292" s="1073"/>
      <c r="S292" s="1072"/>
      <c r="T292" s="1072"/>
      <c r="U292" s="1073"/>
      <c r="V292" s="1073"/>
      <c r="W292" s="1072"/>
      <c r="X292" s="1072"/>
      <c r="Y292" s="1072"/>
    </row>
    <row r="293">
      <c r="A293" s="1074" t="s">
        <v>7353</v>
      </c>
      <c r="B293" s="1074" t="s">
        <v>445</v>
      </c>
      <c r="C293" s="1075" t="s">
        <v>446</v>
      </c>
      <c r="D293" s="1063">
        <f t="shared" si="11"/>
        <v>1</v>
      </c>
      <c r="E293" s="1086"/>
      <c r="F293" s="1078"/>
      <c r="G293" s="1078"/>
      <c r="H293" s="1101"/>
      <c r="I293" s="1078">
        <v>1.0</v>
      </c>
      <c r="J293" s="1079"/>
      <c r="K293" s="1078"/>
      <c r="L293" s="1079"/>
      <c r="M293" s="1079"/>
      <c r="N293" s="1079"/>
      <c r="O293" s="1078"/>
      <c r="P293" s="1078"/>
      <c r="Q293" s="1079"/>
      <c r="R293" s="1079"/>
      <c r="S293" s="1077"/>
      <c r="T293" s="1077"/>
      <c r="U293" s="1079"/>
      <c r="V293" s="1077"/>
      <c r="W293" s="1077"/>
      <c r="X293" s="1077"/>
      <c r="Y293" s="1077"/>
    </row>
    <row r="294">
      <c r="A294" s="1068" t="s">
        <v>299</v>
      </c>
      <c r="B294" s="1068" t="s">
        <v>161</v>
      </c>
      <c r="C294" s="1069" t="s">
        <v>114</v>
      </c>
      <c r="D294" s="1063">
        <f t="shared" si="11"/>
        <v>0</v>
      </c>
      <c r="E294" s="1070"/>
      <c r="F294" s="1071"/>
      <c r="G294" s="1073"/>
      <c r="H294" s="1071"/>
      <c r="I294" s="1072"/>
      <c r="J294" s="1073"/>
      <c r="K294" s="1072"/>
      <c r="L294" s="1072"/>
      <c r="M294" s="1072"/>
      <c r="N294" s="1073"/>
      <c r="O294" s="1072"/>
      <c r="P294" s="1073"/>
      <c r="Q294" s="1073"/>
      <c r="R294" s="1072"/>
      <c r="S294" s="1071"/>
      <c r="T294" s="1073"/>
      <c r="U294" s="1073"/>
      <c r="V294" s="1073"/>
      <c r="W294" s="1073"/>
      <c r="X294" s="1073"/>
      <c r="Y294" s="1073"/>
    </row>
    <row r="295">
      <c r="A295" s="1074" t="s">
        <v>7456</v>
      </c>
      <c r="B295" s="1074" t="s">
        <v>2033</v>
      </c>
      <c r="C295" s="1075" t="s">
        <v>1999</v>
      </c>
      <c r="D295" s="1063">
        <f t="shared" si="11"/>
        <v>0</v>
      </c>
      <c r="E295" s="1086"/>
      <c r="F295" s="1079"/>
      <c r="G295" s="1079"/>
      <c r="H295" s="1078"/>
      <c r="I295" s="1079"/>
      <c r="J295" s="1079"/>
      <c r="K295" s="1078"/>
      <c r="L295" s="1078"/>
      <c r="M295" s="1077"/>
      <c r="N295" s="1077"/>
      <c r="O295" s="1079"/>
      <c r="P295" s="1079"/>
      <c r="Q295" s="1079"/>
      <c r="R295" s="1078"/>
      <c r="S295" s="1077"/>
      <c r="T295" s="1077"/>
      <c r="U295" s="1077"/>
      <c r="V295" s="1079"/>
      <c r="W295" s="1079"/>
      <c r="X295" s="1077"/>
      <c r="Y295" s="1077"/>
    </row>
    <row r="296">
      <c r="A296" s="1068" t="s">
        <v>7317</v>
      </c>
      <c r="B296" s="1068" t="s">
        <v>2014</v>
      </c>
      <c r="C296" s="1069" t="s">
        <v>1999</v>
      </c>
      <c r="D296" s="1063">
        <f t="shared" si="11"/>
        <v>0</v>
      </c>
      <c r="E296" s="1070"/>
      <c r="F296" s="1073"/>
      <c r="G296" s="1073"/>
      <c r="H296" s="1073"/>
      <c r="I296" s="1073"/>
      <c r="J296" s="1072"/>
      <c r="K296" s="1073"/>
      <c r="L296" s="1072"/>
      <c r="M296" s="1073"/>
      <c r="N296" s="1073"/>
      <c r="O296" s="1073"/>
      <c r="P296" s="1073"/>
      <c r="Q296" s="1073"/>
      <c r="R296" s="1072"/>
      <c r="S296" s="1073"/>
      <c r="T296" s="1072"/>
      <c r="U296" s="1073"/>
      <c r="V296" s="1073"/>
      <c r="W296" s="1073"/>
      <c r="X296" s="1073"/>
      <c r="Y296" s="1073"/>
    </row>
    <row r="297">
      <c r="A297" s="1074" t="s">
        <v>7246</v>
      </c>
      <c r="B297" s="1074" t="s">
        <v>2020</v>
      </c>
      <c r="C297" s="1075" t="s">
        <v>1999</v>
      </c>
      <c r="D297" s="1063">
        <f t="shared" si="11"/>
        <v>0</v>
      </c>
      <c r="E297" s="1080"/>
      <c r="F297" s="1078"/>
      <c r="G297" s="1078"/>
      <c r="H297" s="1078"/>
      <c r="I297" s="1077"/>
      <c r="J297" s="1078"/>
      <c r="K297" s="1077"/>
      <c r="L297" s="1079"/>
      <c r="M297" s="1077"/>
      <c r="N297" s="1077"/>
      <c r="O297" s="1077"/>
      <c r="P297" s="1077"/>
      <c r="Q297" s="1077"/>
      <c r="R297" s="1079"/>
      <c r="S297" s="1077"/>
      <c r="T297" s="1079"/>
      <c r="U297" s="1077"/>
      <c r="V297" s="1077"/>
      <c r="W297" s="1077"/>
      <c r="X297" s="1077"/>
      <c r="Y297" s="1077"/>
    </row>
    <row r="298">
      <c r="A298" s="1068" t="s">
        <v>7319</v>
      </c>
      <c r="B298" s="1068" t="s">
        <v>1998</v>
      </c>
      <c r="C298" s="1069" t="s">
        <v>1999</v>
      </c>
      <c r="D298" s="1063">
        <f t="shared" si="11"/>
        <v>0</v>
      </c>
      <c r="E298" s="1084"/>
      <c r="F298" s="1073"/>
      <c r="G298" s="1073"/>
      <c r="H298" s="1073"/>
      <c r="I298" s="1071"/>
      <c r="J298" s="1073"/>
      <c r="K298" s="1073"/>
      <c r="L298" s="1072"/>
      <c r="M298" s="1073"/>
      <c r="N298" s="1073"/>
      <c r="O298" s="1073"/>
      <c r="P298" s="1073"/>
      <c r="Q298" s="1073"/>
      <c r="R298" s="1073"/>
      <c r="S298" s="1073"/>
      <c r="T298" s="1073"/>
      <c r="U298" s="1073"/>
      <c r="V298" s="1073"/>
      <c r="W298" s="1073"/>
      <c r="X298" s="1073"/>
      <c r="Y298" s="1073"/>
    </row>
    <row r="299">
      <c r="A299" s="1074" t="s">
        <v>7410</v>
      </c>
      <c r="B299" s="1074" t="s">
        <v>2099</v>
      </c>
      <c r="C299" s="1075" t="s">
        <v>2045</v>
      </c>
      <c r="D299" s="1063">
        <f t="shared" si="11"/>
        <v>0</v>
      </c>
      <c r="E299" s="1080"/>
      <c r="F299" s="1077"/>
      <c r="G299" s="1077"/>
      <c r="H299" s="1077"/>
      <c r="I299" s="1078"/>
      <c r="J299" s="1078"/>
      <c r="K299" s="1077"/>
      <c r="L299" s="1079"/>
      <c r="M299" s="1077"/>
      <c r="N299" s="1078"/>
      <c r="O299" s="1077"/>
      <c r="P299" s="1077"/>
      <c r="Q299" s="1077"/>
      <c r="R299" s="1079"/>
      <c r="S299" s="1077"/>
      <c r="T299" s="1079"/>
      <c r="U299" s="1077"/>
      <c r="V299" s="1077"/>
      <c r="W299" s="1077"/>
      <c r="X299" s="1077"/>
      <c r="Y299" s="1077"/>
    </row>
    <row r="300">
      <c r="A300" s="1154" t="s">
        <v>7566</v>
      </c>
      <c r="B300" s="1068" t="s">
        <v>2044</v>
      </c>
      <c r="C300" s="1069" t="s">
        <v>2045</v>
      </c>
      <c r="D300" s="1063">
        <f t="shared" si="11"/>
        <v>1</v>
      </c>
      <c r="E300" s="329"/>
      <c r="F300" s="1071"/>
      <c r="G300" s="1073"/>
      <c r="H300" s="1073"/>
      <c r="I300" s="1071"/>
      <c r="J300" s="1072"/>
      <c r="K300" s="1073"/>
      <c r="L300" s="1072"/>
      <c r="M300" s="1073"/>
      <c r="N300" s="1073"/>
      <c r="O300" s="1073"/>
      <c r="P300" s="1073"/>
      <c r="Q300" s="1073"/>
      <c r="R300" s="1072"/>
      <c r="S300" s="1071">
        <v>1.0</v>
      </c>
      <c r="T300" s="1072"/>
      <c r="U300" s="1073"/>
      <c r="V300" s="1073"/>
      <c r="W300" s="1073"/>
      <c r="X300" s="1073"/>
      <c r="Y300" s="1073"/>
    </row>
    <row r="301">
      <c r="A301" s="1074" t="s">
        <v>7518</v>
      </c>
      <c r="B301" s="1074" t="s">
        <v>2168</v>
      </c>
      <c r="C301" s="1075" t="s">
        <v>2045</v>
      </c>
      <c r="D301" s="1063">
        <f t="shared" si="11"/>
        <v>0</v>
      </c>
      <c r="E301" s="1076"/>
      <c r="F301" s="1078"/>
      <c r="G301" s="1077"/>
      <c r="H301" s="1078"/>
      <c r="I301" s="1077"/>
      <c r="J301" s="1079"/>
      <c r="K301" s="1077"/>
      <c r="L301" s="1079"/>
      <c r="M301" s="1077"/>
      <c r="N301" s="1077"/>
      <c r="O301" s="1077"/>
      <c r="P301" s="1078"/>
      <c r="Q301" s="1077"/>
      <c r="R301" s="1079"/>
      <c r="S301" s="1077"/>
      <c r="T301" s="1079"/>
      <c r="U301" s="1077"/>
      <c r="V301" s="1077"/>
      <c r="W301" s="1077"/>
      <c r="X301" s="1077"/>
      <c r="Y301" s="1077"/>
    </row>
    <row r="302">
      <c r="A302" s="1068" t="s">
        <v>7325</v>
      </c>
      <c r="B302" s="1068" t="s">
        <v>2183</v>
      </c>
      <c r="C302" s="1069" t="s">
        <v>2045</v>
      </c>
      <c r="D302" s="1063">
        <f t="shared" si="11"/>
        <v>1</v>
      </c>
      <c r="E302" s="1082"/>
      <c r="F302" s="1071"/>
      <c r="G302" s="1073"/>
      <c r="H302" s="1071"/>
      <c r="I302" s="1071"/>
      <c r="J302" s="1072"/>
      <c r="K302" s="1073"/>
      <c r="L302" s="1071">
        <v>1.0</v>
      </c>
      <c r="M302" s="1073"/>
      <c r="N302" s="1071"/>
      <c r="O302" s="1073"/>
      <c r="P302" s="1073"/>
      <c r="Q302" s="1073"/>
      <c r="R302" s="1072"/>
      <c r="S302" s="1073"/>
      <c r="T302" s="1072"/>
      <c r="U302" s="1073"/>
      <c r="V302" s="1073"/>
      <c r="W302" s="1073"/>
      <c r="X302" s="1073"/>
      <c r="Y302" s="1073"/>
    </row>
    <row r="303">
      <c r="A303" s="1074" t="s">
        <v>7283</v>
      </c>
      <c r="B303" s="1074" t="s">
        <v>2141</v>
      </c>
      <c r="C303" s="1075" t="s">
        <v>2045</v>
      </c>
      <c r="D303" s="1063">
        <f t="shared" si="11"/>
        <v>1</v>
      </c>
      <c r="E303" s="1080"/>
      <c r="F303" s="1078"/>
      <c r="G303" s="1077"/>
      <c r="H303" s="1078"/>
      <c r="I303" s="1077"/>
      <c r="J303" s="1077"/>
      <c r="K303" s="1079"/>
      <c r="L303" s="1079"/>
      <c r="M303" s="1079"/>
      <c r="N303" s="1077"/>
      <c r="O303" s="1079"/>
      <c r="P303" s="1077"/>
      <c r="Q303" s="1079"/>
      <c r="R303" s="1078">
        <v>1.0</v>
      </c>
      <c r="S303" s="1077"/>
      <c r="T303" s="1077"/>
      <c r="U303" s="1079"/>
      <c r="V303" s="1077"/>
      <c r="W303" s="1077"/>
      <c r="X303" s="1077"/>
      <c r="Y303" s="1077"/>
    </row>
    <row r="304">
      <c r="A304" s="1068" t="s">
        <v>7564</v>
      </c>
      <c r="B304" s="1068" t="s">
        <v>2153</v>
      </c>
      <c r="C304" s="1069" t="s">
        <v>2045</v>
      </c>
      <c r="D304" s="1063">
        <f t="shared" si="11"/>
        <v>0</v>
      </c>
      <c r="E304" s="1082"/>
      <c r="F304" s="1071"/>
      <c r="G304" s="1071"/>
      <c r="H304" s="1071"/>
      <c r="I304" s="1073"/>
      <c r="J304" s="1072"/>
      <c r="K304" s="1073"/>
      <c r="L304" s="1072"/>
      <c r="M304" s="1073"/>
      <c r="N304" s="1071"/>
      <c r="O304" s="1073"/>
      <c r="P304" s="1073"/>
      <c r="Q304" s="1073"/>
      <c r="R304" s="1072"/>
      <c r="S304" s="1073"/>
      <c r="T304" s="1072"/>
      <c r="U304" s="1073"/>
      <c r="V304" s="1073"/>
      <c r="W304" s="1073"/>
      <c r="X304" s="1073"/>
      <c r="Y304" s="1073"/>
    </row>
    <row r="305">
      <c r="A305" s="1074" t="s">
        <v>7519</v>
      </c>
      <c r="B305" s="1074" t="s">
        <v>2157</v>
      </c>
      <c r="C305" s="1075" t="s">
        <v>2045</v>
      </c>
      <c r="D305" s="1063">
        <f t="shared" si="11"/>
        <v>0</v>
      </c>
      <c r="E305" s="1076"/>
      <c r="F305" s="1078"/>
      <c r="G305" s="1077"/>
      <c r="H305" s="1078"/>
      <c r="I305" s="1077"/>
      <c r="J305" s="1079"/>
      <c r="K305" s="1077"/>
      <c r="L305" s="1079"/>
      <c r="M305" s="1077"/>
      <c r="N305" s="1077"/>
      <c r="O305" s="1077"/>
      <c r="P305" s="1077"/>
      <c r="Q305" s="1077"/>
      <c r="R305" s="1078"/>
      <c r="S305" s="1077"/>
      <c r="T305" s="1079"/>
      <c r="U305" s="1077"/>
      <c r="V305" s="1077"/>
      <c r="W305" s="1077"/>
      <c r="X305" s="1077"/>
      <c r="Y305" s="1077"/>
    </row>
    <row r="306">
      <c r="A306" s="1068" t="s">
        <v>7549</v>
      </c>
      <c r="B306" s="1068" t="s">
        <v>1509</v>
      </c>
      <c r="C306" s="1069" t="s">
        <v>1483</v>
      </c>
      <c r="D306" s="1063">
        <f t="shared" si="11"/>
        <v>0</v>
      </c>
      <c r="E306" s="1084"/>
      <c r="F306" s="1072"/>
      <c r="G306" s="1072"/>
      <c r="H306" s="1072"/>
      <c r="I306" s="1072"/>
      <c r="J306" s="1072"/>
      <c r="K306" s="1072"/>
      <c r="L306" s="1073"/>
      <c r="M306" s="1072"/>
      <c r="N306" s="1073"/>
      <c r="O306" s="1072"/>
      <c r="P306" s="1073"/>
      <c r="Q306" s="1073"/>
      <c r="R306" s="1073"/>
      <c r="S306" s="1072"/>
      <c r="T306" s="1071"/>
      <c r="U306" s="1072"/>
      <c r="V306" s="1073"/>
      <c r="W306" s="1073"/>
      <c r="X306" s="1072"/>
      <c r="Y306" s="1072"/>
    </row>
    <row r="307">
      <c r="A307" s="1074" t="s">
        <v>7372</v>
      </c>
      <c r="B307" s="1074" t="s">
        <v>2207</v>
      </c>
      <c r="C307" s="1075" t="s">
        <v>2208</v>
      </c>
      <c r="D307" s="1063">
        <f t="shared" si="11"/>
        <v>0</v>
      </c>
      <c r="E307" s="1086"/>
      <c r="F307" s="1078"/>
      <c r="G307" s="1078"/>
      <c r="H307" s="1077"/>
      <c r="I307" s="1078"/>
      <c r="J307" s="1078"/>
      <c r="K307" s="1077"/>
      <c r="L307" s="1079"/>
      <c r="M307" s="1077"/>
      <c r="N307" s="1077"/>
      <c r="O307" s="1077"/>
      <c r="P307" s="1077"/>
      <c r="Q307" s="1077"/>
      <c r="R307" s="1079"/>
      <c r="S307" s="1077"/>
      <c r="T307" s="1079"/>
      <c r="U307" s="1077"/>
      <c r="V307" s="1077"/>
      <c r="W307" s="1077"/>
      <c r="X307" s="1077"/>
      <c r="Y307" s="1077"/>
    </row>
    <row r="308">
      <c r="A308" s="1068" t="s">
        <v>7299</v>
      </c>
      <c r="B308" s="1068" t="s">
        <v>830</v>
      </c>
      <c r="C308" s="1069" t="s">
        <v>2244</v>
      </c>
      <c r="D308" s="1063">
        <f t="shared" si="11"/>
        <v>0</v>
      </c>
      <c r="E308" s="1084"/>
      <c r="F308" s="1073"/>
      <c r="G308" s="1071"/>
      <c r="H308" s="1073"/>
      <c r="I308" s="1073"/>
      <c r="J308" s="1072"/>
      <c r="K308" s="1073"/>
      <c r="L308" s="1071"/>
      <c r="M308" s="1073"/>
      <c r="N308" s="1073"/>
      <c r="O308" s="1073"/>
      <c r="P308" s="1073"/>
      <c r="Q308" s="1073"/>
      <c r="R308" s="1072"/>
      <c r="S308" s="1073"/>
      <c r="T308" s="1072"/>
      <c r="U308" s="1073"/>
      <c r="V308" s="1073"/>
      <c r="W308" s="1073"/>
      <c r="X308" s="1073"/>
      <c r="Y308" s="1073"/>
    </row>
    <row r="309">
      <c r="A309" s="1074" t="s">
        <v>7520</v>
      </c>
      <c r="B309" s="1074" t="s">
        <v>2233</v>
      </c>
      <c r="C309" s="1075" t="s">
        <v>2216</v>
      </c>
      <c r="D309" s="1063">
        <f t="shared" si="11"/>
        <v>0</v>
      </c>
      <c r="E309" s="1080"/>
      <c r="F309" s="1077"/>
      <c r="G309" s="1078"/>
      <c r="H309" s="1078"/>
      <c r="I309" s="1078"/>
      <c r="J309" s="1079"/>
      <c r="K309" s="1077"/>
      <c r="L309" s="1079"/>
      <c r="M309" s="1077"/>
      <c r="N309" s="1077"/>
      <c r="O309" s="1077"/>
      <c r="P309" s="1077"/>
      <c r="Q309" s="1077"/>
      <c r="R309" s="1079"/>
      <c r="S309" s="1077"/>
      <c r="T309" s="1079"/>
      <c r="U309" s="1078"/>
      <c r="V309" s="1077"/>
      <c r="W309" s="1077"/>
      <c r="X309" s="1077"/>
      <c r="Y309" s="1077"/>
    </row>
    <row r="310">
      <c r="A310" s="1068" t="s">
        <v>7343</v>
      </c>
      <c r="B310" s="1068" t="s">
        <v>2256</v>
      </c>
      <c r="C310" s="1069" t="s">
        <v>2250</v>
      </c>
      <c r="D310" s="1063">
        <f t="shared" si="11"/>
        <v>0</v>
      </c>
      <c r="E310" s="1070"/>
      <c r="F310" s="1071"/>
      <c r="G310" s="1071"/>
      <c r="H310" s="1073"/>
      <c r="I310" s="1072"/>
      <c r="J310" s="1071"/>
      <c r="K310" s="1073"/>
      <c r="L310" s="1072"/>
      <c r="M310" s="1073"/>
      <c r="N310" s="1073"/>
      <c r="O310" s="1073"/>
      <c r="P310" s="1073"/>
      <c r="Q310" s="1073"/>
      <c r="R310" s="1072"/>
      <c r="S310" s="1073"/>
      <c r="T310" s="1072"/>
      <c r="U310" s="1073"/>
      <c r="V310" s="1073"/>
      <c r="W310" s="1073"/>
      <c r="X310" s="1073"/>
      <c r="Y310" s="1073"/>
    </row>
    <row r="311">
      <c r="A311" s="1074" t="s">
        <v>7415</v>
      </c>
      <c r="B311" s="1074" t="s">
        <v>2312</v>
      </c>
      <c r="C311" s="1075" t="s">
        <v>2283</v>
      </c>
      <c r="D311" s="1098">
        <v>0.0</v>
      </c>
      <c r="E311" s="1080"/>
      <c r="F311" s="1078"/>
      <c r="G311" s="1077"/>
      <c r="H311" s="1077"/>
      <c r="I311" s="1077"/>
      <c r="J311" s="1079"/>
      <c r="K311" s="1077"/>
      <c r="L311" s="1079"/>
      <c r="M311" s="1077"/>
      <c r="N311" s="1077"/>
      <c r="O311" s="1077"/>
      <c r="P311" s="1077"/>
      <c r="Q311" s="1077"/>
      <c r="R311" s="1079"/>
      <c r="S311" s="1077"/>
      <c r="T311" s="1079"/>
      <c r="U311" s="1077"/>
      <c r="V311" s="1077"/>
      <c r="W311" s="1077"/>
      <c r="X311" s="1077"/>
      <c r="Y311" s="1077"/>
    </row>
    <row r="312">
      <c r="A312" s="1068" t="s">
        <v>7512</v>
      </c>
      <c r="B312" s="1068" t="s">
        <v>1759</v>
      </c>
      <c r="C312" s="1069" t="s">
        <v>1646</v>
      </c>
      <c r="D312" s="1063">
        <f t="shared" ref="D312:D338" si="12">SUM(E312:Y312)</f>
        <v>0</v>
      </c>
      <c r="E312" s="1084"/>
      <c r="F312" s="1073"/>
      <c r="G312" s="1071"/>
      <c r="H312" s="1072"/>
      <c r="I312" s="1072"/>
      <c r="J312" s="1072"/>
      <c r="K312" s="1072"/>
      <c r="L312" s="1072"/>
      <c r="M312" s="1072"/>
      <c r="N312" s="1071"/>
      <c r="O312" s="1073"/>
      <c r="P312" s="1073"/>
      <c r="Q312" s="1073"/>
      <c r="R312" s="1073"/>
      <c r="S312" s="1073"/>
      <c r="T312" s="1073"/>
      <c r="U312" s="1073"/>
      <c r="V312" s="1073"/>
      <c r="W312" s="1073"/>
      <c r="X312" s="1073"/>
      <c r="Y312" s="1073"/>
    </row>
    <row r="313">
      <c r="A313" s="1144" t="s">
        <v>7561</v>
      </c>
      <c r="B313" s="1074" t="s">
        <v>7340</v>
      </c>
      <c r="C313" s="1075" t="s">
        <v>1646</v>
      </c>
      <c r="D313" s="1063">
        <f t="shared" si="12"/>
        <v>0</v>
      </c>
      <c r="E313" s="1080"/>
      <c r="F313" s="1077"/>
      <c r="G313" s="1077"/>
      <c r="H313" s="1079"/>
      <c r="I313" s="1079"/>
      <c r="J313" s="1079"/>
      <c r="K313" s="1079"/>
      <c r="L313" s="1078"/>
      <c r="M313" s="1079"/>
      <c r="N313" s="1079"/>
      <c r="O313" s="1079"/>
      <c r="P313" s="1079"/>
      <c r="Q313" s="1079"/>
      <c r="R313" s="1079"/>
      <c r="S313" s="1079"/>
      <c r="T313" s="1079"/>
      <c r="U313" s="1079"/>
      <c r="V313" s="1077"/>
      <c r="W313" s="1077"/>
      <c r="X313" s="1077"/>
      <c r="Y313" s="1078"/>
    </row>
    <row r="314">
      <c r="A314" s="1068" t="s">
        <v>7339</v>
      </c>
      <c r="B314" s="1068" t="s">
        <v>7340</v>
      </c>
      <c r="C314" s="1069" t="s">
        <v>1646</v>
      </c>
      <c r="D314" s="1063">
        <f t="shared" si="12"/>
        <v>0</v>
      </c>
      <c r="E314" s="1070"/>
      <c r="F314" s="1071"/>
      <c r="G314" s="1071"/>
      <c r="H314" s="1072"/>
      <c r="I314" s="1072"/>
      <c r="J314" s="1073"/>
      <c r="K314" s="1072"/>
      <c r="L314" s="1072"/>
      <c r="M314" s="1073"/>
      <c r="N314" s="1072"/>
      <c r="O314" s="1072"/>
      <c r="P314" s="1072"/>
      <c r="Q314" s="1072"/>
      <c r="R314" s="1072"/>
      <c r="S314" s="1073"/>
      <c r="T314" s="1073"/>
      <c r="U314" s="1073"/>
      <c r="V314" s="1073"/>
      <c r="W314" s="1072"/>
      <c r="X314" s="1073"/>
      <c r="Y314" s="1071"/>
    </row>
    <row r="315">
      <c r="A315" s="1074" t="s">
        <v>7551</v>
      </c>
      <c r="B315" s="1074" t="s">
        <v>1700</v>
      </c>
      <c r="C315" s="1075" t="s">
        <v>1646</v>
      </c>
      <c r="D315" s="1063">
        <f t="shared" si="12"/>
        <v>0</v>
      </c>
      <c r="E315" s="1080"/>
      <c r="F315" s="1078"/>
      <c r="G315" s="1079"/>
      <c r="H315" s="1079"/>
      <c r="I315" s="1078"/>
      <c r="J315" s="1079"/>
      <c r="K315" s="1079"/>
      <c r="L315" s="1077"/>
      <c r="M315" s="1079"/>
      <c r="N315" s="1079"/>
      <c r="O315" s="1079"/>
      <c r="P315" s="1077"/>
      <c r="Q315" s="1079"/>
      <c r="R315" s="1077"/>
      <c r="S315" s="1077"/>
      <c r="T315" s="1079"/>
      <c r="U315" s="1077"/>
      <c r="V315" s="1077"/>
      <c r="W315" s="1077"/>
      <c r="X315" s="1077"/>
      <c r="Y315" s="1077"/>
    </row>
    <row r="316">
      <c r="A316" s="1068" t="s">
        <v>7451</v>
      </c>
      <c r="B316" s="1068" t="s">
        <v>1700</v>
      </c>
      <c r="C316" s="1069" t="s">
        <v>1646</v>
      </c>
      <c r="D316" s="1063">
        <f t="shared" si="12"/>
        <v>0</v>
      </c>
      <c r="E316" s="1070"/>
      <c r="F316" s="1071"/>
      <c r="G316" s="1071"/>
      <c r="H316" s="1072"/>
      <c r="I316" s="1072"/>
      <c r="J316" s="1072"/>
      <c r="K316" s="1073"/>
      <c r="L316" s="1072"/>
      <c r="M316" s="1072"/>
      <c r="N316" s="1072"/>
      <c r="O316" s="1072"/>
      <c r="P316" s="1072"/>
      <c r="Q316" s="1072"/>
      <c r="R316" s="1072"/>
      <c r="S316" s="1073"/>
      <c r="T316" s="1072"/>
      <c r="U316" s="1073"/>
      <c r="V316" s="1073"/>
      <c r="W316" s="1073"/>
      <c r="X316" s="1073"/>
      <c r="Y316" s="1073"/>
    </row>
    <row r="317">
      <c r="A317" s="1074" t="s">
        <v>7507</v>
      </c>
      <c r="B317" s="1074" t="s">
        <v>1260</v>
      </c>
      <c r="C317" s="1075" t="s">
        <v>1261</v>
      </c>
      <c r="D317" s="1063">
        <f t="shared" si="12"/>
        <v>0</v>
      </c>
      <c r="E317" s="1076"/>
      <c r="F317" s="1079"/>
      <c r="G317" s="1078"/>
      <c r="H317" s="1079"/>
      <c r="I317" s="1079"/>
      <c r="J317" s="1079"/>
      <c r="K317" s="1079"/>
      <c r="L317" s="1079"/>
      <c r="M317" s="1079"/>
      <c r="N317" s="1077"/>
      <c r="O317" s="1079"/>
      <c r="P317" s="1077"/>
      <c r="Q317" s="1078"/>
      <c r="R317" s="1077"/>
      <c r="S317" s="1079"/>
      <c r="T317" s="1079"/>
      <c r="U317" s="1079"/>
      <c r="V317" s="1079"/>
      <c r="W317" s="1079"/>
      <c r="X317" s="1079"/>
      <c r="Y317" s="1079"/>
    </row>
    <row r="318">
      <c r="A318" s="1068" t="s">
        <v>7320</v>
      </c>
      <c r="B318" s="1068" t="s">
        <v>2033</v>
      </c>
      <c r="C318" s="1069" t="s">
        <v>1999</v>
      </c>
      <c r="D318" s="1063">
        <f t="shared" si="12"/>
        <v>0</v>
      </c>
      <c r="E318" s="1070"/>
      <c r="F318" s="1071"/>
      <c r="G318" s="1071"/>
      <c r="H318" s="1071"/>
      <c r="I318" s="1071"/>
      <c r="J318" s="1073"/>
      <c r="K318" s="1071"/>
      <c r="L318" s="1072"/>
      <c r="M318" s="1071"/>
      <c r="N318" s="1073"/>
      <c r="O318" s="1072"/>
      <c r="P318" s="1073"/>
      <c r="Q318" s="1073"/>
      <c r="R318" s="1072"/>
      <c r="S318" s="1073"/>
      <c r="T318" s="1073"/>
      <c r="U318" s="1073"/>
      <c r="V318" s="1073"/>
      <c r="W318" s="1073"/>
      <c r="X318" s="1073"/>
      <c r="Y318" s="1073"/>
    </row>
    <row r="319">
      <c r="A319" s="1074" t="s">
        <v>7411</v>
      </c>
      <c r="B319" s="1074" t="s">
        <v>2236</v>
      </c>
      <c r="C319" s="1075" t="s">
        <v>2216</v>
      </c>
      <c r="D319" s="1063">
        <f t="shared" si="12"/>
        <v>0</v>
      </c>
      <c r="E319" s="1076"/>
      <c r="F319" s="1078"/>
      <c r="G319" s="1078"/>
      <c r="H319" s="1078"/>
      <c r="I319" s="1078"/>
      <c r="J319" s="1079"/>
      <c r="K319" s="1077"/>
      <c r="L319" s="1079"/>
      <c r="M319" s="1078"/>
      <c r="N319" s="1077"/>
      <c r="O319" s="1078"/>
      <c r="P319" s="1077"/>
      <c r="Q319" s="1077"/>
      <c r="R319" s="1079"/>
      <c r="S319" s="1077"/>
      <c r="T319" s="1079"/>
      <c r="U319" s="1077"/>
      <c r="V319" s="1077"/>
      <c r="W319" s="1077"/>
      <c r="X319" s="1077"/>
      <c r="Y319" s="1077"/>
    </row>
    <row r="320">
      <c r="A320" s="1068" t="s">
        <v>7414</v>
      </c>
      <c r="B320" s="1068" t="s">
        <v>2256</v>
      </c>
      <c r="C320" s="1069" t="s">
        <v>2250</v>
      </c>
      <c r="D320" s="1063">
        <f t="shared" si="12"/>
        <v>0</v>
      </c>
      <c r="E320" s="1070"/>
      <c r="F320" s="1073"/>
      <c r="G320" s="1073"/>
      <c r="H320" s="1071"/>
      <c r="I320" s="1071"/>
      <c r="J320" s="1072"/>
      <c r="K320" s="1073"/>
      <c r="L320" s="1072"/>
      <c r="M320" s="1073"/>
      <c r="N320" s="1073"/>
      <c r="O320" s="1073"/>
      <c r="P320" s="1073"/>
      <c r="Q320" s="1073"/>
      <c r="R320" s="1072"/>
      <c r="S320" s="1073"/>
      <c r="T320" s="1072"/>
      <c r="U320" s="1073"/>
      <c r="V320" s="1073"/>
      <c r="W320" s="1073"/>
      <c r="X320" s="1073"/>
      <c r="Y320" s="1073"/>
    </row>
    <row r="321">
      <c r="A321" s="1074" t="s">
        <v>7489</v>
      </c>
      <c r="B321" s="1074" t="s">
        <v>7491</v>
      </c>
      <c r="C321" s="1075" t="s">
        <v>1157</v>
      </c>
      <c r="D321" s="1063">
        <f t="shared" si="12"/>
        <v>0</v>
      </c>
      <c r="E321" s="1086"/>
      <c r="F321" s="1077"/>
      <c r="G321" s="1077"/>
      <c r="H321" s="1079"/>
      <c r="I321" s="1079"/>
      <c r="J321" s="1079"/>
      <c r="K321" s="1079"/>
      <c r="L321" s="1079"/>
      <c r="M321" s="1079"/>
      <c r="N321" s="1079"/>
      <c r="O321" s="1077"/>
      <c r="P321" s="1077"/>
      <c r="Q321" s="1078"/>
      <c r="R321" s="1077"/>
      <c r="S321" s="1079"/>
      <c r="T321" s="1077"/>
      <c r="U321" s="1077"/>
      <c r="V321" s="1077"/>
      <c r="W321" s="1077"/>
      <c r="X321" s="1077"/>
      <c r="Y321" s="1078"/>
    </row>
    <row r="322">
      <c r="A322" s="1068" t="s">
        <v>7433</v>
      </c>
      <c r="B322" s="1068" t="s">
        <v>1124</v>
      </c>
      <c r="C322" s="1069" t="s">
        <v>1091</v>
      </c>
      <c r="D322" s="1063">
        <f t="shared" si="12"/>
        <v>0</v>
      </c>
      <c r="E322" s="1070"/>
      <c r="F322" s="1071"/>
      <c r="G322" s="1073"/>
      <c r="H322" s="1073"/>
      <c r="I322" s="1071"/>
      <c r="J322" s="1072"/>
      <c r="K322" s="1073"/>
      <c r="L322" s="1072"/>
      <c r="M322" s="1073"/>
      <c r="N322" s="1073"/>
      <c r="O322" s="1073"/>
      <c r="P322" s="1071"/>
      <c r="Q322" s="1072"/>
      <c r="R322" s="1072"/>
      <c r="S322" s="1073"/>
      <c r="T322" s="1073"/>
      <c r="U322" s="1072"/>
      <c r="V322" s="1073"/>
      <c r="W322" s="1073"/>
      <c r="X322" s="1073"/>
      <c r="Y322" s="1073"/>
    </row>
    <row r="323">
      <c r="A323" s="1074" t="s">
        <v>7558</v>
      </c>
      <c r="B323" s="1074" t="s">
        <v>1071</v>
      </c>
      <c r="C323" s="1075" t="s">
        <v>1051</v>
      </c>
      <c r="D323" s="1063">
        <f t="shared" si="12"/>
        <v>3</v>
      </c>
      <c r="E323" s="1080"/>
      <c r="F323" s="1079"/>
      <c r="G323" s="1078">
        <v>1.0</v>
      </c>
      <c r="H323" s="1078"/>
      <c r="I323" s="1078">
        <v>1.0</v>
      </c>
      <c r="J323" s="1079"/>
      <c r="K323" s="1079"/>
      <c r="L323" s="1079"/>
      <c r="M323" s="1079"/>
      <c r="N323" s="1079"/>
      <c r="O323" s="1077"/>
      <c r="P323" s="1079"/>
      <c r="Q323" s="1077"/>
      <c r="R323" s="1077"/>
      <c r="S323" s="1078">
        <v>1.0</v>
      </c>
      <c r="T323" s="1077"/>
      <c r="U323" s="1077"/>
      <c r="V323" s="1079"/>
      <c r="W323" s="1077"/>
      <c r="X323" s="1077"/>
      <c r="Y323" s="1077"/>
    </row>
    <row r="324">
      <c r="A324" s="1068" t="s">
        <v>7453</v>
      </c>
      <c r="B324" s="1068" t="s">
        <v>1920</v>
      </c>
      <c r="C324" s="1069" t="s">
        <v>1646</v>
      </c>
      <c r="D324" s="1063">
        <f t="shared" si="12"/>
        <v>0</v>
      </c>
      <c r="E324" s="1082"/>
      <c r="F324" s="1071"/>
      <c r="G324" s="1072"/>
      <c r="H324" s="1073"/>
      <c r="I324" s="1072"/>
      <c r="J324" s="1073"/>
      <c r="K324" s="1072"/>
      <c r="L324" s="1072"/>
      <c r="M324" s="1073"/>
      <c r="N324" s="1073"/>
      <c r="O324" s="1073"/>
      <c r="P324" s="1072"/>
      <c r="Q324" s="1073"/>
      <c r="R324" s="1073"/>
      <c r="S324" s="1073"/>
      <c r="T324" s="1073"/>
      <c r="U324" s="1073"/>
      <c r="V324" s="1073"/>
      <c r="W324" s="1073"/>
      <c r="X324" s="1073"/>
      <c r="Y324" s="1073"/>
    </row>
    <row r="325">
      <c r="A325" s="1074" t="s">
        <v>7422</v>
      </c>
      <c r="B325" s="1074" t="s">
        <v>7423</v>
      </c>
      <c r="C325" s="1075" t="s">
        <v>579</v>
      </c>
      <c r="D325" s="1063">
        <f t="shared" si="12"/>
        <v>0</v>
      </c>
      <c r="E325" s="1076"/>
      <c r="F325" s="1079"/>
      <c r="G325" s="1079"/>
      <c r="H325" s="1079"/>
      <c r="I325" s="1079"/>
      <c r="J325" s="1078"/>
      <c r="K325" s="1079"/>
      <c r="L325" s="1078"/>
      <c r="M325" s="1079"/>
      <c r="N325" s="1079"/>
      <c r="O325" s="1079"/>
      <c r="P325" s="1077"/>
      <c r="Q325" s="1077"/>
      <c r="R325" s="1077"/>
      <c r="S325" s="1077"/>
      <c r="T325" s="1079"/>
      <c r="U325" s="1079"/>
      <c r="V325" s="1077"/>
      <c r="W325" s="1077"/>
      <c r="X325" s="1077"/>
      <c r="Y325" s="1077"/>
    </row>
    <row r="326">
      <c r="A326" s="1068" t="s">
        <v>7554</v>
      </c>
      <c r="B326" s="1068" t="s">
        <v>2342</v>
      </c>
      <c r="C326" s="1069" t="s">
        <v>2329</v>
      </c>
      <c r="D326" s="1063">
        <f t="shared" si="12"/>
        <v>0</v>
      </c>
      <c r="E326" s="1084"/>
      <c r="F326" s="1071"/>
      <c r="G326" s="1072"/>
      <c r="H326" s="1072"/>
      <c r="I326" s="1071"/>
      <c r="J326" s="1071"/>
      <c r="K326" s="1072"/>
      <c r="L326" s="1071"/>
      <c r="M326" s="1072"/>
      <c r="N326" s="1072"/>
      <c r="O326" s="1072"/>
      <c r="P326" s="1072"/>
      <c r="Q326" s="1072"/>
      <c r="R326" s="1072"/>
      <c r="S326" s="1072"/>
      <c r="T326" s="1071"/>
      <c r="U326" s="1072"/>
      <c r="V326" s="1072"/>
      <c r="W326" s="1072"/>
      <c r="X326" s="1072"/>
      <c r="Y326" s="1072"/>
    </row>
    <row r="327">
      <c r="A327" s="1074" t="s">
        <v>7314</v>
      </c>
      <c r="B327" s="1074" t="s">
        <v>1423</v>
      </c>
      <c r="C327" s="1075" t="s">
        <v>1278</v>
      </c>
      <c r="D327" s="1063">
        <f t="shared" si="12"/>
        <v>0</v>
      </c>
      <c r="E327" s="1080"/>
      <c r="F327" s="1077"/>
      <c r="G327" s="1077"/>
      <c r="H327" s="1078"/>
      <c r="I327" s="1077"/>
      <c r="J327" s="1077"/>
      <c r="K327" s="1079"/>
      <c r="L327" s="1079"/>
      <c r="M327" s="1077"/>
      <c r="N327" s="1077"/>
      <c r="O327" s="1079"/>
      <c r="P327" s="1077"/>
      <c r="Q327" s="1079"/>
      <c r="R327" s="1077"/>
      <c r="S327" s="1077"/>
      <c r="T327" s="1079"/>
      <c r="U327" s="1077"/>
      <c r="V327" s="1077"/>
      <c r="W327" s="1077"/>
      <c r="X327" s="1077"/>
      <c r="Y327" s="1078"/>
    </row>
    <row r="328">
      <c r="A328" s="1068" t="s">
        <v>7479</v>
      </c>
      <c r="B328" s="1068" t="s">
        <v>1025</v>
      </c>
      <c r="C328" s="1069" t="s">
        <v>895</v>
      </c>
      <c r="D328" s="1063">
        <f t="shared" si="12"/>
        <v>0</v>
      </c>
      <c r="E328" s="1084"/>
      <c r="F328" s="1072"/>
      <c r="G328" s="1072"/>
      <c r="H328" s="1071"/>
      <c r="I328" s="1073"/>
      <c r="J328" s="1073"/>
      <c r="K328" s="1073"/>
      <c r="L328" s="1073"/>
      <c r="M328" s="1073"/>
      <c r="N328" s="1072"/>
      <c r="O328" s="1073"/>
      <c r="P328" s="1073"/>
      <c r="Q328" s="1073"/>
      <c r="R328" s="1072"/>
      <c r="S328" s="1073"/>
      <c r="T328" s="1071"/>
      <c r="U328" s="1073"/>
      <c r="V328" s="1073"/>
      <c r="W328" s="1073"/>
      <c r="X328" s="1073"/>
      <c r="Y328" s="1073"/>
    </row>
    <row r="329">
      <c r="A329" s="1074" t="s">
        <v>1560</v>
      </c>
      <c r="B329" s="1074" t="s">
        <v>900</v>
      </c>
      <c r="C329" s="1075" t="s">
        <v>1483</v>
      </c>
      <c r="D329" s="1063">
        <f t="shared" si="12"/>
        <v>0</v>
      </c>
      <c r="E329" s="1086"/>
      <c r="F329" s="1077"/>
      <c r="G329" s="1077"/>
      <c r="H329" s="1079"/>
      <c r="I329" s="1079"/>
      <c r="J329" s="1077"/>
      <c r="K329" s="1079"/>
      <c r="L329" s="1078"/>
      <c r="M329" s="1079"/>
      <c r="N329" s="1079"/>
      <c r="O329" s="1079"/>
      <c r="P329" s="1079"/>
      <c r="Q329" s="1079"/>
      <c r="R329" s="1079"/>
      <c r="S329" s="1079"/>
      <c r="T329" s="1079"/>
      <c r="U329" s="1079"/>
      <c r="V329" s="1077"/>
      <c r="W329" s="1077"/>
      <c r="X329" s="1077"/>
      <c r="Y329" s="1077"/>
    </row>
    <row r="330">
      <c r="A330" s="1068" t="s">
        <v>7560</v>
      </c>
      <c r="B330" s="1068" t="s">
        <v>1580</v>
      </c>
      <c r="C330" s="1069" t="s">
        <v>1483</v>
      </c>
      <c r="D330" s="1063">
        <f t="shared" si="12"/>
        <v>0</v>
      </c>
      <c r="E330" s="1084"/>
      <c r="F330" s="1073"/>
      <c r="G330" s="1073"/>
      <c r="H330" s="1072"/>
      <c r="I330" s="1072"/>
      <c r="J330" s="1072"/>
      <c r="K330" s="1072"/>
      <c r="L330" s="1072"/>
      <c r="M330" s="1072"/>
      <c r="N330" s="1072"/>
      <c r="O330" s="1072"/>
      <c r="P330" s="1071"/>
      <c r="Q330" s="1072"/>
      <c r="R330" s="1073"/>
      <c r="S330" s="1073"/>
      <c r="T330" s="1073"/>
      <c r="U330" s="1072"/>
      <c r="V330" s="1073"/>
      <c r="W330" s="1072"/>
      <c r="X330" s="1073"/>
      <c r="Y330" s="1073"/>
    </row>
    <row r="331">
      <c r="A331" s="1074" t="s">
        <v>7538</v>
      </c>
      <c r="B331" s="1074" t="s">
        <v>789</v>
      </c>
      <c r="C331" s="1075" t="s">
        <v>792</v>
      </c>
      <c r="D331" s="1063">
        <f t="shared" si="12"/>
        <v>0</v>
      </c>
      <c r="E331" s="1080"/>
      <c r="F331" s="1077"/>
      <c r="G331" s="1078"/>
      <c r="H331" s="1079"/>
      <c r="I331" s="1079"/>
      <c r="J331" s="1078"/>
      <c r="K331" s="1079"/>
      <c r="L331" s="1077"/>
      <c r="M331" s="1079"/>
      <c r="N331" s="1077"/>
      <c r="O331" s="1079"/>
      <c r="P331" s="1077"/>
      <c r="Q331" s="1077"/>
      <c r="R331" s="1077"/>
      <c r="S331" s="1079"/>
      <c r="T331" s="1077"/>
      <c r="U331" s="1077"/>
      <c r="V331" s="1077"/>
      <c r="W331" s="1077"/>
      <c r="X331" s="1079"/>
      <c r="Y331" s="1079"/>
    </row>
    <row r="332">
      <c r="A332" s="1068" t="s">
        <v>7509</v>
      </c>
      <c r="B332" s="1068" t="s">
        <v>1567</v>
      </c>
      <c r="C332" s="1069" t="s">
        <v>1483</v>
      </c>
      <c r="D332" s="1063">
        <f t="shared" si="12"/>
        <v>0</v>
      </c>
      <c r="E332" s="1084"/>
      <c r="F332" s="1073"/>
      <c r="G332" s="1071"/>
      <c r="H332" s="1072"/>
      <c r="I332" s="1073"/>
      <c r="J332" s="1072"/>
      <c r="K332" s="1072"/>
      <c r="L332" s="1072"/>
      <c r="M332" s="1072"/>
      <c r="N332" s="1072"/>
      <c r="O332" s="1072"/>
      <c r="P332" s="1072"/>
      <c r="Q332" s="1073"/>
      <c r="R332" s="1072"/>
      <c r="S332" s="1073"/>
      <c r="T332" s="1072"/>
      <c r="U332" s="1073"/>
      <c r="V332" s="1073"/>
      <c r="W332" s="1072"/>
      <c r="X332" s="1073"/>
      <c r="Y332" s="1073"/>
    </row>
    <row r="333">
      <c r="A333" s="1074" t="s">
        <v>7508</v>
      </c>
      <c r="B333" s="1074" t="s">
        <v>1291</v>
      </c>
      <c r="C333" s="1075" t="s">
        <v>1278</v>
      </c>
      <c r="D333" s="1063">
        <f t="shared" si="12"/>
        <v>0</v>
      </c>
      <c r="E333" s="1086"/>
      <c r="F333" s="1079"/>
      <c r="G333" s="1079"/>
      <c r="H333" s="1079"/>
      <c r="I333" s="1079"/>
      <c r="J333" s="1079"/>
      <c r="K333" s="1077"/>
      <c r="L333" s="1077"/>
      <c r="M333" s="1077"/>
      <c r="N333" s="1078"/>
      <c r="O333" s="1079"/>
      <c r="P333" s="1079"/>
      <c r="Q333" s="1077"/>
      <c r="R333" s="1077"/>
      <c r="S333" s="1077"/>
      <c r="T333" s="1079"/>
      <c r="U333" s="1077"/>
      <c r="V333" s="1079"/>
      <c r="W333" s="1077"/>
      <c r="X333" s="1077"/>
      <c r="Y333" s="1078"/>
    </row>
    <row r="334">
      <c r="A334" s="1068" t="s">
        <v>7287</v>
      </c>
      <c r="B334" s="1068" t="s">
        <v>391</v>
      </c>
      <c r="C334" s="1069" t="s">
        <v>366</v>
      </c>
      <c r="D334" s="1063">
        <f t="shared" si="12"/>
        <v>1</v>
      </c>
      <c r="E334" s="1084"/>
      <c r="F334" s="1073"/>
      <c r="G334" s="1071"/>
      <c r="H334" s="1072"/>
      <c r="I334" s="1072"/>
      <c r="J334" s="1071"/>
      <c r="K334" s="1072"/>
      <c r="L334" s="1072"/>
      <c r="M334" s="1072"/>
      <c r="N334" s="1071">
        <v>1.0</v>
      </c>
      <c r="O334" s="1072"/>
      <c r="P334" s="1072"/>
      <c r="Q334" s="1072"/>
      <c r="R334" s="1073"/>
      <c r="S334" s="1072"/>
      <c r="T334" s="1073"/>
      <c r="U334" s="1073"/>
      <c r="V334" s="1073"/>
      <c r="W334" s="1072"/>
      <c r="X334" s="1073"/>
      <c r="Y334" s="1073"/>
    </row>
    <row r="335">
      <c r="A335" s="1074" t="s">
        <v>7295</v>
      </c>
      <c r="B335" s="1074" t="s">
        <v>1315</v>
      </c>
      <c r="C335" s="1075" t="s">
        <v>1278</v>
      </c>
      <c r="D335" s="1063">
        <f t="shared" si="12"/>
        <v>0</v>
      </c>
      <c r="E335" s="1086"/>
      <c r="F335" s="1078"/>
      <c r="G335" s="1078"/>
      <c r="H335" s="1078"/>
      <c r="I335" s="1079"/>
      <c r="J335" s="1077"/>
      <c r="K335" s="1077"/>
      <c r="L335" s="1078"/>
      <c r="M335" s="1079"/>
      <c r="N335" s="1077"/>
      <c r="O335" s="1079"/>
      <c r="P335" s="1079"/>
      <c r="Q335" s="1079"/>
      <c r="R335" s="1077"/>
      <c r="S335" s="1079"/>
      <c r="T335" s="1077"/>
      <c r="U335" s="1077"/>
      <c r="V335" s="1077"/>
      <c r="W335" s="1077"/>
      <c r="X335" s="1077"/>
      <c r="Y335" s="1077"/>
    </row>
    <row r="336">
      <c r="A336" s="1068" t="s">
        <v>7444</v>
      </c>
      <c r="B336" s="1068" t="s">
        <v>1327</v>
      </c>
      <c r="C336" s="1069" t="s">
        <v>1278</v>
      </c>
      <c r="D336" s="1063">
        <f t="shared" si="12"/>
        <v>0</v>
      </c>
      <c r="E336" s="1084"/>
      <c r="F336" s="1072"/>
      <c r="G336" s="1073"/>
      <c r="H336" s="1072"/>
      <c r="I336" s="1071"/>
      <c r="J336" s="1072"/>
      <c r="K336" s="1072"/>
      <c r="L336" s="1073"/>
      <c r="M336" s="1072"/>
      <c r="N336" s="1072"/>
      <c r="O336" s="1073"/>
      <c r="P336" s="1073"/>
      <c r="Q336" s="1072"/>
      <c r="R336" s="1072"/>
      <c r="S336" s="1073"/>
      <c r="T336" s="1072"/>
      <c r="U336" s="1072"/>
      <c r="V336" s="1072"/>
      <c r="W336" s="1073"/>
      <c r="X336" s="1072"/>
      <c r="Y336" s="1072"/>
    </row>
    <row r="337">
      <c r="A337" s="1074" t="s">
        <v>7447</v>
      </c>
      <c r="B337" s="1074" t="s">
        <v>1324</v>
      </c>
      <c r="C337" s="1075" t="s">
        <v>1278</v>
      </c>
      <c r="D337" s="1063">
        <f t="shared" si="12"/>
        <v>0</v>
      </c>
      <c r="E337" s="1076"/>
      <c r="F337" s="1077"/>
      <c r="G337" s="1077"/>
      <c r="H337" s="1079"/>
      <c r="I337" s="1078"/>
      <c r="J337" s="1079"/>
      <c r="K337" s="1079"/>
      <c r="L337" s="1079"/>
      <c r="M337" s="1079"/>
      <c r="N337" s="1079"/>
      <c r="O337" s="1079"/>
      <c r="P337" s="1079"/>
      <c r="Q337" s="1079"/>
      <c r="R337" s="1077"/>
      <c r="S337" s="1077"/>
      <c r="T337" s="1079"/>
      <c r="U337" s="1079"/>
      <c r="V337" s="1077"/>
      <c r="W337" s="1077"/>
      <c r="X337" s="1077"/>
      <c r="Y337" s="1077"/>
    </row>
    <row r="338">
      <c r="A338" s="1068" t="s">
        <v>7400</v>
      </c>
      <c r="B338" s="1068" t="s">
        <v>1322</v>
      </c>
      <c r="C338" s="1069" t="s">
        <v>1278</v>
      </c>
      <c r="D338" s="1063">
        <f t="shared" si="12"/>
        <v>1</v>
      </c>
      <c r="E338" s="1084"/>
      <c r="F338" s="1071">
        <v>1.0</v>
      </c>
      <c r="G338" s="1073"/>
      <c r="H338" s="1073"/>
      <c r="I338" s="1072"/>
      <c r="J338" s="1072"/>
      <c r="K338" s="1072"/>
      <c r="L338" s="1071"/>
      <c r="M338" s="1072"/>
      <c r="N338" s="1073"/>
      <c r="O338" s="1073"/>
      <c r="P338" s="1073"/>
      <c r="Q338" s="1073"/>
      <c r="R338" s="1073"/>
      <c r="S338" s="1073"/>
      <c r="T338" s="1073"/>
      <c r="U338" s="1073"/>
      <c r="V338" s="1073"/>
      <c r="W338" s="1073"/>
      <c r="X338" s="1073"/>
      <c r="Y338" s="1073"/>
    </row>
    <row r="339">
      <c r="A339" s="1155"/>
      <c r="B339" s="1119"/>
      <c r="C339" s="1119"/>
      <c r="D339" s="1119"/>
      <c r="E339" s="1119"/>
      <c r="F339" s="1119"/>
      <c r="G339" s="1119"/>
      <c r="H339" s="1119"/>
      <c r="I339" s="1119"/>
      <c r="J339" s="1119"/>
      <c r="K339" s="1119"/>
      <c r="L339" s="1119"/>
      <c r="M339" s="1119"/>
      <c r="N339" s="1119"/>
      <c r="O339" s="1119"/>
      <c r="P339" s="1119"/>
      <c r="Q339" s="1119"/>
      <c r="R339" s="1119"/>
      <c r="S339" s="1119"/>
      <c r="T339" s="1119"/>
      <c r="U339" s="1119"/>
      <c r="V339" s="1119"/>
      <c r="W339" s="1119"/>
      <c r="X339" s="1119"/>
      <c r="Y339" s="1121"/>
    </row>
  </sheetData>
  <autoFilter ref="$A$1:$Y$1">
    <sortState ref="A1:Y1">
      <sortCondition ref="E1"/>
      <sortCondition ref="D1"/>
      <sortCondition descending="1" ref="C1"/>
      <sortCondition ref="B1"/>
    </sortState>
  </autoFilter>
  <customSheetViews>
    <customSheetView guid="{E0C371E4-27D6-40E5-BF94-8AE9D307DDDB}" filter="1" showAutoFilter="1">
      <autoFilter ref="$E$126:$J$132"/>
    </customSheetView>
  </customSheetViews>
  <mergeCells count="2">
    <mergeCell ref="A67:Y67"/>
    <mergeCell ref="A339:Y339"/>
  </mergeCell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66.25"/>
    <col customWidth="1" min="2" max="2" width="17.25"/>
    <col customWidth="1" min="3" max="3" width="8.63"/>
    <col customWidth="1" min="4" max="4" width="16.13"/>
    <col customWidth="1" min="5" max="13" width="6.5"/>
    <col customWidth="1" min="14" max="14" width="6.75"/>
    <col customWidth="1" min="15" max="25" width="6.5"/>
  </cols>
  <sheetData>
    <row r="1" ht="21.75" customHeight="1">
      <c r="A1" s="1094"/>
      <c r="B1" s="1056"/>
      <c r="C1" s="1057"/>
      <c r="D1" s="1058"/>
      <c r="E1" s="1059"/>
      <c r="F1" s="1059"/>
      <c r="G1" s="1060"/>
      <c r="H1" s="1059"/>
      <c r="I1" s="1059"/>
      <c r="J1" s="1059"/>
      <c r="K1" s="1060"/>
      <c r="L1" s="1057"/>
      <c r="M1" s="1060"/>
      <c r="N1" s="1060"/>
      <c r="O1" s="1060"/>
      <c r="P1" s="1060"/>
      <c r="Q1" s="1060"/>
      <c r="R1" s="1057"/>
      <c r="S1" s="1060"/>
      <c r="T1" s="1057"/>
      <c r="U1" s="1060"/>
      <c r="V1" s="1060"/>
      <c r="W1" s="1060"/>
      <c r="X1" s="1060"/>
      <c r="Y1" s="1060"/>
    </row>
    <row r="2">
      <c r="A2" s="1094" t="s">
        <v>2390</v>
      </c>
      <c r="B2" s="1056" t="s">
        <v>2052</v>
      </c>
      <c r="C2" s="1057" t="s">
        <v>2045</v>
      </c>
      <c r="D2" s="1058">
        <f>SUM(E2:Y2)</f>
        <v>17</v>
      </c>
      <c r="E2" s="1059">
        <v>13.0</v>
      </c>
      <c r="F2" s="1059">
        <v>2.0</v>
      </c>
      <c r="G2" s="1060"/>
      <c r="H2" s="1059"/>
      <c r="I2" s="1059">
        <v>1.0</v>
      </c>
      <c r="J2" s="1059">
        <v>1.0</v>
      </c>
      <c r="K2" s="1060"/>
      <c r="L2" s="1057"/>
      <c r="M2" s="1060"/>
      <c r="N2" s="1060"/>
      <c r="O2" s="1060"/>
      <c r="P2" s="1060"/>
      <c r="Q2" s="1060"/>
      <c r="R2" s="1057"/>
      <c r="S2" s="1060"/>
      <c r="T2" s="1057"/>
      <c r="U2" s="1060"/>
      <c r="V2" s="1060"/>
      <c r="W2" s="1060"/>
      <c r="X2" s="1060"/>
      <c r="Y2" s="1060"/>
    </row>
    <row r="3">
      <c r="A3" s="1061" t="s">
        <v>7210</v>
      </c>
      <c r="B3" s="1061" t="s">
        <v>1014</v>
      </c>
      <c r="C3" s="1097" t="s">
        <v>895</v>
      </c>
      <c r="D3" s="1098">
        <v>16.0</v>
      </c>
      <c r="E3" s="1099">
        <v>7.0</v>
      </c>
      <c r="F3" s="1067">
        <v>2.0</v>
      </c>
      <c r="G3" s="1067">
        <v>2.0</v>
      </c>
      <c r="H3" s="1067">
        <v>4.0</v>
      </c>
      <c r="I3" s="1067">
        <v>1.0</v>
      </c>
      <c r="J3" s="1067"/>
      <c r="K3" s="1066"/>
      <c r="L3" s="1067">
        <v>2.0</v>
      </c>
      <c r="M3" s="1065"/>
      <c r="N3" s="1066"/>
      <c r="O3" s="1066"/>
      <c r="P3" s="1066"/>
      <c r="Q3" s="1066"/>
      <c r="R3" s="1066"/>
      <c r="S3" s="1066"/>
      <c r="T3" s="1065"/>
      <c r="U3" s="1065"/>
      <c r="V3" s="1065"/>
      <c r="W3" s="1065"/>
      <c r="X3" s="1065"/>
      <c r="Y3" s="1065"/>
    </row>
    <row r="4">
      <c r="A4" s="1100" t="s">
        <v>7217</v>
      </c>
      <c r="B4" s="1056" t="s">
        <v>161</v>
      </c>
      <c r="C4" s="1057" t="s">
        <v>114</v>
      </c>
      <c r="D4" s="1058">
        <f t="shared" ref="D4:D6" si="1">SUM(E4:Y4)</f>
        <v>15</v>
      </c>
      <c r="E4" s="1059">
        <v>4.0</v>
      </c>
      <c r="F4" s="1059">
        <v>8.0</v>
      </c>
      <c r="G4" s="1059">
        <v>1.0</v>
      </c>
      <c r="H4" s="1059">
        <v>1.0</v>
      </c>
      <c r="I4" s="1059"/>
      <c r="J4" s="1059">
        <v>1.0</v>
      </c>
      <c r="K4" s="1057"/>
      <c r="L4" s="1060"/>
      <c r="M4" s="1057"/>
      <c r="N4" s="1057"/>
      <c r="O4" s="1057"/>
      <c r="P4" s="1057"/>
      <c r="Q4" s="1057"/>
      <c r="R4" s="1060"/>
      <c r="S4" s="1057"/>
      <c r="T4" s="1060"/>
      <c r="U4" s="1060"/>
      <c r="V4" s="1057"/>
      <c r="W4" s="1057"/>
      <c r="X4" s="1057"/>
      <c r="Y4" s="1057"/>
    </row>
    <row r="5" ht="25.5" customHeight="1">
      <c r="A5" s="1061" t="s">
        <v>7225</v>
      </c>
      <c r="B5" s="1061" t="s">
        <v>850</v>
      </c>
      <c r="C5" s="1066" t="s">
        <v>812</v>
      </c>
      <c r="D5" s="1063">
        <f t="shared" si="1"/>
        <v>15</v>
      </c>
      <c r="E5" s="1067">
        <v>2.0</v>
      </c>
      <c r="F5" s="1067">
        <v>2.0</v>
      </c>
      <c r="G5" s="1067">
        <v>2.0</v>
      </c>
      <c r="H5" s="1067">
        <v>4.0</v>
      </c>
      <c r="I5" s="1067"/>
      <c r="J5" s="1067">
        <v>1.0</v>
      </c>
      <c r="K5" s="1067">
        <v>3.0</v>
      </c>
      <c r="L5" s="1066"/>
      <c r="M5" s="1067"/>
      <c r="N5" s="1065"/>
      <c r="O5" s="1065"/>
      <c r="P5" s="1065"/>
      <c r="Q5" s="1065"/>
      <c r="R5" s="1067"/>
      <c r="S5" s="1067">
        <v>1.0</v>
      </c>
      <c r="T5" s="1065"/>
      <c r="U5" s="1065"/>
      <c r="V5" s="1065"/>
      <c r="W5" s="1065"/>
      <c r="X5" s="1065"/>
      <c r="Y5" s="1065"/>
    </row>
    <row r="6">
      <c r="A6" s="1061" t="s">
        <v>7229</v>
      </c>
      <c r="B6" s="1061" t="s">
        <v>499</v>
      </c>
      <c r="C6" s="1066" t="s">
        <v>446</v>
      </c>
      <c r="D6" s="1063">
        <f t="shared" si="1"/>
        <v>14</v>
      </c>
      <c r="E6" s="1067">
        <v>3.0</v>
      </c>
      <c r="F6" s="1067">
        <v>3.0</v>
      </c>
      <c r="G6" s="1067">
        <v>1.0</v>
      </c>
      <c r="H6" s="1067">
        <v>5.0</v>
      </c>
      <c r="I6" s="1067"/>
      <c r="J6" s="1066"/>
      <c r="K6" s="1067"/>
      <c r="L6" s="1067">
        <v>1.0</v>
      </c>
      <c r="M6" s="1065"/>
      <c r="N6" s="1066"/>
      <c r="O6" s="1066"/>
      <c r="P6" s="1065"/>
      <c r="Q6" s="1065"/>
      <c r="R6" s="1066"/>
      <c r="S6" s="1065"/>
      <c r="T6" s="1065"/>
      <c r="U6" s="1066"/>
      <c r="V6" s="1065"/>
      <c r="W6" s="1065"/>
      <c r="X6" s="1065"/>
      <c r="Y6" s="1067">
        <v>1.0</v>
      </c>
    </row>
    <row r="7">
      <c r="A7" s="1102" t="s">
        <v>7071</v>
      </c>
      <c r="B7" s="1061" t="s">
        <v>816</v>
      </c>
      <c r="C7" s="1062" t="s">
        <v>812</v>
      </c>
      <c r="D7" s="1098">
        <v>14.0</v>
      </c>
      <c r="E7" s="1099">
        <v>5.0</v>
      </c>
      <c r="F7" s="1067">
        <v>3.0</v>
      </c>
      <c r="G7" s="1067">
        <v>2.0</v>
      </c>
      <c r="H7" s="1099">
        <v>2.0</v>
      </c>
      <c r="I7" s="1066"/>
      <c r="J7" s="1067">
        <v>1.0</v>
      </c>
      <c r="K7" s="1099">
        <v>1.0</v>
      </c>
      <c r="L7" s="1065"/>
      <c r="M7" s="1067">
        <v>1.0</v>
      </c>
      <c r="N7" s="1066"/>
      <c r="O7" s="1065"/>
      <c r="P7" s="1065"/>
      <c r="Q7" s="1065"/>
      <c r="R7" s="1065"/>
      <c r="S7" s="1065"/>
      <c r="T7" s="1065"/>
      <c r="U7" s="1065"/>
      <c r="V7" s="1065"/>
      <c r="W7" s="1065"/>
      <c r="X7" s="1065"/>
      <c r="Y7" s="1065"/>
    </row>
    <row r="8">
      <c r="A8" s="1103" t="s">
        <v>299</v>
      </c>
      <c r="B8" s="1061" t="s">
        <v>161</v>
      </c>
      <c r="C8" s="1066" t="s">
        <v>114</v>
      </c>
      <c r="D8" s="1063">
        <f t="shared" ref="D8:D23" si="2">SUM(E8:Y8)</f>
        <v>13</v>
      </c>
      <c r="E8" s="1067">
        <v>5.0</v>
      </c>
      <c r="F8" s="1067">
        <v>2.0</v>
      </c>
      <c r="G8" s="1067">
        <v>3.0</v>
      </c>
      <c r="H8" s="1067"/>
      <c r="I8" s="1067">
        <v>2.0</v>
      </c>
      <c r="J8" s="1065"/>
      <c r="K8" s="1066"/>
      <c r="L8" s="1067">
        <v>1.0</v>
      </c>
      <c r="M8" s="1066"/>
      <c r="N8" s="1065"/>
      <c r="O8" s="1066"/>
      <c r="P8" s="1065"/>
      <c r="Q8" s="1065"/>
      <c r="R8" s="1066"/>
      <c r="S8" s="1067"/>
      <c r="T8" s="1065"/>
      <c r="U8" s="1065"/>
      <c r="V8" s="1065"/>
      <c r="W8" s="1065"/>
      <c r="X8" s="1065"/>
      <c r="Y8" s="1065"/>
    </row>
    <row r="9">
      <c r="A9" s="1061" t="s">
        <v>7238</v>
      </c>
      <c r="B9" s="1061" t="s">
        <v>655</v>
      </c>
      <c r="C9" s="1066" t="s">
        <v>656</v>
      </c>
      <c r="D9" s="1063">
        <f t="shared" si="2"/>
        <v>13</v>
      </c>
      <c r="E9" s="1067">
        <v>2.0</v>
      </c>
      <c r="F9" s="1067">
        <v>4.0</v>
      </c>
      <c r="G9" s="1067">
        <v>1.0</v>
      </c>
      <c r="H9" s="1067">
        <v>1.0</v>
      </c>
      <c r="I9" s="1067">
        <v>4.0</v>
      </c>
      <c r="J9" s="1067">
        <v>1.0</v>
      </c>
      <c r="K9" s="1066"/>
      <c r="L9" s="1066"/>
      <c r="M9" s="1065"/>
      <c r="N9" s="1065"/>
      <c r="O9" s="1066"/>
      <c r="P9" s="1066"/>
      <c r="Q9" s="1066"/>
      <c r="R9" s="1066"/>
      <c r="S9" s="1065"/>
      <c r="T9" s="1065"/>
      <c r="U9" s="1065"/>
      <c r="V9" s="1065"/>
      <c r="W9" s="1065"/>
      <c r="X9" s="1065"/>
      <c r="Y9" s="1065"/>
    </row>
    <row r="10">
      <c r="A10" s="1061" t="s">
        <v>7243</v>
      </c>
      <c r="B10" s="1061" t="s">
        <v>888</v>
      </c>
      <c r="C10" s="1062" t="s">
        <v>1628</v>
      </c>
      <c r="D10" s="1063">
        <f t="shared" si="2"/>
        <v>13</v>
      </c>
      <c r="E10" s="1099">
        <v>5.0</v>
      </c>
      <c r="F10" s="1067">
        <v>2.0</v>
      </c>
      <c r="G10" s="1067">
        <v>1.0</v>
      </c>
      <c r="H10" s="1067">
        <v>2.0</v>
      </c>
      <c r="I10" s="1067"/>
      <c r="J10" s="1067">
        <v>1.0</v>
      </c>
      <c r="K10" s="1066"/>
      <c r="L10" s="1067">
        <v>1.0</v>
      </c>
      <c r="M10" s="1067">
        <v>1.0</v>
      </c>
      <c r="N10" s="1065"/>
      <c r="O10" s="1066"/>
      <c r="P10" s="1065"/>
      <c r="Q10" s="1066"/>
      <c r="R10" s="1066"/>
      <c r="S10" s="1065"/>
      <c r="T10" s="1065"/>
      <c r="U10" s="1065"/>
      <c r="V10" s="1065"/>
      <c r="W10" s="1065"/>
      <c r="X10" s="1065"/>
      <c r="Y10" s="1065"/>
    </row>
    <row r="11">
      <c r="A11" s="1061" t="s">
        <v>7246</v>
      </c>
      <c r="B11" s="1061" t="s">
        <v>2020</v>
      </c>
      <c r="C11" s="1062" t="s">
        <v>1999</v>
      </c>
      <c r="D11" s="1063">
        <f t="shared" si="2"/>
        <v>13</v>
      </c>
      <c r="E11" s="1099">
        <v>1.0</v>
      </c>
      <c r="F11" s="1067">
        <v>1.0</v>
      </c>
      <c r="G11" s="1067">
        <v>3.0</v>
      </c>
      <c r="H11" s="1067">
        <v>1.0</v>
      </c>
      <c r="I11" s="1067">
        <v>1.0</v>
      </c>
      <c r="J11" s="1067"/>
      <c r="K11" s="1065"/>
      <c r="L11" s="1066"/>
      <c r="M11" s="1067">
        <v>2.0</v>
      </c>
      <c r="N11" s="1065"/>
      <c r="O11" s="1065"/>
      <c r="P11" s="1065"/>
      <c r="Q11" s="1065"/>
      <c r="R11" s="1067">
        <v>2.0</v>
      </c>
      <c r="S11" s="1065"/>
      <c r="T11" s="1067">
        <v>1.0</v>
      </c>
      <c r="U11" s="1065"/>
      <c r="V11" s="1067">
        <v>1.0</v>
      </c>
      <c r="W11" s="1065"/>
      <c r="X11" s="1065"/>
      <c r="Y11" s="1065"/>
    </row>
    <row r="12">
      <c r="A12" s="1108" t="s">
        <v>7251</v>
      </c>
      <c r="B12" s="1074" t="s">
        <v>33</v>
      </c>
      <c r="C12" s="1075" t="s">
        <v>34</v>
      </c>
      <c r="D12" s="1063">
        <f t="shared" si="2"/>
        <v>12</v>
      </c>
      <c r="E12" s="1080">
        <v>3.0</v>
      </c>
      <c r="F12" s="1078">
        <v>5.0</v>
      </c>
      <c r="G12" s="1078">
        <v>2.0</v>
      </c>
      <c r="H12" s="1078">
        <v>1.0</v>
      </c>
      <c r="I12" s="1078"/>
      <c r="J12" s="1078"/>
      <c r="K12" s="1079"/>
      <c r="L12" s="1078">
        <v>1.0</v>
      </c>
      <c r="M12" s="1077"/>
      <c r="N12" s="1077"/>
      <c r="O12" s="1079"/>
      <c r="P12" s="1078"/>
      <c r="Q12" s="1079"/>
      <c r="R12" s="1079"/>
      <c r="S12" s="1079"/>
      <c r="T12" s="1077"/>
      <c r="U12" s="1079"/>
      <c r="V12" s="1079"/>
      <c r="W12" s="1077"/>
      <c r="X12" s="1077"/>
      <c r="Y12" s="1077"/>
    </row>
    <row r="13" ht="16.5" customHeight="1">
      <c r="A13" s="1109" t="s">
        <v>7256</v>
      </c>
      <c r="B13" s="1110" t="s">
        <v>399</v>
      </c>
      <c r="C13" s="1111" t="s">
        <v>402</v>
      </c>
      <c r="D13" s="1063">
        <f t="shared" si="2"/>
        <v>12</v>
      </c>
      <c r="E13" s="1112">
        <v>2.0</v>
      </c>
      <c r="F13" s="1113"/>
      <c r="G13" s="1114">
        <v>2.0</v>
      </c>
      <c r="H13" s="1114">
        <v>1.0</v>
      </c>
      <c r="I13" s="1114">
        <v>1.0</v>
      </c>
      <c r="J13" s="1115"/>
      <c r="K13" s="1114">
        <v>2.0</v>
      </c>
      <c r="L13" s="1116"/>
      <c r="M13" s="1114">
        <v>2.0</v>
      </c>
      <c r="N13" s="1114">
        <v>1.0</v>
      </c>
      <c r="O13" s="1114">
        <v>1.0</v>
      </c>
      <c r="P13" s="1115"/>
      <c r="Q13" s="1115"/>
      <c r="R13" s="1116"/>
      <c r="S13" s="1116"/>
      <c r="T13" s="1115"/>
      <c r="U13" s="1115"/>
      <c r="V13" s="1115"/>
      <c r="W13" s="1116"/>
      <c r="X13" s="1116"/>
      <c r="Y13" s="1114"/>
    </row>
    <row r="14" ht="17.25" customHeight="1">
      <c r="A14" s="1074" t="s">
        <v>7257</v>
      </c>
      <c r="B14" s="1074" t="s">
        <v>1134</v>
      </c>
      <c r="C14" s="1075" t="s">
        <v>1136</v>
      </c>
      <c r="D14" s="1063">
        <f t="shared" si="2"/>
        <v>12</v>
      </c>
      <c r="E14" s="1080">
        <v>10.0</v>
      </c>
      <c r="F14" s="1078"/>
      <c r="G14" s="1078">
        <v>1.0</v>
      </c>
      <c r="H14" s="1078"/>
      <c r="I14" s="1078"/>
      <c r="J14" s="1078">
        <v>1.0</v>
      </c>
      <c r="K14" s="1079"/>
      <c r="L14" s="1079"/>
      <c r="M14" s="1078"/>
      <c r="N14" s="1078"/>
      <c r="O14" s="1079"/>
      <c r="P14" s="1079"/>
      <c r="Q14" s="1078"/>
      <c r="R14" s="1079"/>
      <c r="S14" s="1077"/>
      <c r="T14" s="1079"/>
      <c r="U14" s="1077"/>
      <c r="V14" s="1077"/>
      <c r="W14" s="1079"/>
      <c r="X14" s="1077"/>
      <c r="Y14" s="1077"/>
    </row>
    <row r="15" ht="16.5" customHeight="1">
      <c r="A15" s="1068" t="s">
        <v>7064</v>
      </c>
      <c r="B15" s="1068" t="s">
        <v>2044</v>
      </c>
      <c r="C15" s="1069" t="s">
        <v>2045</v>
      </c>
      <c r="D15" s="1063">
        <f t="shared" si="2"/>
        <v>12</v>
      </c>
      <c r="E15" s="1070">
        <v>3.0</v>
      </c>
      <c r="F15" s="1071">
        <v>3.0</v>
      </c>
      <c r="G15" s="1071">
        <v>1.0</v>
      </c>
      <c r="H15" s="1071">
        <v>1.0</v>
      </c>
      <c r="I15" s="1071">
        <v>2.0</v>
      </c>
      <c r="J15" s="1071">
        <v>1.0</v>
      </c>
      <c r="K15" s="1073"/>
      <c r="L15" s="1073"/>
      <c r="M15" s="1072"/>
      <c r="N15" s="1071">
        <v>1.0</v>
      </c>
      <c r="O15" s="1073"/>
      <c r="P15" s="1072"/>
      <c r="Q15" s="1073"/>
      <c r="R15" s="1073"/>
      <c r="S15" s="1073"/>
      <c r="T15" s="1073"/>
      <c r="U15" s="1072"/>
      <c r="V15" s="1073"/>
      <c r="W15" s="1073"/>
      <c r="X15" s="1073"/>
      <c r="Y15" s="1073"/>
    </row>
    <row r="16" ht="17.25" customHeight="1">
      <c r="A16" s="1074" t="s">
        <v>7259</v>
      </c>
      <c r="B16" s="1074" t="s">
        <v>354</v>
      </c>
      <c r="C16" s="1075" t="s">
        <v>316</v>
      </c>
      <c r="D16" s="1063">
        <f t="shared" si="2"/>
        <v>11</v>
      </c>
      <c r="E16" s="1080">
        <v>2.0</v>
      </c>
      <c r="F16" s="1078">
        <v>1.0</v>
      </c>
      <c r="G16" s="1078">
        <v>2.0</v>
      </c>
      <c r="H16" s="1078">
        <v>1.0</v>
      </c>
      <c r="I16" s="1079"/>
      <c r="J16" s="1078">
        <v>2.0</v>
      </c>
      <c r="K16" s="1078">
        <v>1.0</v>
      </c>
      <c r="L16" s="1078">
        <v>1.0</v>
      </c>
      <c r="M16" s="1078">
        <v>1.0</v>
      </c>
      <c r="N16" s="1079"/>
      <c r="O16" s="1079"/>
      <c r="P16" s="1079"/>
      <c r="Q16" s="1079"/>
      <c r="R16" s="1079"/>
      <c r="S16" s="1079"/>
      <c r="T16" s="1079"/>
      <c r="U16" s="1077"/>
      <c r="V16" s="1077"/>
      <c r="W16" s="1077"/>
      <c r="X16" s="1077"/>
      <c r="Y16" s="1078"/>
    </row>
    <row r="17" ht="17.25" customHeight="1">
      <c r="A17" s="1118" t="s">
        <v>7258</v>
      </c>
      <c r="B17" s="1068" t="s">
        <v>578</v>
      </c>
      <c r="C17" s="1069" t="s">
        <v>579</v>
      </c>
      <c r="D17" s="1063">
        <f t="shared" si="2"/>
        <v>11</v>
      </c>
      <c r="E17" s="1070">
        <v>1.0</v>
      </c>
      <c r="F17" s="1071">
        <v>1.0</v>
      </c>
      <c r="G17" s="1071">
        <v>6.0</v>
      </c>
      <c r="H17" s="1071">
        <v>1.0</v>
      </c>
      <c r="I17" s="1071"/>
      <c r="J17" s="1072"/>
      <c r="K17" s="1071">
        <v>1.0</v>
      </c>
      <c r="L17" s="1072"/>
      <c r="M17" s="1071">
        <v>1.0</v>
      </c>
      <c r="N17" s="1072"/>
      <c r="O17" s="1072"/>
      <c r="P17" s="1073"/>
      <c r="Q17" s="1073"/>
      <c r="R17" s="1072"/>
      <c r="S17" s="1073"/>
      <c r="T17" s="1073"/>
      <c r="U17" s="1073"/>
      <c r="V17" s="1073"/>
      <c r="W17" s="1073"/>
      <c r="X17" s="1073"/>
      <c r="Y17" s="1073"/>
    </row>
    <row r="18" ht="17.25" customHeight="1">
      <c r="A18" s="1120" t="s">
        <v>7261</v>
      </c>
      <c r="B18" s="1074" t="s">
        <v>138</v>
      </c>
      <c r="C18" s="1075" t="s">
        <v>114</v>
      </c>
      <c r="D18" s="1063">
        <f t="shared" si="2"/>
        <v>10</v>
      </c>
      <c r="E18" s="1080">
        <v>1.0</v>
      </c>
      <c r="F18" s="1078"/>
      <c r="G18" s="1078">
        <v>2.0</v>
      </c>
      <c r="H18" s="1078">
        <v>2.0</v>
      </c>
      <c r="I18" s="1077"/>
      <c r="J18" s="1078">
        <v>1.0</v>
      </c>
      <c r="K18" s="1078">
        <v>2.0</v>
      </c>
      <c r="L18" s="1077"/>
      <c r="M18" s="1078">
        <v>1.0</v>
      </c>
      <c r="N18" s="1077"/>
      <c r="O18" s="1078">
        <v>1.0</v>
      </c>
      <c r="P18" s="1079"/>
      <c r="Q18" s="1077"/>
      <c r="R18" s="1077"/>
      <c r="S18" s="1077"/>
      <c r="T18" s="1077"/>
      <c r="U18" s="1077"/>
      <c r="V18" s="1077"/>
      <c r="W18" s="1077"/>
      <c r="X18" s="1077"/>
      <c r="Y18" s="1077"/>
    </row>
    <row r="19" ht="17.25" customHeight="1">
      <c r="A19" s="1068" t="s">
        <v>7263</v>
      </c>
      <c r="B19" s="1068" t="s">
        <v>7264</v>
      </c>
      <c r="C19" s="1069" t="s">
        <v>114</v>
      </c>
      <c r="D19" s="1063">
        <f t="shared" si="2"/>
        <v>10</v>
      </c>
      <c r="E19" s="1070">
        <v>2.0</v>
      </c>
      <c r="F19" s="1071">
        <v>1.0</v>
      </c>
      <c r="G19" s="1071">
        <v>2.0</v>
      </c>
      <c r="H19" s="1071">
        <v>1.0</v>
      </c>
      <c r="I19" s="1071">
        <v>3.0</v>
      </c>
      <c r="J19" s="1072"/>
      <c r="K19" s="1073"/>
      <c r="L19" s="1072"/>
      <c r="M19" s="1071">
        <v>1.0</v>
      </c>
      <c r="N19" s="1071" t="s">
        <v>1</v>
      </c>
      <c r="O19" s="1073"/>
      <c r="P19" s="1073"/>
      <c r="Q19" s="1073"/>
      <c r="R19" s="1073"/>
      <c r="S19" s="1073"/>
      <c r="T19" s="1071"/>
      <c r="U19" s="1073"/>
      <c r="V19" s="1073"/>
      <c r="W19" s="1073"/>
      <c r="X19" s="1073"/>
      <c r="Y19" s="1073"/>
    </row>
    <row r="20" ht="17.25" customHeight="1">
      <c r="A20" s="1074" t="s">
        <v>7265</v>
      </c>
      <c r="B20" s="1074" t="s">
        <v>244</v>
      </c>
      <c r="C20" s="1075" t="s">
        <v>114</v>
      </c>
      <c r="D20" s="1063">
        <f t="shared" si="2"/>
        <v>10</v>
      </c>
      <c r="E20" s="1080">
        <v>3.0</v>
      </c>
      <c r="F20" s="1078">
        <v>1.0</v>
      </c>
      <c r="G20" s="1078">
        <v>1.0</v>
      </c>
      <c r="H20" s="1079"/>
      <c r="I20" s="1078">
        <v>1.0</v>
      </c>
      <c r="J20" s="1078">
        <v>1.0</v>
      </c>
      <c r="K20" s="1078">
        <v>2.0</v>
      </c>
      <c r="L20" s="1078">
        <v>1.0</v>
      </c>
      <c r="M20" s="1079"/>
      <c r="N20" s="1078"/>
      <c r="O20" s="1079"/>
      <c r="P20" s="1079"/>
      <c r="Q20" s="1079"/>
      <c r="R20" s="1077"/>
      <c r="S20" s="1079"/>
      <c r="T20" s="1079"/>
      <c r="U20" s="1077"/>
      <c r="V20" s="1079"/>
      <c r="W20" s="1077"/>
      <c r="X20" s="1077"/>
      <c r="Y20" s="1077"/>
    </row>
    <row r="21" ht="17.25" customHeight="1">
      <c r="A21" s="1068" t="s">
        <v>7266</v>
      </c>
      <c r="B21" s="1068" t="s">
        <v>768</v>
      </c>
      <c r="C21" s="1069" t="s">
        <v>770</v>
      </c>
      <c r="D21" s="1063">
        <f t="shared" si="2"/>
        <v>10</v>
      </c>
      <c r="E21" s="1070">
        <v>1.0</v>
      </c>
      <c r="F21" s="1071">
        <v>2.0</v>
      </c>
      <c r="G21" s="1071"/>
      <c r="H21" s="1071">
        <v>1.0</v>
      </c>
      <c r="I21" s="1071">
        <v>1.0</v>
      </c>
      <c r="J21" s="1071">
        <v>1.0</v>
      </c>
      <c r="K21" s="1071">
        <v>2.0</v>
      </c>
      <c r="L21" s="1071">
        <v>1.0</v>
      </c>
      <c r="M21" s="1073"/>
      <c r="N21" s="1073"/>
      <c r="O21" s="1072"/>
      <c r="P21" s="1073"/>
      <c r="Q21" s="1073"/>
      <c r="R21" s="1073"/>
      <c r="S21" s="1071">
        <v>1.0</v>
      </c>
      <c r="T21" s="1071"/>
      <c r="U21" s="1073"/>
      <c r="V21" s="1073"/>
      <c r="W21" s="1073"/>
      <c r="X21" s="1073"/>
      <c r="Y21" s="1073"/>
    </row>
    <row r="22" ht="17.25" customHeight="1">
      <c r="A22" s="1074" t="s">
        <v>7268</v>
      </c>
      <c r="B22" s="1074" t="s">
        <v>794</v>
      </c>
      <c r="C22" s="1075" t="s">
        <v>792</v>
      </c>
      <c r="D22" s="1063">
        <f t="shared" si="2"/>
        <v>10</v>
      </c>
      <c r="E22" s="1080">
        <v>1.0</v>
      </c>
      <c r="F22" s="1078">
        <v>1.0</v>
      </c>
      <c r="G22" s="1078">
        <v>1.0</v>
      </c>
      <c r="H22" s="1078"/>
      <c r="I22" s="1077"/>
      <c r="J22" s="1077"/>
      <c r="K22" s="1078">
        <v>1.0</v>
      </c>
      <c r="L22" s="1079"/>
      <c r="M22" s="1079"/>
      <c r="N22" s="1078">
        <v>1.0</v>
      </c>
      <c r="O22" s="1078">
        <v>2.0</v>
      </c>
      <c r="P22" s="1078">
        <v>1.0</v>
      </c>
      <c r="Q22" s="1079"/>
      <c r="R22" s="1079"/>
      <c r="S22" s="1079"/>
      <c r="T22" s="1079"/>
      <c r="U22" s="1078">
        <v>1.0</v>
      </c>
      <c r="V22" s="1077"/>
      <c r="W22" s="1077"/>
      <c r="X22" s="1077"/>
      <c r="Y22" s="1078">
        <v>1.0</v>
      </c>
    </row>
    <row r="23" ht="17.25" customHeight="1">
      <c r="A23" s="1068" t="s">
        <v>7270</v>
      </c>
      <c r="B23" s="1068" t="s">
        <v>862</v>
      </c>
      <c r="C23" s="1069" t="s">
        <v>857</v>
      </c>
      <c r="D23" s="1063">
        <f t="shared" si="2"/>
        <v>10</v>
      </c>
      <c r="E23" s="1070">
        <v>2.0</v>
      </c>
      <c r="F23" s="1071">
        <v>3.0</v>
      </c>
      <c r="G23" s="1071">
        <v>1.0</v>
      </c>
      <c r="H23" s="1071">
        <v>1.0</v>
      </c>
      <c r="I23" s="1071">
        <v>3.0</v>
      </c>
      <c r="J23" s="1072"/>
      <c r="K23" s="1072"/>
      <c r="L23" s="1072"/>
      <c r="M23" s="1073"/>
      <c r="N23" s="1073"/>
      <c r="O23" s="1073"/>
      <c r="P23" s="1073"/>
      <c r="Q23" s="1072"/>
      <c r="R23" s="1072"/>
      <c r="S23" s="1072"/>
      <c r="T23" s="1073"/>
      <c r="U23" s="1072"/>
      <c r="V23" s="1072"/>
      <c r="W23" s="1073"/>
      <c r="X23" s="1073"/>
      <c r="Y23" s="1073"/>
    </row>
    <row r="24" ht="17.25" customHeight="1">
      <c r="A24" s="1108" t="s">
        <v>157</v>
      </c>
      <c r="B24" s="1074" t="s">
        <v>157</v>
      </c>
      <c r="C24" s="1075" t="s">
        <v>114</v>
      </c>
      <c r="D24" s="1098">
        <v>9.0</v>
      </c>
      <c r="E24" s="1080">
        <v>2.0</v>
      </c>
      <c r="F24" s="1078">
        <v>3.0</v>
      </c>
      <c r="G24" s="1081">
        <v>1.0</v>
      </c>
      <c r="H24" s="1078">
        <v>1.0</v>
      </c>
      <c r="I24" s="1078">
        <v>1.0</v>
      </c>
      <c r="J24" s="1079"/>
      <c r="K24" s="1079"/>
      <c r="L24" s="1079"/>
      <c r="M24" s="1078">
        <v>1.0</v>
      </c>
      <c r="N24" s="1079"/>
      <c r="O24" s="1079"/>
      <c r="P24" s="1079"/>
      <c r="Q24" s="1079"/>
      <c r="R24" s="1077"/>
      <c r="S24" s="1079"/>
      <c r="T24" s="1077"/>
      <c r="U24" s="1077"/>
      <c r="V24" s="1077"/>
      <c r="W24" s="1077"/>
      <c r="X24" s="1077"/>
      <c r="Y24" s="1077"/>
    </row>
    <row r="25" ht="17.25" customHeight="1">
      <c r="A25" s="1122" t="s">
        <v>249</v>
      </c>
      <c r="B25" s="1068" t="s">
        <v>250</v>
      </c>
      <c r="C25" s="1069" t="s">
        <v>114</v>
      </c>
      <c r="D25" s="1063">
        <f t="shared" ref="D25:D60" si="3">SUM(E25:Y25)</f>
        <v>9</v>
      </c>
      <c r="E25" s="1070">
        <v>2.0</v>
      </c>
      <c r="F25" s="1071">
        <v>2.0</v>
      </c>
      <c r="G25" s="1071">
        <v>2.0</v>
      </c>
      <c r="H25" s="1072"/>
      <c r="I25" s="1072"/>
      <c r="J25" s="1071"/>
      <c r="K25" s="1072"/>
      <c r="L25" s="1071"/>
      <c r="M25" s="1071">
        <v>2.0</v>
      </c>
      <c r="N25" s="1071">
        <v>1.0</v>
      </c>
      <c r="O25" s="1073"/>
      <c r="P25" s="1072"/>
      <c r="Q25" s="1073"/>
      <c r="R25" s="1073"/>
      <c r="S25" s="1073"/>
      <c r="T25" s="1071"/>
      <c r="U25" s="1073"/>
      <c r="V25" s="1073"/>
      <c r="W25" s="1073"/>
      <c r="X25" s="1071"/>
      <c r="Y25" s="1071"/>
    </row>
    <row r="26" ht="17.25" customHeight="1">
      <c r="A26" s="1074" t="s">
        <v>7273</v>
      </c>
      <c r="B26" s="1074" t="s">
        <v>757</v>
      </c>
      <c r="C26" s="1075" t="s">
        <v>750</v>
      </c>
      <c r="D26" s="1063">
        <f t="shared" si="3"/>
        <v>9</v>
      </c>
      <c r="E26" s="1080">
        <v>2.0</v>
      </c>
      <c r="F26" s="1078"/>
      <c r="G26" s="1078">
        <v>1.0</v>
      </c>
      <c r="H26" s="1078">
        <v>1.0</v>
      </c>
      <c r="I26" s="1078"/>
      <c r="J26" s="1079"/>
      <c r="K26" s="1078">
        <v>3.0</v>
      </c>
      <c r="L26" s="1079"/>
      <c r="M26" s="1079"/>
      <c r="N26" s="1078">
        <v>1.0</v>
      </c>
      <c r="O26" s="1079"/>
      <c r="P26" s="1079"/>
      <c r="Q26" s="1079"/>
      <c r="R26" s="1078">
        <v>1.0</v>
      </c>
      <c r="S26" s="1079"/>
      <c r="T26" s="1079"/>
      <c r="U26" s="1079"/>
      <c r="V26" s="1077"/>
      <c r="W26" s="1077"/>
      <c r="X26" s="1077"/>
      <c r="Y26" s="1077"/>
    </row>
    <row r="27" ht="17.25" customHeight="1">
      <c r="A27" s="1068" t="s">
        <v>7274</v>
      </c>
      <c r="B27" s="1068" t="s">
        <v>784</v>
      </c>
      <c r="C27" s="1069" t="s">
        <v>770</v>
      </c>
      <c r="D27" s="1063">
        <f t="shared" si="3"/>
        <v>9</v>
      </c>
      <c r="E27" s="1084"/>
      <c r="F27" s="1072"/>
      <c r="G27" s="1071"/>
      <c r="H27" s="1071">
        <v>1.0</v>
      </c>
      <c r="I27" s="1072"/>
      <c r="J27" s="1071">
        <v>4.0</v>
      </c>
      <c r="K27" s="1072"/>
      <c r="L27" s="1071">
        <v>1.0</v>
      </c>
      <c r="M27" s="1071">
        <v>1.0</v>
      </c>
      <c r="N27" s="1072"/>
      <c r="O27" s="1072"/>
      <c r="P27" s="1072"/>
      <c r="Q27" s="1071">
        <v>1.0</v>
      </c>
      <c r="R27" s="1071">
        <v>1.0</v>
      </c>
      <c r="S27" s="1073"/>
      <c r="T27" s="1072"/>
      <c r="U27" s="1073"/>
      <c r="V27" s="1073"/>
      <c r="W27" s="1073"/>
      <c r="X27" s="1073"/>
      <c r="Y27" s="1073"/>
    </row>
    <row r="28" ht="17.25" customHeight="1">
      <c r="A28" s="1074" t="s">
        <v>7070</v>
      </c>
      <c r="B28" s="1074" t="s">
        <v>816</v>
      </c>
      <c r="C28" s="1075" t="s">
        <v>812</v>
      </c>
      <c r="D28" s="1063">
        <f t="shared" si="3"/>
        <v>9</v>
      </c>
      <c r="E28" s="1080"/>
      <c r="F28" s="1078">
        <v>1.0</v>
      </c>
      <c r="G28" s="1078">
        <v>2.0</v>
      </c>
      <c r="H28" s="1078">
        <v>2.0</v>
      </c>
      <c r="I28" s="1078">
        <v>1.0</v>
      </c>
      <c r="J28" s="1078">
        <v>1.0</v>
      </c>
      <c r="K28" s="1079"/>
      <c r="L28" s="1079"/>
      <c r="M28" s="1078"/>
      <c r="N28" s="1077"/>
      <c r="O28" s="1078">
        <v>1.0</v>
      </c>
      <c r="P28" s="1077"/>
      <c r="Q28" s="1078">
        <v>1.0</v>
      </c>
      <c r="R28" s="1077"/>
      <c r="S28" s="1077"/>
      <c r="T28" s="1077"/>
      <c r="U28" s="1077"/>
      <c r="V28" s="1077"/>
      <c r="W28" s="1079"/>
      <c r="X28" s="1077"/>
      <c r="Y28" s="1077"/>
    </row>
    <row r="29" ht="17.25" customHeight="1">
      <c r="A29" s="1068" t="s">
        <v>7278</v>
      </c>
      <c r="B29" s="1068" t="s">
        <v>816</v>
      </c>
      <c r="C29" s="1069" t="s">
        <v>812</v>
      </c>
      <c r="D29" s="1063">
        <f t="shared" si="3"/>
        <v>9</v>
      </c>
      <c r="E29" s="1070">
        <v>4.0</v>
      </c>
      <c r="F29" s="1071">
        <v>2.0</v>
      </c>
      <c r="G29" s="1071">
        <v>1.0</v>
      </c>
      <c r="H29" s="1072"/>
      <c r="I29" s="1072"/>
      <c r="J29" s="1071">
        <v>1.0</v>
      </c>
      <c r="K29" s="1072"/>
      <c r="L29" s="1072"/>
      <c r="M29" s="1073"/>
      <c r="N29" s="1072"/>
      <c r="O29" s="1073"/>
      <c r="P29" s="1072"/>
      <c r="Q29" s="1072"/>
      <c r="R29" s="1072"/>
      <c r="S29" s="1073"/>
      <c r="T29" s="1073"/>
      <c r="U29" s="1071">
        <v>1.0</v>
      </c>
      <c r="V29" s="1073"/>
      <c r="W29" s="1073"/>
      <c r="X29" s="1073"/>
      <c r="Y29" s="1073"/>
    </row>
    <row r="30" ht="17.25" customHeight="1">
      <c r="A30" s="1074" t="s">
        <v>7069</v>
      </c>
      <c r="B30" s="1074" t="s">
        <v>816</v>
      </c>
      <c r="C30" s="1075" t="s">
        <v>812</v>
      </c>
      <c r="D30" s="1063">
        <f t="shared" si="3"/>
        <v>9</v>
      </c>
      <c r="E30" s="1080">
        <v>3.0</v>
      </c>
      <c r="F30" s="1078">
        <v>1.0</v>
      </c>
      <c r="G30" s="1078">
        <v>1.0</v>
      </c>
      <c r="H30" s="1078">
        <v>2.0</v>
      </c>
      <c r="I30" s="1078">
        <v>2.0</v>
      </c>
      <c r="J30" s="1077"/>
      <c r="K30" s="1079"/>
      <c r="L30" s="1079"/>
      <c r="M30" s="1079"/>
      <c r="N30" s="1077"/>
      <c r="O30" s="1077"/>
      <c r="P30" s="1077"/>
      <c r="Q30" s="1077"/>
      <c r="R30" s="1077"/>
      <c r="S30" s="1079"/>
      <c r="T30" s="1079"/>
      <c r="U30" s="1077"/>
      <c r="V30" s="1077"/>
      <c r="W30" s="1079"/>
      <c r="X30" s="1077"/>
      <c r="Y30" s="1077"/>
    </row>
    <row r="31" ht="17.25" customHeight="1">
      <c r="A31" s="1068" t="s">
        <v>7280</v>
      </c>
      <c r="B31" s="1068" t="s">
        <v>1115</v>
      </c>
      <c r="C31" s="1069" t="s">
        <v>1091</v>
      </c>
      <c r="D31" s="1063">
        <f t="shared" si="3"/>
        <v>9</v>
      </c>
      <c r="E31" s="1070">
        <v>2.0</v>
      </c>
      <c r="F31" s="1071">
        <v>1.0</v>
      </c>
      <c r="G31" s="1071">
        <v>1.0</v>
      </c>
      <c r="H31" s="1071">
        <v>1.0</v>
      </c>
      <c r="I31" s="1071"/>
      <c r="J31" s="1073"/>
      <c r="K31" s="1071">
        <v>2.0</v>
      </c>
      <c r="L31" s="1071">
        <v>2.0</v>
      </c>
      <c r="M31" s="1071"/>
      <c r="N31" s="1073"/>
      <c r="O31" s="1072"/>
      <c r="P31" s="1072"/>
      <c r="Q31" s="1073"/>
      <c r="R31" s="1073"/>
      <c r="S31" s="1073"/>
      <c r="T31" s="1073"/>
      <c r="U31" s="1073"/>
      <c r="V31" s="1073"/>
      <c r="W31" s="1072"/>
      <c r="X31" s="1072"/>
      <c r="Y31" s="1072"/>
    </row>
    <row r="32" ht="17.25" customHeight="1">
      <c r="A32" s="1074" t="s">
        <v>7075</v>
      </c>
      <c r="B32" s="1074" t="s">
        <v>1948</v>
      </c>
      <c r="C32" s="1075" t="s">
        <v>1949</v>
      </c>
      <c r="D32" s="1063">
        <f t="shared" si="3"/>
        <v>9</v>
      </c>
      <c r="E32" s="1080">
        <v>3.0</v>
      </c>
      <c r="F32" s="1078">
        <v>1.0</v>
      </c>
      <c r="G32" s="1078">
        <v>1.0</v>
      </c>
      <c r="H32" s="1078">
        <v>2.0</v>
      </c>
      <c r="I32" s="1078">
        <v>2.0</v>
      </c>
      <c r="J32" s="1078"/>
      <c r="K32" s="1079"/>
      <c r="L32" s="1079"/>
      <c r="M32" s="1079"/>
      <c r="N32" s="1077"/>
      <c r="O32" s="1079"/>
      <c r="P32" s="1077"/>
      <c r="Q32" s="1079"/>
      <c r="R32" s="1077"/>
      <c r="S32" s="1077"/>
      <c r="T32" s="1077"/>
      <c r="U32" s="1077"/>
      <c r="V32" s="1077"/>
      <c r="W32" s="1077"/>
      <c r="X32" s="1077"/>
      <c r="Y32" s="1077"/>
    </row>
    <row r="33" ht="17.25" customHeight="1">
      <c r="A33" s="1068" t="s">
        <v>7282</v>
      </c>
      <c r="B33" s="1068" t="s">
        <v>1969</v>
      </c>
      <c r="C33" s="1069" t="s">
        <v>1958</v>
      </c>
      <c r="D33" s="1063">
        <f t="shared" si="3"/>
        <v>9</v>
      </c>
      <c r="E33" s="1070">
        <v>3.0</v>
      </c>
      <c r="F33" s="1071">
        <v>2.0</v>
      </c>
      <c r="G33" s="1071">
        <v>1.0</v>
      </c>
      <c r="H33" s="1071"/>
      <c r="I33" s="1072"/>
      <c r="J33" s="1071">
        <v>1.0</v>
      </c>
      <c r="K33" s="1072"/>
      <c r="L33" s="1072"/>
      <c r="M33" s="1072"/>
      <c r="N33" s="1071">
        <v>1.0</v>
      </c>
      <c r="O33" s="1071">
        <v>1.0</v>
      </c>
      <c r="P33" s="1073"/>
      <c r="Q33" s="1072"/>
      <c r="R33" s="1072"/>
      <c r="S33" s="1072"/>
      <c r="T33" s="1072"/>
      <c r="U33" s="1072"/>
      <c r="V33" s="1073"/>
      <c r="W33" s="1073"/>
      <c r="X33" s="1073"/>
      <c r="Y33" s="1073"/>
    </row>
    <row r="34" ht="16.5" customHeight="1">
      <c r="A34" s="1108" t="s">
        <v>2051</v>
      </c>
      <c r="B34" s="1074" t="s">
        <v>2052</v>
      </c>
      <c r="C34" s="1075" t="s">
        <v>2045</v>
      </c>
      <c r="D34" s="1063">
        <f t="shared" si="3"/>
        <v>9</v>
      </c>
      <c r="E34" s="1080"/>
      <c r="F34" s="1078">
        <v>1.0</v>
      </c>
      <c r="G34" s="1078"/>
      <c r="H34" s="1078">
        <v>2.0</v>
      </c>
      <c r="I34" s="1078"/>
      <c r="J34" s="1078">
        <v>2.0</v>
      </c>
      <c r="K34" s="1078"/>
      <c r="L34" s="1078">
        <v>1.0</v>
      </c>
      <c r="M34" s="1077"/>
      <c r="N34" s="1078">
        <v>1.0</v>
      </c>
      <c r="O34" s="1078">
        <v>1.0</v>
      </c>
      <c r="P34" s="1078">
        <v>1.0</v>
      </c>
      <c r="Q34" s="1077"/>
      <c r="R34" s="1079"/>
      <c r="S34" s="1078"/>
      <c r="T34" s="1079"/>
      <c r="U34" s="1077"/>
      <c r="V34" s="1077"/>
      <c r="W34" s="1077"/>
      <c r="X34" s="1077"/>
      <c r="Y34" s="1077"/>
    </row>
    <row r="35" ht="16.5" customHeight="1">
      <c r="A35" s="1068" t="s">
        <v>7283</v>
      </c>
      <c r="B35" s="1068" t="s">
        <v>2141</v>
      </c>
      <c r="C35" s="1069" t="s">
        <v>2045</v>
      </c>
      <c r="D35" s="1063">
        <f t="shared" si="3"/>
        <v>9</v>
      </c>
      <c r="E35" s="1070">
        <v>3.0</v>
      </c>
      <c r="F35" s="1071">
        <v>1.0</v>
      </c>
      <c r="G35" s="1071">
        <v>1.0</v>
      </c>
      <c r="H35" s="1071"/>
      <c r="I35" s="1073"/>
      <c r="J35" s="1073"/>
      <c r="K35" s="1072"/>
      <c r="L35" s="1071">
        <v>1.0</v>
      </c>
      <c r="M35" s="1072"/>
      <c r="N35" s="1071">
        <v>1.0</v>
      </c>
      <c r="O35" s="1072"/>
      <c r="P35" s="1073"/>
      <c r="Q35" s="1072"/>
      <c r="R35" s="1071">
        <v>1.0</v>
      </c>
      <c r="S35" s="1073"/>
      <c r="T35" s="1073"/>
      <c r="U35" s="1072"/>
      <c r="V35" s="1073"/>
      <c r="W35" s="1073"/>
      <c r="X35" s="1073"/>
      <c r="Y35" s="1071">
        <v>1.0</v>
      </c>
    </row>
    <row r="36" ht="17.25" customHeight="1">
      <c r="A36" s="1074" t="s">
        <v>7286</v>
      </c>
      <c r="B36" s="1074" t="s">
        <v>175</v>
      </c>
      <c r="C36" s="1075" t="s">
        <v>114</v>
      </c>
      <c r="D36" s="1063">
        <f t="shared" si="3"/>
        <v>8</v>
      </c>
      <c r="E36" s="1080"/>
      <c r="F36" s="1079"/>
      <c r="G36" s="1078">
        <v>1.0</v>
      </c>
      <c r="H36" s="1078">
        <v>1.0</v>
      </c>
      <c r="I36" s="1079"/>
      <c r="J36" s="1079"/>
      <c r="K36" s="1078">
        <v>3.0</v>
      </c>
      <c r="L36" s="1077"/>
      <c r="M36" s="1077"/>
      <c r="N36" s="1078">
        <v>1.0</v>
      </c>
      <c r="O36" s="1078">
        <v>2.0</v>
      </c>
      <c r="P36" s="1079"/>
      <c r="Q36" s="1079"/>
      <c r="R36" s="1079"/>
      <c r="S36" s="1079"/>
      <c r="T36" s="1077"/>
      <c r="U36" s="1077"/>
      <c r="V36" s="1077"/>
      <c r="W36" s="1077"/>
      <c r="X36" s="1077"/>
      <c r="Y36" s="1077"/>
    </row>
    <row r="37" ht="17.25" customHeight="1">
      <c r="A37" s="1068" t="s">
        <v>7287</v>
      </c>
      <c r="B37" s="1068" t="s">
        <v>391</v>
      </c>
      <c r="C37" s="1069" t="s">
        <v>366</v>
      </c>
      <c r="D37" s="1063">
        <f t="shared" si="3"/>
        <v>8</v>
      </c>
      <c r="E37" s="1092">
        <v>3.0</v>
      </c>
      <c r="F37" s="1092">
        <v>1.0</v>
      </c>
      <c r="G37" s="1092">
        <v>1.0</v>
      </c>
      <c r="H37" s="1083"/>
      <c r="I37" s="1092">
        <v>1.0</v>
      </c>
      <c r="J37" s="1071">
        <v>1.0</v>
      </c>
      <c r="K37" s="1072"/>
      <c r="L37" s="1072"/>
      <c r="M37" s="1072"/>
      <c r="N37" s="1072"/>
      <c r="O37" s="1071">
        <v>1.0</v>
      </c>
      <c r="P37" s="1072"/>
      <c r="Q37" s="1072"/>
      <c r="R37" s="1073"/>
      <c r="S37" s="1072"/>
      <c r="T37" s="1073"/>
      <c r="U37" s="1073"/>
      <c r="V37" s="1073"/>
      <c r="W37" s="1072"/>
      <c r="X37" s="1073"/>
      <c r="Y37" s="1073"/>
    </row>
    <row r="38" ht="17.25" customHeight="1">
      <c r="A38" s="1074" t="s">
        <v>7288</v>
      </c>
      <c r="B38" s="1074" t="s">
        <v>794</v>
      </c>
      <c r="C38" s="1075" t="s">
        <v>792</v>
      </c>
      <c r="D38" s="1063">
        <f t="shared" si="3"/>
        <v>8</v>
      </c>
      <c r="E38" s="1080"/>
      <c r="F38" s="1078">
        <v>1.0</v>
      </c>
      <c r="G38" s="1077"/>
      <c r="H38" s="1078">
        <v>1.0</v>
      </c>
      <c r="I38" s="1079"/>
      <c r="J38" s="1078">
        <v>1.0</v>
      </c>
      <c r="K38" s="1078">
        <v>1.0</v>
      </c>
      <c r="L38" s="1079"/>
      <c r="M38" s="1078">
        <v>1.0</v>
      </c>
      <c r="N38" s="1077"/>
      <c r="O38" s="1077"/>
      <c r="P38" s="1078">
        <v>1.0</v>
      </c>
      <c r="Q38" s="1079"/>
      <c r="R38" s="1078"/>
      <c r="S38" s="1077"/>
      <c r="T38" s="1078">
        <v>1.0</v>
      </c>
      <c r="U38" s="1077"/>
      <c r="V38" s="1078"/>
      <c r="W38" s="1077"/>
      <c r="X38" s="1078">
        <v>1.0</v>
      </c>
      <c r="Y38" s="1078"/>
    </row>
    <row r="39" ht="17.25" customHeight="1">
      <c r="A39" s="1068" t="s">
        <v>7290</v>
      </c>
      <c r="B39" s="1068" t="s">
        <v>946</v>
      </c>
      <c r="C39" s="1069" t="s">
        <v>1083</v>
      </c>
      <c r="D39" s="1063">
        <f t="shared" si="3"/>
        <v>8</v>
      </c>
      <c r="E39" s="1070">
        <v>2.0</v>
      </c>
      <c r="F39" s="1071">
        <v>2.0</v>
      </c>
      <c r="G39" s="1071">
        <v>1.0</v>
      </c>
      <c r="H39" s="1072"/>
      <c r="I39" s="1071">
        <v>1.0</v>
      </c>
      <c r="J39" s="1073"/>
      <c r="K39" s="1072"/>
      <c r="L39" s="1072"/>
      <c r="M39" s="1072"/>
      <c r="N39" s="1072"/>
      <c r="O39" s="1072"/>
      <c r="P39" s="1072"/>
      <c r="Q39" s="1071">
        <v>2.0</v>
      </c>
      <c r="R39" s="1072"/>
      <c r="S39" s="1072"/>
      <c r="T39" s="1073"/>
      <c r="U39" s="1073"/>
      <c r="V39" s="1072"/>
      <c r="W39" s="1072"/>
      <c r="X39" s="1073"/>
      <c r="Y39" s="1073"/>
    </row>
    <row r="40" ht="17.25" customHeight="1">
      <c r="A40" s="1074" t="s">
        <v>7292</v>
      </c>
      <c r="B40" s="1074" t="s">
        <v>1288</v>
      </c>
      <c r="C40" s="1075" t="s">
        <v>1278</v>
      </c>
      <c r="D40" s="1063">
        <f t="shared" si="3"/>
        <v>8</v>
      </c>
      <c r="E40" s="1080">
        <v>1.0</v>
      </c>
      <c r="F40" s="1078"/>
      <c r="G40" s="1078">
        <v>1.0</v>
      </c>
      <c r="H40" s="1078">
        <v>1.0</v>
      </c>
      <c r="I40" s="1077"/>
      <c r="J40" s="1078">
        <v>1.0</v>
      </c>
      <c r="K40" s="1078"/>
      <c r="L40" s="1078">
        <v>1.0</v>
      </c>
      <c r="M40" s="1079"/>
      <c r="N40" s="1077"/>
      <c r="O40" s="1077"/>
      <c r="P40" s="1077"/>
      <c r="Q40" s="1077"/>
      <c r="R40" s="1077"/>
      <c r="S40" s="1077"/>
      <c r="T40" s="1077"/>
      <c r="U40" s="1077"/>
      <c r="V40" s="1078">
        <v>2.0</v>
      </c>
      <c r="W40" s="1077"/>
      <c r="X40" s="1078">
        <v>1.0</v>
      </c>
      <c r="Y40" s="1077"/>
    </row>
    <row r="41" ht="17.25" customHeight="1">
      <c r="A41" s="1068" t="s">
        <v>7293</v>
      </c>
      <c r="B41" s="1068" t="s">
        <v>1315</v>
      </c>
      <c r="C41" s="1069" t="s">
        <v>1278</v>
      </c>
      <c r="D41" s="1063">
        <f t="shared" si="3"/>
        <v>8</v>
      </c>
      <c r="E41" s="1070">
        <v>6.0</v>
      </c>
      <c r="F41" s="1071">
        <v>1.0</v>
      </c>
      <c r="G41" s="1072"/>
      <c r="H41" s="1071"/>
      <c r="I41" s="1072"/>
      <c r="J41" s="1072"/>
      <c r="K41" s="1071">
        <v>1.0</v>
      </c>
      <c r="L41" s="1073"/>
      <c r="M41" s="1072"/>
      <c r="N41" s="1073"/>
      <c r="O41" s="1072"/>
      <c r="P41" s="1072"/>
      <c r="Q41" s="1073"/>
      <c r="R41" s="1072"/>
      <c r="S41" s="1072"/>
      <c r="T41" s="1073"/>
      <c r="U41" s="1073"/>
      <c r="V41" s="1072"/>
      <c r="W41" s="1073"/>
      <c r="X41" s="1073"/>
      <c r="Y41" s="1073"/>
    </row>
    <row r="42" ht="17.25" customHeight="1">
      <c r="A42" s="1074" t="s">
        <v>7295</v>
      </c>
      <c r="B42" s="1074" t="s">
        <v>1315</v>
      </c>
      <c r="C42" s="1075" t="s">
        <v>1278</v>
      </c>
      <c r="D42" s="1063">
        <f t="shared" si="3"/>
        <v>8</v>
      </c>
      <c r="E42" s="1080">
        <v>5.0</v>
      </c>
      <c r="F42" s="1078"/>
      <c r="G42" s="1078">
        <v>1.0</v>
      </c>
      <c r="H42" s="1078"/>
      <c r="I42" s="1079"/>
      <c r="J42" s="1078">
        <v>1.0</v>
      </c>
      <c r="K42" s="1077"/>
      <c r="L42" s="1078">
        <v>1.0</v>
      </c>
      <c r="M42" s="1079"/>
      <c r="N42" s="1077"/>
      <c r="O42" s="1079"/>
      <c r="P42" s="1079"/>
      <c r="Q42" s="1079"/>
      <c r="R42" s="1077"/>
      <c r="S42" s="1079"/>
      <c r="T42" s="1077"/>
      <c r="U42" s="1077"/>
      <c r="V42" s="1077"/>
      <c r="W42" s="1077"/>
      <c r="X42" s="1077"/>
      <c r="Y42" s="1077"/>
    </row>
    <row r="43" ht="17.25" customHeight="1">
      <c r="A43" s="1123" t="s">
        <v>7296</v>
      </c>
      <c r="B43" s="1068" t="s">
        <v>2044</v>
      </c>
      <c r="C43" s="1069" t="s">
        <v>2045</v>
      </c>
      <c r="D43" s="1063">
        <f t="shared" si="3"/>
        <v>8</v>
      </c>
      <c r="E43" s="1070">
        <v>1.0</v>
      </c>
      <c r="F43" s="1071">
        <v>2.0</v>
      </c>
      <c r="G43" s="1071">
        <v>2.0</v>
      </c>
      <c r="H43" s="1071">
        <v>1.0</v>
      </c>
      <c r="I43" s="1071">
        <v>1.0</v>
      </c>
      <c r="J43" s="1071"/>
      <c r="K43" s="1071">
        <v>1.0</v>
      </c>
      <c r="L43" s="1072"/>
      <c r="M43" s="1073"/>
      <c r="N43" s="1073"/>
      <c r="O43" s="1073"/>
      <c r="P43" s="1073"/>
      <c r="Q43" s="1073"/>
      <c r="R43" s="1072"/>
      <c r="S43" s="1073"/>
      <c r="T43" s="1072"/>
      <c r="U43" s="1073"/>
      <c r="V43" s="1073"/>
      <c r="W43" s="1073"/>
      <c r="X43" s="1073"/>
      <c r="Y43" s="1073"/>
    </row>
    <row r="44" ht="17.25" customHeight="1">
      <c r="A44" s="1074" t="s">
        <v>7299</v>
      </c>
      <c r="B44" s="1074" t="s">
        <v>830</v>
      </c>
      <c r="C44" s="1075" t="s">
        <v>2244</v>
      </c>
      <c r="D44" s="1063">
        <f t="shared" si="3"/>
        <v>8</v>
      </c>
      <c r="E44" s="1086"/>
      <c r="F44" s="1077"/>
      <c r="G44" s="1078">
        <v>2.0</v>
      </c>
      <c r="H44" s="1078">
        <v>2.0</v>
      </c>
      <c r="I44" s="1077"/>
      <c r="J44" s="1078">
        <v>1.0</v>
      </c>
      <c r="K44" s="1078">
        <v>1.0</v>
      </c>
      <c r="L44" s="1078"/>
      <c r="M44" s="1077"/>
      <c r="N44" s="1077"/>
      <c r="O44" s="1078">
        <v>1.0</v>
      </c>
      <c r="P44" s="1077"/>
      <c r="Q44" s="1077"/>
      <c r="R44" s="1079"/>
      <c r="S44" s="1077"/>
      <c r="T44" s="1079"/>
      <c r="U44" s="1078">
        <v>1.0</v>
      </c>
      <c r="V44" s="1077"/>
      <c r="W44" s="1077"/>
      <c r="X44" s="1077"/>
      <c r="Y44" s="1077"/>
    </row>
    <row r="45">
      <c r="A45" s="1068" t="s">
        <v>7300</v>
      </c>
      <c r="B45" s="1068" t="s">
        <v>217</v>
      </c>
      <c r="C45" s="1069" t="s">
        <v>114</v>
      </c>
      <c r="D45" s="1063">
        <f t="shared" si="3"/>
        <v>7</v>
      </c>
      <c r="E45" s="1070">
        <v>1.0</v>
      </c>
      <c r="F45" s="1071">
        <v>1.0</v>
      </c>
      <c r="G45" s="1071"/>
      <c r="H45" s="1071"/>
      <c r="I45" s="1072"/>
      <c r="J45" s="1071">
        <v>2.0</v>
      </c>
      <c r="K45" s="1072"/>
      <c r="L45" s="1072"/>
      <c r="M45" s="1071">
        <v>1.0</v>
      </c>
      <c r="N45" s="1071">
        <v>1.0</v>
      </c>
      <c r="O45" s="1072"/>
      <c r="P45" s="1073"/>
      <c r="Q45" s="1073"/>
      <c r="R45" s="1073"/>
      <c r="S45" s="1071">
        <v>1.0</v>
      </c>
      <c r="T45" s="1073"/>
      <c r="U45" s="1073"/>
      <c r="V45" s="1073"/>
      <c r="W45" s="1073"/>
      <c r="X45" s="1073"/>
      <c r="Y45" s="1073"/>
    </row>
    <row r="46">
      <c r="A46" s="1074" t="s">
        <v>7302</v>
      </c>
      <c r="B46" s="1074" t="s">
        <v>399</v>
      </c>
      <c r="C46" s="1075" t="s">
        <v>402</v>
      </c>
      <c r="D46" s="1063">
        <f t="shared" si="3"/>
        <v>7</v>
      </c>
      <c r="E46" s="1080">
        <v>2.0</v>
      </c>
      <c r="F46" s="1078"/>
      <c r="G46" s="1078">
        <v>3.0</v>
      </c>
      <c r="H46" s="1078"/>
      <c r="I46" s="1078">
        <v>1.0</v>
      </c>
      <c r="J46" s="1078"/>
      <c r="K46" s="1077"/>
      <c r="L46" s="1079"/>
      <c r="M46" s="1079"/>
      <c r="N46" s="1078">
        <v>1.0</v>
      </c>
      <c r="O46" s="1078"/>
      <c r="P46" s="1079"/>
      <c r="Q46" s="1079"/>
      <c r="R46" s="1079"/>
      <c r="S46" s="1077"/>
      <c r="T46" s="1079"/>
      <c r="U46" s="1079"/>
      <c r="V46" s="1078"/>
      <c r="W46" s="1078"/>
      <c r="X46" s="1077"/>
      <c r="Y46" s="1078"/>
    </row>
    <row r="47">
      <c r="A47" s="1068" t="s">
        <v>7303</v>
      </c>
      <c r="B47" s="1068" t="s">
        <v>510</v>
      </c>
      <c r="C47" s="1069" t="s">
        <v>446</v>
      </c>
      <c r="D47" s="1063">
        <f t="shared" si="3"/>
        <v>7</v>
      </c>
      <c r="E47" s="1070">
        <v>3.0</v>
      </c>
      <c r="F47" s="1071">
        <v>1.0</v>
      </c>
      <c r="G47" s="1073"/>
      <c r="H47" s="1073"/>
      <c r="I47" s="1072"/>
      <c r="J47" s="1072"/>
      <c r="K47" s="1072"/>
      <c r="L47" s="1071"/>
      <c r="M47" s="1073"/>
      <c r="N47" s="1071">
        <v>1.0</v>
      </c>
      <c r="O47" s="1072"/>
      <c r="P47" s="1073"/>
      <c r="Q47" s="1071">
        <v>1.0</v>
      </c>
      <c r="R47" s="1073"/>
      <c r="S47" s="1073"/>
      <c r="T47" s="1073"/>
      <c r="U47" s="1073"/>
      <c r="V47" s="1073"/>
      <c r="W47" s="1073"/>
      <c r="X47" s="1071">
        <v>1.0</v>
      </c>
      <c r="Y47" s="1071"/>
    </row>
    <row r="48">
      <c r="A48" s="1074" t="s">
        <v>7305</v>
      </c>
      <c r="B48" s="1074" t="s">
        <v>1038</v>
      </c>
      <c r="C48" s="1075" t="s">
        <v>1032</v>
      </c>
      <c r="D48" s="1063">
        <f t="shared" si="3"/>
        <v>7</v>
      </c>
      <c r="E48" s="1080">
        <v>2.0</v>
      </c>
      <c r="F48" s="1078"/>
      <c r="G48" s="1078">
        <v>3.0</v>
      </c>
      <c r="H48" s="1077"/>
      <c r="I48" s="1078">
        <v>1.0</v>
      </c>
      <c r="J48" s="1078"/>
      <c r="K48" s="1077"/>
      <c r="L48" s="1077"/>
      <c r="M48" s="1077"/>
      <c r="N48" s="1077"/>
      <c r="O48" s="1079"/>
      <c r="P48" s="1078">
        <v>1.0</v>
      </c>
      <c r="Q48" s="1077"/>
      <c r="R48" s="1079"/>
      <c r="S48" s="1077"/>
      <c r="T48" s="1079"/>
      <c r="U48" s="1077"/>
      <c r="V48" s="1077"/>
      <c r="W48" s="1077"/>
      <c r="X48" s="1077"/>
      <c r="Y48" s="1078"/>
    </row>
    <row r="49">
      <c r="A49" s="1068" t="s">
        <v>7306</v>
      </c>
      <c r="B49" s="1068" t="s">
        <v>1030</v>
      </c>
      <c r="C49" s="1069" t="s">
        <v>1032</v>
      </c>
      <c r="D49" s="1063">
        <f t="shared" si="3"/>
        <v>7</v>
      </c>
      <c r="E49" s="1070">
        <v>1.0</v>
      </c>
      <c r="F49" s="1071"/>
      <c r="G49" s="1071">
        <v>2.0</v>
      </c>
      <c r="H49" s="1071"/>
      <c r="I49" s="1071"/>
      <c r="J49" s="1071">
        <v>1.0</v>
      </c>
      <c r="K49" s="1071">
        <v>2.0</v>
      </c>
      <c r="L49" s="1073"/>
      <c r="M49" s="1071">
        <v>1.0</v>
      </c>
      <c r="N49" s="1071"/>
      <c r="O49" s="1072"/>
      <c r="P49" s="1073"/>
      <c r="Q49" s="1073"/>
      <c r="R49" s="1073"/>
      <c r="S49" s="1073"/>
      <c r="T49" s="1072"/>
      <c r="U49" s="1073"/>
      <c r="V49" s="1073"/>
      <c r="W49" s="1073"/>
      <c r="X49" s="1073"/>
      <c r="Y49" s="1073"/>
    </row>
    <row r="50">
      <c r="A50" s="1074" t="s">
        <v>1168</v>
      </c>
      <c r="B50" s="1074" t="s">
        <v>1170</v>
      </c>
      <c r="C50" s="1075" t="s">
        <v>1157</v>
      </c>
      <c r="D50" s="1063">
        <f t="shared" si="3"/>
        <v>7</v>
      </c>
      <c r="E50" s="1076"/>
      <c r="F50" s="1077"/>
      <c r="G50" s="1078">
        <v>5.0</v>
      </c>
      <c r="H50" s="1078">
        <v>1.0</v>
      </c>
      <c r="I50" s="1079"/>
      <c r="J50" s="1079"/>
      <c r="K50" s="1078"/>
      <c r="L50" s="1079"/>
      <c r="M50" s="1078">
        <v>1.0</v>
      </c>
      <c r="N50" s="1078"/>
      <c r="O50" s="1079"/>
      <c r="P50" s="1077"/>
      <c r="Q50" s="1079"/>
      <c r="R50" s="1077"/>
      <c r="S50" s="1078"/>
      <c r="T50" s="1079"/>
      <c r="U50" s="1077"/>
      <c r="V50" s="1077"/>
      <c r="W50" s="1077"/>
      <c r="X50" s="1077"/>
      <c r="Y50" s="1077"/>
    </row>
    <row r="51">
      <c r="A51" s="1068" t="s">
        <v>7276</v>
      </c>
      <c r="B51" s="1068" t="s">
        <v>7277</v>
      </c>
      <c r="C51" s="1069" t="s">
        <v>1278</v>
      </c>
      <c r="D51" s="1063">
        <f t="shared" si="3"/>
        <v>7</v>
      </c>
      <c r="E51" s="1070">
        <v>1.0</v>
      </c>
      <c r="F51" s="1072"/>
      <c r="G51" s="1072"/>
      <c r="H51" s="1071">
        <v>1.0</v>
      </c>
      <c r="I51" s="1071">
        <v>2.0</v>
      </c>
      <c r="J51" s="1071">
        <v>1.0</v>
      </c>
      <c r="K51" s="1073"/>
      <c r="L51" s="1072"/>
      <c r="M51" s="1071"/>
      <c r="N51" s="1072"/>
      <c r="O51" s="1073"/>
      <c r="P51" s="1071">
        <v>1.0</v>
      </c>
      <c r="Q51" s="1072"/>
      <c r="R51" s="1073"/>
      <c r="S51" s="1073"/>
      <c r="T51" s="1073"/>
      <c r="U51" s="1073"/>
      <c r="V51" s="1073"/>
      <c r="W51" s="1073"/>
      <c r="X51" s="1073"/>
      <c r="Y51" s="1071">
        <v>1.0</v>
      </c>
    </row>
    <row r="52">
      <c r="A52" s="1074" t="s">
        <v>7310</v>
      </c>
      <c r="B52" s="1074" t="s">
        <v>1315</v>
      </c>
      <c r="C52" s="1075" t="s">
        <v>1278</v>
      </c>
      <c r="D52" s="1063">
        <f t="shared" si="3"/>
        <v>7</v>
      </c>
      <c r="E52" s="1080">
        <v>6.0</v>
      </c>
      <c r="F52" s="1078"/>
      <c r="G52" s="1078"/>
      <c r="H52" s="1078">
        <v>1.0</v>
      </c>
      <c r="I52" s="1079"/>
      <c r="J52" s="1077"/>
      <c r="K52" s="1078"/>
      <c r="L52" s="1079"/>
      <c r="M52" s="1079"/>
      <c r="N52" s="1078"/>
      <c r="O52" s="1079"/>
      <c r="P52" s="1079"/>
      <c r="Q52" s="1077"/>
      <c r="R52" s="1079"/>
      <c r="S52" s="1077"/>
      <c r="T52" s="1079"/>
      <c r="U52" s="1079"/>
      <c r="V52" s="1077"/>
      <c r="W52" s="1077"/>
      <c r="X52" s="1077"/>
      <c r="Y52" s="1077"/>
    </row>
    <row r="53">
      <c r="A53" s="1068" t="s">
        <v>7311</v>
      </c>
      <c r="B53" s="1068" t="s">
        <v>1305</v>
      </c>
      <c r="C53" s="1069" t="s">
        <v>1278</v>
      </c>
      <c r="D53" s="1063">
        <f t="shared" si="3"/>
        <v>7</v>
      </c>
      <c r="E53" s="1070">
        <v>1.0</v>
      </c>
      <c r="F53" s="1072"/>
      <c r="G53" s="1071">
        <v>2.0</v>
      </c>
      <c r="H53" s="1071">
        <v>2.0</v>
      </c>
      <c r="I53" s="1071"/>
      <c r="J53" s="1072"/>
      <c r="K53" s="1071">
        <v>1.0</v>
      </c>
      <c r="L53" s="1072"/>
      <c r="M53" s="1072"/>
      <c r="N53" s="1072"/>
      <c r="O53" s="1073"/>
      <c r="P53" s="1073"/>
      <c r="Q53" s="1073"/>
      <c r="R53" s="1071">
        <v>1.0</v>
      </c>
      <c r="S53" s="1072"/>
      <c r="T53" s="1073"/>
      <c r="U53" s="1073"/>
      <c r="V53" s="1073"/>
      <c r="W53" s="1073"/>
      <c r="X53" s="1073"/>
      <c r="Y53" s="1073"/>
    </row>
    <row r="54">
      <c r="A54" s="1074" t="s">
        <v>7313</v>
      </c>
      <c r="B54" s="1074" t="s">
        <v>1038</v>
      </c>
      <c r="C54" s="1075" t="s">
        <v>1278</v>
      </c>
      <c r="D54" s="1063">
        <f t="shared" si="3"/>
        <v>7</v>
      </c>
      <c r="E54" s="1080">
        <v>5.0</v>
      </c>
      <c r="F54" s="1078"/>
      <c r="G54" s="1078"/>
      <c r="H54" s="1078">
        <v>1.0</v>
      </c>
      <c r="I54" s="1078"/>
      <c r="J54" s="1078"/>
      <c r="K54" s="1079"/>
      <c r="L54" s="1077"/>
      <c r="M54" s="1077"/>
      <c r="N54" s="1077"/>
      <c r="O54" s="1077"/>
      <c r="P54" s="1077"/>
      <c r="Q54" s="1077"/>
      <c r="R54" s="1078"/>
      <c r="S54" s="1078">
        <v>1.0</v>
      </c>
      <c r="T54" s="1077"/>
      <c r="U54" s="1077"/>
      <c r="V54" s="1077"/>
      <c r="W54" s="1077"/>
      <c r="X54" s="1079"/>
      <c r="Y54" s="1079"/>
    </row>
    <row r="55" ht="18.0" customHeight="1">
      <c r="A55" s="1068" t="s">
        <v>7314</v>
      </c>
      <c r="B55" s="1068" t="s">
        <v>1423</v>
      </c>
      <c r="C55" s="1069" t="s">
        <v>1278</v>
      </c>
      <c r="D55" s="1063">
        <f t="shared" si="3"/>
        <v>7</v>
      </c>
      <c r="E55" s="1070">
        <v>3.0</v>
      </c>
      <c r="F55" s="1073"/>
      <c r="G55" s="1071">
        <v>1.0</v>
      </c>
      <c r="H55" s="1071">
        <v>1.0</v>
      </c>
      <c r="I55" s="1073"/>
      <c r="J55" s="1071">
        <v>1.0</v>
      </c>
      <c r="K55" s="1072"/>
      <c r="L55" s="1071">
        <v>1.0</v>
      </c>
      <c r="M55" s="1073"/>
      <c r="N55" s="1073"/>
      <c r="O55" s="1072"/>
      <c r="P55" s="1073"/>
      <c r="Q55" s="1072"/>
      <c r="R55" s="1073"/>
      <c r="S55" s="1073"/>
      <c r="T55" s="1072"/>
      <c r="U55" s="1073"/>
      <c r="V55" s="1073"/>
      <c r="W55" s="1073"/>
      <c r="X55" s="1073"/>
      <c r="Y55" s="1071"/>
    </row>
    <row r="56">
      <c r="A56" s="1074" t="s">
        <v>7316</v>
      </c>
      <c r="B56" s="1074" t="s">
        <v>1829</v>
      </c>
      <c r="C56" s="1075" t="s">
        <v>1646</v>
      </c>
      <c r="D56" s="1063">
        <f t="shared" si="3"/>
        <v>7</v>
      </c>
      <c r="E56" s="1086"/>
      <c r="F56" s="1078"/>
      <c r="G56" s="1078">
        <v>1.0</v>
      </c>
      <c r="H56" s="1079"/>
      <c r="I56" s="1078"/>
      <c r="J56" s="1078">
        <v>1.0</v>
      </c>
      <c r="K56" s="1078">
        <v>1.0</v>
      </c>
      <c r="L56" s="1078">
        <v>1.0</v>
      </c>
      <c r="M56" s="1078">
        <v>1.0</v>
      </c>
      <c r="N56" s="1077"/>
      <c r="O56" s="1079"/>
      <c r="P56" s="1079"/>
      <c r="Q56" s="1077"/>
      <c r="R56" s="1077"/>
      <c r="S56" s="1079"/>
      <c r="T56" s="1079"/>
      <c r="U56" s="1077"/>
      <c r="V56" s="1077"/>
      <c r="W56" s="1077"/>
      <c r="X56" s="1077"/>
      <c r="Y56" s="1078">
        <v>2.0</v>
      </c>
    </row>
    <row r="57">
      <c r="A57" s="1068" t="s">
        <v>7317</v>
      </c>
      <c r="B57" s="1068" t="s">
        <v>2014</v>
      </c>
      <c r="C57" s="1069" t="s">
        <v>1999</v>
      </c>
      <c r="D57" s="1063">
        <f t="shared" si="3"/>
        <v>7</v>
      </c>
      <c r="E57" s="1070">
        <v>2.0</v>
      </c>
      <c r="F57" s="1071">
        <v>1.0</v>
      </c>
      <c r="G57" s="1071">
        <v>1.0</v>
      </c>
      <c r="H57" s="1124"/>
      <c r="I57" s="1071">
        <v>1.0</v>
      </c>
      <c r="J57" s="1072"/>
      <c r="K57" s="1073"/>
      <c r="L57" s="1071">
        <v>1.0</v>
      </c>
      <c r="M57" s="1073"/>
      <c r="N57" s="1073"/>
      <c r="O57" s="1071">
        <v>1.0</v>
      </c>
      <c r="P57" s="1073"/>
      <c r="Q57" s="1073"/>
      <c r="R57" s="1072"/>
      <c r="S57" s="1073"/>
      <c r="T57" s="1072"/>
      <c r="U57" s="1073"/>
      <c r="V57" s="1073"/>
      <c r="W57" s="1073"/>
      <c r="X57" s="1073"/>
      <c r="Y57" s="1073"/>
    </row>
    <row r="58">
      <c r="A58" s="1074" t="s">
        <v>7319</v>
      </c>
      <c r="B58" s="1074" t="s">
        <v>1998</v>
      </c>
      <c r="C58" s="1075" t="s">
        <v>1999</v>
      </c>
      <c r="D58" s="1063">
        <f t="shared" si="3"/>
        <v>7</v>
      </c>
      <c r="E58" s="1080" t="s">
        <v>2428</v>
      </c>
      <c r="F58" s="1078">
        <v>2.0</v>
      </c>
      <c r="G58" s="1078">
        <v>1.0</v>
      </c>
      <c r="H58" s="1078">
        <v>1.0</v>
      </c>
      <c r="I58" s="1078">
        <v>1.0</v>
      </c>
      <c r="J58" s="1077"/>
      <c r="K58" s="1078">
        <v>1.0</v>
      </c>
      <c r="L58" s="1079"/>
      <c r="M58" s="1077"/>
      <c r="N58" s="1077"/>
      <c r="O58" s="1077"/>
      <c r="P58" s="1077"/>
      <c r="Q58" s="1077"/>
      <c r="R58" s="1077"/>
      <c r="S58" s="1077"/>
      <c r="T58" s="1077"/>
      <c r="U58" s="1077"/>
      <c r="V58" s="1077"/>
      <c r="W58" s="1077"/>
      <c r="X58" s="1077"/>
      <c r="Y58" s="1078">
        <v>1.0</v>
      </c>
    </row>
    <row r="59">
      <c r="A59" s="1068" t="s">
        <v>7320</v>
      </c>
      <c r="B59" s="1068" t="s">
        <v>2033</v>
      </c>
      <c r="C59" s="1069" t="s">
        <v>1999</v>
      </c>
      <c r="D59" s="1063">
        <f t="shared" si="3"/>
        <v>7</v>
      </c>
      <c r="E59" s="1070">
        <v>2.0</v>
      </c>
      <c r="F59" s="1071">
        <v>2.0</v>
      </c>
      <c r="G59" s="1071"/>
      <c r="H59" s="1071"/>
      <c r="I59" s="1071"/>
      <c r="J59" s="1073"/>
      <c r="K59" s="1071">
        <v>1.0</v>
      </c>
      <c r="L59" s="1072"/>
      <c r="M59" s="1071">
        <v>1.0</v>
      </c>
      <c r="N59" s="1071">
        <v>1.0</v>
      </c>
      <c r="O59" s="1072"/>
      <c r="P59" s="1073"/>
      <c r="Q59" s="1073"/>
      <c r="R59" s="1072"/>
      <c r="S59" s="1073"/>
      <c r="T59" s="1073"/>
      <c r="U59" s="1073"/>
      <c r="V59" s="1073"/>
      <c r="W59" s="1073"/>
      <c r="X59" s="1073"/>
      <c r="Y59" s="1073"/>
    </row>
    <row r="60">
      <c r="A60" s="1108" t="s">
        <v>7322</v>
      </c>
      <c r="B60" s="1074" t="s">
        <v>2048</v>
      </c>
      <c r="C60" s="1075" t="s">
        <v>2045</v>
      </c>
      <c r="D60" s="1063">
        <f t="shared" si="3"/>
        <v>7</v>
      </c>
      <c r="E60" s="1080">
        <v>1.0</v>
      </c>
      <c r="F60" s="1078">
        <v>1.0</v>
      </c>
      <c r="G60" s="1078">
        <v>1.0</v>
      </c>
      <c r="H60" s="1077"/>
      <c r="I60" s="1079"/>
      <c r="J60" s="1078"/>
      <c r="K60" s="1077"/>
      <c r="L60" s="1078">
        <v>1.0</v>
      </c>
      <c r="M60" s="1078">
        <v>1.0</v>
      </c>
      <c r="N60" s="1078">
        <v>1.0</v>
      </c>
      <c r="O60" s="1077"/>
      <c r="P60" s="1078">
        <v>1.0</v>
      </c>
      <c r="Q60" s="1077"/>
      <c r="R60" s="1077"/>
      <c r="S60" s="1077"/>
      <c r="T60" s="1077"/>
      <c r="U60" s="1077"/>
      <c r="V60" s="1077"/>
      <c r="W60" s="1077"/>
      <c r="X60" s="1077"/>
      <c r="Y60" s="1077"/>
    </row>
    <row r="61">
      <c r="A61" s="1068" t="s">
        <v>7323</v>
      </c>
      <c r="B61" s="1068" t="s">
        <v>2114</v>
      </c>
      <c r="C61" s="1069" t="s">
        <v>2045</v>
      </c>
      <c r="D61" s="1098">
        <v>7.0</v>
      </c>
      <c r="E61" s="1070"/>
      <c r="F61" s="1071">
        <v>1.0</v>
      </c>
      <c r="G61" s="1071">
        <v>2.0</v>
      </c>
      <c r="H61" s="1071">
        <v>4.0</v>
      </c>
      <c r="I61" s="1073"/>
      <c r="J61" s="1072"/>
      <c r="K61" s="1073"/>
      <c r="L61" s="1072"/>
      <c r="M61" s="1073"/>
      <c r="N61" s="1073"/>
      <c r="O61" s="1073"/>
      <c r="P61" s="1073"/>
      <c r="Q61" s="1073"/>
      <c r="R61" s="1071">
        <v>1.0</v>
      </c>
      <c r="S61" s="1073"/>
      <c r="T61" s="1072"/>
      <c r="U61" s="1073"/>
      <c r="V61" s="1073"/>
      <c r="W61" s="1073"/>
      <c r="X61" s="1073"/>
      <c r="Y61" s="1073"/>
    </row>
    <row r="62">
      <c r="A62" s="1074" t="s">
        <v>7325</v>
      </c>
      <c r="B62" s="1074" t="s">
        <v>2183</v>
      </c>
      <c r="C62" s="1075" t="s">
        <v>2045</v>
      </c>
      <c r="D62" s="1063">
        <f t="shared" ref="D62:D80" si="4">SUM(E62:Y62)</f>
        <v>7</v>
      </c>
      <c r="E62" s="1076"/>
      <c r="F62" s="1078">
        <v>3.0</v>
      </c>
      <c r="G62" s="1077"/>
      <c r="H62" s="1078">
        <v>2.0</v>
      </c>
      <c r="I62" s="1078"/>
      <c r="J62" s="1079"/>
      <c r="K62" s="1077"/>
      <c r="L62" s="1078">
        <v>1.0</v>
      </c>
      <c r="M62" s="1077"/>
      <c r="N62" s="1078">
        <v>1.0</v>
      </c>
      <c r="O62" s="1077"/>
      <c r="P62" s="1077"/>
      <c r="Q62" s="1077"/>
      <c r="R62" s="1079"/>
      <c r="S62" s="1077"/>
      <c r="T62" s="1079"/>
      <c r="U62" s="1077"/>
      <c r="V62" s="1077"/>
      <c r="W62" s="1077"/>
      <c r="X62" s="1077"/>
      <c r="Y62" s="1077"/>
    </row>
    <row r="63">
      <c r="A63" s="1068" t="s">
        <v>7172</v>
      </c>
      <c r="B63" s="1068" t="s">
        <v>77</v>
      </c>
      <c r="C63" s="1069" t="s">
        <v>57</v>
      </c>
      <c r="D63" s="1063">
        <f t="shared" si="4"/>
        <v>6</v>
      </c>
      <c r="E63" s="1084"/>
      <c r="F63" s="1072"/>
      <c r="G63" s="1122">
        <v>2.0</v>
      </c>
      <c r="H63" s="1071">
        <v>1.0</v>
      </c>
      <c r="I63" s="1072"/>
      <c r="J63" s="1071"/>
      <c r="K63" s="1071">
        <v>1.0</v>
      </c>
      <c r="L63" s="1072"/>
      <c r="M63" s="1071"/>
      <c r="N63" s="1073"/>
      <c r="O63" s="1071">
        <v>1.0</v>
      </c>
      <c r="P63" s="1073"/>
      <c r="Q63" s="1071">
        <v>1.0</v>
      </c>
      <c r="R63" s="1073"/>
      <c r="S63" s="1073"/>
      <c r="T63" s="1073"/>
      <c r="U63" s="1073"/>
      <c r="V63" s="1073"/>
      <c r="W63" s="1071"/>
      <c r="X63" s="1072"/>
      <c r="Y63" s="1072"/>
    </row>
    <row r="64">
      <c r="A64" s="1108" t="s">
        <v>7328</v>
      </c>
      <c r="B64" s="1074" t="s">
        <v>77</v>
      </c>
      <c r="C64" s="1075" t="s">
        <v>57</v>
      </c>
      <c r="D64" s="1063">
        <f t="shared" si="4"/>
        <v>6</v>
      </c>
      <c r="E64" s="1080">
        <v>2.0</v>
      </c>
      <c r="F64" s="1078">
        <v>1.0</v>
      </c>
      <c r="G64" s="1079"/>
      <c r="H64" s="1078">
        <v>1.0</v>
      </c>
      <c r="I64" s="1078"/>
      <c r="J64" s="1078"/>
      <c r="K64" s="1079"/>
      <c r="L64" s="1079"/>
      <c r="M64" s="1077"/>
      <c r="N64" s="1079"/>
      <c r="O64" s="1077"/>
      <c r="P64" s="1077"/>
      <c r="Q64" s="1077"/>
      <c r="R64" s="1078">
        <v>1.0</v>
      </c>
      <c r="S64" s="1078">
        <v>1.0</v>
      </c>
      <c r="T64" s="1077"/>
      <c r="U64" s="1077"/>
      <c r="V64" s="1077"/>
      <c r="W64" s="1077"/>
      <c r="X64" s="1077"/>
      <c r="Y64" s="1077"/>
    </row>
    <row r="65">
      <c r="A65" s="1068" t="s">
        <v>7330</v>
      </c>
      <c r="B65" s="1068" t="s">
        <v>379</v>
      </c>
      <c r="C65" s="1069" t="s">
        <v>366</v>
      </c>
      <c r="D65" s="1063">
        <f t="shared" si="4"/>
        <v>6</v>
      </c>
      <c r="E65" s="1070"/>
      <c r="F65" s="1071"/>
      <c r="G65" s="1071">
        <v>1.0</v>
      </c>
      <c r="H65" s="1071"/>
      <c r="I65" s="1071">
        <v>1.0</v>
      </c>
      <c r="J65" s="1071">
        <v>2.0</v>
      </c>
      <c r="K65" s="1071">
        <v>1.0</v>
      </c>
      <c r="L65" s="1073"/>
      <c r="M65" s="1072"/>
      <c r="N65" s="1071">
        <v>1.0</v>
      </c>
      <c r="O65" s="1072"/>
      <c r="P65" s="1072"/>
      <c r="Q65" s="1073"/>
      <c r="R65" s="1072"/>
      <c r="S65" s="1072"/>
      <c r="T65" s="1072"/>
      <c r="U65" s="1073"/>
      <c r="V65" s="1073"/>
      <c r="W65" s="1073"/>
      <c r="X65" s="1071"/>
      <c r="Y65" s="1073"/>
    </row>
    <row r="66">
      <c r="A66" s="1074" t="s">
        <v>7331</v>
      </c>
      <c r="B66" s="1074" t="s">
        <v>655</v>
      </c>
      <c r="C66" s="1075" t="s">
        <v>656</v>
      </c>
      <c r="D66" s="1063">
        <f t="shared" si="4"/>
        <v>6</v>
      </c>
      <c r="E66" s="1080">
        <v>1.0</v>
      </c>
      <c r="F66" s="1079"/>
      <c r="G66" s="1078">
        <v>1.0</v>
      </c>
      <c r="H66" s="1078"/>
      <c r="I66" s="1078">
        <v>2.0</v>
      </c>
      <c r="J66" s="1078">
        <v>1.0</v>
      </c>
      <c r="K66" s="1078">
        <v>1.0</v>
      </c>
      <c r="L66" s="1078"/>
      <c r="M66" s="1078"/>
      <c r="N66" s="1078"/>
      <c r="O66" s="1077"/>
      <c r="P66" s="1077"/>
      <c r="Q66" s="1077"/>
      <c r="R66" s="1077"/>
      <c r="S66" s="1077"/>
      <c r="T66" s="1077"/>
      <c r="U66" s="1077"/>
      <c r="V66" s="1077"/>
      <c r="W66" s="1077"/>
      <c r="X66" s="1077"/>
      <c r="Y66" s="1077"/>
    </row>
    <row r="67">
      <c r="A67" s="1068" t="s">
        <v>7333</v>
      </c>
      <c r="B67" s="1068" t="s">
        <v>734</v>
      </c>
      <c r="C67" s="1069" t="s">
        <v>735</v>
      </c>
      <c r="D67" s="1063">
        <f t="shared" si="4"/>
        <v>6</v>
      </c>
      <c r="E67" s="1070">
        <v>1.0</v>
      </c>
      <c r="F67" s="1071"/>
      <c r="G67" s="1071"/>
      <c r="H67" s="1071">
        <v>1.0</v>
      </c>
      <c r="I67" s="1071">
        <v>1.0</v>
      </c>
      <c r="J67" s="1072"/>
      <c r="K67" s="1073"/>
      <c r="L67" s="1071">
        <v>1.0</v>
      </c>
      <c r="M67" s="1073"/>
      <c r="N67" s="1072"/>
      <c r="O67" s="1071">
        <v>2.0</v>
      </c>
      <c r="P67" s="1073"/>
      <c r="Q67" s="1073"/>
      <c r="R67" s="1072"/>
      <c r="S67" s="1073"/>
      <c r="T67" s="1072"/>
      <c r="U67" s="1073"/>
      <c r="V67" s="1073"/>
      <c r="W67" s="1073"/>
      <c r="X67" s="1073"/>
      <c r="Y67" s="1073"/>
    </row>
    <row r="68">
      <c r="A68" s="1074" t="s">
        <v>7197</v>
      </c>
      <c r="B68" s="1074" t="s">
        <v>1149</v>
      </c>
      <c r="C68" s="1075" t="s">
        <v>1151</v>
      </c>
      <c r="D68" s="1063">
        <f t="shared" si="4"/>
        <v>6</v>
      </c>
      <c r="E68" s="1080">
        <v>3.0</v>
      </c>
      <c r="F68" s="1078">
        <v>1.0</v>
      </c>
      <c r="G68" s="1078">
        <v>1.0</v>
      </c>
      <c r="H68" s="1078">
        <v>1.0</v>
      </c>
      <c r="I68" s="1079"/>
      <c r="J68" s="1079"/>
      <c r="K68" s="1078"/>
      <c r="L68" s="1079"/>
      <c r="M68" s="1079"/>
      <c r="N68" s="1077"/>
      <c r="O68" s="1079"/>
      <c r="P68" s="1079"/>
      <c r="Q68" s="1079"/>
      <c r="R68" s="1079"/>
      <c r="S68" s="1077"/>
      <c r="T68" s="1077"/>
      <c r="U68" s="1077"/>
      <c r="V68" s="1077"/>
      <c r="W68" s="1077"/>
      <c r="X68" s="1077"/>
      <c r="Y68" s="1077"/>
    </row>
    <row r="69">
      <c r="A69" s="1068" t="s">
        <v>7156</v>
      </c>
      <c r="B69" s="1068" t="s">
        <v>1163</v>
      </c>
      <c r="C69" s="1069" t="s">
        <v>1157</v>
      </c>
      <c r="D69" s="1063">
        <f t="shared" si="4"/>
        <v>6</v>
      </c>
      <c r="E69" s="1084"/>
      <c r="F69" s="1071">
        <v>3.0</v>
      </c>
      <c r="G69" s="1071"/>
      <c r="H69" s="1072"/>
      <c r="I69" s="1071"/>
      <c r="J69" s="1072"/>
      <c r="K69" s="1072"/>
      <c r="L69" s="1071">
        <v>1.0</v>
      </c>
      <c r="M69" s="1072"/>
      <c r="N69" s="1072"/>
      <c r="O69" s="1072"/>
      <c r="P69" s="1073"/>
      <c r="Q69" s="1073"/>
      <c r="R69" s="1073"/>
      <c r="S69" s="1073"/>
      <c r="T69" s="1071">
        <v>1.0</v>
      </c>
      <c r="U69" s="1071">
        <v>1.0</v>
      </c>
      <c r="V69" s="1073"/>
      <c r="W69" s="1071"/>
      <c r="X69" s="1073"/>
      <c r="Y69" s="1073"/>
    </row>
    <row r="70">
      <c r="A70" s="1074" t="s">
        <v>7337</v>
      </c>
      <c r="B70" s="1074" t="s">
        <v>1222</v>
      </c>
      <c r="C70" s="1075" t="s">
        <v>1157</v>
      </c>
      <c r="D70" s="1063">
        <f t="shared" si="4"/>
        <v>6</v>
      </c>
      <c r="E70" s="1080">
        <v>1.0</v>
      </c>
      <c r="F70" s="1078">
        <v>2.0</v>
      </c>
      <c r="G70" s="1077"/>
      <c r="H70" s="1079"/>
      <c r="I70" s="1078"/>
      <c r="J70" s="1078">
        <v>1.0</v>
      </c>
      <c r="K70" s="1079"/>
      <c r="L70" s="1079"/>
      <c r="M70" s="1077"/>
      <c r="N70" s="1078">
        <v>1.0</v>
      </c>
      <c r="O70" s="1079"/>
      <c r="P70" s="1079"/>
      <c r="Q70" s="1078">
        <v>1.0</v>
      </c>
      <c r="R70" s="1079"/>
      <c r="S70" s="1077"/>
      <c r="T70" s="1079"/>
      <c r="U70" s="1077"/>
      <c r="V70" s="1079"/>
      <c r="W70" s="1079"/>
      <c r="X70" s="1077"/>
      <c r="Y70" s="1077"/>
    </row>
    <row r="71">
      <c r="A71" s="1068" t="s">
        <v>7054</v>
      </c>
      <c r="B71" s="1068" t="s">
        <v>1276</v>
      </c>
      <c r="C71" s="1069" t="s">
        <v>1278</v>
      </c>
      <c r="D71" s="1063">
        <f t="shared" si="4"/>
        <v>6</v>
      </c>
      <c r="E71" s="1070">
        <v>1.0</v>
      </c>
      <c r="F71" s="1073"/>
      <c r="G71" s="1071">
        <v>1.0</v>
      </c>
      <c r="H71" s="1071"/>
      <c r="I71" s="1071">
        <v>1.0</v>
      </c>
      <c r="J71" s="1072"/>
      <c r="K71" s="1071">
        <v>2.0</v>
      </c>
      <c r="L71" s="1071"/>
      <c r="M71" s="1072"/>
      <c r="N71" s="1071">
        <v>1.0</v>
      </c>
      <c r="O71" s="1073"/>
      <c r="P71" s="1072"/>
      <c r="Q71" s="1072"/>
      <c r="R71" s="1072"/>
      <c r="S71" s="1072"/>
      <c r="T71" s="1072"/>
      <c r="U71" s="1073"/>
      <c r="V71" s="1072"/>
      <c r="W71" s="1073"/>
      <c r="X71" s="1073"/>
      <c r="Y71" s="1073"/>
    </row>
    <row r="72">
      <c r="A72" s="1074" t="s">
        <v>1598</v>
      </c>
      <c r="B72" s="1074" t="s">
        <v>1600</v>
      </c>
      <c r="C72" s="1075" t="s">
        <v>1602</v>
      </c>
      <c r="D72" s="1063">
        <f t="shared" si="4"/>
        <v>6</v>
      </c>
      <c r="E72" s="1086"/>
      <c r="F72" s="1079"/>
      <c r="G72" s="1078">
        <v>2.0</v>
      </c>
      <c r="H72" s="1079"/>
      <c r="I72" s="1078">
        <v>1.0</v>
      </c>
      <c r="J72" s="1078">
        <v>3.0</v>
      </c>
      <c r="K72" s="1079"/>
      <c r="L72" s="1079"/>
      <c r="M72" s="1079"/>
      <c r="N72" s="1079"/>
      <c r="O72" s="1077"/>
      <c r="P72" s="1079"/>
      <c r="Q72" s="1077"/>
      <c r="R72" s="1079"/>
      <c r="S72" s="1077"/>
      <c r="T72" s="1077"/>
      <c r="U72" s="1077"/>
      <c r="V72" s="1077"/>
      <c r="W72" s="1077"/>
      <c r="X72" s="1077"/>
      <c r="Y72" s="1077"/>
    </row>
    <row r="73">
      <c r="A73" s="1068" t="s">
        <v>7339</v>
      </c>
      <c r="B73" s="1068" t="s">
        <v>7340</v>
      </c>
      <c r="C73" s="1069" t="s">
        <v>1646</v>
      </c>
      <c r="D73" s="1063">
        <f t="shared" si="4"/>
        <v>6</v>
      </c>
      <c r="E73" s="1070">
        <v>2.0</v>
      </c>
      <c r="F73" s="1071">
        <v>1.0</v>
      </c>
      <c r="G73" s="1071">
        <v>1.0</v>
      </c>
      <c r="H73" s="1072"/>
      <c r="I73" s="1072"/>
      <c r="J73" s="1073"/>
      <c r="K73" s="1071">
        <v>1.0</v>
      </c>
      <c r="L73" s="1071">
        <v>1.0</v>
      </c>
      <c r="M73" s="1073"/>
      <c r="N73" s="1072"/>
      <c r="O73" s="1072"/>
      <c r="P73" s="1072"/>
      <c r="Q73" s="1072"/>
      <c r="R73" s="1072"/>
      <c r="S73" s="1073"/>
      <c r="T73" s="1073"/>
      <c r="U73" s="1073"/>
      <c r="V73" s="1073"/>
      <c r="W73" s="1072"/>
      <c r="X73" s="1073"/>
      <c r="Y73" s="1071"/>
    </row>
    <row r="74">
      <c r="A74" s="1108" t="s">
        <v>7342</v>
      </c>
      <c r="B74" s="1108" t="s">
        <v>2183</v>
      </c>
      <c r="C74" s="1125" t="s">
        <v>2045</v>
      </c>
      <c r="D74" s="1063">
        <f t="shared" si="4"/>
        <v>6</v>
      </c>
      <c r="E74" s="1080">
        <v>1.0</v>
      </c>
      <c r="F74" s="1078">
        <v>2.0</v>
      </c>
      <c r="G74" s="1078"/>
      <c r="H74" s="1078">
        <v>1.0</v>
      </c>
      <c r="I74" s="1077"/>
      <c r="J74" s="1078">
        <v>1.0</v>
      </c>
      <c r="K74" s="1077"/>
      <c r="L74" s="1079"/>
      <c r="M74" s="1077"/>
      <c r="N74" s="1077"/>
      <c r="O74" s="1077"/>
      <c r="P74" s="1077"/>
      <c r="Q74" s="1078">
        <v>1.0</v>
      </c>
      <c r="R74" s="1079"/>
      <c r="S74" s="1077"/>
      <c r="T74" s="1079"/>
      <c r="U74" s="1077"/>
      <c r="V74" s="1077"/>
      <c r="W74" s="1077"/>
      <c r="X74" s="1077"/>
      <c r="Y74" s="1077"/>
    </row>
    <row r="75">
      <c r="A75" s="1068" t="s">
        <v>7343</v>
      </c>
      <c r="B75" s="1068" t="s">
        <v>2256</v>
      </c>
      <c r="C75" s="1069" t="s">
        <v>2250</v>
      </c>
      <c r="D75" s="1063">
        <f t="shared" si="4"/>
        <v>6</v>
      </c>
      <c r="E75" s="1070">
        <v>1.0</v>
      </c>
      <c r="F75" s="1071">
        <v>2.0</v>
      </c>
      <c r="G75" s="1071">
        <v>1.0</v>
      </c>
      <c r="H75" s="1073"/>
      <c r="I75" s="1071">
        <v>1.0</v>
      </c>
      <c r="J75" s="1071"/>
      <c r="K75" s="1071">
        <v>1.0</v>
      </c>
      <c r="L75" s="1072"/>
      <c r="M75" s="1073"/>
      <c r="N75" s="1073"/>
      <c r="O75" s="1073"/>
      <c r="P75" s="1073"/>
      <c r="Q75" s="1073"/>
      <c r="R75" s="1072"/>
      <c r="S75" s="1073"/>
      <c r="T75" s="1072"/>
      <c r="U75" s="1073"/>
      <c r="V75" s="1073"/>
      <c r="W75" s="1073"/>
      <c r="X75" s="1073"/>
      <c r="Y75" s="1073"/>
    </row>
    <row r="76">
      <c r="A76" s="1108" t="s">
        <v>7345</v>
      </c>
      <c r="B76" s="1074" t="s">
        <v>46</v>
      </c>
      <c r="C76" s="1075" t="s">
        <v>34</v>
      </c>
      <c r="D76" s="1063">
        <f t="shared" si="4"/>
        <v>5</v>
      </c>
      <c r="E76" s="1080">
        <v>1.0</v>
      </c>
      <c r="F76" s="1078">
        <v>1.0</v>
      </c>
      <c r="G76" s="1078"/>
      <c r="H76" s="1078">
        <v>2.0</v>
      </c>
      <c r="I76" s="1078"/>
      <c r="J76" s="1078"/>
      <c r="K76" s="1078"/>
      <c r="L76" s="1078"/>
      <c r="M76" s="1078">
        <v>1.0</v>
      </c>
      <c r="N76" s="1077"/>
      <c r="O76" s="1077"/>
      <c r="P76" s="1077"/>
      <c r="Q76" s="1077"/>
      <c r="R76" s="1077"/>
      <c r="S76" s="1077"/>
      <c r="T76" s="1077"/>
      <c r="U76" s="1077"/>
      <c r="V76" s="1077"/>
      <c r="W76" s="1077"/>
      <c r="X76" s="1077"/>
      <c r="Y76" s="1077"/>
    </row>
    <row r="77">
      <c r="A77" s="1068" t="s">
        <v>7347</v>
      </c>
      <c r="B77" s="1068" t="s">
        <v>53</v>
      </c>
      <c r="C77" s="1069" t="s">
        <v>54</v>
      </c>
      <c r="D77" s="1063">
        <f t="shared" si="4"/>
        <v>5</v>
      </c>
      <c r="E77" s="1070">
        <v>2.0</v>
      </c>
      <c r="F77" s="1071"/>
      <c r="G77" s="1073"/>
      <c r="H77" s="1072"/>
      <c r="I77" s="1071">
        <v>2.0</v>
      </c>
      <c r="J77" s="1071">
        <v>1.0</v>
      </c>
      <c r="K77" s="1071"/>
      <c r="L77" s="1071"/>
      <c r="M77" s="1072"/>
      <c r="N77" s="1073"/>
      <c r="O77" s="1072"/>
      <c r="P77" s="1072"/>
      <c r="Q77" s="1071"/>
      <c r="R77" s="1072"/>
      <c r="S77" s="1072"/>
      <c r="T77" s="1072"/>
      <c r="U77" s="1073"/>
      <c r="V77" s="1073"/>
      <c r="W77" s="1073"/>
      <c r="X77" s="1073"/>
      <c r="Y77" s="1073"/>
    </row>
    <row r="78">
      <c r="A78" s="1074" t="s">
        <v>7348</v>
      </c>
      <c r="B78" s="1108" t="s">
        <v>102</v>
      </c>
      <c r="C78" s="1075" t="s">
        <v>57</v>
      </c>
      <c r="D78" s="1063">
        <f t="shared" si="4"/>
        <v>5</v>
      </c>
      <c r="E78" s="1080">
        <v>1.0</v>
      </c>
      <c r="F78" s="1078">
        <v>1.0</v>
      </c>
      <c r="G78" s="1077"/>
      <c r="H78" s="1079"/>
      <c r="I78" s="1078"/>
      <c r="J78" s="1078">
        <v>2.0</v>
      </c>
      <c r="K78" s="1078"/>
      <c r="L78" s="1079"/>
      <c r="M78" s="1077"/>
      <c r="N78" s="1078">
        <v>1.0</v>
      </c>
      <c r="O78" s="1077"/>
      <c r="P78" s="1077"/>
      <c r="Q78" s="1077"/>
      <c r="R78" s="1077"/>
      <c r="S78" s="1077"/>
      <c r="T78" s="1077"/>
      <c r="U78" s="1077"/>
      <c r="V78" s="1077"/>
      <c r="W78" s="1077"/>
      <c r="X78" s="1077"/>
      <c r="Y78" s="1077"/>
    </row>
    <row r="79">
      <c r="A79" s="1068" t="s">
        <v>7058</v>
      </c>
      <c r="B79" s="1068" t="s">
        <v>306</v>
      </c>
      <c r="C79" s="1069" t="s">
        <v>114</v>
      </c>
      <c r="D79" s="1063">
        <f t="shared" si="4"/>
        <v>5</v>
      </c>
      <c r="E79" s="1070"/>
      <c r="F79" s="1073"/>
      <c r="G79" s="1071">
        <v>1.0</v>
      </c>
      <c r="H79" s="1072"/>
      <c r="I79" s="1071"/>
      <c r="J79" s="1071"/>
      <c r="K79" s="1071">
        <v>1.0</v>
      </c>
      <c r="L79" s="1071">
        <v>1.0</v>
      </c>
      <c r="M79" s="1073"/>
      <c r="N79" s="1073"/>
      <c r="O79" s="1073"/>
      <c r="P79" s="1071">
        <v>1.0</v>
      </c>
      <c r="Q79" s="1073"/>
      <c r="R79" s="1073"/>
      <c r="S79" s="1072"/>
      <c r="T79" s="1073"/>
      <c r="U79" s="1073"/>
      <c r="V79" s="1073"/>
      <c r="W79" s="1073"/>
      <c r="X79" s="1073"/>
      <c r="Y79" s="1071">
        <v>1.0</v>
      </c>
    </row>
    <row r="80">
      <c r="A80" s="1074" t="s">
        <v>7350</v>
      </c>
      <c r="B80" s="1074" t="s">
        <v>133</v>
      </c>
      <c r="C80" s="1075" t="s">
        <v>114</v>
      </c>
      <c r="D80" s="1063">
        <f t="shared" si="4"/>
        <v>5</v>
      </c>
      <c r="E80" s="1080"/>
      <c r="F80" s="1078">
        <v>2.0</v>
      </c>
      <c r="G80" s="1078"/>
      <c r="H80" s="1077"/>
      <c r="I80" s="1078">
        <v>1.0</v>
      </c>
      <c r="J80" s="1077"/>
      <c r="K80" s="1078">
        <v>1.0</v>
      </c>
      <c r="L80" s="1079"/>
      <c r="M80" s="1078">
        <v>1.0</v>
      </c>
      <c r="N80" s="1079"/>
      <c r="O80" s="1077"/>
      <c r="P80" s="1077"/>
      <c r="Q80" s="1079"/>
      <c r="R80" s="1077"/>
      <c r="S80" s="1079"/>
      <c r="T80" s="1077"/>
      <c r="U80" s="1077"/>
      <c r="V80" s="1077"/>
      <c r="W80" s="1077"/>
      <c r="X80" s="1077"/>
      <c r="Y80" s="1077"/>
    </row>
    <row r="81">
      <c r="A81" s="1068" t="s">
        <v>7352</v>
      </c>
      <c r="B81" s="1068" t="s">
        <v>294</v>
      </c>
      <c r="C81" s="1069" t="s">
        <v>114</v>
      </c>
      <c r="D81" s="1098">
        <v>5.0</v>
      </c>
      <c r="E81" s="1070">
        <v>3.0</v>
      </c>
      <c r="F81" s="1073"/>
      <c r="G81" s="1073"/>
      <c r="H81" s="1071">
        <v>1.0</v>
      </c>
      <c r="I81" s="1083"/>
      <c r="J81" s="1071">
        <v>1.0</v>
      </c>
      <c r="K81" s="1072"/>
      <c r="L81" s="1072"/>
      <c r="M81" s="1072"/>
      <c r="N81" s="1072"/>
      <c r="O81" s="1072"/>
      <c r="P81" s="1072"/>
      <c r="Q81" s="1072"/>
      <c r="R81" s="1072"/>
      <c r="S81" s="1073"/>
      <c r="T81" s="1072"/>
      <c r="U81" s="1072"/>
      <c r="V81" s="1072"/>
      <c r="W81" s="1073"/>
      <c r="X81" s="1073"/>
      <c r="Y81" s="1073"/>
    </row>
    <row r="82">
      <c r="A82" s="1074" t="s">
        <v>7304</v>
      </c>
      <c r="B82" s="1074" t="s">
        <v>451</v>
      </c>
      <c r="C82" s="1075" t="s">
        <v>446</v>
      </c>
      <c r="D82" s="1098">
        <v>5.0</v>
      </c>
      <c r="E82" s="1080">
        <v>1.0</v>
      </c>
      <c r="F82" s="1078">
        <v>1.0</v>
      </c>
      <c r="G82" s="1078">
        <v>1.0</v>
      </c>
      <c r="H82" s="1079"/>
      <c r="I82" s="1078">
        <v>1.0</v>
      </c>
      <c r="J82" s="1078">
        <v>1.0</v>
      </c>
      <c r="K82" s="1079"/>
      <c r="L82" s="1078"/>
      <c r="M82" s="1077"/>
      <c r="N82" s="1079"/>
      <c r="O82" s="1078">
        <v>1.0</v>
      </c>
      <c r="P82" s="1077"/>
      <c r="Q82" s="1077"/>
      <c r="R82" s="1077"/>
      <c r="S82" s="1077"/>
      <c r="T82" s="1077"/>
      <c r="U82" s="1077"/>
      <c r="V82" s="1077"/>
      <c r="W82" s="1077"/>
      <c r="X82" s="1077"/>
      <c r="Y82" s="1077"/>
    </row>
    <row r="83">
      <c r="A83" s="1068" t="s">
        <v>7353</v>
      </c>
      <c r="B83" s="1068" t="s">
        <v>445</v>
      </c>
      <c r="C83" s="1069" t="s">
        <v>446</v>
      </c>
      <c r="D83" s="1098">
        <v>5.0</v>
      </c>
      <c r="E83" s="1070">
        <v>1.0</v>
      </c>
      <c r="F83" s="1071">
        <v>1.0</v>
      </c>
      <c r="G83" s="1071">
        <v>1.0</v>
      </c>
      <c r="H83" s="1071">
        <v>1.0</v>
      </c>
      <c r="I83" s="1071">
        <v>1.0</v>
      </c>
      <c r="J83" s="1072"/>
      <c r="K83" s="1071">
        <v>1.0</v>
      </c>
      <c r="L83" s="1072"/>
      <c r="M83" s="1072"/>
      <c r="N83" s="1072"/>
      <c r="O83" s="1071"/>
      <c r="P83" s="1071"/>
      <c r="Q83" s="1072"/>
      <c r="R83" s="1072"/>
      <c r="S83" s="1073"/>
      <c r="T83" s="1073"/>
      <c r="U83" s="1071">
        <v>1.0</v>
      </c>
      <c r="V83" s="1073"/>
      <c r="W83" s="1073"/>
      <c r="X83" s="1073"/>
      <c r="Y83" s="1073"/>
    </row>
    <row r="84">
      <c r="A84" s="1074" t="s">
        <v>7354</v>
      </c>
      <c r="B84" s="1074" t="s">
        <v>762</v>
      </c>
      <c r="C84" s="1075" t="s">
        <v>750</v>
      </c>
      <c r="D84" s="1063">
        <f t="shared" ref="D84:D182" si="5">SUM(E84:Y84)</f>
        <v>6</v>
      </c>
      <c r="E84" s="1080">
        <v>1.0</v>
      </c>
      <c r="F84" s="1079"/>
      <c r="G84" s="1078">
        <v>1.0</v>
      </c>
      <c r="H84" s="1078">
        <v>2.0</v>
      </c>
      <c r="I84" s="1078">
        <v>1.0</v>
      </c>
      <c r="J84" s="1079"/>
      <c r="K84" s="1078">
        <v>1.0</v>
      </c>
      <c r="L84" s="1079"/>
      <c r="M84" s="1079"/>
      <c r="N84" s="1079"/>
      <c r="O84" s="1077"/>
      <c r="P84" s="1078"/>
      <c r="Q84" s="1079"/>
      <c r="R84" s="1079"/>
      <c r="S84" s="1079"/>
      <c r="T84" s="1079"/>
      <c r="U84" s="1077"/>
      <c r="V84" s="1077"/>
      <c r="W84" s="1077"/>
      <c r="X84" s="1077"/>
      <c r="Y84" s="1077"/>
    </row>
    <row r="85">
      <c r="A85" s="1068" t="s">
        <v>7356</v>
      </c>
      <c r="B85" s="1068" t="s">
        <v>862</v>
      </c>
      <c r="C85" s="1069" t="s">
        <v>857</v>
      </c>
      <c r="D85" s="1063">
        <f t="shared" si="5"/>
        <v>5</v>
      </c>
      <c r="E85" s="1070">
        <v>2.0</v>
      </c>
      <c r="F85" s="1072"/>
      <c r="G85" s="1071"/>
      <c r="H85" s="1072"/>
      <c r="I85" s="1071"/>
      <c r="J85" s="1071"/>
      <c r="K85" s="1071"/>
      <c r="L85" s="1071">
        <v>1.0</v>
      </c>
      <c r="M85" s="1072"/>
      <c r="N85" s="1073"/>
      <c r="O85" s="1071">
        <v>1.0</v>
      </c>
      <c r="P85" s="1073"/>
      <c r="Q85" s="1073"/>
      <c r="R85" s="1073"/>
      <c r="S85" s="1072"/>
      <c r="T85" s="1071">
        <v>1.0</v>
      </c>
      <c r="U85" s="1071"/>
      <c r="V85" s="1073"/>
      <c r="W85" s="1073"/>
      <c r="X85" s="1073"/>
      <c r="Y85" s="1073"/>
    </row>
    <row r="86">
      <c r="A86" s="1074" t="s">
        <v>7080</v>
      </c>
      <c r="B86" s="1074" t="s">
        <v>1089</v>
      </c>
      <c r="C86" s="1075" t="s">
        <v>1091</v>
      </c>
      <c r="D86" s="1063">
        <f t="shared" si="5"/>
        <v>5</v>
      </c>
      <c r="E86" s="1080">
        <v>2.0</v>
      </c>
      <c r="F86" s="1078">
        <v>2.0</v>
      </c>
      <c r="G86" s="1078"/>
      <c r="H86" s="1078">
        <v>1.0</v>
      </c>
      <c r="I86" s="1079"/>
      <c r="J86" s="1079"/>
      <c r="K86" s="1079"/>
      <c r="L86" s="1077"/>
      <c r="M86" s="1077"/>
      <c r="N86" s="1077"/>
      <c r="O86" s="1079"/>
      <c r="P86" s="1077"/>
      <c r="Q86" s="1077"/>
      <c r="R86" s="1077"/>
      <c r="S86" s="1077"/>
      <c r="T86" s="1077"/>
      <c r="U86" s="1077"/>
      <c r="V86" s="1077"/>
      <c r="W86" s="1077"/>
      <c r="X86" s="1077"/>
      <c r="Y86" s="1077"/>
    </row>
    <row r="87">
      <c r="A87" s="1068" t="s">
        <v>7357</v>
      </c>
      <c r="B87" s="1068" t="s">
        <v>1260</v>
      </c>
      <c r="C87" s="1069" t="s">
        <v>1261</v>
      </c>
      <c r="D87" s="1063">
        <f t="shared" si="5"/>
        <v>5</v>
      </c>
      <c r="E87" s="1070"/>
      <c r="F87" s="1072"/>
      <c r="G87" s="1071"/>
      <c r="H87" s="1071"/>
      <c r="I87" s="1071">
        <v>1.0</v>
      </c>
      <c r="J87" s="1071">
        <v>1.0</v>
      </c>
      <c r="K87" s="1071"/>
      <c r="L87" s="1071">
        <v>1.0</v>
      </c>
      <c r="M87" s="1072"/>
      <c r="N87" s="1071">
        <v>1.0</v>
      </c>
      <c r="O87" s="1073"/>
      <c r="P87" s="1071"/>
      <c r="Q87" s="1071">
        <v>1.0</v>
      </c>
      <c r="R87" s="1072"/>
      <c r="S87" s="1073"/>
      <c r="T87" s="1073"/>
      <c r="U87" s="1073"/>
      <c r="V87" s="1073"/>
      <c r="W87" s="1073"/>
      <c r="X87" s="1073"/>
      <c r="Y87" s="1071"/>
    </row>
    <row r="88">
      <c r="A88" s="1074" t="s">
        <v>7358</v>
      </c>
      <c r="B88" s="1074" t="s">
        <v>1315</v>
      </c>
      <c r="C88" s="1075" t="s">
        <v>1278</v>
      </c>
      <c r="D88" s="1063">
        <f t="shared" si="5"/>
        <v>5</v>
      </c>
      <c r="E88" s="1080">
        <v>3.0</v>
      </c>
      <c r="F88" s="1078">
        <v>1.0</v>
      </c>
      <c r="G88" s="1077"/>
      <c r="H88" s="1077"/>
      <c r="I88" s="1078">
        <v>1.0</v>
      </c>
      <c r="J88" s="1079"/>
      <c r="K88" s="1079"/>
      <c r="L88" s="1077"/>
      <c r="M88" s="1079"/>
      <c r="N88" s="1079"/>
      <c r="O88" s="1079"/>
      <c r="P88" s="1077"/>
      <c r="Q88" s="1077"/>
      <c r="R88" s="1077"/>
      <c r="S88" s="1077"/>
      <c r="T88" s="1079"/>
      <c r="U88" s="1079"/>
      <c r="V88" s="1077"/>
      <c r="W88" s="1077"/>
      <c r="X88" s="1077"/>
      <c r="Y88" s="1077"/>
    </row>
    <row r="89">
      <c r="A89" s="1122" t="s">
        <v>7359</v>
      </c>
      <c r="B89" s="1068" t="s">
        <v>1315</v>
      </c>
      <c r="C89" s="1069" t="s">
        <v>1278</v>
      </c>
      <c r="D89" s="1063">
        <f t="shared" si="5"/>
        <v>5</v>
      </c>
      <c r="E89" s="1070">
        <v>1.0</v>
      </c>
      <c r="F89" s="1071">
        <v>2.0</v>
      </c>
      <c r="G89" s="1073"/>
      <c r="H89" s="1071">
        <v>1.0</v>
      </c>
      <c r="I89" s="1071">
        <v>1.0</v>
      </c>
      <c r="J89" s="1071"/>
      <c r="K89" s="1072"/>
      <c r="L89" s="1072"/>
      <c r="M89" s="1073"/>
      <c r="N89" s="1073"/>
      <c r="O89" s="1072"/>
      <c r="P89" s="1073"/>
      <c r="Q89" s="1072"/>
      <c r="R89" s="1072"/>
      <c r="S89" s="1072"/>
      <c r="T89" s="1073"/>
      <c r="U89" s="1071"/>
      <c r="V89" s="1073"/>
      <c r="W89" s="1072"/>
      <c r="X89" s="1073"/>
      <c r="Y89" s="1073"/>
    </row>
    <row r="90">
      <c r="A90" s="1120" t="s">
        <v>7053</v>
      </c>
      <c r="B90" s="1074" t="s">
        <v>1481</v>
      </c>
      <c r="C90" s="1075" t="s">
        <v>1483</v>
      </c>
      <c r="D90" s="1063">
        <f t="shared" si="5"/>
        <v>5</v>
      </c>
      <c r="E90" s="1080"/>
      <c r="F90" s="1078"/>
      <c r="G90" s="1078">
        <v>1.0</v>
      </c>
      <c r="H90" s="1078">
        <v>1.0</v>
      </c>
      <c r="I90" s="1078">
        <v>1.0</v>
      </c>
      <c r="J90" s="1079"/>
      <c r="K90" s="1079"/>
      <c r="L90" s="1078">
        <v>1.0</v>
      </c>
      <c r="M90" s="1079"/>
      <c r="N90" s="1077"/>
      <c r="O90" s="1077"/>
      <c r="P90" s="1077"/>
      <c r="Q90" s="1077"/>
      <c r="R90" s="1077"/>
      <c r="S90" s="1077"/>
      <c r="T90" s="1077"/>
      <c r="U90" s="1077"/>
      <c r="V90" s="1078">
        <v>1.0</v>
      </c>
      <c r="W90" s="1077"/>
      <c r="X90" s="1077"/>
      <c r="Y90" s="1077"/>
    </row>
    <row r="91">
      <c r="A91" s="1068" t="s">
        <v>7360</v>
      </c>
      <c r="B91" s="1068" t="s">
        <v>1497</v>
      </c>
      <c r="C91" s="1069" t="s">
        <v>1483</v>
      </c>
      <c r="D91" s="1063">
        <f t="shared" si="5"/>
        <v>5</v>
      </c>
      <c r="E91" s="1084"/>
      <c r="F91" s="1071">
        <v>1.0</v>
      </c>
      <c r="G91" s="1071"/>
      <c r="H91" s="1071">
        <v>2.0</v>
      </c>
      <c r="I91" s="1072"/>
      <c r="J91" s="1071">
        <v>1.0</v>
      </c>
      <c r="K91" s="1071"/>
      <c r="L91" s="1071"/>
      <c r="M91" s="1072"/>
      <c r="N91" s="1072"/>
      <c r="O91" s="1072"/>
      <c r="P91" s="1071">
        <v>1.0</v>
      </c>
      <c r="Q91" s="1072"/>
      <c r="R91" s="1072"/>
      <c r="S91" s="1072"/>
      <c r="T91" s="1072"/>
      <c r="U91" s="1073"/>
      <c r="V91" s="1072"/>
      <c r="W91" s="1073"/>
      <c r="X91" s="1073"/>
      <c r="Y91" s="1073"/>
    </row>
    <row r="92">
      <c r="A92" s="1074" t="s">
        <v>7362</v>
      </c>
      <c r="B92" s="1074" t="s">
        <v>1487</v>
      </c>
      <c r="C92" s="1075" t="s">
        <v>1483</v>
      </c>
      <c r="D92" s="1063">
        <f t="shared" si="5"/>
        <v>5</v>
      </c>
      <c r="E92" s="1080">
        <v>3.0</v>
      </c>
      <c r="F92" s="1077"/>
      <c r="G92" s="1078">
        <v>1.0</v>
      </c>
      <c r="H92" s="1079"/>
      <c r="I92" s="1078">
        <v>1.0</v>
      </c>
      <c r="J92" s="1079"/>
      <c r="K92" s="1077"/>
      <c r="L92" s="1079"/>
      <c r="M92" s="1077"/>
      <c r="N92" s="1079"/>
      <c r="O92" s="1079"/>
      <c r="P92" s="1079"/>
      <c r="Q92" s="1077"/>
      <c r="R92" s="1079"/>
      <c r="S92" s="1079"/>
      <c r="T92" s="1077"/>
      <c r="U92" s="1077"/>
      <c r="V92" s="1077"/>
      <c r="W92" s="1079"/>
      <c r="X92" s="1079"/>
      <c r="Y92" s="1079"/>
    </row>
    <row r="93">
      <c r="A93" s="1068" t="s">
        <v>7363</v>
      </c>
      <c r="B93" s="1068" t="s">
        <v>1500</v>
      </c>
      <c r="C93" s="1069" t="s">
        <v>1483</v>
      </c>
      <c r="D93" s="1063">
        <f t="shared" si="5"/>
        <v>5</v>
      </c>
      <c r="E93" s="1070">
        <v>1.0</v>
      </c>
      <c r="F93" s="1071"/>
      <c r="G93" s="1072"/>
      <c r="H93" s="1071"/>
      <c r="I93" s="1071"/>
      <c r="J93" s="1072"/>
      <c r="K93" s="1071">
        <v>1.0</v>
      </c>
      <c r="L93" s="1071">
        <v>1.0</v>
      </c>
      <c r="M93" s="1071">
        <v>1.0</v>
      </c>
      <c r="N93" s="1071"/>
      <c r="O93" s="1072"/>
      <c r="P93" s="1071">
        <v>1.0</v>
      </c>
      <c r="Q93" s="1072"/>
      <c r="R93" s="1073"/>
      <c r="S93" s="1073"/>
      <c r="T93" s="1073"/>
      <c r="U93" s="1073"/>
      <c r="V93" s="1073"/>
      <c r="W93" s="1073"/>
      <c r="X93" s="1073"/>
      <c r="Y93" s="1073"/>
    </row>
    <row r="94">
      <c r="A94" s="1074" t="s">
        <v>7365</v>
      </c>
      <c r="B94" s="1074" t="s">
        <v>1613</v>
      </c>
      <c r="C94" s="1075" t="s">
        <v>1602</v>
      </c>
      <c r="D94" s="1063">
        <f t="shared" si="5"/>
        <v>5</v>
      </c>
      <c r="E94" s="1076"/>
      <c r="F94" s="1079"/>
      <c r="G94" s="1078">
        <v>3.0</v>
      </c>
      <c r="H94" s="1078">
        <v>2.0</v>
      </c>
      <c r="I94" s="1078"/>
      <c r="J94" s="1077"/>
      <c r="K94" s="1078"/>
      <c r="L94" s="1079"/>
      <c r="M94" s="1079"/>
      <c r="N94" s="1079"/>
      <c r="O94" s="1077"/>
      <c r="P94" s="1077"/>
      <c r="Q94" s="1077"/>
      <c r="R94" s="1077"/>
      <c r="S94" s="1077"/>
      <c r="T94" s="1079"/>
      <c r="U94" s="1077"/>
      <c r="V94" s="1077"/>
      <c r="W94" s="1077"/>
      <c r="X94" s="1077"/>
      <c r="Y94" s="1077"/>
    </row>
    <row r="95">
      <c r="A95" s="1068" t="s">
        <v>7366</v>
      </c>
      <c r="B95" s="1068" t="s">
        <v>1770</v>
      </c>
      <c r="C95" s="1069" t="s">
        <v>1646</v>
      </c>
      <c r="D95" s="1063">
        <f t="shared" si="5"/>
        <v>5</v>
      </c>
      <c r="E95" s="1084"/>
      <c r="F95" s="1071">
        <v>3.0</v>
      </c>
      <c r="G95" s="1071"/>
      <c r="H95" s="1071">
        <v>1.0</v>
      </c>
      <c r="I95" s="1071"/>
      <c r="J95" s="1072"/>
      <c r="K95" s="1072"/>
      <c r="L95" s="1071">
        <v>1.0</v>
      </c>
      <c r="M95" s="1072"/>
      <c r="N95" s="1071"/>
      <c r="O95" s="1072"/>
      <c r="P95" s="1072"/>
      <c r="Q95" s="1071"/>
      <c r="R95" s="1072"/>
      <c r="S95" s="1073"/>
      <c r="T95" s="1072"/>
      <c r="U95" s="1071"/>
      <c r="V95" s="1071"/>
      <c r="W95" s="1072"/>
      <c r="X95" s="1073"/>
      <c r="Y95" s="1073"/>
    </row>
    <row r="96">
      <c r="A96" s="1074" t="s">
        <v>7369</v>
      </c>
      <c r="B96" s="1074" t="s">
        <v>1102</v>
      </c>
      <c r="C96" s="1075" t="s">
        <v>1958</v>
      </c>
      <c r="D96" s="1063">
        <f t="shared" si="5"/>
        <v>5</v>
      </c>
      <c r="E96" s="1086"/>
      <c r="F96" s="1078">
        <v>1.0</v>
      </c>
      <c r="G96" s="1078">
        <v>1.0</v>
      </c>
      <c r="H96" s="1077"/>
      <c r="I96" s="1079"/>
      <c r="J96" s="1078">
        <v>1.0</v>
      </c>
      <c r="K96" s="1078">
        <v>1.0</v>
      </c>
      <c r="L96" s="1077"/>
      <c r="M96" s="1077"/>
      <c r="N96" s="1078"/>
      <c r="O96" s="1078"/>
      <c r="P96" s="1077"/>
      <c r="Q96" s="1077"/>
      <c r="R96" s="1077"/>
      <c r="S96" s="1077"/>
      <c r="T96" s="1078">
        <v>1.0</v>
      </c>
      <c r="U96" s="1077"/>
      <c r="V96" s="1079"/>
      <c r="W96" s="1077"/>
      <c r="X96" s="1077"/>
      <c r="Y96" s="1077"/>
    </row>
    <row r="97">
      <c r="A97" s="1068" t="s">
        <v>7335</v>
      </c>
      <c r="B97" s="1068" t="s">
        <v>2199</v>
      </c>
      <c r="C97" s="1069" t="s">
        <v>2045</v>
      </c>
      <c r="D97" s="1063">
        <f t="shared" si="5"/>
        <v>5</v>
      </c>
      <c r="E97" s="1082"/>
      <c r="F97" s="1071">
        <v>1.0</v>
      </c>
      <c r="G97" s="1073"/>
      <c r="H97" s="1073"/>
      <c r="I97" s="1071">
        <v>1.0</v>
      </c>
      <c r="J97" s="1071">
        <v>1.0</v>
      </c>
      <c r="K97" s="1071">
        <v>2.0</v>
      </c>
      <c r="L97" s="1072"/>
      <c r="M97" s="1073"/>
      <c r="N97" s="1073"/>
      <c r="O97" s="1073"/>
      <c r="P97" s="1073"/>
      <c r="Q97" s="1073"/>
      <c r="R97" s="1072"/>
      <c r="S97" s="1073"/>
      <c r="T97" s="1072"/>
      <c r="U97" s="1073"/>
      <c r="V97" s="1073"/>
      <c r="W97" s="1073"/>
      <c r="X97" s="1073"/>
      <c r="Y97" s="1073"/>
    </row>
    <row r="98">
      <c r="A98" s="1074" t="s">
        <v>7336</v>
      </c>
      <c r="B98" s="1074" t="s">
        <v>2063</v>
      </c>
      <c r="C98" s="1075" t="s">
        <v>2045</v>
      </c>
      <c r="D98" s="1063">
        <f t="shared" si="5"/>
        <v>5</v>
      </c>
      <c r="E98" s="1080">
        <v>1.0</v>
      </c>
      <c r="F98" s="1077"/>
      <c r="G98" s="1078">
        <v>1.0</v>
      </c>
      <c r="H98" s="1077"/>
      <c r="I98" s="1077"/>
      <c r="J98" s="1079"/>
      <c r="K98" s="1078">
        <v>3.0</v>
      </c>
      <c r="L98" s="1079"/>
      <c r="M98" s="1077"/>
      <c r="N98" s="1077"/>
      <c r="O98" s="1077"/>
      <c r="P98" s="1077"/>
      <c r="Q98" s="1077"/>
      <c r="R98" s="1079"/>
      <c r="S98" s="1077"/>
      <c r="T98" s="1079"/>
      <c r="U98" s="1077"/>
      <c r="V98" s="1077"/>
      <c r="W98" s="1077"/>
      <c r="X98" s="1077"/>
      <c r="Y98" s="1077"/>
    </row>
    <row r="99">
      <c r="A99" s="1068" t="s">
        <v>7371</v>
      </c>
      <c r="B99" s="1068" t="s">
        <v>2124</v>
      </c>
      <c r="C99" s="1069" t="s">
        <v>2045</v>
      </c>
      <c r="D99" s="1063">
        <f t="shared" si="5"/>
        <v>5</v>
      </c>
      <c r="E99" s="1070"/>
      <c r="F99" s="1073"/>
      <c r="G99" s="1071">
        <v>1.0</v>
      </c>
      <c r="H99" s="1071">
        <v>1.0</v>
      </c>
      <c r="I99" s="1073"/>
      <c r="J99" s="1072"/>
      <c r="K99" s="1073"/>
      <c r="L99" s="1071">
        <v>2.0</v>
      </c>
      <c r="M99" s="1071">
        <v>1.0</v>
      </c>
      <c r="N99" s="1073"/>
      <c r="O99" s="1071"/>
      <c r="P99" s="1073"/>
      <c r="Q99" s="1073"/>
      <c r="R99" s="1072"/>
      <c r="S99" s="1073"/>
      <c r="T99" s="1072"/>
      <c r="U99" s="1073"/>
      <c r="V99" s="1073"/>
      <c r="W99" s="1073"/>
      <c r="X99" s="1073"/>
      <c r="Y99" s="1073"/>
    </row>
    <row r="100">
      <c r="A100" s="1074" t="s">
        <v>7372</v>
      </c>
      <c r="B100" s="1074" t="s">
        <v>2207</v>
      </c>
      <c r="C100" s="1075" t="s">
        <v>2208</v>
      </c>
      <c r="D100" s="1063">
        <f t="shared" si="5"/>
        <v>5</v>
      </c>
      <c r="E100" s="1080">
        <v>2.0</v>
      </c>
      <c r="F100" s="1078">
        <v>2.0</v>
      </c>
      <c r="G100" s="1078"/>
      <c r="H100" s="1077"/>
      <c r="I100" s="1078">
        <v>1.0</v>
      </c>
      <c r="J100" s="1078"/>
      <c r="K100" s="1077"/>
      <c r="L100" s="1079"/>
      <c r="M100" s="1077"/>
      <c r="N100" s="1077"/>
      <c r="O100" s="1077"/>
      <c r="P100" s="1077"/>
      <c r="Q100" s="1077"/>
      <c r="R100" s="1079"/>
      <c r="S100" s="1077"/>
      <c r="T100" s="1079"/>
      <c r="U100" s="1077"/>
      <c r="V100" s="1077"/>
      <c r="W100" s="1077"/>
      <c r="X100" s="1077"/>
      <c r="Y100" s="1077"/>
    </row>
    <row r="101">
      <c r="A101" s="1068" t="s">
        <v>7082</v>
      </c>
      <c r="B101" s="1068" t="s">
        <v>161</v>
      </c>
      <c r="C101" s="1069" t="s">
        <v>114</v>
      </c>
      <c r="D101" s="1063">
        <f t="shared" si="5"/>
        <v>4</v>
      </c>
      <c r="E101" s="1082"/>
      <c r="F101" s="1071">
        <v>1.0</v>
      </c>
      <c r="G101" s="1071"/>
      <c r="H101" s="1071">
        <v>1.0</v>
      </c>
      <c r="I101" s="1072"/>
      <c r="J101" s="1072"/>
      <c r="K101" s="1071">
        <v>1.0</v>
      </c>
      <c r="L101" s="1071">
        <v>1.0</v>
      </c>
      <c r="M101" s="1072"/>
      <c r="N101" s="1072"/>
      <c r="O101" s="1072"/>
      <c r="P101" s="1072"/>
      <c r="Q101" s="1072"/>
      <c r="R101" s="1073"/>
      <c r="S101" s="1073"/>
      <c r="T101" s="1073"/>
      <c r="U101" s="1071"/>
      <c r="V101" s="1073"/>
      <c r="W101" s="1072"/>
      <c r="X101" s="1073"/>
      <c r="Y101" s="1073"/>
    </row>
    <row r="102">
      <c r="A102" s="1074" t="s">
        <v>7374</v>
      </c>
      <c r="B102" s="1074" t="s">
        <v>161</v>
      </c>
      <c r="C102" s="1075" t="s">
        <v>114</v>
      </c>
      <c r="D102" s="1063">
        <f t="shared" si="5"/>
        <v>4</v>
      </c>
      <c r="E102" s="1080">
        <v>1.0</v>
      </c>
      <c r="F102" s="1078"/>
      <c r="G102" s="1078">
        <v>1.0</v>
      </c>
      <c r="H102" s="1078"/>
      <c r="I102" s="1078">
        <v>1.0</v>
      </c>
      <c r="J102" s="1079"/>
      <c r="K102" s="1078"/>
      <c r="L102" s="1077"/>
      <c r="M102" s="1078">
        <v>1.0</v>
      </c>
      <c r="N102" s="1077"/>
      <c r="O102" s="1077"/>
      <c r="P102" s="1077"/>
      <c r="Q102" s="1077"/>
      <c r="R102" s="1077"/>
      <c r="S102" s="1077"/>
      <c r="T102" s="1077"/>
      <c r="U102" s="1077"/>
      <c r="V102" s="1077"/>
      <c r="W102" s="1077"/>
      <c r="X102" s="1077"/>
      <c r="Y102" s="1077"/>
    </row>
    <row r="103">
      <c r="A103" s="1068" t="s">
        <v>7377</v>
      </c>
      <c r="B103" s="1068" t="s">
        <v>333</v>
      </c>
      <c r="C103" s="1069" t="s">
        <v>316</v>
      </c>
      <c r="D103" s="1063">
        <f t="shared" si="5"/>
        <v>4</v>
      </c>
      <c r="E103" s="1070"/>
      <c r="F103" s="1071"/>
      <c r="G103" s="1071">
        <v>1.0</v>
      </c>
      <c r="H103" s="1071">
        <v>1.0</v>
      </c>
      <c r="I103" s="1071">
        <v>1.0</v>
      </c>
      <c r="J103" s="1072"/>
      <c r="K103" s="1072"/>
      <c r="L103" s="1071">
        <v>1.0</v>
      </c>
      <c r="M103" s="1072"/>
      <c r="N103" s="1072"/>
      <c r="O103" s="1073"/>
      <c r="P103" s="1072"/>
      <c r="Q103" s="1072"/>
      <c r="R103" s="1072"/>
      <c r="S103" s="1073"/>
      <c r="T103" s="1073"/>
      <c r="U103" s="1073"/>
      <c r="V103" s="1073"/>
      <c r="W103" s="1073"/>
      <c r="X103" s="1073"/>
      <c r="Y103" s="1073"/>
    </row>
    <row r="104">
      <c r="A104" s="1074" t="s">
        <v>7091</v>
      </c>
      <c r="B104" s="1074" t="s">
        <v>438</v>
      </c>
      <c r="C104" s="1075" t="s">
        <v>431</v>
      </c>
      <c r="D104" s="1063">
        <f t="shared" si="5"/>
        <v>4</v>
      </c>
      <c r="E104" s="1080"/>
      <c r="F104" s="1078">
        <v>1.0</v>
      </c>
      <c r="G104" s="1078">
        <v>1.0</v>
      </c>
      <c r="H104" s="1101"/>
      <c r="I104" s="1078">
        <v>1.0</v>
      </c>
      <c r="J104" s="1078"/>
      <c r="K104" s="1077"/>
      <c r="L104" s="1079"/>
      <c r="M104" s="1078">
        <v>1.0</v>
      </c>
      <c r="N104" s="1077"/>
      <c r="O104" s="1077"/>
      <c r="P104" s="1079"/>
      <c r="Q104" s="1079"/>
      <c r="R104" s="1077"/>
      <c r="S104" s="1077"/>
      <c r="T104" s="1079"/>
      <c r="U104" s="1079"/>
      <c r="V104" s="1079"/>
      <c r="W104" s="1077"/>
      <c r="X104" s="1077"/>
      <c r="Y104" s="1078"/>
    </row>
    <row r="105">
      <c r="A105" s="1068" t="s">
        <v>7379</v>
      </c>
      <c r="B105" s="1068" t="s">
        <v>519</v>
      </c>
      <c r="C105" s="1069" t="s">
        <v>446</v>
      </c>
      <c r="D105" s="1063">
        <f t="shared" si="5"/>
        <v>4</v>
      </c>
      <c r="E105" s="1070">
        <v>2.0</v>
      </c>
      <c r="F105" s="1073"/>
      <c r="G105" s="1073"/>
      <c r="H105" s="1072"/>
      <c r="I105" s="1072"/>
      <c r="J105" s="1072"/>
      <c r="K105" s="1073"/>
      <c r="L105" s="1071">
        <v>1.0</v>
      </c>
      <c r="M105" s="1073"/>
      <c r="N105" s="1072"/>
      <c r="O105" s="1073"/>
      <c r="P105" s="1071">
        <v>1.0</v>
      </c>
      <c r="Q105" s="1072"/>
      <c r="R105" s="1072"/>
      <c r="S105" s="1072"/>
      <c r="T105" s="1072"/>
      <c r="U105" s="1073"/>
      <c r="V105" s="1072"/>
      <c r="W105" s="1073"/>
      <c r="X105" s="1073"/>
      <c r="Y105" s="1073"/>
    </row>
    <row r="106">
      <c r="A106" s="1074" t="s">
        <v>531</v>
      </c>
      <c r="B106" s="1074" t="s">
        <v>532</v>
      </c>
      <c r="C106" s="1075" t="s">
        <v>446</v>
      </c>
      <c r="D106" s="1063">
        <f t="shared" si="5"/>
        <v>4</v>
      </c>
      <c r="E106" s="1080">
        <v>2.0</v>
      </c>
      <c r="F106" s="1078"/>
      <c r="G106" s="1078"/>
      <c r="H106" s="1078"/>
      <c r="I106" s="1078">
        <v>2.0</v>
      </c>
      <c r="J106" s="1079"/>
      <c r="K106" s="1079"/>
      <c r="L106" s="1079"/>
      <c r="M106" s="1079"/>
      <c r="N106" s="1079"/>
      <c r="O106" s="1079"/>
      <c r="P106" s="1079"/>
      <c r="Q106" s="1079"/>
      <c r="R106" s="1077"/>
      <c r="S106" s="1077"/>
      <c r="T106" s="1079"/>
      <c r="U106" s="1077"/>
      <c r="V106" s="1077"/>
      <c r="W106" s="1077"/>
      <c r="X106" s="1077"/>
      <c r="Y106" s="1077"/>
    </row>
    <row r="107">
      <c r="A107" s="1068" t="s">
        <v>7381</v>
      </c>
      <c r="B107" s="1068" t="s">
        <v>550</v>
      </c>
      <c r="C107" s="1069" t="s">
        <v>579</v>
      </c>
      <c r="D107" s="1063">
        <f t="shared" si="5"/>
        <v>4</v>
      </c>
      <c r="E107" s="1070">
        <v>1.0</v>
      </c>
      <c r="F107" s="1071"/>
      <c r="G107" s="1071">
        <v>1.0</v>
      </c>
      <c r="H107" s="1071"/>
      <c r="I107" s="1071">
        <v>1.0</v>
      </c>
      <c r="J107" s="1071"/>
      <c r="K107" s="1071">
        <v>1.0</v>
      </c>
      <c r="L107" s="1072"/>
      <c r="M107" s="1071"/>
      <c r="N107" s="1072"/>
      <c r="O107" s="1072"/>
      <c r="P107" s="1073"/>
      <c r="Q107" s="1072"/>
      <c r="R107" s="1072"/>
      <c r="S107" s="1072"/>
      <c r="T107" s="1072"/>
      <c r="U107" s="1073"/>
      <c r="V107" s="1073"/>
      <c r="W107" s="1073"/>
      <c r="X107" s="1072"/>
      <c r="Y107" s="1072"/>
    </row>
    <row r="108">
      <c r="A108" s="1074" t="s">
        <v>7383</v>
      </c>
      <c r="B108" s="1074" t="s">
        <v>647</v>
      </c>
      <c r="C108" s="1075" t="s">
        <v>627</v>
      </c>
      <c r="D108" s="1063">
        <f t="shared" si="5"/>
        <v>4</v>
      </c>
      <c r="E108" s="1076"/>
      <c r="F108" s="1078">
        <v>1.0</v>
      </c>
      <c r="G108" s="1078"/>
      <c r="H108" s="1079"/>
      <c r="I108" s="1078">
        <v>1.0</v>
      </c>
      <c r="J108" s="1078"/>
      <c r="K108" s="1079"/>
      <c r="L108" s="1079"/>
      <c r="M108" s="1079"/>
      <c r="N108" s="1078">
        <v>1.0</v>
      </c>
      <c r="O108" s="1079"/>
      <c r="P108" s="1077"/>
      <c r="Q108" s="1079"/>
      <c r="R108" s="1079"/>
      <c r="S108" s="1078"/>
      <c r="T108" s="1078">
        <v>1.0</v>
      </c>
      <c r="U108" s="1079"/>
      <c r="V108" s="1077"/>
      <c r="W108" s="1077"/>
      <c r="X108" s="1077"/>
      <c r="Y108" s="1077"/>
    </row>
    <row r="109">
      <c r="A109" s="1068" t="s">
        <v>7272</v>
      </c>
      <c r="B109" s="1068" t="s">
        <v>663</v>
      </c>
      <c r="C109" s="1069" t="s">
        <v>656</v>
      </c>
      <c r="D109" s="1063">
        <f t="shared" si="5"/>
        <v>4</v>
      </c>
      <c r="E109" s="1070"/>
      <c r="F109" s="1071">
        <v>2.0</v>
      </c>
      <c r="G109" s="1073"/>
      <c r="H109" s="1071"/>
      <c r="I109" s="1071">
        <v>1.0</v>
      </c>
      <c r="J109" s="1071">
        <v>1.0</v>
      </c>
      <c r="K109" s="1072"/>
      <c r="L109" s="1072"/>
      <c r="M109" s="1072"/>
      <c r="N109" s="1072"/>
      <c r="O109" s="1072"/>
      <c r="P109" s="1072"/>
      <c r="Q109" s="1072"/>
      <c r="R109" s="1072"/>
      <c r="S109" s="1073"/>
      <c r="T109" s="1073"/>
      <c r="U109" s="1072"/>
      <c r="V109" s="1073"/>
      <c r="W109" s="1073"/>
      <c r="X109" s="1073"/>
      <c r="Y109" s="1073"/>
    </row>
    <row r="110">
      <c r="A110" s="1074" t="s">
        <v>7385</v>
      </c>
      <c r="B110" s="1074" t="s">
        <v>680</v>
      </c>
      <c r="C110" s="1075" t="s">
        <v>656</v>
      </c>
      <c r="D110" s="1063">
        <f t="shared" si="5"/>
        <v>4</v>
      </c>
      <c r="E110" s="1080"/>
      <c r="F110" s="1079"/>
      <c r="G110" s="1079"/>
      <c r="H110" s="1078"/>
      <c r="I110" s="1079"/>
      <c r="J110" s="1079"/>
      <c r="K110" s="1078">
        <v>2.0</v>
      </c>
      <c r="L110" s="1078">
        <v>1.0</v>
      </c>
      <c r="M110" s="1079"/>
      <c r="N110" s="1077"/>
      <c r="O110" s="1077"/>
      <c r="P110" s="1078"/>
      <c r="Q110" s="1078">
        <v>1.0</v>
      </c>
      <c r="R110" s="1077"/>
      <c r="S110" s="1077"/>
      <c r="T110" s="1077"/>
      <c r="U110" s="1077"/>
      <c r="V110" s="1078"/>
      <c r="W110" s="1077"/>
      <c r="X110" s="1077"/>
      <c r="Y110" s="1077"/>
    </row>
    <row r="111">
      <c r="A111" s="1068" t="s">
        <v>7386</v>
      </c>
      <c r="B111" s="1068" t="s">
        <v>794</v>
      </c>
      <c r="C111" s="1069" t="s">
        <v>792</v>
      </c>
      <c r="D111" s="1063">
        <f t="shared" si="5"/>
        <v>4</v>
      </c>
      <c r="E111" s="1070">
        <v>1.0</v>
      </c>
      <c r="F111" s="1072"/>
      <c r="G111" s="1071">
        <v>1.0</v>
      </c>
      <c r="H111" s="1071">
        <v>1.0</v>
      </c>
      <c r="I111" s="1072"/>
      <c r="J111" s="1071"/>
      <c r="K111" s="1072"/>
      <c r="L111" s="1071"/>
      <c r="M111" s="1071"/>
      <c r="N111" s="1072"/>
      <c r="O111" s="1072"/>
      <c r="P111" s="1072"/>
      <c r="Q111" s="1072"/>
      <c r="R111" s="1072"/>
      <c r="S111" s="1072"/>
      <c r="T111" s="1073"/>
      <c r="U111" s="1072"/>
      <c r="V111" s="1072"/>
      <c r="W111" s="1073"/>
      <c r="X111" s="1073"/>
      <c r="Y111" s="1071">
        <v>1.0</v>
      </c>
    </row>
    <row r="112">
      <c r="A112" s="1087" t="s">
        <v>7388</v>
      </c>
      <c r="B112" s="1074" t="s">
        <v>830</v>
      </c>
      <c r="C112" s="1075" t="s">
        <v>812</v>
      </c>
      <c r="D112" s="1063">
        <f t="shared" si="5"/>
        <v>4</v>
      </c>
      <c r="E112" s="1076"/>
      <c r="F112" s="1078"/>
      <c r="G112" s="1077"/>
      <c r="H112" s="1078">
        <v>2.0</v>
      </c>
      <c r="I112" s="1078">
        <v>1.0</v>
      </c>
      <c r="J112" s="1079"/>
      <c r="K112" s="1078">
        <v>1.0</v>
      </c>
      <c r="L112" s="1079"/>
      <c r="M112" s="1079"/>
      <c r="N112" s="1077"/>
      <c r="O112" s="1079"/>
      <c r="P112" s="1079"/>
      <c r="Q112" s="1077"/>
      <c r="R112" s="1077"/>
      <c r="S112" s="1079"/>
      <c r="T112" s="1079"/>
      <c r="U112" s="1079"/>
      <c r="V112" s="1077"/>
      <c r="W112" s="1077"/>
      <c r="X112" s="1077"/>
      <c r="Y112" s="1077"/>
    </row>
    <row r="113">
      <c r="A113" s="1068" t="s">
        <v>7389</v>
      </c>
      <c r="B113" s="1068" t="s">
        <v>700</v>
      </c>
      <c r="C113" s="1069" t="s">
        <v>812</v>
      </c>
      <c r="D113" s="1063">
        <f t="shared" si="5"/>
        <v>4</v>
      </c>
      <c r="E113" s="1082"/>
      <c r="F113" s="1071">
        <v>1.0</v>
      </c>
      <c r="G113" s="1071">
        <v>1.0</v>
      </c>
      <c r="H113" s="1072"/>
      <c r="I113" s="1072"/>
      <c r="J113" s="1071"/>
      <c r="K113" s="1071">
        <v>1.0</v>
      </c>
      <c r="L113" s="1072"/>
      <c r="M113" s="1072"/>
      <c r="N113" s="1072"/>
      <c r="O113" s="1071">
        <v>1.0</v>
      </c>
      <c r="P113" s="1073"/>
      <c r="Q113" s="1073"/>
      <c r="R113" s="1071"/>
      <c r="S113" s="1073"/>
      <c r="T113" s="1073"/>
      <c r="U113" s="1073"/>
      <c r="V113" s="1073"/>
      <c r="W113" s="1073"/>
      <c r="X113" s="1073"/>
      <c r="Y113" s="1073"/>
    </row>
    <row r="114">
      <c r="A114" s="1074" t="s">
        <v>7057</v>
      </c>
      <c r="B114" s="1074" t="s">
        <v>856</v>
      </c>
      <c r="C114" s="1075" t="s">
        <v>857</v>
      </c>
      <c r="D114" s="1063">
        <f t="shared" si="5"/>
        <v>4</v>
      </c>
      <c r="E114" s="1076"/>
      <c r="F114" s="1078"/>
      <c r="G114" s="1078">
        <v>3.0</v>
      </c>
      <c r="H114" s="1079"/>
      <c r="I114" s="1079"/>
      <c r="J114" s="1078"/>
      <c r="K114" s="1079"/>
      <c r="L114" s="1079"/>
      <c r="M114" s="1077"/>
      <c r="N114" s="1078"/>
      <c r="O114" s="1079"/>
      <c r="P114" s="1077"/>
      <c r="Q114" s="1077"/>
      <c r="R114" s="1079"/>
      <c r="S114" s="1077"/>
      <c r="T114" s="1079"/>
      <c r="U114" s="1077"/>
      <c r="V114" s="1077"/>
      <c r="W114" s="1077"/>
      <c r="X114" s="1077"/>
      <c r="Y114" s="1078">
        <v>1.0</v>
      </c>
    </row>
    <row r="115">
      <c r="A115" s="1068" t="s">
        <v>7390</v>
      </c>
      <c r="B115" s="1068" t="s">
        <v>888</v>
      </c>
      <c r="C115" s="1069" t="s">
        <v>889</v>
      </c>
      <c r="D115" s="1063">
        <f t="shared" si="5"/>
        <v>4</v>
      </c>
      <c r="E115" s="1084"/>
      <c r="F115" s="1071">
        <v>2.0</v>
      </c>
      <c r="G115" s="1071">
        <v>1.0</v>
      </c>
      <c r="H115" s="1073"/>
      <c r="I115" s="1071">
        <v>1.0</v>
      </c>
      <c r="J115" s="1072"/>
      <c r="K115" s="1072"/>
      <c r="L115" s="1072"/>
      <c r="M115" s="1073"/>
      <c r="N115" s="1072"/>
      <c r="O115" s="1072"/>
      <c r="P115" s="1073"/>
      <c r="Q115" s="1073"/>
      <c r="R115" s="1072"/>
      <c r="S115" s="1072"/>
      <c r="T115" s="1072"/>
      <c r="U115" s="1073"/>
      <c r="V115" s="1073"/>
      <c r="W115" s="1073"/>
      <c r="X115" s="1073"/>
      <c r="Y115" s="1073"/>
    </row>
    <row r="116">
      <c r="A116" s="1074" t="s">
        <v>7341</v>
      </c>
      <c r="B116" s="1074" t="s">
        <v>906</v>
      </c>
      <c r="C116" s="1075" t="s">
        <v>895</v>
      </c>
      <c r="D116" s="1063">
        <f t="shared" si="5"/>
        <v>4</v>
      </c>
      <c r="E116" s="1080">
        <v>3.0</v>
      </c>
      <c r="F116" s="1079"/>
      <c r="G116" s="1078"/>
      <c r="H116" s="1079"/>
      <c r="I116" s="1079"/>
      <c r="J116" s="1078"/>
      <c r="K116" s="1079"/>
      <c r="L116" s="1078"/>
      <c r="M116" s="1079"/>
      <c r="N116" s="1077"/>
      <c r="O116" s="1077"/>
      <c r="P116" s="1078">
        <v>1.0</v>
      </c>
      <c r="Q116" s="1077"/>
      <c r="R116" s="1078"/>
      <c r="S116" s="1077"/>
      <c r="T116" s="1079"/>
      <c r="U116" s="1077"/>
      <c r="V116" s="1077"/>
      <c r="W116" s="1077"/>
      <c r="X116" s="1078"/>
      <c r="Y116" s="1077"/>
    </row>
    <row r="117">
      <c r="A117" s="1068" t="s">
        <v>7391</v>
      </c>
      <c r="B117" s="1068" t="s">
        <v>990</v>
      </c>
      <c r="C117" s="1069" t="s">
        <v>895</v>
      </c>
      <c r="D117" s="1063">
        <f t="shared" si="5"/>
        <v>4</v>
      </c>
      <c r="E117" s="1082"/>
      <c r="F117" s="1073"/>
      <c r="G117" s="1071">
        <v>4.0</v>
      </c>
      <c r="H117" s="1072"/>
      <c r="I117" s="1072"/>
      <c r="J117" s="1072"/>
      <c r="K117" s="1072"/>
      <c r="L117" s="1072"/>
      <c r="M117" s="1072"/>
      <c r="N117" s="1072"/>
      <c r="O117" s="1072"/>
      <c r="P117" s="1072"/>
      <c r="Q117" s="1072"/>
      <c r="R117" s="1073"/>
      <c r="S117" s="1073"/>
      <c r="T117" s="1073"/>
      <c r="U117" s="1073"/>
      <c r="V117" s="1073"/>
      <c r="W117" s="1073"/>
      <c r="X117" s="1073"/>
      <c r="Y117" s="1073"/>
    </row>
    <row r="118">
      <c r="A118" s="1074" t="s">
        <v>7338</v>
      </c>
      <c r="B118" s="1074" t="s">
        <v>1030</v>
      </c>
      <c r="C118" s="1075" t="s">
        <v>1032</v>
      </c>
      <c r="D118" s="1063">
        <f t="shared" si="5"/>
        <v>4</v>
      </c>
      <c r="E118" s="1080"/>
      <c r="F118" s="1078">
        <v>2.0</v>
      </c>
      <c r="G118" s="1079"/>
      <c r="H118" s="1077"/>
      <c r="I118" s="1078"/>
      <c r="J118" s="1078">
        <v>1.0</v>
      </c>
      <c r="K118" s="1078">
        <v>1.0</v>
      </c>
      <c r="L118" s="1078"/>
      <c r="M118" s="1077"/>
      <c r="N118" s="1078"/>
      <c r="O118" s="1077"/>
      <c r="P118" s="1079"/>
      <c r="Q118" s="1077"/>
      <c r="R118" s="1077"/>
      <c r="S118" s="1077"/>
      <c r="T118" s="1077"/>
      <c r="U118" s="1077"/>
      <c r="V118" s="1077"/>
      <c r="W118" s="1077"/>
      <c r="X118" s="1078"/>
      <c r="Y118" s="1077"/>
    </row>
    <row r="119">
      <c r="A119" s="1068" t="s">
        <v>7392</v>
      </c>
      <c r="B119" s="1068" t="s">
        <v>1061</v>
      </c>
      <c r="C119" s="1069" t="s">
        <v>1051</v>
      </c>
      <c r="D119" s="1063">
        <f t="shared" si="5"/>
        <v>4</v>
      </c>
      <c r="E119" s="1084"/>
      <c r="F119" s="1072"/>
      <c r="G119" s="1072"/>
      <c r="H119" s="1071">
        <v>1.0</v>
      </c>
      <c r="I119" s="1071"/>
      <c r="J119" s="1071">
        <v>1.0</v>
      </c>
      <c r="K119" s="1072"/>
      <c r="L119" s="1071">
        <v>1.0</v>
      </c>
      <c r="M119" s="1071"/>
      <c r="N119" s="1073"/>
      <c r="O119" s="1071">
        <v>1.0</v>
      </c>
      <c r="P119" s="1073"/>
      <c r="Q119" s="1073"/>
      <c r="R119" s="1073"/>
      <c r="S119" s="1072"/>
      <c r="T119" s="1073"/>
      <c r="U119" s="1073"/>
      <c r="V119" s="1073"/>
      <c r="W119" s="1073"/>
      <c r="X119" s="1073"/>
      <c r="Y119" s="1073"/>
    </row>
    <row r="120">
      <c r="A120" s="1074" t="s">
        <v>7231</v>
      </c>
      <c r="B120" s="1074" t="s">
        <v>1097</v>
      </c>
      <c r="C120" s="1075" t="s">
        <v>1091</v>
      </c>
      <c r="D120" s="1063">
        <f t="shared" si="5"/>
        <v>4</v>
      </c>
      <c r="E120" s="1080">
        <v>2.0</v>
      </c>
      <c r="F120" s="1078">
        <v>1.0</v>
      </c>
      <c r="G120" s="1079"/>
      <c r="H120" s="1079"/>
      <c r="I120" s="1078"/>
      <c r="J120" s="1079"/>
      <c r="K120" s="1079"/>
      <c r="L120" s="1078">
        <v>1.0</v>
      </c>
      <c r="M120" s="1079"/>
      <c r="N120" s="1079"/>
      <c r="O120" s="1079"/>
      <c r="P120" s="1079"/>
      <c r="Q120" s="1079"/>
      <c r="R120" s="1079"/>
      <c r="S120" s="1077"/>
      <c r="T120" s="1077"/>
      <c r="U120" s="1077"/>
      <c r="V120" s="1077"/>
      <c r="W120" s="1077"/>
      <c r="X120" s="1077"/>
      <c r="Y120" s="1077"/>
    </row>
    <row r="121">
      <c r="A121" s="1068" t="s">
        <v>7072</v>
      </c>
      <c r="B121" s="1068" t="s">
        <v>1288</v>
      </c>
      <c r="C121" s="1069" t="s">
        <v>1278</v>
      </c>
      <c r="D121" s="1063">
        <f t="shared" si="5"/>
        <v>4</v>
      </c>
      <c r="E121" s="1084"/>
      <c r="F121" s="1071">
        <v>1.0</v>
      </c>
      <c r="G121" s="1071">
        <v>1.0</v>
      </c>
      <c r="H121" s="1073"/>
      <c r="I121" s="1071"/>
      <c r="J121" s="1072"/>
      <c r="K121" s="1072"/>
      <c r="L121" s="1073"/>
      <c r="M121" s="1073"/>
      <c r="N121" s="1072"/>
      <c r="O121" s="1073"/>
      <c r="P121" s="1073"/>
      <c r="Q121" s="1072"/>
      <c r="R121" s="1071">
        <v>1.0</v>
      </c>
      <c r="S121" s="1072"/>
      <c r="T121" s="1071">
        <v>1.0</v>
      </c>
      <c r="U121" s="1071"/>
      <c r="V121" s="1073"/>
      <c r="W121" s="1073"/>
      <c r="X121" s="1073"/>
      <c r="Y121" s="1073"/>
    </row>
    <row r="122" ht="15.75" customHeight="1">
      <c r="A122" s="1074" t="s">
        <v>7284</v>
      </c>
      <c r="B122" s="1074" t="s">
        <v>7285</v>
      </c>
      <c r="C122" s="1075" t="s">
        <v>1278</v>
      </c>
      <c r="D122" s="1063">
        <f t="shared" si="5"/>
        <v>4</v>
      </c>
      <c r="E122" s="1086"/>
      <c r="F122" s="1078"/>
      <c r="G122" s="1078">
        <v>1.0</v>
      </c>
      <c r="H122" s="1079"/>
      <c r="I122" s="1078">
        <v>1.0</v>
      </c>
      <c r="J122" s="1079"/>
      <c r="K122" s="1078">
        <v>1.0</v>
      </c>
      <c r="L122" s="1079"/>
      <c r="M122" s="1077"/>
      <c r="N122" s="1077"/>
      <c r="O122" s="1079"/>
      <c r="P122" s="1078">
        <v>1.0</v>
      </c>
      <c r="Q122" s="1077"/>
      <c r="R122" s="1079"/>
      <c r="S122" s="1079"/>
      <c r="T122" s="1077"/>
      <c r="U122" s="1077"/>
      <c r="V122" s="1077"/>
      <c r="W122" s="1077"/>
      <c r="X122" s="1077"/>
      <c r="Y122" s="1077"/>
    </row>
    <row r="123">
      <c r="A123" s="1068" t="s">
        <v>7395</v>
      </c>
      <c r="B123" s="1068" t="s">
        <v>1288</v>
      </c>
      <c r="C123" s="1069" t="s">
        <v>1278</v>
      </c>
      <c r="D123" s="1063">
        <f t="shared" si="5"/>
        <v>4</v>
      </c>
      <c r="E123" s="1070">
        <v>1.0</v>
      </c>
      <c r="F123" s="1071">
        <v>1.0</v>
      </c>
      <c r="G123" s="1072"/>
      <c r="H123" s="1071">
        <v>1.0</v>
      </c>
      <c r="I123" s="1071"/>
      <c r="J123" s="1072"/>
      <c r="K123" s="1071"/>
      <c r="L123" s="1072"/>
      <c r="M123" s="1071">
        <v>1.0</v>
      </c>
      <c r="N123" s="1073"/>
      <c r="O123" s="1072"/>
      <c r="P123" s="1072"/>
      <c r="Q123" s="1073"/>
      <c r="R123" s="1072"/>
      <c r="S123" s="1073"/>
      <c r="T123" s="1072"/>
      <c r="U123" s="1073"/>
      <c r="V123" s="1073"/>
      <c r="W123" s="1073"/>
      <c r="X123" s="1073"/>
      <c r="Y123" s="1073"/>
    </row>
    <row r="124">
      <c r="A124" s="1074" t="s">
        <v>7396</v>
      </c>
      <c r="B124" s="1074" t="s">
        <v>1291</v>
      </c>
      <c r="C124" s="1075" t="s">
        <v>1278</v>
      </c>
      <c r="D124" s="1063">
        <f t="shared" si="5"/>
        <v>4</v>
      </c>
      <c r="E124" s="1080">
        <v>1.0</v>
      </c>
      <c r="F124" s="1079"/>
      <c r="G124" s="1078">
        <v>1.0</v>
      </c>
      <c r="H124" s="1077"/>
      <c r="I124" s="1079"/>
      <c r="J124" s="1077"/>
      <c r="K124" s="1079"/>
      <c r="L124" s="1077"/>
      <c r="M124" s="1078">
        <v>1.0</v>
      </c>
      <c r="N124" s="1078">
        <v>1.0</v>
      </c>
      <c r="O124" s="1077"/>
      <c r="P124" s="1079"/>
      <c r="Q124" s="1079"/>
      <c r="R124" s="1077"/>
      <c r="S124" s="1078"/>
      <c r="T124" s="1079"/>
      <c r="U124" s="1077"/>
      <c r="V124" s="1077"/>
      <c r="W124" s="1077"/>
      <c r="X124" s="1077"/>
      <c r="Y124" s="1077"/>
    </row>
    <row r="125">
      <c r="A125" s="1068" t="s">
        <v>7397</v>
      </c>
      <c r="B125" s="1068" t="s">
        <v>1315</v>
      </c>
      <c r="C125" s="1069" t="s">
        <v>1278</v>
      </c>
      <c r="D125" s="1063">
        <f t="shared" si="5"/>
        <v>4</v>
      </c>
      <c r="E125" s="1084"/>
      <c r="F125" s="1072"/>
      <c r="G125" s="1071">
        <v>1.0</v>
      </c>
      <c r="H125" s="1071">
        <v>1.0</v>
      </c>
      <c r="I125" s="1071"/>
      <c r="J125" s="1072"/>
      <c r="K125" s="1073"/>
      <c r="L125" s="1071">
        <v>1.0</v>
      </c>
      <c r="M125" s="1071">
        <v>1.0</v>
      </c>
      <c r="N125" s="1072"/>
      <c r="O125" s="1073"/>
      <c r="P125" s="1072"/>
      <c r="Q125" s="1073"/>
      <c r="R125" s="1073"/>
      <c r="S125" s="1072"/>
      <c r="T125" s="1073"/>
      <c r="U125" s="1073"/>
      <c r="V125" s="1073"/>
      <c r="W125" s="1073"/>
      <c r="X125" s="1073"/>
      <c r="Y125" s="1073"/>
    </row>
    <row r="126">
      <c r="A126" s="1074" t="s">
        <v>7398</v>
      </c>
      <c r="B126" s="1074" t="s">
        <v>1318</v>
      </c>
      <c r="C126" s="1075" t="s">
        <v>1278</v>
      </c>
      <c r="D126" s="1063">
        <f t="shared" si="5"/>
        <v>4</v>
      </c>
      <c r="E126" s="1086"/>
      <c r="F126" s="1078">
        <v>1.0</v>
      </c>
      <c r="G126" s="1078"/>
      <c r="H126" s="1078">
        <v>1.0</v>
      </c>
      <c r="I126" s="1078">
        <v>1.0</v>
      </c>
      <c r="J126" s="1079"/>
      <c r="K126" s="1078">
        <v>1.0</v>
      </c>
      <c r="L126" s="1078"/>
      <c r="M126" s="1079"/>
      <c r="N126" s="1077"/>
      <c r="O126" s="1078"/>
      <c r="P126" s="1077"/>
      <c r="Q126" s="1079"/>
      <c r="R126" s="1079"/>
      <c r="S126" s="1077"/>
      <c r="T126" s="1077"/>
      <c r="U126" s="1077"/>
      <c r="V126" s="1077"/>
      <c r="W126" s="1077"/>
      <c r="X126" s="1077"/>
      <c r="Y126" s="1077"/>
    </row>
    <row r="127">
      <c r="A127" s="1068" t="s">
        <v>7399</v>
      </c>
      <c r="B127" s="1068" t="s">
        <v>1439</v>
      </c>
      <c r="C127" s="1069" t="s">
        <v>1278</v>
      </c>
      <c r="D127" s="1063">
        <f t="shared" si="5"/>
        <v>4</v>
      </c>
      <c r="E127" s="1070"/>
      <c r="F127" s="1071">
        <v>3.0</v>
      </c>
      <c r="G127" s="1072"/>
      <c r="H127" s="1071"/>
      <c r="I127" s="1071">
        <v>1.0</v>
      </c>
      <c r="J127" s="1072"/>
      <c r="K127" s="1072"/>
      <c r="L127" s="1072"/>
      <c r="M127" s="1072"/>
      <c r="N127" s="1072"/>
      <c r="O127" s="1072"/>
      <c r="P127" s="1072"/>
      <c r="Q127" s="1072"/>
      <c r="R127" s="1072"/>
      <c r="S127" s="1073"/>
      <c r="T127" s="1071"/>
      <c r="U127" s="1072"/>
      <c r="V127" s="1073"/>
      <c r="W127" s="1073"/>
      <c r="X127" s="1073"/>
      <c r="Y127" s="1073"/>
    </row>
    <row r="128">
      <c r="A128" s="1074" t="s">
        <v>7400</v>
      </c>
      <c r="B128" s="1074" t="s">
        <v>1322</v>
      </c>
      <c r="C128" s="1075" t="s">
        <v>1278</v>
      </c>
      <c r="D128" s="1063">
        <f t="shared" si="5"/>
        <v>4</v>
      </c>
      <c r="E128" s="1086"/>
      <c r="F128" s="1078"/>
      <c r="G128" s="1077"/>
      <c r="H128" s="1078">
        <v>3.0</v>
      </c>
      <c r="I128" s="1079"/>
      <c r="J128" s="1078">
        <v>1.0</v>
      </c>
      <c r="K128" s="1079"/>
      <c r="L128" s="1078"/>
      <c r="M128" s="1079"/>
      <c r="N128" s="1077"/>
      <c r="O128" s="1077"/>
      <c r="P128" s="1077"/>
      <c r="Q128" s="1077"/>
      <c r="R128" s="1077"/>
      <c r="S128" s="1077"/>
      <c r="T128" s="1077"/>
      <c r="U128" s="1077"/>
      <c r="V128" s="1077"/>
      <c r="W128" s="1077"/>
      <c r="X128" s="1077"/>
      <c r="Y128" s="1077"/>
    </row>
    <row r="129">
      <c r="A129" s="1068" t="s">
        <v>7111</v>
      </c>
      <c r="B129" s="1068" t="s">
        <v>1487</v>
      </c>
      <c r="C129" s="1069" t="s">
        <v>1483</v>
      </c>
      <c r="D129" s="1063">
        <f t="shared" si="5"/>
        <v>4</v>
      </c>
      <c r="E129" s="1070"/>
      <c r="F129" s="1073"/>
      <c r="G129" s="1071">
        <v>1.0</v>
      </c>
      <c r="H129" s="1072"/>
      <c r="I129" s="1072"/>
      <c r="J129" s="1071"/>
      <c r="K129" s="1072"/>
      <c r="L129" s="1071">
        <v>1.0</v>
      </c>
      <c r="M129" s="1071"/>
      <c r="N129" s="1073"/>
      <c r="O129" s="1072"/>
      <c r="P129" s="1072"/>
      <c r="Q129" s="1073"/>
      <c r="R129" s="1073"/>
      <c r="S129" s="1071">
        <v>1.0</v>
      </c>
      <c r="T129" s="1072"/>
      <c r="U129" s="1073"/>
      <c r="V129" s="1072"/>
      <c r="W129" s="1073"/>
      <c r="X129" s="1071">
        <v>1.0</v>
      </c>
      <c r="Y129" s="1073"/>
    </row>
    <row r="130">
      <c r="A130" s="1074" t="s">
        <v>7402</v>
      </c>
      <c r="B130" s="1074" t="s">
        <v>1497</v>
      </c>
      <c r="C130" s="1075" t="s">
        <v>1483</v>
      </c>
      <c r="D130" s="1063">
        <f t="shared" si="5"/>
        <v>4</v>
      </c>
      <c r="E130" s="1086"/>
      <c r="F130" s="1078"/>
      <c r="G130" s="1078">
        <v>1.0</v>
      </c>
      <c r="H130" s="1078">
        <v>1.0</v>
      </c>
      <c r="I130" s="1079"/>
      <c r="J130" s="1077"/>
      <c r="K130" s="1078"/>
      <c r="L130" s="1077"/>
      <c r="M130" s="1077"/>
      <c r="N130" s="1078">
        <v>1.0</v>
      </c>
      <c r="O130" s="1078">
        <v>1.0</v>
      </c>
      <c r="P130" s="1077"/>
      <c r="Q130" s="1079"/>
      <c r="R130" s="1079"/>
      <c r="S130" s="1077"/>
      <c r="T130" s="1079"/>
      <c r="U130" s="1077"/>
      <c r="V130" s="1079"/>
      <c r="W130" s="1077"/>
      <c r="X130" s="1077"/>
      <c r="Y130" s="1077"/>
    </row>
    <row r="131">
      <c r="A131" s="1068" t="s">
        <v>7403</v>
      </c>
      <c r="B131" s="1068" t="s">
        <v>1600</v>
      </c>
      <c r="C131" s="1069" t="s">
        <v>1602</v>
      </c>
      <c r="D131" s="1063">
        <f t="shared" si="5"/>
        <v>4</v>
      </c>
      <c r="E131" s="1082"/>
      <c r="F131" s="1073"/>
      <c r="G131" s="1071"/>
      <c r="H131" s="1071"/>
      <c r="I131" s="1071">
        <v>2.0</v>
      </c>
      <c r="J131" s="1071"/>
      <c r="K131" s="1072"/>
      <c r="L131" s="1071">
        <v>2.0</v>
      </c>
      <c r="M131" s="1073"/>
      <c r="N131" s="1072"/>
      <c r="O131" s="1072"/>
      <c r="P131" s="1072"/>
      <c r="Q131" s="1073"/>
      <c r="R131" s="1073"/>
      <c r="S131" s="1072"/>
      <c r="T131" s="1073"/>
      <c r="U131" s="1072"/>
      <c r="V131" s="1073"/>
      <c r="W131" s="1073"/>
      <c r="X131" s="1073"/>
      <c r="Y131" s="1073"/>
    </row>
    <row r="132">
      <c r="A132" s="1074" t="s">
        <v>1642</v>
      </c>
      <c r="B132" s="1074" t="s">
        <v>1644</v>
      </c>
      <c r="C132" s="1075" t="s">
        <v>1646</v>
      </c>
      <c r="D132" s="1063">
        <f t="shared" si="5"/>
        <v>4</v>
      </c>
      <c r="E132" s="1080"/>
      <c r="F132" s="1078"/>
      <c r="G132" s="1078">
        <v>2.0</v>
      </c>
      <c r="H132" s="1077"/>
      <c r="I132" s="1079"/>
      <c r="J132" s="1078">
        <v>1.0</v>
      </c>
      <c r="K132" s="1079"/>
      <c r="L132" s="1079"/>
      <c r="M132" s="1079"/>
      <c r="N132" s="1079"/>
      <c r="O132" s="1079"/>
      <c r="P132" s="1079"/>
      <c r="Q132" s="1079"/>
      <c r="R132" s="1078">
        <v>1.0</v>
      </c>
      <c r="S132" s="1078"/>
      <c r="T132" s="1079"/>
      <c r="U132" s="1079"/>
      <c r="V132" s="1079"/>
      <c r="W132" s="1079"/>
      <c r="X132" s="1077"/>
      <c r="Y132" s="1077"/>
    </row>
    <row r="133">
      <c r="A133" s="1068" t="s">
        <v>7404</v>
      </c>
      <c r="B133" s="1068" t="s">
        <v>1845</v>
      </c>
      <c r="C133" s="1069" t="s">
        <v>1646</v>
      </c>
      <c r="D133" s="1063">
        <f t="shared" si="5"/>
        <v>4</v>
      </c>
      <c r="E133" s="1070">
        <v>3.0</v>
      </c>
      <c r="F133" s="1072"/>
      <c r="G133" s="1072"/>
      <c r="H133" s="1072"/>
      <c r="I133" s="1072"/>
      <c r="J133" s="1072"/>
      <c r="K133" s="1072"/>
      <c r="L133" s="1072"/>
      <c r="M133" s="1071"/>
      <c r="N133" s="1072"/>
      <c r="O133" s="1072"/>
      <c r="P133" s="1072"/>
      <c r="Q133" s="1072"/>
      <c r="R133" s="1072"/>
      <c r="S133" s="1072"/>
      <c r="T133" s="1071">
        <v>1.0</v>
      </c>
      <c r="U133" s="1073"/>
      <c r="V133" s="1073"/>
      <c r="W133" s="1072"/>
      <c r="X133" s="1073"/>
      <c r="Y133" s="1073"/>
    </row>
    <row r="134">
      <c r="A134" s="1074" t="s">
        <v>7405</v>
      </c>
      <c r="B134" s="1074" t="s">
        <v>1679</v>
      </c>
      <c r="C134" s="1075" t="s">
        <v>1646</v>
      </c>
      <c r="D134" s="1063">
        <f t="shared" si="5"/>
        <v>4</v>
      </c>
      <c r="E134" s="1080">
        <v>1.0</v>
      </c>
      <c r="F134" s="1078"/>
      <c r="G134" s="1078">
        <v>1.0</v>
      </c>
      <c r="H134" s="1078"/>
      <c r="I134" s="1079"/>
      <c r="J134" s="1079"/>
      <c r="K134" s="1078"/>
      <c r="L134" s="1078">
        <v>1.0</v>
      </c>
      <c r="M134" s="1077"/>
      <c r="N134" s="1079"/>
      <c r="O134" s="1079"/>
      <c r="P134" s="1077"/>
      <c r="Q134" s="1078">
        <v>1.0</v>
      </c>
      <c r="R134" s="1079"/>
      <c r="S134" s="1077"/>
      <c r="T134" s="1077"/>
      <c r="U134" s="1077"/>
      <c r="V134" s="1077"/>
      <c r="W134" s="1077"/>
      <c r="X134" s="1077"/>
      <c r="Y134" s="1077"/>
    </row>
    <row r="135">
      <c r="A135" s="1068" t="s">
        <v>7406</v>
      </c>
      <c r="B135" s="1068" t="s">
        <v>1870</v>
      </c>
      <c r="C135" s="1069" t="s">
        <v>1646</v>
      </c>
      <c r="D135" s="1063">
        <f t="shared" si="5"/>
        <v>4</v>
      </c>
      <c r="E135" s="1070">
        <v>3.0</v>
      </c>
      <c r="F135" s="1071"/>
      <c r="G135" s="1072"/>
      <c r="H135" s="1073"/>
      <c r="I135" s="1072"/>
      <c r="J135" s="1072"/>
      <c r="K135" s="1072"/>
      <c r="L135" s="1072"/>
      <c r="M135" s="1072"/>
      <c r="N135" s="1071">
        <v>1.0</v>
      </c>
      <c r="O135" s="1072"/>
      <c r="P135" s="1072"/>
      <c r="Q135" s="1073"/>
      <c r="R135" s="1072"/>
      <c r="S135" s="1073"/>
      <c r="T135" s="1072"/>
      <c r="U135" s="1072"/>
      <c r="V135" s="1072"/>
      <c r="W135" s="1072"/>
      <c r="X135" s="1073"/>
      <c r="Y135" s="1073"/>
    </row>
    <row r="136">
      <c r="A136" s="1074" t="s">
        <v>7407</v>
      </c>
      <c r="B136" s="1074" t="s">
        <v>1061</v>
      </c>
      <c r="C136" s="1075" t="s">
        <v>1958</v>
      </c>
      <c r="D136" s="1063">
        <f t="shared" si="5"/>
        <v>4</v>
      </c>
      <c r="E136" s="1086"/>
      <c r="F136" s="1078">
        <v>3.0</v>
      </c>
      <c r="G136" s="1079"/>
      <c r="H136" s="1078"/>
      <c r="I136" s="1079"/>
      <c r="J136" s="1078"/>
      <c r="K136" s="1078"/>
      <c r="L136" s="1079"/>
      <c r="M136" s="1078"/>
      <c r="N136" s="1079"/>
      <c r="O136" s="1078">
        <v>1.0</v>
      </c>
      <c r="P136" s="1079"/>
      <c r="Q136" s="1079"/>
      <c r="R136" s="1079"/>
      <c r="S136" s="1079"/>
      <c r="T136" s="1079"/>
      <c r="U136" s="1079"/>
      <c r="V136" s="1079"/>
      <c r="W136" s="1079"/>
      <c r="X136" s="1079"/>
      <c r="Y136" s="1078"/>
    </row>
    <row r="137">
      <c r="A137" s="1068" t="s">
        <v>7408</v>
      </c>
      <c r="B137" s="1068" t="s">
        <v>2099</v>
      </c>
      <c r="C137" s="1069" t="s">
        <v>2045</v>
      </c>
      <c r="D137" s="1063">
        <f t="shared" si="5"/>
        <v>4</v>
      </c>
      <c r="E137" s="1070"/>
      <c r="F137" s="1071"/>
      <c r="G137" s="1071">
        <v>3.0</v>
      </c>
      <c r="H137" s="1072"/>
      <c r="I137" s="1073"/>
      <c r="J137" s="1073"/>
      <c r="K137" s="1071"/>
      <c r="L137" s="1073"/>
      <c r="M137" s="1073"/>
      <c r="N137" s="1073"/>
      <c r="O137" s="1073"/>
      <c r="P137" s="1073"/>
      <c r="Q137" s="1071"/>
      <c r="R137" s="1073"/>
      <c r="S137" s="1071"/>
      <c r="T137" s="1073"/>
      <c r="U137" s="1073"/>
      <c r="V137" s="1073"/>
      <c r="W137" s="1073"/>
      <c r="X137" s="1073"/>
      <c r="Y137" s="1071">
        <v>1.0</v>
      </c>
    </row>
    <row r="138">
      <c r="A138" s="1074" t="s">
        <v>7410</v>
      </c>
      <c r="B138" s="1074" t="s">
        <v>2099</v>
      </c>
      <c r="C138" s="1075" t="s">
        <v>2045</v>
      </c>
      <c r="D138" s="1063">
        <f t="shared" si="5"/>
        <v>4</v>
      </c>
      <c r="E138" s="1080">
        <v>3.0</v>
      </c>
      <c r="F138" s="1077"/>
      <c r="G138" s="1077"/>
      <c r="H138" s="1077"/>
      <c r="I138" s="1078"/>
      <c r="J138" s="1078"/>
      <c r="K138" s="1077"/>
      <c r="L138" s="1079"/>
      <c r="M138" s="1077"/>
      <c r="N138" s="1078">
        <v>1.0</v>
      </c>
      <c r="O138" s="1077"/>
      <c r="P138" s="1077"/>
      <c r="Q138" s="1077"/>
      <c r="R138" s="1079"/>
      <c r="S138" s="1077"/>
      <c r="T138" s="1079"/>
      <c r="U138" s="1077"/>
      <c r="V138" s="1077"/>
      <c r="W138" s="1077"/>
      <c r="X138" s="1077"/>
      <c r="Y138" s="1077"/>
    </row>
    <row r="139">
      <c r="A139" s="1068" t="s">
        <v>7370</v>
      </c>
      <c r="B139" s="1068" t="s">
        <v>2228</v>
      </c>
      <c r="C139" s="1069" t="s">
        <v>2216</v>
      </c>
      <c r="D139" s="1063">
        <f t="shared" si="5"/>
        <v>4</v>
      </c>
      <c r="E139" s="1070">
        <v>2.0</v>
      </c>
      <c r="F139" s="1071"/>
      <c r="G139" s="1073"/>
      <c r="H139" s="1071"/>
      <c r="I139" s="1071">
        <v>1.0</v>
      </c>
      <c r="J139" s="1072"/>
      <c r="K139" s="1071"/>
      <c r="L139" s="1072"/>
      <c r="M139" s="1073"/>
      <c r="N139" s="1073"/>
      <c r="O139" s="1073"/>
      <c r="P139" s="1073"/>
      <c r="Q139" s="1071">
        <v>1.0</v>
      </c>
      <c r="R139" s="1072"/>
      <c r="S139" s="1073"/>
      <c r="T139" s="1072"/>
      <c r="U139" s="1073"/>
      <c r="V139" s="1073"/>
      <c r="W139" s="1073"/>
      <c r="X139" s="1073"/>
      <c r="Y139" s="1073"/>
    </row>
    <row r="140">
      <c r="A140" s="1074" t="s">
        <v>7411</v>
      </c>
      <c r="B140" s="1074" t="s">
        <v>2236</v>
      </c>
      <c r="C140" s="1075" t="s">
        <v>2216</v>
      </c>
      <c r="D140" s="1063">
        <f t="shared" si="5"/>
        <v>4</v>
      </c>
      <c r="E140" s="1080">
        <v>1.0</v>
      </c>
      <c r="F140" s="1078"/>
      <c r="G140" s="1078"/>
      <c r="H140" s="1078"/>
      <c r="I140" s="1078">
        <v>1.0</v>
      </c>
      <c r="J140" s="1078">
        <v>1.0</v>
      </c>
      <c r="K140" s="1077"/>
      <c r="L140" s="1079"/>
      <c r="M140" s="1078"/>
      <c r="N140" s="1077"/>
      <c r="O140" s="1078">
        <v>1.0</v>
      </c>
      <c r="P140" s="1077"/>
      <c r="Q140" s="1077"/>
      <c r="R140" s="1079"/>
      <c r="S140" s="1077"/>
      <c r="T140" s="1079"/>
      <c r="U140" s="1077"/>
      <c r="V140" s="1077"/>
      <c r="W140" s="1077"/>
      <c r="X140" s="1077"/>
      <c r="Y140" s="1077"/>
    </row>
    <row r="141">
      <c r="A141" s="1068" t="s">
        <v>7413</v>
      </c>
      <c r="B141" s="1068" t="s">
        <v>2256</v>
      </c>
      <c r="C141" s="1069" t="s">
        <v>2250</v>
      </c>
      <c r="D141" s="1063">
        <f t="shared" si="5"/>
        <v>4</v>
      </c>
      <c r="E141" s="1070">
        <v>1.0</v>
      </c>
      <c r="F141" s="1071"/>
      <c r="G141" s="1071">
        <v>1.0</v>
      </c>
      <c r="H141" s="1073"/>
      <c r="I141" s="1071">
        <v>1.0</v>
      </c>
      <c r="J141" s="1071"/>
      <c r="K141" s="1073"/>
      <c r="L141" s="1072"/>
      <c r="M141" s="1071"/>
      <c r="N141" s="1073"/>
      <c r="O141" s="1071">
        <v>1.0</v>
      </c>
      <c r="P141" s="1073"/>
      <c r="Q141" s="1073"/>
      <c r="R141" s="1072"/>
      <c r="S141" s="1073"/>
      <c r="T141" s="1072"/>
      <c r="U141" s="1073"/>
      <c r="V141" s="1073"/>
      <c r="W141" s="1073"/>
      <c r="X141" s="1073"/>
      <c r="Y141" s="1073"/>
    </row>
    <row r="142">
      <c r="A142" s="1074" t="s">
        <v>7414</v>
      </c>
      <c r="B142" s="1074" t="s">
        <v>2256</v>
      </c>
      <c r="C142" s="1075" t="s">
        <v>2250</v>
      </c>
      <c r="D142" s="1063">
        <f t="shared" si="5"/>
        <v>4</v>
      </c>
      <c r="E142" s="1080"/>
      <c r="F142" s="1077"/>
      <c r="G142" s="1077"/>
      <c r="H142" s="1078"/>
      <c r="I142" s="1078"/>
      <c r="J142" s="1078">
        <v>1.0</v>
      </c>
      <c r="K142" s="1078">
        <v>2.0</v>
      </c>
      <c r="L142" s="1079"/>
      <c r="M142" s="1077"/>
      <c r="N142" s="1078">
        <v>1.0</v>
      </c>
      <c r="O142" s="1077"/>
      <c r="P142" s="1077"/>
      <c r="Q142" s="1077"/>
      <c r="R142" s="1079"/>
      <c r="S142" s="1077"/>
      <c r="T142" s="1079"/>
      <c r="U142" s="1077"/>
      <c r="V142" s="1077"/>
      <c r="W142" s="1077"/>
      <c r="X142" s="1077"/>
      <c r="Y142" s="1077"/>
    </row>
    <row r="143">
      <c r="A143" s="1068" t="s">
        <v>7415</v>
      </c>
      <c r="B143" s="1068" t="s">
        <v>2312</v>
      </c>
      <c r="C143" s="1069" t="s">
        <v>2283</v>
      </c>
      <c r="D143" s="1063">
        <f t="shared" si="5"/>
        <v>4</v>
      </c>
      <c r="E143" s="1070"/>
      <c r="F143" s="1071">
        <v>1.0</v>
      </c>
      <c r="G143" s="1071">
        <v>1.0</v>
      </c>
      <c r="H143" s="1071">
        <v>1.0</v>
      </c>
      <c r="I143" s="1071">
        <v>1.0</v>
      </c>
      <c r="J143" s="1072"/>
      <c r="K143" s="1073"/>
      <c r="L143" s="1072"/>
      <c r="M143" s="1073"/>
      <c r="N143" s="1073"/>
      <c r="O143" s="1073"/>
      <c r="P143" s="1073"/>
      <c r="Q143" s="1073"/>
      <c r="R143" s="1072"/>
      <c r="S143" s="1073"/>
      <c r="T143" s="1072"/>
      <c r="U143" s="1073"/>
      <c r="V143" s="1073"/>
      <c r="W143" s="1073"/>
      <c r="X143" s="1073"/>
      <c r="Y143" s="1073"/>
    </row>
    <row r="144">
      <c r="A144" s="1074" t="s">
        <v>7384</v>
      </c>
      <c r="B144" s="1074" t="s">
        <v>171</v>
      </c>
      <c r="C144" s="1075" t="s">
        <v>114</v>
      </c>
      <c r="D144" s="1063">
        <f t="shared" si="5"/>
        <v>3</v>
      </c>
      <c r="E144" s="1086"/>
      <c r="F144" s="1079"/>
      <c r="G144" s="1079"/>
      <c r="H144" s="1078"/>
      <c r="I144" s="1077"/>
      <c r="J144" s="1078"/>
      <c r="K144" s="1079"/>
      <c r="L144" s="1078"/>
      <c r="M144" s="1077"/>
      <c r="N144" s="1079"/>
      <c r="O144" s="1078">
        <v>1.0</v>
      </c>
      <c r="P144" s="1077"/>
      <c r="Q144" s="1077"/>
      <c r="R144" s="1077"/>
      <c r="S144" s="1079"/>
      <c r="T144" s="1077"/>
      <c r="U144" s="1078"/>
      <c r="V144" s="1078">
        <v>1.0</v>
      </c>
      <c r="W144" s="1078">
        <v>1.0</v>
      </c>
      <c r="X144" s="1077"/>
      <c r="Y144" s="1078"/>
    </row>
    <row r="145">
      <c r="A145" s="1068" t="s">
        <v>7416</v>
      </c>
      <c r="B145" s="1068" t="s">
        <v>209</v>
      </c>
      <c r="C145" s="1069" t="s">
        <v>114</v>
      </c>
      <c r="D145" s="1063">
        <f t="shared" si="5"/>
        <v>3</v>
      </c>
      <c r="E145" s="1070"/>
      <c r="F145" s="1071"/>
      <c r="G145" s="1072"/>
      <c r="H145" s="1071"/>
      <c r="I145" s="1072"/>
      <c r="J145" s="1071">
        <v>1.0</v>
      </c>
      <c r="K145" s="1071"/>
      <c r="L145" s="1071">
        <v>1.0</v>
      </c>
      <c r="M145" s="1072"/>
      <c r="N145" s="1071"/>
      <c r="O145" s="1073"/>
      <c r="P145" s="1073"/>
      <c r="Q145" s="1071">
        <v>1.0</v>
      </c>
      <c r="R145" s="1072"/>
      <c r="S145" s="1073"/>
      <c r="T145" s="1073"/>
      <c r="U145" s="1073"/>
      <c r="V145" s="1073"/>
      <c r="W145" s="1073"/>
      <c r="X145" s="1073"/>
      <c r="Y145" s="1073"/>
    </row>
    <row r="146">
      <c r="A146" s="1074" t="s">
        <v>7417</v>
      </c>
      <c r="B146" s="1074" t="s">
        <v>116</v>
      </c>
      <c r="C146" s="1075" t="s">
        <v>114</v>
      </c>
      <c r="D146" s="1063">
        <f t="shared" si="5"/>
        <v>3</v>
      </c>
      <c r="E146" s="1080"/>
      <c r="F146" s="1079"/>
      <c r="G146" s="1079"/>
      <c r="H146" s="1079"/>
      <c r="I146" s="1079"/>
      <c r="J146" s="1079"/>
      <c r="K146" s="1079"/>
      <c r="L146" s="1079"/>
      <c r="M146" s="1079"/>
      <c r="N146" s="1078">
        <v>1.0</v>
      </c>
      <c r="O146" s="1077"/>
      <c r="P146" s="1077"/>
      <c r="Q146" s="1077"/>
      <c r="R146" s="1077"/>
      <c r="S146" s="1077"/>
      <c r="T146" s="1077"/>
      <c r="U146" s="1078">
        <v>1.0</v>
      </c>
      <c r="V146" s="1078">
        <v>1.0</v>
      </c>
      <c r="W146" s="1077"/>
      <c r="X146" s="1078"/>
      <c r="Y146" s="1077"/>
    </row>
    <row r="147">
      <c r="A147" s="1068" t="s">
        <v>7419</v>
      </c>
      <c r="B147" s="1068" t="s">
        <v>263</v>
      </c>
      <c r="C147" s="1069" t="s">
        <v>114</v>
      </c>
      <c r="D147" s="1063">
        <f t="shared" si="5"/>
        <v>3</v>
      </c>
      <c r="E147" s="1082"/>
      <c r="F147" s="1071">
        <v>2.0</v>
      </c>
      <c r="G147" s="565"/>
      <c r="H147" s="1071">
        <v>1.0</v>
      </c>
      <c r="I147" s="1073"/>
      <c r="J147" s="1073"/>
      <c r="K147" s="1071"/>
      <c r="L147" s="1073"/>
      <c r="M147" s="1073"/>
      <c r="N147" s="1072"/>
      <c r="O147" s="1073"/>
      <c r="P147" s="1073"/>
      <c r="Q147" s="1073"/>
      <c r="R147" s="1073"/>
      <c r="S147" s="1073"/>
      <c r="T147" s="1073"/>
      <c r="U147" s="1073"/>
      <c r="V147" s="1073"/>
      <c r="W147" s="1073"/>
      <c r="X147" s="1073"/>
      <c r="Y147" s="1073"/>
    </row>
    <row r="148">
      <c r="A148" s="1074" t="s">
        <v>7420</v>
      </c>
      <c r="B148" s="1074" t="s">
        <v>371</v>
      </c>
      <c r="C148" s="1075" t="s">
        <v>366</v>
      </c>
      <c r="D148" s="1063">
        <f t="shared" si="5"/>
        <v>3</v>
      </c>
      <c r="E148" s="1086"/>
      <c r="F148" s="1077"/>
      <c r="G148" s="1077"/>
      <c r="H148" s="1078">
        <v>2.0</v>
      </c>
      <c r="I148" s="1078">
        <v>1.0</v>
      </c>
      <c r="J148" s="1079"/>
      <c r="K148" s="1078"/>
      <c r="L148" s="1077"/>
      <c r="M148" s="1079"/>
      <c r="N148" s="1079"/>
      <c r="O148" s="1077"/>
      <c r="P148" s="1079"/>
      <c r="Q148" s="1079"/>
      <c r="R148" s="1079"/>
      <c r="S148" s="1079"/>
      <c r="T148" s="1079"/>
      <c r="U148" s="1077"/>
      <c r="V148" s="1079"/>
      <c r="W148" s="1077"/>
      <c r="X148" s="1077"/>
      <c r="Y148" s="1077"/>
    </row>
    <row r="149">
      <c r="A149" s="1068" t="s">
        <v>7051</v>
      </c>
      <c r="B149" s="1068" t="s">
        <v>532</v>
      </c>
      <c r="C149" s="1069" t="s">
        <v>446</v>
      </c>
      <c r="D149" s="1063">
        <f t="shared" si="5"/>
        <v>3</v>
      </c>
      <c r="E149" s="1084"/>
      <c r="F149" s="1073"/>
      <c r="G149" s="1073"/>
      <c r="H149" s="1072"/>
      <c r="I149" s="565"/>
      <c r="J149" s="1072"/>
      <c r="K149" s="1071"/>
      <c r="L149" s="1072"/>
      <c r="M149" s="1072"/>
      <c r="N149" s="1071"/>
      <c r="O149" s="1071"/>
      <c r="P149" s="1072"/>
      <c r="Q149" s="1072"/>
      <c r="R149" s="1072"/>
      <c r="S149" s="1071">
        <v>1.0</v>
      </c>
      <c r="T149" s="1073"/>
      <c r="U149" s="1073"/>
      <c r="V149" s="1073"/>
      <c r="W149" s="1071"/>
      <c r="X149" s="1073"/>
      <c r="Y149" s="1071">
        <v>2.0</v>
      </c>
    </row>
    <row r="150">
      <c r="A150" s="1074" t="s">
        <v>7308</v>
      </c>
      <c r="B150" s="1074" t="s">
        <v>7309</v>
      </c>
      <c r="C150" s="1075" t="s">
        <v>446</v>
      </c>
      <c r="D150" s="1063">
        <f t="shared" si="5"/>
        <v>3</v>
      </c>
      <c r="E150" s="1076"/>
      <c r="F150" s="1078">
        <v>2.0</v>
      </c>
      <c r="G150" s="1077"/>
      <c r="H150" s="1079"/>
      <c r="I150" s="1078">
        <v>1.0</v>
      </c>
      <c r="J150" s="1079"/>
      <c r="K150" s="1079"/>
      <c r="L150" s="1079"/>
      <c r="M150" s="1079"/>
      <c r="N150" s="1079"/>
      <c r="O150" s="1079"/>
      <c r="P150" s="1077"/>
      <c r="Q150" s="1079"/>
      <c r="R150" s="1077"/>
      <c r="S150" s="1079"/>
      <c r="T150" s="1077"/>
      <c r="U150" s="1077"/>
      <c r="V150" s="1077"/>
      <c r="W150" s="1077"/>
      <c r="X150" s="1077"/>
      <c r="Y150" s="1077"/>
    </row>
    <row r="151">
      <c r="A151" s="1068" t="s">
        <v>7393</v>
      </c>
      <c r="B151" s="1068" t="s">
        <v>7394</v>
      </c>
      <c r="C151" s="1069" t="s">
        <v>446</v>
      </c>
      <c r="D151" s="1063">
        <f t="shared" si="5"/>
        <v>3</v>
      </c>
      <c r="E151" s="1070">
        <v>2.0</v>
      </c>
      <c r="F151" s="1071">
        <v>1.0</v>
      </c>
      <c r="G151" s="1072"/>
      <c r="H151" s="1072"/>
      <c r="I151" s="1072"/>
      <c r="J151" s="1072"/>
      <c r="K151" s="1072"/>
      <c r="L151" s="1072"/>
      <c r="M151" s="1072"/>
      <c r="N151" s="1072"/>
      <c r="O151" s="1072"/>
      <c r="P151" s="1072"/>
      <c r="Q151" s="1072"/>
      <c r="R151" s="1072"/>
      <c r="S151" s="1072"/>
      <c r="T151" s="1073"/>
      <c r="U151" s="1072"/>
      <c r="V151" s="1072"/>
      <c r="W151" s="1073"/>
      <c r="X151" s="1073"/>
      <c r="Y151" s="1073"/>
    </row>
    <row r="152">
      <c r="A152" s="1074" t="s">
        <v>7421</v>
      </c>
      <c r="B152" s="1074" t="s">
        <v>510</v>
      </c>
      <c r="C152" s="1075" t="s">
        <v>446</v>
      </c>
      <c r="D152" s="1063">
        <f t="shared" si="5"/>
        <v>3</v>
      </c>
      <c r="E152" s="1080">
        <v>1.0</v>
      </c>
      <c r="F152" s="1077"/>
      <c r="G152" s="1078">
        <v>1.0</v>
      </c>
      <c r="H152" s="1077"/>
      <c r="I152" s="1078">
        <v>1.0</v>
      </c>
      <c r="J152" s="1079"/>
      <c r="K152" s="1079"/>
      <c r="L152" s="1077"/>
      <c r="M152" s="1078"/>
      <c r="N152" s="1079"/>
      <c r="O152" s="1079"/>
      <c r="P152" s="1078"/>
      <c r="Q152" s="1079"/>
      <c r="R152" s="1077"/>
      <c r="S152" s="1077"/>
      <c r="T152" s="1079"/>
      <c r="U152" s="1077"/>
      <c r="V152" s="1077"/>
      <c r="W152" s="1077"/>
      <c r="X152" s="1077"/>
      <c r="Y152" s="1077"/>
    </row>
    <row r="153">
      <c r="A153" s="1068" t="s">
        <v>7327</v>
      </c>
      <c r="B153" s="1068" t="s">
        <v>608</v>
      </c>
      <c r="C153" s="1069" t="s">
        <v>579</v>
      </c>
      <c r="D153" s="1063">
        <f t="shared" si="5"/>
        <v>3</v>
      </c>
      <c r="E153" s="1084"/>
      <c r="F153" s="1072"/>
      <c r="G153" s="1071">
        <v>1.0</v>
      </c>
      <c r="H153" s="1072"/>
      <c r="I153" s="1072"/>
      <c r="J153" s="1072"/>
      <c r="K153" s="1072"/>
      <c r="L153" s="1072"/>
      <c r="M153" s="1072"/>
      <c r="N153" s="1072"/>
      <c r="O153" s="1072"/>
      <c r="P153" s="1071">
        <v>1.0</v>
      </c>
      <c r="Q153" s="1072"/>
      <c r="R153" s="1071">
        <v>1.0</v>
      </c>
      <c r="S153" s="1072"/>
      <c r="T153" s="1072"/>
      <c r="U153" s="1072"/>
      <c r="V153" s="1072"/>
      <c r="W153" s="1072"/>
      <c r="X153" s="1072"/>
      <c r="Y153" s="1072"/>
    </row>
    <row r="154">
      <c r="A154" s="1074" t="s">
        <v>7422</v>
      </c>
      <c r="B154" s="1074" t="s">
        <v>7423</v>
      </c>
      <c r="C154" s="1075" t="s">
        <v>579</v>
      </c>
      <c r="D154" s="1063">
        <f t="shared" si="5"/>
        <v>3</v>
      </c>
      <c r="E154" s="1076"/>
      <c r="F154" s="1079"/>
      <c r="G154" s="1079"/>
      <c r="H154" s="1079"/>
      <c r="I154" s="1078">
        <v>1.0</v>
      </c>
      <c r="J154" s="1078"/>
      <c r="K154" s="1078">
        <v>1.0</v>
      </c>
      <c r="L154" s="1078">
        <v>1.0</v>
      </c>
      <c r="M154" s="1079"/>
      <c r="N154" s="1079"/>
      <c r="O154" s="1079"/>
      <c r="P154" s="1077"/>
      <c r="Q154" s="1077"/>
      <c r="R154" s="1077"/>
      <c r="S154" s="1077"/>
      <c r="T154" s="1079"/>
      <c r="U154" s="1079"/>
      <c r="V154" s="1077"/>
      <c r="W154" s="1077"/>
      <c r="X154" s="1077"/>
      <c r="Y154" s="1077"/>
    </row>
    <row r="155">
      <c r="A155" s="1068" t="s">
        <v>7258</v>
      </c>
      <c r="B155" s="1068" t="s">
        <v>615</v>
      </c>
      <c r="C155" s="1069" t="s">
        <v>616</v>
      </c>
      <c r="D155" s="1063">
        <f t="shared" si="5"/>
        <v>3</v>
      </c>
      <c r="E155" s="1082"/>
      <c r="F155" s="1073"/>
      <c r="G155" s="1071">
        <v>1.0</v>
      </c>
      <c r="H155" s="1072"/>
      <c r="I155" s="1072"/>
      <c r="J155" s="1071">
        <v>1.0</v>
      </c>
      <c r="K155" s="1071"/>
      <c r="L155" s="1072"/>
      <c r="M155" s="1072"/>
      <c r="N155" s="1072"/>
      <c r="O155" s="1073"/>
      <c r="P155" s="1072"/>
      <c r="Q155" s="1073"/>
      <c r="R155" s="1073"/>
      <c r="S155" s="1073"/>
      <c r="T155" s="1073"/>
      <c r="U155" s="1072"/>
      <c r="V155" s="1073"/>
      <c r="W155" s="1073"/>
      <c r="X155" s="1073"/>
      <c r="Y155" s="1071">
        <v>1.0</v>
      </c>
    </row>
    <row r="156">
      <c r="A156" s="1074" t="s">
        <v>683</v>
      </c>
      <c r="B156" s="1074" t="s">
        <v>655</v>
      </c>
      <c r="C156" s="1075" t="s">
        <v>656</v>
      </c>
      <c r="D156" s="1063">
        <f t="shared" si="5"/>
        <v>3</v>
      </c>
      <c r="E156" s="1080"/>
      <c r="F156" s="1078"/>
      <c r="G156" s="1078">
        <v>1.0</v>
      </c>
      <c r="H156" s="1079"/>
      <c r="I156" s="1078">
        <v>1.0</v>
      </c>
      <c r="J156" s="1078"/>
      <c r="K156" s="1077"/>
      <c r="L156" s="1078">
        <v>1.0</v>
      </c>
      <c r="M156" s="1079"/>
      <c r="N156" s="1079"/>
      <c r="O156" s="1077"/>
      <c r="P156" s="1079"/>
      <c r="Q156" s="1077"/>
      <c r="R156" s="1077"/>
      <c r="S156" s="1077"/>
      <c r="T156" s="1077"/>
      <c r="U156" s="1079"/>
      <c r="V156" s="1077"/>
      <c r="W156" s="1077"/>
      <c r="X156" s="1077"/>
      <c r="Y156" s="1077"/>
    </row>
    <row r="157">
      <c r="A157" s="1068" t="s">
        <v>7425</v>
      </c>
      <c r="B157" s="1068" t="s">
        <v>655</v>
      </c>
      <c r="C157" s="1069" t="s">
        <v>656</v>
      </c>
      <c r="D157" s="1063">
        <f t="shared" si="5"/>
        <v>3</v>
      </c>
      <c r="E157" s="1070">
        <v>1.0</v>
      </c>
      <c r="F157" s="1071"/>
      <c r="G157" s="1071"/>
      <c r="H157" s="1072"/>
      <c r="I157" s="1072"/>
      <c r="J157" s="1072"/>
      <c r="K157" s="1071">
        <v>1.0</v>
      </c>
      <c r="L157" s="1072"/>
      <c r="M157" s="1072"/>
      <c r="N157" s="1072"/>
      <c r="O157" s="1072"/>
      <c r="P157" s="1072"/>
      <c r="Q157" s="1072"/>
      <c r="R157" s="1073"/>
      <c r="S157" s="1071">
        <v>1.0</v>
      </c>
      <c r="T157" s="1072"/>
      <c r="U157" s="1071"/>
      <c r="V157" s="1073"/>
      <c r="W157" s="1073"/>
      <c r="X157" s="1073"/>
      <c r="Y157" s="1073"/>
    </row>
    <row r="158">
      <c r="A158" s="1074" t="s">
        <v>902</v>
      </c>
      <c r="B158" s="1074" t="s">
        <v>903</v>
      </c>
      <c r="C158" s="1075" t="s">
        <v>895</v>
      </c>
      <c r="D158" s="1063">
        <f t="shared" si="5"/>
        <v>3</v>
      </c>
      <c r="E158" s="1080">
        <v>1.0</v>
      </c>
      <c r="F158" s="1079"/>
      <c r="G158" s="1079"/>
      <c r="H158" s="1078">
        <v>1.0</v>
      </c>
      <c r="I158" s="1078">
        <v>1.0</v>
      </c>
      <c r="J158" s="1078"/>
      <c r="K158" s="1077"/>
      <c r="L158" s="1079"/>
      <c r="M158" s="1077"/>
      <c r="N158" s="1077"/>
      <c r="O158" s="1079"/>
      <c r="P158" s="1077"/>
      <c r="Q158" s="1078"/>
      <c r="R158" s="1077"/>
      <c r="S158" s="1077"/>
      <c r="T158" s="1077"/>
      <c r="U158" s="1077"/>
      <c r="V158" s="1077"/>
      <c r="W158" s="1077"/>
      <c r="X158" s="1077"/>
      <c r="Y158" s="1077"/>
    </row>
    <row r="159">
      <c r="A159" s="1068" t="s">
        <v>7067</v>
      </c>
      <c r="B159" s="1068" t="s">
        <v>932</v>
      </c>
      <c r="C159" s="1069" t="s">
        <v>895</v>
      </c>
      <c r="D159" s="1063">
        <f t="shared" si="5"/>
        <v>3</v>
      </c>
      <c r="E159" s="1070">
        <v>1.0</v>
      </c>
      <c r="F159" s="1072"/>
      <c r="G159" s="1072"/>
      <c r="H159" s="1071"/>
      <c r="I159" s="1071">
        <v>1.0</v>
      </c>
      <c r="J159" s="1071"/>
      <c r="K159" s="1072"/>
      <c r="L159" s="1071">
        <v>1.0</v>
      </c>
      <c r="M159" s="1072"/>
      <c r="N159" s="1072"/>
      <c r="O159" s="1072"/>
      <c r="P159" s="1072"/>
      <c r="Q159" s="1073"/>
      <c r="R159" s="1073"/>
      <c r="S159" s="1072"/>
      <c r="T159" s="1073"/>
      <c r="U159" s="1073"/>
      <c r="V159" s="1072"/>
      <c r="W159" s="1073"/>
      <c r="X159" s="1073"/>
      <c r="Y159" s="1073"/>
    </row>
    <row r="160">
      <c r="A160" s="1074" t="s">
        <v>7427</v>
      </c>
      <c r="B160" s="1074" t="s">
        <v>979</v>
      </c>
      <c r="C160" s="1075" t="s">
        <v>895</v>
      </c>
      <c r="D160" s="1063">
        <f t="shared" si="5"/>
        <v>3</v>
      </c>
      <c r="E160" s="1076"/>
      <c r="F160" s="1078">
        <v>1.0</v>
      </c>
      <c r="G160" s="1077"/>
      <c r="H160" s="1079"/>
      <c r="I160" s="1078">
        <v>1.0</v>
      </c>
      <c r="J160" s="1078"/>
      <c r="K160" s="1079"/>
      <c r="L160" s="1079"/>
      <c r="M160" s="1079"/>
      <c r="N160" s="1079"/>
      <c r="O160" s="1078"/>
      <c r="P160" s="1078">
        <v>1.0</v>
      </c>
      <c r="Q160" s="1079"/>
      <c r="R160" s="1077"/>
      <c r="S160" s="1077"/>
      <c r="T160" s="1077"/>
      <c r="U160" s="1077"/>
      <c r="V160" s="1079"/>
      <c r="W160" s="1077"/>
      <c r="X160" s="1077"/>
      <c r="Y160" s="1077"/>
    </row>
    <row r="161">
      <c r="A161" s="1068" t="s">
        <v>7428</v>
      </c>
      <c r="B161" s="1068" t="s">
        <v>1005</v>
      </c>
      <c r="C161" s="1069" t="s">
        <v>895</v>
      </c>
      <c r="D161" s="1063">
        <f t="shared" si="5"/>
        <v>3</v>
      </c>
      <c r="E161" s="1084"/>
      <c r="F161" s="1072"/>
      <c r="G161" s="1072"/>
      <c r="H161" s="1072"/>
      <c r="I161" s="1072"/>
      <c r="J161" s="1072"/>
      <c r="K161" s="1072"/>
      <c r="L161" s="1072"/>
      <c r="M161" s="1071">
        <v>2.0</v>
      </c>
      <c r="N161" s="1072"/>
      <c r="O161" s="1072"/>
      <c r="P161" s="1071">
        <v>1.0</v>
      </c>
      <c r="Q161" s="1072"/>
      <c r="R161" s="1072"/>
      <c r="S161" s="1073"/>
      <c r="T161" s="1073"/>
      <c r="U161" s="1073"/>
      <c r="V161" s="1073"/>
      <c r="W161" s="1073"/>
      <c r="X161" s="1073"/>
      <c r="Y161" s="1073"/>
    </row>
    <row r="162">
      <c r="A162" s="1074" t="s">
        <v>7429</v>
      </c>
      <c r="B162" s="1074" t="s">
        <v>1071</v>
      </c>
      <c r="C162" s="1075" t="s">
        <v>1051</v>
      </c>
      <c r="D162" s="1063">
        <f t="shared" si="5"/>
        <v>3</v>
      </c>
      <c r="E162" s="1080">
        <v>1.0</v>
      </c>
      <c r="F162" s="1078"/>
      <c r="G162" s="1078">
        <v>1.0</v>
      </c>
      <c r="H162" s="1079"/>
      <c r="I162" s="1078">
        <v>1.0</v>
      </c>
      <c r="J162" s="1078"/>
      <c r="K162" s="1077"/>
      <c r="L162" s="1078"/>
      <c r="M162" s="1077"/>
      <c r="N162" s="1079"/>
      <c r="O162" s="1077"/>
      <c r="P162" s="1079"/>
      <c r="Q162" s="1077"/>
      <c r="R162" s="1077"/>
      <c r="S162" s="1079"/>
      <c r="T162" s="1077"/>
      <c r="U162" s="1077"/>
      <c r="V162" s="1077"/>
      <c r="W162" s="1077"/>
      <c r="X162" s="1077"/>
      <c r="Y162" s="1077"/>
    </row>
    <row r="163">
      <c r="A163" s="1068" t="s">
        <v>7255</v>
      </c>
      <c r="B163" s="1068" t="s">
        <v>1102</v>
      </c>
      <c r="C163" s="1069" t="s">
        <v>1091</v>
      </c>
      <c r="D163" s="1063">
        <f t="shared" si="5"/>
        <v>3</v>
      </c>
      <c r="E163" s="1082"/>
      <c r="F163" s="1071"/>
      <c r="G163" s="1073"/>
      <c r="H163" s="1071"/>
      <c r="I163" s="1071"/>
      <c r="J163" s="1071">
        <v>1.0</v>
      </c>
      <c r="K163" s="1071">
        <v>1.0</v>
      </c>
      <c r="L163" s="1071"/>
      <c r="M163" s="1071">
        <v>1.0</v>
      </c>
      <c r="N163" s="1072"/>
      <c r="O163" s="1073"/>
      <c r="P163" s="1073"/>
      <c r="Q163" s="1073"/>
      <c r="R163" s="1073"/>
      <c r="S163" s="1073"/>
      <c r="T163" s="1073"/>
      <c r="U163" s="1073"/>
      <c r="V163" s="1071"/>
      <c r="W163" s="1073"/>
      <c r="X163" s="1073"/>
      <c r="Y163" s="1073"/>
    </row>
    <row r="164">
      <c r="A164" s="1074" t="s">
        <v>7431</v>
      </c>
      <c r="B164" s="1074" t="s">
        <v>1106</v>
      </c>
      <c r="C164" s="1075" t="s">
        <v>1091</v>
      </c>
      <c r="D164" s="1063">
        <f t="shared" si="5"/>
        <v>3</v>
      </c>
      <c r="E164" s="1086"/>
      <c r="F164" s="1078">
        <v>2.0</v>
      </c>
      <c r="G164" s="1079"/>
      <c r="H164" s="1078">
        <v>1.0</v>
      </c>
      <c r="I164" s="1078"/>
      <c r="J164" s="1078"/>
      <c r="K164" s="1077"/>
      <c r="L164" s="1078"/>
      <c r="M164" s="1077"/>
      <c r="N164" s="1078"/>
      <c r="O164" s="1079"/>
      <c r="P164" s="1077"/>
      <c r="Q164" s="1077"/>
      <c r="R164" s="1077"/>
      <c r="S164" s="1077"/>
      <c r="T164" s="1077"/>
      <c r="U164" s="1077"/>
      <c r="V164" s="1077"/>
      <c r="W164" s="1077"/>
      <c r="X164" s="1077"/>
      <c r="Y164" s="1077"/>
    </row>
    <row r="165">
      <c r="A165" s="1068" t="s">
        <v>7433</v>
      </c>
      <c r="B165" s="1068" t="s">
        <v>1124</v>
      </c>
      <c r="C165" s="1069" t="s">
        <v>1091</v>
      </c>
      <c r="D165" s="1063">
        <f t="shared" si="5"/>
        <v>3</v>
      </c>
      <c r="E165" s="1070">
        <v>1.0</v>
      </c>
      <c r="F165" s="1071"/>
      <c r="G165" s="1073"/>
      <c r="H165" s="1071">
        <v>1.0</v>
      </c>
      <c r="I165" s="1071"/>
      <c r="J165" s="1072"/>
      <c r="K165" s="1073"/>
      <c r="L165" s="1072"/>
      <c r="M165" s="1073"/>
      <c r="N165" s="1073"/>
      <c r="O165" s="1073"/>
      <c r="P165" s="1071">
        <v>1.0</v>
      </c>
      <c r="Q165" s="1072"/>
      <c r="R165" s="1072"/>
      <c r="S165" s="1073"/>
      <c r="T165" s="1073"/>
      <c r="U165" s="1072"/>
      <c r="V165" s="1073"/>
      <c r="W165" s="1073"/>
      <c r="X165" s="1073"/>
      <c r="Y165" s="1073"/>
    </row>
    <row r="166">
      <c r="A166" s="1074" t="s">
        <v>7060</v>
      </c>
      <c r="B166" s="1074" t="s">
        <v>1155</v>
      </c>
      <c r="C166" s="1085" t="s">
        <v>1157</v>
      </c>
      <c r="D166" s="1063">
        <f t="shared" si="5"/>
        <v>3</v>
      </c>
      <c r="E166" s="1080">
        <v>1.0</v>
      </c>
      <c r="F166" s="1078">
        <v>1.0</v>
      </c>
      <c r="G166" s="1077"/>
      <c r="H166" s="1077"/>
      <c r="I166" s="1079"/>
      <c r="J166" s="1078">
        <v>1.0</v>
      </c>
      <c r="K166" s="1079"/>
      <c r="L166" s="1079"/>
      <c r="M166" s="1077"/>
      <c r="N166" s="1079"/>
      <c r="O166" s="1077"/>
      <c r="P166" s="1079"/>
      <c r="Q166" s="1077"/>
      <c r="R166" s="1077"/>
      <c r="S166" s="1077"/>
      <c r="T166" s="1079"/>
      <c r="U166" s="1077"/>
      <c r="V166" s="1077"/>
      <c r="W166" s="1077"/>
      <c r="X166" s="1077"/>
      <c r="Y166" s="1077"/>
    </row>
    <row r="167">
      <c r="A167" s="1068" t="s">
        <v>7289</v>
      </c>
      <c r="B167" s="1068" t="s">
        <v>1179</v>
      </c>
      <c r="C167" s="1069" t="s">
        <v>1157</v>
      </c>
      <c r="D167" s="1063">
        <f t="shared" si="5"/>
        <v>3</v>
      </c>
      <c r="E167" s="1082"/>
      <c r="F167" s="1073"/>
      <c r="G167" s="1073"/>
      <c r="H167" s="1071">
        <v>2.0</v>
      </c>
      <c r="I167" s="1073"/>
      <c r="J167" s="1072"/>
      <c r="K167" s="1072"/>
      <c r="L167" s="1073"/>
      <c r="M167" s="1073"/>
      <c r="N167" s="1071">
        <v>1.0</v>
      </c>
      <c r="O167" s="1071"/>
      <c r="P167" s="1073"/>
      <c r="Q167" s="1072"/>
      <c r="R167" s="1072"/>
      <c r="S167" s="1073"/>
      <c r="T167" s="1072"/>
      <c r="U167" s="1072"/>
      <c r="V167" s="1073"/>
      <c r="W167" s="1073"/>
      <c r="X167" s="1073"/>
      <c r="Y167" s="1073"/>
    </row>
    <row r="168">
      <c r="A168" s="1074" t="s">
        <v>7375</v>
      </c>
      <c r="B168" s="1074" t="s">
        <v>7376</v>
      </c>
      <c r="C168" s="1075" t="s">
        <v>1157</v>
      </c>
      <c r="D168" s="1063">
        <f t="shared" si="5"/>
        <v>3</v>
      </c>
      <c r="E168" s="1080">
        <v>1.0</v>
      </c>
      <c r="F168" s="1077"/>
      <c r="G168" s="1078"/>
      <c r="H168" s="1079"/>
      <c r="I168" s="1078">
        <v>1.0</v>
      </c>
      <c r="J168" s="1078">
        <v>1.0</v>
      </c>
      <c r="K168" s="1079"/>
      <c r="L168" s="1079"/>
      <c r="M168" s="1077"/>
      <c r="N168" s="1077"/>
      <c r="O168" s="1077"/>
      <c r="P168" s="1079"/>
      <c r="Q168" s="1079"/>
      <c r="R168" s="1078"/>
      <c r="S168" s="1077"/>
      <c r="T168" s="1077"/>
      <c r="U168" s="1077"/>
      <c r="V168" s="1077"/>
      <c r="W168" s="1077"/>
      <c r="X168" s="1077"/>
      <c r="Y168" s="1077"/>
    </row>
    <row r="169">
      <c r="A169" s="1068" t="s">
        <v>7436</v>
      </c>
      <c r="B169" s="1068" t="s">
        <v>438</v>
      </c>
      <c r="C169" s="1069" t="s">
        <v>1157</v>
      </c>
      <c r="D169" s="1063">
        <f t="shared" si="5"/>
        <v>3</v>
      </c>
      <c r="E169" s="1070"/>
      <c r="F169" s="1071">
        <v>1.0</v>
      </c>
      <c r="G169" s="1071">
        <v>1.0</v>
      </c>
      <c r="H169" s="1071"/>
      <c r="I169" s="1072"/>
      <c r="J169" s="1072"/>
      <c r="K169" s="1072"/>
      <c r="L169" s="1071">
        <v>1.0</v>
      </c>
      <c r="M169" s="1072"/>
      <c r="N169" s="1071"/>
      <c r="O169" s="1072"/>
      <c r="P169" s="1073"/>
      <c r="Q169" s="1073"/>
      <c r="R169" s="1073"/>
      <c r="S169" s="1073"/>
      <c r="T169" s="1073"/>
      <c r="U169" s="1073"/>
      <c r="V169" s="1073"/>
      <c r="W169" s="1072"/>
      <c r="X169" s="1072"/>
      <c r="Y169" s="1072"/>
    </row>
    <row r="170">
      <c r="A170" s="1074" t="s">
        <v>7438</v>
      </c>
      <c r="B170" s="1074" t="s">
        <v>1245</v>
      </c>
      <c r="C170" s="1075" t="s">
        <v>1247</v>
      </c>
      <c r="D170" s="1063">
        <f t="shared" si="5"/>
        <v>3</v>
      </c>
      <c r="E170" s="1076"/>
      <c r="F170" s="1077"/>
      <c r="G170" s="1078">
        <v>1.0</v>
      </c>
      <c r="H170" s="1078">
        <v>1.0</v>
      </c>
      <c r="I170" s="1079"/>
      <c r="J170" s="1079"/>
      <c r="K170" s="1079"/>
      <c r="L170" s="1079"/>
      <c r="M170" s="1079"/>
      <c r="N170" s="1079"/>
      <c r="O170" s="1079"/>
      <c r="P170" s="1079"/>
      <c r="Q170" s="1078">
        <v>1.0</v>
      </c>
      <c r="R170" s="1077"/>
      <c r="S170" s="1077"/>
      <c r="T170" s="1077"/>
      <c r="U170" s="1077"/>
      <c r="V170" s="1077"/>
      <c r="W170" s="1077"/>
      <c r="X170" s="1077"/>
      <c r="Y170" s="1077"/>
    </row>
    <row r="171">
      <c r="A171" s="1068" t="s">
        <v>7262</v>
      </c>
      <c r="B171" s="1068" t="s">
        <v>1478</v>
      </c>
      <c r="C171" s="1069" t="s">
        <v>1278</v>
      </c>
      <c r="D171" s="1063">
        <f t="shared" si="5"/>
        <v>3</v>
      </c>
      <c r="E171" s="1082"/>
      <c r="F171" s="1071">
        <v>1.0</v>
      </c>
      <c r="G171" s="1073"/>
      <c r="H171" s="1072"/>
      <c r="I171" s="1072"/>
      <c r="J171" s="1072"/>
      <c r="K171" s="1072"/>
      <c r="L171" s="1072"/>
      <c r="M171" s="1071">
        <v>1.0</v>
      </c>
      <c r="N171" s="1072"/>
      <c r="O171" s="1072"/>
      <c r="P171" s="1071">
        <v>1.0</v>
      </c>
      <c r="Q171" s="1072"/>
      <c r="R171" s="1072"/>
      <c r="S171" s="1073"/>
      <c r="T171" s="1073"/>
      <c r="U171" s="1073"/>
      <c r="V171" s="1073"/>
      <c r="W171" s="1072"/>
      <c r="X171" s="1071"/>
      <c r="Y171" s="1073"/>
    </row>
    <row r="172">
      <c r="A172" s="1074" t="s">
        <v>7439</v>
      </c>
      <c r="B172" s="1074" t="s">
        <v>1291</v>
      </c>
      <c r="C172" s="1075" t="s">
        <v>1278</v>
      </c>
      <c r="D172" s="1063">
        <f t="shared" si="5"/>
        <v>3</v>
      </c>
      <c r="E172" s="1076"/>
      <c r="F172" s="1078">
        <v>1.0</v>
      </c>
      <c r="G172" s="1079"/>
      <c r="H172" s="1078">
        <v>1.0</v>
      </c>
      <c r="I172" s="1078"/>
      <c r="J172" s="1078"/>
      <c r="K172" s="1079"/>
      <c r="L172" s="1078">
        <v>1.0</v>
      </c>
      <c r="M172" s="1079"/>
      <c r="N172" s="1077"/>
      <c r="O172" s="1078"/>
      <c r="P172" s="1079"/>
      <c r="Q172" s="1079"/>
      <c r="R172" s="1079"/>
      <c r="S172" s="1079"/>
      <c r="T172" s="1077"/>
      <c r="U172" s="1077"/>
      <c r="V172" s="1079"/>
      <c r="W172" s="1077"/>
      <c r="X172" s="1077"/>
      <c r="Y172" s="1077"/>
    </row>
    <row r="173">
      <c r="A173" s="1068" t="s">
        <v>7440</v>
      </c>
      <c r="B173" s="1068" t="s">
        <v>1291</v>
      </c>
      <c r="C173" s="1069" t="s">
        <v>1278</v>
      </c>
      <c r="D173" s="1063">
        <f t="shared" si="5"/>
        <v>3</v>
      </c>
      <c r="E173" s="1070">
        <v>1.0</v>
      </c>
      <c r="F173" s="1073"/>
      <c r="G173" s="1073"/>
      <c r="H173" s="1072"/>
      <c r="I173" s="1071">
        <v>1.0</v>
      </c>
      <c r="J173" s="1071"/>
      <c r="K173" s="1073"/>
      <c r="L173" s="1071"/>
      <c r="M173" s="1071"/>
      <c r="N173" s="1071"/>
      <c r="O173" s="1073"/>
      <c r="P173" s="1073"/>
      <c r="Q173" s="1073"/>
      <c r="R173" s="1073"/>
      <c r="S173" s="1072"/>
      <c r="T173" s="1072"/>
      <c r="U173" s="1073"/>
      <c r="V173" s="1073"/>
      <c r="W173" s="1073"/>
      <c r="X173" s="1072"/>
      <c r="Y173" s="1071">
        <v>1.0</v>
      </c>
    </row>
    <row r="174">
      <c r="A174" s="1074" t="s">
        <v>7441</v>
      </c>
      <c r="B174" s="1074" t="s">
        <v>1458</v>
      </c>
      <c r="C174" s="1075" t="s">
        <v>1278</v>
      </c>
      <c r="D174" s="1063">
        <f t="shared" si="5"/>
        <v>3</v>
      </c>
      <c r="E174" s="1080">
        <v>1.0</v>
      </c>
      <c r="F174" s="1078"/>
      <c r="G174" s="1078">
        <v>1.0</v>
      </c>
      <c r="H174" s="1079"/>
      <c r="I174" s="1079"/>
      <c r="J174" s="1078">
        <v>1.0</v>
      </c>
      <c r="K174" s="1079"/>
      <c r="L174" s="1079"/>
      <c r="M174" s="1078"/>
      <c r="N174" s="1079"/>
      <c r="O174" s="1078"/>
      <c r="P174" s="1079"/>
      <c r="Q174" s="1079"/>
      <c r="R174" s="1079"/>
      <c r="S174" s="1079"/>
      <c r="T174" s="1079"/>
      <c r="U174" s="1079"/>
      <c r="V174" s="1077"/>
      <c r="W174" s="1077"/>
      <c r="X174" s="1077"/>
      <c r="Y174" s="1077"/>
    </row>
    <row r="175">
      <c r="A175" s="1068" t="s">
        <v>7442</v>
      </c>
      <c r="B175" s="1068" t="s">
        <v>1465</v>
      </c>
      <c r="C175" s="1069" t="s">
        <v>1278</v>
      </c>
      <c r="D175" s="1063">
        <f t="shared" si="5"/>
        <v>3</v>
      </c>
      <c r="E175" s="1082"/>
      <c r="F175" s="1071">
        <v>2.0</v>
      </c>
      <c r="G175" s="1071"/>
      <c r="H175" s="1072"/>
      <c r="I175" s="1071"/>
      <c r="J175" s="1071">
        <v>1.0</v>
      </c>
      <c r="K175" s="1072"/>
      <c r="L175" s="1072"/>
      <c r="M175" s="1072"/>
      <c r="N175" s="1071"/>
      <c r="O175" s="1072"/>
      <c r="P175" s="1073"/>
      <c r="Q175" s="1072"/>
      <c r="R175" s="1073"/>
      <c r="S175" s="1073"/>
      <c r="T175" s="1073"/>
      <c r="U175" s="1072"/>
      <c r="V175" s="1073"/>
      <c r="W175" s="1073"/>
      <c r="X175" s="1073"/>
      <c r="Y175" s="1073"/>
    </row>
    <row r="176">
      <c r="A176" s="1074" t="s">
        <v>7444</v>
      </c>
      <c r="B176" s="1074" t="s">
        <v>1327</v>
      </c>
      <c r="C176" s="1075" t="s">
        <v>1278</v>
      </c>
      <c r="D176" s="1063">
        <f t="shared" si="5"/>
        <v>3</v>
      </c>
      <c r="E176" s="1086"/>
      <c r="F176" s="1078">
        <v>1.0</v>
      </c>
      <c r="G176" s="1077"/>
      <c r="H176" s="1079"/>
      <c r="I176" s="1078"/>
      <c r="J176" s="1079"/>
      <c r="K176" s="1079"/>
      <c r="L176" s="1078">
        <v>1.0</v>
      </c>
      <c r="M176" s="1078">
        <v>1.0</v>
      </c>
      <c r="N176" s="1079"/>
      <c r="O176" s="1077"/>
      <c r="P176" s="1077"/>
      <c r="Q176" s="1079"/>
      <c r="R176" s="1079"/>
      <c r="S176" s="1077"/>
      <c r="T176" s="1079"/>
      <c r="U176" s="1079"/>
      <c r="V176" s="1079"/>
      <c r="W176" s="1077"/>
      <c r="X176" s="1079"/>
      <c r="Y176" s="1079"/>
    </row>
    <row r="177">
      <c r="A177" s="1068" t="s">
        <v>7447</v>
      </c>
      <c r="B177" s="1068" t="s">
        <v>1324</v>
      </c>
      <c r="C177" s="1069" t="s">
        <v>1278</v>
      </c>
      <c r="D177" s="1063">
        <f t="shared" si="5"/>
        <v>3</v>
      </c>
      <c r="E177" s="1070"/>
      <c r="F177" s="1073"/>
      <c r="G177" s="1071">
        <v>2.0</v>
      </c>
      <c r="H177" s="1072"/>
      <c r="I177" s="1071"/>
      <c r="J177" s="1071"/>
      <c r="K177" s="1072"/>
      <c r="L177" s="1071">
        <v>1.0</v>
      </c>
      <c r="M177" s="1072"/>
      <c r="N177" s="1072"/>
      <c r="O177" s="1072"/>
      <c r="P177" s="1072"/>
      <c r="Q177" s="1072"/>
      <c r="R177" s="1073"/>
      <c r="S177" s="1073"/>
      <c r="T177" s="1072"/>
      <c r="U177" s="1072"/>
      <c r="V177" s="1073"/>
      <c r="W177" s="1073"/>
      <c r="X177" s="1073"/>
      <c r="Y177" s="1073"/>
    </row>
    <row r="178">
      <c r="A178" s="1074" t="s">
        <v>7081</v>
      </c>
      <c r="B178" s="1074" t="s">
        <v>1487</v>
      </c>
      <c r="C178" s="1075" t="s">
        <v>1483</v>
      </c>
      <c r="D178" s="1063">
        <f t="shared" si="5"/>
        <v>3</v>
      </c>
      <c r="E178" s="1076"/>
      <c r="F178" s="1078">
        <v>2.0</v>
      </c>
      <c r="G178" s="1078">
        <v>1.0</v>
      </c>
      <c r="H178" s="1078"/>
      <c r="I178" s="1077"/>
      <c r="J178" s="1079"/>
      <c r="K178" s="1077"/>
      <c r="L178" s="1078"/>
      <c r="M178" s="1079"/>
      <c r="N178" s="1078"/>
      <c r="O178" s="1078"/>
      <c r="P178" s="1078"/>
      <c r="Q178" s="1079"/>
      <c r="R178" s="1079"/>
      <c r="S178" s="1077"/>
      <c r="T178" s="1079"/>
      <c r="U178" s="1079"/>
      <c r="V178" s="1079"/>
      <c r="W178" s="1078"/>
      <c r="X178" s="1079"/>
      <c r="Y178" s="1079"/>
    </row>
    <row r="179">
      <c r="A179" s="1068" t="s">
        <v>7448</v>
      </c>
      <c r="B179" s="1068" t="s">
        <v>1500</v>
      </c>
      <c r="C179" s="1069" t="s">
        <v>1483</v>
      </c>
      <c r="D179" s="1063">
        <f t="shared" si="5"/>
        <v>3</v>
      </c>
      <c r="E179" s="1070">
        <v>1.0</v>
      </c>
      <c r="F179" s="1071"/>
      <c r="G179" s="1071">
        <v>1.0</v>
      </c>
      <c r="H179" s="1071">
        <v>1.0</v>
      </c>
      <c r="I179" s="1073"/>
      <c r="J179" s="1072"/>
      <c r="K179" s="1071"/>
      <c r="L179" s="1073"/>
      <c r="M179" s="1073"/>
      <c r="N179" s="1071"/>
      <c r="O179" s="1073"/>
      <c r="P179" s="1072"/>
      <c r="Q179" s="1073"/>
      <c r="R179" s="1071"/>
      <c r="S179" s="1073"/>
      <c r="T179" s="1073"/>
      <c r="U179" s="1073"/>
      <c r="V179" s="1073"/>
      <c r="W179" s="1072"/>
      <c r="X179" s="1073"/>
      <c r="Y179" s="1073"/>
    </row>
    <row r="180">
      <c r="A180" s="1074" t="s">
        <v>7055</v>
      </c>
      <c r="B180" s="1074" t="s">
        <v>1679</v>
      </c>
      <c r="C180" s="1075" t="s">
        <v>1646</v>
      </c>
      <c r="D180" s="1063">
        <f t="shared" si="5"/>
        <v>3</v>
      </c>
      <c r="E180" s="1080"/>
      <c r="F180" s="1079"/>
      <c r="G180" s="1078"/>
      <c r="H180" s="1078"/>
      <c r="I180" s="1078">
        <v>1.0</v>
      </c>
      <c r="J180" s="1078">
        <v>1.0</v>
      </c>
      <c r="K180" s="1079"/>
      <c r="L180" s="1079"/>
      <c r="M180" s="1079"/>
      <c r="N180" s="1077"/>
      <c r="O180" s="1079"/>
      <c r="P180" s="1079"/>
      <c r="Q180" s="1077"/>
      <c r="R180" s="1077"/>
      <c r="S180" s="1078"/>
      <c r="T180" s="1079"/>
      <c r="U180" s="1077"/>
      <c r="V180" s="1077"/>
      <c r="W180" s="1079"/>
      <c r="X180" s="1077"/>
      <c r="Y180" s="1078">
        <v>1.0</v>
      </c>
    </row>
    <row r="181">
      <c r="A181" s="1068" t="s">
        <v>7056</v>
      </c>
      <c r="B181" s="1068" t="s">
        <v>1700</v>
      </c>
      <c r="C181" s="1069" t="s">
        <v>1646</v>
      </c>
      <c r="D181" s="1063">
        <f t="shared" si="5"/>
        <v>3</v>
      </c>
      <c r="E181" s="1070"/>
      <c r="F181" s="1072"/>
      <c r="G181" s="1072"/>
      <c r="H181" s="1071"/>
      <c r="I181" s="1071">
        <v>2.0</v>
      </c>
      <c r="J181" s="1073"/>
      <c r="K181" s="1072"/>
      <c r="L181" s="1073"/>
      <c r="M181" s="1073"/>
      <c r="N181" s="1071"/>
      <c r="O181" s="1073"/>
      <c r="P181" s="1071">
        <v>1.0</v>
      </c>
      <c r="Q181" s="1072"/>
      <c r="R181" s="1073"/>
      <c r="S181" s="1072"/>
      <c r="T181" s="1073"/>
      <c r="U181" s="1073"/>
      <c r="V181" s="1072"/>
      <c r="W181" s="1073"/>
      <c r="X181" s="1073"/>
      <c r="Y181" s="1073"/>
    </row>
    <row r="182">
      <c r="A182" s="1074" t="s">
        <v>7450</v>
      </c>
      <c r="B182" s="1074" t="s">
        <v>1679</v>
      </c>
      <c r="C182" s="1075" t="s">
        <v>1646</v>
      </c>
      <c r="D182" s="1063">
        <f t="shared" si="5"/>
        <v>3</v>
      </c>
      <c r="E182" s="1080">
        <v>2.0</v>
      </c>
      <c r="F182" s="1078">
        <v>1.0</v>
      </c>
      <c r="G182" s="1077"/>
      <c r="H182" s="1079"/>
      <c r="I182" s="1079"/>
      <c r="J182" s="1079"/>
      <c r="K182" s="1079"/>
      <c r="L182" s="1079"/>
      <c r="M182" s="1079"/>
      <c r="N182" s="1077"/>
      <c r="O182" s="1079"/>
      <c r="P182" s="1079"/>
      <c r="Q182" s="1079"/>
      <c r="R182" s="1079"/>
      <c r="S182" s="1079"/>
      <c r="T182" s="1077"/>
      <c r="U182" s="1077"/>
      <c r="V182" s="1077"/>
      <c r="W182" s="1077"/>
      <c r="X182" s="1077"/>
      <c r="Y182" s="1077"/>
    </row>
    <row r="183">
      <c r="A183" s="1068" t="s">
        <v>7451</v>
      </c>
      <c r="B183" s="1068" t="s">
        <v>1700</v>
      </c>
      <c r="C183" s="1069" t="s">
        <v>1646</v>
      </c>
      <c r="D183" s="1098">
        <v>3.0</v>
      </c>
      <c r="E183" s="1070">
        <v>1.0</v>
      </c>
      <c r="F183" s="1071"/>
      <c r="G183" s="1071">
        <v>1.0</v>
      </c>
      <c r="H183" s="1071">
        <v>1.0</v>
      </c>
      <c r="I183" s="1072"/>
      <c r="J183" s="1072"/>
      <c r="K183" s="1073"/>
      <c r="L183" s="1072"/>
      <c r="M183" s="1072"/>
      <c r="N183" s="1072"/>
      <c r="O183" s="1072"/>
      <c r="P183" s="1072"/>
      <c r="Q183" s="1072"/>
      <c r="R183" s="1072"/>
      <c r="S183" s="1073"/>
      <c r="T183" s="1072"/>
      <c r="U183" s="1073"/>
      <c r="V183" s="1073"/>
      <c r="W183" s="1073"/>
      <c r="X183" s="1073"/>
      <c r="Y183" s="1073"/>
    </row>
    <row r="184">
      <c r="A184" s="1074" t="s">
        <v>7453</v>
      </c>
      <c r="B184" s="1074" t="s">
        <v>1920</v>
      </c>
      <c r="C184" s="1075" t="s">
        <v>1646</v>
      </c>
      <c r="D184" s="1063">
        <f t="shared" ref="D184:D278" si="6">SUM(E184:Y184)</f>
        <v>3</v>
      </c>
      <c r="E184" s="1076"/>
      <c r="F184" s="1078">
        <v>1.0</v>
      </c>
      <c r="G184" s="1079"/>
      <c r="H184" s="1078">
        <v>1.0</v>
      </c>
      <c r="I184" s="1079"/>
      <c r="J184" s="1078">
        <v>1.0</v>
      </c>
      <c r="K184" s="1079"/>
      <c r="L184" s="1079"/>
      <c r="M184" s="1077"/>
      <c r="N184" s="1077"/>
      <c r="O184" s="1077"/>
      <c r="P184" s="1079"/>
      <c r="Q184" s="1077"/>
      <c r="R184" s="1077"/>
      <c r="S184" s="1077"/>
      <c r="T184" s="1077"/>
      <c r="U184" s="1077"/>
      <c r="V184" s="1077"/>
      <c r="W184" s="1077"/>
      <c r="X184" s="1077"/>
      <c r="Y184" s="1077"/>
    </row>
    <row r="185">
      <c r="A185" s="1068" t="s">
        <v>7455</v>
      </c>
      <c r="B185" s="1068" t="s">
        <v>1990</v>
      </c>
      <c r="C185" s="1069" t="s">
        <v>1991</v>
      </c>
      <c r="D185" s="1063">
        <f t="shared" si="6"/>
        <v>3</v>
      </c>
      <c r="E185" s="1084"/>
      <c r="F185" s="1071">
        <v>1.0</v>
      </c>
      <c r="G185" s="1073"/>
      <c r="H185" s="1072"/>
      <c r="I185" s="1072"/>
      <c r="J185" s="1072"/>
      <c r="K185" s="1071"/>
      <c r="L185" s="1072"/>
      <c r="M185" s="1071"/>
      <c r="N185" s="1071"/>
      <c r="O185" s="1071">
        <v>1.0</v>
      </c>
      <c r="P185" s="1073"/>
      <c r="Q185" s="1073"/>
      <c r="R185" s="1073"/>
      <c r="S185" s="1072"/>
      <c r="T185" s="1072"/>
      <c r="U185" s="1071">
        <v>1.0</v>
      </c>
      <c r="V185" s="1073"/>
      <c r="W185" s="1072"/>
      <c r="X185" s="1072"/>
      <c r="Y185" s="1072"/>
    </row>
    <row r="186">
      <c r="A186" s="1074" t="s">
        <v>1996</v>
      </c>
      <c r="B186" s="1074" t="s">
        <v>1998</v>
      </c>
      <c r="C186" s="1075" t="s">
        <v>1999</v>
      </c>
      <c r="D186" s="1063">
        <f t="shared" si="6"/>
        <v>3</v>
      </c>
      <c r="E186" s="1076"/>
      <c r="F186" s="1079"/>
      <c r="G186" s="1079"/>
      <c r="H186" s="1078"/>
      <c r="I186" s="1077"/>
      <c r="J186" s="1077"/>
      <c r="K186" s="1078"/>
      <c r="L186" s="1079"/>
      <c r="M186" s="1077"/>
      <c r="N186" s="1077"/>
      <c r="O186" s="1078"/>
      <c r="P186" s="1078"/>
      <c r="Q186" s="1077"/>
      <c r="R186" s="1078"/>
      <c r="S186" s="1077"/>
      <c r="T186" s="1078"/>
      <c r="U186" s="1077"/>
      <c r="V186" s="1077"/>
      <c r="W186" s="1077"/>
      <c r="X186" s="1077"/>
      <c r="Y186" s="1078">
        <v>3.0</v>
      </c>
    </row>
    <row r="187">
      <c r="A187" s="1068" t="s">
        <v>7242</v>
      </c>
      <c r="B187" s="1068" t="s">
        <v>2004</v>
      </c>
      <c r="C187" s="1069" t="s">
        <v>1999</v>
      </c>
      <c r="D187" s="1063">
        <f t="shared" si="6"/>
        <v>3</v>
      </c>
      <c r="E187" s="1070"/>
      <c r="F187" s="1071">
        <v>2.0</v>
      </c>
      <c r="G187" s="1071"/>
      <c r="H187" s="1071">
        <v>1.0</v>
      </c>
      <c r="I187" s="1071"/>
      <c r="J187" s="1071"/>
      <c r="K187" s="1072"/>
      <c r="L187" s="1071"/>
      <c r="M187" s="1072"/>
      <c r="N187" s="1073"/>
      <c r="O187" s="1072"/>
      <c r="P187" s="1073"/>
      <c r="Q187" s="1073"/>
      <c r="R187" s="1073"/>
      <c r="S187" s="1073"/>
      <c r="T187" s="1073"/>
      <c r="U187" s="1073"/>
      <c r="V187" s="1073"/>
      <c r="W187" s="1073"/>
      <c r="X187" s="1073"/>
      <c r="Y187" s="1073"/>
    </row>
    <row r="188">
      <c r="A188" s="1074" t="s">
        <v>7456</v>
      </c>
      <c r="B188" s="1074" t="s">
        <v>2033</v>
      </c>
      <c r="C188" s="1075" t="s">
        <v>1999</v>
      </c>
      <c r="D188" s="1063">
        <f t="shared" si="6"/>
        <v>3</v>
      </c>
      <c r="E188" s="1086"/>
      <c r="F188" s="1079"/>
      <c r="G188" s="1079"/>
      <c r="H188" s="1078"/>
      <c r="I188" s="1078">
        <v>1.0</v>
      </c>
      <c r="J188" s="1078">
        <v>1.0</v>
      </c>
      <c r="K188" s="1078"/>
      <c r="L188" s="1078"/>
      <c r="M188" s="1077"/>
      <c r="N188" s="1077"/>
      <c r="O188" s="1079"/>
      <c r="P188" s="1079"/>
      <c r="Q188" s="1079"/>
      <c r="R188" s="1078">
        <v>1.0</v>
      </c>
      <c r="S188" s="1077"/>
      <c r="T188" s="1077"/>
      <c r="U188" s="1077"/>
      <c r="V188" s="1079"/>
      <c r="W188" s="1079"/>
      <c r="X188" s="1077"/>
      <c r="Y188" s="1077"/>
    </row>
    <row r="189">
      <c r="A189" s="1068" t="s">
        <v>7063</v>
      </c>
      <c r="B189" s="1068" t="s">
        <v>2114</v>
      </c>
      <c r="C189" s="1069" t="s">
        <v>2045</v>
      </c>
      <c r="D189" s="1063">
        <f t="shared" si="6"/>
        <v>3</v>
      </c>
      <c r="E189" s="1082"/>
      <c r="F189" s="1071">
        <v>2.0</v>
      </c>
      <c r="G189" s="1073"/>
      <c r="H189" s="1073"/>
      <c r="I189" s="1073"/>
      <c r="J189" s="1072"/>
      <c r="K189" s="1073"/>
      <c r="L189" s="1072"/>
      <c r="M189" s="1073"/>
      <c r="N189" s="1073"/>
      <c r="O189" s="1073"/>
      <c r="P189" s="1073"/>
      <c r="Q189" s="1071">
        <v>1.0</v>
      </c>
      <c r="R189" s="1072"/>
      <c r="S189" s="1073"/>
      <c r="T189" s="1072"/>
      <c r="U189" s="1073"/>
      <c r="V189" s="1073"/>
      <c r="W189" s="1073"/>
      <c r="X189" s="1073"/>
      <c r="Y189" s="1073"/>
    </row>
    <row r="190">
      <c r="A190" s="1074" t="s">
        <v>7457</v>
      </c>
      <c r="B190" s="1074" t="s">
        <v>2335</v>
      </c>
      <c r="C190" s="1075" t="s">
        <v>2329</v>
      </c>
      <c r="D190" s="1063">
        <f t="shared" si="6"/>
        <v>3</v>
      </c>
      <c r="E190" s="1080"/>
      <c r="F190" s="1079"/>
      <c r="G190" s="1078"/>
      <c r="H190" s="1078">
        <v>1.0</v>
      </c>
      <c r="I190" s="1078">
        <v>1.0</v>
      </c>
      <c r="J190" s="1078"/>
      <c r="K190" s="1079"/>
      <c r="L190" s="1079"/>
      <c r="M190" s="1079"/>
      <c r="N190" s="1079"/>
      <c r="O190" s="1078"/>
      <c r="P190" s="1079"/>
      <c r="Q190" s="1079"/>
      <c r="R190" s="1078">
        <v>1.0</v>
      </c>
      <c r="S190" s="1079"/>
      <c r="T190" s="1079"/>
      <c r="U190" s="1079"/>
      <c r="V190" s="1079"/>
      <c r="W190" s="1079"/>
      <c r="X190" s="1079"/>
      <c r="Y190" s="1079"/>
    </row>
    <row r="191">
      <c r="A191" s="1068" t="s">
        <v>64</v>
      </c>
      <c r="B191" s="1068" t="s">
        <v>7050</v>
      </c>
      <c r="C191" s="1069" t="s">
        <v>57</v>
      </c>
      <c r="D191" s="1063">
        <f t="shared" si="6"/>
        <v>2</v>
      </c>
      <c r="E191" s="1084"/>
      <c r="F191" s="1073"/>
      <c r="G191" s="1072"/>
      <c r="H191" s="1071"/>
      <c r="I191" s="1072"/>
      <c r="J191" s="1071">
        <v>1.0</v>
      </c>
      <c r="K191" s="1073"/>
      <c r="L191" s="1073"/>
      <c r="M191" s="1073"/>
      <c r="N191" s="1072"/>
      <c r="O191" s="1072"/>
      <c r="P191" s="1072"/>
      <c r="Q191" s="1072"/>
      <c r="R191" s="1073"/>
      <c r="S191" s="1071">
        <v>1.0</v>
      </c>
      <c r="T191" s="1073"/>
      <c r="U191" s="1072"/>
      <c r="V191" s="1073"/>
      <c r="W191" s="1073"/>
      <c r="X191" s="1073"/>
      <c r="Y191" s="1073"/>
    </row>
    <row r="192">
      <c r="A192" s="1128" t="s">
        <v>7418</v>
      </c>
      <c r="B192" s="1074" t="s">
        <v>77</v>
      </c>
      <c r="C192" s="1075" t="s">
        <v>57</v>
      </c>
      <c r="D192" s="1063">
        <f t="shared" si="6"/>
        <v>2</v>
      </c>
      <c r="E192" s="1080"/>
      <c r="F192" s="1078"/>
      <c r="G192" s="1078">
        <v>1.0</v>
      </c>
      <c r="H192" s="1078">
        <v>1.0</v>
      </c>
      <c r="I192" s="1079"/>
      <c r="J192" s="1079"/>
      <c r="K192" s="1079"/>
      <c r="L192" s="1079"/>
      <c r="M192" s="1077"/>
      <c r="N192" s="1079"/>
      <c r="O192" s="1077"/>
      <c r="P192" s="1079"/>
      <c r="Q192" s="1077"/>
      <c r="R192" s="1077"/>
      <c r="S192" s="1077"/>
      <c r="T192" s="1077"/>
      <c r="U192" s="1079"/>
      <c r="V192" s="1077"/>
      <c r="W192" s="1077"/>
      <c r="X192" s="1077"/>
      <c r="Y192" s="1078"/>
    </row>
    <row r="193">
      <c r="A193" s="1068" t="s">
        <v>7458</v>
      </c>
      <c r="B193" s="1068" t="s">
        <v>61</v>
      </c>
      <c r="C193" s="1069" t="s">
        <v>57</v>
      </c>
      <c r="D193" s="1063">
        <f t="shared" si="6"/>
        <v>2</v>
      </c>
      <c r="E193" s="1084"/>
      <c r="F193" s="1071"/>
      <c r="G193" s="1071">
        <v>1.0</v>
      </c>
      <c r="H193" s="1071"/>
      <c r="I193" s="1072"/>
      <c r="J193" s="1071"/>
      <c r="K193" s="1073"/>
      <c r="L193" s="1073"/>
      <c r="M193" s="1072"/>
      <c r="N193" s="1073"/>
      <c r="O193" s="1072"/>
      <c r="P193" s="1071">
        <v>1.0</v>
      </c>
      <c r="Q193" s="1073"/>
      <c r="R193" s="1073"/>
      <c r="S193" s="1073"/>
      <c r="T193" s="1072"/>
      <c r="U193" s="1072"/>
      <c r="V193" s="1073"/>
      <c r="W193" s="1073"/>
      <c r="X193" s="1072"/>
      <c r="Y193" s="1072"/>
    </row>
    <row r="194">
      <c r="A194" s="1074" t="s">
        <v>7138</v>
      </c>
      <c r="B194" s="1074" t="s">
        <v>194</v>
      </c>
      <c r="C194" s="1075" t="s">
        <v>114</v>
      </c>
      <c r="D194" s="1063">
        <f t="shared" si="6"/>
        <v>2</v>
      </c>
      <c r="E194" s="1080"/>
      <c r="F194" s="1078"/>
      <c r="G194" s="1078">
        <v>1.0</v>
      </c>
      <c r="H194" s="1078"/>
      <c r="I194" s="1079"/>
      <c r="J194" s="1079"/>
      <c r="K194" s="1077"/>
      <c r="L194" s="1078">
        <v>1.0</v>
      </c>
      <c r="M194" s="1077"/>
      <c r="N194" s="1077"/>
      <c r="O194" s="1077"/>
      <c r="P194" s="1077"/>
      <c r="Q194" s="1079"/>
      <c r="R194" s="1077"/>
      <c r="S194" s="1077"/>
      <c r="T194" s="1078"/>
      <c r="U194" s="1077"/>
      <c r="V194" s="1077"/>
      <c r="W194" s="1077"/>
      <c r="X194" s="1077"/>
      <c r="Y194" s="1077"/>
    </row>
    <row r="195">
      <c r="A195" s="1068" t="s">
        <v>7324</v>
      </c>
      <c r="B195" s="1068" t="s">
        <v>127</v>
      </c>
      <c r="C195" s="1069" t="s">
        <v>114</v>
      </c>
      <c r="D195" s="1063">
        <f t="shared" si="6"/>
        <v>2</v>
      </c>
      <c r="E195" s="1084"/>
      <c r="F195" s="1072"/>
      <c r="G195" s="1072"/>
      <c r="H195" s="1072"/>
      <c r="I195" s="1072"/>
      <c r="J195" s="1071">
        <v>1.0</v>
      </c>
      <c r="K195" s="1072"/>
      <c r="L195" s="1072"/>
      <c r="M195" s="1071"/>
      <c r="N195" s="1072"/>
      <c r="O195" s="1072"/>
      <c r="P195" s="1073"/>
      <c r="Q195" s="1072"/>
      <c r="R195" s="1073"/>
      <c r="S195" s="1073"/>
      <c r="T195" s="1071">
        <v>1.0</v>
      </c>
      <c r="U195" s="1073"/>
      <c r="V195" s="1073"/>
      <c r="W195" s="1073"/>
      <c r="X195" s="1073"/>
      <c r="Y195" s="1073"/>
    </row>
    <row r="196" ht="20.25" customHeight="1">
      <c r="A196" s="1087" t="s">
        <v>7459</v>
      </c>
      <c r="B196" s="1074" t="s">
        <v>231</v>
      </c>
      <c r="C196" s="1075" t="s">
        <v>114</v>
      </c>
      <c r="D196" s="1063">
        <f t="shared" si="6"/>
        <v>2</v>
      </c>
      <c r="E196" s="1086"/>
      <c r="F196" s="1078">
        <v>1.0</v>
      </c>
      <c r="G196" s="1078"/>
      <c r="H196" s="1079"/>
      <c r="I196" s="1078"/>
      <c r="J196" s="1079"/>
      <c r="K196" s="1078">
        <v>1.0</v>
      </c>
      <c r="L196" s="1078"/>
      <c r="M196" s="1079"/>
      <c r="N196" s="1078"/>
      <c r="O196" s="1077"/>
      <c r="P196" s="1079"/>
      <c r="Q196" s="1077"/>
      <c r="R196" s="1077"/>
      <c r="S196" s="1078"/>
      <c r="T196" s="1078"/>
      <c r="U196" s="1077"/>
      <c r="V196" s="1077"/>
      <c r="W196" s="1077"/>
      <c r="X196" s="1077"/>
      <c r="Y196" s="1077"/>
    </row>
    <row r="197">
      <c r="A197" s="1068" t="s">
        <v>7461</v>
      </c>
      <c r="B197" s="1068" t="s">
        <v>237</v>
      </c>
      <c r="C197" s="1069" t="s">
        <v>114</v>
      </c>
      <c r="D197" s="1063">
        <f t="shared" si="6"/>
        <v>2</v>
      </c>
      <c r="E197" s="1084"/>
      <c r="F197" s="1073"/>
      <c r="G197" s="1118"/>
      <c r="H197" s="565"/>
      <c r="I197" s="1071"/>
      <c r="J197" s="1073"/>
      <c r="K197" s="1073"/>
      <c r="L197" s="1072"/>
      <c r="M197" s="1073"/>
      <c r="N197" s="1072"/>
      <c r="O197" s="1073"/>
      <c r="P197" s="1071">
        <v>1.0</v>
      </c>
      <c r="Q197" s="1071">
        <v>1.0</v>
      </c>
      <c r="R197" s="1072"/>
      <c r="S197" s="1072"/>
      <c r="T197" s="1072"/>
      <c r="U197" s="1073"/>
      <c r="V197" s="1073"/>
      <c r="W197" s="1073"/>
      <c r="X197" s="1073"/>
      <c r="Y197" s="1073"/>
    </row>
    <row r="198">
      <c r="A198" s="1074" t="s">
        <v>7462</v>
      </c>
      <c r="B198" s="1074" t="s">
        <v>374</v>
      </c>
      <c r="C198" s="1075" t="s">
        <v>366</v>
      </c>
      <c r="D198" s="1063">
        <f t="shared" si="6"/>
        <v>2</v>
      </c>
      <c r="E198" s="1076"/>
      <c r="F198" s="1078"/>
      <c r="G198" s="1077"/>
      <c r="H198" s="1079"/>
      <c r="I198" s="1078"/>
      <c r="J198" s="1079"/>
      <c r="K198" s="1079"/>
      <c r="L198" s="1078">
        <v>1.0</v>
      </c>
      <c r="M198" s="1079"/>
      <c r="N198" s="1078">
        <v>1.0</v>
      </c>
      <c r="O198" s="1079"/>
      <c r="P198" s="1077"/>
      <c r="Q198" s="1079"/>
      <c r="R198" s="1079"/>
      <c r="S198" s="1079"/>
      <c r="T198" s="1079"/>
      <c r="U198" s="1077"/>
      <c r="V198" s="1077"/>
      <c r="W198" s="1077"/>
      <c r="X198" s="1077"/>
      <c r="Y198" s="1077"/>
    </row>
    <row r="199">
      <c r="A199" s="1068" t="s">
        <v>409</v>
      </c>
      <c r="B199" s="1068" t="s">
        <v>399</v>
      </c>
      <c r="C199" s="1069" t="s">
        <v>402</v>
      </c>
      <c r="D199" s="1063">
        <f t="shared" si="6"/>
        <v>2</v>
      </c>
      <c r="E199" s="1070"/>
      <c r="F199" s="1071">
        <v>1.0</v>
      </c>
      <c r="G199" s="1071"/>
      <c r="H199" s="1072"/>
      <c r="I199" s="1071">
        <v>1.0</v>
      </c>
      <c r="J199" s="1072"/>
      <c r="K199" s="1071"/>
      <c r="L199" s="1072"/>
      <c r="M199" s="1073"/>
      <c r="N199" s="1072"/>
      <c r="O199" s="1073"/>
      <c r="P199" s="1071"/>
      <c r="Q199" s="1073"/>
      <c r="R199" s="1073"/>
      <c r="S199" s="1073"/>
      <c r="T199" s="1073"/>
      <c r="U199" s="1072"/>
      <c r="V199" s="1073"/>
      <c r="W199" s="1073"/>
      <c r="X199" s="1073"/>
      <c r="Y199" s="1073"/>
    </row>
    <row r="200">
      <c r="A200" s="1074" t="s">
        <v>427</v>
      </c>
      <c r="B200" s="1074" t="s">
        <v>429</v>
      </c>
      <c r="C200" s="1075" t="s">
        <v>431</v>
      </c>
      <c r="D200" s="1063">
        <f t="shared" si="6"/>
        <v>2</v>
      </c>
      <c r="E200" s="1086"/>
      <c r="F200" s="1079"/>
      <c r="G200" s="1079"/>
      <c r="H200" s="1079"/>
      <c r="I200" s="1079"/>
      <c r="J200" s="1078">
        <v>1.0</v>
      </c>
      <c r="K200" s="1079"/>
      <c r="L200" s="1078">
        <v>1.0</v>
      </c>
      <c r="M200" s="1079"/>
      <c r="N200" s="1077"/>
      <c r="O200" s="1079"/>
      <c r="P200" s="1077"/>
      <c r="Q200" s="1077"/>
      <c r="R200" s="1077"/>
      <c r="S200" s="1077"/>
      <c r="T200" s="1077"/>
      <c r="U200" s="1077"/>
      <c r="V200" s="1077"/>
      <c r="W200" s="1077"/>
      <c r="X200" s="1079"/>
      <c r="Y200" s="1079"/>
    </row>
    <row r="201" ht="16.5" customHeight="1">
      <c r="A201" s="1068" t="s">
        <v>459</v>
      </c>
      <c r="B201" s="1068" t="s">
        <v>460</v>
      </c>
      <c r="C201" s="1069" t="s">
        <v>446</v>
      </c>
      <c r="D201" s="1063">
        <f t="shared" si="6"/>
        <v>2</v>
      </c>
      <c r="E201" s="1082"/>
      <c r="F201" s="1072"/>
      <c r="G201" s="1072"/>
      <c r="H201" s="1072"/>
      <c r="I201" s="1071"/>
      <c r="J201" s="1072"/>
      <c r="K201" s="1071"/>
      <c r="L201" s="1072"/>
      <c r="M201" s="1072"/>
      <c r="N201" s="1072"/>
      <c r="O201" s="1073"/>
      <c r="P201" s="1073"/>
      <c r="Q201" s="1071">
        <v>1.0</v>
      </c>
      <c r="R201" s="1073"/>
      <c r="S201" s="1073"/>
      <c r="T201" s="1073"/>
      <c r="U201" s="1073"/>
      <c r="V201" s="1073"/>
      <c r="W201" s="1073"/>
      <c r="X201" s="1073"/>
      <c r="Y201" s="1071">
        <v>1.0</v>
      </c>
    </row>
    <row r="202">
      <c r="A202" s="1074" t="s">
        <v>7267</v>
      </c>
      <c r="B202" s="1074" t="s">
        <v>470</v>
      </c>
      <c r="C202" s="1075" t="s">
        <v>446</v>
      </c>
      <c r="D202" s="1063">
        <f t="shared" si="6"/>
        <v>2</v>
      </c>
      <c r="E202" s="1080"/>
      <c r="F202" s="1078"/>
      <c r="G202" s="1077"/>
      <c r="H202" s="1079"/>
      <c r="I202" s="1079"/>
      <c r="J202" s="1079"/>
      <c r="K202" s="1079"/>
      <c r="L202" s="1079"/>
      <c r="M202" s="1078">
        <v>1.0</v>
      </c>
      <c r="N202" s="1079"/>
      <c r="O202" s="1079"/>
      <c r="P202" s="1079"/>
      <c r="Q202" s="1077"/>
      <c r="R202" s="1077"/>
      <c r="S202" s="1078">
        <v>1.0</v>
      </c>
      <c r="T202" s="1079"/>
      <c r="U202" s="1077"/>
      <c r="V202" s="1077"/>
      <c r="W202" s="1079"/>
      <c r="X202" s="1077"/>
      <c r="Y202" s="1077"/>
    </row>
    <row r="203">
      <c r="A203" s="1068" t="s">
        <v>7297</v>
      </c>
      <c r="B203" s="1068" t="s">
        <v>7298</v>
      </c>
      <c r="C203" s="1069" t="s">
        <v>446</v>
      </c>
      <c r="D203" s="1063">
        <f t="shared" si="6"/>
        <v>2</v>
      </c>
      <c r="E203" s="1084"/>
      <c r="F203" s="1072"/>
      <c r="G203" s="1072"/>
      <c r="H203" s="1072"/>
      <c r="I203" s="1073"/>
      <c r="J203" s="1071">
        <v>1.0</v>
      </c>
      <c r="K203" s="1072"/>
      <c r="L203" s="1071">
        <v>1.0</v>
      </c>
      <c r="M203" s="1072"/>
      <c r="N203" s="1073"/>
      <c r="O203" s="1073"/>
      <c r="P203" s="1072"/>
      <c r="Q203" s="1072"/>
      <c r="R203" s="1073"/>
      <c r="S203" s="1073"/>
      <c r="T203" s="1073"/>
      <c r="U203" s="1073"/>
      <c r="V203" s="1073"/>
      <c r="W203" s="1073"/>
      <c r="X203" s="1073"/>
      <c r="Y203" s="1073"/>
    </row>
    <row r="204">
      <c r="A204" s="1074" t="s">
        <v>7301</v>
      </c>
      <c r="B204" s="1074" t="s">
        <v>483</v>
      </c>
      <c r="C204" s="1075" t="s">
        <v>446</v>
      </c>
      <c r="D204" s="1063">
        <f t="shared" si="6"/>
        <v>2</v>
      </c>
      <c r="E204" s="1086"/>
      <c r="F204" s="1079"/>
      <c r="G204" s="1078">
        <v>1.0</v>
      </c>
      <c r="H204" s="1078">
        <v>1.0</v>
      </c>
      <c r="I204" s="1079"/>
      <c r="J204" s="1079"/>
      <c r="K204" s="1079"/>
      <c r="L204" s="1079"/>
      <c r="M204" s="1079"/>
      <c r="N204" s="1079"/>
      <c r="O204" s="1079"/>
      <c r="P204" s="1077"/>
      <c r="Q204" s="1079"/>
      <c r="R204" s="1077"/>
      <c r="S204" s="1079"/>
      <c r="T204" s="1077"/>
      <c r="U204" s="1079"/>
      <c r="V204" s="1078"/>
      <c r="W204" s="1077"/>
      <c r="X204" s="1077"/>
      <c r="Y204" s="1077"/>
    </row>
    <row r="205">
      <c r="A205" s="1068" t="s">
        <v>7312</v>
      </c>
      <c r="B205" s="1068" t="s">
        <v>524</v>
      </c>
      <c r="C205" s="1069" t="s">
        <v>446</v>
      </c>
      <c r="D205" s="1063">
        <f t="shared" si="6"/>
        <v>2</v>
      </c>
      <c r="E205" s="1070">
        <v>1.0</v>
      </c>
      <c r="F205" s="1073"/>
      <c r="G205" s="1073"/>
      <c r="H205" s="1071"/>
      <c r="I205" s="1071">
        <v>1.0</v>
      </c>
      <c r="J205" s="1071"/>
      <c r="K205" s="1073"/>
      <c r="L205" s="1073"/>
      <c r="M205" s="1071"/>
      <c r="N205" s="1073"/>
      <c r="O205" s="1072"/>
      <c r="P205" s="1073"/>
      <c r="Q205" s="1072"/>
      <c r="R205" s="1073"/>
      <c r="S205" s="1072"/>
      <c r="T205" s="1073"/>
      <c r="U205" s="1073"/>
      <c r="V205" s="1073"/>
      <c r="W205" s="1073"/>
      <c r="X205" s="1073"/>
      <c r="Y205" s="1073"/>
    </row>
    <row r="206">
      <c r="A206" s="1074" t="s">
        <v>461</v>
      </c>
      <c r="B206" s="1074" t="s">
        <v>2334</v>
      </c>
      <c r="C206" s="1075" t="s">
        <v>446</v>
      </c>
      <c r="D206" s="1063">
        <f t="shared" si="6"/>
        <v>2</v>
      </c>
      <c r="E206" s="1080"/>
      <c r="F206" s="1077"/>
      <c r="G206" s="1077"/>
      <c r="H206" s="1079"/>
      <c r="I206" s="1079"/>
      <c r="J206" s="1078"/>
      <c r="K206" s="1078"/>
      <c r="L206" s="1077"/>
      <c r="M206" s="1078">
        <v>1.0</v>
      </c>
      <c r="N206" s="1079"/>
      <c r="O206" s="1078">
        <v>1.0</v>
      </c>
      <c r="P206" s="1079"/>
      <c r="Q206" s="1077"/>
      <c r="R206" s="1077"/>
      <c r="S206" s="1079"/>
      <c r="T206" s="1079"/>
      <c r="U206" s="1079"/>
      <c r="V206" s="1077"/>
      <c r="W206" s="1077"/>
      <c r="X206" s="1077"/>
      <c r="Y206" s="1077"/>
    </row>
    <row r="207">
      <c r="A207" s="1068" t="s">
        <v>7465</v>
      </c>
      <c r="B207" s="1068" t="s">
        <v>532</v>
      </c>
      <c r="C207" s="1069" t="s">
        <v>446</v>
      </c>
      <c r="D207" s="1063">
        <f t="shared" si="6"/>
        <v>2</v>
      </c>
      <c r="E207" s="1082"/>
      <c r="F207" s="1073"/>
      <c r="G207" s="1071"/>
      <c r="H207" s="1072"/>
      <c r="I207" s="1072"/>
      <c r="J207" s="1072"/>
      <c r="K207" s="1072"/>
      <c r="L207" s="1072"/>
      <c r="M207" s="1072"/>
      <c r="N207" s="1073"/>
      <c r="O207" s="1071">
        <v>1.0</v>
      </c>
      <c r="P207" s="1072"/>
      <c r="Q207" s="1073"/>
      <c r="R207" s="1071">
        <v>1.0</v>
      </c>
      <c r="S207" s="1072"/>
      <c r="T207" s="1072"/>
      <c r="U207" s="1073"/>
      <c r="V207" s="1073"/>
      <c r="W207" s="1073"/>
      <c r="X207" s="1073"/>
      <c r="Y207" s="1073"/>
    </row>
    <row r="208">
      <c r="A208" s="1074" t="s">
        <v>7466</v>
      </c>
      <c r="B208" s="1074" t="s">
        <v>550</v>
      </c>
      <c r="C208" s="1075" t="s">
        <v>446</v>
      </c>
      <c r="D208" s="1063">
        <f t="shared" si="6"/>
        <v>2</v>
      </c>
      <c r="E208" s="1086"/>
      <c r="F208" s="1078"/>
      <c r="G208" s="1078"/>
      <c r="H208" s="1079"/>
      <c r="I208" s="1079"/>
      <c r="J208" s="1078"/>
      <c r="K208" s="1079"/>
      <c r="L208" s="1079"/>
      <c r="M208" s="1079"/>
      <c r="N208" s="1078"/>
      <c r="O208" s="1079"/>
      <c r="P208" s="1078">
        <v>1.0</v>
      </c>
      <c r="Q208" s="1079"/>
      <c r="R208" s="1078">
        <v>1.0</v>
      </c>
      <c r="S208" s="1079"/>
      <c r="T208" s="1077"/>
      <c r="U208" s="1077"/>
      <c r="V208" s="1077"/>
      <c r="W208" s="1077"/>
      <c r="X208" s="1079"/>
      <c r="Y208" s="1079"/>
    </row>
    <row r="209">
      <c r="A209" s="1068" t="s">
        <v>7061</v>
      </c>
      <c r="B209" s="1068" t="s">
        <v>587</v>
      </c>
      <c r="C209" s="1069" t="s">
        <v>579</v>
      </c>
      <c r="D209" s="1063">
        <f t="shared" si="6"/>
        <v>2</v>
      </c>
      <c r="E209" s="1070"/>
      <c r="F209" s="1071"/>
      <c r="G209" s="1072"/>
      <c r="H209" s="1072"/>
      <c r="I209" s="1073"/>
      <c r="J209" s="1071">
        <v>1.0</v>
      </c>
      <c r="K209" s="1072"/>
      <c r="L209" s="1073"/>
      <c r="M209" s="1072"/>
      <c r="N209" s="1072"/>
      <c r="O209" s="1072"/>
      <c r="P209" s="1072"/>
      <c r="Q209" s="1072"/>
      <c r="R209" s="1072"/>
      <c r="S209" s="1072"/>
      <c r="T209" s="1073"/>
      <c r="U209" s="1071">
        <v>1.0</v>
      </c>
      <c r="V209" s="1072"/>
      <c r="W209" s="1072"/>
      <c r="X209" s="1073"/>
      <c r="Y209" s="1073"/>
    </row>
    <row r="210">
      <c r="A210" s="1074" t="s">
        <v>7426</v>
      </c>
      <c r="B210" s="1074" t="s">
        <v>594</v>
      </c>
      <c r="C210" s="1075" t="s">
        <v>579</v>
      </c>
      <c r="D210" s="1063">
        <f t="shared" si="6"/>
        <v>2</v>
      </c>
      <c r="E210" s="1080"/>
      <c r="F210" s="1079"/>
      <c r="G210" s="1079"/>
      <c r="H210" s="1078">
        <v>1.0</v>
      </c>
      <c r="I210" s="1078"/>
      <c r="J210" s="1079"/>
      <c r="K210" s="1079"/>
      <c r="L210" s="1077"/>
      <c r="M210" s="1077"/>
      <c r="N210" s="1078">
        <v>1.0</v>
      </c>
      <c r="O210" s="1077"/>
      <c r="P210" s="1079"/>
      <c r="Q210" s="1077"/>
      <c r="R210" s="1077"/>
      <c r="S210" s="1079"/>
      <c r="T210" s="1079"/>
      <c r="U210" s="1079"/>
      <c r="V210" s="1077"/>
      <c r="W210" s="1077"/>
      <c r="X210" s="1079"/>
      <c r="Y210" s="1079"/>
    </row>
    <row r="211">
      <c r="A211" s="1068" t="s">
        <v>7468</v>
      </c>
      <c r="B211" s="1068" t="s">
        <v>655</v>
      </c>
      <c r="C211" s="1069" t="s">
        <v>656</v>
      </c>
      <c r="D211" s="1063">
        <f t="shared" si="6"/>
        <v>2</v>
      </c>
      <c r="E211" s="1084"/>
      <c r="F211" s="1072"/>
      <c r="G211" s="1072"/>
      <c r="H211" s="1072"/>
      <c r="I211" s="1071"/>
      <c r="J211" s="1071">
        <v>1.0</v>
      </c>
      <c r="K211" s="1071">
        <v>1.0</v>
      </c>
      <c r="L211" s="1072"/>
      <c r="M211" s="1073"/>
      <c r="N211" s="1073"/>
      <c r="O211" s="1072"/>
      <c r="P211" s="1073"/>
      <c r="Q211" s="1073"/>
      <c r="R211" s="1073"/>
      <c r="S211" s="1072"/>
      <c r="T211" s="1073"/>
      <c r="U211" s="1072"/>
      <c r="V211" s="1073"/>
      <c r="W211" s="1073"/>
      <c r="X211" s="1073"/>
      <c r="Y211" s="1073"/>
    </row>
    <row r="212">
      <c r="A212" s="1074" t="s">
        <v>7401</v>
      </c>
      <c r="B212" s="1074" t="s">
        <v>789</v>
      </c>
      <c r="C212" s="1075" t="s">
        <v>792</v>
      </c>
      <c r="D212" s="1063">
        <f t="shared" si="6"/>
        <v>2</v>
      </c>
      <c r="E212" s="1076"/>
      <c r="F212" s="1078">
        <v>1.0</v>
      </c>
      <c r="G212" s="1079"/>
      <c r="H212" s="1077"/>
      <c r="I212" s="1077"/>
      <c r="J212" s="1079"/>
      <c r="K212" s="1079"/>
      <c r="L212" s="1077"/>
      <c r="M212" s="1077"/>
      <c r="N212" s="1077"/>
      <c r="O212" s="1078">
        <v>1.0</v>
      </c>
      <c r="P212" s="1079"/>
      <c r="Q212" s="1078"/>
      <c r="R212" s="1079"/>
      <c r="S212" s="1077"/>
      <c r="T212" s="1077"/>
      <c r="U212" s="1077"/>
      <c r="V212" s="1077"/>
      <c r="W212" s="1077"/>
      <c r="X212" s="1077"/>
      <c r="Y212" s="1077"/>
    </row>
    <row r="213">
      <c r="A213" s="1122" t="s">
        <v>7469</v>
      </c>
      <c r="B213" s="1122" t="s">
        <v>7470</v>
      </c>
      <c r="C213" s="1129" t="s">
        <v>792</v>
      </c>
      <c r="D213" s="1063">
        <f t="shared" si="6"/>
        <v>2</v>
      </c>
      <c r="E213" s="1070"/>
      <c r="F213" s="1073"/>
      <c r="G213" s="1073"/>
      <c r="H213" s="1071"/>
      <c r="I213" s="1073"/>
      <c r="J213" s="1071">
        <v>1.0</v>
      </c>
      <c r="K213" s="1072"/>
      <c r="L213" s="1071">
        <v>1.0</v>
      </c>
      <c r="M213" s="1072"/>
      <c r="N213" s="1072"/>
      <c r="O213" s="1071"/>
      <c r="P213" s="1072"/>
      <c r="Q213" s="1072"/>
      <c r="R213" s="1072"/>
      <c r="S213" s="1072"/>
      <c r="T213" s="1072"/>
      <c r="U213" s="1073"/>
      <c r="V213" s="1073"/>
      <c r="W213" s="1073"/>
      <c r="X213" s="1073"/>
      <c r="Y213" s="1073"/>
    </row>
    <row r="214">
      <c r="A214" s="1074" t="s">
        <v>7472</v>
      </c>
      <c r="B214" s="1074" t="s">
        <v>862</v>
      </c>
      <c r="C214" s="1075" t="s">
        <v>857</v>
      </c>
      <c r="D214" s="1063">
        <f t="shared" si="6"/>
        <v>2</v>
      </c>
      <c r="E214" s="1080"/>
      <c r="F214" s="1079"/>
      <c r="G214" s="1078">
        <v>1.0</v>
      </c>
      <c r="H214" s="1078"/>
      <c r="I214" s="1078"/>
      <c r="J214" s="1079"/>
      <c r="K214" s="1079"/>
      <c r="L214" s="1078"/>
      <c r="M214" s="1079"/>
      <c r="N214" s="1079"/>
      <c r="O214" s="1079"/>
      <c r="P214" s="1077"/>
      <c r="Q214" s="1079"/>
      <c r="R214" s="1079"/>
      <c r="S214" s="1077"/>
      <c r="T214" s="1079"/>
      <c r="U214" s="1077"/>
      <c r="V214" s="1077"/>
      <c r="W214" s="1078">
        <v>1.0</v>
      </c>
      <c r="X214" s="1077"/>
      <c r="Y214" s="1078"/>
    </row>
    <row r="215">
      <c r="A215" s="1068" t="s">
        <v>7474</v>
      </c>
      <c r="B215" s="1068" t="s">
        <v>7475</v>
      </c>
      <c r="C215" s="1069" t="s">
        <v>857</v>
      </c>
      <c r="D215" s="1063">
        <f t="shared" si="6"/>
        <v>2</v>
      </c>
      <c r="E215" s="1082"/>
      <c r="F215" s="1072"/>
      <c r="G215" s="1072"/>
      <c r="H215" s="1072"/>
      <c r="I215" s="1071">
        <v>1.0</v>
      </c>
      <c r="J215" s="1072"/>
      <c r="K215" s="1072"/>
      <c r="L215" s="1072"/>
      <c r="M215" s="1072"/>
      <c r="N215" s="1073"/>
      <c r="O215" s="1073"/>
      <c r="P215" s="1072"/>
      <c r="Q215" s="1072"/>
      <c r="R215" s="1072"/>
      <c r="S215" s="1073"/>
      <c r="T215" s="1072"/>
      <c r="U215" s="1073"/>
      <c r="V215" s="1073"/>
      <c r="W215" s="1073"/>
      <c r="X215" s="1073"/>
      <c r="Y215" s="1071">
        <v>1.0</v>
      </c>
    </row>
    <row r="216">
      <c r="A216" s="1074" t="s">
        <v>7218</v>
      </c>
      <c r="B216" s="1074" t="s">
        <v>906</v>
      </c>
      <c r="C216" s="1075" t="s">
        <v>895</v>
      </c>
      <c r="D216" s="1063">
        <f t="shared" si="6"/>
        <v>2</v>
      </c>
      <c r="E216" s="1080"/>
      <c r="F216" s="1077"/>
      <c r="G216" s="1077"/>
      <c r="H216" s="1079"/>
      <c r="I216" s="1078"/>
      <c r="J216" s="1079"/>
      <c r="K216" s="1079"/>
      <c r="L216" s="1079"/>
      <c r="M216" s="1079"/>
      <c r="N216" s="1077"/>
      <c r="O216" s="1079"/>
      <c r="P216" s="1078">
        <v>1.0</v>
      </c>
      <c r="Q216" s="1079"/>
      <c r="R216" s="1078">
        <v>1.0</v>
      </c>
      <c r="S216" s="1079"/>
      <c r="T216" s="1079"/>
      <c r="U216" s="1079"/>
      <c r="V216" s="1077"/>
      <c r="W216" s="1077"/>
      <c r="X216" s="1079"/>
      <c r="Y216" s="1078"/>
    </row>
    <row r="217">
      <c r="A217" s="1068" t="s">
        <v>7344</v>
      </c>
      <c r="B217" s="1068" t="s">
        <v>946</v>
      </c>
      <c r="C217" s="1069" t="s">
        <v>895</v>
      </c>
      <c r="D217" s="1063">
        <f t="shared" si="6"/>
        <v>2</v>
      </c>
      <c r="E217" s="1084"/>
      <c r="F217" s="1073"/>
      <c r="G217" s="1071"/>
      <c r="H217" s="1071"/>
      <c r="I217" s="1071">
        <v>1.0</v>
      </c>
      <c r="J217" s="1073"/>
      <c r="K217" s="1072"/>
      <c r="L217" s="1071"/>
      <c r="M217" s="1071">
        <v>1.0</v>
      </c>
      <c r="N217" s="1072"/>
      <c r="O217" s="1071"/>
      <c r="P217" s="1073"/>
      <c r="Q217" s="1073"/>
      <c r="R217" s="1073"/>
      <c r="S217" s="1073"/>
      <c r="T217" s="1073"/>
      <c r="U217" s="1073"/>
      <c r="V217" s="1073"/>
      <c r="W217" s="1073"/>
      <c r="X217" s="1073"/>
      <c r="Y217" s="1073"/>
    </row>
    <row r="218">
      <c r="A218" s="1074" t="s">
        <v>7349</v>
      </c>
      <c r="B218" s="1074" t="s">
        <v>957</v>
      </c>
      <c r="C218" s="1075" t="s">
        <v>895</v>
      </c>
      <c r="D218" s="1063">
        <f t="shared" si="6"/>
        <v>2</v>
      </c>
      <c r="E218" s="1076"/>
      <c r="F218" s="1078">
        <v>1.0</v>
      </c>
      <c r="G218" s="1078"/>
      <c r="H218" s="1077"/>
      <c r="I218" s="1077"/>
      <c r="J218" s="1077"/>
      <c r="K218" s="1077"/>
      <c r="L218" s="1078"/>
      <c r="M218" s="1077"/>
      <c r="N218" s="1078"/>
      <c r="O218" s="1077"/>
      <c r="P218" s="1077"/>
      <c r="Q218" s="1077"/>
      <c r="R218" s="1079"/>
      <c r="S218" s="1078">
        <v>1.0</v>
      </c>
      <c r="T218" s="1079"/>
      <c r="U218" s="1077"/>
      <c r="V218" s="1077"/>
      <c r="W218" s="1077"/>
      <c r="X218" s="1077"/>
      <c r="Y218" s="1077"/>
    </row>
    <row r="219">
      <c r="A219" s="1068" t="s">
        <v>7477</v>
      </c>
      <c r="B219" s="1068" t="s">
        <v>7478</v>
      </c>
      <c r="C219" s="1069" t="s">
        <v>895</v>
      </c>
      <c r="D219" s="1063">
        <f t="shared" si="6"/>
        <v>2</v>
      </c>
      <c r="E219" s="1070">
        <v>1.0</v>
      </c>
      <c r="F219" s="1071"/>
      <c r="G219" s="1071">
        <v>1.0</v>
      </c>
      <c r="H219" s="1071"/>
      <c r="I219" s="1071"/>
      <c r="J219" s="1072"/>
      <c r="K219" s="1072"/>
      <c r="L219" s="1072"/>
      <c r="M219" s="1072"/>
      <c r="N219" s="1071"/>
      <c r="O219" s="1073"/>
      <c r="P219" s="1072"/>
      <c r="Q219" s="1073"/>
      <c r="R219" s="1073"/>
      <c r="S219" s="1073"/>
      <c r="T219" s="1072"/>
      <c r="U219" s="1073"/>
      <c r="V219" s="1073"/>
      <c r="W219" s="1073"/>
      <c r="X219" s="1073"/>
      <c r="Y219" s="1073"/>
    </row>
    <row r="220">
      <c r="A220" s="1074" t="s">
        <v>7479</v>
      </c>
      <c r="B220" s="1074" t="s">
        <v>1025</v>
      </c>
      <c r="C220" s="1075" t="s">
        <v>895</v>
      </c>
      <c r="D220" s="1063">
        <f t="shared" si="6"/>
        <v>2</v>
      </c>
      <c r="E220" s="1086"/>
      <c r="F220" s="1079"/>
      <c r="G220" s="1079"/>
      <c r="H220" s="1078"/>
      <c r="I220" s="1077"/>
      <c r="J220" s="1077"/>
      <c r="K220" s="1077"/>
      <c r="L220" s="1077"/>
      <c r="M220" s="1077"/>
      <c r="N220" s="1079"/>
      <c r="O220" s="1077"/>
      <c r="P220" s="1077"/>
      <c r="Q220" s="1078">
        <v>1.0</v>
      </c>
      <c r="R220" s="1079"/>
      <c r="S220" s="1077"/>
      <c r="T220" s="1078"/>
      <c r="U220" s="1078">
        <v>1.0</v>
      </c>
      <c r="V220" s="1077"/>
      <c r="W220" s="1077"/>
      <c r="X220" s="1077"/>
      <c r="Y220" s="1077"/>
    </row>
    <row r="221">
      <c r="A221" s="1068" t="s">
        <v>7460</v>
      </c>
      <c r="B221" s="1068" t="s">
        <v>1112</v>
      </c>
      <c r="C221" s="1069" t="s">
        <v>1091</v>
      </c>
      <c r="D221" s="1063">
        <f t="shared" si="6"/>
        <v>2</v>
      </c>
      <c r="E221" s="1070">
        <v>1.0</v>
      </c>
      <c r="F221" s="1072"/>
      <c r="G221" s="1072"/>
      <c r="H221" s="1072"/>
      <c r="I221" s="1072"/>
      <c r="J221" s="1073"/>
      <c r="K221" s="1073"/>
      <c r="L221" s="1073"/>
      <c r="M221" s="1071"/>
      <c r="N221" s="1073"/>
      <c r="O221" s="1073"/>
      <c r="P221" s="1071">
        <v>1.0</v>
      </c>
      <c r="Q221" s="1073"/>
      <c r="R221" s="1073"/>
      <c r="S221" s="1073"/>
      <c r="T221" s="1073"/>
      <c r="U221" s="1073"/>
      <c r="V221" s="1073"/>
      <c r="W221" s="1073"/>
      <c r="X221" s="1073"/>
      <c r="Y221" s="1073"/>
    </row>
    <row r="222">
      <c r="A222" s="1074" t="s">
        <v>7480</v>
      </c>
      <c r="B222" s="1074" t="s">
        <v>1130</v>
      </c>
      <c r="C222" s="1075" t="s">
        <v>1132</v>
      </c>
      <c r="D222" s="1063">
        <f t="shared" si="6"/>
        <v>2</v>
      </c>
      <c r="E222" s="1086"/>
      <c r="F222" s="1077"/>
      <c r="G222" s="1078"/>
      <c r="H222" s="1078"/>
      <c r="I222" s="1079"/>
      <c r="J222" s="1079"/>
      <c r="K222" s="1078">
        <v>1.0</v>
      </c>
      <c r="L222" s="1078">
        <v>1.0</v>
      </c>
      <c r="M222" s="1079"/>
      <c r="N222" s="1079"/>
      <c r="O222" s="1079"/>
      <c r="P222" s="1078"/>
      <c r="Q222" s="1079"/>
      <c r="R222" s="1079"/>
      <c r="S222" s="1077"/>
      <c r="T222" s="1079"/>
      <c r="U222" s="1079"/>
      <c r="V222" s="1078"/>
      <c r="W222" s="1078"/>
      <c r="X222" s="1077"/>
      <c r="Y222" s="1077"/>
    </row>
    <row r="223">
      <c r="A223" s="1068" t="s">
        <v>7164</v>
      </c>
      <c r="B223" s="1068" t="s">
        <v>1134</v>
      </c>
      <c r="C223" s="1069" t="s">
        <v>1136</v>
      </c>
      <c r="D223" s="1063">
        <f t="shared" si="6"/>
        <v>2</v>
      </c>
      <c r="E223" s="1084"/>
      <c r="F223" s="1073"/>
      <c r="G223" s="1071"/>
      <c r="H223" s="1072"/>
      <c r="I223" s="1071">
        <v>1.0</v>
      </c>
      <c r="J223" s="1072"/>
      <c r="K223" s="1072"/>
      <c r="L223" s="1072"/>
      <c r="M223" s="1072"/>
      <c r="N223" s="1071">
        <v>1.0</v>
      </c>
      <c r="O223" s="1072"/>
      <c r="P223" s="1072"/>
      <c r="Q223" s="1072"/>
      <c r="R223" s="1073"/>
      <c r="S223" s="1073"/>
      <c r="T223" s="1073"/>
      <c r="U223" s="1071"/>
      <c r="V223" s="1071"/>
      <c r="W223" s="1073"/>
      <c r="X223" s="1073"/>
      <c r="Y223" s="1073"/>
    </row>
    <row r="224">
      <c r="A224" s="1087" t="s">
        <v>7481</v>
      </c>
      <c r="B224" s="1074" t="s">
        <v>6544</v>
      </c>
      <c r="C224" s="1075" t="s">
        <v>1157</v>
      </c>
      <c r="D224" s="1063">
        <f t="shared" si="6"/>
        <v>2</v>
      </c>
      <c r="E224" s="1080">
        <v>1.0</v>
      </c>
      <c r="F224" s="1077"/>
      <c r="G224" s="1077"/>
      <c r="H224" s="1079"/>
      <c r="I224" s="1079"/>
      <c r="J224" s="1079"/>
      <c r="K224" s="1077"/>
      <c r="L224" s="1077"/>
      <c r="M224" s="1079"/>
      <c r="N224" s="1078">
        <v>1.0</v>
      </c>
      <c r="O224" s="1077"/>
      <c r="P224" s="1079"/>
      <c r="Q224" s="1079"/>
      <c r="R224" s="1077"/>
      <c r="S224" s="1079"/>
      <c r="T224" s="1079"/>
      <c r="U224" s="1077"/>
      <c r="V224" s="1077"/>
      <c r="W224" s="1077"/>
      <c r="X224" s="1077"/>
      <c r="Y224" s="1077"/>
    </row>
    <row r="225">
      <c r="A225" s="1068" t="s">
        <v>7489</v>
      </c>
      <c r="B225" s="1068" t="s">
        <v>7491</v>
      </c>
      <c r="C225" s="1069" t="s">
        <v>1157</v>
      </c>
      <c r="D225" s="1063">
        <f t="shared" si="6"/>
        <v>2</v>
      </c>
      <c r="E225" s="1084"/>
      <c r="F225" s="1073"/>
      <c r="G225" s="1073"/>
      <c r="H225" s="1071">
        <v>1.0</v>
      </c>
      <c r="I225" s="1072"/>
      <c r="J225" s="1071">
        <v>1.0</v>
      </c>
      <c r="K225" s="1072"/>
      <c r="L225" s="1072"/>
      <c r="M225" s="1072"/>
      <c r="N225" s="1072"/>
      <c r="O225" s="1073"/>
      <c r="P225" s="1073"/>
      <c r="Q225" s="1071"/>
      <c r="R225" s="1073"/>
      <c r="S225" s="1072"/>
      <c r="T225" s="1073"/>
      <c r="U225" s="1073"/>
      <c r="V225" s="1073"/>
      <c r="W225" s="1073"/>
      <c r="X225" s="1073"/>
      <c r="Y225" s="1071"/>
    </row>
    <row r="226">
      <c r="A226" s="1074" t="s">
        <v>7507</v>
      </c>
      <c r="B226" s="1074" t="s">
        <v>1260</v>
      </c>
      <c r="C226" s="1075" t="s">
        <v>1261</v>
      </c>
      <c r="D226" s="1063">
        <f t="shared" si="6"/>
        <v>2</v>
      </c>
      <c r="E226" s="1076"/>
      <c r="F226" s="1079"/>
      <c r="G226" s="1078"/>
      <c r="H226" s="1079"/>
      <c r="I226" s="1079"/>
      <c r="J226" s="1079"/>
      <c r="K226" s="1079"/>
      <c r="L226" s="1078">
        <v>1.0</v>
      </c>
      <c r="M226" s="1079"/>
      <c r="N226" s="1077"/>
      <c r="O226" s="1079"/>
      <c r="P226" s="1077"/>
      <c r="Q226" s="1078"/>
      <c r="R226" s="1077"/>
      <c r="S226" s="1079"/>
      <c r="T226" s="1079"/>
      <c r="U226" s="1079"/>
      <c r="V226" s="1079"/>
      <c r="W226" s="1079"/>
      <c r="X226" s="1079"/>
      <c r="Y226" s="1078">
        <v>1.0</v>
      </c>
    </row>
    <row r="227">
      <c r="A227" s="1068" t="s">
        <v>7508</v>
      </c>
      <c r="B227" s="1068" t="s">
        <v>1291</v>
      </c>
      <c r="C227" s="1069" t="s">
        <v>1278</v>
      </c>
      <c r="D227" s="1063">
        <f t="shared" si="6"/>
        <v>2</v>
      </c>
      <c r="E227" s="1084"/>
      <c r="F227" s="1072"/>
      <c r="G227" s="1072"/>
      <c r="H227" s="1072"/>
      <c r="I227" s="1072"/>
      <c r="J227" s="1072"/>
      <c r="K227" s="1073"/>
      <c r="L227" s="1073"/>
      <c r="M227" s="1073"/>
      <c r="N227" s="1071">
        <v>1.0</v>
      </c>
      <c r="O227" s="1072"/>
      <c r="P227" s="1072"/>
      <c r="Q227" s="1071">
        <v>1.0</v>
      </c>
      <c r="R227" s="1073"/>
      <c r="S227" s="1073"/>
      <c r="T227" s="1072"/>
      <c r="U227" s="1073"/>
      <c r="V227" s="1072"/>
      <c r="W227" s="1073"/>
      <c r="X227" s="1073"/>
      <c r="Y227" s="1071"/>
    </row>
    <row r="228">
      <c r="A228" s="1074" t="s">
        <v>7509</v>
      </c>
      <c r="B228" s="1074" t="s">
        <v>1567</v>
      </c>
      <c r="C228" s="1075" t="s">
        <v>1483</v>
      </c>
      <c r="D228" s="1063">
        <f t="shared" si="6"/>
        <v>2</v>
      </c>
      <c r="E228" s="1086"/>
      <c r="F228" s="1077"/>
      <c r="G228" s="1078"/>
      <c r="H228" s="1078">
        <v>1.0</v>
      </c>
      <c r="I228" s="1077"/>
      <c r="J228" s="1079"/>
      <c r="K228" s="1079"/>
      <c r="L228" s="1079"/>
      <c r="M228" s="1079"/>
      <c r="N228" s="1079"/>
      <c r="O228" s="1079"/>
      <c r="P228" s="1079"/>
      <c r="Q228" s="1077"/>
      <c r="R228" s="1079"/>
      <c r="S228" s="1078">
        <v>1.0</v>
      </c>
      <c r="T228" s="1079"/>
      <c r="U228" s="1077"/>
      <c r="V228" s="1077"/>
      <c r="W228" s="1079"/>
      <c r="X228" s="1077"/>
      <c r="Y228" s="1077"/>
    </row>
    <row r="229">
      <c r="A229" s="1068" t="s">
        <v>7146</v>
      </c>
      <c r="B229" s="1068" t="s">
        <v>1714</v>
      </c>
      <c r="C229" s="1069" t="s">
        <v>1646</v>
      </c>
      <c r="D229" s="1063">
        <f t="shared" si="6"/>
        <v>2</v>
      </c>
      <c r="E229" s="1082"/>
      <c r="F229" s="1072"/>
      <c r="G229" s="1072"/>
      <c r="H229" s="1071">
        <v>1.0</v>
      </c>
      <c r="I229" s="1072"/>
      <c r="J229" s="1071">
        <v>1.0</v>
      </c>
      <c r="K229" s="1072"/>
      <c r="L229" s="1071"/>
      <c r="M229" s="1072"/>
      <c r="N229" s="1072"/>
      <c r="O229" s="1072"/>
      <c r="P229" s="1072"/>
      <c r="Q229" s="1072"/>
      <c r="R229" s="1073"/>
      <c r="S229" s="1072"/>
      <c r="T229" s="1073"/>
      <c r="U229" s="1072"/>
      <c r="V229" s="1072"/>
      <c r="W229" s="1073"/>
      <c r="X229" s="1073"/>
      <c r="Y229" s="1071"/>
    </row>
    <row r="230">
      <c r="A230" s="1074" t="s">
        <v>7279</v>
      </c>
      <c r="B230" s="1074" t="s">
        <v>1749</v>
      </c>
      <c r="C230" s="1075" t="s">
        <v>1646</v>
      </c>
      <c r="D230" s="1063">
        <f t="shared" si="6"/>
        <v>2</v>
      </c>
      <c r="E230" s="1086"/>
      <c r="F230" s="1079"/>
      <c r="G230" s="1079"/>
      <c r="H230" s="1079"/>
      <c r="I230" s="1078">
        <v>1.0</v>
      </c>
      <c r="J230" s="1078">
        <v>1.0</v>
      </c>
      <c r="K230" s="1079"/>
      <c r="L230" s="1079"/>
      <c r="M230" s="1079"/>
      <c r="N230" s="1079"/>
      <c r="O230" s="1079"/>
      <c r="P230" s="1079"/>
      <c r="Q230" s="1079"/>
      <c r="R230" s="1079"/>
      <c r="S230" s="1077"/>
      <c r="T230" s="1077"/>
      <c r="U230" s="1077"/>
      <c r="V230" s="1079"/>
      <c r="W230" s="1077"/>
      <c r="X230" s="1077"/>
      <c r="Y230" s="1077"/>
    </row>
    <row r="231">
      <c r="A231" s="1068" t="s">
        <v>7281</v>
      </c>
      <c r="B231" s="1068" t="s">
        <v>1736</v>
      </c>
      <c r="C231" s="1069" t="s">
        <v>1646</v>
      </c>
      <c r="D231" s="1063">
        <f t="shared" si="6"/>
        <v>2</v>
      </c>
      <c r="E231" s="1070">
        <v>1.0</v>
      </c>
      <c r="F231" s="1071">
        <v>1.0</v>
      </c>
      <c r="G231" s="1073"/>
      <c r="H231" s="1071"/>
      <c r="I231" s="1071"/>
      <c r="J231" s="1073"/>
      <c r="K231" s="1073"/>
      <c r="L231" s="1072"/>
      <c r="M231" s="1072"/>
      <c r="N231" s="1072"/>
      <c r="O231" s="1072"/>
      <c r="P231" s="1072"/>
      <c r="Q231" s="1073"/>
      <c r="R231" s="1071"/>
      <c r="S231" s="1073"/>
      <c r="T231" s="1073"/>
      <c r="U231" s="1073"/>
      <c r="V231" s="1073"/>
      <c r="W231" s="1073"/>
      <c r="X231" s="1072"/>
      <c r="Y231" s="1072"/>
    </row>
    <row r="232">
      <c r="A232" s="1074" t="s">
        <v>7510</v>
      </c>
      <c r="B232" s="1074" t="s">
        <v>7511</v>
      </c>
      <c r="C232" s="1075" t="s">
        <v>1646</v>
      </c>
      <c r="D232" s="1063">
        <f t="shared" si="6"/>
        <v>2</v>
      </c>
      <c r="E232" s="1086"/>
      <c r="F232" s="1077"/>
      <c r="G232" s="1077"/>
      <c r="H232" s="1079"/>
      <c r="I232" s="1078"/>
      <c r="J232" s="1079"/>
      <c r="K232" s="1077"/>
      <c r="L232" s="1078">
        <v>1.0</v>
      </c>
      <c r="M232" s="1077"/>
      <c r="N232" s="1079"/>
      <c r="O232" s="1077"/>
      <c r="P232" s="1077"/>
      <c r="Q232" s="1077"/>
      <c r="R232" s="1077"/>
      <c r="S232" s="1077"/>
      <c r="T232" s="1077"/>
      <c r="U232" s="1078">
        <v>1.0</v>
      </c>
      <c r="V232" s="1077"/>
      <c r="W232" s="1077"/>
      <c r="X232" s="1077"/>
      <c r="Y232" s="1078"/>
    </row>
    <row r="233">
      <c r="A233" s="1068" t="s">
        <v>7512</v>
      </c>
      <c r="B233" s="1068" t="s">
        <v>1759</v>
      </c>
      <c r="C233" s="1069" t="s">
        <v>1646</v>
      </c>
      <c r="D233" s="1063">
        <f t="shared" si="6"/>
        <v>2</v>
      </c>
      <c r="E233" s="1084"/>
      <c r="F233" s="1073"/>
      <c r="G233" s="1071"/>
      <c r="H233" s="1072"/>
      <c r="I233" s="1072"/>
      <c r="J233" s="1072"/>
      <c r="K233" s="1072"/>
      <c r="L233" s="1071">
        <v>1.0</v>
      </c>
      <c r="M233" s="1072"/>
      <c r="N233" s="1071"/>
      <c r="O233" s="1073"/>
      <c r="P233" s="1073"/>
      <c r="Q233" s="1073"/>
      <c r="R233" s="1073"/>
      <c r="S233" s="1073"/>
      <c r="T233" s="1073"/>
      <c r="U233" s="1073"/>
      <c r="V233" s="1073"/>
      <c r="W233" s="1073"/>
      <c r="X233" s="1073"/>
      <c r="Y233" s="1071">
        <v>1.0</v>
      </c>
    </row>
    <row r="234">
      <c r="A234" s="1074" t="s">
        <v>7437</v>
      </c>
      <c r="B234" s="1074" t="s">
        <v>2044</v>
      </c>
      <c r="C234" s="1075" t="s">
        <v>2045</v>
      </c>
      <c r="D234" s="1063">
        <f t="shared" si="6"/>
        <v>2</v>
      </c>
      <c r="E234" s="1080">
        <v>1.0</v>
      </c>
      <c r="F234" s="1078"/>
      <c r="G234" s="1077"/>
      <c r="H234" s="1077"/>
      <c r="I234" s="1077"/>
      <c r="J234" s="1079"/>
      <c r="K234" s="1077"/>
      <c r="L234" s="1079"/>
      <c r="M234" s="1077"/>
      <c r="N234" s="1077"/>
      <c r="O234" s="1077"/>
      <c r="P234" s="1077"/>
      <c r="Q234" s="1078"/>
      <c r="R234" s="1078">
        <v>1.0</v>
      </c>
      <c r="S234" s="1077"/>
      <c r="T234" s="1079"/>
      <c r="U234" s="1077"/>
      <c r="V234" s="1077"/>
      <c r="W234" s="1077"/>
      <c r="X234" s="1077"/>
      <c r="Y234" s="1077"/>
    </row>
    <row r="235">
      <c r="A235" s="1068" t="s">
        <v>7514</v>
      </c>
      <c r="B235" s="1068" t="s">
        <v>7515</v>
      </c>
      <c r="C235" s="1069" t="s">
        <v>2045</v>
      </c>
      <c r="D235" s="1063">
        <f t="shared" si="6"/>
        <v>2</v>
      </c>
      <c r="E235" s="1082"/>
      <c r="F235" s="1073"/>
      <c r="G235" s="1073"/>
      <c r="H235" s="1071">
        <v>1.0</v>
      </c>
      <c r="I235" s="1072"/>
      <c r="J235" s="1073"/>
      <c r="K235" s="1071">
        <v>1.0</v>
      </c>
      <c r="L235" s="1073"/>
      <c r="M235" s="1073"/>
      <c r="N235" s="1072"/>
      <c r="O235" s="1073"/>
      <c r="P235" s="1073"/>
      <c r="Q235" s="1073"/>
      <c r="R235" s="1073"/>
      <c r="S235" s="1073"/>
      <c r="T235" s="1072"/>
      <c r="U235" s="1073"/>
      <c r="V235" s="1073"/>
      <c r="W235" s="1073"/>
      <c r="X235" s="1073"/>
      <c r="Y235" s="1073"/>
    </row>
    <row r="236">
      <c r="A236" s="1074" t="s">
        <v>7518</v>
      </c>
      <c r="B236" s="1074" t="s">
        <v>2168</v>
      </c>
      <c r="C236" s="1075" t="s">
        <v>2045</v>
      </c>
      <c r="D236" s="1063">
        <f t="shared" si="6"/>
        <v>2</v>
      </c>
      <c r="E236" s="1076"/>
      <c r="F236" s="1078">
        <v>1.0</v>
      </c>
      <c r="G236" s="1077"/>
      <c r="H236" s="1078"/>
      <c r="I236" s="1077"/>
      <c r="J236" s="1079"/>
      <c r="K236" s="1078">
        <v>1.0</v>
      </c>
      <c r="L236" s="1079"/>
      <c r="M236" s="1077"/>
      <c r="N236" s="1077"/>
      <c r="O236" s="1077"/>
      <c r="P236" s="1078"/>
      <c r="Q236" s="1077"/>
      <c r="R236" s="1079"/>
      <c r="S236" s="1077"/>
      <c r="T236" s="1079"/>
      <c r="U236" s="1077"/>
      <c r="V236" s="1077"/>
      <c r="W236" s="1077"/>
      <c r="X236" s="1077"/>
      <c r="Y236" s="1077"/>
    </row>
    <row r="237">
      <c r="A237" s="1068" t="s">
        <v>7519</v>
      </c>
      <c r="B237" s="1068" t="s">
        <v>2157</v>
      </c>
      <c r="C237" s="1069" t="s">
        <v>2045</v>
      </c>
      <c r="D237" s="1063">
        <f t="shared" si="6"/>
        <v>2</v>
      </c>
      <c r="E237" s="1082"/>
      <c r="F237" s="1071">
        <v>1.0</v>
      </c>
      <c r="G237" s="1073"/>
      <c r="H237" s="1071"/>
      <c r="I237" s="1073"/>
      <c r="J237" s="1072"/>
      <c r="K237" s="1073"/>
      <c r="L237" s="1072"/>
      <c r="M237" s="1073"/>
      <c r="N237" s="1073"/>
      <c r="O237" s="1073"/>
      <c r="P237" s="1073"/>
      <c r="Q237" s="1071">
        <v>1.0</v>
      </c>
      <c r="R237" s="1071"/>
      <c r="S237" s="1073"/>
      <c r="T237" s="1072"/>
      <c r="U237" s="1073"/>
      <c r="V237" s="1073"/>
      <c r="W237" s="1073"/>
      <c r="X237" s="1073"/>
      <c r="Y237" s="1073"/>
    </row>
    <row r="238">
      <c r="A238" s="1074" t="s">
        <v>7078</v>
      </c>
      <c r="B238" s="1074" t="s">
        <v>2215</v>
      </c>
      <c r="C238" s="1075" t="s">
        <v>2216</v>
      </c>
      <c r="D238" s="1063">
        <f t="shared" si="6"/>
        <v>2</v>
      </c>
      <c r="E238" s="1076"/>
      <c r="F238" s="1078"/>
      <c r="G238" s="1077"/>
      <c r="H238" s="1077"/>
      <c r="I238" s="1077"/>
      <c r="J238" s="1079"/>
      <c r="K238" s="1078">
        <v>1.0</v>
      </c>
      <c r="L238" s="1078">
        <v>1.0</v>
      </c>
      <c r="M238" s="1077"/>
      <c r="N238" s="1077"/>
      <c r="O238" s="1077"/>
      <c r="P238" s="1077"/>
      <c r="Q238" s="1077"/>
      <c r="R238" s="1079"/>
      <c r="S238" s="1077"/>
      <c r="T238" s="1079"/>
      <c r="U238" s="1077"/>
      <c r="V238" s="1077"/>
      <c r="W238" s="1077"/>
      <c r="X238" s="1077"/>
      <c r="Y238" s="1078"/>
    </row>
    <row r="239">
      <c r="A239" s="1068" t="s">
        <v>7253</v>
      </c>
      <c r="B239" s="1068" t="s">
        <v>2221</v>
      </c>
      <c r="C239" s="1069" t="s">
        <v>2216</v>
      </c>
      <c r="D239" s="1063">
        <f t="shared" si="6"/>
        <v>2</v>
      </c>
      <c r="E239" s="1082"/>
      <c r="F239" s="1073"/>
      <c r="G239" s="1071"/>
      <c r="H239" s="1071"/>
      <c r="I239" s="1071"/>
      <c r="J239" s="1072"/>
      <c r="K239" s="1071">
        <v>1.0</v>
      </c>
      <c r="L239" s="1072"/>
      <c r="M239" s="1071"/>
      <c r="N239" s="1073"/>
      <c r="O239" s="1073"/>
      <c r="P239" s="1073"/>
      <c r="Q239" s="1073"/>
      <c r="R239" s="1072"/>
      <c r="S239" s="1071">
        <v>1.0</v>
      </c>
      <c r="T239" s="1072"/>
      <c r="U239" s="1073"/>
      <c r="V239" s="1073"/>
      <c r="W239" s="1073"/>
      <c r="X239" s="1073"/>
      <c r="Y239" s="1073"/>
    </row>
    <row r="240">
      <c r="A240" s="1074" t="s">
        <v>7520</v>
      </c>
      <c r="B240" s="1074" t="s">
        <v>2233</v>
      </c>
      <c r="C240" s="1075" t="s">
        <v>2216</v>
      </c>
      <c r="D240" s="1063">
        <f t="shared" si="6"/>
        <v>2</v>
      </c>
      <c r="E240" s="1080"/>
      <c r="F240" s="1077"/>
      <c r="G240" s="1078"/>
      <c r="H240" s="1078">
        <v>1.0</v>
      </c>
      <c r="I240" s="1078"/>
      <c r="J240" s="1079"/>
      <c r="K240" s="1078">
        <v>1.0</v>
      </c>
      <c r="L240" s="1079"/>
      <c r="M240" s="1077"/>
      <c r="N240" s="1077"/>
      <c r="O240" s="1077"/>
      <c r="P240" s="1077"/>
      <c r="Q240" s="1077"/>
      <c r="R240" s="1079"/>
      <c r="S240" s="1077"/>
      <c r="T240" s="1079"/>
      <c r="U240" s="1078"/>
      <c r="V240" s="1077"/>
      <c r="W240" s="1077"/>
      <c r="X240" s="1077"/>
      <c r="Y240" s="1077"/>
    </row>
    <row r="241">
      <c r="A241" s="1068" t="s">
        <v>7521</v>
      </c>
      <c r="B241" s="1068" t="s">
        <v>2282</v>
      </c>
      <c r="C241" s="1069" t="s">
        <v>2283</v>
      </c>
      <c r="D241" s="1063">
        <f t="shared" si="6"/>
        <v>2</v>
      </c>
      <c r="E241" s="1082"/>
      <c r="F241" s="1073"/>
      <c r="G241" s="1071">
        <v>1.0</v>
      </c>
      <c r="H241" s="1073"/>
      <c r="I241" s="1073"/>
      <c r="J241" s="1071">
        <v>1.0</v>
      </c>
      <c r="K241" s="1071"/>
      <c r="L241" s="1072"/>
      <c r="M241" s="1073"/>
      <c r="N241" s="1073"/>
      <c r="O241" s="1073"/>
      <c r="P241" s="1073"/>
      <c r="Q241" s="1073"/>
      <c r="R241" s="1072"/>
      <c r="S241" s="1073"/>
      <c r="T241" s="1071"/>
      <c r="U241" s="1073"/>
      <c r="V241" s="1073"/>
      <c r="W241" s="1073"/>
      <c r="X241" s="1073"/>
      <c r="Y241" s="1073"/>
    </row>
    <row r="242">
      <c r="A242" s="1074" t="s">
        <v>7522</v>
      </c>
      <c r="B242" s="1074" t="s">
        <v>2304</v>
      </c>
      <c r="C242" s="1075" t="s">
        <v>2283</v>
      </c>
      <c r="D242" s="1063">
        <f t="shared" si="6"/>
        <v>2</v>
      </c>
      <c r="E242" s="1080"/>
      <c r="F242" s="1078"/>
      <c r="G242" s="1078"/>
      <c r="H242" s="1078"/>
      <c r="I242" s="1078">
        <v>1.0</v>
      </c>
      <c r="J242" s="1079"/>
      <c r="K242" s="1077"/>
      <c r="L242" s="1079"/>
      <c r="M242" s="1078"/>
      <c r="N242" s="1077"/>
      <c r="O242" s="1077"/>
      <c r="P242" s="1078">
        <v>1.0</v>
      </c>
      <c r="Q242" s="1078"/>
      <c r="R242" s="1079"/>
      <c r="S242" s="1077"/>
      <c r="T242" s="1079"/>
      <c r="U242" s="1077"/>
      <c r="V242" s="1077"/>
      <c r="W242" s="1077"/>
      <c r="X242" s="1077"/>
      <c r="Y242" s="1077"/>
    </row>
    <row r="243">
      <c r="A243" s="1068" t="s">
        <v>7524</v>
      </c>
      <c r="B243" s="1068" t="s">
        <v>1969</v>
      </c>
      <c r="C243" s="1069" t="s">
        <v>2329</v>
      </c>
      <c r="D243" s="1063">
        <f t="shared" si="6"/>
        <v>2</v>
      </c>
      <c r="E243" s="1070">
        <v>1.0</v>
      </c>
      <c r="F243" s="1071">
        <v>1.0</v>
      </c>
      <c r="G243" s="1073"/>
      <c r="H243" s="1073"/>
      <c r="I243" s="1073"/>
      <c r="J243" s="1072"/>
      <c r="K243" s="1073"/>
      <c r="L243" s="1072"/>
      <c r="M243" s="1073"/>
      <c r="N243" s="1073"/>
      <c r="O243" s="1073"/>
      <c r="P243" s="1073"/>
      <c r="Q243" s="1073"/>
      <c r="R243" s="1072"/>
      <c r="S243" s="1072"/>
      <c r="T243" s="1072"/>
      <c r="U243" s="1073"/>
      <c r="V243" s="1073"/>
      <c r="W243" s="1073"/>
      <c r="X243" s="1073"/>
      <c r="Y243" s="1073"/>
    </row>
    <row r="244">
      <c r="A244" s="1074" t="s">
        <v>7412</v>
      </c>
      <c r="B244" s="1074" t="s">
        <v>2335</v>
      </c>
      <c r="C244" s="1075" t="s">
        <v>2329</v>
      </c>
      <c r="D244" s="1063">
        <f t="shared" si="6"/>
        <v>2</v>
      </c>
      <c r="E244" s="1080"/>
      <c r="F244" s="1079"/>
      <c r="G244" s="1078"/>
      <c r="H244" s="1079"/>
      <c r="I244" s="1078"/>
      <c r="J244" s="1078"/>
      <c r="K244" s="1078"/>
      <c r="L244" s="1079"/>
      <c r="M244" s="1079"/>
      <c r="N244" s="1078"/>
      <c r="O244" s="1079"/>
      <c r="P244" s="1078" t="s">
        <v>1</v>
      </c>
      <c r="Q244" s="1078">
        <v>1.0</v>
      </c>
      <c r="R244" s="1078">
        <v>1.0</v>
      </c>
      <c r="S244" s="1079"/>
      <c r="T244" s="1079"/>
      <c r="U244" s="1079"/>
      <c r="V244" s="1079"/>
      <c r="W244" s="1079"/>
      <c r="X244" s="1079"/>
      <c r="Y244" s="1079"/>
    </row>
    <row r="245">
      <c r="A245" s="1068" t="s">
        <v>7074</v>
      </c>
      <c r="B245" s="1068" t="s">
        <v>33</v>
      </c>
      <c r="C245" s="1069" t="s">
        <v>34</v>
      </c>
      <c r="D245" s="1063">
        <f t="shared" si="6"/>
        <v>1</v>
      </c>
      <c r="E245" s="1070">
        <v>1.0</v>
      </c>
      <c r="F245" s="1073"/>
      <c r="G245" s="1071"/>
      <c r="H245" s="1071"/>
      <c r="I245" s="1073"/>
      <c r="J245" s="1071"/>
      <c r="K245" s="1071"/>
      <c r="L245" s="1073"/>
      <c r="M245" s="1072"/>
      <c r="N245" s="1072"/>
      <c r="O245" s="1071"/>
      <c r="P245" s="1073"/>
      <c r="Q245" s="1072"/>
      <c r="R245" s="1073"/>
      <c r="S245" s="1073"/>
      <c r="T245" s="1073"/>
      <c r="U245" s="1072"/>
      <c r="V245" s="1073"/>
      <c r="W245" s="1073"/>
      <c r="X245" s="1073"/>
      <c r="Y245" s="1073"/>
    </row>
    <row r="246">
      <c r="A246" s="1087" t="s">
        <v>7203</v>
      </c>
      <c r="B246" s="1074" t="s">
        <v>111</v>
      </c>
      <c r="C246" s="1075" t="s">
        <v>114</v>
      </c>
      <c r="D246" s="1063">
        <f t="shared" si="6"/>
        <v>1</v>
      </c>
      <c r="E246" s="1080">
        <v>1.0</v>
      </c>
      <c r="F246" s="1077"/>
      <c r="G246" s="1077"/>
      <c r="H246" s="1079"/>
      <c r="I246" s="1077"/>
      <c r="J246" s="1077"/>
      <c r="K246" s="1079"/>
      <c r="L246" s="1079"/>
      <c r="M246" s="1079"/>
      <c r="N246" s="1077"/>
      <c r="O246" s="1079"/>
      <c r="P246" s="1079"/>
      <c r="Q246" s="1079"/>
      <c r="R246" s="1079"/>
      <c r="S246" s="1079"/>
      <c r="T246" s="1077"/>
      <c r="U246" s="1077"/>
      <c r="V246" s="1077"/>
      <c r="W246" s="1077"/>
      <c r="X246" s="1077"/>
      <c r="Y246" s="1077"/>
    </row>
    <row r="247">
      <c r="A247" s="1068" t="s">
        <v>7318</v>
      </c>
      <c r="B247" s="1068" t="s">
        <v>202</v>
      </c>
      <c r="C247" s="1069" t="s">
        <v>114</v>
      </c>
      <c r="D247" s="1063">
        <f t="shared" si="6"/>
        <v>1</v>
      </c>
      <c r="E247" s="1082"/>
      <c r="F247" s="1073"/>
      <c r="G247" s="1073"/>
      <c r="H247" s="1073"/>
      <c r="I247" s="1073"/>
      <c r="J247" s="1073"/>
      <c r="K247" s="1073"/>
      <c r="L247" s="1072"/>
      <c r="M247" s="1073"/>
      <c r="N247" s="1071"/>
      <c r="O247" s="1073"/>
      <c r="P247" s="1073"/>
      <c r="Q247" s="1073"/>
      <c r="R247" s="1073"/>
      <c r="S247" s="1073"/>
      <c r="T247" s="1073"/>
      <c r="U247" s="1071">
        <v>1.0</v>
      </c>
      <c r="V247" s="1073"/>
      <c r="W247" s="1073"/>
      <c r="X247" s="1073"/>
      <c r="Y247" s="1073"/>
    </row>
    <row r="248">
      <c r="A248" s="1074" t="s">
        <v>7334</v>
      </c>
      <c r="B248" s="1074" t="s">
        <v>315</v>
      </c>
      <c r="C248" s="1075" t="s">
        <v>316</v>
      </c>
      <c r="D248" s="1063">
        <f t="shared" si="6"/>
        <v>1</v>
      </c>
      <c r="E248" s="1080"/>
      <c r="F248" s="1079"/>
      <c r="G248" s="1078"/>
      <c r="H248" s="1078"/>
      <c r="I248" s="1079"/>
      <c r="J248" s="1078"/>
      <c r="K248" s="1079"/>
      <c r="L248" s="1079"/>
      <c r="M248" s="1079"/>
      <c r="N248" s="1077"/>
      <c r="O248" s="1077"/>
      <c r="P248" s="1077"/>
      <c r="Q248" s="1077"/>
      <c r="R248" s="1077"/>
      <c r="S248" s="1077"/>
      <c r="T248" s="1078">
        <v>1.0</v>
      </c>
      <c r="U248" s="1077"/>
      <c r="V248" s="1077"/>
      <c r="W248" s="1077"/>
      <c r="X248" s="1077"/>
      <c r="Y248" s="1077"/>
    </row>
    <row r="249">
      <c r="A249" s="1068" t="s">
        <v>7334</v>
      </c>
      <c r="B249" s="1068" t="s">
        <v>364</v>
      </c>
      <c r="C249" s="1069" t="s">
        <v>366</v>
      </c>
      <c r="D249" s="1063">
        <f t="shared" si="6"/>
        <v>1</v>
      </c>
      <c r="E249" s="1084"/>
      <c r="F249" s="1073"/>
      <c r="G249" s="1073"/>
      <c r="H249" s="1072"/>
      <c r="I249" s="1071">
        <v>1.0</v>
      </c>
      <c r="J249" s="1073"/>
      <c r="K249" s="1072"/>
      <c r="L249" s="1073"/>
      <c r="M249" s="1071"/>
      <c r="N249" s="1072"/>
      <c r="O249" s="1071"/>
      <c r="P249" s="1072"/>
      <c r="Q249" s="1071"/>
      <c r="R249" s="1071"/>
      <c r="S249" s="1072"/>
      <c r="T249" s="1072"/>
      <c r="U249" s="1072"/>
      <c r="V249" s="1073"/>
      <c r="W249" s="1073"/>
      <c r="X249" s="1073"/>
      <c r="Y249" s="1073"/>
    </row>
    <row r="250">
      <c r="A250" s="1074" t="s">
        <v>7506</v>
      </c>
      <c r="B250" s="1074" t="s">
        <v>371</v>
      </c>
      <c r="C250" s="1075" t="s">
        <v>366</v>
      </c>
      <c r="D250" s="1063">
        <f t="shared" si="6"/>
        <v>1</v>
      </c>
      <c r="E250" s="1086"/>
      <c r="F250" s="1077"/>
      <c r="G250" s="1078"/>
      <c r="H250" s="1078"/>
      <c r="I250" s="1079"/>
      <c r="J250" s="1079"/>
      <c r="K250" s="1079"/>
      <c r="L250" s="1079"/>
      <c r="M250" s="1079"/>
      <c r="N250" s="1079"/>
      <c r="O250" s="1079"/>
      <c r="P250" s="1079"/>
      <c r="Q250" s="1079"/>
      <c r="R250" s="1079"/>
      <c r="S250" s="1079"/>
      <c r="T250" s="1079"/>
      <c r="U250" s="1077"/>
      <c r="V250" s="1079"/>
      <c r="W250" s="1077"/>
      <c r="X250" s="1077"/>
      <c r="Y250" s="1078">
        <v>1.0</v>
      </c>
    </row>
    <row r="251">
      <c r="A251" s="1068" t="s">
        <v>7096</v>
      </c>
      <c r="B251" s="1068" t="s">
        <v>466</v>
      </c>
      <c r="C251" s="1069" t="s">
        <v>446</v>
      </c>
      <c r="D251" s="1063">
        <f t="shared" si="6"/>
        <v>1</v>
      </c>
      <c r="E251" s="1070">
        <v>1.0</v>
      </c>
      <c r="F251" s="1073"/>
      <c r="G251" s="1072"/>
      <c r="H251" s="1072"/>
      <c r="I251" s="1071"/>
      <c r="J251" s="1072"/>
      <c r="K251" s="1073"/>
      <c r="L251" s="1073"/>
      <c r="M251" s="1073"/>
      <c r="N251" s="1073"/>
      <c r="O251" s="1073"/>
      <c r="P251" s="1072"/>
      <c r="Q251" s="1073"/>
      <c r="R251" s="1073"/>
      <c r="S251" s="1072"/>
      <c r="T251" s="1072"/>
      <c r="U251" s="1072"/>
      <c r="V251" s="1072"/>
      <c r="W251" s="1072"/>
      <c r="X251" s="1072"/>
      <c r="Y251" s="1072"/>
    </row>
    <row r="252">
      <c r="A252" s="1074" t="s">
        <v>7307</v>
      </c>
      <c r="B252" s="1074" t="s">
        <v>491</v>
      </c>
      <c r="C252" s="1075" t="s">
        <v>446</v>
      </c>
      <c r="D252" s="1063">
        <f t="shared" si="6"/>
        <v>1</v>
      </c>
      <c r="E252" s="1080">
        <v>1.0</v>
      </c>
      <c r="F252" s="1077"/>
      <c r="G252" s="1077"/>
      <c r="H252" s="1077"/>
      <c r="I252" s="1077"/>
      <c r="J252" s="1079"/>
      <c r="K252" s="1077"/>
      <c r="L252" s="1079"/>
      <c r="M252" s="1079"/>
      <c r="N252" s="1079"/>
      <c r="O252" s="1079"/>
      <c r="P252" s="1077"/>
      <c r="Q252" s="1079"/>
      <c r="R252" s="1079"/>
      <c r="S252" s="1077"/>
      <c r="T252" s="1079"/>
      <c r="U252" s="1077"/>
      <c r="V252" s="1077"/>
      <c r="W252" s="1077"/>
      <c r="X252" s="1079"/>
      <c r="Y252" s="1079"/>
    </row>
    <row r="253">
      <c r="A253" s="1068" t="s">
        <v>513</v>
      </c>
      <c r="B253" s="1068" t="s">
        <v>514</v>
      </c>
      <c r="C253" s="1069" t="s">
        <v>446</v>
      </c>
      <c r="D253" s="1063">
        <f t="shared" si="6"/>
        <v>1</v>
      </c>
      <c r="E253" s="1084"/>
      <c r="F253" s="1072"/>
      <c r="G253" s="1072"/>
      <c r="H253" s="1072"/>
      <c r="I253" s="1072"/>
      <c r="J253" s="1073"/>
      <c r="K253" s="1072"/>
      <c r="L253" s="1071"/>
      <c r="M253" s="1071"/>
      <c r="N253" s="1073"/>
      <c r="O253" s="1071">
        <v>1.0</v>
      </c>
      <c r="P253" s="1072"/>
      <c r="Q253" s="1073"/>
      <c r="R253" s="1073"/>
      <c r="S253" s="1073"/>
      <c r="T253" s="1073"/>
      <c r="U253" s="1073"/>
      <c r="V253" s="1073"/>
      <c r="W253" s="1072"/>
      <c r="X253" s="1073"/>
      <c r="Y253" s="1073"/>
    </row>
    <row r="254">
      <c r="A254" s="1074" t="s">
        <v>7527</v>
      </c>
      <c r="B254" s="1074" t="s">
        <v>543</v>
      </c>
      <c r="C254" s="1075" t="s">
        <v>446</v>
      </c>
      <c r="D254" s="1063">
        <f t="shared" si="6"/>
        <v>1</v>
      </c>
      <c r="E254" s="1076"/>
      <c r="F254" s="1077"/>
      <c r="G254" s="1077"/>
      <c r="H254" s="1078">
        <v>1.0</v>
      </c>
      <c r="I254" s="1077"/>
      <c r="J254" s="1079"/>
      <c r="K254" s="1079"/>
      <c r="L254" s="1079"/>
      <c r="M254" s="1079"/>
      <c r="N254" s="1077"/>
      <c r="O254" s="1079"/>
      <c r="P254" s="1077"/>
      <c r="Q254" s="1077"/>
      <c r="R254" s="1079"/>
      <c r="S254" s="1079"/>
      <c r="T254" s="1077"/>
      <c r="U254" s="1077"/>
      <c r="V254" s="1077"/>
      <c r="W254" s="1077"/>
      <c r="X254" s="1077"/>
      <c r="Y254" s="1077"/>
    </row>
    <row r="255">
      <c r="A255" s="1068" t="s">
        <v>7528</v>
      </c>
      <c r="B255" s="1068" t="s">
        <v>7529</v>
      </c>
      <c r="C255" s="1069" t="s">
        <v>446</v>
      </c>
      <c r="D255" s="1063">
        <f t="shared" si="6"/>
        <v>1</v>
      </c>
      <c r="E255" s="1084"/>
      <c r="F255" s="1073"/>
      <c r="G255" s="1073"/>
      <c r="H255" s="1071">
        <v>1.0</v>
      </c>
      <c r="I255" s="1072"/>
      <c r="J255" s="1072"/>
      <c r="K255" s="1072"/>
      <c r="L255" s="1072"/>
      <c r="M255" s="1072"/>
      <c r="N255" s="1072"/>
      <c r="O255" s="1072"/>
      <c r="P255" s="1072"/>
      <c r="Q255" s="1072"/>
      <c r="R255" s="1071"/>
      <c r="S255" s="1072"/>
      <c r="T255" s="1072"/>
      <c r="U255" s="1073"/>
      <c r="V255" s="1073"/>
      <c r="W255" s="1073"/>
      <c r="X255" s="1073"/>
      <c r="Y255" s="1073"/>
    </row>
    <row r="256">
      <c r="A256" s="1074" t="s">
        <v>558</v>
      </c>
      <c r="B256" s="1074" t="s">
        <v>460</v>
      </c>
      <c r="C256" s="1075" t="s">
        <v>446</v>
      </c>
      <c r="D256" s="1063">
        <f t="shared" si="6"/>
        <v>1</v>
      </c>
      <c r="E256" s="1086"/>
      <c r="F256" s="1079"/>
      <c r="G256" s="1078"/>
      <c r="H256" s="1079"/>
      <c r="I256" s="1078">
        <v>1.0</v>
      </c>
      <c r="J256" s="1079"/>
      <c r="K256" s="1079"/>
      <c r="L256" s="1078"/>
      <c r="M256" s="1077"/>
      <c r="N256" s="1078"/>
      <c r="O256" s="1079"/>
      <c r="P256" s="1079"/>
      <c r="Q256" s="1077"/>
      <c r="R256" s="1079"/>
      <c r="S256" s="1079"/>
      <c r="T256" s="1077"/>
      <c r="U256" s="1077"/>
      <c r="V256" s="1077"/>
      <c r="W256" s="1077"/>
      <c r="X256" s="1077"/>
      <c r="Y256" s="1077"/>
    </row>
    <row r="257">
      <c r="A257" s="1068" t="s">
        <v>7443</v>
      </c>
      <c r="B257" s="1068" t="s">
        <v>578</v>
      </c>
      <c r="C257" s="1069" t="s">
        <v>579</v>
      </c>
      <c r="D257" s="1063">
        <f t="shared" si="6"/>
        <v>1</v>
      </c>
      <c r="E257" s="1084"/>
      <c r="F257" s="1073"/>
      <c r="G257" s="1072"/>
      <c r="H257" s="1072"/>
      <c r="I257" s="1072"/>
      <c r="J257" s="1071"/>
      <c r="K257" s="1071">
        <v>1.0</v>
      </c>
      <c r="L257" s="1072"/>
      <c r="M257" s="1072"/>
      <c r="N257" s="1072"/>
      <c r="O257" s="1073"/>
      <c r="P257" s="1072"/>
      <c r="Q257" s="1072"/>
      <c r="R257" s="1073"/>
      <c r="S257" s="1073"/>
      <c r="T257" s="1072"/>
      <c r="U257" s="1073"/>
      <c r="V257" s="1072"/>
      <c r="W257" s="1073"/>
      <c r="X257" s="1073"/>
      <c r="Y257" s="1073"/>
    </row>
    <row r="258">
      <c r="A258" s="1074" t="s">
        <v>625</v>
      </c>
      <c r="B258" s="1074" t="s">
        <v>626</v>
      </c>
      <c r="C258" s="1075" t="s">
        <v>627</v>
      </c>
      <c r="D258" s="1063">
        <f t="shared" si="6"/>
        <v>1</v>
      </c>
      <c r="E258" s="1086"/>
      <c r="F258" s="1079"/>
      <c r="G258" s="1079"/>
      <c r="H258" s="1078">
        <v>1.0</v>
      </c>
      <c r="I258" s="1078"/>
      <c r="J258" s="1077"/>
      <c r="K258" s="1078"/>
      <c r="L258" s="1077"/>
      <c r="M258" s="1079"/>
      <c r="N258" s="1079"/>
      <c r="O258" s="1077"/>
      <c r="P258" s="1077"/>
      <c r="Q258" s="1077"/>
      <c r="R258" s="1077"/>
      <c r="S258" s="1077"/>
      <c r="T258" s="1077"/>
      <c r="U258" s="1077"/>
      <c r="V258" s="1077"/>
      <c r="W258" s="1077"/>
      <c r="X258" s="1077"/>
      <c r="Y258" s="1077"/>
    </row>
    <row r="259">
      <c r="A259" s="1068" t="s">
        <v>7434</v>
      </c>
      <c r="B259" s="1068" t="s">
        <v>626</v>
      </c>
      <c r="C259" s="1069" t="s">
        <v>627</v>
      </c>
      <c r="D259" s="1063">
        <f t="shared" si="6"/>
        <v>1</v>
      </c>
      <c r="E259" s="1084"/>
      <c r="F259" s="1071"/>
      <c r="G259" s="1072"/>
      <c r="H259" s="1071">
        <v>1.0</v>
      </c>
      <c r="I259" s="1072"/>
      <c r="J259" s="1073"/>
      <c r="K259" s="1072"/>
      <c r="L259" s="1072"/>
      <c r="M259" s="1072"/>
      <c r="N259" s="1073"/>
      <c r="O259" s="1073"/>
      <c r="P259" s="1072"/>
      <c r="Q259" s="1073"/>
      <c r="R259" s="1072"/>
      <c r="S259" s="1073"/>
      <c r="T259" s="1073"/>
      <c r="U259" s="1073"/>
      <c r="V259" s="1073"/>
      <c r="W259" s="1073"/>
      <c r="X259" s="1072"/>
      <c r="Y259" s="1072"/>
    </row>
    <row r="260">
      <c r="A260" s="1074" t="s">
        <v>7052</v>
      </c>
      <c r="B260" s="1074" t="s">
        <v>674</v>
      </c>
      <c r="C260" s="1075" t="s">
        <v>656</v>
      </c>
      <c r="D260" s="1063">
        <f t="shared" si="6"/>
        <v>1</v>
      </c>
      <c r="E260" s="1086"/>
      <c r="F260" s="1079"/>
      <c r="G260" s="1079"/>
      <c r="H260" s="1079"/>
      <c r="I260" s="1078">
        <v>1.0</v>
      </c>
      <c r="J260" s="1079"/>
      <c r="K260" s="1079"/>
      <c r="L260" s="1079"/>
      <c r="M260" s="1079"/>
      <c r="N260" s="1079"/>
      <c r="O260" s="1077"/>
      <c r="P260" s="1079"/>
      <c r="Q260" s="1079"/>
      <c r="R260" s="1079"/>
      <c r="S260" s="1077"/>
      <c r="T260" s="1079"/>
      <c r="U260" s="1079"/>
      <c r="V260" s="1079"/>
      <c r="W260" s="1077"/>
      <c r="X260" s="1077"/>
      <c r="Y260" s="1077"/>
    </row>
    <row r="261">
      <c r="A261" s="1068" t="s">
        <v>7059</v>
      </c>
      <c r="B261" s="1068" t="s">
        <v>655</v>
      </c>
      <c r="C261" s="1069" t="s">
        <v>656</v>
      </c>
      <c r="D261" s="1063">
        <f t="shared" si="6"/>
        <v>1</v>
      </c>
      <c r="E261" s="1070"/>
      <c r="F261" s="1073"/>
      <c r="G261" s="1072"/>
      <c r="H261" s="1071">
        <v>1.0</v>
      </c>
      <c r="I261" s="1071"/>
      <c r="J261" s="1073"/>
      <c r="K261" s="1072"/>
      <c r="L261" s="1071"/>
      <c r="M261" s="1072"/>
      <c r="N261" s="1073"/>
      <c r="O261" s="1073"/>
      <c r="P261" s="1072"/>
      <c r="Q261" s="1073"/>
      <c r="R261" s="1072"/>
      <c r="S261" s="1073"/>
      <c r="T261" s="1073"/>
      <c r="U261" s="1072"/>
      <c r="V261" s="1073"/>
      <c r="W261" s="1072"/>
      <c r="X261" s="1072"/>
      <c r="Y261" s="1072"/>
    </row>
    <row r="262">
      <c r="A262" s="1074" t="s">
        <v>7526</v>
      </c>
      <c r="B262" s="1074" t="s">
        <v>700</v>
      </c>
      <c r="C262" s="1075" t="s">
        <v>656</v>
      </c>
      <c r="D262" s="1063">
        <f t="shared" si="6"/>
        <v>1</v>
      </c>
      <c r="E262" s="1080">
        <v>1.0</v>
      </c>
      <c r="F262" s="1078"/>
      <c r="G262" s="1077"/>
      <c r="H262" s="1078"/>
      <c r="I262" s="1078"/>
      <c r="J262" s="1079"/>
      <c r="K262" s="1079"/>
      <c r="L262" s="1079"/>
      <c r="M262" s="1079"/>
      <c r="N262" s="1079"/>
      <c r="O262" s="1079"/>
      <c r="P262" s="1077"/>
      <c r="Q262" s="1077"/>
      <c r="R262" s="1079"/>
      <c r="S262" s="1079"/>
      <c r="T262" s="1077"/>
      <c r="U262" s="1077"/>
      <c r="V262" s="1077"/>
      <c r="W262" s="1077"/>
      <c r="X262" s="1077"/>
      <c r="Y262" s="1077"/>
    </row>
    <row r="263">
      <c r="A263" s="1068" t="s">
        <v>7534</v>
      </c>
      <c r="B263" s="1068" t="s">
        <v>712</v>
      </c>
      <c r="C263" s="1069" t="s">
        <v>656</v>
      </c>
      <c r="D263" s="1063">
        <f t="shared" si="6"/>
        <v>1</v>
      </c>
      <c r="E263" s="1070">
        <v>1.0</v>
      </c>
      <c r="F263" s="1072"/>
      <c r="G263" s="1072"/>
      <c r="H263" s="1072"/>
      <c r="I263" s="1071"/>
      <c r="J263" s="1072"/>
      <c r="K263" s="1072"/>
      <c r="L263" s="1073"/>
      <c r="M263" s="1072"/>
      <c r="N263" s="1072"/>
      <c r="O263" s="1073"/>
      <c r="P263" s="1073"/>
      <c r="Q263" s="1072"/>
      <c r="R263" s="1073"/>
      <c r="S263" s="1073"/>
      <c r="T263" s="1073"/>
      <c r="U263" s="1073"/>
      <c r="V263" s="1073"/>
      <c r="W263" s="1073"/>
      <c r="X263" s="1073"/>
      <c r="Y263" s="1073"/>
    </row>
    <row r="264">
      <c r="A264" s="1074" t="s">
        <v>7315</v>
      </c>
      <c r="B264" s="1074" t="s">
        <v>747</v>
      </c>
      <c r="C264" s="1075" t="s">
        <v>750</v>
      </c>
      <c r="D264" s="1063">
        <f t="shared" si="6"/>
        <v>1</v>
      </c>
      <c r="E264" s="1076"/>
      <c r="F264" s="1078">
        <v>1.0</v>
      </c>
      <c r="G264" s="1077"/>
      <c r="H264" s="1079"/>
      <c r="I264" s="1079"/>
      <c r="J264" s="1079"/>
      <c r="K264" s="1078"/>
      <c r="L264" s="1079"/>
      <c r="M264" s="1077"/>
      <c r="N264" s="1078"/>
      <c r="O264" s="1078"/>
      <c r="P264" s="1079"/>
      <c r="Q264" s="1079"/>
      <c r="R264" s="1077"/>
      <c r="S264" s="1079"/>
      <c r="T264" s="1079"/>
      <c r="U264" s="1077"/>
      <c r="V264" s="1077"/>
      <c r="W264" s="1077"/>
      <c r="X264" s="1077"/>
      <c r="Y264" s="1077"/>
    </row>
    <row r="265">
      <c r="A265" s="1068" t="s">
        <v>7536</v>
      </c>
      <c r="B265" s="1068" t="s">
        <v>7537</v>
      </c>
      <c r="C265" s="1069" t="s">
        <v>770</v>
      </c>
      <c r="D265" s="1063">
        <f t="shared" si="6"/>
        <v>1</v>
      </c>
      <c r="E265" s="1070"/>
      <c r="F265" s="1073"/>
      <c r="G265" s="1073"/>
      <c r="H265" s="1071"/>
      <c r="I265" s="1071"/>
      <c r="J265" s="1071"/>
      <c r="K265" s="1072"/>
      <c r="L265" s="1072"/>
      <c r="M265" s="1071"/>
      <c r="N265" s="1072"/>
      <c r="O265" s="1073"/>
      <c r="P265" s="1072"/>
      <c r="Q265" s="1073"/>
      <c r="R265" s="1072"/>
      <c r="S265" s="1072"/>
      <c r="T265" s="1073"/>
      <c r="U265" s="1073"/>
      <c r="V265" s="1073"/>
      <c r="W265" s="1073"/>
      <c r="X265" s="1073"/>
      <c r="Y265" s="1071">
        <v>1.0</v>
      </c>
    </row>
    <row r="266">
      <c r="A266" s="1074" t="s">
        <v>7538</v>
      </c>
      <c r="B266" s="1074" t="s">
        <v>789</v>
      </c>
      <c r="C266" s="1075" t="s">
        <v>792</v>
      </c>
      <c r="D266" s="1063">
        <f t="shared" si="6"/>
        <v>1</v>
      </c>
      <c r="E266" s="1080"/>
      <c r="F266" s="1078">
        <v>1.0</v>
      </c>
      <c r="G266" s="1078"/>
      <c r="H266" s="1079"/>
      <c r="I266" s="1079"/>
      <c r="J266" s="1078"/>
      <c r="K266" s="1079"/>
      <c r="L266" s="1077"/>
      <c r="M266" s="1079"/>
      <c r="N266" s="1077"/>
      <c r="O266" s="1079"/>
      <c r="P266" s="1077"/>
      <c r="Q266" s="1077"/>
      <c r="R266" s="1077"/>
      <c r="S266" s="1079"/>
      <c r="T266" s="1077"/>
      <c r="U266" s="1077"/>
      <c r="V266" s="1077"/>
      <c r="W266" s="1077"/>
      <c r="X266" s="1079"/>
      <c r="Y266" s="1079"/>
    </row>
    <row r="267">
      <c r="A267" s="1068" t="s">
        <v>7068</v>
      </c>
      <c r="B267" s="1068" t="s">
        <v>811</v>
      </c>
      <c r="C267" s="1069" t="s">
        <v>812</v>
      </c>
      <c r="D267" s="1063">
        <f t="shared" si="6"/>
        <v>1</v>
      </c>
      <c r="E267" s="1082"/>
      <c r="F267" s="1073"/>
      <c r="G267" s="1073"/>
      <c r="H267" s="1072"/>
      <c r="I267" s="1073"/>
      <c r="J267" s="1071"/>
      <c r="K267" s="1071">
        <v>1.0</v>
      </c>
      <c r="L267" s="1072"/>
      <c r="M267" s="1072"/>
      <c r="N267" s="1073"/>
      <c r="O267" s="1072"/>
      <c r="P267" s="1072"/>
      <c r="Q267" s="1072"/>
      <c r="R267" s="1072"/>
      <c r="S267" s="1072"/>
      <c r="T267" s="1073"/>
      <c r="U267" s="1072"/>
      <c r="V267" s="1073"/>
      <c r="W267" s="1073"/>
      <c r="X267" s="1073"/>
      <c r="Y267" s="1073"/>
    </row>
    <row r="268">
      <c r="A268" s="1074" t="s">
        <v>7533</v>
      </c>
      <c r="B268" s="1074" t="s">
        <v>816</v>
      </c>
      <c r="C268" s="1075" t="s">
        <v>812</v>
      </c>
      <c r="D268" s="1063">
        <f t="shared" si="6"/>
        <v>1</v>
      </c>
      <c r="E268" s="1086"/>
      <c r="F268" s="1077"/>
      <c r="G268" s="1078"/>
      <c r="H268" s="1079"/>
      <c r="I268" s="1079"/>
      <c r="J268" s="1079"/>
      <c r="K268" s="1079"/>
      <c r="L268" s="1079"/>
      <c r="M268" s="1079"/>
      <c r="N268" s="1079"/>
      <c r="O268" s="1079"/>
      <c r="P268" s="1077"/>
      <c r="Q268" s="1079"/>
      <c r="R268" s="1079"/>
      <c r="S268" s="1079"/>
      <c r="T268" s="1079"/>
      <c r="U268" s="1077"/>
      <c r="V268" s="1077"/>
      <c r="W268" s="1077"/>
      <c r="X268" s="1077"/>
      <c r="Y268" s="1078">
        <v>1.0</v>
      </c>
    </row>
    <row r="269">
      <c r="A269" s="1068" t="s">
        <v>7539</v>
      </c>
      <c r="B269" s="1068" t="s">
        <v>816</v>
      </c>
      <c r="C269" s="1069" t="s">
        <v>812</v>
      </c>
      <c r="D269" s="1063">
        <f t="shared" si="6"/>
        <v>1</v>
      </c>
      <c r="E269" s="1070"/>
      <c r="F269" s="1071"/>
      <c r="G269" s="1072"/>
      <c r="H269" s="1071">
        <v>1.0</v>
      </c>
      <c r="I269" s="1072"/>
      <c r="J269" s="1072"/>
      <c r="K269" s="1071"/>
      <c r="L269" s="1073"/>
      <c r="M269" s="1072"/>
      <c r="N269" s="1073"/>
      <c r="O269" s="1073"/>
      <c r="P269" s="1073"/>
      <c r="Q269" s="1073"/>
      <c r="R269" s="1073"/>
      <c r="S269" s="1073"/>
      <c r="T269" s="1073"/>
      <c r="U269" s="1073"/>
      <c r="V269" s="1073"/>
      <c r="W269" s="1073"/>
      <c r="X269" s="1073"/>
      <c r="Y269" s="1073"/>
    </row>
    <row r="270">
      <c r="A270" s="1074" t="s">
        <v>863</v>
      </c>
      <c r="B270" s="1074" t="s">
        <v>862</v>
      </c>
      <c r="C270" s="1075" t="s">
        <v>857</v>
      </c>
      <c r="D270" s="1063">
        <f t="shared" si="6"/>
        <v>1</v>
      </c>
      <c r="E270" s="1086"/>
      <c r="F270" s="1077"/>
      <c r="G270" s="1077"/>
      <c r="H270" s="1079"/>
      <c r="I270" s="1079"/>
      <c r="J270" s="1079"/>
      <c r="K270" s="1079"/>
      <c r="L270" s="1079"/>
      <c r="M270" s="1079"/>
      <c r="N270" s="1077"/>
      <c r="O270" s="1079"/>
      <c r="P270" s="1077"/>
      <c r="Q270" s="1078">
        <v>1.0</v>
      </c>
      <c r="R270" s="1077"/>
      <c r="S270" s="1079"/>
      <c r="T270" s="1077"/>
      <c r="U270" s="1077"/>
      <c r="V270" s="1077"/>
      <c r="W270" s="1077"/>
      <c r="X270" s="1077"/>
      <c r="Y270" s="1077"/>
    </row>
    <row r="271">
      <c r="A271" s="1068" t="s">
        <v>7530</v>
      </c>
      <c r="B271" s="1068" t="s">
        <v>862</v>
      </c>
      <c r="C271" s="1069" t="s">
        <v>857</v>
      </c>
      <c r="D271" s="1063">
        <f t="shared" si="6"/>
        <v>1</v>
      </c>
      <c r="E271" s="1082"/>
      <c r="F271" s="1073"/>
      <c r="G271" s="1073"/>
      <c r="H271" s="1071"/>
      <c r="I271" s="1073"/>
      <c r="J271" s="1073"/>
      <c r="K271" s="1073"/>
      <c r="L271" s="1072"/>
      <c r="M271" s="1073"/>
      <c r="N271" s="1073"/>
      <c r="O271" s="1073"/>
      <c r="P271" s="1071">
        <v>1.0</v>
      </c>
      <c r="Q271" s="1072"/>
      <c r="R271" s="1072"/>
      <c r="S271" s="1072"/>
      <c r="T271" s="1072"/>
      <c r="U271" s="1073"/>
      <c r="V271" s="1073"/>
      <c r="W271" s="1073"/>
      <c r="X271" s="1073"/>
      <c r="Y271" s="1073"/>
    </row>
    <row r="272">
      <c r="A272" s="1074" t="s">
        <v>7066</v>
      </c>
      <c r="B272" s="1074" t="s">
        <v>923</v>
      </c>
      <c r="C272" s="1075" t="s">
        <v>895</v>
      </c>
      <c r="D272" s="1063">
        <f t="shared" si="6"/>
        <v>1</v>
      </c>
      <c r="E272" s="1076"/>
      <c r="F272" s="1078"/>
      <c r="G272" s="1078">
        <v>1.0</v>
      </c>
      <c r="H272" s="1079"/>
      <c r="I272" s="1078"/>
      <c r="J272" s="1079"/>
      <c r="K272" s="1079"/>
      <c r="L272" s="1079"/>
      <c r="M272" s="1077"/>
      <c r="N272" s="1077"/>
      <c r="O272" s="1079"/>
      <c r="P272" s="1079"/>
      <c r="Q272" s="1077"/>
      <c r="R272" s="1079"/>
      <c r="S272" s="1079"/>
      <c r="T272" s="1077"/>
      <c r="U272" s="1077"/>
      <c r="V272" s="1077"/>
      <c r="W272" s="1077"/>
      <c r="X272" s="1077"/>
      <c r="Y272" s="1077"/>
    </row>
    <row r="273">
      <c r="A273" s="1068" t="s">
        <v>7209</v>
      </c>
      <c r="B273" s="1068" t="s">
        <v>906</v>
      </c>
      <c r="C273" s="1069" t="s">
        <v>895</v>
      </c>
      <c r="D273" s="1063">
        <f t="shared" si="6"/>
        <v>1</v>
      </c>
      <c r="E273" s="1082"/>
      <c r="F273" s="1071"/>
      <c r="G273" s="1071"/>
      <c r="H273" s="1072"/>
      <c r="I273" s="1072"/>
      <c r="J273" s="1071"/>
      <c r="K273" s="1072"/>
      <c r="L273" s="1072"/>
      <c r="M273" s="1071"/>
      <c r="N273" s="1072"/>
      <c r="O273" s="1072"/>
      <c r="P273" s="1072"/>
      <c r="Q273" s="1073"/>
      <c r="R273" s="1072"/>
      <c r="S273" s="1073"/>
      <c r="T273" s="1072"/>
      <c r="U273" s="1072"/>
      <c r="V273" s="1073"/>
      <c r="W273" s="1072"/>
      <c r="X273" s="1072"/>
      <c r="Y273" s="1071">
        <v>1.0</v>
      </c>
    </row>
    <row r="274">
      <c r="A274" s="1074" t="s">
        <v>7346</v>
      </c>
      <c r="B274" s="1074" t="s">
        <v>953</v>
      </c>
      <c r="C274" s="1075" t="s">
        <v>895</v>
      </c>
      <c r="D274" s="1063">
        <f t="shared" si="6"/>
        <v>1</v>
      </c>
      <c r="E274" s="1080"/>
      <c r="F274" s="1079"/>
      <c r="G274" s="1078"/>
      <c r="H274" s="1078"/>
      <c r="I274" s="1078"/>
      <c r="J274" s="1078">
        <v>1.0</v>
      </c>
      <c r="K274" s="1079"/>
      <c r="L274" s="1078"/>
      <c r="M274" s="1079"/>
      <c r="N274" s="1077"/>
      <c r="O274" s="1077"/>
      <c r="P274" s="1077"/>
      <c r="Q274" s="1077"/>
      <c r="R274" s="1079"/>
      <c r="S274" s="1077"/>
      <c r="T274" s="1077"/>
      <c r="U274" s="1077"/>
      <c r="V274" s="1077"/>
      <c r="W274" s="1077"/>
      <c r="X274" s="1077"/>
      <c r="Y274" s="1077"/>
    </row>
    <row r="275">
      <c r="A275" s="1068" t="s">
        <v>977</v>
      </c>
      <c r="B275" s="1068" t="s">
        <v>979</v>
      </c>
      <c r="C275" s="1069" t="s">
        <v>895</v>
      </c>
      <c r="D275" s="1063">
        <f t="shared" si="6"/>
        <v>1</v>
      </c>
      <c r="E275" s="1084"/>
      <c r="F275" s="1072"/>
      <c r="G275" s="1072"/>
      <c r="H275" s="1072"/>
      <c r="I275" s="1072"/>
      <c r="J275" s="1073"/>
      <c r="K275" s="1072"/>
      <c r="L275" s="1072"/>
      <c r="M275" s="1072"/>
      <c r="N275" s="1071">
        <v>1.0</v>
      </c>
      <c r="O275" s="1073"/>
      <c r="P275" s="1073"/>
      <c r="Q275" s="1072"/>
      <c r="R275" s="1073"/>
      <c r="S275" s="1073"/>
      <c r="T275" s="1072"/>
      <c r="U275" s="1073"/>
      <c r="V275" s="1073"/>
      <c r="W275" s="1072"/>
      <c r="X275" s="1072"/>
      <c r="Y275" s="1072"/>
    </row>
    <row r="276">
      <c r="A276" s="1074" t="s">
        <v>7541</v>
      </c>
      <c r="B276" s="1074" t="s">
        <v>757</v>
      </c>
      <c r="C276" s="1075" t="s">
        <v>1051</v>
      </c>
      <c r="D276" s="1063">
        <f t="shared" si="6"/>
        <v>1</v>
      </c>
      <c r="E276" s="1080"/>
      <c r="F276" s="1078">
        <v>1.0</v>
      </c>
      <c r="G276" s="1078"/>
      <c r="H276" s="1079"/>
      <c r="I276" s="1079"/>
      <c r="J276" s="1079"/>
      <c r="K276" s="1079"/>
      <c r="L276" s="1079"/>
      <c r="M276" s="1079"/>
      <c r="N276" s="1077"/>
      <c r="O276" s="1079"/>
      <c r="P276" s="1079"/>
      <c r="Q276" s="1079"/>
      <c r="R276" s="1079"/>
      <c r="S276" s="1079"/>
      <c r="T276" s="1079"/>
      <c r="U276" s="1077"/>
      <c r="V276" s="1079"/>
      <c r="W276" s="1077"/>
      <c r="X276" s="1079"/>
      <c r="Y276" s="1079"/>
    </row>
    <row r="277">
      <c r="A277" s="1122" t="s">
        <v>2921</v>
      </c>
      <c r="B277" s="1122" t="s">
        <v>7351</v>
      </c>
      <c r="C277" s="1139" t="s">
        <v>1157</v>
      </c>
      <c r="D277" s="1063">
        <f t="shared" si="6"/>
        <v>1</v>
      </c>
      <c r="E277" s="1084"/>
      <c r="F277" s="1071">
        <v>1.0</v>
      </c>
      <c r="G277" s="1073"/>
      <c r="H277" s="1072"/>
      <c r="I277" s="1072"/>
      <c r="J277" s="1072"/>
      <c r="K277" s="1072"/>
      <c r="L277" s="1072"/>
      <c r="M277" s="1072"/>
      <c r="N277" s="1073"/>
      <c r="O277" s="1073"/>
      <c r="P277" s="1072"/>
      <c r="Q277" s="1073"/>
      <c r="R277" s="1072"/>
      <c r="S277" s="1073"/>
      <c r="T277" s="1072"/>
      <c r="U277" s="1073"/>
      <c r="V277" s="1072"/>
      <c r="W277" s="1073"/>
      <c r="X277" s="1073"/>
      <c r="Y277" s="1073"/>
    </row>
    <row r="278">
      <c r="A278" s="1074" t="s">
        <v>7373</v>
      </c>
      <c r="B278" s="1074" t="s">
        <v>1184</v>
      </c>
      <c r="C278" s="1075" t="s">
        <v>1157</v>
      </c>
      <c r="D278" s="1063">
        <f t="shared" si="6"/>
        <v>1</v>
      </c>
      <c r="E278" s="1086"/>
      <c r="F278" s="1077"/>
      <c r="G278" s="1077"/>
      <c r="H278" s="1079"/>
      <c r="I278" s="1079"/>
      <c r="J278" s="1079"/>
      <c r="K278" s="1078"/>
      <c r="L278" s="1079"/>
      <c r="M278" s="1079"/>
      <c r="N278" s="1078">
        <v>1.0</v>
      </c>
      <c r="O278" s="1077"/>
      <c r="P278" s="1079"/>
      <c r="Q278" s="1079"/>
      <c r="R278" s="1079"/>
      <c r="S278" s="1079"/>
      <c r="T278" s="1077"/>
      <c r="U278" s="1079"/>
      <c r="V278" s="1077"/>
      <c r="W278" s="1077"/>
      <c r="X278" s="1077"/>
      <c r="Y278" s="1077"/>
    </row>
    <row r="279">
      <c r="A279" s="1122" t="s">
        <v>7544</v>
      </c>
      <c r="B279" s="1122" t="s">
        <v>7545</v>
      </c>
      <c r="C279" s="1139" t="s">
        <v>1157</v>
      </c>
      <c r="D279" s="1098">
        <v>1.0</v>
      </c>
      <c r="E279" s="1070">
        <v>1.0</v>
      </c>
      <c r="F279" s="1073"/>
      <c r="G279" s="1073"/>
      <c r="H279" s="1072"/>
      <c r="I279" s="1072"/>
      <c r="J279" s="1072"/>
      <c r="K279" s="1072"/>
      <c r="L279" s="1072"/>
      <c r="M279" s="1072"/>
      <c r="N279" s="1073"/>
      <c r="O279" s="1073"/>
      <c r="P279" s="1072"/>
      <c r="Q279" s="1073"/>
      <c r="R279" s="1072"/>
      <c r="S279" s="1073"/>
      <c r="T279" s="1072"/>
      <c r="U279" s="1073"/>
      <c r="V279" s="1072"/>
      <c r="W279" s="1073"/>
      <c r="X279" s="1073"/>
      <c r="Y279" s="1073"/>
    </row>
    <row r="280">
      <c r="A280" s="1087" t="s">
        <v>7513</v>
      </c>
      <c r="B280" s="1074" t="s">
        <v>1212</v>
      </c>
      <c r="C280" s="1075" t="s">
        <v>1157</v>
      </c>
      <c r="D280" s="1063">
        <f t="shared" ref="D280:D293" si="7">SUM(E280:Y280)</f>
        <v>1</v>
      </c>
      <c r="E280" s="1076"/>
      <c r="F280" s="1078"/>
      <c r="G280" s="1077"/>
      <c r="H280" s="1079"/>
      <c r="I280" s="1079"/>
      <c r="J280" s="1079"/>
      <c r="K280" s="1078">
        <v>1.0</v>
      </c>
      <c r="L280" s="1079"/>
      <c r="M280" s="1079"/>
      <c r="N280" s="1078"/>
      <c r="O280" s="1079"/>
      <c r="P280" s="1078"/>
      <c r="Q280" s="1077"/>
      <c r="R280" s="1079"/>
      <c r="S280" s="1077"/>
      <c r="T280" s="1077"/>
      <c r="U280" s="1079"/>
      <c r="V280" s="1077"/>
      <c r="W280" s="1077"/>
      <c r="X280" s="1077"/>
      <c r="Y280" s="1077"/>
    </row>
    <row r="281">
      <c r="A281" s="1068" t="s">
        <v>7321</v>
      </c>
      <c r="B281" s="1068" t="s">
        <v>1260</v>
      </c>
      <c r="C281" s="1069" t="s">
        <v>1261</v>
      </c>
      <c r="D281" s="1063">
        <f t="shared" si="7"/>
        <v>1</v>
      </c>
      <c r="E281" s="1082"/>
      <c r="F281" s="1073"/>
      <c r="G281" s="1073"/>
      <c r="H281" s="1072"/>
      <c r="I281" s="1072"/>
      <c r="J281" s="1071"/>
      <c r="K281" s="1072"/>
      <c r="L281" s="1072"/>
      <c r="M281" s="1072"/>
      <c r="N281" s="1072"/>
      <c r="O281" s="1072"/>
      <c r="P281" s="1072"/>
      <c r="Q281" s="1072"/>
      <c r="R281" s="1073"/>
      <c r="S281" s="1073"/>
      <c r="T281" s="1072"/>
      <c r="U281" s="1073"/>
      <c r="V281" s="1073"/>
      <c r="W281" s="1073"/>
      <c r="X281" s="1073"/>
      <c r="Y281" s="1071">
        <v>1.0</v>
      </c>
    </row>
    <row r="282">
      <c r="A282" s="1074" t="s">
        <v>7062</v>
      </c>
      <c r="B282" s="1074" t="s">
        <v>1284</v>
      </c>
      <c r="C282" s="1075" t="s">
        <v>1278</v>
      </c>
      <c r="D282" s="1063">
        <f t="shared" si="7"/>
        <v>1</v>
      </c>
      <c r="E282" s="1076"/>
      <c r="F282" s="1077"/>
      <c r="G282" s="1077"/>
      <c r="H282" s="1077"/>
      <c r="I282" s="1079"/>
      <c r="J282" s="1079"/>
      <c r="K282" s="1078"/>
      <c r="L282" s="1078"/>
      <c r="M282" s="1077"/>
      <c r="N282" s="1078">
        <v>1.0</v>
      </c>
      <c r="O282" s="1078"/>
      <c r="P282" s="1079"/>
      <c r="Q282" s="1079"/>
      <c r="R282" s="1077"/>
      <c r="S282" s="1077"/>
      <c r="T282" s="1077"/>
      <c r="U282" s="1077"/>
      <c r="V282" s="1077"/>
      <c r="W282" s="1077"/>
      <c r="X282" s="1077"/>
      <c r="Y282" s="1077"/>
    </row>
    <row r="283">
      <c r="A283" s="1068" t="s">
        <v>7073</v>
      </c>
      <c r="B283" s="1068" t="s">
        <v>1291</v>
      </c>
      <c r="C283" s="1069" t="s">
        <v>1278</v>
      </c>
      <c r="D283" s="1063">
        <f t="shared" si="7"/>
        <v>1</v>
      </c>
      <c r="E283" s="1070"/>
      <c r="F283" s="1071"/>
      <c r="G283" s="1071">
        <v>1.0</v>
      </c>
      <c r="H283" s="1073"/>
      <c r="I283" s="1071"/>
      <c r="J283" s="1073"/>
      <c r="K283" s="1073"/>
      <c r="L283" s="1073"/>
      <c r="M283" s="1073"/>
      <c r="N283" s="1073"/>
      <c r="O283" s="1072"/>
      <c r="P283" s="1072"/>
      <c r="Q283" s="1073"/>
      <c r="R283" s="1073"/>
      <c r="S283" s="1073"/>
      <c r="T283" s="1073"/>
      <c r="U283" s="1072"/>
      <c r="V283" s="1073"/>
      <c r="W283" s="1073"/>
      <c r="X283" s="1073"/>
      <c r="Y283" s="1073"/>
    </row>
    <row r="284">
      <c r="A284" s="1074" t="s">
        <v>7367</v>
      </c>
      <c r="B284" s="1074" t="s">
        <v>7368</v>
      </c>
      <c r="C284" s="1075" t="s">
        <v>1278</v>
      </c>
      <c r="D284" s="1063">
        <f t="shared" si="7"/>
        <v>1</v>
      </c>
      <c r="E284" s="1086"/>
      <c r="F284" s="1078"/>
      <c r="G284" s="1079"/>
      <c r="H284" s="1079"/>
      <c r="I284" s="1079"/>
      <c r="J284" s="1078">
        <v>1.0</v>
      </c>
      <c r="K284" s="1077"/>
      <c r="L284" s="1079"/>
      <c r="M284" s="1079"/>
      <c r="N284" s="1079"/>
      <c r="O284" s="1079"/>
      <c r="P284" s="1077"/>
      <c r="Q284" s="1079"/>
      <c r="R284" s="1077"/>
      <c r="S284" s="1077"/>
      <c r="T284" s="1079"/>
      <c r="U284" s="1079"/>
      <c r="V284" s="1077"/>
      <c r="W284" s="1077"/>
      <c r="X284" s="1077"/>
      <c r="Y284" s="1077"/>
    </row>
    <row r="285">
      <c r="A285" s="1068" t="s">
        <v>7542</v>
      </c>
      <c r="B285" s="1068" t="s">
        <v>1445</v>
      </c>
      <c r="C285" s="1069" t="s">
        <v>1278</v>
      </c>
      <c r="D285" s="1063">
        <f t="shared" si="7"/>
        <v>1</v>
      </c>
      <c r="E285" s="1082"/>
      <c r="F285" s="1071"/>
      <c r="G285" s="1073"/>
      <c r="H285" s="1071"/>
      <c r="I285" s="1072"/>
      <c r="J285" s="1071"/>
      <c r="K285" s="1072"/>
      <c r="L285" s="1072"/>
      <c r="M285" s="1072"/>
      <c r="N285" s="1071"/>
      <c r="O285" s="1073"/>
      <c r="P285" s="1073"/>
      <c r="Q285" s="1073"/>
      <c r="R285" s="1072"/>
      <c r="S285" s="1072"/>
      <c r="T285" s="1073"/>
      <c r="U285" s="1072"/>
      <c r="V285" s="1073"/>
      <c r="W285" s="1071">
        <v>1.0</v>
      </c>
      <c r="X285" s="1072"/>
      <c r="Y285" s="1071"/>
    </row>
    <row r="286">
      <c r="A286" s="1074" t="s">
        <v>7122</v>
      </c>
      <c r="B286" s="1074" t="s">
        <v>7125</v>
      </c>
      <c r="C286" s="1075" t="s">
        <v>1483</v>
      </c>
      <c r="D286" s="1063">
        <f t="shared" si="7"/>
        <v>1</v>
      </c>
      <c r="E286" s="1076"/>
      <c r="F286" s="1077"/>
      <c r="G286" s="1078">
        <v>1.0</v>
      </c>
      <c r="H286" s="1077"/>
      <c r="I286" s="1077"/>
      <c r="J286" s="1077"/>
      <c r="K286" s="1077"/>
      <c r="L286" s="1077"/>
      <c r="M286" s="1078"/>
      <c r="N286" s="1077"/>
      <c r="O286" s="1077"/>
      <c r="P286" s="1078"/>
      <c r="Q286" s="1077"/>
      <c r="R286" s="1077"/>
      <c r="S286" s="1077"/>
      <c r="T286" s="1077"/>
      <c r="U286" s="1077"/>
      <c r="V286" s="1077"/>
      <c r="W286" s="1077"/>
      <c r="X286" s="1077"/>
      <c r="Y286" s="1077"/>
    </row>
    <row r="287">
      <c r="A287" s="1068" t="s">
        <v>7378</v>
      </c>
      <c r="B287" s="1068" t="s">
        <v>1500</v>
      </c>
      <c r="C287" s="1069" t="s">
        <v>1483</v>
      </c>
      <c r="D287" s="1063">
        <f t="shared" si="7"/>
        <v>1</v>
      </c>
      <c r="E287" s="1084"/>
      <c r="F287" s="1073"/>
      <c r="G287" s="1073"/>
      <c r="H287" s="1073"/>
      <c r="I287" s="1072"/>
      <c r="J287" s="1071">
        <v>1.0</v>
      </c>
      <c r="K287" s="1072"/>
      <c r="L287" s="1073"/>
      <c r="M287" s="1071"/>
      <c r="N287" s="1072"/>
      <c r="O287" s="1072"/>
      <c r="P287" s="1073"/>
      <c r="Q287" s="1072"/>
      <c r="R287" s="1072"/>
      <c r="S287" s="1073"/>
      <c r="T287" s="1072"/>
      <c r="U287" s="1073"/>
      <c r="V287" s="1072"/>
      <c r="W287" s="1073"/>
      <c r="X287" s="1073"/>
      <c r="Y287" s="1073"/>
    </row>
    <row r="288">
      <c r="A288" s="1074" t="s">
        <v>7387</v>
      </c>
      <c r="B288" s="1074" t="s">
        <v>1567</v>
      </c>
      <c r="C288" s="1075" t="s">
        <v>1483</v>
      </c>
      <c r="D288" s="1063">
        <f t="shared" si="7"/>
        <v>1</v>
      </c>
      <c r="E288" s="1076"/>
      <c r="F288" s="1078">
        <v>1.0</v>
      </c>
      <c r="G288" s="1079"/>
      <c r="H288" s="1079"/>
      <c r="I288" s="1077"/>
      <c r="J288" s="1079"/>
      <c r="K288" s="1078"/>
      <c r="L288" s="1078"/>
      <c r="M288" s="1077"/>
      <c r="N288" s="1079"/>
      <c r="O288" s="1077"/>
      <c r="P288" s="1077"/>
      <c r="Q288" s="1077"/>
      <c r="R288" s="1077"/>
      <c r="S288" s="1077"/>
      <c r="T288" s="1079"/>
      <c r="U288" s="1077"/>
      <c r="V288" s="1079"/>
      <c r="W288" s="1077"/>
      <c r="X288" s="1077"/>
      <c r="Y288" s="1077"/>
    </row>
    <row r="289">
      <c r="A289" s="1068" t="s">
        <v>7432</v>
      </c>
      <c r="B289" s="1068" t="s">
        <v>1509</v>
      </c>
      <c r="C289" s="1069" t="s">
        <v>1483</v>
      </c>
      <c r="D289" s="1063">
        <f t="shared" si="7"/>
        <v>1</v>
      </c>
      <c r="E289" s="1084"/>
      <c r="F289" s="1072"/>
      <c r="G289" s="1072"/>
      <c r="H289" s="1072"/>
      <c r="I289" s="1072"/>
      <c r="J289" s="1072"/>
      <c r="K289" s="1071">
        <v>1.0</v>
      </c>
      <c r="L289" s="1072"/>
      <c r="M289" s="1072"/>
      <c r="N289" s="1073"/>
      <c r="O289" s="1073"/>
      <c r="P289" s="1073"/>
      <c r="Q289" s="1072"/>
      <c r="R289" s="1073"/>
      <c r="S289" s="1073"/>
      <c r="T289" s="1072"/>
      <c r="U289" s="1073"/>
      <c r="V289" s="1073"/>
      <c r="W289" s="1073"/>
      <c r="X289" s="1073"/>
      <c r="Y289" s="1073"/>
    </row>
    <row r="290">
      <c r="A290" s="1074" t="s">
        <v>7532</v>
      </c>
      <c r="B290" s="1074" t="s">
        <v>1528</v>
      </c>
      <c r="C290" s="1075" t="s">
        <v>1483</v>
      </c>
      <c r="D290" s="1063">
        <f t="shared" si="7"/>
        <v>1</v>
      </c>
      <c r="E290" s="1086"/>
      <c r="F290" s="1078">
        <v>1.0</v>
      </c>
      <c r="G290" s="1077"/>
      <c r="H290" s="1079"/>
      <c r="I290" s="1079"/>
      <c r="J290" s="1077"/>
      <c r="K290" s="1079"/>
      <c r="L290" s="1079"/>
      <c r="M290" s="1077"/>
      <c r="N290" s="1079"/>
      <c r="O290" s="1079"/>
      <c r="P290" s="1079"/>
      <c r="Q290" s="1079"/>
      <c r="R290" s="1079"/>
      <c r="S290" s="1077"/>
      <c r="T290" s="1079"/>
      <c r="U290" s="1077"/>
      <c r="V290" s="1079"/>
      <c r="W290" s="1077"/>
      <c r="X290" s="1077"/>
      <c r="Y290" s="1077"/>
    </row>
    <row r="291">
      <c r="A291" s="1068" t="s">
        <v>7546</v>
      </c>
      <c r="B291" s="1068" t="s">
        <v>1481</v>
      </c>
      <c r="C291" s="1069" t="s">
        <v>1483</v>
      </c>
      <c r="D291" s="1063">
        <f t="shared" si="7"/>
        <v>1</v>
      </c>
      <c r="E291" s="1082"/>
      <c r="F291" s="1073"/>
      <c r="G291" s="1073"/>
      <c r="H291" s="1071">
        <v>1.0</v>
      </c>
      <c r="I291" s="1073"/>
      <c r="J291" s="1072"/>
      <c r="K291" s="1072"/>
      <c r="L291" s="1073"/>
      <c r="M291" s="1072"/>
      <c r="N291" s="1071"/>
      <c r="O291" s="1073"/>
      <c r="P291" s="1072"/>
      <c r="Q291" s="1072"/>
      <c r="R291" s="1073"/>
      <c r="S291" s="1073"/>
      <c r="T291" s="1073"/>
      <c r="U291" s="1073"/>
      <c r="V291" s="1073"/>
      <c r="W291" s="1073"/>
      <c r="X291" s="1073"/>
      <c r="Y291" s="1073"/>
    </row>
    <row r="292">
      <c r="A292" s="1074" t="s">
        <v>7549</v>
      </c>
      <c r="B292" s="1074" t="s">
        <v>1509</v>
      </c>
      <c r="C292" s="1075" t="s">
        <v>1483</v>
      </c>
      <c r="D292" s="1063">
        <f t="shared" si="7"/>
        <v>1</v>
      </c>
      <c r="E292" s="1086"/>
      <c r="F292" s="1079"/>
      <c r="G292" s="1079"/>
      <c r="H292" s="1079"/>
      <c r="I292" s="1079"/>
      <c r="J292" s="1079"/>
      <c r="K292" s="1079"/>
      <c r="L292" s="1077"/>
      <c r="M292" s="1079"/>
      <c r="N292" s="1077"/>
      <c r="O292" s="1078">
        <v>1.0</v>
      </c>
      <c r="P292" s="1077"/>
      <c r="Q292" s="1077"/>
      <c r="R292" s="1077"/>
      <c r="S292" s="1079"/>
      <c r="T292" s="1078"/>
      <c r="U292" s="1079"/>
      <c r="V292" s="1077"/>
      <c r="W292" s="1077"/>
      <c r="X292" s="1079"/>
      <c r="Y292" s="1079"/>
    </row>
    <row r="293">
      <c r="A293" s="1068" t="s">
        <v>7409</v>
      </c>
      <c r="B293" s="1068" t="s">
        <v>1789</v>
      </c>
      <c r="C293" s="1069" t="s">
        <v>1646</v>
      </c>
      <c r="D293" s="1063">
        <f t="shared" si="7"/>
        <v>1</v>
      </c>
      <c r="E293" s="1084"/>
      <c r="F293" s="1072"/>
      <c r="G293" s="1072"/>
      <c r="H293" s="1073"/>
      <c r="I293" s="1072"/>
      <c r="J293" s="1072"/>
      <c r="K293" s="1072"/>
      <c r="L293" s="1072"/>
      <c r="M293" s="1072"/>
      <c r="N293" s="1072"/>
      <c r="O293" s="1071">
        <v>1.0</v>
      </c>
      <c r="P293" s="1072"/>
      <c r="Q293" s="1073"/>
      <c r="R293" s="1072"/>
      <c r="S293" s="1073"/>
      <c r="T293" s="1072"/>
      <c r="U293" s="1072"/>
      <c r="V293" s="1072"/>
      <c r="W293" s="1072"/>
      <c r="X293" s="1073"/>
      <c r="Y293" s="1073"/>
    </row>
    <row r="294">
      <c r="A294" s="1074" t="s">
        <v>7430</v>
      </c>
      <c r="B294" s="1074" t="s">
        <v>1803</v>
      </c>
      <c r="C294" s="1075" t="s">
        <v>1646</v>
      </c>
      <c r="D294" s="1098">
        <v>1.0</v>
      </c>
      <c r="E294" s="1080">
        <v>1.0</v>
      </c>
      <c r="F294" s="1079"/>
      <c r="G294" s="1079"/>
      <c r="H294" s="1077"/>
      <c r="I294" s="1079"/>
      <c r="J294" s="1079"/>
      <c r="K294" s="1079"/>
      <c r="L294" s="1079"/>
      <c r="M294" s="1079"/>
      <c r="N294" s="1077"/>
      <c r="O294" s="1079"/>
      <c r="P294" s="1079"/>
      <c r="Q294" s="1079"/>
      <c r="R294" s="1077"/>
      <c r="S294" s="1077"/>
      <c r="T294" s="1079"/>
      <c r="U294" s="1077"/>
      <c r="V294" s="1077"/>
      <c r="W294" s="1077"/>
      <c r="X294" s="1077"/>
      <c r="Y294" s="1077"/>
    </row>
    <row r="295">
      <c r="A295" s="1068" t="s">
        <v>7454</v>
      </c>
      <c r="B295" s="1068" t="s">
        <v>1679</v>
      </c>
      <c r="C295" s="1069" t="s">
        <v>1646</v>
      </c>
      <c r="D295" s="1063">
        <f t="shared" ref="D295:D348" si="8">SUM(E295:Y295)</f>
        <v>1</v>
      </c>
      <c r="E295" s="1084"/>
      <c r="F295" s="1072"/>
      <c r="G295" s="1072"/>
      <c r="H295" s="1072"/>
      <c r="I295" s="1072"/>
      <c r="J295" s="1072"/>
      <c r="K295" s="1072"/>
      <c r="L295" s="1072"/>
      <c r="M295" s="1072"/>
      <c r="N295" s="1072"/>
      <c r="O295" s="1071">
        <v>1.0</v>
      </c>
      <c r="P295" s="1073"/>
      <c r="Q295" s="1073"/>
      <c r="R295" s="1073"/>
      <c r="S295" s="1073"/>
      <c r="T295" s="1073"/>
      <c r="U295" s="1073"/>
      <c r="V295" s="1073"/>
      <c r="W295" s="1073"/>
      <c r="X295" s="1073"/>
      <c r="Y295" s="1073"/>
    </row>
    <row r="296">
      <c r="A296" s="1074" t="s">
        <v>7476</v>
      </c>
      <c r="B296" s="1074" t="s">
        <v>1679</v>
      </c>
      <c r="C296" s="1075" t="s">
        <v>1646</v>
      </c>
      <c r="D296" s="1063">
        <f t="shared" si="8"/>
        <v>1</v>
      </c>
      <c r="E296" s="1086"/>
      <c r="F296" s="1077"/>
      <c r="G296" s="1077"/>
      <c r="H296" s="1079"/>
      <c r="I296" s="1079"/>
      <c r="J296" s="1078"/>
      <c r="K296" s="1078"/>
      <c r="L296" s="1079"/>
      <c r="M296" s="1078">
        <v>1.0</v>
      </c>
      <c r="N296" s="1079"/>
      <c r="O296" s="1079"/>
      <c r="P296" s="1077"/>
      <c r="Q296" s="1079"/>
      <c r="R296" s="1077"/>
      <c r="S296" s="1077"/>
      <c r="T296" s="1077"/>
      <c r="U296" s="1077"/>
      <c r="V296" s="1077"/>
      <c r="W296" s="1078"/>
      <c r="X296" s="1077"/>
      <c r="Y296" s="1078"/>
    </row>
    <row r="297">
      <c r="A297" s="1068" t="s">
        <v>7547</v>
      </c>
      <c r="B297" s="1068" t="s">
        <v>1679</v>
      </c>
      <c r="C297" s="1069" t="s">
        <v>1646</v>
      </c>
      <c r="D297" s="1063">
        <f t="shared" si="8"/>
        <v>1</v>
      </c>
      <c r="E297" s="1082"/>
      <c r="F297" s="1071"/>
      <c r="G297" s="1073"/>
      <c r="H297" s="1071"/>
      <c r="I297" s="1072"/>
      <c r="J297" s="1073"/>
      <c r="K297" s="1072"/>
      <c r="L297" s="1072"/>
      <c r="M297" s="1073"/>
      <c r="N297" s="1073"/>
      <c r="O297" s="1073"/>
      <c r="P297" s="1071">
        <v>1.0</v>
      </c>
      <c r="Q297" s="1073"/>
      <c r="R297" s="1072"/>
      <c r="S297" s="1073"/>
      <c r="T297" s="1072"/>
      <c r="U297" s="1072"/>
      <c r="V297" s="1072"/>
      <c r="W297" s="1072"/>
      <c r="X297" s="1072"/>
      <c r="Y297" s="1072"/>
    </row>
    <row r="298">
      <c r="A298" s="1074" t="s">
        <v>7551</v>
      </c>
      <c r="B298" s="1074" t="s">
        <v>1700</v>
      </c>
      <c r="C298" s="1075" t="s">
        <v>1646</v>
      </c>
      <c r="D298" s="1063">
        <f t="shared" si="8"/>
        <v>1</v>
      </c>
      <c r="E298" s="1080"/>
      <c r="F298" s="1078">
        <v>1.0</v>
      </c>
      <c r="G298" s="1079"/>
      <c r="H298" s="1079"/>
      <c r="I298" s="1078"/>
      <c r="J298" s="1078"/>
      <c r="K298" s="1079"/>
      <c r="L298" s="1077"/>
      <c r="M298" s="1079"/>
      <c r="N298" s="1079"/>
      <c r="O298" s="1079"/>
      <c r="P298" s="1077"/>
      <c r="Q298" s="1079"/>
      <c r="R298" s="1077"/>
      <c r="S298" s="1077"/>
      <c r="T298" s="1079"/>
      <c r="U298" s="1077"/>
      <c r="V298" s="1077"/>
      <c r="W298" s="1077"/>
      <c r="X298" s="1077"/>
      <c r="Y298" s="1077"/>
    </row>
    <row r="299">
      <c r="A299" s="1068" t="s">
        <v>7435</v>
      </c>
      <c r="B299" s="1068" t="s">
        <v>2052</v>
      </c>
      <c r="C299" s="1069" t="s">
        <v>2045</v>
      </c>
      <c r="D299" s="1063">
        <f t="shared" si="8"/>
        <v>1</v>
      </c>
      <c r="E299" s="1070"/>
      <c r="F299" s="1071"/>
      <c r="G299" s="1071"/>
      <c r="H299" s="1071"/>
      <c r="I299" s="1071">
        <v>1.0</v>
      </c>
      <c r="J299" s="1072"/>
      <c r="K299" s="1073"/>
      <c r="L299" s="1072"/>
      <c r="M299" s="1073"/>
      <c r="N299" s="1073"/>
      <c r="O299" s="1073"/>
      <c r="P299" s="1073"/>
      <c r="Q299" s="1073"/>
      <c r="R299" s="1072"/>
      <c r="S299" s="1073"/>
      <c r="T299" s="1072"/>
      <c r="U299" s="1073"/>
      <c r="V299" s="1073"/>
      <c r="W299" s="1073"/>
      <c r="X299" s="1073"/>
      <c r="Y299" s="1073"/>
    </row>
    <row r="300">
      <c r="A300" s="1074" t="s">
        <v>7550</v>
      </c>
      <c r="B300" s="1074" t="s">
        <v>2132</v>
      </c>
      <c r="C300" s="1075" t="s">
        <v>2045</v>
      </c>
      <c r="D300" s="1063">
        <f t="shared" si="8"/>
        <v>1</v>
      </c>
      <c r="E300" s="1080">
        <v>1.0</v>
      </c>
      <c r="F300" s="1077"/>
      <c r="G300" s="1077"/>
      <c r="H300" s="1077"/>
      <c r="I300" s="1077"/>
      <c r="J300" s="1079"/>
      <c r="K300" s="1077"/>
      <c r="L300" s="1079"/>
      <c r="M300" s="1077"/>
      <c r="N300" s="1077"/>
      <c r="O300" s="1077"/>
      <c r="P300" s="1077"/>
      <c r="Q300" s="1077"/>
      <c r="R300" s="1079"/>
      <c r="S300" s="1077"/>
      <c r="T300" s="1079"/>
      <c r="U300" s="1077"/>
      <c r="V300" s="1077"/>
      <c r="W300" s="1077"/>
      <c r="X300" s="1077"/>
      <c r="Y300" s="1077"/>
    </row>
    <row r="301">
      <c r="A301" s="1068" t="s">
        <v>7552</v>
      </c>
      <c r="B301" s="1068" t="s">
        <v>2248</v>
      </c>
      <c r="C301" s="1069" t="s">
        <v>2250</v>
      </c>
      <c r="D301" s="1063">
        <f t="shared" si="8"/>
        <v>1</v>
      </c>
      <c r="E301" s="1070"/>
      <c r="F301" s="1071">
        <v>1.0</v>
      </c>
      <c r="G301" s="1073"/>
      <c r="H301" s="1073"/>
      <c r="I301" s="1073"/>
      <c r="J301" s="1072"/>
      <c r="K301" s="1073"/>
      <c r="L301" s="1072"/>
      <c r="M301" s="1073"/>
      <c r="N301" s="1073"/>
      <c r="O301" s="1073"/>
      <c r="P301" s="1073"/>
      <c r="Q301" s="1073"/>
      <c r="R301" s="1072"/>
      <c r="S301" s="1073"/>
      <c r="T301" s="1072"/>
      <c r="U301" s="1073"/>
      <c r="V301" s="1073"/>
      <c r="W301" s="1073"/>
      <c r="X301" s="1073"/>
      <c r="Y301" s="1073"/>
    </row>
    <row r="302">
      <c r="A302" s="1074" t="s">
        <v>7553</v>
      </c>
      <c r="B302" s="1074" t="s">
        <v>2295</v>
      </c>
      <c r="C302" s="1075" t="s">
        <v>2283</v>
      </c>
      <c r="D302" s="1063">
        <f t="shared" si="8"/>
        <v>1</v>
      </c>
      <c r="E302" s="1076"/>
      <c r="F302" s="1078">
        <v>1.0</v>
      </c>
      <c r="G302" s="1077"/>
      <c r="H302" s="1077"/>
      <c r="I302" s="1077"/>
      <c r="J302" s="1079"/>
      <c r="K302" s="1077"/>
      <c r="L302" s="1079"/>
      <c r="M302" s="1077"/>
      <c r="N302" s="1077"/>
      <c r="O302" s="1077"/>
      <c r="P302" s="1077"/>
      <c r="Q302" s="1077"/>
      <c r="R302" s="1079"/>
      <c r="S302" s="1077"/>
      <c r="T302" s="1079"/>
      <c r="U302" s="1077"/>
      <c r="V302" s="1077"/>
      <c r="W302" s="1077"/>
      <c r="X302" s="1078"/>
      <c r="Y302" s="1077"/>
    </row>
    <row r="303">
      <c r="A303" s="1068" t="s">
        <v>7554</v>
      </c>
      <c r="B303" s="1068" t="s">
        <v>2342</v>
      </c>
      <c r="C303" s="1069" t="s">
        <v>2329</v>
      </c>
      <c r="D303" s="1063">
        <f t="shared" si="8"/>
        <v>1</v>
      </c>
      <c r="E303" s="1084"/>
      <c r="F303" s="1071"/>
      <c r="G303" s="1072"/>
      <c r="H303" s="1072"/>
      <c r="I303" s="1071"/>
      <c r="J303" s="1071"/>
      <c r="K303" s="1072"/>
      <c r="L303" s="1071"/>
      <c r="M303" s="1072"/>
      <c r="N303" s="1072"/>
      <c r="O303" s="1072"/>
      <c r="P303" s="1072"/>
      <c r="Q303" s="1072"/>
      <c r="R303" s="1072"/>
      <c r="S303" s="1072"/>
      <c r="T303" s="1071">
        <v>1.0</v>
      </c>
      <c r="U303" s="1072"/>
      <c r="V303" s="1072"/>
      <c r="W303" s="1072"/>
      <c r="X303" s="1072"/>
      <c r="Y303" s="1072"/>
    </row>
    <row r="304">
      <c r="A304" s="1074" t="s">
        <v>7227</v>
      </c>
      <c r="B304" s="1074" t="s">
        <v>56</v>
      </c>
      <c r="C304" s="1075" t="s">
        <v>57</v>
      </c>
      <c r="D304" s="1063">
        <f t="shared" si="8"/>
        <v>0</v>
      </c>
      <c r="E304" s="1086"/>
      <c r="F304" s="1079"/>
      <c r="G304" s="1079"/>
      <c r="H304" s="1079"/>
      <c r="I304" s="1079"/>
      <c r="J304" s="1079"/>
      <c r="K304" s="1079"/>
      <c r="L304" s="1079"/>
      <c r="M304" s="1078"/>
      <c r="N304" s="1079"/>
      <c r="O304" s="1077"/>
      <c r="P304" s="1079"/>
      <c r="Q304" s="1077"/>
      <c r="R304" s="1077"/>
      <c r="S304" s="1079"/>
      <c r="T304" s="1078"/>
      <c r="U304" s="1077"/>
      <c r="V304" s="1077"/>
      <c r="W304" s="1077"/>
      <c r="X304" s="1077"/>
      <c r="Y304" s="1077"/>
    </row>
    <row r="305">
      <c r="A305" s="1068" t="s">
        <v>74</v>
      </c>
      <c r="B305" s="1068" t="s">
        <v>77</v>
      </c>
      <c r="C305" s="1069" t="s">
        <v>57</v>
      </c>
      <c r="D305" s="1063">
        <f t="shared" si="8"/>
        <v>0</v>
      </c>
      <c r="E305" s="1084"/>
      <c r="F305" s="1073"/>
      <c r="G305" s="1073"/>
      <c r="H305" s="1073"/>
      <c r="I305" s="1072"/>
      <c r="J305" s="1071"/>
      <c r="K305" s="1072"/>
      <c r="L305" s="1071"/>
      <c r="M305" s="1073"/>
      <c r="N305" s="1072"/>
      <c r="O305" s="1073"/>
      <c r="P305" s="1072"/>
      <c r="Q305" s="1072"/>
      <c r="R305" s="1072"/>
      <c r="S305" s="1073"/>
      <c r="T305" s="1072"/>
      <c r="U305" s="1073"/>
      <c r="V305" s="1073"/>
      <c r="W305" s="1073"/>
      <c r="X305" s="1073"/>
      <c r="Y305" s="1073"/>
    </row>
    <row r="306">
      <c r="A306" s="1074" t="s">
        <v>7525</v>
      </c>
      <c r="B306" s="1074" t="s">
        <v>212</v>
      </c>
      <c r="C306" s="1075" t="s">
        <v>114</v>
      </c>
      <c r="D306" s="1063">
        <f t="shared" si="8"/>
        <v>0</v>
      </c>
      <c r="E306" s="1086"/>
      <c r="F306" s="1079"/>
      <c r="G306" s="1101"/>
      <c r="H306" s="1101"/>
      <c r="I306" s="1079"/>
      <c r="J306" s="1079"/>
      <c r="K306" s="1079"/>
      <c r="L306" s="1079"/>
      <c r="M306" s="1079"/>
      <c r="N306" s="1079"/>
      <c r="O306" s="1079"/>
      <c r="P306" s="1077"/>
      <c r="Q306" s="1077"/>
      <c r="R306" s="1079"/>
      <c r="S306" s="1077"/>
      <c r="T306" s="1077"/>
      <c r="U306" s="1079"/>
      <c r="V306" s="1077"/>
      <c r="W306" s="1077"/>
      <c r="X306" s="1077"/>
      <c r="Y306" s="1078"/>
    </row>
    <row r="307">
      <c r="A307" s="1068" t="s">
        <v>7332</v>
      </c>
      <c r="B307" s="1068" t="s">
        <v>321</v>
      </c>
      <c r="C307" s="1069" t="s">
        <v>316</v>
      </c>
      <c r="D307" s="1063">
        <f t="shared" si="8"/>
        <v>0</v>
      </c>
      <c r="E307" s="1084"/>
      <c r="F307" s="1071"/>
      <c r="G307" s="1071"/>
      <c r="H307" s="1073"/>
      <c r="I307" s="1071"/>
      <c r="J307" s="1072"/>
      <c r="K307" s="1073"/>
      <c r="L307" s="1073"/>
      <c r="M307" s="1073"/>
      <c r="N307" s="1073"/>
      <c r="O307" s="1073"/>
      <c r="P307" s="1073"/>
      <c r="Q307" s="1073"/>
      <c r="R307" s="1073"/>
      <c r="S307" s="1073"/>
      <c r="T307" s="1073"/>
      <c r="U307" s="1072"/>
      <c r="V307" s="1073"/>
      <c r="W307" s="1072"/>
      <c r="X307" s="1073"/>
      <c r="Y307" s="1073"/>
    </row>
    <row r="308">
      <c r="A308" s="1074" t="s">
        <v>7380</v>
      </c>
      <c r="B308" s="1074" t="s">
        <v>329</v>
      </c>
      <c r="C308" s="1075" t="s">
        <v>316</v>
      </c>
      <c r="D308" s="1063">
        <f t="shared" si="8"/>
        <v>0</v>
      </c>
      <c r="E308" s="1080"/>
      <c r="F308" s="1078"/>
      <c r="G308" s="1078"/>
      <c r="H308" s="1079"/>
      <c r="I308" s="1079"/>
      <c r="J308" s="1079"/>
      <c r="K308" s="1079"/>
      <c r="L308" s="1079"/>
      <c r="M308" s="1079"/>
      <c r="N308" s="1079"/>
      <c r="O308" s="1079"/>
      <c r="P308" s="1079"/>
      <c r="Q308" s="1079"/>
      <c r="R308" s="1077"/>
      <c r="S308" s="1079"/>
      <c r="T308" s="1079"/>
      <c r="U308" s="1077"/>
      <c r="V308" s="1077"/>
      <c r="W308" s="1077"/>
      <c r="X308" s="1079"/>
      <c r="Y308" s="1079"/>
    </row>
    <row r="309">
      <c r="A309" s="1068" t="s">
        <v>7269</v>
      </c>
      <c r="B309" s="1068" t="s">
        <v>476</v>
      </c>
      <c r="C309" s="1069" t="s">
        <v>446</v>
      </c>
      <c r="D309" s="1063">
        <f t="shared" si="8"/>
        <v>0</v>
      </c>
      <c r="E309" s="1082"/>
      <c r="F309" s="1073"/>
      <c r="G309" s="1073"/>
      <c r="H309" s="1072"/>
      <c r="I309" s="1072"/>
      <c r="J309" s="1072"/>
      <c r="K309" s="1072"/>
      <c r="L309" s="1071"/>
      <c r="M309" s="1071"/>
      <c r="N309" s="1072"/>
      <c r="O309" s="1072"/>
      <c r="P309" s="1073"/>
      <c r="Q309" s="1073"/>
      <c r="R309" s="1072"/>
      <c r="S309" s="1072"/>
      <c r="T309" s="1072"/>
      <c r="U309" s="1073"/>
      <c r="V309" s="1073"/>
      <c r="W309" s="1073"/>
      <c r="X309" s="1073"/>
      <c r="Y309" s="1073"/>
    </row>
    <row r="310">
      <c r="A310" s="1074" t="s">
        <v>7294</v>
      </c>
      <c r="B310" s="1074" t="s">
        <v>499</v>
      </c>
      <c r="C310" s="1075" t="s">
        <v>446</v>
      </c>
      <c r="D310" s="1063">
        <f t="shared" si="8"/>
        <v>0</v>
      </c>
      <c r="E310" s="1076"/>
      <c r="F310" s="1077"/>
      <c r="G310" s="1077"/>
      <c r="H310" s="1078"/>
      <c r="I310" s="1079"/>
      <c r="J310" s="1077"/>
      <c r="K310" s="1079"/>
      <c r="L310" s="1077"/>
      <c r="M310" s="1077"/>
      <c r="N310" s="1077"/>
      <c r="O310" s="1077"/>
      <c r="P310" s="1077"/>
      <c r="Q310" s="1077"/>
      <c r="R310" s="1077"/>
      <c r="S310" s="1077"/>
      <c r="T310" s="1079"/>
      <c r="U310" s="1077"/>
      <c r="V310" s="1077"/>
      <c r="W310" s="1077"/>
      <c r="X310" s="1077"/>
      <c r="Y310" s="1077"/>
    </row>
    <row r="311">
      <c r="A311" s="1068" t="s">
        <v>7079</v>
      </c>
      <c r="B311" s="1068" t="s">
        <v>688</v>
      </c>
      <c r="C311" s="1069" t="s">
        <v>656</v>
      </c>
      <c r="D311" s="1063">
        <f t="shared" si="8"/>
        <v>0</v>
      </c>
      <c r="E311" s="1084"/>
      <c r="F311" s="1072"/>
      <c r="G311" s="1071"/>
      <c r="H311" s="1072"/>
      <c r="I311" s="1072"/>
      <c r="J311" s="1072"/>
      <c r="K311" s="1071"/>
      <c r="L311" s="1073"/>
      <c r="M311" s="1072"/>
      <c r="N311" s="1072"/>
      <c r="O311" s="1073"/>
      <c r="P311" s="1073"/>
      <c r="Q311" s="1073"/>
      <c r="R311" s="1073"/>
      <c r="S311" s="1073"/>
      <c r="T311" s="1073"/>
      <c r="U311" s="1073"/>
      <c r="V311" s="1073"/>
      <c r="W311" s="1073"/>
      <c r="X311" s="1073"/>
      <c r="Y311" s="1073"/>
    </row>
    <row r="312">
      <c r="A312" s="1074" t="s">
        <v>7556</v>
      </c>
      <c r="B312" s="1074" t="s">
        <v>655</v>
      </c>
      <c r="C312" s="1075" t="s">
        <v>656</v>
      </c>
      <c r="D312" s="1063">
        <f t="shared" si="8"/>
        <v>0</v>
      </c>
      <c r="E312" s="1086"/>
      <c r="F312" s="1077"/>
      <c r="G312" s="1077"/>
      <c r="H312" s="1079"/>
      <c r="I312" s="1079"/>
      <c r="J312" s="1078"/>
      <c r="K312" s="1079"/>
      <c r="L312" s="1079"/>
      <c r="M312" s="1077"/>
      <c r="N312" s="1077"/>
      <c r="O312" s="1079"/>
      <c r="P312" s="1077"/>
      <c r="Q312" s="1077"/>
      <c r="R312" s="1077"/>
      <c r="S312" s="1077"/>
      <c r="T312" s="1077"/>
      <c r="U312" s="1077"/>
      <c r="V312" s="1079"/>
      <c r="W312" s="1077"/>
      <c r="X312" s="1077"/>
      <c r="Y312" s="1077"/>
    </row>
    <row r="313">
      <c r="A313" s="1068" t="s">
        <v>732</v>
      </c>
      <c r="B313" s="1068" t="s">
        <v>734</v>
      </c>
      <c r="C313" s="1069" t="s">
        <v>735</v>
      </c>
      <c r="D313" s="1063">
        <f t="shared" si="8"/>
        <v>0</v>
      </c>
      <c r="E313" s="1070"/>
      <c r="F313" s="1071"/>
      <c r="G313" s="1071"/>
      <c r="H313" s="1071"/>
      <c r="I313" s="1072"/>
      <c r="J313" s="1072"/>
      <c r="K313" s="1073"/>
      <c r="L313" s="1073"/>
      <c r="M313" s="1073"/>
      <c r="N313" s="1073"/>
      <c r="O313" s="1073"/>
      <c r="P313" s="1073"/>
      <c r="Q313" s="1073"/>
      <c r="R313" s="1073"/>
      <c r="S313" s="1071"/>
      <c r="T313" s="1073"/>
      <c r="U313" s="1072"/>
      <c r="V313" s="1073"/>
      <c r="W313" s="1073"/>
      <c r="X313" s="1071"/>
      <c r="Y313" s="1073"/>
    </row>
    <row r="314">
      <c r="A314" s="1074" t="s">
        <v>7471</v>
      </c>
      <c r="B314" s="1074" t="s">
        <v>7473</v>
      </c>
      <c r="C314" s="1075" t="s">
        <v>735</v>
      </c>
      <c r="D314" s="1063">
        <f t="shared" si="8"/>
        <v>0</v>
      </c>
      <c r="E314" s="1076"/>
      <c r="F314" s="1077"/>
      <c r="G314" s="1079"/>
      <c r="H314" s="1079"/>
      <c r="I314" s="1079"/>
      <c r="J314" s="1077"/>
      <c r="K314" s="1077"/>
      <c r="L314" s="1077"/>
      <c r="M314" s="1077"/>
      <c r="N314" s="1077"/>
      <c r="O314" s="1079"/>
      <c r="P314" s="1077"/>
      <c r="Q314" s="1077"/>
      <c r="R314" s="1077"/>
      <c r="S314" s="1077"/>
      <c r="T314" s="1077"/>
      <c r="U314" s="1078"/>
      <c r="V314" s="1077"/>
      <c r="W314" s="1077"/>
      <c r="X314" s="1077"/>
      <c r="Y314" s="1077"/>
    </row>
    <row r="315">
      <c r="A315" s="1068" t="s">
        <v>893</v>
      </c>
      <c r="B315" s="1068" t="s">
        <v>894</v>
      </c>
      <c r="C315" s="1069" t="s">
        <v>895</v>
      </c>
      <c r="D315" s="1063">
        <f t="shared" si="8"/>
        <v>0</v>
      </c>
      <c r="E315" s="1084"/>
      <c r="F315" s="1073"/>
      <c r="G315" s="1073"/>
      <c r="H315" s="1071"/>
      <c r="I315" s="1072"/>
      <c r="J315" s="1071"/>
      <c r="K315" s="1072"/>
      <c r="L315" s="1072"/>
      <c r="M315" s="1071"/>
      <c r="N315" s="1072"/>
      <c r="O315" s="1072"/>
      <c r="P315" s="1071"/>
      <c r="Q315" s="1072"/>
      <c r="R315" s="1073"/>
      <c r="S315" s="1072"/>
      <c r="T315" s="1072"/>
      <c r="U315" s="1072"/>
      <c r="V315" s="1073"/>
      <c r="W315" s="1073"/>
      <c r="X315" s="1073"/>
      <c r="Y315" s="1073"/>
    </row>
    <row r="316">
      <c r="A316" s="1074" t="s">
        <v>899</v>
      </c>
      <c r="B316" s="1074" t="s">
        <v>900</v>
      </c>
      <c r="C316" s="1075" t="s">
        <v>895</v>
      </c>
      <c r="D316" s="1063">
        <f t="shared" si="8"/>
        <v>0</v>
      </c>
      <c r="E316" s="1080"/>
      <c r="F316" s="1077"/>
      <c r="G316" s="1077"/>
      <c r="H316" s="1079"/>
      <c r="I316" s="1077"/>
      <c r="J316" s="1079"/>
      <c r="K316" s="1077"/>
      <c r="L316" s="1079"/>
      <c r="M316" s="1077"/>
      <c r="N316" s="1079"/>
      <c r="O316" s="1078"/>
      <c r="P316" s="1077"/>
      <c r="Q316" s="1077"/>
      <c r="R316" s="1077"/>
      <c r="S316" s="1078"/>
      <c r="T316" s="1077"/>
      <c r="U316" s="1077"/>
      <c r="V316" s="1077"/>
      <c r="W316" s="1079"/>
      <c r="X316" s="1077"/>
      <c r="Y316" s="1077"/>
    </row>
    <row r="317">
      <c r="A317" s="1068" t="s">
        <v>905</v>
      </c>
      <c r="B317" s="1068" t="s">
        <v>906</v>
      </c>
      <c r="C317" s="1069" t="s">
        <v>895</v>
      </c>
      <c r="D317" s="1063">
        <f t="shared" si="8"/>
        <v>0</v>
      </c>
      <c r="E317" s="1070"/>
      <c r="F317" s="1071"/>
      <c r="G317" s="1071"/>
      <c r="H317" s="1072"/>
      <c r="I317" s="1072"/>
      <c r="J317" s="1071"/>
      <c r="K317" s="1071"/>
      <c r="L317" s="1072"/>
      <c r="M317" s="1072"/>
      <c r="N317" s="1073"/>
      <c r="O317" s="1073"/>
      <c r="P317" s="1072"/>
      <c r="Q317" s="1073"/>
      <c r="R317" s="1073"/>
      <c r="S317" s="1073"/>
      <c r="T317" s="1072"/>
      <c r="U317" s="1073"/>
      <c r="V317" s="1073"/>
      <c r="W317" s="1073"/>
      <c r="X317" s="1073"/>
      <c r="Y317" s="1073"/>
    </row>
    <row r="318">
      <c r="A318" s="1074" t="s">
        <v>917</v>
      </c>
      <c r="B318" s="1074" t="s">
        <v>918</v>
      </c>
      <c r="C318" s="1075" t="s">
        <v>895</v>
      </c>
      <c r="D318" s="1063">
        <f t="shared" si="8"/>
        <v>0</v>
      </c>
      <c r="E318" s="1086"/>
      <c r="F318" s="1079"/>
      <c r="G318" s="1078"/>
      <c r="H318" s="1079"/>
      <c r="I318" s="1079"/>
      <c r="J318" s="1079"/>
      <c r="K318" s="1079"/>
      <c r="L318" s="1077"/>
      <c r="M318" s="1079"/>
      <c r="N318" s="1078"/>
      <c r="O318" s="1077"/>
      <c r="P318" s="1077"/>
      <c r="Q318" s="1079"/>
      <c r="R318" s="1079"/>
      <c r="S318" s="1079"/>
      <c r="T318" s="1079"/>
      <c r="U318" s="1079"/>
      <c r="V318" s="1079"/>
      <c r="W318" s="1079"/>
      <c r="X318" s="1079"/>
      <c r="Y318" s="1079"/>
    </row>
    <row r="319">
      <c r="A319" s="1140" t="s">
        <v>937</v>
      </c>
      <c r="B319" s="1068" t="s">
        <v>938</v>
      </c>
      <c r="C319" s="1069" t="s">
        <v>895</v>
      </c>
      <c r="D319" s="1063">
        <f t="shared" si="8"/>
        <v>0</v>
      </c>
      <c r="E319" s="1084"/>
      <c r="F319" s="1072"/>
      <c r="G319" s="1073"/>
      <c r="H319" s="1072"/>
      <c r="I319" s="1072"/>
      <c r="J319" s="1073"/>
      <c r="K319" s="1071"/>
      <c r="L319" s="1073"/>
      <c r="M319" s="1072"/>
      <c r="N319" s="1073"/>
      <c r="O319" s="1072"/>
      <c r="P319" s="1073"/>
      <c r="Q319" s="1073"/>
      <c r="R319" s="1073"/>
      <c r="S319" s="1073"/>
      <c r="T319" s="1072"/>
      <c r="U319" s="1073"/>
      <c r="V319" s="1073"/>
      <c r="W319" s="1073"/>
      <c r="X319" s="1073"/>
      <c r="Y319" s="1073"/>
    </row>
    <row r="320">
      <c r="A320" s="1074" t="s">
        <v>7275</v>
      </c>
      <c r="B320" s="1074" t="s">
        <v>943</v>
      </c>
      <c r="C320" s="1075" t="s">
        <v>895</v>
      </c>
      <c r="D320" s="1063">
        <f t="shared" si="8"/>
        <v>0</v>
      </c>
      <c r="E320" s="1086"/>
      <c r="F320" s="1079"/>
      <c r="G320" s="1079"/>
      <c r="H320" s="1079"/>
      <c r="I320" s="1079"/>
      <c r="J320" s="1079"/>
      <c r="K320" s="1079"/>
      <c r="L320" s="1079"/>
      <c r="M320" s="1079"/>
      <c r="N320" s="1079"/>
      <c r="O320" s="1078"/>
      <c r="P320" s="1077"/>
      <c r="Q320" s="1079"/>
      <c r="R320" s="1077"/>
      <c r="S320" s="1077"/>
      <c r="T320" s="1077"/>
      <c r="U320" s="1079"/>
      <c r="V320" s="1077"/>
      <c r="W320" s="1077"/>
      <c r="X320" s="1079"/>
      <c r="Y320" s="1079"/>
    </row>
    <row r="321">
      <c r="A321" s="1068" t="s">
        <v>974</v>
      </c>
      <c r="B321" s="1068" t="s">
        <v>7424</v>
      </c>
      <c r="C321" s="1069" t="s">
        <v>895</v>
      </c>
      <c r="D321" s="1063">
        <f t="shared" si="8"/>
        <v>0</v>
      </c>
      <c r="E321" s="1082"/>
      <c r="F321" s="1073"/>
      <c r="G321" s="1073"/>
      <c r="H321" s="1071"/>
      <c r="I321" s="1071"/>
      <c r="J321" s="1072"/>
      <c r="K321" s="1071"/>
      <c r="L321" s="1072"/>
      <c r="M321" s="1072"/>
      <c r="N321" s="1072"/>
      <c r="O321" s="1072"/>
      <c r="P321" s="1072"/>
      <c r="Q321" s="1072"/>
      <c r="R321" s="1072"/>
      <c r="S321" s="1073"/>
      <c r="T321" s="1072"/>
      <c r="U321" s="1073"/>
      <c r="V321" s="1073"/>
      <c r="W321" s="1073"/>
      <c r="X321" s="1073"/>
      <c r="Y321" s="1073"/>
    </row>
    <row r="322">
      <c r="A322" s="1108" t="s">
        <v>7555</v>
      </c>
      <c r="B322" s="1074" t="s">
        <v>1011</v>
      </c>
      <c r="C322" s="1075" t="s">
        <v>895</v>
      </c>
      <c r="D322" s="1063">
        <f t="shared" si="8"/>
        <v>0</v>
      </c>
      <c r="E322" s="1076"/>
      <c r="F322" s="1077"/>
      <c r="G322" s="1077"/>
      <c r="H322" s="1079"/>
      <c r="I322" s="1079"/>
      <c r="J322" s="1079"/>
      <c r="K322" s="1078"/>
      <c r="L322" s="1079"/>
      <c r="M322" s="1079"/>
      <c r="N322" s="1079"/>
      <c r="O322" s="1079"/>
      <c r="P322" s="1079"/>
      <c r="Q322" s="1079"/>
      <c r="R322" s="1077"/>
      <c r="S322" s="1077"/>
      <c r="T322" s="1077"/>
      <c r="U322" s="1077"/>
      <c r="V322" s="1079"/>
      <c r="W322" s="1077"/>
      <c r="X322" s="1077"/>
      <c r="Y322" s="1077"/>
    </row>
    <row r="323">
      <c r="A323" s="1068" t="s">
        <v>7558</v>
      </c>
      <c r="B323" s="1068" t="s">
        <v>1071</v>
      </c>
      <c r="C323" s="1069" t="s">
        <v>1051</v>
      </c>
      <c r="D323" s="1063">
        <f t="shared" si="8"/>
        <v>0</v>
      </c>
      <c r="E323" s="329"/>
      <c r="F323" s="565"/>
      <c r="G323" s="565"/>
      <c r="H323" s="565"/>
      <c r="I323" s="565"/>
      <c r="J323" s="1072"/>
      <c r="K323" s="1072"/>
      <c r="L323" s="1072"/>
      <c r="M323" s="1072"/>
      <c r="N323" s="1072"/>
      <c r="O323" s="1073"/>
      <c r="P323" s="1072"/>
      <c r="Q323" s="1073"/>
      <c r="R323" s="1073"/>
      <c r="S323" s="1073"/>
      <c r="T323" s="1073"/>
      <c r="U323" s="1073"/>
      <c r="V323" s="1072"/>
      <c r="W323" s="1073"/>
      <c r="X323" s="1073"/>
      <c r="Y323" s="1073"/>
    </row>
    <row r="324">
      <c r="A324" s="1074" t="s">
        <v>7382</v>
      </c>
      <c r="B324" s="1074" t="s">
        <v>1058</v>
      </c>
      <c r="C324" s="1075" t="s">
        <v>1051</v>
      </c>
      <c r="D324" s="1063">
        <f t="shared" si="8"/>
        <v>0</v>
      </c>
      <c r="E324" s="1076"/>
      <c r="F324" s="1077"/>
      <c r="G324" s="1077"/>
      <c r="H324" s="1079"/>
      <c r="I324" s="1077"/>
      <c r="J324" s="1079"/>
      <c r="K324" s="1079"/>
      <c r="L324" s="1077"/>
      <c r="M324" s="1078"/>
      <c r="N324" s="1077"/>
      <c r="O324" s="1077"/>
      <c r="P324" s="1077"/>
      <c r="Q324" s="1077"/>
      <c r="R324" s="1079"/>
      <c r="S324" s="1079"/>
      <c r="T324" s="1079"/>
      <c r="U324" s="1079"/>
      <c r="V324" s="1077"/>
      <c r="W324" s="1077"/>
      <c r="X324" s="1077"/>
      <c r="Y324" s="1077"/>
    </row>
    <row r="325">
      <c r="A325" s="1068" t="s">
        <v>7076</v>
      </c>
      <c r="B325" s="1068" t="s">
        <v>7077</v>
      </c>
      <c r="C325" s="1069" t="s">
        <v>1091</v>
      </c>
      <c r="D325" s="1063">
        <f t="shared" si="8"/>
        <v>0</v>
      </c>
      <c r="E325" s="1070"/>
      <c r="F325" s="1072"/>
      <c r="G325" s="1072"/>
      <c r="H325" s="1073"/>
      <c r="I325" s="1072"/>
      <c r="J325" s="1071"/>
      <c r="K325" s="1071"/>
      <c r="L325" s="1073"/>
      <c r="M325" s="1072"/>
      <c r="N325" s="1073"/>
      <c r="O325" s="1072"/>
      <c r="P325" s="1073"/>
      <c r="Q325" s="1072"/>
      <c r="R325" s="1073"/>
      <c r="S325" s="1072"/>
      <c r="T325" s="1073"/>
      <c r="U325" s="1072"/>
      <c r="V325" s="1073"/>
      <c r="W325" s="1073"/>
      <c r="X325" s="1073"/>
      <c r="Y325" s="1073"/>
    </row>
    <row r="326">
      <c r="A326" s="1074" t="s">
        <v>7516</v>
      </c>
      <c r="B326" s="1074" t="s">
        <v>7517</v>
      </c>
      <c r="C326" s="1085" t="s">
        <v>1157</v>
      </c>
      <c r="D326" s="1063">
        <f t="shared" si="8"/>
        <v>0</v>
      </c>
      <c r="E326" s="1086"/>
      <c r="F326" s="1077"/>
      <c r="G326" s="1077"/>
      <c r="H326" s="1079"/>
      <c r="I326" s="1079"/>
      <c r="J326" s="1079"/>
      <c r="K326" s="1079"/>
      <c r="L326" s="1079"/>
      <c r="M326" s="1079"/>
      <c r="N326" s="1077"/>
      <c r="O326" s="1077"/>
      <c r="P326" s="1079"/>
      <c r="Q326" s="1077"/>
      <c r="R326" s="1079"/>
      <c r="S326" s="1077"/>
      <c r="T326" s="1079"/>
      <c r="U326" s="1077"/>
      <c r="V326" s="1079"/>
      <c r="W326" s="1077"/>
      <c r="X326" s="1077"/>
      <c r="Y326" s="1077"/>
    </row>
    <row r="327">
      <c r="A327" s="1068" t="s">
        <v>7535</v>
      </c>
      <c r="B327" s="1068" t="s">
        <v>1230</v>
      </c>
      <c r="C327" s="1069" t="s">
        <v>1157</v>
      </c>
      <c r="D327" s="1063">
        <f t="shared" si="8"/>
        <v>0</v>
      </c>
      <c r="E327" s="1070"/>
      <c r="F327" s="1072"/>
      <c r="G327" s="1072"/>
      <c r="H327" s="1072"/>
      <c r="I327" s="1073"/>
      <c r="J327" s="1073"/>
      <c r="K327" s="1073"/>
      <c r="L327" s="1072"/>
      <c r="M327" s="1073"/>
      <c r="N327" s="1072"/>
      <c r="O327" s="1073"/>
      <c r="P327" s="1073"/>
      <c r="Q327" s="1073"/>
      <c r="R327" s="1072"/>
      <c r="S327" s="1073"/>
      <c r="T327" s="1073"/>
      <c r="U327" s="1073"/>
      <c r="V327" s="1073"/>
      <c r="W327" s="1073"/>
      <c r="X327" s="1073"/>
      <c r="Y327" s="1071"/>
    </row>
    <row r="328">
      <c r="A328" s="1074" t="s">
        <v>7271</v>
      </c>
      <c r="B328" s="1074" t="s">
        <v>1305</v>
      </c>
      <c r="C328" s="1075" t="s">
        <v>1278</v>
      </c>
      <c r="D328" s="1063">
        <f t="shared" si="8"/>
        <v>0</v>
      </c>
      <c r="E328" s="1076"/>
      <c r="F328" s="1077"/>
      <c r="G328" s="1077"/>
      <c r="H328" s="1077"/>
      <c r="I328" s="1077"/>
      <c r="J328" s="1077"/>
      <c r="K328" s="1077"/>
      <c r="L328" s="1077"/>
      <c r="M328" s="1079"/>
      <c r="N328" s="1077"/>
      <c r="O328" s="1077"/>
      <c r="P328" s="1077"/>
      <c r="Q328" s="1077"/>
      <c r="R328" s="1077"/>
      <c r="S328" s="1077"/>
      <c r="T328" s="1079"/>
      <c r="U328" s="1077"/>
      <c r="V328" s="1077"/>
      <c r="W328" s="1077"/>
      <c r="X328" s="1077"/>
      <c r="Y328" s="1077"/>
    </row>
    <row r="329">
      <c r="A329" s="1068" t="s">
        <v>7291</v>
      </c>
      <c r="B329" s="1068" t="s">
        <v>1315</v>
      </c>
      <c r="C329" s="1069" t="s">
        <v>1278</v>
      </c>
      <c r="D329" s="1063">
        <f t="shared" si="8"/>
        <v>0</v>
      </c>
      <c r="E329" s="1084"/>
      <c r="F329" s="1073"/>
      <c r="G329" s="1073"/>
      <c r="H329" s="1072"/>
      <c r="I329" s="1072"/>
      <c r="J329" s="1072"/>
      <c r="K329" s="1072"/>
      <c r="L329" s="1072"/>
      <c r="M329" s="1072"/>
      <c r="N329" s="1072"/>
      <c r="O329" s="1072"/>
      <c r="P329" s="1072"/>
      <c r="Q329" s="1073"/>
      <c r="R329" s="1073"/>
      <c r="S329" s="1073"/>
      <c r="T329" s="1072"/>
      <c r="U329" s="1073"/>
      <c r="V329" s="1073"/>
      <c r="W329" s="1072"/>
      <c r="X329" s="1073"/>
      <c r="Y329" s="1071"/>
    </row>
    <row r="330">
      <c r="A330" s="1074" t="s">
        <v>7449</v>
      </c>
      <c r="B330" s="1074" t="s">
        <v>1372</v>
      </c>
      <c r="C330" s="1075" t="s">
        <v>1278</v>
      </c>
      <c r="D330" s="1063">
        <f t="shared" si="8"/>
        <v>0</v>
      </c>
      <c r="E330" s="1080"/>
      <c r="F330" s="1077"/>
      <c r="G330" s="1077"/>
      <c r="H330" s="1077"/>
      <c r="I330" s="1077"/>
      <c r="J330" s="1077"/>
      <c r="K330" s="1079"/>
      <c r="L330" s="1079"/>
      <c r="M330" s="1077"/>
      <c r="N330" s="1077"/>
      <c r="O330" s="1077"/>
      <c r="P330" s="1077"/>
      <c r="Q330" s="1077"/>
      <c r="R330" s="1079"/>
      <c r="S330" s="1079"/>
      <c r="T330" s="1077"/>
      <c r="U330" s="1077"/>
      <c r="V330" s="1077"/>
      <c r="W330" s="1077"/>
      <c r="X330" s="1077"/>
      <c r="Y330" s="1077"/>
    </row>
    <row r="331">
      <c r="A331" s="1068" t="s">
        <v>7463</v>
      </c>
      <c r="B331" s="1068" t="s">
        <v>1291</v>
      </c>
      <c r="C331" s="1069" t="s">
        <v>1278</v>
      </c>
      <c r="D331" s="1063">
        <f t="shared" si="8"/>
        <v>0</v>
      </c>
      <c r="E331" s="1084"/>
      <c r="F331" s="1072"/>
      <c r="G331" s="1071"/>
      <c r="H331" s="1072"/>
      <c r="I331" s="1072"/>
      <c r="J331" s="1072"/>
      <c r="K331" s="1072"/>
      <c r="L331" s="1072"/>
      <c r="M331" s="1072"/>
      <c r="N331" s="1072"/>
      <c r="O331" s="1072"/>
      <c r="P331" s="1072"/>
      <c r="Q331" s="1072"/>
      <c r="R331" s="1072"/>
      <c r="S331" s="1073"/>
      <c r="T331" s="1073"/>
      <c r="U331" s="1072"/>
      <c r="V331" s="1073"/>
      <c r="W331" s="1073"/>
      <c r="X331" s="1073"/>
      <c r="Y331" s="1073"/>
    </row>
    <row r="332">
      <c r="A332" s="1074" t="s">
        <v>7467</v>
      </c>
      <c r="B332" s="1074" t="s">
        <v>1291</v>
      </c>
      <c r="C332" s="1075" t="s">
        <v>1278</v>
      </c>
      <c r="D332" s="1063">
        <f t="shared" si="8"/>
        <v>0</v>
      </c>
      <c r="E332" s="1086"/>
      <c r="F332" s="1079"/>
      <c r="G332" s="1077"/>
      <c r="H332" s="1079"/>
      <c r="I332" s="1079"/>
      <c r="J332" s="1079"/>
      <c r="K332" s="1079"/>
      <c r="L332" s="1077"/>
      <c r="M332" s="1079"/>
      <c r="N332" s="1079"/>
      <c r="O332" s="1077"/>
      <c r="P332" s="1079"/>
      <c r="Q332" s="1077"/>
      <c r="R332" s="1077"/>
      <c r="S332" s="1077"/>
      <c r="T332" s="1078"/>
      <c r="U332" s="1077"/>
      <c r="V332" s="1077"/>
      <c r="W332" s="1077"/>
      <c r="X332" s="1077"/>
      <c r="Y332" s="1077"/>
    </row>
    <row r="333">
      <c r="A333" s="1068" t="s">
        <v>7531</v>
      </c>
      <c r="B333" s="1068" t="s">
        <v>1288</v>
      </c>
      <c r="C333" s="1069" t="s">
        <v>1278</v>
      </c>
      <c r="D333" s="1063">
        <f t="shared" si="8"/>
        <v>0</v>
      </c>
      <c r="E333" s="1082"/>
      <c r="F333" s="1073"/>
      <c r="G333" s="1072"/>
      <c r="H333" s="1072"/>
      <c r="I333" s="1073"/>
      <c r="J333" s="1072"/>
      <c r="K333" s="1072"/>
      <c r="L333" s="1072"/>
      <c r="M333" s="1073"/>
      <c r="N333" s="1073"/>
      <c r="O333" s="1072"/>
      <c r="P333" s="1073"/>
      <c r="Q333" s="1073"/>
      <c r="R333" s="1073"/>
      <c r="S333" s="1073"/>
      <c r="T333" s="1073"/>
      <c r="U333" s="1073"/>
      <c r="V333" s="1073"/>
      <c r="W333" s="1073"/>
      <c r="X333" s="1072"/>
      <c r="Y333" s="1072"/>
    </row>
    <row r="334">
      <c r="A334" s="1074" t="s">
        <v>7543</v>
      </c>
      <c r="B334" s="1074" t="s">
        <v>1450</v>
      </c>
      <c r="C334" s="1075" t="s">
        <v>1278</v>
      </c>
      <c r="D334" s="1063">
        <f t="shared" si="8"/>
        <v>0</v>
      </c>
      <c r="E334" s="1141"/>
      <c r="F334" s="1077"/>
      <c r="G334" s="1077"/>
      <c r="H334" s="1077"/>
      <c r="I334" s="1079"/>
      <c r="J334" s="1079"/>
      <c r="K334" s="1079"/>
      <c r="L334" s="1079"/>
      <c r="M334" s="1079"/>
      <c r="N334" s="1079"/>
      <c r="O334" s="1077"/>
      <c r="P334" s="1077"/>
      <c r="Q334" s="1077"/>
      <c r="R334" s="1079"/>
      <c r="S334" s="1079"/>
      <c r="T334" s="1077"/>
      <c r="U334" s="1079"/>
      <c r="V334" s="1077"/>
      <c r="W334" s="1077"/>
      <c r="X334" s="1079"/>
      <c r="Y334" s="1079"/>
    </row>
    <row r="335">
      <c r="A335" s="1068" t="s">
        <v>7445</v>
      </c>
      <c r="B335" s="1068" t="s">
        <v>7446</v>
      </c>
      <c r="C335" s="1069" t="s">
        <v>1483</v>
      </c>
      <c r="D335" s="1063">
        <f t="shared" si="8"/>
        <v>0</v>
      </c>
      <c r="E335" s="1084"/>
      <c r="F335" s="1072"/>
      <c r="G335" s="1073"/>
      <c r="H335" s="1072"/>
      <c r="I335" s="1072"/>
      <c r="J335" s="1072"/>
      <c r="K335" s="1072"/>
      <c r="L335" s="1073"/>
      <c r="M335" s="1072"/>
      <c r="N335" s="1072"/>
      <c r="O335" s="1072"/>
      <c r="P335" s="1072"/>
      <c r="Q335" s="1072"/>
      <c r="R335" s="1072"/>
      <c r="S335" s="1073"/>
      <c r="T335" s="1073"/>
      <c r="U335" s="1072"/>
      <c r="V335" s="1073"/>
      <c r="W335" s="1073"/>
      <c r="X335" s="1073"/>
      <c r="Y335" s="1073"/>
    </row>
    <row r="336">
      <c r="A336" s="1108" t="s">
        <v>7452</v>
      </c>
      <c r="B336" s="1074" t="s">
        <v>1497</v>
      </c>
      <c r="C336" s="1075" t="s">
        <v>1483</v>
      </c>
      <c r="D336" s="1063">
        <f t="shared" si="8"/>
        <v>0</v>
      </c>
      <c r="E336" s="1076"/>
      <c r="F336" s="1078"/>
      <c r="G336" s="1079"/>
      <c r="H336" s="1077"/>
      <c r="I336" s="1077"/>
      <c r="J336" s="1079"/>
      <c r="K336" s="1077"/>
      <c r="L336" s="1077"/>
      <c r="M336" s="1077"/>
      <c r="N336" s="1079"/>
      <c r="O336" s="1079"/>
      <c r="P336" s="1079"/>
      <c r="Q336" s="1077"/>
      <c r="R336" s="1079"/>
      <c r="S336" s="1077"/>
      <c r="T336" s="1079"/>
      <c r="U336" s="1077"/>
      <c r="V336" s="1077"/>
      <c r="W336" s="1079"/>
      <c r="X336" s="1077"/>
      <c r="Y336" s="1077"/>
    </row>
    <row r="337">
      <c r="A337" s="1068" t="s">
        <v>1560</v>
      </c>
      <c r="B337" s="1068" t="s">
        <v>900</v>
      </c>
      <c r="C337" s="1069" t="s">
        <v>1483</v>
      </c>
      <c r="D337" s="1063">
        <f t="shared" si="8"/>
        <v>0</v>
      </c>
      <c r="E337" s="1084"/>
      <c r="F337" s="1073"/>
      <c r="G337" s="1073"/>
      <c r="H337" s="1072"/>
      <c r="I337" s="1072"/>
      <c r="J337" s="1073"/>
      <c r="K337" s="1072"/>
      <c r="L337" s="1071"/>
      <c r="M337" s="1072"/>
      <c r="N337" s="1072"/>
      <c r="O337" s="1072"/>
      <c r="P337" s="1072"/>
      <c r="Q337" s="1072"/>
      <c r="R337" s="1072"/>
      <c r="S337" s="1072"/>
      <c r="T337" s="1072"/>
      <c r="U337" s="1072"/>
      <c r="V337" s="1073"/>
      <c r="W337" s="1073"/>
      <c r="X337" s="1073"/>
      <c r="Y337" s="1073"/>
    </row>
    <row r="338">
      <c r="A338" s="1074" t="s">
        <v>7560</v>
      </c>
      <c r="B338" s="1074" t="s">
        <v>1580</v>
      </c>
      <c r="C338" s="1075" t="s">
        <v>1483</v>
      </c>
      <c r="D338" s="1063">
        <f t="shared" si="8"/>
        <v>0</v>
      </c>
      <c r="E338" s="1086"/>
      <c r="F338" s="1077"/>
      <c r="G338" s="1077"/>
      <c r="H338" s="1079"/>
      <c r="I338" s="1079"/>
      <c r="J338" s="1079"/>
      <c r="K338" s="1079"/>
      <c r="L338" s="1079"/>
      <c r="M338" s="1079"/>
      <c r="N338" s="1079"/>
      <c r="O338" s="1079"/>
      <c r="P338" s="1078"/>
      <c r="Q338" s="1079"/>
      <c r="R338" s="1077"/>
      <c r="S338" s="1077"/>
      <c r="T338" s="1077"/>
      <c r="U338" s="1079"/>
      <c r="V338" s="1077"/>
      <c r="W338" s="1079"/>
      <c r="X338" s="1077"/>
      <c r="Y338" s="1077"/>
    </row>
    <row r="339">
      <c r="A339" s="1068" t="s">
        <v>7523</v>
      </c>
      <c r="B339" s="1068" t="s">
        <v>1627</v>
      </c>
      <c r="C339" s="1129" t="s">
        <v>446</v>
      </c>
      <c r="D339" s="1063">
        <f t="shared" si="8"/>
        <v>0</v>
      </c>
      <c r="E339" s="1084"/>
      <c r="F339" s="1072"/>
      <c r="G339" s="1071"/>
      <c r="H339" s="1072"/>
      <c r="I339" s="1071"/>
      <c r="J339" s="1071"/>
      <c r="K339" s="1072"/>
      <c r="L339" s="1072"/>
      <c r="M339" s="1072"/>
      <c r="N339" s="1072"/>
      <c r="O339" s="1073"/>
      <c r="P339" s="1073"/>
      <c r="Q339" s="1073"/>
      <c r="R339" s="1073"/>
      <c r="S339" s="1073"/>
      <c r="T339" s="1073"/>
      <c r="U339" s="1073"/>
      <c r="V339" s="1073"/>
      <c r="W339" s="1073"/>
      <c r="X339" s="1073"/>
      <c r="Y339" s="1073"/>
    </row>
    <row r="340">
      <c r="A340" s="1074" t="s">
        <v>7180</v>
      </c>
      <c r="B340" s="1074" t="s">
        <v>1725</v>
      </c>
      <c r="C340" s="1075" t="s">
        <v>1646</v>
      </c>
      <c r="D340" s="1063">
        <f t="shared" si="8"/>
        <v>0</v>
      </c>
      <c r="E340" s="1086"/>
      <c r="F340" s="1077"/>
      <c r="G340" s="1079"/>
      <c r="H340" s="1077"/>
      <c r="I340" s="1079"/>
      <c r="J340" s="1079"/>
      <c r="K340" s="1079"/>
      <c r="L340" s="1079"/>
      <c r="M340" s="1079"/>
      <c r="N340" s="1079"/>
      <c r="O340" s="1077"/>
      <c r="P340" s="1079"/>
      <c r="Q340" s="1079"/>
      <c r="R340" s="1077"/>
      <c r="S340" s="1079"/>
      <c r="T340" s="1077"/>
      <c r="U340" s="1079"/>
      <c r="V340" s="1077"/>
      <c r="W340" s="1077"/>
      <c r="X340" s="1077"/>
      <c r="Y340" s="1077"/>
    </row>
    <row r="341">
      <c r="A341" s="1122" t="s">
        <v>7561</v>
      </c>
      <c r="B341" s="1140" t="s">
        <v>7340</v>
      </c>
      <c r="C341" s="1083" t="s">
        <v>1646</v>
      </c>
      <c r="D341" s="1063">
        <f t="shared" si="8"/>
        <v>0</v>
      </c>
      <c r="E341" s="1092"/>
      <c r="F341" s="1124"/>
      <c r="G341" s="1124"/>
      <c r="H341" s="1083"/>
      <c r="I341" s="1083"/>
      <c r="J341" s="1083"/>
      <c r="K341" s="1083"/>
      <c r="L341" s="1092"/>
      <c r="M341" s="1083"/>
      <c r="N341" s="1083"/>
      <c r="O341" s="1083"/>
      <c r="P341" s="1083"/>
      <c r="Q341" s="1083"/>
      <c r="R341" s="1083"/>
      <c r="S341" s="1083"/>
      <c r="T341" s="1083"/>
      <c r="U341" s="1083"/>
      <c r="V341" s="1124"/>
      <c r="W341" s="1124"/>
      <c r="X341" s="1124"/>
      <c r="Y341" s="1092"/>
    </row>
    <row r="342">
      <c r="A342" s="1074" t="s">
        <v>7355</v>
      </c>
      <c r="B342" s="1120" t="s">
        <v>1931</v>
      </c>
      <c r="C342" s="1142" t="s">
        <v>1933</v>
      </c>
      <c r="D342" s="1063">
        <f t="shared" si="8"/>
        <v>0</v>
      </c>
      <c r="E342" s="1081"/>
      <c r="F342" s="1142"/>
      <c r="G342" s="1142"/>
      <c r="H342" s="1142"/>
      <c r="I342" s="1142"/>
      <c r="J342" s="1142"/>
      <c r="K342" s="1142"/>
      <c r="L342" s="1142"/>
      <c r="M342" s="1142"/>
      <c r="N342" s="1143"/>
      <c r="O342" s="1142"/>
      <c r="P342" s="1143"/>
      <c r="Q342" s="1142"/>
      <c r="R342" s="1142"/>
      <c r="S342" s="1143"/>
      <c r="T342" s="1143"/>
      <c r="U342" s="1143"/>
      <c r="V342" s="1143"/>
      <c r="W342" s="1143"/>
      <c r="X342" s="1143"/>
      <c r="Y342" s="1143"/>
    </row>
    <row r="343">
      <c r="A343" s="1140" t="s">
        <v>7562</v>
      </c>
      <c r="B343" s="1140" t="s">
        <v>1939</v>
      </c>
      <c r="C343" s="1083" t="s">
        <v>1933</v>
      </c>
      <c r="D343" s="1058">
        <f t="shared" si="8"/>
        <v>0</v>
      </c>
      <c r="E343" s="1083"/>
      <c r="F343" s="1092"/>
      <c r="G343" s="1083"/>
      <c r="H343" s="1124"/>
      <c r="I343" s="1124"/>
      <c r="J343" s="1124"/>
      <c r="K343" s="1124"/>
      <c r="L343" s="1083"/>
      <c r="M343" s="1083"/>
      <c r="N343" s="1083"/>
      <c r="O343" s="1083"/>
      <c r="P343" s="1124"/>
      <c r="Q343" s="1124"/>
      <c r="R343" s="1124"/>
      <c r="S343" s="1083"/>
      <c r="T343" s="1124"/>
      <c r="U343" s="1124"/>
      <c r="V343" s="1124"/>
      <c r="W343" s="1124"/>
      <c r="X343" s="1124"/>
      <c r="Y343" s="1124"/>
    </row>
    <row r="344">
      <c r="A344" s="1144" t="s">
        <v>7563</v>
      </c>
      <c r="B344" s="1120" t="s">
        <v>1969</v>
      </c>
      <c r="C344" s="1142" t="s">
        <v>1958</v>
      </c>
      <c r="D344" s="1058">
        <f t="shared" si="8"/>
        <v>0</v>
      </c>
      <c r="E344" s="1143"/>
      <c r="F344" s="1143"/>
      <c r="G344" s="1143"/>
      <c r="H344" s="1143"/>
      <c r="I344" s="1143"/>
      <c r="J344" s="1143"/>
      <c r="K344" s="1143"/>
      <c r="L344" s="1143"/>
      <c r="M344" s="1143"/>
      <c r="N344" s="1143"/>
      <c r="O344" s="1143"/>
      <c r="P344" s="1143"/>
      <c r="Q344" s="1143"/>
      <c r="R344" s="1143"/>
      <c r="S344" s="1143"/>
      <c r="T344" s="1143"/>
      <c r="U344" s="1143"/>
      <c r="V344" s="1143"/>
      <c r="W344" s="1143"/>
      <c r="X344" s="1143"/>
      <c r="Y344" s="1143"/>
    </row>
    <row r="345">
      <c r="A345" s="1140" t="s">
        <v>7326</v>
      </c>
      <c r="B345" s="1140" t="s">
        <v>1965</v>
      </c>
      <c r="C345" s="1083" t="s">
        <v>1958</v>
      </c>
      <c r="D345" s="1058">
        <f t="shared" si="8"/>
        <v>0</v>
      </c>
      <c r="E345" s="1083"/>
      <c r="F345" s="1092"/>
      <c r="G345" s="1124"/>
      <c r="H345" s="1083"/>
      <c r="I345" s="1083"/>
      <c r="J345" s="1083"/>
      <c r="K345" s="1124"/>
      <c r="L345" s="1083"/>
      <c r="M345" s="1092"/>
      <c r="N345" s="1124"/>
      <c r="O345" s="1124"/>
      <c r="P345" s="1124"/>
      <c r="Q345" s="1083"/>
      <c r="R345" s="1083"/>
      <c r="S345" s="1124"/>
      <c r="T345" s="1124"/>
      <c r="U345" s="1124"/>
      <c r="V345" s="1124"/>
      <c r="W345" s="1124"/>
      <c r="X345" s="1124"/>
      <c r="Y345" s="1124"/>
    </row>
    <row r="346">
      <c r="A346" s="1120" t="s">
        <v>1981</v>
      </c>
      <c r="B346" s="1120" t="s">
        <v>1983</v>
      </c>
      <c r="C346" s="1142" t="s">
        <v>1958</v>
      </c>
      <c r="D346" s="1058">
        <f t="shared" si="8"/>
        <v>0</v>
      </c>
      <c r="E346" s="1142"/>
      <c r="F346" s="1081"/>
      <c r="G346" s="1142"/>
      <c r="H346" s="1143"/>
      <c r="I346" s="1142"/>
      <c r="J346" s="1142"/>
      <c r="K346" s="1142"/>
      <c r="L346" s="1142"/>
      <c r="M346" s="1081"/>
      <c r="N346" s="1142"/>
      <c r="O346" s="1142"/>
      <c r="P346" s="1143"/>
      <c r="Q346" s="1142"/>
      <c r="R346" s="1142"/>
      <c r="S346" s="1142"/>
      <c r="T346" s="1143"/>
      <c r="U346" s="1142"/>
      <c r="V346" s="1143"/>
      <c r="W346" s="1143"/>
      <c r="X346" s="1143"/>
      <c r="Y346" s="1143"/>
    </row>
    <row r="347">
      <c r="A347" s="1145"/>
      <c r="B347" s="1146" t="s">
        <v>19</v>
      </c>
      <c r="C347" s="1147" t="s">
        <v>25</v>
      </c>
      <c r="D347" s="1148">
        <f t="shared" si="8"/>
        <v>0</v>
      </c>
      <c r="E347" s="1149" t="s">
        <v>7483</v>
      </c>
      <c r="F347" s="1150" t="s">
        <v>7484</v>
      </c>
      <c r="G347" s="1150" t="s">
        <v>7485</v>
      </c>
      <c r="H347" s="1151" t="s">
        <v>7486</v>
      </c>
      <c r="I347" s="1150" t="s">
        <v>7487</v>
      </c>
      <c r="J347" s="1150" t="s">
        <v>7488</v>
      </c>
      <c r="K347" s="1151" t="s">
        <v>7490</v>
      </c>
      <c r="L347" s="1150" t="s">
        <v>7492</v>
      </c>
      <c r="M347" s="1151" t="s">
        <v>7493</v>
      </c>
      <c r="N347" s="1150" t="s">
        <v>7494</v>
      </c>
      <c r="O347" s="1151" t="s">
        <v>7495</v>
      </c>
      <c r="P347" s="1151" t="s">
        <v>7496</v>
      </c>
      <c r="Q347" s="1151" t="s">
        <v>7497</v>
      </c>
      <c r="R347" s="1151" t="s">
        <v>7498</v>
      </c>
      <c r="S347" s="1151" t="s">
        <v>7499</v>
      </c>
      <c r="T347" s="1150" t="s">
        <v>7500</v>
      </c>
      <c r="U347" s="1150" t="s">
        <v>7501</v>
      </c>
      <c r="V347" s="1150" t="s">
        <v>7502</v>
      </c>
      <c r="W347" s="1150" t="s">
        <v>7503</v>
      </c>
      <c r="X347" s="1150" t="s">
        <v>7504</v>
      </c>
      <c r="Y347" s="1152" t="s">
        <v>7505</v>
      </c>
    </row>
    <row r="348">
      <c r="A348" s="1074" t="s">
        <v>7564</v>
      </c>
      <c r="B348" s="1074" t="s">
        <v>2153</v>
      </c>
      <c r="C348" s="1075" t="s">
        <v>2045</v>
      </c>
      <c r="D348" s="1063">
        <f t="shared" si="8"/>
        <v>0</v>
      </c>
      <c r="E348" s="1080"/>
      <c r="F348" s="1078"/>
      <c r="G348" s="1078"/>
      <c r="H348" s="1078"/>
      <c r="I348" s="1077"/>
      <c r="J348" s="1079"/>
      <c r="K348" s="1077"/>
      <c r="L348" s="1079"/>
      <c r="M348" s="1077"/>
      <c r="N348" s="1078"/>
      <c r="O348" s="1077"/>
      <c r="P348" s="1077"/>
      <c r="Q348" s="1077"/>
      <c r="R348" s="1079"/>
      <c r="S348" s="1077"/>
      <c r="T348" s="1079"/>
      <c r="U348" s="1077"/>
      <c r="V348" s="1077"/>
      <c r="W348" s="1077"/>
      <c r="X348" s="1077"/>
      <c r="Y348" s="1077"/>
    </row>
    <row r="349">
      <c r="A349" s="1108"/>
      <c r="B349" s="1074"/>
      <c r="C349" s="1075"/>
      <c r="D349" s="1063"/>
      <c r="E349" s="1080"/>
      <c r="F349" s="1078"/>
      <c r="G349" s="1078"/>
      <c r="H349" s="1078"/>
      <c r="I349" s="1078"/>
      <c r="J349" s="1078"/>
      <c r="K349" s="1079"/>
      <c r="L349" s="1078"/>
      <c r="M349" s="1077"/>
      <c r="N349" s="1077"/>
      <c r="O349" s="1079"/>
      <c r="P349" s="1078"/>
      <c r="Q349" s="1079"/>
      <c r="R349" s="1079"/>
      <c r="S349" s="1079"/>
      <c r="T349" s="1077"/>
      <c r="U349" s="1079"/>
      <c r="V349" s="1079"/>
      <c r="W349" s="1077"/>
      <c r="X349" s="1077"/>
      <c r="Y349" s="1077"/>
    </row>
    <row r="350">
      <c r="A350" s="1153"/>
    </row>
    <row r="351" ht="846.75" customHeight="1">
      <c r="A351" s="1068"/>
      <c r="B351" s="1068"/>
      <c r="C351" s="1069"/>
      <c r="D351" s="1063"/>
      <c r="E351" s="1070">
        <f>SUM(E4:E349)</f>
        <v>228</v>
      </c>
      <c r="F351" s="1072"/>
      <c r="G351" s="1071"/>
      <c r="H351" s="1072"/>
      <c r="I351" s="1071"/>
      <c r="J351" s="1071"/>
      <c r="K351" s="1071"/>
      <c r="L351" s="1072"/>
      <c r="M351" s="1072"/>
      <c r="N351" s="1071"/>
      <c r="O351" s="1072"/>
      <c r="P351" s="1071"/>
      <c r="Q351" s="1072"/>
      <c r="R351" s="1071"/>
      <c r="S351" s="1072"/>
      <c r="T351" s="1072"/>
      <c r="U351" s="1072"/>
      <c r="V351" s="1072"/>
      <c r="W351" s="1072"/>
      <c r="X351" s="1072"/>
      <c r="Y351" s="1072"/>
    </row>
    <row r="352" ht="2217.75" customHeight="1">
      <c r="A352" s="1074"/>
      <c r="B352" s="1074"/>
      <c r="C352" s="1075"/>
      <c r="D352" s="1063"/>
      <c r="E352" s="1080"/>
      <c r="F352" s="1079"/>
      <c r="G352" s="1078"/>
      <c r="H352" s="1079"/>
      <c r="I352" s="1078"/>
      <c r="J352" s="1078"/>
      <c r="K352" s="1078"/>
      <c r="L352" s="1079"/>
      <c r="M352" s="1079"/>
      <c r="N352" s="1078"/>
      <c r="O352" s="1079"/>
      <c r="P352" s="1078"/>
      <c r="Q352" s="1079"/>
      <c r="R352" s="1078"/>
      <c r="S352" s="1079"/>
      <c r="T352" s="1079"/>
      <c r="U352" s="1079"/>
      <c r="V352" s="1079"/>
      <c r="W352" s="1079"/>
      <c r="X352" s="1079"/>
      <c r="Y352" s="1079"/>
    </row>
    <row r="353">
      <c r="A353" s="1068"/>
      <c r="B353" s="1068"/>
      <c r="C353" s="1069"/>
      <c r="D353" s="1063"/>
      <c r="E353" s="1070"/>
      <c r="F353" s="1072"/>
      <c r="G353" s="1071"/>
      <c r="H353" s="1072"/>
      <c r="I353" s="1071"/>
      <c r="J353" s="1071"/>
      <c r="K353" s="1071"/>
      <c r="L353" s="1072"/>
      <c r="M353" s="1072"/>
      <c r="N353" s="1071"/>
      <c r="O353" s="1072"/>
      <c r="P353" s="1071"/>
      <c r="Q353" s="1072"/>
      <c r="R353" s="1071"/>
      <c r="S353" s="1072"/>
      <c r="T353" s="1072"/>
      <c r="U353" s="1072"/>
      <c r="V353" s="1072"/>
      <c r="W353" s="1072"/>
      <c r="X353" s="1072"/>
      <c r="Y353" s="1072"/>
    </row>
    <row r="354">
      <c r="A354" s="1120"/>
      <c r="B354" s="1120"/>
      <c r="C354" s="1142"/>
      <c r="D354" s="1058"/>
      <c r="E354" s="1081"/>
      <c r="F354" s="1142"/>
      <c r="G354" s="1081"/>
      <c r="H354" s="1142"/>
      <c r="I354" s="1081"/>
      <c r="J354" s="1081"/>
      <c r="K354" s="1081"/>
      <c r="L354" s="1142"/>
      <c r="M354" s="1142"/>
      <c r="N354" s="1081"/>
      <c r="O354" s="1142"/>
      <c r="P354" s="1081"/>
      <c r="Q354" s="1142"/>
      <c r="R354" s="1081"/>
      <c r="S354" s="1142"/>
      <c r="T354" s="1142"/>
      <c r="U354" s="1142"/>
      <c r="V354" s="1142"/>
      <c r="W354" s="1142"/>
      <c r="X354" s="1142"/>
      <c r="Y354" s="1142"/>
    </row>
    <row r="355">
      <c r="A355" s="1140"/>
      <c r="B355" s="1140"/>
      <c r="C355" s="1083"/>
      <c r="D355" s="1058"/>
      <c r="E355" s="1092"/>
      <c r="F355" s="1083"/>
      <c r="G355" s="1092"/>
      <c r="H355" s="1083"/>
      <c r="I355" s="1092"/>
      <c r="J355" s="1092"/>
      <c r="K355" s="1092"/>
      <c r="L355" s="1083"/>
      <c r="M355" s="1083"/>
      <c r="N355" s="1092"/>
      <c r="O355" s="1083"/>
      <c r="P355" s="1092"/>
      <c r="Q355" s="1083"/>
      <c r="R355" s="1092"/>
      <c r="S355" s="1083"/>
      <c r="T355" s="1083"/>
      <c r="U355" s="1083"/>
      <c r="V355" s="1083"/>
      <c r="W355" s="1083"/>
      <c r="X355" s="1083"/>
      <c r="Y355" s="1083"/>
    </row>
    <row r="356">
      <c r="A356" s="1120"/>
      <c r="B356" s="1120"/>
      <c r="C356" s="1142"/>
      <c r="D356" s="1058"/>
      <c r="E356" s="1081"/>
      <c r="F356" s="1142"/>
      <c r="G356" s="1081"/>
      <c r="H356" s="1142"/>
      <c r="I356" s="1081"/>
      <c r="J356" s="1081"/>
      <c r="K356" s="1081"/>
      <c r="L356" s="1142"/>
      <c r="M356" s="1142"/>
      <c r="N356" s="1081"/>
      <c r="O356" s="1142"/>
      <c r="P356" s="1081"/>
      <c r="Q356" s="1142"/>
      <c r="R356" s="1081"/>
      <c r="S356" s="1142"/>
      <c r="T356" s="1142"/>
      <c r="U356" s="1142"/>
      <c r="V356" s="1142"/>
      <c r="W356" s="1142"/>
      <c r="X356" s="1142"/>
      <c r="Y356" s="1142"/>
    </row>
    <row r="357">
      <c r="A357" s="1140"/>
      <c r="B357" s="1140"/>
      <c r="C357" s="1083"/>
      <c r="D357" s="1058"/>
      <c r="E357" s="1092"/>
      <c r="F357" s="1083"/>
      <c r="G357" s="1092"/>
      <c r="H357" s="1083"/>
      <c r="I357" s="1092"/>
      <c r="J357" s="1092"/>
      <c r="K357" s="1092"/>
      <c r="L357" s="1083"/>
      <c r="M357" s="1083"/>
      <c r="N357" s="1092"/>
      <c r="O357" s="1083"/>
      <c r="P357" s="1092"/>
      <c r="Q357" s="1083"/>
      <c r="R357" s="1092"/>
      <c r="S357" s="1083"/>
      <c r="T357" s="1083"/>
      <c r="U357" s="1083"/>
      <c r="V357" s="1083"/>
      <c r="W357" s="1083"/>
      <c r="X357" s="1083"/>
      <c r="Y357" s="1083"/>
    </row>
    <row r="358">
      <c r="A358" s="1120"/>
      <c r="B358" s="1120"/>
      <c r="C358" s="1142"/>
      <c r="D358" s="1058"/>
      <c r="E358" s="1081"/>
      <c r="F358" s="1142"/>
      <c r="G358" s="1081"/>
      <c r="H358" s="1142"/>
      <c r="I358" s="1081"/>
      <c r="J358" s="1081"/>
      <c r="K358" s="1081"/>
      <c r="L358" s="1142"/>
      <c r="M358" s="1142"/>
      <c r="N358" s="1081"/>
      <c r="O358" s="1142"/>
      <c r="P358" s="1081"/>
      <c r="Q358" s="1142"/>
      <c r="R358" s="1081"/>
      <c r="S358" s="1142"/>
      <c r="T358" s="1142"/>
      <c r="U358" s="1142"/>
      <c r="V358" s="1142"/>
      <c r="W358" s="1142"/>
      <c r="X358" s="1142"/>
      <c r="Y358" s="1142"/>
    </row>
    <row r="359">
      <c r="A359" s="1140"/>
      <c r="B359" s="1140"/>
      <c r="C359" s="1083"/>
      <c r="D359" s="1058"/>
      <c r="E359" s="1092"/>
      <c r="F359" s="1083"/>
      <c r="G359" s="1092"/>
      <c r="H359" s="1083"/>
      <c r="I359" s="1092"/>
      <c r="J359" s="1092"/>
      <c r="K359" s="1092"/>
      <c r="L359" s="1083"/>
      <c r="M359" s="1083"/>
      <c r="N359" s="1092"/>
      <c r="O359" s="1083"/>
      <c r="P359" s="1092"/>
      <c r="Q359" s="1083"/>
      <c r="R359" s="1092"/>
      <c r="S359" s="1083"/>
      <c r="T359" s="1083"/>
      <c r="U359" s="1083"/>
      <c r="V359" s="1083"/>
      <c r="W359" s="1083"/>
      <c r="X359" s="1083"/>
      <c r="Y359" s="1083"/>
    </row>
    <row r="360">
      <c r="A360" s="1120"/>
      <c r="B360" s="1120"/>
      <c r="C360" s="1142"/>
      <c r="D360" s="1058"/>
      <c r="E360" s="1081"/>
      <c r="F360" s="1142"/>
      <c r="G360" s="1081"/>
      <c r="H360" s="1142"/>
      <c r="I360" s="1081"/>
      <c r="J360" s="1081"/>
      <c r="K360" s="1081"/>
      <c r="L360" s="1142"/>
      <c r="M360" s="1142"/>
      <c r="N360" s="1081"/>
      <c r="O360" s="1142"/>
      <c r="P360" s="1081"/>
      <c r="Q360" s="1142"/>
      <c r="R360" s="1081"/>
      <c r="S360" s="1142"/>
      <c r="T360" s="1142"/>
      <c r="U360" s="1142"/>
      <c r="V360" s="1142"/>
      <c r="W360" s="1142"/>
      <c r="X360" s="1142"/>
      <c r="Y360" s="1142"/>
    </row>
    <row r="361">
      <c r="A361" s="1140"/>
      <c r="B361" s="1140"/>
      <c r="C361" s="1083"/>
      <c r="D361" s="1058"/>
      <c r="E361" s="1092"/>
      <c r="F361" s="1083"/>
      <c r="G361" s="1092"/>
      <c r="H361" s="1083"/>
      <c r="I361" s="1092"/>
      <c r="J361" s="1092"/>
      <c r="K361" s="1092"/>
      <c r="L361" s="1083"/>
      <c r="M361" s="1083"/>
      <c r="N361" s="1092"/>
      <c r="O361" s="1083"/>
      <c r="P361" s="1092"/>
      <c r="Q361" s="1083"/>
      <c r="R361" s="1092"/>
      <c r="S361" s="1083"/>
      <c r="T361" s="1083"/>
      <c r="U361" s="1083"/>
      <c r="V361" s="1083"/>
      <c r="W361" s="1083"/>
      <c r="X361" s="1083"/>
      <c r="Y361" s="1083"/>
    </row>
    <row r="362">
      <c r="A362" s="1120"/>
      <c r="B362" s="1120"/>
      <c r="C362" s="1142"/>
      <c r="D362" s="1058"/>
      <c r="E362" s="1081"/>
      <c r="F362" s="1142"/>
      <c r="G362" s="1081"/>
      <c r="H362" s="1142"/>
      <c r="I362" s="1081"/>
      <c r="J362" s="1081"/>
      <c r="K362" s="1081"/>
      <c r="L362" s="1142"/>
      <c r="M362" s="1142"/>
      <c r="N362" s="1081"/>
      <c r="O362" s="1142"/>
      <c r="P362" s="1081"/>
      <c r="Q362" s="1142"/>
      <c r="R362" s="1081"/>
      <c r="S362" s="1142"/>
      <c r="T362" s="1142"/>
      <c r="U362" s="1142"/>
      <c r="V362" s="1142"/>
      <c r="W362" s="1142"/>
      <c r="X362" s="1142"/>
      <c r="Y362" s="1142"/>
    </row>
    <row r="363">
      <c r="A363" s="1140"/>
      <c r="B363" s="1140"/>
      <c r="C363" s="1083"/>
      <c r="D363" s="1058"/>
      <c r="E363" s="1092"/>
      <c r="F363" s="1083"/>
      <c r="G363" s="1092"/>
      <c r="H363" s="1083"/>
      <c r="I363" s="1092"/>
      <c r="J363" s="1092"/>
      <c r="K363" s="1092"/>
      <c r="L363" s="1083"/>
      <c r="M363" s="1083"/>
      <c r="N363" s="1092"/>
      <c r="O363" s="1083"/>
      <c r="P363" s="1092"/>
      <c r="Q363" s="1083"/>
      <c r="R363" s="1092"/>
      <c r="S363" s="1083"/>
      <c r="T363" s="1083"/>
      <c r="U363" s="1083"/>
      <c r="V363" s="1083"/>
      <c r="W363" s="1083"/>
      <c r="X363" s="1083"/>
      <c r="Y363" s="1083"/>
    </row>
    <row r="364">
      <c r="A364" s="1120"/>
      <c r="B364" s="1120"/>
      <c r="C364" s="1142"/>
      <c r="D364" s="1058"/>
      <c r="E364" s="1081"/>
      <c r="F364" s="1142"/>
      <c r="G364" s="1081"/>
      <c r="H364" s="1142"/>
      <c r="I364" s="1081"/>
      <c r="J364" s="1081"/>
      <c r="K364" s="1081"/>
      <c r="L364" s="1142"/>
      <c r="M364" s="1142"/>
      <c r="N364" s="1081"/>
      <c r="O364" s="1142"/>
      <c r="P364" s="1081"/>
      <c r="Q364" s="1142"/>
      <c r="R364" s="1081"/>
      <c r="S364" s="1142"/>
      <c r="T364" s="1142"/>
      <c r="U364" s="1142"/>
      <c r="V364" s="1142"/>
      <c r="W364" s="1142"/>
      <c r="X364" s="1142"/>
      <c r="Y364" s="1142"/>
    </row>
    <row r="365">
      <c r="A365" s="1140"/>
      <c r="B365" s="1140"/>
      <c r="C365" s="1083"/>
      <c r="D365" s="1058"/>
      <c r="E365" s="1092"/>
      <c r="F365" s="1083"/>
      <c r="G365" s="1092"/>
      <c r="H365" s="1083"/>
      <c r="I365" s="1092"/>
      <c r="J365" s="1092"/>
      <c r="K365" s="1092"/>
      <c r="L365" s="1083"/>
      <c r="M365" s="1083"/>
      <c r="N365" s="1092"/>
      <c r="O365" s="1083"/>
      <c r="P365" s="1092"/>
      <c r="Q365" s="1083"/>
      <c r="R365" s="1092"/>
      <c r="S365" s="1083"/>
      <c r="T365" s="1083"/>
      <c r="U365" s="1083"/>
      <c r="V365" s="1083"/>
      <c r="W365" s="1083"/>
      <c r="X365" s="1083"/>
      <c r="Y365" s="1083"/>
    </row>
    <row r="366">
      <c r="A366" s="1120"/>
      <c r="B366" s="1120"/>
      <c r="C366" s="1142"/>
      <c r="D366" s="1058"/>
      <c r="E366" s="1081"/>
      <c r="F366" s="1142"/>
      <c r="G366" s="1081"/>
      <c r="H366" s="1142"/>
      <c r="I366" s="1081"/>
      <c r="J366" s="1081"/>
      <c r="K366" s="1081"/>
      <c r="L366" s="1142"/>
      <c r="M366" s="1142"/>
      <c r="N366" s="1081"/>
      <c r="O366" s="1142"/>
      <c r="P366" s="1081"/>
      <c r="Q366" s="1142"/>
      <c r="R366" s="1081"/>
      <c r="S366" s="1142"/>
      <c r="T366" s="1142"/>
      <c r="U366" s="1142"/>
      <c r="V366" s="1142"/>
      <c r="W366" s="1142"/>
      <c r="X366" s="1142"/>
      <c r="Y366" s="1142"/>
    </row>
    <row r="367">
      <c r="A367" s="1140"/>
      <c r="B367" s="1140"/>
      <c r="C367" s="1083"/>
      <c r="D367" s="1058"/>
      <c r="E367" s="1092"/>
      <c r="F367" s="1083"/>
      <c r="G367" s="1092"/>
      <c r="H367" s="1083"/>
      <c r="I367" s="1092"/>
      <c r="J367" s="1092"/>
      <c r="K367" s="1092"/>
      <c r="L367" s="1083"/>
      <c r="M367" s="1083"/>
      <c r="N367" s="1092"/>
      <c r="O367" s="1083"/>
      <c r="P367" s="1092"/>
      <c r="Q367" s="1083"/>
      <c r="R367" s="1092"/>
      <c r="S367" s="1083"/>
      <c r="T367" s="1083"/>
      <c r="U367" s="1083"/>
      <c r="V367" s="1083"/>
      <c r="W367" s="1083"/>
      <c r="X367" s="1083"/>
      <c r="Y367" s="1083"/>
    </row>
    <row r="368">
      <c r="A368" s="1120"/>
      <c r="B368" s="1120"/>
      <c r="C368" s="1142"/>
      <c r="D368" s="1058"/>
      <c r="E368" s="1081"/>
      <c r="F368" s="1142"/>
      <c r="G368" s="1081"/>
      <c r="H368" s="1142"/>
      <c r="I368" s="1081"/>
      <c r="J368" s="1081"/>
      <c r="K368" s="1081"/>
      <c r="L368" s="1142"/>
      <c r="M368" s="1142"/>
      <c r="N368" s="1081"/>
      <c r="O368" s="1142"/>
      <c r="P368" s="1081"/>
      <c r="Q368" s="1142"/>
      <c r="R368" s="1081"/>
      <c r="S368" s="1142"/>
      <c r="T368" s="1142"/>
      <c r="U368" s="1142"/>
      <c r="V368" s="1142"/>
      <c r="W368" s="1142"/>
      <c r="X368" s="1142"/>
      <c r="Y368" s="1142"/>
    </row>
    <row r="369">
      <c r="A369" s="1068"/>
      <c r="B369" s="1068"/>
      <c r="C369" s="1069"/>
      <c r="D369" s="1063"/>
      <c r="E369" s="1070"/>
      <c r="F369" s="1072"/>
      <c r="G369" s="1071"/>
      <c r="H369" s="1072"/>
      <c r="I369" s="1071"/>
      <c r="J369" s="1071"/>
      <c r="K369" s="1071"/>
      <c r="L369" s="1072"/>
      <c r="M369" s="1072"/>
      <c r="N369" s="1071"/>
      <c r="O369" s="1072"/>
      <c r="P369" s="1071"/>
      <c r="Q369" s="1072"/>
      <c r="R369" s="1071"/>
      <c r="S369" s="1072"/>
      <c r="T369" s="1072"/>
      <c r="U369" s="1072"/>
      <c r="V369" s="1072"/>
      <c r="W369" s="1072"/>
      <c r="X369" s="1072"/>
      <c r="Y369" s="1072"/>
    </row>
    <row r="370">
      <c r="A370" s="1120"/>
      <c r="B370" s="1120"/>
      <c r="C370" s="1142"/>
      <c r="D370" s="1058"/>
      <c r="E370" s="1081"/>
      <c r="F370" s="1142"/>
      <c r="G370" s="1081"/>
      <c r="H370" s="1142"/>
      <c r="I370" s="1081"/>
      <c r="J370" s="1081"/>
      <c r="K370" s="1081"/>
      <c r="L370" s="1142"/>
      <c r="M370" s="1142"/>
      <c r="N370" s="1081"/>
      <c r="O370" s="1142"/>
      <c r="P370" s="1081"/>
      <c r="Q370" s="1142"/>
      <c r="R370" s="1081"/>
      <c r="S370" s="1142"/>
      <c r="T370" s="1142"/>
      <c r="U370" s="1142"/>
      <c r="V370" s="1142"/>
      <c r="W370" s="1142"/>
      <c r="X370" s="1142"/>
      <c r="Y370" s="1142"/>
    </row>
    <row r="371">
      <c r="A371" s="1140"/>
      <c r="B371" s="1140"/>
      <c r="C371" s="1083"/>
      <c r="D371" s="1058"/>
      <c r="E371" s="1092"/>
      <c r="F371" s="1083"/>
      <c r="G371" s="1092"/>
      <c r="H371" s="1083"/>
      <c r="I371" s="1092"/>
      <c r="J371" s="1092"/>
      <c r="K371" s="1092"/>
      <c r="L371" s="1083"/>
      <c r="M371" s="1083"/>
      <c r="N371" s="1092"/>
      <c r="O371" s="1083"/>
      <c r="P371" s="1092"/>
      <c r="Q371" s="1083"/>
      <c r="R371" s="1092"/>
      <c r="S371" s="1083"/>
      <c r="T371" s="1083"/>
      <c r="U371" s="1083"/>
      <c r="V371" s="1083"/>
      <c r="W371" s="1083"/>
      <c r="X371" s="1083"/>
      <c r="Y371" s="1083"/>
    </row>
    <row r="372">
      <c r="A372" s="1120"/>
      <c r="B372" s="1120"/>
      <c r="C372" s="1142"/>
      <c r="D372" s="1058"/>
      <c r="E372" s="1081"/>
      <c r="F372" s="1142"/>
      <c r="G372" s="1081"/>
      <c r="H372" s="1142"/>
      <c r="I372" s="1081"/>
      <c r="J372" s="1081"/>
      <c r="K372" s="1081"/>
      <c r="L372" s="1142"/>
      <c r="M372" s="1142"/>
      <c r="N372" s="1081"/>
      <c r="O372" s="1142"/>
      <c r="P372" s="1081"/>
      <c r="Q372" s="1142"/>
      <c r="R372" s="1081"/>
      <c r="S372" s="1142"/>
      <c r="T372" s="1142"/>
      <c r="U372" s="1142"/>
      <c r="V372" s="1142"/>
      <c r="W372" s="1142"/>
      <c r="X372" s="1142"/>
      <c r="Y372" s="1142"/>
    </row>
    <row r="373">
      <c r="A373" s="1140"/>
      <c r="B373" s="1140"/>
      <c r="C373" s="1083"/>
      <c r="D373" s="1058"/>
      <c r="E373" s="1092"/>
      <c r="F373" s="1083"/>
      <c r="G373" s="1092"/>
      <c r="H373" s="1083"/>
      <c r="I373" s="1092"/>
      <c r="J373" s="1092"/>
      <c r="K373" s="1092"/>
      <c r="L373" s="1083"/>
      <c r="M373" s="1083"/>
      <c r="N373" s="1092"/>
      <c r="O373" s="1083"/>
      <c r="P373" s="1092"/>
      <c r="Q373" s="1083"/>
      <c r="R373" s="1092"/>
      <c r="S373" s="1083"/>
      <c r="T373" s="1083"/>
      <c r="U373" s="1083"/>
      <c r="V373" s="1083"/>
      <c r="W373" s="1083"/>
      <c r="X373" s="1083"/>
      <c r="Y373" s="1083"/>
    </row>
    <row r="374">
      <c r="A374" s="1120"/>
      <c r="B374" s="1120"/>
      <c r="C374" s="1142"/>
      <c r="D374" s="1058"/>
      <c r="E374" s="1081"/>
      <c r="F374" s="1142"/>
      <c r="G374" s="1081"/>
      <c r="H374" s="1142"/>
      <c r="I374" s="1081"/>
      <c r="J374" s="1081"/>
      <c r="K374" s="1081"/>
      <c r="L374" s="1142"/>
      <c r="M374" s="1142"/>
      <c r="N374" s="1081"/>
      <c r="O374" s="1142"/>
      <c r="P374" s="1081"/>
      <c r="Q374" s="1142"/>
      <c r="R374" s="1081"/>
      <c r="S374" s="1142"/>
      <c r="T374" s="1142"/>
      <c r="U374" s="1142"/>
      <c r="V374" s="1142"/>
      <c r="W374" s="1142"/>
      <c r="X374" s="1142"/>
      <c r="Y374" s="1142"/>
    </row>
    <row r="375">
      <c r="A375" s="1140"/>
      <c r="B375" s="1140"/>
      <c r="C375" s="1083"/>
      <c r="D375" s="1058"/>
      <c r="E375" s="1092"/>
      <c r="F375" s="1083"/>
      <c r="G375" s="1092"/>
      <c r="H375" s="1083"/>
      <c r="I375" s="1092"/>
      <c r="J375" s="1092"/>
      <c r="K375" s="1092"/>
      <c r="L375" s="1083"/>
      <c r="M375" s="1083"/>
      <c r="N375" s="1092"/>
      <c r="O375" s="1083"/>
      <c r="P375" s="1092"/>
      <c r="Q375" s="1083"/>
      <c r="R375" s="1092"/>
      <c r="S375" s="1083"/>
      <c r="T375" s="1083"/>
      <c r="U375" s="1083"/>
      <c r="V375" s="1083"/>
      <c r="W375" s="1083"/>
      <c r="X375" s="1083"/>
      <c r="Y375" s="1083"/>
    </row>
    <row r="376">
      <c r="A376" s="1120"/>
      <c r="B376" s="1120"/>
      <c r="C376" s="1142"/>
      <c r="D376" s="1058"/>
      <c r="E376" s="1081"/>
      <c r="F376" s="1142"/>
      <c r="G376" s="1081"/>
      <c r="H376" s="1142"/>
      <c r="I376" s="1081"/>
      <c r="J376" s="1081"/>
      <c r="K376" s="1081"/>
      <c r="L376" s="1142"/>
      <c r="M376" s="1142"/>
      <c r="N376" s="1081"/>
      <c r="O376" s="1142"/>
      <c r="P376" s="1081"/>
      <c r="Q376" s="1142"/>
      <c r="R376" s="1081"/>
      <c r="S376" s="1142"/>
      <c r="T376" s="1142"/>
      <c r="U376" s="1142"/>
      <c r="V376" s="1142"/>
      <c r="W376" s="1142"/>
      <c r="X376" s="1142"/>
      <c r="Y376" s="1142"/>
    </row>
    <row r="377">
      <c r="A377" s="1140"/>
      <c r="B377" s="1140"/>
      <c r="C377" s="1083"/>
      <c r="D377" s="1058"/>
      <c r="E377" s="1092"/>
      <c r="F377" s="1083"/>
      <c r="G377" s="1092"/>
      <c r="H377" s="1083"/>
      <c r="I377" s="1092"/>
      <c r="J377" s="1092"/>
      <c r="K377" s="1092"/>
      <c r="L377" s="1083"/>
      <c r="M377" s="1083"/>
      <c r="N377" s="1092"/>
      <c r="O377" s="1083"/>
      <c r="P377" s="1092"/>
      <c r="Q377" s="1083"/>
      <c r="R377" s="1092"/>
      <c r="S377" s="1083"/>
      <c r="T377" s="1083"/>
      <c r="U377" s="1083"/>
      <c r="V377" s="1083"/>
      <c r="W377" s="1083"/>
      <c r="X377" s="1083"/>
      <c r="Y377" s="1083"/>
    </row>
    <row r="378">
      <c r="A378" s="1120"/>
      <c r="B378" s="1120"/>
      <c r="C378" s="1142"/>
      <c r="D378" s="1058"/>
      <c r="E378" s="1081"/>
      <c r="F378" s="1142"/>
      <c r="G378" s="1081"/>
      <c r="H378" s="1142"/>
      <c r="I378" s="1081"/>
      <c r="J378" s="1081"/>
      <c r="K378" s="1081"/>
      <c r="L378" s="1142"/>
      <c r="M378" s="1142"/>
      <c r="N378" s="1081"/>
      <c r="O378" s="1142"/>
      <c r="P378" s="1081"/>
      <c r="Q378" s="1142"/>
      <c r="R378" s="1081"/>
      <c r="S378" s="1142"/>
      <c r="T378" s="1142"/>
      <c r="U378" s="1142"/>
      <c r="V378" s="1142"/>
      <c r="W378" s="1142"/>
      <c r="X378" s="1142"/>
      <c r="Y378" s="1142"/>
    </row>
    <row r="379">
      <c r="A379" s="1140"/>
      <c r="B379" s="1140"/>
      <c r="C379" s="1083"/>
      <c r="D379" s="1058"/>
      <c r="E379" s="1092"/>
      <c r="F379" s="1083"/>
      <c r="G379" s="1092"/>
      <c r="H379" s="1083"/>
      <c r="I379" s="1092"/>
      <c r="J379" s="1092"/>
      <c r="K379" s="1092"/>
      <c r="L379" s="1083"/>
      <c r="M379" s="1083"/>
      <c r="N379" s="1092"/>
      <c r="O379" s="1083"/>
      <c r="P379" s="1092"/>
      <c r="Q379" s="1083"/>
      <c r="R379" s="1092"/>
      <c r="S379" s="1083"/>
      <c r="T379" s="1083"/>
      <c r="U379" s="1083"/>
      <c r="V379" s="1083"/>
      <c r="W379" s="1083"/>
      <c r="X379" s="1083"/>
      <c r="Y379" s="1083"/>
    </row>
    <row r="380">
      <c r="A380" s="1120"/>
      <c r="B380" s="1120"/>
      <c r="C380" s="1142"/>
      <c r="D380" s="1058"/>
      <c r="E380" s="1081"/>
      <c r="F380" s="1142"/>
      <c r="G380" s="1081"/>
      <c r="H380" s="1142"/>
      <c r="I380" s="1081"/>
      <c r="J380" s="1081"/>
      <c r="K380" s="1081"/>
      <c r="L380" s="1142"/>
      <c r="M380" s="1142"/>
      <c r="N380" s="1081"/>
      <c r="O380" s="1142"/>
      <c r="P380" s="1081"/>
      <c r="Q380" s="1142"/>
      <c r="R380" s="1081"/>
      <c r="S380" s="1142"/>
      <c r="T380" s="1142"/>
      <c r="U380" s="1142"/>
      <c r="V380" s="1142"/>
      <c r="W380" s="1142"/>
      <c r="X380" s="1142"/>
      <c r="Y380" s="1142"/>
    </row>
    <row r="381">
      <c r="A381" s="1140"/>
      <c r="B381" s="1140"/>
      <c r="C381" s="1083"/>
      <c r="D381" s="1058"/>
      <c r="E381" s="1092"/>
      <c r="F381" s="1083"/>
      <c r="G381" s="1092"/>
      <c r="H381" s="1083"/>
      <c r="I381" s="1092"/>
      <c r="J381" s="1092"/>
      <c r="K381" s="1092"/>
      <c r="L381" s="1083"/>
      <c r="M381" s="1083"/>
      <c r="N381" s="1092"/>
      <c r="O381" s="1083"/>
      <c r="P381" s="1092"/>
      <c r="Q381" s="1083"/>
      <c r="R381" s="1092"/>
      <c r="S381" s="1083"/>
      <c r="T381" s="1083"/>
      <c r="U381" s="1083"/>
      <c r="V381" s="1083"/>
      <c r="W381" s="1083"/>
      <c r="X381" s="1083"/>
      <c r="Y381" s="1083"/>
    </row>
    <row r="382">
      <c r="A382" s="1120"/>
      <c r="B382" s="1120"/>
      <c r="C382" s="1142"/>
      <c r="D382" s="1058"/>
      <c r="E382" s="1081"/>
      <c r="F382" s="1142"/>
      <c r="G382" s="1081"/>
      <c r="H382" s="1142"/>
      <c r="I382" s="1081"/>
      <c r="J382" s="1081"/>
      <c r="K382" s="1081"/>
      <c r="L382" s="1142"/>
      <c r="M382" s="1142"/>
      <c r="N382" s="1081"/>
      <c r="O382" s="1142"/>
      <c r="P382" s="1081"/>
      <c r="Q382" s="1142"/>
      <c r="R382" s="1081"/>
      <c r="S382" s="1142"/>
      <c r="T382" s="1142"/>
      <c r="U382" s="1142"/>
      <c r="V382" s="1142"/>
      <c r="W382" s="1142"/>
      <c r="X382" s="1142"/>
      <c r="Y382" s="1142"/>
    </row>
    <row r="383">
      <c r="A383" s="1140"/>
      <c r="B383" s="1140"/>
      <c r="C383" s="1083"/>
      <c r="D383" s="1058"/>
      <c r="E383" s="1092"/>
      <c r="F383" s="1083"/>
      <c r="G383" s="1092"/>
      <c r="H383" s="1083"/>
      <c r="I383" s="1092"/>
      <c r="J383" s="1092"/>
      <c r="K383" s="1092"/>
      <c r="L383" s="1083"/>
      <c r="M383" s="1083"/>
      <c r="N383" s="1092"/>
      <c r="O383" s="1083"/>
      <c r="P383" s="1092"/>
      <c r="Q383" s="1083"/>
      <c r="R383" s="1092"/>
      <c r="S383" s="1083"/>
      <c r="T383" s="1083"/>
      <c r="U383" s="1083"/>
      <c r="V383" s="1083"/>
      <c r="W383" s="1083"/>
      <c r="X383" s="1083"/>
      <c r="Y383" s="1083"/>
    </row>
    <row r="384">
      <c r="A384" s="1120"/>
      <c r="B384" s="1120"/>
      <c r="C384" s="1142"/>
      <c r="D384" s="1058"/>
      <c r="E384" s="1081"/>
      <c r="F384" s="1142"/>
      <c r="G384" s="1081"/>
      <c r="H384" s="1142"/>
      <c r="I384" s="1081"/>
      <c r="J384" s="1081"/>
      <c r="K384" s="1081"/>
      <c r="L384" s="1142"/>
      <c r="M384" s="1142"/>
      <c r="N384" s="1081"/>
      <c r="O384" s="1142"/>
      <c r="P384" s="1081"/>
      <c r="Q384" s="1142"/>
      <c r="R384" s="1081"/>
      <c r="S384" s="1142"/>
      <c r="T384" s="1142"/>
      <c r="U384" s="1142"/>
      <c r="V384" s="1142"/>
      <c r="W384" s="1142"/>
      <c r="X384" s="1142"/>
      <c r="Y384" s="1142"/>
    </row>
    <row r="385">
      <c r="A385" s="1140"/>
      <c r="B385" s="1140"/>
      <c r="C385" s="1083"/>
      <c r="D385" s="1058"/>
      <c r="E385" s="1092"/>
      <c r="F385" s="1083"/>
      <c r="G385" s="1092"/>
      <c r="H385" s="1083"/>
      <c r="I385" s="1092"/>
      <c r="J385" s="1092"/>
      <c r="K385" s="1092"/>
      <c r="L385" s="1083"/>
      <c r="M385" s="1083"/>
      <c r="N385" s="1092"/>
      <c r="O385" s="1083"/>
      <c r="P385" s="1092"/>
      <c r="Q385" s="1083"/>
      <c r="R385" s="1092"/>
      <c r="S385" s="1083"/>
      <c r="T385" s="1083"/>
      <c r="U385" s="1083"/>
      <c r="V385" s="1083"/>
      <c r="W385" s="1083"/>
      <c r="X385" s="1083"/>
      <c r="Y385" s="1083"/>
    </row>
    <row r="386">
      <c r="A386" s="1120"/>
      <c r="B386" s="1120"/>
      <c r="C386" s="1142"/>
      <c r="D386" s="1058"/>
      <c r="E386" s="1081"/>
      <c r="F386" s="1142"/>
      <c r="G386" s="1081"/>
      <c r="H386" s="1142"/>
      <c r="I386" s="1081"/>
      <c r="J386" s="1081"/>
      <c r="K386" s="1081"/>
      <c r="L386" s="1142"/>
      <c r="M386" s="1142"/>
      <c r="N386" s="1081"/>
      <c r="O386" s="1142"/>
      <c r="P386" s="1081"/>
      <c r="Q386" s="1142"/>
      <c r="R386" s="1081"/>
      <c r="S386" s="1142"/>
      <c r="T386" s="1142"/>
      <c r="U386" s="1142"/>
      <c r="V386" s="1142"/>
      <c r="W386" s="1142"/>
      <c r="X386" s="1142"/>
      <c r="Y386" s="1142"/>
    </row>
    <row r="387">
      <c r="A387" s="1140"/>
      <c r="B387" s="1140"/>
      <c r="C387" s="1083"/>
      <c r="D387" s="1058"/>
      <c r="E387" s="1092"/>
      <c r="F387" s="1083"/>
      <c r="G387" s="1092"/>
      <c r="H387" s="1083"/>
      <c r="I387" s="1092"/>
      <c r="J387" s="1092"/>
      <c r="K387" s="1092"/>
      <c r="L387" s="1083"/>
      <c r="M387" s="1083"/>
      <c r="N387" s="1092"/>
      <c r="O387" s="1083"/>
      <c r="P387" s="1092"/>
      <c r="Q387" s="1083"/>
      <c r="R387" s="1092"/>
      <c r="S387" s="1083"/>
      <c r="T387" s="1083"/>
      <c r="U387" s="1083"/>
      <c r="V387" s="1083"/>
      <c r="W387" s="1083"/>
      <c r="X387" s="1083"/>
      <c r="Y387" s="1083"/>
    </row>
    <row r="388">
      <c r="A388" s="1120"/>
      <c r="B388" s="1120"/>
      <c r="C388" s="1142"/>
      <c r="D388" s="1058"/>
      <c r="E388" s="1081"/>
      <c r="F388" s="1142"/>
      <c r="G388" s="1081"/>
      <c r="H388" s="1142"/>
      <c r="I388" s="1081"/>
      <c r="J388" s="1081"/>
      <c r="K388" s="1081"/>
      <c r="L388" s="1142"/>
      <c r="M388" s="1142"/>
      <c r="N388" s="1081"/>
      <c r="O388" s="1142"/>
      <c r="P388" s="1081"/>
      <c r="Q388" s="1142"/>
      <c r="R388" s="1081"/>
      <c r="S388" s="1142"/>
      <c r="T388" s="1142"/>
      <c r="U388" s="1142"/>
      <c r="V388" s="1142"/>
      <c r="W388" s="1142"/>
      <c r="X388" s="1142"/>
      <c r="Y388" s="1142"/>
    </row>
    <row r="389">
      <c r="A389" s="1140"/>
      <c r="B389" s="1140"/>
      <c r="C389" s="1083"/>
      <c r="D389" s="1058"/>
      <c r="E389" s="1092"/>
      <c r="F389" s="1083"/>
      <c r="G389" s="1092"/>
      <c r="H389" s="1083"/>
      <c r="I389" s="1092"/>
      <c r="J389" s="1092"/>
      <c r="K389" s="1092"/>
      <c r="L389" s="1083"/>
      <c r="M389" s="1083"/>
      <c r="N389" s="1092"/>
      <c r="O389" s="1083"/>
      <c r="P389" s="1092"/>
      <c r="Q389" s="1083"/>
      <c r="R389" s="1092"/>
      <c r="S389" s="1083"/>
      <c r="T389" s="1083"/>
      <c r="U389" s="1083"/>
      <c r="V389" s="1083"/>
      <c r="W389" s="1083"/>
      <c r="X389" s="1083"/>
      <c r="Y389" s="1083"/>
    </row>
    <row r="390">
      <c r="A390" s="1120"/>
      <c r="B390" s="1120"/>
      <c r="C390" s="1142"/>
      <c r="D390" s="1058"/>
      <c r="E390" s="1081"/>
      <c r="F390" s="1142"/>
      <c r="G390" s="1081"/>
      <c r="H390" s="1142"/>
      <c r="I390" s="1081"/>
      <c r="J390" s="1081"/>
      <c r="K390" s="1081"/>
      <c r="L390" s="1142"/>
      <c r="M390" s="1142"/>
      <c r="N390" s="1081"/>
      <c r="O390" s="1142"/>
      <c r="P390" s="1081"/>
      <c r="Q390" s="1142"/>
      <c r="R390" s="1081"/>
      <c r="S390" s="1142"/>
      <c r="T390" s="1142"/>
      <c r="U390" s="1142"/>
      <c r="V390" s="1142"/>
      <c r="W390" s="1142"/>
      <c r="X390" s="1142"/>
      <c r="Y390" s="1142"/>
    </row>
    <row r="391">
      <c r="A391" s="1140"/>
      <c r="B391" s="1140"/>
      <c r="C391" s="1083"/>
      <c r="D391" s="1058"/>
      <c r="E391" s="1092"/>
      <c r="F391" s="1083"/>
      <c r="G391" s="1092"/>
      <c r="H391" s="1083"/>
      <c r="I391" s="1092"/>
      <c r="J391" s="1092"/>
      <c r="K391" s="1092"/>
      <c r="L391" s="1083"/>
      <c r="M391" s="1083"/>
      <c r="N391" s="1092"/>
      <c r="O391" s="1083"/>
      <c r="P391" s="1092"/>
      <c r="Q391" s="1083"/>
      <c r="R391" s="1092"/>
      <c r="S391" s="1083"/>
      <c r="T391" s="1083"/>
      <c r="U391" s="1083"/>
      <c r="V391" s="1083"/>
      <c r="W391" s="1083"/>
      <c r="X391" s="1083"/>
      <c r="Y391" s="1083"/>
    </row>
    <row r="392">
      <c r="A392" s="1120"/>
      <c r="B392" s="1120"/>
      <c r="C392" s="1142"/>
      <c r="D392" s="1058"/>
      <c r="E392" s="1081"/>
      <c r="F392" s="1142"/>
      <c r="G392" s="1081"/>
      <c r="H392" s="1142"/>
      <c r="I392" s="1081"/>
      <c r="J392" s="1081"/>
      <c r="K392" s="1081"/>
      <c r="L392" s="1142"/>
      <c r="M392" s="1142"/>
      <c r="N392" s="1081"/>
      <c r="O392" s="1142"/>
      <c r="P392" s="1081"/>
      <c r="Q392" s="1142"/>
      <c r="R392" s="1081"/>
      <c r="S392" s="1142"/>
      <c r="T392" s="1142"/>
      <c r="U392" s="1142"/>
      <c r="V392" s="1142"/>
      <c r="W392" s="1142"/>
      <c r="X392" s="1142"/>
      <c r="Y392" s="1142"/>
    </row>
    <row r="393">
      <c r="A393" s="1140"/>
      <c r="B393" s="1140"/>
      <c r="C393" s="1083"/>
      <c r="D393" s="1058"/>
      <c r="E393" s="1092"/>
      <c r="F393" s="1083"/>
      <c r="G393" s="1092"/>
      <c r="H393" s="1083"/>
      <c r="I393" s="1092"/>
      <c r="J393" s="1092"/>
      <c r="K393" s="1092"/>
      <c r="L393" s="1083"/>
      <c r="M393" s="1083"/>
      <c r="N393" s="1092"/>
      <c r="O393" s="1083"/>
      <c r="P393" s="1092"/>
      <c r="Q393" s="1083"/>
      <c r="R393" s="1092"/>
      <c r="S393" s="1083"/>
      <c r="T393" s="1083"/>
      <c r="U393" s="1083"/>
      <c r="V393" s="1083"/>
      <c r="W393" s="1083"/>
      <c r="X393" s="1083"/>
      <c r="Y393" s="1083"/>
    </row>
    <row r="394">
      <c r="A394" s="1120"/>
      <c r="B394" s="1120"/>
      <c r="C394" s="1142"/>
      <c r="D394" s="1058"/>
      <c r="E394" s="1081"/>
      <c r="F394" s="1142"/>
      <c r="G394" s="1081"/>
      <c r="H394" s="1142"/>
      <c r="I394" s="1081"/>
      <c r="J394" s="1081"/>
      <c r="K394" s="1081"/>
      <c r="L394" s="1142"/>
      <c r="M394" s="1142"/>
      <c r="N394" s="1081"/>
      <c r="O394" s="1142"/>
      <c r="P394" s="1081"/>
      <c r="Q394" s="1142"/>
      <c r="R394" s="1081"/>
      <c r="S394" s="1142"/>
      <c r="T394" s="1142"/>
      <c r="U394" s="1142"/>
      <c r="V394" s="1142"/>
      <c r="W394" s="1142"/>
      <c r="X394" s="1142"/>
      <c r="Y394" s="1142"/>
    </row>
    <row r="395">
      <c r="A395" s="1140"/>
      <c r="B395" s="1140"/>
      <c r="C395" s="1083"/>
      <c r="D395" s="1058"/>
      <c r="E395" s="1092"/>
      <c r="F395" s="1083"/>
      <c r="G395" s="1092"/>
      <c r="H395" s="1083"/>
      <c r="I395" s="1092"/>
      <c r="J395" s="1092"/>
      <c r="K395" s="1092"/>
      <c r="L395" s="1083"/>
      <c r="M395" s="1083"/>
      <c r="N395" s="1092"/>
      <c r="O395" s="1083"/>
      <c r="P395" s="1092"/>
      <c r="Q395" s="1083"/>
      <c r="R395" s="1092"/>
      <c r="S395" s="1083"/>
      <c r="T395" s="1083"/>
      <c r="U395" s="1083"/>
      <c r="V395" s="1083"/>
      <c r="W395" s="1083"/>
      <c r="X395" s="1083"/>
      <c r="Y395" s="1083"/>
    </row>
    <row r="396">
      <c r="A396" s="1120"/>
      <c r="B396" s="1120"/>
      <c r="C396" s="1142"/>
      <c r="D396" s="1058"/>
      <c r="E396" s="1081"/>
      <c r="F396" s="1142"/>
      <c r="G396" s="1081"/>
      <c r="H396" s="1142"/>
      <c r="I396" s="1081"/>
      <c r="J396" s="1081"/>
      <c r="K396" s="1081"/>
      <c r="L396" s="1142"/>
      <c r="M396" s="1142"/>
      <c r="N396" s="1081"/>
      <c r="O396" s="1142"/>
      <c r="P396" s="1081"/>
      <c r="Q396" s="1142"/>
      <c r="R396" s="1081"/>
      <c r="S396" s="1142"/>
      <c r="T396" s="1142"/>
      <c r="U396" s="1142"/>
      <c r="V396" s="1142"/>
      <c r="W396" s="1142"/>
      <c r="X396" s="1142"/>
      <c r="Y396" s="1142"/>
    </row>
    <row r="397">
      <c r="A397" s="1140"/>
      <c r="B397" s="1140"/>
      <c r="C397" s="1083"/>
      <c r="D397" s="1058"/>
      <c r="E397" s="1092"/>
      <c r="F397" s="1083"/>
      <c r="G397" s="1092"/>
      <c r="H397" s="1083"/>
      <c r="I397" s="1092"/>
      <c r="J397" s="1092"/>
      <c r="K397" s="1092"/>
      <c r="L397" s="1083"/>
      <c r="M397" s="1083"/>
      <c r="N397" s="1092"/>
      <c r="O397" s="1083"/>
      <c r="P397" s="1092"/>
      <c r="Q397" s="1083"/>
      <c r="R397" s="1092"/>
      <c r="S397" s="1083"/>
      <c r="T397" s="1083"/>
      <c r="U397" s="1083"/>
      <c r="V397" s="1083"/>
      <c r="W397" s="1083"/>
      <c r="X397" s="1083"/>
      <c r="Y397" s="1083"/>
    </row>
    <row r="398">
      <c r="A398" s="1120"/>
      <c r="B398" s="1120"/>
      <c r="C398" s="1142"/>
      <c r="D398" s="1058"/>
      <c r="E398" s="1081"/>
      <c r="F398" s="1142"/>
      <c r="G398" s="1081"/>
      <c r="H398" s="1142"/>
      <c r="I398" s="1081"/>
      <c r="J398" s="1081"/>
      <c r="K398" s="1081"/>
      <c r="L398" s="1142"/>
      <c r="M398" s="1142"/>
      <c r="N398" s="1081"/>
      <c r="O398" s="1142"/>
      <c r="P398" s="1081"/>
      <c r="Q398" s="1142"/>
      <c r="R398" s="1081"/>
      <c r="S398" s="1142"/>
      <c r="T398" s="1142"/>
      <c r="U398" s="1142"/>
      <c r="V398" s="1142"/>
      <c r="W398" s="1142"/>
      <c r="X398" s="1142"/>
      <c r="Y398" s="1142"/>
    </row>
    <row r="399">
      <c r="A399" s="1140"/>
      <c r="B399" s="1140"/>
      <c r="C399" s="1083"/>
      <c r="D399" s="1058"/>
      <c r="E399" s="1092"/>
      <c r="F399" s="1083"/>
      <c r="G399" s="1092"/>
      <c r="H399" s="1083"/>
      <c r="I399" s="1092"/>
      <c r="J399" s="1092"/>
      <c r="K399" s="1092"/>
      <c r="L399" s="1083"/>
      <c r="M399" s="1083"/>
      <c r="N399" s="1092"/>
      <c r="O399" s="1083"/>
      <c r="P399" s="1092"/>
      <c r="Q399" s="1083"/>
      <c r="R399" s="1092"/>
      <c r="S399" s="1083"/>
      <c r="T399" s="1083"/>
      <c r="U399" s="1083"/>
      <c r="V399" s="1083"/>
      <c r="W399" s="1083"/>
      <c r="X399" s="1083"/>
      <c r="Y399" s="1083"/>
    </row>
    <row r="400">
      <c r="A400" s="1120"/>
      <c r="B400" s="1120"/>
      <c r="C400" s="1142"/>
      <c r="D400" s="1058"/>
      <c r="E400" s="1081"/>
      <c r="F400" s="1142"/>
      <c r="G400" s="1081"/>
      <c r="H400" s="1142"/>
      <c r="I400" s="1081"/>
      <c r="J400" s="1081"/>
      <c r="K400" s="1081"/>
      <c r="L400" s="1142"/>
      <c r="M400" s="1142"/>
      <c r="N400" s="1081"/>
      <c r="O400" s="1142"/>
      <c r="P400" s="1081"/>
      <c r="Q400" s="1142"/>
      <c r="R400" s="1081"/>
      <c r="S400" s="1142"/>
      <c r="T400" s="1142"/>
      <c r="U400" s="1142"/>
      <c r="V400" s="1142"/>
      <c r="W400" s="1142"/>
      <c r="X400" s="1142"/>
      <c r="Y400" s="1142"/>
    </row>
    <row r="401">
      <c r="A401" s="1140"/>
      <c r="B401" s="1140"/>
      <c r="C401" s="1083"/>
      <c r="D401" s="1058"/>
      <c r="E401" s="1092"/>
      <c r="F401" s="1083"/>
      <c r="G401" s="1092"/>
      <c r="H401" s="1083"/>
      <c r="I401" s="1092"/>
      <c r="J401" s="1092"/>
      <c r="K401" s="1092"/>
      <c r="L401" s="1083"/>
      <c r="M401" s="1083"/>
      <c r="N401" s="1092"/>
      <c r="O401" s="1083"/>
      <c r="P401" s="1092"/>
      <c r="Q401" s="1083"/>
      <c r="R401" s="1092"/>
      <c r="S401" s="1083"/>
      <c r="T401" s="1083"/>
      <c r="U401" s="1083"/>
      <c r="V401" s="1083"/>
      <c r="W401" s="1083"/>
      <c r="X401" s="1083"/>
      <c r="Y401" s="1083"/>
    </row>
    <row r="402">
      <c r="A402" s="1120"/>
      <c r="B402" s="1120"/>
      <c r="C402" s="1142"/>
      <c r="D402" s="1058"/>
      <c r="E402" s="1081"/>
      <c r="F402" s="1142"/>
      <c r="G402" s="1081"/>
      <c r="H402" s="1142"/>
      <c r="I402" s="1081"/>
      <c r="J402" s="1081"/>
      <c r="K402" s="1081"/>
      <c r="L402" s="1142"/>
      <c r="M402" s="1142"/>
      <c r="N402" s="1081"/>
      <c r="O402" s="1142"/>
      <c r="P402" s="1081"/>
      <c r="Q402" s="1142"/>
      <c r="R402" s="1081"/>
      <c r="S402" s="1142"/>
      <c r="T402" s="1142"/>
      <c r="U402" s="1142"/>
      <c r="V402" s="1142"/>
      <c r="W402" s="1142"/>
      <c r="X402" s="1142"/>
      <c r="Y402" s="1142"/>
    </row>
    <row r="403">
      <c r="A403" s="1140"/>
      <c r="B403" s="1140"/>
      <c r="C403" s="1083"/>
      <c r="D403" s="1058"/>
      <c r="E403" s="1092"/>
      <c r="F403" s="1083"/>
      <c r="G403" s="1092"/>
      <c r="H403" s="1083"/>
      <c r="I403" s="1092"/>
      <c r="J403" s="1092"/>
      <c r="K403" s="1092"/>
      <c r="L403" s="1083"/>
      <c r="M403" s="1083"/>
      <c r="N403" s="1092"/>
      <c r="O403" s="1083"/>
      <c r="P403" s="1092"/>
      <c r="Q403" s="1083"/>
      <c r="R403" s="1092"/>
      <c r="S403" s="1083"/>
      <c r="T403" s="1083"/>
      <c r="U403" s="1083"/>
      <c r="V403" s="1083"/>
      <c r="W403" s="1083"/>
      <c r="X403" s="1083"/>
      <c r="Y403" s="1083"/>
    </row>
    <row r="404">
      <c r="A404" s="1120"/>
      <c r="B404" s="1120"/>
      <c r="C404" s="1142"/>
      <c r="D404" s="1058"/>
      <c r="E404" s="1081"/>
      <c r="F404" s="1142"/>
      <c r="G404" s="1081"/>
      <c r="H404" s="1142"/>
      <c r="I404" s="1081"/>
      <c r="J404" s="1081"/>
      <c r="K404" s="1081"/>
      <c r="L404" s="1142"/>
      <c r="M404" s="1142"/>
      <c r="N404" s="1081"/>
      <c r="O404" s="1142"/>
      <c r="P404" s="1081"/>
      <c r="Q404" s="1142"/>
      <c r="R404" s="1081"/>
      <c r="S404" s="1142"/>
      <c r="T404" s="1142"/>
      <c r="U404" s="1142"/>
      <c r="V404" s="1142"/>
      <c r="W404" s="1142"/>
      <c r="X404" s="1142"/>
      <c r="Y404" s="1142"/>
    </row>
    <row r="405">
      <c r="A405" s="1140"/>
      <c r="B405" s="1140"/>
      <c r="C405" s="1083"/>
      <c r="D405" s="1058"/>
      <c r="E405" s="1092"/>
      <c r="F405" s="1083"/>
      <c r="G405" s="1092"/>
      <c r="H405" s="1083"/>
      <c r="I405" s="1092"/>
      <c r="J405" s="1092"/>
      <c r="K405" s="1092"/>
      <c r="L405" s="1083"/>
      <c r="M405" s="1083"/>
      <c r="N405" s="1092"/>
      <c r="O405" s="1083"/>
      <c r="P405" s="1092"/>
      <c r="Q405" s="1083"/>
      <c r="R405" s="1092"/>
      <c r="S405" s="1083"/>
      <c r="T405" s="1083"/>
      <c r="U405" s="1083"/>
      <c r="V405" s="1083"/>
      <c r="W405" s="1083"/>
      <c r="X405" s="1083"/>
      <c r="Y405" s="1083"/>
    </row>
    <row r="406">
      <c r="A406" s="1120"/>
      <c r="B406" s="1120"/>
      <c r="C406" s="1142"/>
      <c r="D406" s="1058"/>
      <c r="E406" s="1081"/>
      <c r="F406" s="1142"/>
      <c r="G406" s="1081"/>
      <c r="H406" s="1142"/>
      <c r="I406" s="1081"/>
      <c r="J406" s="1081"/>
      <c r="K406" s="1081"/>
      <c r="L406" s="1142"/>
      <c r="M406" s="1142"/>
      <c r="N406" s="1081"/>
      <c r="O406" s="1142"/>
      <c r="P406" s="1081"/>
      <c r="Q406" s="1142"/>
      <c r="R406" s="1081"/>
      <c r="S406" s="1142"/>
      <c r="T406" s="1142"/>
      <c r="U406" s="1142"/>
      <c r="V406" s="1142"/>
      <c r="W406" s="1142"/>
      <c r="X406" s="1142"/>
      <c r="Y406" s="1142"/>
    </row>
    <row r="407">
      <c r="A407" s="1140"/>
      <c r="B407" s="1140"/>
      <c r="C407" s="1083"/>
      <c r="D407" s="1058"/>
      <c r="E407" s="1092"/>
      <c r="F407" s="1083"/>
      <c r="G407" s="1092"/>
      <c r="H407" s="1083"/>
      <c r="I407" s="1092"/>
      <c r="J407" s="1092"/>
      <c r="K407" s="1092"/>
      <c r="L407" s="1083"/>
      <c r="M407" s="1083"/>
      <c r="N407" s="1092"/>
      <c r="O407" s="1083"/>
      <c r="P407" s="1092"/>
      <c r="Q407" s="1083"/>
      <c r="R407" s="1092"/>
      <c r="S407" s="1083"/>
      <c r="T407" s="1083"/>
      <c r="U407" s="1083"/>
      <c r="V407" s="1083"/>
      <c r="W407" s="1083"/>
      <c r="X407" s="1083"/>
      <c r="Y407" s="1083"/>
    </row>
    <row r="408">
      <c r="A408" s="1120"/>
      <c r="B408" s="1120"/>
      <c r="C408" s="1142"/>
      <c r="D408" s="1058"/>
      <c r="E408" s="1081"/>
      <c r="F408" s="1142"/>
      <c r="G408" s="1081"/>
      <c r="H408" s="1142"/>
      <c r="I408" s="1081"/>
      <c r="J408" s="1081"/>
      <c r="K408" s="1081"/>
      <c r="L408" s="1142"/>
      <c r="M408" s="1142"/>
      <c r="N408" s="1081"/>
      <c r="O408" s="1142"/>
      <c r="P408" s="1081"/>
      <c r="Q408" s="1142"/>
      <c r="R408" s="1081"/>
      <c r="S408" s="1142"/>
      <c r="T408" s="1142"/>
      <c r="U408" s="1142"/>
      <c r="V408" s="1142"/>
      <c r="W408" s="1142"/>
      <c r="X408" s="1142"/>
      <c r="Y408" s="1142"/>
    </row>
    <row r="409">
      <c r="A409" s="1140"/>
      <c r="B409" s="1140"/>
      <c r="C409" s="1083"/>
      <c r="D409" s="1058"/>
      <c r="E409" s="1092"/>
      <c r="F409" s="1083"/>
      <c r="G409" s="1092"/>
      <c r="H409" s="1083"/>
      <c r="I409" s="1092"/>
      <c r="J409" s="1092"/>
      <c r="K409" s="1092"/>
      <c r="L409" s="1083"/>
      <c r="M409" s="1083"/>
      <c r="N409" s="1092"/>
      <c r="O409" s="1083"/>
      <c r="P409" s="1092"/>
      <c r="Q409" s="1083"/>
      <c r="R409" s="1092"/>
      <c r="S409" s="1083"/>
      <c r="T409" s="1083"/>
      <c r="U409" s="1083"/>
      <c r="V409" s="1083"/>
      <c r="W409" s="1083"/>
      <c r="X409" s="1083"/>
      <c r="Y409" s="1083"/>
    </row>
    <row r="410">
      <c r="A410" s="1120"/>
      <c r="B410" s="1120"/>
      <c r="C410" s="1142"/>
      <c r="D410" s="1058"/>
      <c r="E410" s="1081"/>
      <c r="F410" s="1142"/>
      <c r="G410" s="1081"/>
      <c r="H410" s="1142"/>
      <c r="I410" s="1081"/>
      <c r="J410" s="1081"/>
      <c r="K410" s="1081"/>
      <c r="L410" s="1142"/>
      <c r="M410" s="1142"/>
      <c r="N410" s="1081"/>
      <c r="O410" s="1142"/>
      <c r="P410" s="1081"/>
      <c r="Q410" s="1142"/>
      <c r="R410" s="1081"/>
      <c r="S410" s="1142"/>
      <c r="T410" s="1142"/>
      <c r="U410" s="1142"/>
      <c r="V410" s="1142"/>
      <c r="W410" s="1142"/>
      <c r="X410" s="1142"/>
      <c r="Y410" s="1142"/>
    </row>
    <row r="411">
      <c r="A411" s="1140"/>
      <c r="B411" s="1140"/>
      <c r="C411" s="1083"/>
      <c r="D411" s="1058"/>
      <c r="E411" s="1092"/>
      <c r="F411" s="1083"/>
      <c r="G411" s="1092"/>
      <c r="H411" s="1083"/>
      <c r="I411" s="1092"/>
      <c r="J411" s="1092"/>
      <c r="K411" s="1092"/>
      <c r="L411" s="1083"/>
      <c r="M411" s="1083"/>
      <c r="N411" s="1092"/>
      <c r="O411" s="1083"/>
      <c r="P411" s="1092"/>
      <c r="Q411" s="1083"/>
      <c r="R411" s="1092"/>
      <c r="S411" s="1083"/>
      <c r="T411" s="1083"/>
      <c r="U411" s="1083"/>
      <c r="V411" s="1083"/>
      <c r="W411" s="1083"/>
      <c r="X411" s="1083"/>
      <c r="Y411" s="1083"/>
    </row>
    <row r="412">
      <c r="A412" s="1120"/>
      <c r="B412" s="1120"/>
      <c r="C412" s="1142"/>
      <c r="D412" s="1058"/>
      <c r="E412" s="1081"/>
      <c r="F412" s="1142"/>
      <c r="G412" s="1081"/>
      <c r="H412" s="1142"/>
      <c r="I412" s="1081"/>
      <c r="J412" s="1081"/>
      <c r="K412" s="1081"/>
      <c r="L412" s="1142"/>
      <c r="M412" s="1142"/>
      <c r="N412" s="1081"/>
      <c r="O412" s="1142"/>
      <c r="P412" s="1081"/>
      <c r="Q412" s="1142"/>
      <c r="R412" s="1081"/>
      <c r="S412" s="1142"/>
      <c r="T412" s="1142"/>
      <c r="U412" s="1142"/>
      <c r="V412" s="1142"/>
      <c r="W412" s="1142"/>
      <c r="X412" s="1142"/>
      <c r="Y412" s="1142"/>
    </row>
    <row r="413">
      <c r="A413" s="1140"/>
      <c r="B413" s="1140"/>
      <c r="C413" s="1083"/>
      <c r="D413" s="1058"/>
      <c r="E413" s="1092"/>
      <c r="F413" s="1083"/>
      <c r="G413" s="1092"/>
      <c r="H413" s="1083"/>
      <c r="I413" s="1092"/>
      <c r="J413" s="1092"/>
      <c r="K413" s="1092"/>
      <c r="L413" s="1083"/>
      <c r="M413" s="1083"/>
      <c r="N413" s="1092"/>
      <c r="O413" s="1083"/>
      <c r="P413" s="1092"/>
      <c r="Q413" s="1083"/>
      <c r="R413" s="1092"/>
      <c r="S413" s="1083"/>
      <c r="T413" s="1083"/>
      <c r="U413" s="1083"/>
      <c r="V413" s="1083"/>
      <c r="W413" s="1083"/>
      <c r="X413" s="1083"/>
      <c r="Y413" s="1083"/>
    </row>
    <row r="414">
      <c r="A414" s="1120"/>
      <c r="B414" s="1120"/>
      <c r="C414" s="1142"/>
      <c r="D414" s="1058"/>
      <c r="E414" s="1081"/>
      <c r="F414" s="1142"/>
      <c r="G414" s="1081"/>
      <c r="H414" s="1142"/>
      <c r="I414" s="1081"/>
      <c r="J414" s="1081"/>
      <c r="K414" s="1081"/>
      <c r="L414" s="1142"/>
      <c r="M414" s="1142"/>
      <c r="N414" s="1081"/>
      <c r="O414" s="1142"/>
      <c r="P414" s="1081"/>
      <c r="Q414" s="1142"/>
      <c r="R414" s="1081"/>
      <c r="S414" s="1142"/>
      <c r="T414" s="1142"/>
      <c r="U414" s="1142"/>
      <c r="V414" s="1142"/>
      <c r="W414" s="1142"/>
      <c r="X414" s="1142"/>
      <c r="Y414" s="1142"/>
    </row>
    <row r="415">
      <c r="A415" s="1140"/>
      <c r="B415" s="1140"/>
      <c r="C415" s="1083"/>
      <c r="D415" s="1058"/>
      <c r="E415" s="1092"/>
      <c r="F415" s="1083"/>
      <c r="G415" s="1092"/>
      <c r="H415" s="1083"/>
      <c r="I415" s="1092"/>
      <c r="J415" s="1092"/>
      <c r="K415" s="1092"/>
      <c r="L415" s="1083"/>
      <c r="M415" s="1083"/>
      <c r="N415" s="1092"/>
      <c r="O415" s="1083"/>
      <c r="P415" s="1092"/>
      <c r="Q415" s="1083"/>
      <c r="R415" s="1092"/>
      <c r="S415" s="1083"/>
      <c r="T415" s="1083"/>
      <c r="U415" s="1083"/>
      <c r="V415" s="1083"/>
      <c r="W415" s="1083"/>
      <c r="X415" s="1083"/>
      <c r="Y415" s="1083"/>
    </row>
    <row r="416">
      <c r="A416" s="1120"/>
      <c r="B416" s="1120"/>
      <c r="C416" s="1142"/>
      <c r="D416" s="1058"/>
      <c r="E416" s="1081"/>
      <c r="F416" s="1142"/>
      <c r="G416" s="1081"/>
      <c r="H416" s="1142"/>
      <c r="I416" s="1081"/>
      <c r="J416" s="1081"/>
      <c r="K416" s="1081"/>
      <c r="L416" s="1142"/>
      <c r="M416" s="1142"/>
      <c r="N416" s="1081"/>
      <c r="O416" s="1142"/>
      <c r="P416" s="1081"/>
      <c r="Q416" s="1142"/>
      <c r="R416" s="1081"/>
      <c r="S416" s="1142"/>
      <c r="T416" s="1142"/>
      <c r="U416" s="1142"/>
      <c r="V416" s="1142"/>
      <c r="W416" s="1142"/>
      <c r="X416" s="1142"/>
      <c r="Y416" s="1142"/>
    </row>
    <row r="417">
      <c r="A417" s="1140"/>
      <c r="B417" s="1140"/>
      <c r="C417" s="1083"/>
      <c r="D417" s="1058"/>
      <c r="E417" s="1092"/>
      <c r="F417" s="1083"/>
      <c r="G417" s="1092"/>
      <c r="H417" s="1083"/>
      <c r="I417" s="1092"/>
      <c r="J417" s="1092"/>
      <c r="K417" s="1092"/>
      <c r="L417" s="1083"/>
      <c r="M417" s="1083"/>
      <c r="N417" s="1092"/>
      <c r="O417" s="1083"/>
      <c r="P417" s="1092"/>
      <c r="Q417" s="1083"/>
      <c r="R417" s="1092"/>
      <c r="S417" s="1083"/>
      <c r="T417" s="1083"/>
      <c r="U417" s="1083"/>
      <c r="V417" s="1083"/>
      <c r="W417" s="1083"/>
      <c r="X417" s="1083"/>
      <c r="Y417" s="1083"/>
    </row>
    <row r="418">
      <c r="A418" s="1120"/>
      <c r="B418" s="1120"/>
      <c r="C418" s="1142"/>
      <c r="D418" s="1058"/>
      <c r="E418" s="1081"/>
      <c r="F418" s="1142"/>
      <c r="G418" s="1081"/>
      <c r="H418" s="1142"/>
      <c r="I418" s="1081"/>
      <c r="J418" s="1081"/>
      <c r="K418" s="1081"/>
      <c r="L418" s="1142"/>
      <c r="M418" s="1142"/>
      <c r="N418" s="1081"/>
      <c r="O418" s="1142"/>
      <c r="P418" s="1081"/>
      <c r="Q418" s="1142"/>
      <c r="R418" s="1081"/>
      <c r="S418" s="1142"/>
      <c r="T418" s="1142"/>
      <c r="U418" s="1142"/>
      <c r="V418" s="1142"/>
      <c r="W418" s="1142"/>
      <c r="X418" s="1142"/>
      <c r="Y418" s="1142"/>
    </row>
    <row r="419">
      <c r="A419" s="1140"/>
      <c r="B419" s="1140"/>
      <c r="C419" s="1083"/>
      <c r="D419" s="1058"/>
      <c r="E419" s="1092"/>
      <c r="F419" s="1083"/>
      <c r="G419" s="1092"/>
      <c r="H419" s="1083"/>
      <c r="I419" s="1092"/>
      <c r="J419" s="1092"/>
      <c r="K419" s="1092"/>
      <c r="L419" s="1083"/>
      <c r="M419" s="1083"/>
      <c r="N419" s="1092"/>
      <c r="O419" s="1083"/>
      <c r="P419" s="1092"/>
      <c r="Q419" s="1083"/>
      <c r="R419" s="1092"/>
      <c r="S419" s="1083"/>
      <c r="T419" s="1083"/>
      <c r="U419" s="1083"/>
      <c r="V419" s="1083"/>
      <c r="W419" s="1083"/>
      <c r="X419" s="1083"/>
      <c r="Y419" s="1083"/>
    </row>
    <row r="420">
      <c r="A420" s="1120"/>
      <c r="B420" s="1120"/>
      <c r="C420" s="1142"/>
      <c r="D420" s="1058"/>
      <c r="E420" s="1081"/>
      <c r="F420" s="1142"/>
      <c r="G420" s="1081"/>
      <c r="H420" s="1142"/>
      <c r="I420" s="1081"/>
      <c r="J420" s="1081"/>
      <c r="K420" s="1081"/>
      <c r="L420" s="1142"/>
      <c r="M420" s="1142"/>
      <c r="N420" s="1081"/>
      <c r="O420" s="1142"/>
      <c r="P420" s="1081"/>
      <c r="Q420" s="1142"/>
      <c r="R420" s="1081"/>
      <c r="S420" s="1142"/>
      <c r="T420" s="1142"/>
      <c r="U420" s="1142"/>
      <c r="V420" s="1142"/>
      <c r="W420" s="1142"/>
      <c r="X420" s="1142"/>
      <c r="Y420" s="1142"/>
    </row>
    <row r="421">
      <c r="A421" s="1140"/>
      <c r="B421" s="1140"/>
      <c r="C421" s="1083"/>
      <c r="D421" s="1058"/>
      <c r="E421" s="1092"/>
      <c r="F421" s="1083"/>
      <c r="G421" s="1092"/>
      <c r="H421" s="1083"/>
      <c r="I421" s="1092"/>
      <c r="J421" s="1092"/>
      <c r="K421" s="1092"/>
      <c r="L421" s="1083"/>
      <c r="M421" s="1083"/>
      <c r="N421" s="1092"/>
      <c r="O421" s="1083"/>
      <c r="P421" s="1092"/>
      <c r="Q421" s="1083"/>
      <c r="R421" s="1092"/>
      <c r="S421" s="1083"/>
      <c r="T421" s="1083"/>
      <c r="U421" s="1083"/>
      <c r="V421" s="1083"/>
      <c r="W421" s="1083"/>
      <c r="X421" s="1083"/>
      <c r="Y421" s="1083"/>
    </row>
    <row r="422">
      <c r="A422" s="1120"/>
      <c r="B422" s="1120"/>
      <c r="C422" s="1142"/>
      <c r="D422" s="1058"/>
      <c r="E422" s="1081"/>
      <c r="F422" s="1142"/>
      <c r="G422" s="1081"/>
      <c r="H422" s="1142"/>
      <c r="I422" s="1081"/>
      <c r="J422" s="1081"/>
      <c r="K422" s="1081"/>
      <c r="L422" s="1142"/>
      <c r="M422" s="1142"/>
      <c r="N422" s="1081"/>
      <c r="O422" s="1142"/>
      <c r="P422" s="1081"/>
      <c r="Q422" s="1142"/>
      <c r="R422" s="1081"/>
      <c r="S422" s="1142"/>
      <c r="T422" s="1142"/>
      <c r="U422" s="1142"/>
      <c r="V422" s="1142"/>
      <c r="W422" s="1142"/>
      <c r="X422" s="1142"/>
      <c r="Y422" s="1142"/>
    </row>
    <row r="423">
      <c r="A423" s="1140"/>
      <c r="B423" s="1140"/>
      <c r="C423" s="1083"/>
      <c r="D423" s="1058"/>
      <c r="E423" s="1092"/>
      <c r="F423" s="1083"/>
      <c r="G423" s="1092"/>
      <c r="H423" s="1083"/>
      <c r="I423" s="1092"/>
      <c r="J423" s="1092"/>
      <c r="K423" s="1092"/>
      <c r="L423" s="1083"/>
      <c r="M423" s="1083"/>
      <c r="N423" s="1092"/>
      <c r="O423" s="1083"/>
      <c r="P423" s="1092"/>
      <c r="Q423" s="1083"/>
      <c r="R423" s="1092"/>
      <c r="S423" s="1083"/>
      <c r="T423" s="1083"/>
      <c r="U423" s="1083"/>
      <c r="V423" s="1083"/>
      <c r="W423" s="1083"/>
      <c r="X423" s="1083"/>
      <c r="Y423" s="1083"/>
    </row>
    <row r="424">
      <c r="A424" s="1120"/>
      <c r="B424" s="1120"/>
      <c r="C424" s="1142"/>
      <c r="D424" s="1058"/>
      <c r="E424" s="1081"/>
      <c r="F424" s="1142"/>
      <c r="G424" s="1081"/>
      <c r="H424" s="1142"/>
      <c r="I424" s="1081"/>
      <c r="J424" s="1081"/>
      <c r="K424" s="1081"/>
      <c r="L424" s="1142"/>
      <c r="M424" s="1142"/>
      <c r="N424" s="1081"/>
      <c r="O424" s="1142"/>
      <c r="P424" s="1081"/>
      <c r="Q424" s="1142"/>
      <c r="R424" s="1081"/>
      <c r="S424" s="1142"/>
      <c r="T424" s="1142"/>
      <c r="U424" s="1142"/>
      <c r="V424" s="1142"/>
      <c r="W424" s="1142"/>
      <c r="X424" s="1142"/>
      <c r="Y424" s="1142"/>
    </row>
    <row r="425">
      <c r="A425" s="1140"/>
      <c r="B425" s="1140"/>
      <c r="C425" s="1083"/>
      <c r="D425" s="1058"/>
      <c r="E425" s="1092"/>
      <c r="F425" s="1083"/>
      <c r="G425" s="1092"/>
      <c r="H425" s="1083"/>
      <c r="I425" s="1092"/>
      <c r="J425" s="1092"/>
      <c r="K425" s="1092"/>
      <c r="L425" s="1083"/>
      <c r="M425" s="1083"/>
      <c r="N425" s="1092"/>
      <c r="O425" s="1083"/>
      <c r="P425" s="1092"/>
      <c r="Q425" s="1083"/>
      <c r="R425" s="1092"/>
      <c r="S425" s="1083"/>
      <c r="T425" s="1083"/>
      <c r="U425" s="1083"/>
      <c r="V425" s="1083"/>
      <c r="W425" s="1083"/>
      <c r="X425" s="1083"/>
      <c r="Y425" s="1083"/>
    </row>
    <row r="426">
      <c r="A426" s="1120"/>
      <c r="B426" s="1120"/>
      <c r="C426" s="1142"/>
      <c r="D426" s="1058"/>
      <c r="E426" s="1081"/>
      <c r="F426" s="1142"/>
      <c r="G426" s="1081"/>
      <c r="H426" s="1142"/>
      <c r="I426" s="1081"/>
      <c r="J426" s="1081"/>
      <c r="K426" s="1081"/>
      <c r="L426" s="1142"/>
      <c r="M426" s="1142"/>
      <c r="N426" s="1081"/>
      <c r="O426" s="1142"/>
      <c r="P426" s="1081"/>
      <c r="Q426" s="1142"/>
      <c r="R426" s="1081"/>
      <c r="S426" s="1142"/>
      <c r="T426" s="1142"/>
      <c r="U426" s="1142"/>
      <c r="V426" s="1142"/>
      <c r="W426" s="1142"/>
      <c r="X426" s="1142"/>
      <c r="Y426" s="1142"/>
    </row>
    <row r="427">
      <c r="A427" s="1140"/>
      <c r="B427" s="1140"/>
      <c r="C427" s="1083"/>
      <c r="D427" s="1058"/>
      <c r="E427" s="1092"/>
      <c r="F427" s="1083"/>
      <c r="G427" s="1092"/>
      <c r="H427" s="1083"/>
      <c r="I427" s="1092"/>
      <c r="J427" s="1092"/>
      <c r="K427" s="1092"/>
      <c r="L427" s="1083"/>
      <c r="M427" s="1083"/>
      <c r="N427" s="1092"/>
      <c r="O427" s="1083"/>
      <c r="P427" s="1092"/>
      <c r="Q427" s="1083"/>
      <c r="R427" s="1092"/>
      <c r="S427" s="1083"/>
      <c r="T427" s="1083"/>
      <c r="U427" s="1083"/>
      <c r="V427" s="1083"/>
      <c r="W427" s="1083"/>
      <c r="X427" s="1083"/>
      <c r="Y427" s="1083"/>
    </row>
    <row r="428">
      <c r="A428" s="1120"/>
      <c r="B428" s="1120"/>
      <c r="C428" s="1142"/>
      <c r="D428" s="1058"/>
      <c r="E428" s="1081"/>
      <c r="F428" s="1142"/>
      <c r="G428" s="1081"/>
      <c r="H428" s="1142"/>
      <c r="I428" s="1081"/>
      <c r="J428" s="1081"/>
      <c r="K428" s="1081"/>
      <c r="L428" s="1142"/>
      <c r="M428" s="1142"/>
      <c r="N428" s="1081"/>
      <c r="O428" s="1142"/>
      <c r="P428" s="1081"/>
      <c r="Q428" s="1142"/>
      <c r="R428" s="1081"/>
      <c r="S428" s="1142"/>
      <c r="T428" s="1142"/>
      <c r="U428" s="1142"/>
      <c r="V428" s="1142"/>
      <c r="W428" s="1142"/>
      <c r="X428" s="1142"/>
      <c r="Y428" s="1142"/>
    </row>
    <row r="429">
      <c r="A429" s="1140"/>
      <c r="B429" s="1140"/>
      <c r="C429" s="1083"/>
      <c r="D429" s="1058"/>
      <c r="E429" s="1092"/>
      <c r="F429" s="1083"/>
      <c r="G429" s="1092"/>
      <c r="H429" s="1083"/>
      <c r="I429" s="1092"/>
      <c r="J429" s="1092"/>
      <c r="K429" s="1092"/>
      <c r="L429" s="1083"/>
      <c r="M429" s="1083"/>
      <c r="N429" s="1092"/>
      <c r="O429" s="1083"/>
      <c r="P429" s="1092"/>
      <c r="Q429" s="1083"/>
      <c r="R429" s="1092"/>
      <c r="S429" s="1083"/>
      <c r="T429" s="1083"/>
      <c r="U429" s="1083"/>
      <c r="V429" s="1083"/>
      <c r="W429" s="1083"/>
      <c r="X429" s="1083"/>
      <c r="Y429" s="1083"/>
    </row>
    <row r="430">
      <c r="A430" s="1120"/>
      <c r="B430" s="1120"/>
      <c r="C430" s="1142"/>
      <c r="D430" s="1058"/>
      <c r="E430" s="1081"/>
      <c r="F430" s="1142"/>
      <c r="G430" s="1081"/>
      <c r="H430" s="1142"/>
      <c r="I430" s="1081"/>
      <c r="J430" s="1081"/>
      <c r="K430" s="1081"/>
      <c r="L430" s="1142"/>
      <c r="M430" s="1142"/>
      <c r="N430" s="1081"/>
      <c r="O430" s="1142"/>
      <c r="P430" s="1081"/>
      <c r="Q430" s="1142"/>
      <c r="R430" s="1081"/>
      <c r="S430" s="1142"/>
      <c r="T430" s="1142"/>
      <c r="U430" s="1142"/>
      <c r="V430" s="1142"/>
      <c r="W430" s="1142"/>
      <c r="X430" s="1142"/>
      <c r="Y430" s="1142"/>
    </row>
    <row r="431">
      <c r="A431" s="1140"/>
      <c r="B431" s="1140"/>
      <c r="C431" s="1083"/>
      <c r="D431" s="1058"/>
      <c r="E431" s="1092"/>
      <c r="F431" s="1083"/>
      <c r="G431" s="1092"/>
      <c r="H431" s="1083"/>
      <c r="I431" s="1092"/>
      <c r="J431" s="1092"/>
      <c r="K431" s="1092"/>
      <c r="L431" s="1083"/>
      <c r="M431" s="1083"/>
      <c r="N431" s="1092"/>
      <c r="O431" s="1083"/>
      <c r="P431" s="1092"/>
      <c r="Q431" s="1083"/>
      <c r="R431" s="1092"/>
      <c r="S431" s="1083"/>
      <c r="T431" s="1083"/>
      <c r="U431" s="1083"/>
      <c r="V431" s="1083"/>
      <c r="W431" s="1083"/>
      <c r="X431" s="1083"/>
      <c r="Y431" s="1083"/>
    </row>
    <row r="432">
      <c r="A432" s="1120"/>
      <c r="B432" s="1120"/>
      <c r="C432" s="1142"/>
      <c r="D432" s="1058"/>
      <c r="E432" s="1081"/>
      <c r="F432" s="1142"/>
      <c r="G432" s="1081"/>
      <c r="H432" s="1142"/>
      <c r="I432" s="1081"/>
      <c r="J432" s="1081"/>
      <c r="K432" s="1081"/>
      <c r="L432" s="1142"/>
      <c r="M432" s="1142"/>
      <c r="N432" s="1081"/>
      <c r="O432" s="1142"/>
      <c r="P432" s="1081"/>
      <c r="Q432" s="1142"/>
      <c r="R432" s="1081"/>
      <c r="S432" s="1142"/>
      <c r="T432" s="1142"/>
      <c r="U432" s="1142"/>
      <c r="V432" s="1142"/>
      <c r="W432" s="1142"/>
      <c r="X432" s="1142"/>
      <c r="Y432" s="1142"/>
    </row>
    <row r="433">
      <c r="A433" s="1140"/>
      <c r="B433" s="1140"/>
      <c r="C433" s="1083"/>
      <c r="D433" s="1058"/>
      <c r="E433" s="1092"/>
      <c r="F433" s="1083"/>
      <c r="G433" s="1092"/>
      <c r="H433" s="1083"/>
      <c r="I433" s="1092"/>
      <c r="J433" s="1092"/>
      <c r="K433" s="1092"/>
      <c r="L433" s="1083"/>
      <c r="M433" s="1083"/>
      <c r="N433" s="1092"/>
      <c r="O433" s="1083"/>
      <c r="P433" s="1092"/>
      <c r="Q433" s="1083"/>
      <c r="R433" s="1092"/>
      <c r="S433" s="1083"/>
      <c r="T433" s="1083"/>
      <c r="U433" s="1083"/>
      <c r="V433" s="1083"/>
      <c r="W433" s="1083"/>
      <c r="X433" s="1083"/>
      <c r="Y433" s="1083"/>
    </row>
    <row r="434">
      <c r="A434" s="1120"/>
      <c r="B434" s="1120"/>
      <c r="C434" s="1142"/>
      <c r="D434" s="1058"/>
      <c r="E434" s="1081"/>
      <c r="F434" s="1142"/>
      <c r="G434" s="1081"/>
      <c r="H434" s="1142"/>
      <c r="I434" s="1081"/>
      <c r="J434" s="1081"/>
      <c r="K434" s="1081"/>
      <c r="L434" s="1142"/>
      <c r="M434" s="1142"/>
      <c r="N434" s="1081"/>
      <c r="O434" s="1142"/>
      <c r="P434" s="1081"/>
      <c r="Q434" s="1142"/>
      <c r="R434" s="1081"/>
      <c r="S434" s="1142"/>
      <c r="T434" s="1142"/>
      <c r="U434" s="1142"/>
      <c r="V434" s="1142"/>
      <c r="W434" s="1142"/>
      <c r="X434" s="1142"/>
      <c r="Y434" s="1142"/>
    </row>
    <row r="435">
      <c r="A435" s="1140"/>
      <c r="B435" s="1140"/>
      <c r="C435" s="1083"/>
      <c r="D435" s="1058"/>
      <c r="E435" s="1092"/>
      <c r="F435" s="1083"/>
      <c r="G435" s="1092"/>
      <c r="H435" s="1083"/>
      <c r="I435" s="1092"/>
      <c r="J435" s="1092"/>
      <c r="K435" s="1092"/>
      <c r="L435" s="1083"/>
      <c r="M435" s="1083"/>
      <c r="N435" s="1092"/>
      <c r="O435" s="1083"/>
      <c r="P435" s="1092"/>
      <c r="Q435" s="1083"/>
      <c r="R435" s="1092"/>
      <c r="S435" s="1083"/>
      <c r="T435" s="1083"/>
      <c r="U435" s="1083"/>
      <c r="V435" s="1083"/>
      <c r="W435" s="1083"/>
      <c r="X435" s="1083"/>
      <c r="Y435" s="1083"/>
    </row>
    <row r="436">
      <c r="A436" s="1120"/>
      <c r="B436" s="1120"/>
      <c r="C436" s="1142"/>
      <c r="D436" s="1058"/>
      <c r="E436" s="1081"/>
      <c r="F436" s="1142"/>
      <c r="G436" s="1081"/>
      <c r="H436" s="1142"/>
      <c r="I436" s="1081"/>
      <c r="J436" s="1081"/>
      <c r="K436" s="1081"/>
      <c r="L436" s="1142"/>
      <c r="M436" s="1142"/>
      <c r="N436" s="1081"/>
      <c r="O436" s="1142"/>
      <c r="P436" s="1081"/>
      <c r="Q436" s="1142"/>
      <c r="R436" s="1081"/>
      <c r="S436" s="1142"/>
      <c r="T436" s="1142"/>
      <c r="U436" s="1142"/>
      <c r="V436" s="1142"/>
      <c r="W436" s="1142"/>
      <c r="X436" s="1142"/>
      <c r="Y436" s="1142"/>
    </row>
    <row r="437">
      <c r="A437" s="1140"/>
      <c r="B437" s="1140"/>
      <c r="C437" s="1083"/>
      <c r="D437" s="1058"/>
      <c r="E437" s="1092"/>
      <c r="F437" s="1083"/>
      <c r="G437" s="1092"/>
      <c r="H437" s="1083"/>
      <c r="I437" s="1092"/>
      <c r="J437" s="1092"/>
      <c r="K437" s="1092"/>
      <c r="L437" s="1083"/>
      <c r="M437" s="1083"/>
      <c r="N437" s="1092"/>
      <c r="O437" s="1083"/>
      <c r="P437" s="1092"/>
      <c r="Q437" s="1083"/>
      <c r="R437" s="1092"/>
      <c r="S437" s="1083"/>
      <c r="T437" s="1083"/>
      <c r="U437" s="1083"/>
      <c r="V437" s="1083"/>
      <c r="W437" s="1083"/>
      <c r="X437" s="1083"/>
      <c r="Y437" s="1083"/>
    </row>
    <row r="438">
      <c r="A438" s="1120"/>
      <c r="B438" s="1120"/>
      <c r="C438" s="1142"/>
      <c r="D438" s="1058"/>
      <c r="E438" s="1081"/>
      <c r="F438" s="1142"/>
      <c r="G438" s="1081"/>
      <c r="H438" s="1142"/>
      <c r="I438" s="1081"/>
      <c r="J438" s="1081"/>
      <c r="K438" s="1081"/>
      <c r="L438" s="1142"/>
      <c r="M438" s="1142"/>
      <c r="N438" s="1081"/>
      <c r="O438" s="1142"/>
      <c r="P438" s="1081"/>
      <c r="Q438" s="1142"/>
      <c r="R438" s="1081"/>
      <c r="S438" s="1142"/>
      <c r="T438" s="1142"/>
      <c r="U438" s="1142"/>
      <c r="V438" s="1142"/>
      <c r="W438" s="1142"/>
      <c r="X438" s="1142"/>
      <c r="Y438" s="1142"/>
    </row>
    <row r="439">
      <c r="A439" s="1140"/>
      <c r="B439" s="1140"/>
      <c r="C439" s="1083"/>
      <c r="D439" s="1058"/>
      <c r="E439" s="1092"/>
      <c r="F439" s="1083"/>
      <c r="G439" s="1092"/>
      <c r="H439" s="1083"/>
      <c r="I439" s="1092"/>
      <c r="J439" s="1092"/>
      <c r="K439" s="1092"/>
      <c r="L439" s="1083"/>
      <c r="M439" s="1083"/>
      <c r="N439" s="1092"/>
      <c r="O439" s="1083"/>
      <c r="P439" s="1092"/>
      <c r="Q439" s="1083"/>
      <c r="R439" s="1092"/>
      <c r="S439" s="1083"/>
      <c r="T439" s="1083"/>
      <c r="U439" s="1083"/>
      <c r="V439" s="1083"/>
      <c r="W439" s="1083"/>
      <c r="X439" s="1083"/>
      <c r="Y439" s="1083"/>
    </row>
    <row r="440">
      <c r="A440" s="1120"/>
      <c r="B440" s="1120"/>
      <c r="C440" s="1142"/>
      <c r="D440" s="1058"/>
      <c r="E440" s="1081"/>
      <c r="F440" s="1142"/>
      <c r="G440" s="1081"/>
      <c r="H440" s="1142"/>
      <c r="I440" s="1081"/>
      <c r="J440" s="1081"/>
      <c r="K440" s="1081"/>
      <c r="L440" s="1142"/>
      <c r="M440" s="1142"/>
      <c r="N440" s="1081"/>
      <c r="O440" s="1142"/>
      <c r="P440" s="1081"/>
      <c r="Q440" s="1142"/>
      <c r="R440" s="1081"/>
      <c r="S440" s="1142"/>
      <c r="T440" s="1142"/>
      <c r="U440" s="1142"/>
      <c r="V440" s="1142"/>
      <c r="W440" s="1142"/>
      <c r="X440" s="1142"/>
      <c r="Y440" s="1142"/>
    </row>
    <row r="441">
      <c r="A441" s="1140"/>
      <c r="B441" s="1140"/>
      <c r="C441" s="1083"/>
      <c r="D441" s="1058"/>
      <c r="E441" s="1092"/>
      <c r="F441" s="1083"/>
      <c r="G441" s="1092"/>
      <c r="H441" s="1083"/>
      <c r="I441" s="1092"/>
      <c r="J441" s="1092"/>
      <c r="K441" s="1092"/>
      <c r="L441" s="1083"/>
      <c r="M441" s="1083"/>
      <c r="N441" s="1092"/>
      <c r="O441" s="1083"/>
      <c r="P441" s="1092"/>
      <c r="Q441" s="1083"/>
      <c r="R441" s="1092"/>
      <c r="S441" s="1083"/>
      <c r="T441" s="1083"/>
      <c r="U441" s="1083"/>
      <c r="V441" s="1083"/>
      <c r="W441" s="1083"/>
      <c r="X441" s="1083"/>
      <c r="Y441" s="1083"/>
    </row>
    <row r="442">
      <c r="A442" s="1120"/>
      <c r="B442" s="1120"/>
      <c r="C442" s="1142"/>
      <c r="D442" s="1058"/>
      <c r="E442" s="1081"/>
      <c r="F442" s="1142"/>
      <c r="G442" s="1081"/>
      <c r="H442" s="1142"/>
      <c r="I442" s="1081"/>
      <c r="J442" s="1081"/>
      <c r="K442" s="1081"/>
      <c r="L442" s="1142"/>
      <c r="M442" s="1142"/>
      <c r="N442" s="1081"/>
      <c r="O442" s="1142"/>
      <c r="P442" s="1081"/>
      <c r="Q442" s="1142"/>
      <c r="R442" s="1081"/>
      <c r="S442" s="1142"/>
      <c r="T442" s="1142"/>
      <c r="U442" s="1142"/>
      <c r="V442" s="1142"/>
      <c r="W442" s="1142"/>
      <c r="X442" s="1142"/>
      <c r="Y442" s="1142"/>
    </row>
    <row r="443">
      <c r="A443" s="1140"/>
      <c r="B443" s="1140"/>
      <c r="C443" s="1083"/>
      <c r="D443" s="1058"/>
      <c r="E443" s="1092"/>
      <c r="F443" s="1083"/>
      <c r="G443" s="1092"/>
      <c r="H443" s="1083"/>
      <c r="I443" s="1092"/>
      <c r="J443" s="1092"/>
      <c r="K443" s="1092"/>
      <c r="L443" s="1083"/>
      <c r="M443" s="1083"/>
      <c r="N443" s="1092"/>
      <c r="O443" s="1083"/>
      <c r="P443" s="1092"/>
      <c r="Q443" s="1083"/>
      <c r="R443" s="1092"/>
      <c r="S443" s="1083"/>
      <c r="T443" s="1083"/>
      <c r="U443" s="1083"/>
      <c r="V443" s="1083"/>
      <c r="W443" s="1083"/>
      <c r="X443" s="1083"/>
      <c r="Y443" s="1083"/>
    </row>
    <row r="444">
      <c r="A444" s="1120"/>
      <c r="B444" s="1120"/>
      <c r="C444" s="1142"/>
      <c r="D444" s="1058"/>
      <c r="E444" s="1081"/>
      <c r="F444" s="1142"/>
      <c r="G444" s="1081"/>
      <c r="H444" s="1142"/>
      <c r="I444" s="1081"/>
      <c r="J444" s="1081"/>
      <c r="K444" s="1081"/>
      <c r="L444" s="1142"/>
      <c r="M444" s="1142"/>
      <c r="N444" s="1081"/>
      <c r="O444" s="1142"/>
      <c r="P444" s="1081"/>
      <c r="Q444" s="1142"/>
      <c r="R444" s="1081"/>
      <c r="S444" s="1142"/>
      <c r="T444" s="1142"/>
      <c r="U444" s="1142"/>
      <c r="V444" s="1142"/>
      <c r="W444" s="1142"/>
      <c r="X444" s="1142"/>
      <c r="Y444" s="1142"/>
    </row>
    <row r="445">
      <c r="A445" s="1140"/>
      <c r="B445" s="1140"/>
      <c r="C445" s="1083"/>
      <c r="D445" s="1058"/>
      <c r="E445" s="1092"/>
      <c r="F445" s="1083"/>
      <c r="G445" s="1092"/>
      <c r="H445" s="1083"/>
      <c r="I445" s="1092"/>
      <c r="J445" s="1092"/>
      <c r="K445" s="1092"/>
      <c r="L445" s="1083"/>
      <c r="M445" s="1083"/>
      <c r="N445" s="1092"/>
      <c r="O445" s="1083"/>
      <c r="P445" s="1092"/>
      <c r="Q445" s="1083"/>
      <c r="R445" s="1092"/>
      <c r="S445" s="1083"/>
      <c r="T445" s="1083"/>
      <c r="U445" s="1083"/>
      <c r="V445" s="1083"/>
      <c r="W445" s="1083"/>
      <c r="X445" s="1083"/>
      <c r="Y445" s="1083"/>
    </row>
    <row r="446">
      <c r="A446" s="1120"/>
      <c r="B446" s="1120"/>
      <c r="C446" s="1142"/>
      <c r="D446" s="1058"/>
      <c r="E446" s="1081"/>
      <c r="F446" s="1142"/>
      <c r="G446" s="1081"/>
      <c r="H446" s="1142"/>
      <c r="I446" s="1081"/>
      <c r="J446" s="1081"/>
      <c r="K446" s="1081"/>
      <c r="L446" s="1142"/>
      <c r="M446" s="1142"/>
      <c r="N446" s="1081"/>
      <c r="O446" s="1142"/>
      <c r="P446" s="1081"/>
      <c r="Q446" s="1142"/>
      <c r="R446" s="1081"/>
      <c r="S446" s="1142"/>
      <c r="T446" s="1142"/>
      <c r="U446" s="1142"/>
      <c r="V446" s="1142"/>
      <c r="W446" s="1142"/>
      <c r="X446" s="1142"/>
      <c r="Y446" s="1142"/>
    </row>
    <row r="447">
      <c r="A447" s="1140"/>
      <c r="B447" s="1140"/>
      <c r="C447" s="1083"/>
      <c r="D447" s="1058"/>
      <c r="E447" s="1092"/>
      <c r="F447" s="1083"/>
      <c r="G447" s="1092"/>
      <c r="H447" s="1083"/>
      <c r="I447" s="1092"/>
      <c r="J447" s="1092"/>
      <c r="K447" s="1092"/>
      <c r="L447" s="1083"/>
      <c r="M447" s="1083"/>
      <c r="N447" s="1092"/>
      <c r="O447" s="1083"/>
      <c r="P447" s="1092"/>
      <c r="Q447" s="1083"/>
      <c r="R447" s="1092"/>
      <c r="S447" s="1083"/>
      <c r="T447" s="1083"/>
      <c r="U447" s="1083"/>
      <c r="V447" s="1083"/>
      <c r="W447" s="1083"/>
      <c r="X447" s="1083"/>
      <c r="Y447" s="1083"/>
    </row>
    <row r="448">
      <c r="A448" s="1120"/>
      <c r="B448" s="1120"/>
      <c r="C448" s="1142"/>
      <c r="D448" s="1058"/>
      <c r="E448" s="1081"/>
      <c r="F448" s="1142"/>
      <c r="G448" s="1081"/>
      <c r="H448" s="1142"/>
      <c r="I448" s="1081"/>
      <c r="J448" s="1081"/>
      <c r="K448" s="1081"/>
      <c r="L448" s="1142"/>
      <c r="M448" s="1142"/>
      <c r="N448" s="1081"/>
      <c r="O448" s="1142"/>
      <c r="P448" s="1081"/>
      <c r="Q448" s="1142"/>
      <c r="R448" s="1081"/>
      <c r="S448" s="1142"/>
      <c r="T448" s="1142"/>
      <c r="U448" s="1142"/>
      <c r="V448" s="1142"/>
      <c r="W448" s="1142"/>
      <c r="X448" s="1142"/>
      <c r="Y448" s="1142"/>
    </row>
    <row r="449">
      <c r="A449" s="1140"/>
      <c r="B449" s="1140"/>
      <c r="C449" s="1083"/>
      <c r="D449" s="1058"/>
      <c r="E449" s="1092"/>
      <c r="F449" s="1083"/>
      <c r="G449" s="1092"/>
      <c r="H449" s="1083"/>
      <c r="I449" s="1092"/>
      <c r="J449" s="1092"/>
      <c r="K449" s="1092"/>
      <c r="L449" s="1083"/>
      <c r="M449" s="1083"/>
      <c r="N449" s="1092"/>
      <c r="O449" s="1083"/>
      <c r="P449" s="1092"/>
      <c r="Q449" s="1083"/>
      <c r="R449" s="1092"/>
      <c r="S449" s="1083"/>
      <c r="T449" s="1083"/>
      <c r="U449" s="1083"/>
      <c r="V449" s="1083"/>
      <c r="W449" s="1083"/>
      <c r="X449" s="1083"/>
      <c r="Y449" s="1083"/>
    </row>
    <row r="450">
      <c r="A450" s="1120"/>
      <c r="B450" s="1120"/>
      <c r="C450" s="1142"/>
      <c r="D450" s="1058"/>
      <c r="E450" s="1081"/>
      <c r="F450" s="1142"/>
      <c r="G450" s="1081"/>
      <c r="H450" s="1142"/>
      <c r="I450" s="1081"/>
      <c r="J450" s="1081"/>
      <c r="K450" s="1081"/>
      <c r="L450" s="1142"/>
      <c r="M450" s="1142"/>
      <c r="N450" s="1081"/>
      <c r="O450" s="1142"/>
      <c r="P450" s="1081"/>
      <c r="Q450" s="1142"/>
      <c r="R450" s="1081"/>
      <c r="S450" s="1142"/>
      <c r="T450" s="1142"/>
      <c r="U450" s="1142"/>
      <c r="V450" s="1142"/>
      <c r="W450" s="1142"/>
      <c r="X450" s="1142"/>
      <c r="Y450" s="1142"/>
    </row>
    <row r="451">
      <c r="A451" s="1140"/>
      <c r="B451" s="1140"/>
      <c r="C451" s="1083"/>
      <c r="D451" s="1058"/>
      <c r="E451" s="1092"/>
      <c r="F451" s="1083"/>
      <c r="G451" s="1092"/>
      <c r="H451" s="1083"/>
      <c r="I451" s="1092"/>
      <c r="J451" s="1092"/>
      <c r="K451" s="1092"/>
      <c r="L451" s="1083"/>
      <c r="M451" s="1083"/>
      <c r="N451" s="1092"/>
      <c r="O451" s="1083"/>
      <c r="P451" s="1092"/>
      <c r="Q451" s="1083"/>
      <c r="R451" s="1092"/>
      <c r="S451" s="1083"/>
      <c r="T451" s="1083"/>
      <c r="U451" s="1083"/>
      <c r="V451" s="1083"/>
      <c r="W451" s="1083"/>
      <c r="X451" s="1083"/>
      <c r="Y451" s="1083"/>
    </row>
    <row r="452">
      <c r="A452" s="1120"/>
      <c r="B452" s="1120"/>
      <c r="C452" s="1142"/>
      <c r="D452" s="1058"/>
      <c r="E452" s="1081"/>
      <c r="F452" s="1142"/>
      <c r="G452" s="1081"/>
      <c r="H452" s="1142"/>
      <c r="I452" s="1081"/>
      <c r="J452" s="1081"/>
      <c r="K452" s="1081"/>
      <c r="L452" s="1142"/>
      <c r="M452" s="1142"/>
      <c r="N452" s="1081"/>
      <c r="O452" s="1142"/>
      <c r="P452" s="1081"/>
      <c r="Q452" s="1142"/>
      <c r="R452" s="1081"/>
      <c r="S452" s="1142"/>
      <c r="T452" s="1142"/>
      <c r="U452" s="1142"/>
      <c r="V452" s="1142"/>
      <c r="W452" s="1142"/>
      <c r="X452" s="1142"/>
      <c r="Y452" s="1142"/>
    </row>
    <row r="453">
      <c r="A453" s="1140"/>
      <c r="B453" s="1140"/>
      <c r="C453" s="1083"/>
      <c r="D453" s="1058"/>
      <c r="E453" s="1092"/>
      <c r="F453" s="1083"/>
      <c r="G453" s="1092"/>
      <c r="H453" s="1083"/>
      <c r="I453" s="1092"/>
      <c r="J453" s="1092"/>
      <c r="K453" s="1092"/>
      <c r="L453" s="1083"/>
      <c r="M453" s="1083"/>
      <c r="N453" s="1092"/>
      <c r="O453" s="1083"/>
      <c r="P453" s="1092"/>
      <c r="Q453" s="1083"/>
      <c r="R453" s="1092"/>
      <c r="S453" s="1083"/>
      <c r="T453" s="1083"/>
      <c r="U453" s="1083"/>
      <c r="V453" s="1083"/>
      <c r="W453" s="1083"/>
      <c r="X453" s="1083"/>
      <c r="Y453" s="1083"/>
    </row>
    <row r="454">
      <c r="A454" s="1120"/>
      <c r="B454" s="1120"/>
      <c r="C454" s="1142"/>
      <c r="D454" s="1058"/>
      <c r="E454" s="1081"/>
      <c r="F454" s="1142"/>
      <c r="G454" s="1081"/>
      <c r="H454" s="1142"/>
      <c r="I454" s="1081"/>
      <c r="J454" s="1081"/>
      <c r="K454" s="1081"/>
      <c r="L454" s="1142"/>
      <c r="M454" s="1142"/>
      <c r="N454" s="1081"/>
      <c r="O454" s="1142"/>
      <c r="P454" s="1081"/>
      <c r="Q454" s="1142"/>
      <c r="R454" s="1081"/>
      <c r="S454" s="1142"/>
      <c r="T454" s="1142"/>
      <c r="U454" s="1142"/>
      <c r="V454" s="1142"/>
      <c r="W454" s="1142"/>
      <c r="X454" s="1142"/>
      <c r="Y454" s="1142"/>
    </row>
    <row r="455">
      <c r="A455" s="1140"/>
      <c r="B455" s="1140"/>
      <c r="C455" s="1083"/>
      <c r="D455" s="1058"/>
      <c r="E455" s="1092"/>
      <c r="F455" s="1083"/>
      <c r="G455" s="1092"/>
      <c r="H455" s="1083"/>
      <c r="I455" s="1092"/>
      <c r="J455" s="1092"/>
      <c r="K455" s="1092"/>
      <c r="L455" s="1083"/>
      <c r="M455" s="1083"/>
      <c r="N455" s="1092"/>
      <c r="O455" s="1083"/>
      <c r="P455" s="1092"/>
      <c r="Q455" s="1083"/>
      <c r="R455" s="1092"/>
      <c r="S455" s="1083"/>
      <c r="T455" s="1083"/>
      <c r="U455" s="1083"/>
      <c r="V455" s="1083"/>
      <c r="W455" s="1083"/>
      <c r="X455" s="1083"/>
      <c r="Y455" s="1083"/>
    </row>
    <row r="456">
      <c r="A456" s="1120"/>
      <c r="B456" s="1120"/>
      <c r="C456" s="1142"/>
      <c r="D456" s="1058"/>
      <c r="E456" s="1081"/>
      <c r="F456" s="1142"/>
      <c r="G456" s="1081"/>
      <c r="H456" s="1142"/>
      <c r="I456" s="1081"/>
      <c r="J456" s="1081"/>
      <c r="K456" s="1081"/>
      <c r="L456" s="1142"/>
      <c r="M456" s="1142"/>
      <c r="N456" s="1081"/>
      <c r="O456" s="1142"/>
      <c r="P456" s="1081"/>
      <c r="Q456" s="1142"/>
      <c r="R456" s="1081"/>
      <c r="S456" s="1142"/>
      <c r="T456" s="1142"/>
      <c r="U456" s="1142"/>
      <c r="V456" s="1142"/>
      <c r="W456" s="1142"/>
      <c r="X456" s="1142"/>
      <c r="Y456" s="1142"/>
    </row>
    <row r="457">
      <c r="A457" s="1140"/>
      <c r="B457" s="1140"/>
      <c r="C457" s="1083"/>
      <c r="D457" s="1058"/>
      <c r="E457" s="1092"/>
      <c r="F457" s="1083"/>
      <c r="G457" s="1092"/>
      <c r="H457" s="1083"/>
      <c r="I457" s="1092"/>
      <c r="J457" s="1092"/>
      <c r="K457" s="1092"/>
      <c r="L457" s="1083"/>
      <c r="M457" s="1083"/>
      <c r="N457" s="1092"/>
      <c r="O457" s="1083"/>
      <c r="P457" s="1092"/>
      <c r="Q457" s="1083"/>
      <c r="R457" s="1092"/>
      <c r="S457" s="1083"/>
      <c r="T457" s="1083"/>
      <c r="U457" s="1083"/>
      <c r="V457" s="1083"/>
      <c r="W457" s="1083"/>
      <c r="X457" s="1083"/>
      <c r="Y457" s="1083"/>
    </row>
    <row r="458">
      <c r="A458" s="1120"/>
      <c r="B458" s="1120"/>
      <c r="C458" s="1142"/>
      <c r="D458" s="1058"/>
      <c r="E458" s="1081"/>
      <c r="F458" s="1142"/>
      <c r="G458" s="1081"/>
      <c r="H458" s="1142"/>
      <c r="I458" s="1081"/>
      <c r="J458" s="1081"/>
      <c r="K458" s="1081"/>
      <c r="L458" s="1142"/>
      <c r="M458" s="1142"/>
      <c r="N458" s="1081"/>
      <c r="O458" s="1142"/>
      <c r="P458" s="1081"/>
      <c r="Q458" s="1142"/>
      <c r="R458" s="1081"/>
      <c r="S458" s="1142"/>
      <c r="T458" s="1142"/>
      <c r="U458" s="1142"/>
      <c r="V458" s="1142"/>
      <c r="W458" s="1142"/>
      <c r="X458" s="1142"/>
      <c r="Y458" s="1142"/>
    </row>
    <row r="459">
      <c r="A459" s="1140"/>
      <c r="B459" s="1140"/>
      <c r="C459" s="1083"/>
      <c r="D459" s="1058"/>
      <c r="E459" s="1092"/>
      <c r="F459" s="1083"/>
      <c r="G459" s="1092"/>
      <c r="H459" s="1083"/>
      <c r="I459" s="1092"/>
      <c r="J459" s="1092"/>
      <c r="K459" s="1092"/>
      <c r="L459" s="1083"/>
      <c r="M459" s="1083"/>
      <c r="N459" s="1092"/>
      <c r="O459" s="1083"/>
      <c r="P459" s="1092"/>
      <c r="Q459" s="1083"/>
      <c r="R459" s="1092"/>
      <c r="S459" s="1083"/>
      <c r="T459" s="1083"/>
      <c r="U459" s="1083"/>
      <c r="V459" s="1083"/>
      <c r="W459" s="1083"/>
      <c r="X459" s="1083"/>
      <c r="Y459" s="1083"/>
    </row>
    <row r="460">
      <c r="A460" s="1120"/>
      <c r="B460" s="1120"/>
      <c r="C460" s="1142"/>
      <c r="D460" s="1058"/>
      <c r="E460" s="1081"/>
      <c r="F460" s="1142"/>
      <c r="G460" s="1081"/>
      <c r="H460" s="1142"/>
      <c r="I460" s="1081"/>
      <c r="J460" s="1081"/>
      <c r="K460" s="1081"/>
      <c r="L460" s="1142"/>
      <c r="M460" s="1142"/>
      <c r="N460" s="1081"/>
      <c r="O460" s="1142"/>
      <c r="P460" s="1081"/>
      <c r="Q460" s="1142"/>
      <c r="R460" s="1081"/>
      <c r="S460" s="1142"/>
      <c r="T460" s="1142"/>
      <c r="U460" s="1142"/>
      <c r="V460" s="1142"/>
      <c r="W460" s="1142"/>
      <c r="X460" s="1142"/>
      <c r="Y460" s="1142"/>
    </row>
    <row r="461">
      <c r="A461" s="1140"/>
      <c r="B461" s="1140"/>
      <c r="C461" s="1083"/>
      <c r="D461" s="1058"/>
      <c r="E461" s="1092"/>
      <c r="F461" s="1083"/>
      <c r="G461" s="1092"/>
      <c r="H461" s="1083"/>
      <c r="I461" s="1092"/>
      <c r="J461" s="1092"/>
      <c r="K461" s="1092"/>
      <c r="L461" s="1083"/>
      <c r="M461" s="1083"/>
      <c r="N461" s="1092"/>
      <c r="O461" s="1083"/>
      <c r="P461" s="1092"/>
      <c r="Q461" s="1083"/>
      <c r="R461" s="1092"/>
      <c r="S461" s="1083"/>
      <c r="T461" s="1083"/>
      <c r="U461" s="1083"/>
      <c r="V461" s="1083"/>
      <c r="W461" s="1083"/>
      <c r="X461" s="1083"/>
      <c r="Y461" s="1083"/>
    </row>
    <row r="462">
      <c r="A462" s="1120"/>
      <c r="B462" s="1120"/>
      <c r="C462" s="1142"/>
      <c r="D462" s="1058"/>
      <c r="E462" s="1081"/>
      <c r="F462" s="1142"/>
      <c r="G462" s="1081"/>
      <c r="H462" s="1142"/>
      <c r="I462" s="1081"/>
      <c r="J462" s="1081"/>
      <c r="K462" s="1081"/>
      <c r="L462" s="1142"/>
      <c r="M462" s="1142"/>
      <c r="N462" s="1081"/>
      <c r="O462" s="1142"/>
      <c r="P462" s="1081"/>
      <c r="Q462" s="1142"/>
      <c r="R462" s="1081"/>
      <c r="S462" s="1142"/>
      <c r="T462" s="1142"/>
      <c r="U462" s="1142"/>
      <c r="V462" s="1142"/>
      <c r="W462" s="1142"/>
      <c r="X462" s="1142"/>
      <c r="Y462" s="1142"/>
    </row>
    <row r="463">
      <c r="A463" s="1140"/>
      <c r="B463" s="1140"/>
      <c r="C463" s="1083"/>
      <c r="D463" s="1058"/>
      <c r="E463" s="1092"/>
      <c r="F463" s="1083"/>
      <c r="G463" s="1092"/>
      <c r="H463" s="1083"/>
      <c r="I463" s="1092"/>
      <c r="J463" s="1092"/>
      <c r="K463" s="1092"/>
      <c r="L463" s="1083"/>
      <c r="M463" s="1083"/>
      <c r="N463" s="1092"/>
      <c r="O463" s="1083"/>
      <c r="P463" s="1092"/>
      <c r="Q463" s="1083"/>
      <c r="R463" s="1092"/>
      <c r="S463" s="1083"/>
      <c r="T463" s="1083"/>
      <c r="U463" s="1083"/>
      <c r="V463" s="1083"/>
      <c r="W463" s="1083"/>
      <c r="X463" s="1083"/>
      <c r="Y463" s="1083"/>
    </row>
    <row r="464">
      <c r="A464" s="1120"/>
      <c r="B464" s="1120"/>
      <c r="C464" s="1142"/>
      <c r="D464" s="1058"/>
      <c r="E464" s="1081"/>
      <c r="F464" s="1142"/>
      <c r="G464" s="1081"/>
      <c r="H464" s="1142"/>
      <c r="I464" s="1081"/>
      <c r="J464" s="1081"/>
      <c r="K464" s="1081"/>
      <c r="L464" s="1142"/>
      <c r="M464" s="1142"/>
      <c r="N464" s="1081"/>
      <c r="O464" s="1142"/>
      <c r="P464" s="1081"/>
      <c r="Q464" s="1142"/>
      <c r="R464" s="1081"/>
      <c r="S464" s="1142"/>
      <c r="T464" s="1142"/>
      <c r="U464" s="1142"/>
      <c r="V464" s="1142"/>
      <c r="W464" s="1142"/>
      <c r="X464" s="1142"/>
      <c r="Y464" s="1142"/>
    </row>
    <row r="465">
      <c r="A465" s="1140"/>
      <c r="B465" s="1140"/>
      <c r="C465" s="1083"/>
      <c r="D465" s="1058"/>
      <c r="E465" s="1092"/>
      <c r="F465" s="1083"/>
      <c r="G465" s="1092"/>
      <c r="H465" s="1083"/>
      <c r="I465" s="1092"/>
      <c r="J465" s="1092"/>
      <c r="K465" s="1092"/>
      <c r="L465" s="1083"/>
      <c r="M465" s="1083"/>
      <c r="N465" s="1092"/>
      <c r="O465" s="1083"/>
      <c r="P465" s="1092"/>
      <c r="Q465" s="1083"/>
      <c r="R465" s="1092"/>
      <c r="S465" s="1083"/>
      <c r="T465" s="1083"/>
      <c r="U465" s="1083"/>
      <c r="V465" s="1083"/>
      <c r="W465" s="1083"/>
      <c r="X465" s="1083"/>
      <c r="Y465" s="1083"/>
    </row>
    <row r="466">
      <c r="A466" s="1120"/>
      <c r="B466" s="1120"/>
      <c r="C466" s="1142"/>
      <c r="D466" s="1058"/>
      <c r="E466" s="1081"/>
      <c r="F466" s="1142"/>
      <c r="G466" s="1081"/>
      <c r="H466" s="1142"/>
      <c r="I466" s="1081"/>
      <c r="J466" s="1081"/>
      <c r="K466" s="1081"/>
      <c r="L466" s="1142"/>
      <c r="M466" s="1142"/>
      <c r="N466" s="1081"/>
      <c r="O466" s="1142"/>
      <c r="P466" s="1081"/>
      <c r="Q466" s="1142"/>
      <c r="R466" s="1081"/>
      <c r="S466" s="1142"/>
      <c r="T466" s="1142"/>
      <c r="U466" s="1142"/>
      <c r="V466" s="1142"/>
      <c r="W466" s="1142"/>
      <c r="X466" s="1142"/>
      <c r="Y466" s="1142"/>
    </row>
    <row r="467">
      <c r="A467" s="1140"/>
      <c r="B467" s="1140"/>
      <c r="C467" s="1083"/>
      <c r="D467" s="1058"/>
      <c r="E467" s="1092"/>
      <c r="F467" s="1083"/>
      <c r="G467" s="1092"/>
      <c r="H467" s="1083"/>
      <c r="I467" s="1092"/>
      <c r="J467" s="1092"/>
      <c r="K467" s="1092"/>
      <c r="L467" s="1083"/>
      <c r="M467" s="1083"/>
      <c r="N467" s="1092"/>
      <c r="O467" s="1083"/>
      <c r="P467" s="1092"/>
      <c r="Q467" s="1083"/>
      <c r="R467" s="1092"/>
      <c r="S467" s="1083"/>
      <c r="T467" s="1083"/>
      <c r="U467" s="1083"/>
      <c r="V467" s="1083"/>
      <c r="W467" s="1083"/>
      <c r="X467" s="1083"/>
      <c r="Y467" s="1083"/>
    </row>
    <row r="468">
      <c r="A468" s="1120"/>
      <c r="B468" s="1120"/>
      <c r="C468" s="1142"/>
      <c r="D468" s="1058"/>
      <c r="E468" s="1081"/>
      <c r="F468" s="1142"/>
      <c r="G468" s="1081"/>
      <c r="H468" s="1142"/>
      <c r="I468" s="1081"/>
      <c r="J468" s="1081"/>
      <c r="K468" s="1081"/>
      <c r="L468" s="1142"/>
      <c r="M468" s="1142"/>
      <c r="N468" s="1081"/>
      <c r="O468" s="1142"/>
      <c r="P468" s="1081"/>
      <c r="Q468" s="1142"/>
      <c r="R468" s="1081"/>
      <c r="S468" s="1142"/>
      <c r="T468" s="1142"/>
      <c r="U468" s="1142"/>
      <c r="V468" s="1142"/>
      <c r="W468" s="1142"/>
      <c r="X468" s="1142"/>
      <c r="Y468" s="1142"/>
    </row>
    <row r="469">
      <c r="A469" s="1140"/>
      <c r="B469" s="1140"/>
      <c r="C469" s="1083"/>
      <c r="D469" s="1058"/>
      <c r="E469" s="1092"/>
      <c r="F469" s="1083"/>
      <c r="G469" s="1092"/>
      <c r="H469" s="1083"/>
      <c r="I469" s="1092"/>
      <c r="J469" s="1092"/>
      <c r="K469" s="1092"/>
      <c r="L469" s="1083"/>
      <c r="M469" s="1083"/>
      <c r="N469" s="1092"/>
      <c r="O469" s="1083"/>
      <c r="P469" s="1092"/>
      <c r="Q469" s="1083"/>
      <c r="R469" s="1092"/>
      <c r="S469" s="1083"/>
      <c r="T469" s="1083"/>
      <c r="U469" s="1083"/>
      <c r="V469" s="1083"/>
      <c r="W469" s="1083"/>
      <c r="X469" s="1083"/>
      <c r="Y469" s="1083"/>
    </row>
    <row r="470">
      <c r="A470" s="1120"/>
      <c r="B470" s="1120"/>
      <c r="C470" s="1142"/>
      <c r="D470" s="1058"/>
      <c r="E470" s="1081"/>
      <c r="F470" s="1142"/>
      <c r="G470" s="1081"/>
      <c r="H470" s="1142"/>
      <c r="I470" s="1081"/>
      <c r="J470" s="1081"/>
      <c r="K470" s="1081"/>
      <c r="L470" s="1142"/>
      <c r="M470" s="1142"/>
      <c r="N470" s="1081"/>
      <c r="O470" s="1142"/>
      <c r="P470" s="1081"/>
      <c r="Q470" s="1142"/>
      <c r="R470" s="1081"/>
      <c r="S470" s="1142"/>
      <c r="T470" s="1142"/>
      <c r="U470" s="1142"/>
      <c r="V470" s="1142"/>
      <c r="W470" s="1142"/>
      <c r="X470" s="1142"/>
      <c r="Y470" s="1142"/>
    </row>
    <row r="471">
      <c r="A471" s="1140"/>
      <c r="B471" s="1140"/>
      <c r="C471" s="1083"/>
      <c r="D471" s="1058"/>
      <c r="E471" s="1092"/>
      <c r="F471" s="1083"/>
      <c r="G471" s="1092"/>
      <c r="H471" s="1083"/>
      <c r="I471" s="1092"/>
      <c r="J471" s="1092"/>
      <c r="K471" s="1092"/>
      <c r="L471" s="1083"/>
      <c r="M471" s="1083"/>
      <c r="N471" s="1092"/>
      <c r="O471" s="1083"/>
      <c r="P471" s="1092"/>
      <c r="Q471" s="1083"/>
      <c r="R471" s="1092"/>
      <c r="S471" s="1083"/>
      <c r="T471" s="1083"/>
      <c r="U471" s="1083"/>
      <c r="V471" s="1083"/>
      <c r="W471" s="1083"/>
      <c r="X471" s="1083"/>
      <c r="Y471" s="1083"/>
    </row>
    <row r="472">
      <c r="A472" s="1120"/>
      <c r="B472" s="1120"/>
      <c r="C472" s="1142"/>
      <c r="D472" s="1058"/>
      <c r="E472" s="1081"/>
      <c r="F472" s="1142"/>
      <c r="G472" s="1081"/>
      <c r="H472" s="1142"/>
      <c r="I472" s="1081"/>
      <c r="J472" s="1081"/>
      <c r="K472" s="1081"/>
      <c r="L472" s="1142"/>
      <c r="M472" s="1142"/>
      <c r="N472" s="1081"/>
      <c r="O472" s="1142"/>
      <c r="P472" s="1081"/>
      <c r="Q472" s="1142"/>
      <c r="R472" s="1081"/>
      <c r="S472" s="1142"/>
      <c r="T472" s="1142"/>
      <c r="U472" s="1142"/>
      <c r="V472" s="1142"/>
      <c r="W472" s="1142"/>
      <c r="X472" s="1142"/>
      <c r="Y472" s="1142"/>
    </row>
    <row r="473">
      <c r="A473" s="1140"/>
      <c r="B473" s="1140"/>
      <c r="C473" s="1083"/>
      <c r="D473" s="1058"/>
      <c r="E473" s="1092"/>
      <c r="F473" s="1083"/>
      <c r="G473" s="1092"/>
      <c r="H473" s="1083"/>
      <c r="I473" s="1092"/>
      <c r="J473" s="1092"/>
      <c r="K473" s="1092"/>
      <c r="L473" s="1083"/>
      <c r="M473" s="1083"/>
      <c r="N473" s="1092"/>
      <c r="O473" s="1083"/>
      <c r="P473" s="1092"/>
      <c r="Q473" s="1083"/>
      <c r="R473" s="1092"/>
      <c r="S473" s="1083"/>
      <c r="T473" s="1083"/>
      <c r="U473" s="1083"/>
      <c r="V473" s="1083"/>
      <c r="W473" s="1083"/>
      <c r="X473" s="1083"/>
      <c r="Y473" s="1083"/>
    </row>
    <row r="474">
      <c r="A474" s="1120"/>
      <c r="B474" s="1120"/>
      <c r="C474" s="1142"/>
      <c r="D474" s="1058"/>
      <c r="E474" s="1081"/>
      <c r="F474" s="1142"/>
      <c r="G474" s="1081"/>
      <c r="H474" s="1142"/>
      <c r="I474" s="1081"/>
      <c r="J474" s="1081"/>
      <c r="K474" s="1081"/>
      <c r="L474" s="1142"/>
      <c r="M474" s="1142"/>
      <c r="N474" s="1081"/>
      <c r="O474" s="1142"/>
      <c r="P474" s="1081"/>
      <c r="Q474" s="1142"/>
      <c r="R474" s="1081"/>
      <c r="S474" s="1142"/>
      <c r="T474" s="1142"/>
      <c r="U474" s="1142"/>
      <c r="V474" s="1142"/>
      <c r="W474" s="1142"/>
      <c r="X474" s="1142"/>
      <c r="Y474" s="1142"/>
    </row>
    <row r="475">
      <c r="A475" s="1140"/>
      <c r="B475" s="1140"/>
      <c r="C475" s="1083"/>
      <c r="D475" s="1058"/>
      <c r="E475" s="1092"/>
      <c r="F475" s="1083"/>
      <c r="G475" s="1092"/>
      <c r="H475" s="1083"/>
      <c r="I475" s="1092"/>
      <c r="J475" s="1092"/>
      <c r="K475" s="1092"/>
      <c r="L475" s="1083"/>
      <c r="M475" s="1083"/>
      <c r="N475" s="1092"/>
      <c r="O475" s="1083"/>
      <c r="P475" s="1092"/>
      <c r="Q475" s="1083"/>
      <c r="R475" s="1092"/>
      <c r="S475" s="1083"/>
      <c r="T475" s="1083"/>
      <c r="U475" s="1083"/>
      <c r="V475" s="1083"/>
      <c r="W475" s="1083"/>
      <c r="X475" s="1083"/>
      <c r="Y475" s="1083"/>
    </row>
    <row r="476">
      <c r="A476" s="1120"/>
      <c r="B476" s="1120"/>
      <c r="C476" s="1142"/>
      <c r="D476" s="1058"/>
      <c r="E476" s="1081"/>
      <c r="F476" s="1142"/>
      <c r="G476" s="1081"/>
      <c r="H476" s="1142"/>
      <c r="I476" s="1081"/>
      <c r="J476" s="1081"/>
      <c r="K476" s="1081"/>
      <c r="L476" s="1142"/>
      <c r="M476" s="1142"/>
      <c r="N476" s="1081"/>
      <c r="O476" s="1142"/>
      <c r="P476" s="1081"/>
      <c r="Q476" s="1142"/>
      <c r="R476" s="1081"/>
      <c r="S476" s="1142"/>
      <c r="T476" s="1142"/>
      <c r="U476" s="1142"/>
      <c r="V476" s="1142"/>
      <c r="W476" s="1142"/>
      <c r="X476" s="1142"/>
      <c r="Y476" s="1142"/>
    </row>
    <row r="477">
      <c r="A477" s="1140"/>
      <c r="B477" s="1140"/>
      <c r="C477" s="1083"/>
      <c r="D477" s="1058"/>
      <c r="E477" s="1092"/>
      <c r="F477" s="1083"/>
      <c r="G477" s="1092"/>
      <c r="H477" s="1083"/>
      <c r="I477" s="1092"/>
      <c r="J477" s="1092"/>
      <c r="K477" s="1092"/>
      <c r="L477" s="1083"/>
      <c r="M477" s="1083"/>
      <c r="N477" s="1092"/>
      <c r="O477" s="1083"/>
      <c r="P477" s="1092"/>
      <c r="Q477" s="1083"/>
      <c r="R477" s="1092"/>
      <c r="S477" s="1083"/>
      <c r="T477" s="1083"/>
      <c r="U477" s="1083"/>
      <c r="V477" s="1083"/>
      <c r="W477" s="1083"/>
      <c r="X477" s="1083"/>
      <c r="Y477" s="1083"/>
    </row>
    <row r="478">
      <c r="A478" s="1120"/>
      <c r="B478" s="1120"/>
      <c r="C478" s="1142"/>
      <c r="D478" s="1058"/>
      <c r="E478" s="1081"/>
      <c r="F478" s="1142"/>
      <c r="G478" s="1081"/>
      <c r="H478" s="1142"/>
      <c r="I478" s="1081"/>
      <c r="J478" s="1081"/>
      <c r="K478" s="1081"/>
      <c r="L478" s="1142"/>
      <c r="M478" s="1142"/>
      <c r="N478" s="1081"/>
      <c r="O478" s="1142"/>
      <c r="P478" s="1081"/>
      <c r="Q478" s="1142"/>
      <c r="R478" s="1081"/>
      <c r="S478" s="1142"/>
      <c r="T478" s="1142"/>
      <c r="U478" s="1142"/>
      <c r="V478" s="1142"/>
      <c r="W478" s="1142"/>
      <c r="X478" s="1142"/>
      <c r="Y478" s="1142"/>
    </row>
    <row r="479">
      <c r="A479" s="1140"/>
      <c r="B479" s="1140"/>
      <c r="C479" s="1083"/>
      <c r="D479" s="1058"/>
      <c r="E479" s="1092"/>
      <c r="F479" s="1083"/>
      <c r="G479" s="1092"/>
      <c r="H479" s="1083"/>
      <c r="I479" s="1092"/>
      <c r="J479" s="1092"/>
      <c r="K479" s="1092"/>
      <c r="L479" s="1083"/>
      <c r="M479" s="1083"/>
      <c r="N479" s="1092"/>
      <c r="O479" s="1083"/>
      <c r="P479" s="1092"/>
      <c r="Q479" s="1083"/>
      <c r="R479" s="1092"/>
      <c r="S479" s="1083"/>
      <c r="T479" s="1083"/>
      <c r="U479" s="1083"/>
      <c r="V479" s="1083"/>
      <c r="W479" s="1083"/>
      <c r="X479" s="1083"/>
      <c r="Y479" s="1083"/>
    </row>
    <row r="480">
      <c r="A480" s="1120"/>
      <c r="B480" s="1120"/>
      <c r="C480" s="1142"/>
      <c r="D480" s="1058"/>
      <c r="E480" s="1081"/>
      <c r="F480" s="1142"/>
      <c r="G480" s="1081"/>
      <c r="H480" s="1142"/>
      <c r="I480" s="1081"/>
      <c r="J480" s="1081"/>
      <c r="K480" s="1081"/>
      <c r="L480" s="1142"/>
      <c r="M480" s="1142"/>
      <c r="N480" s="1081"/>
      <c r="O480" s="1142"/>
      <c r="P480" s="1081"/>
      <c r="Q480" s="1142"/>
      <c r="R480" s="1081"/>
      <c r="S480" s="1142"/>
      <c r="T480" s="1142"/>
      <c r="U480" s="1142"/>
      <c r="V480" s="1142"/>
      <c r="W480" s="1142"/>
      <c r="X480" s="1142"/>
      <c r="Y480" s="1142"/>
    </row>
    <row r="481">
      <c r="A481" s="1140"/>
      <c r="B481" s="1140"/>
      <c r="C481" s="1083"/>
      <c r="D481" s="1058"/>
      <c r="E481" s="1092"/>
      <c r="F481" s="1083"/>
      <c r="G481" s="1092"/>
      <c r="H481" s="1083"/>
      <c r="I481" s="1092"/>
      <c r="J481" s="1092"/>
      <c r="K481" s="1092"/>
      <c r="L481" s="1083"/>
      <c r="M481" s="1083"/>
      <c r="N481" s="1092"/>
      <c r="O481" s="1083"/>
      <c r="P481" s="1092"/>
      <c r="Q481" s="1083"/>
      <c r="R481" s="1092"/>
      <c r="S481" s="1083"/>
      <c r="T481" s="1083"/>
      <c r="U481" s="1083"/>
      <c r="V481" s="1083"/>
      <c r="W481" s="1083"/>
      <c r="X481" s="1083"/>
      <c r="Y481" s="1083"/>
    </row>
    <row r="482">
      <c r="A482" s="1120"/>
      <c r="B482" s="1120"/>
      <c r="C482" s="1142"/>
      <c r="D482" s="1058"/>
      <c r="E482" s="1081"/>
      <c r="F482" s="1142"/>
      <c r="G482" s="1081"/>
      <c r="H482" s="1142"/>
      <c r="I482" s="1081"/>
      <c r="J482" s="1081"/>
      <c r="K482" s="1081"/>
      <c r="L482" s="1142"/>
      <c r="M482" s="1142"/>
      <c r="N482" s="1081"/>
      <c r="O482" s="1142"/>
      <c r="P482" s="1081"/>
      <c r="Q482" s="1142"/>
      <c r="R482" s="1081"/>
      <c r="S482" s="1142"/>
      <c r="T482" s="1142"/>
      <c r="U482" s="1142"/>
      <c r="V482" s="1142"/>
      <c r="W482" s="1142"/>
      <c r="X482" s="1142"/>
      <c r="Y482" s="1142"/>
    </row>
    <row r="483">
      <c r="A483" s="1140"/>
      <c r="B483" s="1140"/>
      <c r="C483" s="1083"/>
      <c r="D483" s="1058"/>
      <c r="E483" s="1092"/>
      <c r="F483" s="1083"/>
      <c r="G483" s="1092"/>
      <c r="H483" s="1083"/>
      <c r="I483" s="1092"/>
      <c r="J483" s="1092"/>
      <c r="K483" s="1092"/>
      <c r="L483" s="1083"/>
      <c r="M483" s="1083"/>
      <c r="N483" s="1092"/>
      <c r="O483" s="1083"/>
      <c r="P483" s="1092"/>
      <c r="Q483" s="1083"/>
      <c r="R483" s="1092"/>
      <c r="S483" s="1083"/>
      <c r="T483" s="1083"/>
      <c r="U483" s="1083"/>
      <c r="V483" s="1083"/>
      <c r="W483" s="1083"/>
      <c r="X483" s="1083"/>
      <c r="Y483" s="1083"/>
    </row>
    <row r="484">
      <c r="A484" s="1120"/>
      <c r="B484" s="1120"/>
      <c r="C484" s="1142"/>
      <c r="D484" s="1058"/>
      <c r="E484" s="1081"/>
      <c r="F484" s="1142"/>
      <c r="G484" s="1081"/>
      <c r="H484" s="1142"/>
      <c r="I484" s="1081"/>
      <c r="J484" s="1081"/>
      <c r="K484" s="1081"/>
      <c r="L484" s="1142"/>
      <c r="M484" s="1142"/>
      <c r="N484" s="1081"/>
      <c r="O484" s="1142"/>
      <c r="P484" s="1081"/>
      <c r="Q484" s="1142"/>
      <c r="R484" s="1081"/>
      <c r="S484" s="1142"/>
      <c r="T484" s="1142"/>
      <c r="U484" s="1142"/>
      <c r="V484" s="1142"/>
      <c r="W484" s="1142"/>
      <c r="X484" s="1142"/>
      <c r="Y484" s="1142"/>
    </row>
    <row r="485">
      <c r="A485" s="1140"/>
      <c r="B485" s="1140"/>
      <c r="C485" s="1083"/>
      <c r="D485" s="1058"/>
      <c r="E485" s="1092"/>
      <c r="F485" s="1083"/>
      <c r="G485" s="1092"/>
      <c r="H485" s="1083"/>
      <c r="I485" s="1092"/>
      <c r="J485" s="1092"/>
      <c r="K485" s="1092"/>
      <c r="L485" s="1083"/>
      <c r="M485" s="1083"/>
      <c r="N485" s="1092"/>
      <c r="O485" s="1083"/>
      <c r="P485" s="1092"/>
      <c r="Q485" s="1083"/>
      <c r="R485" s="1092"/>
      <c r="S485" s="1083"/>
      <c r="T485" s="1083"/>
      <c r="U485" s="1083"/>
      <c r="V485" s="1083"/>
      <c r="W485" s="1083"/>
      <c r="X485" s="1083"/>
      <c r="Y485" s="1083"/>
    </row>
    <row r="486">
      <c r="A486" s="1120"/>
      <c r="B486" s="1120"/>
      <c r="C486" s="1142"/>
      <c r="D486" s="1058"/>
      <c r="E486" s="1081"/>
      <c r="F486" s="1142"/>
      <c r="G486" s="1081"/>
      <c r="H486" s="1142"/>
      <c r="I486" s="1081"/>
      <c r="J486" s="1081"/>
      <c r="K486" s="1081"/>
      <c r="L486" s="1142"/>
      <c r="M486" s="1142"/>
      <c r="N486" s="1081"/>
      <c r="O486" s="1142"/>
      <c r="P486" s="1081"/>
      <c r="Q486" s="1142"/>
      <c r="R486" s="1081"/>
      <c r="S486" s="1142"/>
      <c r="T486" s="1142"/>
      <c r="U486" s="1142"/>
      <c r="V486" s="1142"/>
      <c r="W486" s="1142"/>
      <c r="X486" s="1142"/>
      <c r="Y486" s="1142"/>
    </row>
    <row r="487">
      <c r="A487" s="1140"/>
      <c r="B487" s="1140"/>
      <c r="C487" s="1083"/>
      <c r="D487" s="1058"/>
      <c r="E487" s="1092"/>
      <c r="F487" s="1083"/>
      <c r="G487" s="1092"/>
      <c r="H487" s="1083"/>
      <c r="I487" s="1092"/>
      <c r="J487" s="1092"/>
      <c r="K487" s="1092"/>
      <c r="L487" s="1083"/>
      <c r="M487" s="1083"/>
      <c r="N487" s="1092"/>
      <c r="O487" s="1083"/>
      <c r="P487" s="1092"/>
      <c r="Q487" s="1083"/>
      <c r="R487" s="1092"/>
      <c r="S487" s="1083"/>
      <c r="T487" s="1083"/>
      <c r="U487" s="1083"/>
      <c r="V487" s="1083"/>
      <c r="W487" s="1083"/>
      <c r="X487" s="1083"/>
      <c r="Y487" s="1083"/>
    </row>
    <row r="488">
      <c r="A488" s="1120"/>
      <c r="B488" s="1120"/>
      <c r="C488" s="1142"/>
      <c r="D488" s="1058"/>
      <c r="E488" s="1081"/>
      <c r="F488" s="1142"/>
      <c r="G488" s="1081"/>
      <c r="H488" s="1142"/>
      <c r="I488" s="1081"/>
      <c r="J488" s="1081"/>
      <c r="K488" s="1081"/>
      <c r="L488" s="1142"/>
      <c r="M488" s="1142"/>
      <c r="N488" s="1081"/>
      <c r="O488" s="1142"/>
      <c r="P488" s="1081"/>
      <c r="Q488" s="1142"/>
      <c r="R488" s="1081"/>
      <c r="S488" s="1142"/>
      <c r="T488" s="1142"/>
      <c r="U488" s="1142"/>
      <c r="V488" s="1142"/>
      <c r="W488" s="1142"/>
      <c r="X488" s="1142"/>
      <c r="Y488" s="1142"/>
    </row>
    <row r="489">
      <c r="A489" s="1140"/>
      <c r="B489" s="1140"/>
      <c r="C489" s="1083"/>
      <c r="D489" s="1058"/>
      <c r="E489" s="1092"/>
      <c r="F489" s="1083"/>
      <c r="G489" s="1092"/>
      <c r="H489" s="1083"/>
      <c r="I489" s="1092"/>
      <c r="J489" s="1092"/>
      <c r="K489" s="1092"/>
      <c r="L489" s="1083"/>
      <c r="M489" s="1083"/>
      <c r="N489" s="1092"/>
      <c r="O489" s="1083"/>
      <c r="P489" s="1092"/>
      <c r="Q489" s="1083"/>
      <c r="R489" s="1092"/>
      <c r="S489" s="1083"/>
      <c r="T489" s="1083"/>
      <c r="U489" s="1083"/>
      <c r="V489" s="1083"/>
      <c r="W489" s="1083"/>
      <c r="X489" s="1083"/>
      <c r="Y489" s="1083"/>
    </row>
    <row r="490">
      <c r="A490" s="1120"/>
      <c r="B490" s="1120"/>
      <c r="C490" s="1142"/>
      <c r="D490" s="1058"/>
      <c r="E490" s="1081"/>
      <c r="F490" s="1142"/>
      <c r="G490" s="1081"/>
      <c r="H490" s="1142"/>
      <c r="I490" s="1081"/>
      <c r="J490" s="1081"/>
      <c r="K490" s="1081"/>
      <c r="L490" s="1142"/>
      <c r="M490" s="1142"/>
      <c r="N490" s="1081"/>
      <c r="O490" s="1142"/>
      <c r="P490" s="1081"/>
      <c r="Q490" s="1142"/>
      <c r="R490" s="1081"/>
      <c r="S490" s="1142"/>
      <c r="T490" s="1142"/>
      <c r="U490" s="1142"/>
      <c r="V490" s="1142"/>
      <c r="W490" s="1142"/>
      <c r="X490" s="1142"/>
      <c r="Y490" s="1142"/>
    </row>
    <row r="491">
      <c r="A491" s="1140"/>
      <c r="B491" s="1140"/>
      <c r="C491" s="1083"/>
      <c r="D491" s="1058"/>
      <c r="E491" s="1092"/>
      <c r="F491" s="1083"/>
      <c r="G491" s="1092"/>
      <c r="H491" s="1083"/>
      <c r="I491" s="1092"/>
      <c r="J491" s="1092"/>
      <c r="K491" s="1092"/>
      <c r="L491" s="1083"/>
      <c r="M491" s="1083"/>
      <c r="N491" s="1092"/>
      <c r="O491" s="1083"/>
      <c r="P491" s="1092"/>
      <c r="Q491" s="1083"/>
      <c r="R491" s="1092"/>
      <c r="S491" s="1083"/>
      <c r="T491" s="1083"/>
      <c r="U491" s="1083"/>
      <c r="V491" s="1083"/>
      <c r="W491" s="1083"/>
      <c r="X491" s="1083"/>
      <c r="Y491" s="1083"/>
    </row>
    <row r="492">
      <c r="A492" s="1120"/>
      <c r="B492" s="1120"/>
      <c r="C492" s="1142"/>
      <c r="D492" s="1058"/>
      <c r="E492" s="1081"/>
      <c r="F492" s="1142"/>
      <c r="G492" s="1081"/>
      <c r="H492" s="1142"/>
      <c r="I492" s="1081"/>
      <c r="J492" s="1081"/>
      <c r="K492" s="1081"/>
      <c r="L492" s="1142"/>
      <c r="M492" s="1142"/>
      <c r="N492" s="1081"/>
      <c r="O492" s="1142"/>
      <c r="P492" s="1081"/>
      <c r="Q492" s="1142"/>
      <c r="R492" s="1081"/>
      <c r="S492" s="1142"/>
      <c r="T492" s="1142"/>
      <c r="U492" s="1142"/>
      <c r="V492" s="1142"/>
      <c r="W492" s="1142"/>
      <c r="X492" s="1142"/>
      <c r="Y492" s="1142"/>
    </row>
    <row r="493">
      <c r="A493" s="1140"/>
      <c r="B493" s="1140"/>
      <c r="C493" s="1083"/>
      <c r="D493" s="1058"/>
      <c r="E493" s="1092"/>
      <c r="F493" s="1083"/>
      <c r="G493" s="1092"/>
      <c r="H493" s="1083"/>
      <c r="I493" s="1092"/>
      <c r="J493" s="1092"/>
      <c r="K493" s="1092"/>
      <c r="L493" s="1083"/>
      <c r="M493" s="1083"/>
      <c r="N493" s="1092"/>
      <c r="O493" s="1083"/>
      <c r="P493" s="1092"/>
      <c r="Q493" s="1083"/>
      <c r="R493" s="1092"/>
      <c r="S493" s="1083"/>
      <c r="T493" s="1083"/>
      <c r="U493" s="1083"/>
      <c r="V493" s="1083"/>
      <c r="W493" s="1083"/>
      <c r="X493" s="1083"/>
      <c r="Y493" s="1083"/>
    </row>
    <row r="494">
      <c r="A494" s="1120"/>
      <c r="B494" s="1120"/>
      <c r="C494" s="1142"/>
      <c r="D494" s="1058"/>
      <c r="E494" s="1081"/>
      <c r="F494" s="1142"/>
      <c r="G494" s="1081"/>
      <c r="H494" s="1142"/>
      <c r="I494" s="1081"/>
      <c r="J494" s="1081"/>
      <c r="K494" s="1081"/>
      <c r="L494" s="1142"/>
      <c r="M494" s="1142"/>
      <c r="N494" s="1081"/>
      <c r="O494" s="1142"/>
      <c r="P494" s="1081"/>
      <c r="Q494" s="1142"/>
      <c r="R494" s="1081"/>
      <c r="S494" s="1142"/>
      <c r="T494" s="1142"/>
      <c r="U494" s="1142"/>
      <c r="V494" s="1142"/>
      <c r="W494" s="1142"/>
      <c r="X494" s="1142"/>
      <c r="Y494" s="1142"/>
    </row>
    <row r="495">
      <c r="A495" s="1140"/>
      <c r="B495" s="1140"/>
      <c r="C495" s="1083"/>
      <c r="D495" s="1058"/>
      <c r="E495" s="1092"/>
      <c r="F495" s="1083"/>
      <c r="G495" s="1092"/>
      <c r="H495" s="1083"/>
      <c r="I495" s="1092"/>
      <c r="J495" s="1092"/>
      <c r="K495" s="1092"/>
      <c r="L495" s="1083"/>
      <c r="M495" s="1083"/>
      <c r="N495" s="1092"/>
      <c r="O495" s="1083"/>
      <c r="P495" s="1092"/>
      <c r="Q495" s="1083"/>
      <c r="R495" s="1092"/>
      <c r="S495" s="1083"/>
      <c r="T495" s="1083"/>
      <c r="U495" s="1083"/>
      <c r="V495" s="1083"/>
      <c r="W495" s="1083"/>
      <c r="X495" s="1083"/>
      <c r="Y495" s="1083"/>
    </row>
    <row r="496">
      <c r="A496" s="1120"/>
      <c r="B496" s="1120"/>
      <c r="C496" s="1142"/>
      <c r="D496" s="1058"/>
      <c r="E496" s="1081"/>
      <c r="F496" s="1142"/>
      <c r="G496" s="1081"/>
      <c r="H496" s="1142"/>
      <c r="I496" s="1081"/>
      <c r="J496" s="1081"/>
      <c r="K496" s="1081"/>
      <c r="L496" s="1142"/>
      <c r="M496" s="1142"/>
      <c r="N496" s="1081"/>
      <c r="O496" s="1142"/>
      <c r="P496" s="1081"/>
      <c r="Q496" s="1142"/>
      <c r="R496" s="1081"/>
      <c r="S496" s="1142"/>
      <c r="T496" s="1142"/>
      <c r="U496" s="1142"/>
      <c r="V496" s="1142"/>
      <c r="W496" s="1142"/>
      <c r="X496" s="1142"/>
      <c r="Y496" s="1142"/>
    </row>
    <row r="497">
      <c r="A497" s="1140"/>
      <c r="B497" s="1140"/>
      <c r="C497" s="1083"/>
      <c r="D497" s="1058"/>
      <c r="E497" s="1092"/>
      <c r="F497" s="1083"/>
      <c r="G497" s="1092"/>
      <c r="H497" s="1083"/>
      <c r="I497" s="1092"/>
      <c r="J497" s="1092"/>
      <c r="K497" s="1092"/>
      <c r="L497" s="1083"/>
      <c r="M497" s="1083"/>
      <c r="N497" s="1092"/>
      <c r="O497" s="1083"/>
      <c r="P497" s="1092"/>
      <c r="Q497" s="1083"/>
      <c r="R497" s="1092"/>
      <c r="S497" s="1083"/>
      <c r="T497" s="1083"/>
      <c r="U497" s="1083"/>
      <c r="V497" s="1083"/>
      <c r="W497" s="1083"/>
      <c r="X497" s="1083"/>
      <c r="Y497" s="1083"/>
    </row>
    <row r="498">
      <c r="A498" s="1120"/>
      <c r="B498" s="1120"/>
      <c r="C498" s="1142"/>
      <c r="D498" s="1058"/>
      <c r="E498" s="1081"/>
      <c r="F498" s="1142"/>
      <c r="G498" s="1081"/>
      <c r="H498" s="1142"/>
      <c r="I498" s="1081"/>
      <c r="J498" s="1081"/>
      <c r="K498" s="1081"/>
      <c r="L498" s="1142"/>
      <c r="M498" s="1142"/>
      <c r="N498" s="1081"/>
      <c r="O498" s="1142"/>
      <c r="P498" s="1081"/>
      <c r="Q498" s="1142"/>
      <c r="R498" s="1081"/>
      <c r="S498" s="1142"/>
      <c r="T498" s="1142"/>
      <c r="U498" s="1142"/>
      <c r="V498" s="1142"/>
      <c r="W498" s="1142"/>
      <c r="X498" s="1142"/>
      <c r="Y498" s="1142"/>
    </row>
    <row r="499">
      <c r="A499" s="1140"/>
      <c r="B499" s="1140"/>
      <c r="C499" s="1083"/>
      <c r="D499" s="1058"/>
      <c r="E499" s="1092"/>
      <c r="F499" s="1083"/>
      <c r="G499" s="1092"/>
      <c r="H499" s="1083"/>
      <c r="I499" s="1092"/>
      <c r="J499" s="1092"/>
      <c r="K499" s="1092"/>
      <c r="L499" s="1083"/>
      <c r="M499" s="1083"/>
      <c r="N499" s="1092"/>
      <c r="O499" s="1083"/>
      <c r="P499" s="1092"/>
      <c r="Q499" s="1083"/>
      <c r="R499" s="1092"/>
      <c r="S499" s="1083"/>
      <c r="T499" s="1083"/>
      <c r="U499" s="1083"/>
      <c r="V499" s="1083"/>
      <c r="W499" s="1083"/>
      <c r="X499" s="1083"/>
      <c r="Y499" s="1083"/>
    </row>
    <row r="500">
      <c r="A500" s="1120"/>
      <c r="B500" s="1120"/>
      <c r="C500" s="1142"/>
      <c r="D500" s="1058"/>
      <c r="E500" s="1081"/>
      <c r="F500" s="1142"/>
      <c r="G500" s="1081"/>
      <c r="H500" s="1142"/>
      <c r="I500" s="1081"/>
      <c r="J500" s="1081"/>
      <c r="K500" s="1081"/>
      <c r="L500" s="1142"/>
      <c r="M500" s="1142"/>
      <c r="N500" s="1081"/>
      <c r="O500" s="1142"/>
      <c r="P500" s="1081"/>
      <c r="Q500" s="1142"/>
      <c r="R500" s="1081"/>
      <c r="S500" s="1142"/>
      <c r="T500" s="1142"/>
      <c r="U500" s="1142"/>
      <c r="V500" s="1142"/>
      <c r="W500" s="1142"/>
      <c r="X500" s="1142"/>
      <c r="Y500" s="1142"/>
    </row>
    <row r="501">
      <c r="A501" s="1140"/>
      <c r="B501" s="1140"/>
      <c r="C501" s="1083"/>
      <c r="D501" s="1058"/>
      <c r="E501" s="1092"/>
      <c r="F501" s="1083"/>
      <c r="G501" s="1092"/>
      <c r="H501" s="1083"/>
      <c r="I501" s="1092"/>
      <c r="J501" s="1092"/>
      <c r="K501" s="1092"/>
      <c r="L501" s="1083"/>
      <c r="M501" s="1083"/>
      <c r="N501" s="1092"/>
      <c r="O501" s="1083"/>
      <c r="P501" s="1092"/>
      <c r="Q501" s="1083"/>
      <c r="R501" s="1092"/>
      <c r="S501" s="1083"/>
      <c r="T501" s="1083"/>
      <c r="U501" s="1083"/>
      <c r="V501" s="1083"/>
      <c r="W501" s="1083"/>
      <c r="X501" s="1083"/>
      <c r="Y501" s="1083"/>
    </row>
    <row r="502">
      <c r="A502" s="1120"/>
      <c r="B502" s="1120"/>
      <c r="C502" s="1142"/>
      <c r="D502" s="1058"/>
      <c r="E502" s="1081"/>
      <c r="F502" s="1142"/>
      <c r="G502" s="1081"/>
      <c r="H502" s="1142"/>
      <c r="I502" s="1081"/>
      <c r="J502" s="1081"/>
      <c r="K502" s="1081"/>
      <c r="L502" s="1142"/>
      <c r="M502" s="1142"/>
      <c r="N502" s="1081"/>
      <c r="O502" s="1142"/>
      <c r="P502" s="1081"/>
      <c r="Q502" s="1142"/>
      <c r="R502" s="1081"/>
      <c r="S502" s="1142"/>
      <c r="T502" s="1142"/>
      <c r="U502" s="1142"/>
      <c r="V502" s="1142"/>
      <c r="W502" s="1142"/>
      <c r="X502" s="1142"/>
      <c r="Y502" s="1142"/>
    </row>
    <row r="503">
      <c r="A503" s="1140"/>
      <c r="B503" s="1140"/>
      <c r="C503" s="1083"/>
      <c r="D503" s="1058"/>
      <c r="E503" s="1092"/>
      <c r="F503" s="1083"/>
      <c r="G503" s="1092"/>
      <c r="H503" s="1083"/>
      <c r="I503" s="1092"/>
      <c r="J503" s="1092"/>
      <c r="K503" s="1092"/>
      <c r="L503" s="1083"/>
      <c r="M503" s="1083"/>
      <c r="N503" s="1092"/>
      <c r="O503" s="1083"/>
      <c r="P503" s="1092"/>
      <c r="Q503" s="1083"/>
      <c r="R503" s="1092"/>
      <c r="S503" s="1083"/>
      <c r="T503" s="1083"/>
      <c r="U503" s="1083"/>
      <c r="V503" s="1083"/>
      <c r="W503" s="1083"/>
      <c r="X503" s="1083"/>
      <c r="Y503" s="1083"/>
    </row>
    <row r="504">
      <c r="A504" s="1120"/>
      <c r="B504" s="1120"/>
      <c r="C504" s="1142"/>
      <c r="D504" s="1058"/>
      <c r="E504" s="1081"/>
      <c r="F504" s="1142"/>
      <c r="G504" s="1081"/>
      <c r="H504" s="1142"/>
      <c r="I504" s="1081"/>
      <c r="J504" s="1081"/>
      <c r="K504" s="1081"/>
      <c r="L504" s="1142"/>
      <c r="M504" s="1142"/>
      <c r="N504" s="1081"/>
      <c r="O504" s="1142"/>
      <c r="P504" s="1081"/>
      <c r="Q504" s="1142"/>
      <c r="R504" s="1081"/>
      <c r="S504" s="1142"/>
      <c r="T504" s="1142"/>
      <c r="U504" s="1142"/>
      <c r="V504" s="1142"/>
      <c r="W504" s="1142"/>
      <c r="X504" s="1142"/>
      <c r="Y504" s="1142"/>
    </row>
    <row r="505">
      <c r="A505" s="1140"/>
      <c r="B505" s="1140"/>
      <c r="C505" s="1083"/>
      <c r="D505" s="1058"/>
      <c r="E505" s="1092"/>
      <c r="F505" s="1083"/>
      <c r="G505" s="1092"/>
      <c r="H505" s="1083"/>
      <c r="I505" s="1092"/>
      <c r="J505" s="1092"/>
      <c r="K505" s="1092"/>
      <c r="L505" s="1083"/>
      <c r="M505" s="1083"/>
      <c r="N505" s="1092"/>
      <c r="O505" s="1083"/>
      <c r="P505" s="1092"/>
      <c r="Q505" s="1083"/>
      <c r="R505" s="1092"/>
      <c r="S505" s="1083"/>
      <c r="T505" s="1083"/>
      <c r="U505" s="1083"/>
      <c r="V505" s="1083"/>
      <c r="W505" s="1083"/>
      <c r="X505" s="1083"/>
      <c r="Y505" s="1083"/>
    </row>
    <row r="506">
      <c r="A506" s="1120"/>
      <c r="B506" s="1120"/>
      <c r="C506" s="1142"/>
      <c r="D506" s="1058"/>
      <c r="E506" s="1081"/>
      <c r="F506" s="1142"/>
      <c r="G506" s="1081"/>
      <c r="H506" s="1142"/>
      <c r="I506" s="1081"/>
      <c r="J506" s="1081"/>
      <c r="K506" s="1081"/>
      <c r="L506" s="1142"/>
      <c r="M506" s="1142"/>
      <c r="N506" s="1081"/>
      <c r="O506" s="1142"/>
      <c r="P506" s="1081"/>
      <c r="Q506" s="1142"/>
      <c r="R506" s="1081"/>
      <c r="S506" s="1142"/>
      <c r="T506" s="1142"/>
      <c r="U506" s="1142"/>
      <c r="V506" s="1142"/>
      <c r="W506" s="1142"/>
      <c r="X506" s="1142"/>
      <c r="Y506" s="1142"/>
    </row>
    <row r="507">
      <c r="A507" s="1140"/>
      <c r="B507" s="1140"/>
      <c r="C507" s="1083"/>
      <c r="D507" s="1058"/>
      <c r="E507" s="1092"/>
      <c r="F507" s="1083"/>
      <c r="G507" s="1092"/>
      <c r="H507" s="1083"/>
      <c r="I507" s="1092"/>
      <c r="J507" s="1092"/>
      <c r="K507" s="1092"/>
      <c r="L507" s="1083"/>
      <c r="M507" s="1083"/>
      <c r="N507" s="1092"/>
      <c r="O507" s="1083"/>
      <c r="P507" s="1092"/>
      <c r="Q507" s="1083"/>
      <c r="R507" s="1092"/>
      <c r="S507" s="1083"/>
      <c r="T507" s="1083"/>
      <c r="U507" s="1083"/>
      <c r="V507" s="1083"/>
      <c r="W507" s="1083"/>
      <c r="X507" s="1083"/>
      <c r="Y507" s="1083"/>
    </row>
    <row r="508">
      <c r="A508" s="1120"/>
      <c r="B508" s="1120"/>
      <c r="C508" s="1142"/>
      <c r="D508" s="1058"/>
      <c r="E508" s="1081"/>
      <c r="F508" s="1142"/>
      <c r="G508" s="1081"/>
      <c r="H508" s="1142"/>
      <c r="I508" s="1081"/>
      <c r="J508" s="1081"/>
      <c r="K508" s="1081"/>
      <c r="L508" s="1142"/>
      <c r="M508" s="1142"/>
      <c r="N508" s="1081"/>
      <c r="O508" s="1142"/>
      <c r="P508" s="1081"/>
      <c r="Q508" s="1142"/>
      <c r="R508" s="1081"/>
      <c r="S508" s="1142"/>
      <c r="T508" s="1142"/>
      <c r="U508" s="1142"/>
      <c r="V508" s="1142"/>
      <c r="W508" s="1142"/>
      <c r="X508" s="1142"/>
      <c r="Y508" s="1142"/>
    </row>
    <row r="509">
      <c r="A509" s="1140"/>
      <c r="B509" s="1140"/>
      <c r="C509" s="1083"/>
      <c r="D509" s="1058"/>
      <c r="E509" s="1092"/>
      <c r="F509" s="1083"/>
      <c r="G509" s="1092"/>
      <c r="H509" s="1083"/>
      <c r="I509" s="1092"/>
      <c r="J509" s="1092"/>
      <c r="K509" s="1092"/>
      <c r="L509" s="1083"/>
      <c r="M509" s="1083"/>
      <c r="N509" s="1092"/>
      <c r="O509" s="1083"/>
      <c r="P509" s="1092"/>
      <c r="Q509" s="1083"/>
      <c r="R509" s="1092"/>
      <c r="S509" s="1083"/>
      <c r="T509" s="1083"/>
      <c r="U509" s="1083"/>
      <c r="V509" s="1083"/>
      <c r="W509" s="1083"/>
      <c r="X509" s="1083"/>
      <c r="Y509" s="1083"/>
    </row>
    <row r="510">
      <c r="A510" s="1120"/>
      <c r="B510" s="1120"/>
      <c r="C510" s="1142"/>
      <c r="D510" s="1058"/>
      <c r="E510" s="1081"/>
      <c r="F510" s="1142"/>
      <c r="G510" s="1081"/>
      <c r="H510" s="1142"/>
      <c r="I510" s="1081"/>
      <c r="J510" s="1081"/>
      <c r="K510" s="1081"/>
      <c r="L510" s="1142"/>
      <c r="M510" s="1142"/>
      <c r="N510" s="1081"/>
      <c r="O510" s="1142"/>
      <c r="P510" s="1081"/>
      <c r="Q510" s="1142"/>
      <c r="R510" s="1081"/>
      <c r="S510" s="1142"/>
      <c r="T510" s="1142"/>
      <c r="U510" s="1142"/>
      <c r="V510" s="1142"/>
      <c r="W510" s="1142"/>
      <c r="X510" s="1142"/>
      <c r="Y510" s="1142"/>
    </row>
    <row r="511">
      <c r="A511" s="1140"/>
      <c r="B511" s="1140"/>
      <c r="C511" s="1083"/>
      <c r="D511" s="1058"/>
      <c r="E511" s="1092"/>
      <c r="F511" s="1083"/>
      <c r="G511" s="1092"/>
      <c r="H511" s="1083"/>
      <c r="I511" s="1092"/>
      <c r="J511" s="1092"/>
      <c r="K511" s="1092"/>
      <c r="L511" s="1083"/>
      <c r="M511" s="1083"/>
      <c r="N511" s="1092"/>
      <c r="O511" s="1083"/>
      <c r="P511" s="1092"/>
      <c r="Q511" s="1083"/>
      <c r="R511" s="1092"/>
      <c r="S511" s="1083"/>
      <c r="T511" s="1083"/>
      <c r="U511" s="1083"/>
      <c r="V511" s="1083"/>
      <c r="W511" s="1083"/>
      <c r="X511" s="1083"/>
      <c r="Y511" s="1083"/>
    </row>
    <row r="512">
      <c r="A512" s="1120"/>
      <c r="B512" s="1120"/>
      <c r="C512" s="1142"/>
      <c r="D512" s="1058"/>
      <c r="E512" s="1081"/>
      <c r="F512" s="1142"/>
      <c r="G512" s="1081"/>
      <c r="H512" s="1142"/>
      <c r="I512" s="1081"/>
      <c r="J512" s="1081"/>
      <c r="K512" s="1081"/>
      <c r="L512" s="1142"/>
      <c r="M512" s="1142"/>
      <c r="N512" s="1081"/>
      <c r="O512" s="1142"/>
      <c r="P512" s="1081"/>
      <c r="Q512" s="1142"/>
      <c r="R512" s="1081"/>
      <c r="S512" s="1142"/>
      <c r="T512" s="1142"/>
      <c r="U512" s="1142"/>
      <c r="V512" s="1142"/>
      <c r="W512" s="1142"/>
      <c r="X512" s="1142"/>
      <c r="Y512" s="1142"/>
    </row>
    <row r="513">
      <c r="A513" s="1140"/>
      <c r="B513" s="1140"/>
      <c r="C513" s="1083"/>
      <c r="D513" s="1058"/>
      <c r="E513" s="1092"/>
      <c r="F513" s="1083"/>
      <c r="G513" s="1092"/>
      <c r="H513" s="1083"/>
      <c r="I513" s="1092"/>
      <c r="J513" s="1092"/>
      <c r="K513" s="1092"/>
      <c r="L513" s="1083"/>
      <c r="M513" s="1083"/>
      <c r="N513" s="1092"/>
      <c r="O513" s="1083"/>
      <c r="P513" s="1092"/>
      <c r="Q513" s="1083"/>
      <c r="R513" s="1092"/>
      <c r="S513" s="1083"/>
      <c r="T513" s="1083"/>
      <c r="U513" s="1083"/>
      <c r="V513" s="1083"/>
      <c r="W513" s="1083"/>
      <c r="X513" s="1083"/>
      <c r="Y513" s="1083"/>
    </row>
    <row r="514">
      <c r="A514" s="1120"/>
      <c r="B514" s="1120"/>
      <c r="C514" s="1142"/>
      <c r="D514" s="1058"/>
      <c r="E514" s="1081"/>
      <c r="F514" s="1142"/>
      <c r="G514" s="1081"/>
      <c r="H514" s="1142"/>
      <c r="I514" s="1081"/>
      <c r="J514" s="1081"/>
      <c r="K514" s="1081"/>
      <c r="L514" s="1142"/>
      <c r="M514" s="1142"/>
      <c r="N514" s="1081"/>
      <c r="O514" s="1142"/>
      <c r="P514" s="1081"/>
      <c r="Q514" s="1142"/>
      <c r="R514" s="1081"/>
      <c r="S514" s="1142"/>
      <c r="T514" s="1142"/>
      <c r="U514" s="1142"/>
      <c r="V514" s="1142"/>
      <c r="W514" s="1142"/>
      <c r="X514" s="1142"/>
      <c r="Y514" s="1142"/>
    </row>
    <row r="515">
      <c r="A515" s="1140"/>
      <c r="B515" s="1140"/>
      <c r="C515" s="1083"/>
      <c r="D515" s="1058"/>
      <c r="E515" s="1092"/>
      <c r="F515" s="1083"/>
      <c r="G515" s="1092"/>
      <c r="H515" s="1083"/>
      <c r="I515" s="1092"/>
      <c r="J515" s="1092"/>
      <c r="K515" s="1092"/>
      <c r="L515" s="1083"/>
      <c r="M515" s="1083"/>
      <c r="N515" s="1092"/>
      <c r="O515" s="1083"/>
      <c r="P515" s="1092"/>
      <c r="Q515" s="1083"/>
      <c r="R515" s="1092"/>
      <c r="S515" s="1083"/>
      <c r="T515" s="1083"/>
      <c r="U515" s="1083"/>
      <c r="V515" s="1083"/>
      <c r="W515" s="1083"/>
      <c r="X515" s="1083"/>
      <c r="Y515" s="1083"/>
    </row>
    <row r="516">
      <c r="A516" s="1120"/>
      <c r="B516" s="1120"/>
      <c r="C516" s="1142"/>
      <c r="D516" s="1058"/>
      <c r="E516" s="1081"/>
      <c r="F516" s="1142"/>
      <c r="G516" s="1081"/>
      <c r="H516" s="1142"/>
      <c r="I516" s="1081"/>
      <c r="J516" s="1081"/>
      <c r="K516" s="1081"/>
      <c r="L516" s="1142"/>
      <c r="M516" s="1142"/>
      <c r="N516" s="1081"/>
      <c r="O516" s="1142"/>
      <c r="P516" s="1081"/>
      <c r="Q516" s="1142"/>
      <c r="R516" s="1081"/>
      <c r="S516" s="1142"/>
      <c r="T516" s="1142"/>
      <c r="U516" s="1142"/>
      <c r="V516" s="1142"/>
      <c r="W516" s="1142"/>
      <c r="X516" s="1142"/>
      <c r="Y516" s="1142"/>
    </row>
    <row r="517">
      <c r="A517" s="1140"/>
      <c r="B517" s="1140"/>
      <c r="C517" s="1083"/>
      <c r="D517" s="1058"/>
      <c r="E517" s="1092"/>
      <c r="F517" s="1083"/>
      <c r="G517" s="1092"/>
      <c r="H517" s="1083"/>
      <c r="I517" s="1092"/>
      <c r="J517" s="1092"/>
      <c r="K517" s="1092"/>
      <c r="L517" s="1083"/>
      <c r="M517" s="1083"/>
      <c r="N517" s="1092"/>
      <c r="O517" s="1083"/>
      <c r="P517" s="1092"/>
      <c r="Q517" s="1083"/>
      <c r="R517" s="1092"/>
      <c r="S517" s="1083"/>
      <c r="T517" s="1083"/>
      <c r="U517" s="1083"/>
      <c r="V517" s="1083"/>
      <c r="W517" s="1083"/>
      <c r="X517" s="1083"/>
      <c r="Y517" s="1083"/>
    </row>
    <row r="518">
      <c r="A518" s="1120"/>
      <c r="B518" s="1120"/>
      <c r="C518" s="1142"/>
      <c r="D518" s="1058"/>
      <c r="E518" s="1081"/>
      <c r="F518" s="1142"/>
      <c r="G518" s="1081"/>
      <c r="H518" s="1142"/>
      <c r="I518" s="1081"/>
      <c r="J518" s="1081"/>
      <c r="K518" s="1081"/>
      <c r="L518" s="1142"/>
      <c r="M518" s="1142"/>
      <c r="N518" s="1081"/>
      <c r="O518" s="1142"/>
      <c r="P518" s="1081"/>
      <c r="Q518" s="1142"/>
      <c r="R518" s="1081"/>
      <c r="S518" s="1142"/>
      <c r="T518" s="1142"/>
      <c r="U518" s="1142"/>
      <c r="V518" s="1142"/>
      <c r="W518" s="1142"/>
      <c r="X518" s="1142"/>
      <c r="Y518" s="1142"/>
    </row>
    <row r="519">
      <c r="A519" s="1140"/>
      <c r="B519" s="1140"/>
      <c r="C519" s="1083"/>
      <c r="D519" s="1058"/>
      <c r="E519" s="1092"/>
      <c r="F519" s="1083"/>
      <c r="G519" s="1092"/>
      <c r="H519" s="1083"/>
      <c r="I519" s="1092"/>
      <c r="J519" s="1092"/>
      <c r="K519" s="1092"/>
      <c r="L519" s="1083"/>
      <c r="M519" s="1083"/>
      <c r="N519" s="1092"/>
      <c r="O519" s="1083"/>
      <c r="P519" s="1092"/>
      <c r="Q519" s="1083"/>
      <c r="R519" s="1092"/>
      <c r="S519" s="1083"/>
      <c r="T519" s="1083"/>
      <c r="U519" s="1083"/>
      <c r="V519" s="1083"/>
      <c r="W519" s="1083"/>
      <c r="X519" s="1083"/>
      <c r="Y519" s="1083"/>
    </row>
    <row r="520">
      <c r="A520" s="1120"/>
      <c r="B520" s="1120"/>
      <c r="C520" s="1142"/>
      <c r="D520" s="1058"/>
      <c r="E520" s="1081"/>
      <c r="F520" s="1142"/>
      <c r="G520" s="1081"/>
      <c r="H520" s="1142"/>
      <c r="I520" s="1081"/>
      <c r="J520" s="1081"/>
      <c r="K520" s="1081"/>
      <c r="L520" s="1142"/>
      <c r="M520" s="1142"/>
      <c r="N520" s="1081"/>
      <c r="O520" s="1142"/>
      <c r="P520" s="1081"/>
      <c r="Q520" s="1142"/>
      <c r="R520" s="1081"/>
      <c r="S520" s="1142"/>
      <c r="T520" s="1142"/>
      <c r="U520" s="1142"/>
      <c r="V520" s="1142"/>
      <c r="W520" s="1142"/>
      <c r="X520" s="1142"/>
      <c r="Y520" s="1142"/>
    </row>
    <row r="521">
      <c r="A521" s="1140"/>
      <c r="B521" s="1140"/>
      <c r="C521" s="1083"/>
      <c r="D521" s="1058"/>
      <c r="E521" s="1092"/>
      <c r="F521" s="1083"/>
      <c r="G521" s="1092"/>
      <c r="H521" s="1083"/>
      <c r="I521" s="1092"/>
      <c r="J521" s="1092"/>
      <c r="K521" s="1092"/>
      <c r="L521" s="1083"/>
      <c r="M521" s="1083"/>
      <c r="N521" s="1092"/>
      <c r="O521" s="1083"/>
      <c r="P521" s="1092"/>
      <c r="Q521" s="1083"/>
      <c r="R521" s="1092"/>
      <c r="S521" s="1083"/>
      <c r="T521" s="1083"/>
      <c r="U521" s="1083"/>
      <c r="V521" s="1083"/>
      <c r="W521" s="1083"/>
      <c r="X521" s="1083"/>
      <c r="Y521" s="1083"/>
    </row>
    <row r="522">
      <c r="A522" s="1120"/>
      <c r="B522" s="1120"/>
      <c r="C522" s="1142"/>
      <c r="D522" s="1058"/>
      <c r="E522" s="1081"/>
      <c r="F522" s="1142"/>
      <c r="G522" s="1081"/>
      <c r="H522" s="1142"/>
      <c r="I522" s="1081"/>
      <c r="J522" s="1081"/>
      <c r="K522" s="1081"/>
      <c r="L522" s="1142"/>
      <c r="M522" s="1142"/>
      <c r="N522" s="1081"/>
      <c r="O522" s="1142"/>
      <c r="P522" s="1081"/>
      <c r="Q522" s="1142"/>
      <c r="R522" s="1081"/>
      <c r="S522" s="1142"/>
      <c r="T522" s="1142"/>
      <c r="U522" s="1142"/>
      <c r="V522" s="1142"/>
      <c r="W522" s="1142"/>
      <c r="X522" s="1142"/>
      <c r="Y522" s="1142"/>
    </row>
    <row r="523">
      <c r="A523" s="1140"/>
      <c r="B523" s="1140"/>
      <c r="C523" s="1083"/>
      <c r="D523" s="1058"/>
      <c r="E523" s="1092"/>
      <c r="F523" s="1083"/>
      <c r="G523" s="1092"/>
      <c r="H523" s="1083"/>
      <c r="I523" s="1092"/>
      <c r="J523" s="1092"/>
      <c r="K523" s="1092"/>
      <c r="L523" s="1083"/>
      <c r="M523" s="1083"/>
      <c r="N523" s="1092"/>
      <c r="O523" s="1083"/>
      <c r="P523" s="1092"/>
      <c r="Q523" s="1083"/>
      <c r="R523" s="1092"/>
      <c r="S523" s="1083"/>
      <c r="T523" s="1083"/>
      <c r="U523" s="1083"/>
      <c r="V523" s="1083"/>
      <c r="W523" s="1083"/>
      <c r="X523" s="1083"/>
      <c r="Y523" s="1083"/>
    </row>
    <row r="524">
      <c r="A524" s="1120"/>
      <c r="B524" s="1120"/>
      <c r="C524" s="1142"/>
      <c r="D524" s="1058"/>
      <c r="E524" s="1081"/>
      <c r="F524" s="1142"/>
      <c r="G524" s="1081"/>
      <c r="H524" s="1142"/>
      <c r="I524" s="1081"/>
      <c r="J524" s="1081"/>
      <c r="K524" s="1081"/>
      <c r="L524" s="1142"/>
      <c r="M524" s="1142"/>
      <c r="N524" s="1081"/>
      <c r="O524" s="1142"/>
      <c r="P524" s="1081"/>
      <c r="Q524" s="1142"/>
      <c r="R524" s="1081"/>
      <c r="S524" s="1142"/>
      <c r="T524" s="1142"/>
      <c r="U524" s="1142"/>
      <c r="V524" s="1142"/>
      <c r="W524" s="1142"/>
      <c r="X524" s="1142"/>
      <c r="Y524" s="1142"/>
    </row>
    <row r="525">
      <c r="A525" s="1140"/>
      <c r="B525" s="1140"/>
      <c r="C525" s="1083"/>
      <c r="D525" s="1058"/>
      <c r="E525" s="1092"/>
      <c r="F525" s="1083"/>
      <c r="G525" s="1092"/>
      <c r="H525" s="1083"/>
      <c r="I525" s="1092"/>
      <c r="J525" s="1092"/>
      <c r="K525" s="1092"/>
      <c r="L525" s="1083"/>
      <c r="M525" s="1083"/>
      <c r="N525" s="1092"/>
      <c r="O525" s="1083"/>
      <c r="P525" s="1092"/>
      <c r="Q525" s="1083"/>
      <c r="R525" s="1092"/>
      <c r="S525" s="1083"/>
      <c r="T525" s="1083"/>
      <c r="U525" s="1083"/>
      <c r="V525" s="1083"/>
      <c r="W525" s="1083"/>
      <c r="X525" s="1083"/>
      <c r="Y525" s="1083"/>
    </row>
    <row r="526">
      <c r="A526" s="1120"/>
      <c r="B526" s="1120"/>
      <c r="C526" s="1142"/>
      <c r="D526" s="1058"/>
      <c r="E526" s="1081"/>
      <c r="F526" s="1142"/>
      <c r="G526" s="1081"/>
      <c r="H526" s="1142"/>
      <c r="I526" s="1081"/>
      <c r="J526" s="1081"/>
      <c r="K526" s="1081"/>
      <c r="L526" s="1142"/>
      <c r="M526" s="1142"/>
      <c r="N526" s="1081"/>
      <c r="O526" s="1142"/>
      <c r="P526" s="1081"/>
      <c r="Q526" s="1142"/>
      <c r="R526" s="1081"/>
      <c r="S526" s="1142"/>
      <c r="T526" s="1142"/>
      <c r="U526" s="1142"/>
      <c r="V526" s="1142"/>
      <c r="W526" s="1142"/>
      <c r="X526" s="1142"/>
      <c r="Y526" s="1142"/>
    </row>
    <row r="527">
      <c r="A527" s="1140"/>
      <c r="B527" s="1140"/>
      <c r="C527" s="1083"/>
      <c r="D527" s="1058"/>
      <c r="E527" s="1092"/>
      <c r="F527" s="1083"/>
      <c r="G527" s="1092"/>
      <c r="H527" s="1083"/>
      <c r="I527" s="1092"/>
      <c r="J527" s="1092"/>
      <c r="K527" s="1092"/>
      <c r="L527" s="1083"/>
      <c r="M527" s="1083"/>
      <c r="N527" s="1092"/>
      <c r="O527" s="1083"/>
      <c r="P527" s="1092"/>
      <c r="Q527" s="1083"/>
      <c r="R527" s="1092"/>
      <c r="S527" s="1083"/>
      <c r="T527" s="1083"/>
      <c r="U527" s="1083"/>
      <c r="V527" s="1083"/>
      <c r="W527" s="1083"/>
      <c r="X527" s="1083"/>
      <c r="Y527" s="1083"/>
    </row>
    <row r="528">
      <c r="A528" s="1120"/>
      <c r="B528" s="1120"/>
      <c r="C528" s="1142"/>
      <c r="D528" s="1058"/>
      <c r="E528" s="1081"/>
      <c r="F528" s="1142"/>
      <c r="G528" s="1081"/>
      <c r="H528" s="1142"/>
      <c r="I528" s="1081"/>
      <c r="J528" s="1081"/>
      <c r="K528" s="1081"/>
      <c r="L528" s="1142"/>
      <c r="M528" s="1142"/>
      <c r="N528" s="1081"/>
      <c r="O528" s="1142"/>
      <c r="P528" s="1081"/>
      <c r="Q528" s="1142"/>
      <c r="R528" s="1081"/>
      <c r="S528" s="1142"/>
      <c r="T528" s="1142"/>
      <c r="U528" s="1142"/>
      <c r="V528" s="1142"/>
      <c r="W528" s="1142"/>
      <c r="X528" s="1142"/>
      <c r="Y528" s="1142"/>
    </row>
    <row r="529">
      <c r="A529" s="1140"/>
      <c r="B529" s="1140"/>
      <c r="C529" s="1083"/>
      <c r="D529" s="1058"/>
      <c r="E529" s="1092"/>
      <c r="F529" s="1083"/>
      <c r="G529" s="1092"/>
      <c r="H529" s="1083"/>
      <c r="I529" s="1092"/>
      <c r="J529" s="1092"/>
      <c r="K529" s="1092"/>
      <c r="L529" s="1083"/>
      <c r="M529" s="1083"/>
      <c r="N529" s="1092"/>
      <c r="O529" s="1083"/>
      <c r="P529" s="1092"/>
      <c r="Q529" s="1083"/>
      <c r="R529" s="1092"/>
      <c r="S529" s="1083"/>
      <c r="T529" s="1083"/>
      <c r="U529" s="1083"/>
      <c r="V529" s="1083"/>
      <c r="W529" s="1083"/>
      <c r="X529" s="1083"/>
      <c r="Y529" s="1083"/>
    </row>
    <row r="530">
      <c r="A530" s="1120"/>
      <c r="B530" s="1120"/>
      <c r="C530" s="1142"/>
      <c r="D530" s="1058"/>
      <c r="E530" s="1081"/>
      <c r="F530" s="1142"/>
      <c r="G530" s="1081"/>
      <c r="H530" s="1142"/>
      <c r="I530" s="1081"/>
      <c r="J530" s="1081"/>
      <c r="K530" s="1081"/>
      <c r="L530" s="1142"/>
      <c r="M530" s="1142"/>
      <c r="N530" s="1081"/>
      <c r="O530" s="1142"/>
      <c r="P530" s="1081"/>
      <c r="Q530" s="1142"/>
      <c r="R530" s="1081"/>
      <c r="S530" s="1142"/>
      <c r="T530" s="1142"/>
      <c r="U530" s="1142"/>
      <c r="V530" s="1142"/>
      <c r="W530" s="1142"/>
      <c r="X530" s="1142"/>
      <c r="Y530" s="1142"/>
    </row>
    <row r="531">
      <c r="A531" s="1140"/>
      <c r="B531" s="1140"/>
      <c r="C531" s="1083"/>
      <c r="D531" s="1058"/>
      <c r="E531" s="1092"/>
      <c r="F531" s="1083"/>
      <c r="G531" s="1092"/>
      <c r="H531" s="1083"/>
      <c r="I531" s="1092"/>
      <c r="J531" s="1092"/>
      <c r="K531" s="1092"/>
      <c r="L531" s="1083"/>
      <c r="M531" s="1083"/>
      <c r="N531" s="1092"/>
      <c r="O531" s="1083"/>
      <c r="P531" s="1092"/>
      <c r="Q531" s="1083"/>
      <c r="R531" s="1092"/>
      <c r="S531" s="1083"/>
      <c r="T531" s="1083"/>
      <c r="U531" s="1083"/>
      <c r="V531" s="1083"/>
      <c r="W531" s="1083"/>
      <c r="X531" s="1083"/>
      <c r="Y531" s="1083"/>
    </row>
    <row r="532">
      <c r="A532" s="1120"/>
      <c r="B532" s="1120"/>
      <c r="C532" s="1142"/>
      <c r="D532" s="1058"/>
      <c r="E532" s="1081"/>
      <c r="F532" s="1142"/>
      <c r="G532" s="1081"/>
      <c r="H532" s="1142"/>
      <c r="I532" s="1081"/>
      <c r="J532" s="1081"/>
      <c r="K532" s="1081"/>
      <c r="L532" s="1142"/>
      <c r="M532" s="1142"/>
      <c r="N532" s="1081"/>
      <c r="O532" s="1142"/>
      <c r="P532" s="1081"/>
      <c r="Q532" s="1142"/>
      <c r="R532" s="1081"/>
      <c r="S532" s="1142"/>
      <c r="T532" s="1142"/>
      <c r="U532" s="1142"/>
      <c r="V532" s="1142"/>
      <c r="W532" s="1142"/>
      <c r="X532" s="1142"/>
      <c r="Y532" s="1142"/>
    </row>
    <row r="533">
      <c r="A533" s="1140"/>
      <c r="B533" s="1140"/>
      <c r="C533" s="1083"/>
      <c r="D533" s="1058"/>
      <c r="E533" s="1092"/>
      <c r="F533" s="1083"/>
      <c r="G533" s="1092"/>
      <c r="H533" s="1083"/>
      <c r="I533" s="1092"/>
      <c r="J533" s="1092"/>
      <c r="K533" s="1092"/>
      <c r="L533" s="1083"/>
      <c r="M533" s="1083"/>
      <c r="N533" s="1092"/>
      <c r="O533" s="1083"/>
      <c r="P533" s="1092"/>
      <c r="Q533" s="1083"/>
      <c r="R533" s="1092"/>
      <c r="S533" s="1083"/>
      <c r="T533" s="1083"/>
      <c r="U533" s="1083"/>
      <c r="V533" s="1083"/>
      <c r="W533" s="1083"/>
      <c r="X533" s="1083"/>
      <c r="Y533" s="1083"/>
    </row>
    <row r="534">
      <c r="A534" s="1120"/>
      <c r="B534" s="1120"/>
      <c r="C534" s="1142"/>
      <c r="D534" s="1058"/>
      <c r="E534" s="1081"/>
      <c r="F534" s="1142"/>
      <c r="G534" s="1081"/>
      <c r="H534" s="1142"/>
      <c r="I534" s="1081"/>
      <c r="J534" s="1081"/>
      <c r="K534" s="1081"/>
      <c r="L534" s="1142"/>
      <c r="M534" s="1142"/>
      <c r="N534" s="1081"/>
      <c r="O534" s="1142"/>
      <c r="P534" s="1081"/>
      <c r="Q534" s="1142"/>
      <c r="R534" s="1081"/>
      <c r="S534" s="1142"/>
      <c r="T534" s="1142"/>
      <c r="U534" s="1142"/>
      <c r="V534" s="1142"/>
      <c r="W534" s="1142"/>
      <c r="X534" s="1142"/>
      <c r="Y534" s="1142"/>
    </row>
    <row r="535">
      <c r="A535" s="1140"/>
      <c r="B535" s="1140"/>
      <c r="C535" s="1083"/>
      <c r="D535" s="1058"/>
      <c r="E535" s="1092"/>
      <c r="F535" s="1083"/>
      <c r="G535" s="1092"/>
      <c r="H535" s="1083"/>
      <c r="I535" s="1092"/>
      <c r="J535" s="1092"/>
      <c r="K535" s="1092"/>
      <c r="L535" s="1083"/>
      <c r="M535" s="1083"/>
      <c r="N535" s="1092"/>
      <c r="O535" s="1083"/>
      <c r="P535" s="1092"/>
      <c r="Q535" s="1083"/>
      <c r="R535" s="1092"/>
      <c r="S535" s="1083"/>
      <c r="T535" s="1083"/>
      <c r="U535" s="1083"/>
      <c r="V535" s="1083"/>
      <c r="W535" s="1083"/>
      <c r="X535" s="1083"/>
      <c r="Y535" s="1083"/>
    </row>
    <row r="536">
      <c r="A536" s="1120"/>
      <c r="B536" s="1120"/>
      <c r="C536" s="1142"/>
      <c r="D536" s="1058"/>
      <c r="E536" s="1081"/>
      <c r="F536" s="1142"/>
      <c r="G536" s="1081"/>
      <c r="H536" s="1142"/>
      <c r="I536" s="1081"/>
      <c r="J536" s="1081"/>
      <c r="K536" s="1081"/>
      <c r="L536" s="1142"/>
      <c r="M536" s="1142"/>
      <c r="N536" s="1081"/>
      <c r="O536" s="1142"/>
      <c r="P536" s="1081"/>
      <c r="Q536" s="1142"/>
      <c r="R536" s="1081"/>
      <c r="S536" s="1142"/>
      <c r="T536" s="1142"/>
      <c r="U536" s="1142"/>
      <c r="V536" s="1142"/>
      <c r="W536" s="1142"/>
      <c r="X536" s="1142"/>
      <c r="Y536" s="1142"/>
    </row>
    <row r="537">
      <c r="A537" s="1140"/>
      <c r="B537" s="1140"/>
      <c r="C537" s="1083"/>
      <c r="D537" s="1058"/>
      <c r="E537" s="1092"/>
      <c r="F537" s="1083"/>
      <c r="G537" s="1092"/>
      <c r="H537" s="1083"/>
      <c r="I537" s="1092"/>
      <c r="J537" s="1092"/>
      <c r="K537" s="1092"/>
      <c r="L537" s="1083"/>
      <c r="M537" s="1083"/>
      <c r="N537" s="1092"/>
      <c r="O537" s="1083"/>
      <c r="P537" s="1092"/>
      <c r="Q537" s="1083"/>
      <c r="R537" s="1092"/>
      <c r="S537" s="1083"/>
      <c r="T537" s="1083"/>
      <c r="U537" s="1083"/>
      <c r="V537" s="1083"/>
      <c r="W537" s="1083"/>
      <c r="X537" s="1083"/>
      <c r="Y537" s="1083"/>
    </row>
    <row r="538">
      <c r="A538" s="1120"/>
      <c r="B538" s="1120"/>
      <c r="C538" s="1142"/>
      <c r="D538" s="1058"/>
      <c r="E538" s="1081"/>
      <c r="F538" s="1142"/>
      <c r="G538" s="1081"/>
      <c r="H538" s="1142"/>
      <c r="I538" s="1081"/>
      <c r="J538" s="1081"/>
      <c r="K538" s="1081"/>
      <c r="L538" s="1142"/>
      <c r="M538" s="1142"/>
      <c r="N538" s="1081"/>
      <c r="O538" s="1142"/>
      <c r="P538" s="1081"/>
      <c r="Q538" s="1142"/>
      <c r="R538" s="1081"/>
      <c r="S538" s="1142"/>
      <c r="T538" s="1142"/>
      <c r="U538" s="1142"/>
      <c r="V538" s="1142"/>
      <c r="W538" s="1142"/>
      <c r="X538" s="1142"/>
      <c r="Y538" s="1142"/>
    </row>
    <row r="539">
      <c r="A539" s="1140"/>
      <c r="B539" s="1140"/>
      <c r="C539" s="1083"/>
      <c r="D539" s="1058"/>
      <c r="E539" s="1092"/>
      <c r="F539" s="1083"/>
      <c r="G539" s="1092"/>
      <c r="H539" s="1083"/>
      <c r="I539" s="1092"/>
      <c r="J539" s="1092"/>
      <c r="K539" s="1092"/>
      <c r="L539" s="1083"/>
      <c r="M539" s="1083"/>
      <c r="N539" s="1092"/>
      <c r="O539" s="1083"/>
      <c r="P539" s="1092"/>
      <c r="Q539" s="1083"/>
      <c r="R539" s="1092"/>
      <c r="S539" s="1083"/>
      <c r="T539" s="1083"/>
      <c r="U539" s="1083"/>
      <c r="V539" s="1083"/>
      <c r="W539" s="1083"/>
      <c r="X539" s="1083"/>
      <c r="Y539" s="1083"/>
    </row>
    <row r="540">
      <c r="A540" s="1120"/>
      <c r="B540" s="1120"/>
      <c r="C540" s="1142"/>
      <c r="D540" s="1058"/>
      <c r="E540" s="1081"/>
      <c r="F540" s="1142"/>
      <c r="G540" s="1081"/>
      <c r="H540" s="1142"/>
      <c r="I540" s="1081"/>
      <c r="J540" s="1081"/>
      <c r="K540" s="1081"/>
      <c r="L540" s="1142"/>
      <c r="M540" s="1142"/>
      <c r="N540" s="1081"/>
      <c r="O540" s="1142"/>
      <c r="P540" s="1081"/>
      <c r="Q540" s="1142"/>
      <c r="R540" s="1081"/>
      <c r="S540" s="1142"/>
      <c r="T540" s="1142"/>
      <c r="U540" s="1142"/>
      <c r="V540" s="1142"/>
      <c r="W540" s="1142"/>
      <c r="X540" s="1142"/>
      <c r="Y540" s="1142"/>
    </row>
    <row r="541">
      <c r="A541" s="1140"/>
      <c r="B541" s="1140"/>
      <c r="C541" s="1083"/>
      <c r="D541" s="1058"/>
      <c r="E541" s="1092"/>
      <c r="F541" s="1083"/>
      <c r="G541" s="1092"/>
      <c r="H541" s="1083"/>
      <c r="I541" s="1092"/>
      <c r="J541" s="1092"/>
      <c r="K541" s="1092"/>
      <c r="L541" s="1083"/>
      <c r="M541" s="1083"/>
      <c r="N541" s="1092"/>
      <c r="O541" s="1083"/>
      <c r="P541" s="1092"/>
      <c r="Q541" s="1083"/>
      <c r="R541" s="1092"/>
      <c r="S541" s="1083"/>
      <c r="T541" s="1083"/>
      <c r="U541" s="1083"/>
      <c r="V541" s="1083"/>
      <c r="W541" s="1083"/>
      <c r="X541" s="1083"/>
      <c r="Y541" s="1083"/>
    </row>
    <row r="542">
      <c r="A542" s="1120"/>
      <c r="B542" s="1120"/>
      <c r="C542" s="1142"/>
      <c r="D542" s="1058"/>
      <c r="E542" s="1081"/>
      <c r="F542" s="1142"/>
      <c r="G542" s="1081"/>
      <c r="H542" s="1142"/>
      <c r="I542" s="1081"/>
      <c r="J542" s="1081"/>
      <c r="K542" s="1081"/>
      <c r="L542" s="1142"/>
      <c r="M542" s="1142"/>
      <c r="N542" s="1081"/>
      <c r="O542" s="1142"/>
      <c r="P542" s="1081"/>
      <c r="Q542" s="1142"/>
      <c r="R542" s="1081"/>
      <c r="S542" s="1142"/>
      <c r="T542" s="1142"/>
      <c r="U542" s="1142"/>
      <c r="V542" s="1142"/>
      <c r="W542" s="1142"/>
      <c r="X542" s="1142"/>
      <c r="Y542" s="1142"/>
    </row>
    <row r="543">
      <c r="A543" s="1140"/>
      <c r="B543" s="1140"/>
      <c r="C543" s="1083"/>
      <c r="D543" s="1058"/>
      <c r="E543" s="1092"/>
      <c r="F543" s="1083"/>
      <c r="G543" s="1092"/>
      <c r="H543" s="1083"/>
      <c r="I543" s="1092"/>
      <c r="J543" s="1092"/>
      <c r="K543" s="1092"/>
      <c r="L543" s="1083"/>
      <c r="M543" s="1083"/>
      <c r="N543" s="1092"/>
      <c r="O543" s="1083"/>
      <c r="P543" s="1092"/>
      <c r="Q543" s="1083"/>
      <c r="R543" s="1092"/>
      <c r="S543" s="1083"/>
      <c r="T543" s="1083"/>
      <c r="U543" s="1083"/>
      <c r="V543" s="1083"/>
      <c r="W543" s="1083"/>
      <c r="X543" s="1083"/>
      <c r="Y543" s="1083"/>
    </row>
    <row r="544">
      <c r="A544" s="1120"/>
      <c r="B544" s="1120"/>
      <c r="C544" s="1142"/>
      <c r="D544" s="1058"/>
      <c r="E544" s="1081"/>
      <c r="F544" s="1142"/>
      <c r="G544" s="1081"/>
      <c r="H544" s="1142"/>
      <c r="I544" s="1081"/>
      <c r="J544" s="1081"/>
      <c r="K544" s="1081"/>
      <c r="L544" s="1142"/>
      <c r="M544" s="1142"/>
      <c r="N544" s="1081"/>
      <c r="O544" s="1142"/>
      <c r="P544" s="1081"/>
      <c r="Q544" s="1142"/>
      <c r="R544" s="1081"/>
      <c r="S544" s="1142"/>
      <c r="T544" s="1142"/>
      <c r="U544" s="1142"/>
      <c r="V544" s="1142"/>
      <c r="W544" s="1142"/>
      <c r="X544" s="1142"/>
      <c r="Y544" s="1142"/>
    </row>
    <row r="545">
      <c r="A545" s="1140"/>
      <c r="B545" s="1140"/>
      <c r="C545" s="1083"/>
      <c r="D545" s="1058"/>
      <c r="E545" s="1092"/>
      <c r="F545" s="1083"/>
      <c r="G545" s="1092"/>
      <c r="H545" s="1083"/>
      <c r="I545" s="1092"/>
      <c r="J545" s="1092"/>
      <c r="K545" s="1092"/>
      <c r="L545" s="1083"/>
      <c r="M545" s="1083"/>
      <c r="N545" s="1092"/>
      <c r="O545" s="1083"/>
      <c r="P545" s="1092"/>
      <c r="Q545" s="1083"/>
      <c r="R545" s="1092"/>
      <c r="S545" s="1083"/>
      <c r="T545" s="1083"/>
      <c r="U545" s="1083"/>
      <c r="V545" s="1083"/>
      <c r="W545" s="1083"/>
      <c r="X545" s="1083"/>
      <c r="Y545" s="1083"/>
    </row>
    <row r="546">
      <c r="A546" s="1120"/>
      <c r="B546" s="1120"/>
      <c r="C546" s="1142"/>
      <c r="D546" s="1058"/>
      <c r="E546" s="1081"/>
      <c r="F546" s="1142"/>
      <c r="G546" s="1081"/>
      <c r="H546" s="1142"/>
      <c r="I546" s="1081"/>
      <c r="J546" s="1081"/>
      <c r="K546" s="1081"/>
      <c r="L546" s="1142"/>
      <c r="M546" s="1142"/>
      <c r="N546" s="1081"/>
      <c r="O546" s="1142"/>
      <c r="P546" s="1081"/>
      <c r="Q546" s="1142"/>
      <c r="R546" s="1081"/>
      <c r="S546" s="1142"/>
      <c r="T546" s="1142"/>
      <c r="U546" s="1142"/>
      <c r="V546" s="1142"/>
      <c r="W546" s="1142"/>
      <c r="X546" s="1142"/>
      <c r="Y546" s="1142"/>
    </row>
    <row r="547">
      <c r="A547" s="1140"/>
      <c r="B547" s="1140"/>
      <c r="C547" s="1083"/>
      <c r="D547" s="1058"/>
      <c r="E547" s="1092"/>
      <c r="F547" s="1083"/>
      <c r="G547" s="1092"/>
      <c r="H547" s="1083"/>
      <c r="I547" s="1092"/>
      <c r="J547" s="1092"/>
      <c r="K547" s="1092"/>
      <c r="L547" s="1083"/>
      <c r="M547" s="1083"/>
      <c r="N547" s="1092"/>
      <c r="O547" s="1083"/>
      <c r="P547" s="1092"/>
      <c r="Q547" s="1083"/>
      <c r="R547" s="1092"/>
      <c r="S547" s="1083"/>
      <c r="T547" s="1083"/>
      <c r="U547" s="1083"/>
      <c r="V547" s="1083"/>
      <c r="W547" s="1083"/>
      <c r="X547" s="1083"/>
      <c r="Y547" s="1083"/>
    </row>
    <row r="548">
      <c r="A548" s="1120"/>
      <c r="B548" s="1120"/>
      <c r="C548" s="1142"/>
      <c r="D548" s="1058"/>
      <c r="E548" s="1081"/>
      <c r="F548" s="1142"/>
      <c r="G548" s="1081"/>
      <c r="H548" s="1142"/>
      <c r="I548" s="1081"/>
      <c r="J548" s="1081"/>
      <c r="K548" s="1081"/>
      <c r="L548" s="1142"/>
      <c r="M548" s="1142"/>
      <c r="N548" s="1081"/>
      <c r="O548" s="1142"/>
      <c r="P548" s="1081"/>
      <c r="Q548" s="1142"/>
      <c r="R548" s="1081"/>
      <c r="S548" s="1142"/>
      <c r="T548" s="1142"/>
      <c r="U548" s="1142"/>
      <c r="V548" s="1142"/>
      <c r="W548" s="1142"/>
      <c r="X548" s="1142"/>
      <c r="Y548" s="1142"/>
    </row>
    <row r="549">
      <c r="A549" s="1140"/>
      <c r="B549" s="1140"/>
      <c r="C549" s="1083"/>
      <c r="D549" s="1058"/>
      <c r="E549" s="1092"/>
      <c r="F549" s="1083"/>
      <c r="G549" s="1092"/>
      <c r="H549" s="1083"/>
      <c r="I549" s="1092"/>
      <c r="J549" s="1092"/>
      <c r="K549" s="1092"/>
      <c r="L549" s="1083"/>
      <c r="M549" s="1083"/>
      <c r="N549" s="1092"/>
      <c r="O549" s="1083"/>
      <c r="P549" s="1092"/>
      <c r="Q549" s="1083"/>
      <c r="R549" s="1092"/>
      <c r="S549" s="1083"/>
      <c r="T549" s="1083"/>
      <c r="U549" s="1083"/>
      <c r="V549" s="1083"/>
      <c r="W549" s="1083"/>
      <c r="X549" s="1083"/>
      <c r="Y549" s="1083"/>
    </row>
    <row r="550">
      <c r="A550" s="1120"/>
      <c r="B550" s="1120"/>
      <c r="C550" s="1142"/>
      <c r="D550" s="1058"/>
      <c r="E550" s="1081"/>
      <c r="F550" s="1142"/>
      <c r="G550" s="1081"/>
      <c r="H550" s="1142"/>
      <c r="I550" s="1081"/>
      <c r="J550" s="1081"/>
      <c r="K550" s="1081"/>
      <c r="L550" s="1142"/>
      <c r="M550" s="1142"/>
      <c r="N550" s="1081"/>
      <c r="O550" s="1142"/>
      <c r="P550" s="1081"/>
      <c r="Q550" s="1142"/>
      <c r="R550" s="1081"/>
      <c r="S550" s="1142"/>
      <c r="T550" s="1142"/>
      <c r="U550" s="1142"/>
      <c r="V550" s="1142"/>
      <c r="W550" s="1142"/>
      <c r="X550" s="1142"/>
      <c r="Y550" s="1142"/>
    </row>
    <row r="551">
      <c r="A551" s="1140"/>
      <c r="B551" s="1140"/>
      <c r="C551" s="1083"/>
      <c r="D551" s="1058"/>
      <c r="E551" s="1092"/>
      <c r="F551" s="1083"/>
      <c r="G551" s="1092"/>
      <c r="H551" s="1083"/>
      <c r="I551" s="1092"/>
      <c r="J551" s="1092"/>
      <c r="K551" s="1092"/>
      <c r="L551" s="1083"/>
      <c r="M551" s="1083"/>
      <c r="N551" s="1092"/>
      <c r="O551" s="1083"/>
      <c r="P551" s="1092"/>
      <c r="Q551" s="1083"/>
      <c r="R551" s="1092"/>
      <c r="S551" s="1083"/>
      <c r="T551" s="1083"/>
      <c r="U551" s="1083"/>
      <c r="V551" s="1083"/>
      <c r="W551" s="1083"/>
      <c r="X551" s="1083"/>
      <c r="Y551" s="1083"/>
    </row>
    <row r="552">
      <c r="A552" s="1120"/>
      <c r="B552" s="1120"/>
      <c r="C552" s="1142"/>
      <c r="D552" s="1058"/>
      <c r="E552" s="1081"/>
      <c r="F552" s="1142"/>
      <c r="G552" s="1081"/>
      <c r="H552" s="1142"/>
      <c r="I552" s="1081"/>
      <c r="J552" s="1081"/>
      <c r="K552" s="1081"/>
      <c r="L552" s="1142"/>
      <c r="M552" s="1142"/>
      <c r="N552" s="1081"/>
      <c r="O552" s="1142"/>
      <c r="P552" s="1081"/>
      <c r="Q552" s="1142"/>
      <c r="R552" s="1081"/>
      <c r="S552" s="1142"/>
      <c r="T552" s="1142"/>
      <c r="U552" s="1142"/>
      <c r="V552" s="1142"/>
      <c r="W552" s="1142"/>
      <c r="X552" s="1142"/>
      <c r="Y552" s="1142"/>
    </row>
    <row r="553">
      <c r="A553" s="1140"/>
      <c r="B553" s="1140"/>
      <c r="C553" s="1083"/>
      <c r="D553" s="1058"/>
      <c r="E553" s="1092"/>
      <c r="F553" s="1083"/>
      <c r="G553" s="1092"/>
      <c r="H553" s="1083"/>
      <c r="I553" s="1092"/>
      <c r="J553" s="1092"/>
      <c r="K553" s="1092"/>
      <c r="L553" s="1083"/>
      <c r="M553" s="1083"/>
      <c r="N553" s="1092"/>
      <c r="O553" s="1083"/>
      <c r="P553" s="1092"/>
      <c r="Q553" s="1083"/>
      <c r="R553" s="1092"/>
      <c r="S553" s="1083"/>
      <c r="T553" s="1083"/>
      <c r="U553" s="1083"/>
      <c r="V553" s="1083"/>
      <c r="W553" s="1083"/>
      <c r="X553" s="1083"/>
      <c r="Y553" s="1083"/>
    </row>
    <row r="554">
      <c r="A554" s="1120"/>
      <c r="B554" s="1120"/>
      <c r="C554" s="1142"/>
      <c r="D554" s="1058"/>
      <c r="E554" s="1081"/>
      <c r="F554" s="1142"/>
      <c r="G554" s="1081"/>
      <c r="H554" s="1142"/>
      <c r="I554" s="1081"/>
      <c r="J554" s="1081"/>
      <c r="K554" s="1081"/>
      <c r="L554" s="1142"/>
      <c r="M554" s="1142"/>
      <c r="N554" s="1081"/>
      <c r="O554" s="1142"/>
      <c r="P554" s="1081"/>
      <c r="Q554" s="1142"/>
      <c r="R554" s="1081"/>
      <c r="S554" s="1142"/>
      <c r="T554" s="1142"/>
      <c r="U554" s="1142"/>
      <c r="V554" s="1142"/>
      <c r="W554" s="1142"/>
      <c r="X554" s="1142"/>
      <c r="Y554" s="1142"/>
    </row>
    <row r="555">
      <c r="A555" s="1140"/>
      <c r="B555" s="1140"/>
      <c r="C555" s="1083"/>
      <c r="D555" s="1058"/>
      <c r="E555" s="1092"/>
      <c r="F555" s="1083"/>
      <c r="G555" s="1092"/>
      <c r="H555" s="1083"/>
      <c r="I555" s="1092"/>
      <c r="J555" s="1092"/>
      <c r="K555" s="1092"/>
      <c r="L555" s="1083"/>
      <c r="M555" s="1083"/>
      <c r="N555" s="1092"/>
      <c r="O555" s="1083"/>
      <c r="P555" s="1092"/>
      <c r="Q555" s="1083"/>
      <c r="R555" s="1092"/>
      <c r="S555" s="1083"/>
      <c r="T555" s="1083"/>
      <c r="U555" s="1083"/>
      <c r="V555" s="1083"/>
      <c r="W555" s="1083"/>
      <c r="X555" s="1083"/>
      <c r="Y555" s="1083"/>
    </row>
    <row r="556">
      <c r="A556" s="1120"/>
      <c r="B556" s="1120"/>
      <c r="C556" s="1142"/>
      <c r="D556" s="1058"/>
      <c r="E556" s="1081"/>
      <c r="F556" s="1142"/>
      <c r="G556" s="1081"/>
      <c r="H556" s="1142"/>
      <c r="I556" s="1081"/>
      <c r="J556" s="1081"/>
      <c r="K556" s="1081"/>
      <c r="L556" s="1142"/>
      <c r="M556" s="1142"/>
      <c r="N556" s="1081"/>
      <c r="O556" s="1142"/>
      <c r="P556" s="1081"/>
      <c r="Q556" s="1142"/>
      <c r="R556" s="1081"/>
      <c r="S556" s="1142"/>
      <c r="T556" s="1142"/>
      <c r="U556" s="1142"/>
      <c r="V556" s="1142"/>
      <c r="W556" s="1142"/>
      <c r="X556" s="1142"/>
      <c r="Y556" s="1142"/>
    </row>
    <row r="557">
      <c r="A557" s="1140"/>
      <c r="B557" s="1140"/>
      <c r="C557" s="1083"/>
      <c r="D557" s="1058"/>
      <c r="E557" s="1092"/>
      <c r="F557" s="1083"/>
      <c r="G557" s="1092"/>
      <c r="H557" s="1083"/>
      <c r="I557" s="1092"/>
      <c r="J557" s="1092"/>
      <c r="K557" s="1092"/>
      <c r="L557" s="1083"/>
      <c r="M557" s="1083"/>
      <c r="N557" s="1092"/>
      <c r="O557" s="1083"/>
      <c r="P557" s="1092"/>
      <c r="Q557" s="1083"/>
      <c r="R557" s="1092"/>
      <c r="S557" s="1083"/>
      <c r="T557" s="1083"/>
      <c r="U557" s="1083"/>
      <c r="V557" s="1083"/>
      <c r="W557" s="1083"/>
      <c r="X557" s="1083"/>
      <c r="Y557" s="1083"/>
    </row>
    <row r="558">
      <c r="A558" s="1120"/>
      <c r="B558" s="1120"/>
      <c r="C558" s="1142"/>
      <c r="D558" s="1058"/>
      <c r="E558" s="1081"/>
      <c r="F558" s="1142"/>
      <c r="G558" s="1081"/>
      <c r="H558" s="1142"/>
      <c r="I558" s="1081"/>
      <c r="J558" s="1081"/>
      <c r="K558" s="1081"/>
      <c r="L558" s="1142"/>
      <c r="M558" s="1142"/>
      <c r="N558" s="1081"/>
      <c r="O558" s="1142"/>
      <c r="P558" s="1081"/>
      <c r="Q558" s="1142"/>
      <c r="R558" s="1081"/>
      <c r="S558" s="1142"/>
      <c r="T558" s="1142"/>
      <c r="U558" s="1142"/>
      <c r="V558" s="1142"/>
      <c r="W558" s="1142"/>
      <c r="X558" s="1142"/>
      <c r="Y558" s="1142"/>
    </row>
    <row r="559">
      <c r="A559" s="1140"/>
      <c r="B559" s="1140"/>
      <c r="C559" s="1083"/>
      <c r="D559" s="1058"/>
      <c r="E559" s="1092"/>
      <c r="F559" s="1083"/>
      <c r="G559" s="1092"/>
      <c r="H559" s="1083"/>
      <c r="I559" s="1092"/>
      <c r="J559" s="1092"/>
      <c r="K559" s="1092"/>
      <c r="L559" s="1083"/>
      <c r="M559" s="1083"/>
      <c r="N559" s="1092"/>
      <c r="O559" s="1083"/>
      <c r="P559" s="1092"/>
      <c r="Q559" s="1083"/>
      <c r="R559" s="1092"/>
      <c r="S559" s="1083"/>
      <c r="T559" s="1083"/>
      <c r="U559" s="1083"/>
      <c r="V559" s="1083"/>
      <c r="W559" s="1083"/>
      <c r="X559" s="1083"/>
      <c r="Y559" s="1083"/>
    </row>
    <row r="560">
      <c r="A560" s="1120"/>
      <c r="B560" s="1120"/>
      <c r="C560" s="1142"/>
      <c r="D560" s="1058"/>
      <c r="E560" s="1081"/>
      <c r="F560" s="1142"/>
      <c r="G560" s="1081"/>
      <c r="H560" s="1142"/>
      <c r="I560" s="1081"/>
      <c r="J560" s="1081"/>
      <c r="K560" s="1081"/>
      <c r="L560" s="1142"/>
      <c r="M560" s="1142"/>
      <c r="N560" s="1081"/>
      <c r="O560" s="1142"/>
      <c r="P560" s="1081"/>
      <c r="Q560" s="1142"/>
      <c r="R560" s="1081"/>
      <c r="S560" s="1142"/>
      <c r="T560" s="1142"/>
      <c r="U560" s="1142"/>
      <c r="V560" s="1142"/>
      <c r="W560" s="1142"/>
      <c r="X560" s="1142"/>
      <c r="Y560" s="1142"/>
    </row>
    <row r="561">
      <c r="A561" s="1140"/>
      <c r="B561" s="1140"/>
      <c r="C561" s="1083"/>
      <c r="D561" s="1058"/>
      <c r="E561" s="1092"/>
      <c r="F561" s="1083"/>
      <c r="G561" s="1092"/>
      <c r="H561" s="1083"/>
      <c r="I561" s="1092"/>
      <c r="J561" s="1092"/>
      <c r="K561" s="1092"/>
      <c r="L561" s="1083"/>
      <c r="M561" s="1083"/>
      <c r="N561" s="1092"/>
      <c r="O561" s="1083"/>
      <c r="P561" s="1092"/>
      <c r="Q561" s="1083"/>
      <c r="R561" s="1092"/>
      <c r="S561" s="1083"/>
      <c r="T561" s="1083"/>
      <c r="U561" s="1083"/>
      <c r="V561" s="1083"/>
      <c r="W561" s="1083"/>
      <c r="X561" s="1083"/>
      <c r="Y561" s="1083"/>
    </row>
    <row r="562">
      <c r="A562" s="1120"/>
      <c r="B562" s="1120"/>
      <c r="C562" s="1142"/>
      <c r="D562" s="1058"/>
      <c r="E562" s="1081"/>
      <c r="F562" s="1142"/>
      <c r="G562" s="1081"/>
      <c r="H562" s="1142"/>
      <c r="I562" s="1081"/>
      <c r="J562" s="1081"/>
      <c r="K562" s="1081"/>
      <c r="L562" s="1142"/>
      <c r="M562" s="1142"/>
      <c r="N562" s="1081"/>
      <c r="O562" s="1142"/>
      <c r="P562" s="1081"/>
      <c r="Q562" s="1142"/>
      <c r="R562" s="1081"/>
      <c r="S562" s="1142"/>
      <c r="T562" s="1142"/>
      <c r="U562" s="1142"/>
      <c r="V562" s="1142"/>
      <c r="W562" s="1142"/>
      <c r="X562" s="1142"/>
      <c r="Y562" s="1142"/>
    </row>
    <row r="563">
      <c r="A563" s="1140"/>
      <c r="B563" s="1140"/>
      <c r="C563" s="1083"/>
      <c r="D563" s="1058"/>
      <c r="E563" s="1092"/>
      <c r="F563" s="1083"/>
      <c r="G563" s="1092"/>
      <c r="H563" s="1083"/>
      <c r="I563" s="1092"/>
      <c r="J563" s="1092"/>
      <c r="K563" s="1092"/>
      <c r="L563" s="1083"/>
      <c r="M563" s="1083"/>
      <c r="N563" s="1092"/>
      <c r="O563" s="1083"/>
      <c r="P563" s="1092"/>
      <c r="Q563" s="1083"/>
      <c r="R563" s="1092"/>
      <c r="S563" s="1083"/>
      <c r="T563" s="1083"/>
      <c r="U563" s="1083"/>
      <c r="V563" s="1083"/>
      <c r="W563" s="1083"/>
      <c r="X563" s="1083"/>
      <c r="Y563" s="1083"/>
    </row>
    <row r="564">
      <c r="A564" s="1120"/>
      <c r="B564" s="1120"/>
      <c r="C564" s="1142"/>
      <c r="D564" s="1058"/>
      <c r="E564" s="1081"/>
      <c r="F564" s="1142"/>
      <c r="G564" s="1081"/>
      <c r="H564" s="1142"/>
      <c r="I564" s="1081"/>
      <c r="J564" s="1081"/>
      <c r="K564" s="1081"/>
      <c r="L564" s="1142"/>
      <c r="M564" s="1142"/>
      <c r="N564" s="1081"/>
      <c r="O564" s="1142"/>
      <c r="P564" s="1081"/>
      <c r="Q564" s="1142"/>
      <c r="R564" s="1081"/>
      <c r="S564" s="1142"/>
      <c r="T564" s="1142"/>
      <c r="U564" s="1142"/>
      <c r="V564" s="1142"/>
      <c r="W564" s="1142"/>
      <c r="X564" s="1142"/>
      <c r="Y564" s="1142"/>
    </row>
    <row r="565">
      <c r="A565" s="1140"/>
      <c r="B565" s="1140"/>
      <c r="C565" s="1083"/>
      <c r="D565" s="1058"/>
      <c r="E565" s="1092"/>
      <c r="F565" s="1083"/>
      <c r="G565" s="1092"/>
      <c r="H565" s="1083"/>
      <c r="I565" s="1092"/>
      <c r="J565" s="1092"/>
      <c r="K565" s="1092"/>
      <c r="L565" s="1083"/>
      <c r="M565" s="1083"/>
      <c r="N565" s="1092"/>
      <c r="O565" s="1083"/>
      <c r="P565" s="1092"/>
      <c r="Q565" s="1083"/>
      <c r="R565" s="1092"/>
      <c r="S565" s="1083"/>
      <c r="T565" s="1083"/>
      <c r="U565" s="1083"/>
      <c r="V565" s="1083"/>
      <c r="W565" s="1083"/>
      <c r="X565" s="1083"/>
      <c r="Y565" s="1083"/>
    </row>
    <row r="566">
      <c r="A566" s="1120"/>
      <c r="B566" s="1120"/>
      <c r="C566" s="1142"/>
      <c r="D566" s="1058"/>
      <c r="E566" s="1081"/>
      <c r="F566" s="1142"/>
      <c r="G566" s="1081"/>
      <c r="H566" s="1142"/>
      <c r="I566" s="1081"/>
      <c r="J566" s="1081"/>
      <c r="K566" s="1081"/>
      <c r="L566" s="1142"/>
      <c r="M566" s="1142"/>
      <c r="N566" s="1081"/>
      <c r="O566" s="1142"/>
      <c r="P566" s="1081"/>
      <c r="Q566" s="1142"/>
      <c r="R566" s="1081"/>
      <c r="S566" s="1142"/>
      <c r="T566" s="1142"/>
      <c r="U566" s="1142"/>
      <c r="V566" s="1142"/>
      <c r="W566" s="1142"/>
      <c r="X566" s="1142"/>
      <c r="Y566" s="1142"/>
    </row>
    <row r="567">
      <c r="A567" s="1140"/>
      <c r="B567" s="1140"/>
      <c r="C567" s="1083"/>
      <c r="D567" s="1058"/>
      <c r="E567" s="1092"/>
      <c r="F567" s="1083"/>
      <c r="G567" s="1092"/>
      <c r="H567" s="1083"/>
      <c r="I567" s="1092"/>
      <c r="J567" s="1092"/>
      <c r="K567" s="1092"/>
      <c r="L567" s="1083"/>
      <c r="M567" s="1083"/>
      <c r="N567" s="1092"/>
      <c r="O567" s="1083"/>
      <c r="P567" s="1092"/>
      <c r="Q567" s="1083"/>
      <c r="R567" s="1092"/>
      <c r="S567" s="1083"/>
      <c r="T567" s="1083"/>
      <c r="U567" s="1083"/>
      <c r="V567" s="1083"/>
      <c r="W567" s="1083"/>
      <c r="X567" s="1083"/>
      <c r="Y567" s="1083"/>
    </row>
    <row r="568">
      <c r="A568" s="1120"/>
      <c r="B568" s="1120"/>
      <c r="C568" s="1142"/>
      <c r="D568" s="1058"/>
      <c r="E568" s="1081"/>
      <c r="F568" s="1142"/>
      <c r="G568" s="1081"/>
      <c r="H568" s="1142"/>
      <c r="I568" s="1081"/>
      <c r="J568" s="1081"/>
      <c r="K568" s="1081"/>
      <c r="L568" s="1142"/>
      <c r="M568" s="1142"/>
      <c r="N568" s="1081"/>
      <c r="O568" s="1142"/>
      <c r="P568" s="1081"/>
      <c r="Q568" s="1142"/>
      <c r="R568" s="1081"/>
      <c r="S568" s="1142"/>
      <c r="T568" s="1142"/>
      <c r="U568" s="1142"/>
      <c r="V568" s="1142"/>
      <c r="W568" s="1142"/>
      <c r="X568" s="1142"/>
      <c r="Y568" s="1142"/>
    </row>
    <row r="569">
      <c r="A569" s="1140"/>
      <c r="B569" s="1140"/>
      <c r="C569" s="1083"/>
      <c r="D569" s="1058"/>
      <c r="E569" s="1092"/>
      <c r="F569" s="1083"/>
      <c r="G569" s="1092"/>
      <c r="H569" s="1083"/>
      <c r="I569" s="1092"/>
      <c r="J569" s="1092"/>
      <c r="K569" s="1092"/>
      <c r="L569" s="1083"/>
      <c r="M569" s="1083"/>
      <c r="N569" s="1092"/>
      <c r="O569" s="1083"/>
      <c r="P569" s="1092"/>
      <c r="Q569" s="1083"/>
      <c r="R569" s="1092"/>
      <c r="S569" s="1083"/>
      <c r="T569" s="1083"/>
      <c r="U569" s="1083"/>
      <c r="V569" s="1083"/>
      <c r="W569" s="1083"/>
      <c r="X569" s="1083"/>
      <c r="Y569" s="1083"/>
    </row>
    <row r="570">
      <c r="A570" s="1120"/>
      <c r="B570" s="1120"/>
      <c r="C570" s="1142"/>
      <c r="D570" s="1058"/>
      <c r="E570" s="1081"/>
      <c r="F570" s="1142"/>
      <c r="G570" s="1081"/>
      <c r="H570" s="1142"/>
      <c r="I570" s="1081"/>
      <c r="J570" s="1081"/>
      <c r="K570" s="1081"/>
      <c r="L570" s="1142"/>
      <c r="M570" s="1142"/>
      <c r="N570" s="1081"/>
      <c r="O570" s="1142"/>
      <c r="P570" s="1081"/>
      <c r="Q570" s="1142"/>
      <c r="R570" s="1081"/>
      <c r="S570" s="1142"/>
      <c r="T570" s="1142"/>
      <c r="U570" s="1142"/>
      <c r="V570" s="1142"/>
      <c r="W570" s="1142"/>
      <c r="X570" s="1142"/>
      <c r="Y570" s="1142"/>
    </row>
    <row r="571">
      <c r="A571" s="1140"/>
      <c r="B571" s="1140"/>
      <c r="C571" s="1083"/>
      <c r="D571" s="1058"/>
      <c r="E571" s="1092"/>
      <c r="F571" s="1083"/>
      <c r="G571" s="1092"/>
      <c r="H571" s="1083"/>
      <c r="I571" s="1092"/>
      <c r="J571" s="1092"/>
      <c r="K571" s="1092"/>
      <c r="L571" s="1083"/>
      <c r="M571" s="1083"/>
      <c r="N571" s="1092"/>
      <c r="O571" s="1083"/>
      <c r="P571" s="1092"/>
      <c r="Q571" s="1083"/>
      <c r="R571" s="1092"/>
      <c r="S571" s="1083"/>
      <c r="T571" s="1083"/>
      <c r="U571" s="1083"/>
      <c r="V571" s="1083"/>
      <c r="W571" s="1083"/>
      <c r="X571" s="1083"/>
      <c r="Y571" s="1083"/>
    </row>
    <row r="572">
      <c r="A572" s="1120"/>
      <c r="B572" s="1120"/>
      <c r="C572" s="1142"/>
      <c r="D572" s="1058"/>
      <c r="E572" s="1081"/>
      <c r="F572" s="1142"/>
      <c r="G572" s="1081"/>
      <c r="H572" s="1142"/>
      <c r="I572" s="1081"/>
      <c r="J572" s="1081"/>
      <c r="K572" s="1081"/>
      <c r="L572" s="1142"/>
      <c r="M572" s="1142"/>
      <c r="N572" s="1081"/>
      <c r="O572" s="1142"/>
      <c r="P572" s="1081"/>
      <c r="Q572" s="1142"/>
      <c r="R572" s="1081"/>
      <c r="S572" s="1142"/>
      <c r="T572" s="1142"/>
      <c r="U572" s="1142"/>
      <c r="V572" s="1142"/>
      <c r="W572" s="1142"/>
      <c r="X572" s="1142"/>
      <c r="Y572" s="1142"/>
    </row>
    <row r="573">
      <c r="A573" s="1140"/>
      <c r="B573" s="1140"/>
      <c r="C573" s="1083"/>
      <c r="D573" s="1058"/>
      <c r="E573" s="1092"/>
      <c r="F573" s="1083"/>
      <c r="G573" s="1092"/>
      <c r="H573" s="1083"/>
      <c r="I573" s="1092"/>
      <c r="J573" s="1092"/>
      <c r="K573" s="1092"/>
      <c r="L573" s="1083"/>
      <c r="M573" s="1083"/>
      <c r="N573" s="1092"/>
      <c r="O573" s="1083"/>
      <c r="P573" s="1092"/>
      <c r="Q573" s="1083"/>
      <c r="R573" s="1092"/>
      <c r="S573" s="1083"/>
      <c r="T573" s="1083"/>
      <c r="U573" s="1083"/>
      <c r="V573" s="1083"/>
      <c r="W573" s="1083"/>
      <c r="X573" s="1083"/>
      <c r="Y573" s="1083"/>
    </row>
    <row r="574">
      <c r="A574" s="1120"/>
      <c r="B574" s="1120"/>
      <c r="C574" s="1142"/>
      <c r="D574" s="1058"/>
      <c r="E574" s="1081"/>
      <c r="F574" s="1142"/>
      <c r="G574" s="1081"/>
      <c r="H574" s="1142"/>
      <c r="I574" s="1081"/>
      <c r="J574" s="1081"/>
      <c r="K574" s="1081"/>
      <c r="L574" s="1142"/>
      <c r="M574" s="1142"/>
      <c r="N574" s="1081"/>
      <c r="O574" s="1142"/>
      <c r="P574" s="1081"/>
      <c r="Q574" s="1142"/>
      <c r="R574" s="1081"/>
      <c r="S574" s="1142"/>
      <c r="T574" s="1142"/>
      <c r="U574" s="1142"/>
      <c r="V574" s="1142"/>
      <c r="W574" s="1142"/>
      <c r="X574" s="1142"/>
      <c r="Y574" s="1142"/>
    </row>
    <row r="575">
      <c r="A575" s="1140"/>
      <c r="B575" s="1140"/>
      <c r="C575" s="1083"/>
      <c r="D575" s="1058"/>
      <c r="E575" s="1092"/>
      <c r="F575" s="1083"/>
      <c r="G575" s="1092"/>
      <c r="H575" s="1083"/>
      <c r="I575" s="1092"/>
      <c r="J575" s="1092"/>
      <c r="K575" s="1092"/>
      <c r="L575" s="1083"/>
      <c r="M575" s="1083"/>
      <c r="N575" s="1092"/>
      <c r="O575" s="1083"/>
      <c r="P575" s="1092"/>
      <c r="Q575" s="1083"/>
      <c r="R575" s="1092"/>
      <c r="S575" s="1083"/>
      <c r="T575" s="1083"/>
      <c r="U575" s="1083"/>
      <c r="V575" s="1083"/>
      <c r="W575" s="1083"/>
      <c r="X575" s="1083"/>
      <c r="Y575" s="1083"/>
    </row>
    <row r="576">
      <c r="A576" s="1120"/>
      <c r="B576" s="1120"/>
      <c r="C576" s="1142"/>
      <c r="D576" s="1058"/>
      <c r="E576" s="1081"/>
      <c r="F576" s="1142"/>
      <c r="G576" s="1081"/>
      <c r="H576" s="1142"/>
      <c r="I576" s="1081"/>
      <c r="J576" s="1081"/>
      <c r="K576" s="1081"/>
      <c r="L576" s="1142"/>
      <c r="M576" s="1142"/>
      <c r="N576" s="1081"/>
      <c r="O576" s="1142"/>
      <c r="P576" s="1081"/>
      <c r="Q576" s="1142"/>
      <c r="R576" s="1081"/>
      <c r="S576" s="1142"/>
      <c r="T576" s="1142"/>
      <c r="U576" s="1142"/>
      <c r="V576" s="1142"/>
      <c r="W576" s="1142"/>
      <c r="X576" s="1142"/>
      <c r="Y576" s="1142"/>
    </row>
    <row r="577">
      <c r="A577" s="1140"/>
      <c r="B577" s="1140"/>
      <c r="C577" s="1083"/>
      <c r="D577" s="1058"/>
      <c r="E577" s="1092"/>
      <c r="F577" s="1083"/>
      <c r="G577" s="1092"/>
      <c r="H577" s="1083"/>
      <c r="I577" s="1092"/>
      <c r="J577" s="1092"/>
      <c r="K577" s="1092"/>
      <c r="L577" s="1083"/>
      <c r="M577" s="1083"/>
      <c r="N577" s="1092"/>
      <c r="O577" s="1083"/>
      <c r="P577" s="1092"/>
      <c r="Q577" s="1083"/>
      <c r="R577" s="1092"/>
      <c r="S577" s="1083"/>
      <c r="T577" s="1083"/>
      <c r="U577" s="1083"/>
      <c r="V577" s="1083"/>
      <c r="W577" s="1083"/>
      <c r="X577" s="1083"/>
      <c r="Y577" s="1083"/>
    </row>
    <row r="578">
      <c r="A578" s="1120"/>
      <c r="B578" s="1120"/>
      <c r="C578" s="1142"/>
      <c r="D578" s="1058"/>
      <c r="E578" s="1081"/>
      <c r="F578" s="1142"/>
      <c r="G578" s="1081"/>
      <c r="H578" s="1142"/>
      <c r="I578" s="1081"/>
      <c r="J578" s="1081"/>
      <c r="K578" s="1081"/>
      <c r="L578" s="1142"/>
      <c r="M578" s="1142"/>
      <c r="N578" s="1081"/>
      <c r="O578" s="1142"/>
      <c r="P578" s="1081"/>
      <c r="Q578" s="1142"/>
      <c r="R578" s="1081"/>
      <c r="S578" s="1142"/>
      <c r="T578" s="1142"/>
      <c r="U578" s="1142"/>
      <c r="V578" s="1142"/>
      <c r="W578" s="1142"/>
      <c r="X578" s="1142"/>
      <c r="Y578" s="1142"/>
    </row>
    <row r="579">
      <c r="A579" s="1140"/>
      <c r="B579" s="1140"/>
      <c r="C579" s="1083"/>
      <c r="D579" s="1058"/>
      <c r="E579" s="1092"/>
      <c r="F579" s="1083"/>
      <c r="G579" s="1092"/>
      <c r="H579" s="1083"/>
      <c r="I579" s="1092"/>
      <c r="J579" s="1092"/>
      <c r="K579" s="1092"/>
      <c r="L579" s="1083"/>
      <c r="M579" s="1083"/>
      <c r="N579" s="1092"/>
      <c r="O579" s="1083"/>
      <c r="P579" s="1092"/>
      <c r="Q579" s="1083"/>
      <c r="R579" s="1092"/>
      <c r="S579" s="1083"/>
      <c r="T579" s="1083"/>
      <c r="U579" s="1083"/>
      <c r="V579" s="1083"/>
      <c r="W579" s="1083"/>
      <c r="X579" s="1083"/>
      <c r="Y579" s="1083"/>
    </row>
    <row r="580">
      <c r="A580" s="1120"/>
      <c r="B580" s="1120"/>
      <c r="C580" s="1142"/>
      <c r="D580" s="1058"/>
      <c r="E580" s="1081"/>
      <c r="F580" s="1142"/>
      <c r="G580" s="1081"/>
      <c r="H580" s="1142"/>
      <c r="I580" s="1081"/>
      <c r="J580" s="1081"/>
      <c r="K580" s="1081"/>
      <c r="L580" s="1142"/>
      <c r="M580" s="1142"/>
      <c r="N580" s="1081"/>
      <c r="O580" s="1142"/>
      <c r="P580" s="1081"/>
      <c r="Q580" s="1142"/>
      <c r="R580" s="1081"/>
      <c r="S580" s="1142"/>
      <c r="T580" s="1142"/>
      <c r="U580" s="1142"/>
      <c r="V580" s="1142"/>
      <c r="W580" s="1142"/>
      <c r="X580" s="1142"/>
      <c r="Y580" s="1142"/>
    </row>
    <row r="581">
      <c r="A581" s="1140"/>
      <c r="B581" s="1140"/>
      <c r="C581" s="1083"/>
      <c r="D581" s="1058"/>
      <c r="E581" s="1092"/>
      <c r="F581" s="1083"/>
      <c r="G581" s="1092"/>
      <c r="H581" s="1083"/>
      <c r="I581" s="1092"/>
      <c r="J581" s="1092"/>
      <c r="K581" s="1092"/>
      <c r="L581" s="1083"/>
      <c r="M581" s="1083"/>
      <c r="N581" s="1092"/>
      <c r="O581" s="1083"/>
      <c r="P581" s="1092"/>
      <c r="Q581" s="1083"/>
      <c r="R581" s="1092"/>
      <c r="S581" s="1083"/>
      <c r="T581" s="1083"/>
      <c r="U581" s="1083"/>
      <c r="V581" s="1083"/>
      <c r="W581" s="1083"/>
      <c r="X581" s="1083"/>
      <c r="Y581" s="1083"/>
    </row>
    <row r="582">
      <c r="A582" s="1120"/>
      <c r="B582" s="1120"/>
      <c r="C582" s="1142"/>
      <c r="D582" s="1058"/>
      <c r="E582" s="1081"/>
      <c r="F582" s="1142"/>
      <c r="G582" s="1081"/>
      <c r="H582" s="1142"/>
      <c r="I582" s="1081"/>
      <c r="J582" s="1081"/>
      <c r="K582" s="1081"/>
      <c r="L582" s="1142"/>
      <c r="M582" s="1142"/>
      <c r="N582" s="1081"/>
      <c r="O582" s="1142"/>
      <c r="P582" s="1081"/>
      <c r="Q582" s="1142"/>
      <c r="R582" s="1081"/>
      <c r="S582" s="1142"/>
      <c r="T582" s="1142"/>
      <c r="U582" s="1142"/>
      <c r="V582" s="1142"/>
      <c r="W582" s="1142"/>
      <c r="X582" s="1142"/>
      <c r="Y582" s="1142"/>
    </row>
    <row r="583">
      <c r="A583" s="1140"/>
      <c r="B583" s="1140"/>
      <c r="C583" s="1083"/>
      <c r="D583" s="1058"/>
      <c r="E583" s="1092"/>
      <c r="F583" s="1083"/>
      <c r="G583" s="1092"/>
      <c r="H583" s="1083"/>
      <c r="I583" s="1092"/>
      <c r="J583" s="1092"/>
      <c r="K583" s="1092"/>
      <c r="L583" s="1083"/>
      <c r="M583" s="1083"/>
      <c r="N583" s="1092"/>
      <c r="O583" s="1083"/>
      <c r="P583" s="1092"/>
      <c r="Q583" s="1083"/>
      <c r="R583" s="1092"/>
      <c r="S583" s="1083"/>
      <c r="T583" s="1083"/>
      <c r="U583" s="1083"/>
      <c r="V583" s="1083"/>
      <c r="W583" s="1083"/>
      <c r="X583" s="1083"/>
      <c r="Y583" s="1083"/>
    </row>
    <row r="584">
      <c r="A584" s="1120"/>
      <c r="B584" s="1120"/>
      <c r="C584" s="1142"/>
      <c r="D584" s="1058"/>
      <c r="E584" s="1081"/>
      <c r="F584" s="1142"/>
      <c r="G584" s="1081"/>
      <c r="H584" s="1142"/>
      <c r="I584" s="1081"/>
      <c r="J584" s="1081"/>
      <c r="K584" s="1081"/>
      <c r="L584" s="1142"/>
      <c r="M584" s="1142"/>
      <c r="N584" s="1081"/>
      <c r="O584" s="1142"/>
      <c r="P584" s="1081"/>
      <c r="Q584" s="1142"/>
      <c r="R584" s="1081"/>
      <c r="S584" s="1142"/>
      <c r="T584" s="1142"/>
      <c r="U584" s="1142"/>
      <c r="V584" s="1142"/>
      <c r="W584" s="1142"/>
      <c r="X584" s="1142"/>
      <c r="Y584" s="1142"/>
    </row>
    <row r="585">
      <c r="A585" s="1140"/>
      <c r="B585" s="1140"/>
      <c r="C585" s="1083"/>
      <c r="D585" s="1058"/>
      <c r="E585" s="1092"/>
      <c r="F585" s="1083"/>
      <c r="G585" s="1092"/>
      <c r="H585" s="1083"/>
      <c r="I585" s="1092"/>
      <c r="J585" s="1092"/>
      <c r="K585" s="1092"/>
      <c r="L585" s="1083"/>
      <c r="M585" s="1083"/>
      <c r="N585" s="1092"/>
      <c r="O585" s="1083"/>
      <c r="P585" s="1092"/>
      <c r="Q585" s="1083"/>
      <c r="R585" s="1092"/>
      <c r="S585" s="1083"/>
      <c r="T585" s="1083"/>
      <c r="U585" s="1083"/>
      <c r="V585" s="1083"/>
      <c r="W585" s="1083"/>
      <c r="X585" s="1083"/>
      <c r="Y585" s="1083"/>
    </row>
    <row r="586">
      <c r="A586" s="1120"/>
      <c r="B586" s="1120"/>
      <c r="C586" s="1142"/>
      <c r="D586" s="1058"/>
      <c r="E586" s="1081"/>
      <c r="F586" s="1142"/>
      <c r="G586" s="1081"/>
      <c r="H586" s="1142"/>
      <c r="I586" s="1081"/>
      <c r="J586" s="1081"/>
      <c r="K586" s="1081"/>
      <c r="L586" s="1142"/>
      <c r="M586" s="1142"/>
      <c r="N586" s="1081"/>
      <c r="O586" s="1142"/>
      <c r="P586" s="1081"/>
      <c r="Q586" s="1142"/>
      <c r="R586" s="1081"/>
      <c r="S586" s="1142"/>
      <c r="T586" s="1142"/>
      <c r="U586" s="1142"/>
      <c r="V586" s="1142"/>
      <c r="W586" s="1142"/>
      <c r="X586" s="1142"/>
      <c r="Y586" s="1142"/>
    </row>
    <row r="587">
      <c r="A587" s="1140"/>
      <c r="B587" s="1140"/>
      <c r="C587" s="1083"/>
      <c r="D587" s="1058"/>
      <c r="E587" s="1092"/>
      <c r="F587" s="1083"/>
      <c r="G587" s="1092"/>
      <c r="H587" s="1083"/>
      <c r="I587" s="1092"/>
      <c r="J587" s="1092"/>
      <c r="K587" s="1092"/>
      <c r="L587" s="1083"/>
      <c r="M587" s="1083"/>
      <c r="N587" s="1092"/>
      <c r="O587" s="1083"/>
      <c r="P587" s="1092"/>
      <c r="Q587" s="1083"/>
      <c r="R587" s="1092"/>
      <c r="S587" s="1083"/>
      <c r="T587" s="1083"/>
      <c r="U587" s="1083"/>
      <c r="V587" s="1083"/>
      <c r="W587" s="1083"/>
      <c r="X587" s="1083"/>
      <c r="Y587" s="1083"/>
    </row>
    <row r="588">
      <c r="A588" s="1120"/>
      <c r="B588" s="1120"/>
      <c r="C588" s="1142"/>
      <c r="D588" s="1058"/>
      <c r="E588" s="1081"/>
      <c r="F588" s="1142"/>
      <c r="G588" s="1081"/>
      <c r="H588" s="1142"/>
      <c r="I588" s="1081"/>
      <c r="J588" s="1081"/>
      <c r="K588" s="1081"/>
      <c r="L588" s="1142"/>
      <c r="M588" s="1142"/>
      <c r="N588" s="1081"/>
      <c r="O588" s="1142"/>
      <c r="P588" s="1081"/>
      <c r="Q588" s="1142"/>
      <c r="R588" s="1081"/>
      <c r="S588" s="1142"/>
      <c r="T588" s="1142"/>
      <c r="U588" s="1142"/>
      <c r="V588" s="1142"/>
      <c r="W588" s="1142"/>
      <c r="X588" s="1142"/>
      <c r="Y588" s="1142"/>
    </row>
    <row r="589">
      <c r="A589" s="1140"/>
      <c r="B589" s="1140"/>
      <c r="C589" s="1083"/>
      <c r="D589" s="1058"/>
      <c r="E589" s="1092"/>
      <c r="F589" s="1083"/>
      <c r="G589" s="1092"/>
      <c r="H589" s="1083"/>
      <c r="I589" s="1092"/>
      <c r="J589" s="1092"/>
      <c r="K589" s="1092"/>
      <c r="L589" s="1083"/>
      <c r="M589" s="1083"/>
      <c r="N589" s="1092"/>
      <c r="O589" s="1083"/>
      <c r="P589" s="1092"/>
      <c r="Q589" s="1083"/>
      <c r="R589" s="1092"/>
      <c r="S589" s="1083"/>
      <c r="T589" s="1083"/>
      <c r="U589" s="1083"/>
      <c r="V589" s="1083"/>
      <c r="W589" s="1083"/>
      <c r="X589" s="1083"/>
      <c r="Y589" s="1083"/>
    </row>
    <row r="590">
      <c r="A590" s="1120"/>
      <c r="B590" s="1120"/>
      <c r="C590" s="1142"/>
      <c r="D590" s="1058"/>
      <c r="E590" s="1081"/>
      <c r="F590" s="1142"/>
      <c r="G590" s="1081"/>
      <c r="H590" s="1142"/>
      <c r="I590" s="1081"/>
      <c r="J590" s="1081"/>
      <c r="K590" s="1081"/>
      <c r="L590" s="1142"/>
      <c r="M590" s="1142"/>
      <c r="N590" s="1081"/>
      <c r="O590" s="1142"/>
      <c r="P590" s="1081"/>
      <c r="Q590" s="1142"/>
      <c r="R590" s="1081"/>
      <c r="S590" s="1142"/>
      <c r="T590" s="1142"/>
      <c r="U590" s="1142"/>
      <c r="V590" s="1142"/>
      <c r="W590" s="1142"/>
      <c r="X590" s="1142"/>
      <c r="Y590" s="1142"/>
    </row>
    <row r="591">
      <c r="A591" s="1140"/>
      <c r="B591" s="1140"/>
      <c r="C591" s="1083"/>
      <c r="D591" s="1058"/>
      <c r="E591" s="1092"/>
      <c r="F591" s="1083"/>
      <c r="G591" s="1092"/>
      <c r="H591" s="1083"/>
      <c r="I591" s="1092"/>
      <c r="J591" s="1092"/>
      <c r="K591" s="1092"/>
      <c r="L591" s="1083"/>
      <c r="M591" s="1083"/>
      <c r="N591" s="1092"/>
      <c r="O591" s="1083"/>
      <c r="P591" s="1092"/>
      <c r="Q591" s="1083"/>
      <c r="R591" s="1092"/>
      <c r="S591" s="1083"/>
      <c r="T591" s="1083"/>
      <c r="U591" s="1083"/>
      <c r="V591" s="1083"/>
      <c r="W591" s="1083"/>
      <c r="X591" s="1083"/>
      <c r="Y591" s="1083"/>
    </row>
    <row r="592">
      <c r="A592" s="1120"/>
      <c r="B592" s="1120"/>
      <c r="C592" s="1142"/>
      <c r="D592" s="1058"/>
      <c r="E592" s="1081"/>
      <c r="F592" s="1142"/>
      <c r="G592" s="1081"/>
      <c r="H592" s="1142"/>
      <c r="I592" s="1081"/>
      <c r="J592" s="1081"/>
      <c r="K592" s="1081"/>
      <c r="L592" s="1142"/>
      <c r="M592" s="1142"/>
      <c r="N592" s="1081"/>
      <c r="O592" s="1142"/>
      <c r="P592" s="1081"/>
      <c r="Q592" s="1142"/>
      <c r="R592" s="1081"/>
      <c r="S592" s="1142"/>
      <c r="T592" s="1142"/>
      <c r="U592" s="1142"/>
      <c r="V592" s="1142"/>
      <c r="W592" s="1142"/>
      <c r="X592" s="1142"/>
      <c r="Y592" s="1142"/>
    </row>
    <row r="593">
      <c r="A593" s="1140"/>
      <c r="B593" s="1140"/>
      <c r="C593" s="1083"/>
      <c r="D593" s="1058"/>
      <c r="E593" s="1092"/>
      <c r="F593" s="1083"/>
      <c r="G593" s="1092"/>
      <c r="H593" s="1083"/>
      <c r="I593" s="1092"/>
      <c r="J593" s="1092"/>
      <c r="K593" s="1092"/>
      <c r="L593" s="1083"/>
      <c r="M593" s="1083"/>
      <c r="N593" s="1092"/>
      <c r="O593" s="1083"/>
      <c r="P593" s="1092"/>
      <c r="Q593" s="1083"/>
      <c r="R593" s="1092"/>
      <c r="S593" s="1083"/>
      <c r="T593" s="1083"/>
      <c r="U593" s="1083"/>
      <c r="V593" s="1083"/>
      <c r="W593" s="1083"/>
      <c r="X593" s="1083"/>
      <c r="Y593" s="1083"/>
    </row>
    <row r="594">
      <c r="A594" s="1120"/>
      <c r="B594" s="1120"/>
      <c r="C594" s="1142"/>
      <c r="D594" s="1058"/>
      <c r="E594" s="1081"/>
      <c r="F594" s="1142"/>
      <c r="G594" s="1081"/>
      <c r="H594" s="1142"/>
      <c r="I594" s="1081"/>
      <c r="J594" s="1081"/>
      <c r="K594" s="1081"/>
      <c r="L594" s="1142"/>
      <c r="M594" s="1142"/>
      <c r="N594" s="1081"/>
      <c r="O594" s="1142"/>
      <c r="P594" s="1081"/>
      <c r="Q594" s="1142"/>
      <c r="R594" s="1081"/>
      <c r="S594" s="1142"/>
      <c r="T594" s="1142"/>
      <c r="U594" s="1142"/>
      <c r="V594" s="1142"/>
      <c r="W594" s="1142"/>
      <c r="X594" s="1142"/>
      <c r="Y594" s="1142"/>
    </row>
    <row r="595">
      <c r="A595" s="1140"/>
      <c r="B595" s="1140"/>
      <c r="C595" s="1083"/>
      <c r="D595" s="1058"/>
      <c r="E595" s="1092"/>
      <c r="F595" s="1083"/>
      <c r="G595" s="1092"/>
      <c r="H595" s="1083"/>
      <c r="I595" s="1092"/>
      <c r="J595" s="1092"/>
      <c r="K595" s="1092"/>
      <c r="L595" s="1083"/>
      <c r="M595" s="1083"/>
      <c r="N595" s="1092"/>
      <c r="O595" s="1083"/>
      <c r="P595" s="1092"/>
      <c r="Q595" s="1083"/>
      <c r="R595" s="1092"/>
      <c r="S595" s="1083"/>
      <c r="T595" s="1083"/>
      <c r="U595" s="1083"/>
      <c r="V595" s="1083"/>
      <c r="W595" s="1083"/>
      <c r="X595" s="1083"/>
      <c r="Y595" s="1083"/>
    </row>
    <row r="596">
      <c r="A596" s="1120"/>
      <c r="B596" s="1120"/>
      <c r="C596" s="1142"/>
      <c r="D596" s="1058"/>
      <c r="E596" s="1081"/>
      <c r="F596" s="1142"/>
      <c r="G596" s="1081"/>
      <c r="H596" s="1142"/>
      <c r="I596" s="1081"/>
      <c r="J596" s="1081"/>
      <c r="K596" s="1081"/>
      <c r="L596" s="1142"/>
      <c r="M596" s="1142"/>
      <c r="N596" s="1081"/>
      <c r="O596" s="1142"/>
      <c r="P596" s="1081"/>
      <c r="Q596" s="1142"/>
      <c r="R596" s="1081"/>
      <c r="S596" s="1142"/>
      <c r="T596" s="1142"/>
      <c r="U596" s="1142"/>
      <c r="V596" s="1142"/>
      <c r="W596" s="1142"/>
      <c r="X596" s="1142"/>
      <c r="Y596" s="1142"/>
    </row>
    <row r="597">
      <c r="A597" s="1140"/>
      <c r="B597" s="1140"/>
      <c r="C597" s="1083"/>
      <c r="D597" s="1058"/>
      <c r="E597" s="1092"/>
      <c r="F597" s="1083"/>
      <c r="G597" s="1092"/>
      <c r="H597" s="1083"/>
      <c r="I597" s="1092"/>
      <c r="J597" s="1092"/>
      <c r="K597" s="1092"/>
      <c r="L597" s="1083"/>
      <c r="M597" s="1083"/>
      <c r="N597" s="1092"/>
      <c r="O597" s="1083"/>
      <c r="P597" s="1092"/>
      <c r="Q597" s="1083"/>
      <c r="R597" s="1092"/>
      <c r="S597" s="1083"/>
      <c r="T597" s="1083"/>
      <c r="U597" s="1083"/>
      <c r="V597" s="1083"/>
      <c r="W597" s="1083"/>
      <c r="X597" s="1083"/>
      <c r="Y597" s="1083"/>
    </row>
    <row r="598">
      <c r="A598" s="1120"/>
      <c r="B598" s="1120"/>
      <c r="C598" s="1142"/>
      <c r="D598" s="1058"/>
      <c r="E598" s="1081"/>
      <c r="F598" s="1142"/>
      <c r="G598" s="1081"/>
      <c r="H598" s="1142"/>
      <c r="I598" s="1081"/>
      <c r="J598" s="1081"/>
      <c r="K598" s="1081"/>
      <c r="L598" s="1142"/>
      <c r="M598" s="1142"/>
      <c r="N598" s="1081"/>
      <c r="O598" s="1142"/>
      <c r="P598" s="1081"/>
      <c r="Q598" s="1142"/>
      <c r="R598" s="1081"/>
      <c r="S598" s="1142"/>
      <c r="T598" s="1142"/>
      <c r="U598" s="1142"/>
      <c r="V598" s="1142"/>
      <c r="W598" s="1142"/>
      <c r="X598" s="1142"/>
      <c r="Y598" s="1142"/>
    </row>
    <row r="599">
      <c r="A599" s="1140"/>
      <c r="B599" s="1140"/>
      <c r="C599" s="1083"/>
      <c r="D599" s="1058"/>
      <c r="E599" s="1092"/>
      <c r="F599" s="1083"/>
      <c r="G599" s="1092"/>
      <c r="H599" s="1083"/>
      <c r="I599" s="1092"/>
      <c r="J599" s="1092"/>
      <c r="K599" s="1092"/>
      <c r="L599" s="1083"/>
      <c r="M599" s="1083"/>
      <c r="N599" s="1092"/>
      <c r="O599" s="1083"/>
      <c r="P599" s="1092"/>
      <c r="Q599" s="1083"/>
      <c r="R599" s="1092"/>
      <c r="S599" s="1083"/>
      <c r="T599" s="1083"/>
      <c r="U599" s="1083"/>
      <c r="V599" s="1083"/>
      <c r="W599" s="1083"/>
      <c r="X599" s="1083"/>
      <c r="Y599" s="1083"/>
    </row>
    <row r="600">
      <c r="A600" s="1120"/>
      <c r="B600" s="1120"/>
      <c r="C600" s="1142"/>
      <c r="D600" s="1058"/>
      <c r="E600" s="1081"/>
      <c r="F600" s="1142"/>
      <c r="G600" s="1081"/>
      <c r="H600" s="1142"/>
      <c r="I600" s="1081"/>
      <c r="J600" s="1081"/>
      <c r="K600" s="1081"/>
      <c r="L600" s="1142"/>
      <c r="M600" s="1142"/>
      <c r="N600" s="1081"/>
      <c r="O600" s="1142"/>
      <c r="P600" s="1081"/>
      <c r="Q600" s="1142"/>
      <c r="R600" s="1081"/>
      <c r="S600" s="1142"/>
      <c r="T600" s="1142"/>
      <c r="U600" s="1142"/>
      <c r="V600" s="1142"/>
      <c r="W600" s="1142"/>
      <c r="X600" s="1142"/>
      <c r="Y600" s="1142"/>
    </row>
    <row r="601">
      <c r="A601" s="1140"/>
      <c r="B601" s="1140"/>
      <c r="C601" s="1083"/>
      <c r="D601" s="1058"/>
      <c r="E601" s="1092"/>
      <c r="F601" s="1083"/>
      <c r="G601" s="1092"/>
      <c r="H601" s="1083"/>
      <c r="I601" s="1092"/>
      <c r="J601" s="1092"/>
      <c r="K601" s="1092"/>
      <c r="L601" s="1083"/>
      <c r="M601" s="1083"/>
      <c r="N601" s="1092"/>
      <c r="O601" s="1083"/>
      <c r="P601" s="1092"/>
      <c r="Q601" s="1083"/>
      <c r="R601" s="1092"/>
      <c r="S601" s="1083"/>
      <c r="T601" s="1083"/>
      <c r="U601" s="1083"/>
      <c r="V601" s="1083"/>
      <c r="W601" s="1083"/>
      <c r="X601" s="1083"/>
      <c r="Y601" s="1083"/>
    </row>
    <row r="602">
      <c r="A602" s="1120"/>
      <c r="B602" s="1120"/>
      <c r="C602" s="1142"/>
      <c r="D602" s="1058"/>
      <c r="E602" s="1081"/>
      <c r="F602" s="1142"/>
      <c r="G602" s="1081"/>
      <c r="H602" s="1142"/>
      <c r="I602" s="1081"/>
      <c r="J602" s="1081"/>
      <c r="K602" s="1081"/>
      <c r="L602" s="1142"/>
      <c r="M602" s="1142"/>
      <c r="N602" s="1081"/>
      <c r="O602" s="1142"/>
      <c r="P602" s="1081"/>
      <c r="Q602" s="1142"/>
      <c r="R602" s="1081"/>
      <c r="S602" s="1142"/>
      <c r="T602" s="1142"/>
      <c r="U602" s="1142"/>
      <c r="V602" s="1142"/>
      <c r="W602" s="1142"/>
      <c r="X602" s="1142"/>
      <c r="Y602" s="1142"/>
    </row>
    <row r="603">
      <c r="A603" s="1140"/>
      <c r="B603" s="1140"/>
      <c r="C603" s="1083"/>
      <c r="D603" s="1058"/>
      <c r="E603" s="1092"/>
      <c r="F603" s="1083"/>
      <c r="G603" s="1092"/>
      <c r="H603" s="1083"/>
      <c r="I603" s="1092"/>
      <c r="J603" s="1092"/>
      <c r="K603" s="1092"/>
      <c r="L603" s="1083"/>
      <c r="M603" s="1083"/>
      <c r="N603" s="1092"/>
      <c r="O603" s="1083"/>
      <c r="P603" s="1092"/>
      <c r="Q603" s="1083"/>
      <c r="R603" s="1092"/>
      <c r="S603" s="1083"/>
      <c r="T603" s="1083"/>
      <c r="U603" s="1083"/>
      <c r="V603" s="1083"/>
      <c r="W603" s="1083"/>
      <c r="X603" s="1083"/>
      <c r="Y603" s="1083"/>
    </row>
    <row r="604">
      <c r="A604" s="1120"/>
      <c r="B604" s="1120"/>
      <c r="C604" s="1142"/>
      <c r="D604" s="1058"/>
      <c r="E604" s="1081"/>
      <c r="F604" s="1142"/>
      <c r="G604" s="1081"/>
      <c r="H604" s="1142"/>
      <c r="I604" s="1081"/>
      <c r="J604" s="1081"/>
      <c r="K604" s="1081"/>
      <c r="L604" s="1142"/>
      <c r="M604" s="1142"/>
      <c r="N604" s="1081"/>
      <c r="O604" s="1142"/>
      <c r="P604" s="1081"/>
      <c r="Q604" s="1142"/>
      <c r="R604" s="1081"/>
      <c r="S604" s="1142"/>
      <c r="T604" s="1142"/>
      <c r="U604" s="1142"/>
      <c r="V604" s="1142"/>
      <c r="W604" s="1142"/>
      <c r="X604" s="1142"/>
      <c r="Y604" s="1142"/>
    </row>
    <row r="605">
      <c r="A605" s="1140"/>
      <c r="B605" s="1140"/>
      <c r="C605" s="1083"/>
      <c r="D605" s="1058"/>
      <c r="E605" s="1092"/>
      <c r="F605" s="1083"/>
      <c r="G605" s="1092"/>
      <c r="H605" s="1083"/>
      <c r="I605" s="1092"/>
      <c r="J605" s="1092"/>
      <c r="K605" s="1092"/>
      <c r="L605" s="1083"/>
      <c r="M605" s="1083"/>
      <c r="N605" s="1092"/>
      <c r="O605" s="1083"/>
      <c r="P605" s="1092"/>
      <c r="Q605" s="1083"/>
      <c r="R605" s="1092"/>
      <c r="S605" s="1083"/>
      <c r="T605" s="1083"/>
      <c r="U605" s="1083"/>
      <c r="V605" s="1083"/>
      <c r="W605" s="1083"/>
      <c r="X605" s="1083"/>
      <c r="Y605" s="1083"/>
    </row>
    <row r="606">
      <c r="A606" s="1120"/>
      <c r="B606" s="1120"/>
      <c r="C606" s="1142"/>
      <c r="D606" s="1058"/>
      <c r="E606" s="1081"/>
      <c r="F606" s="1142"/>
      <c r="G606" s="1081"/>
      <c r="H606" s="1142"/>
      <c r="I606" s="1081"/>
      <c r="J606" s="1081"/>
      <c r="K606" s="1081"/>
      <c r="L606" s="1142"/>
      <c r="M606" s="1142"/>
      <c r="N606" s="1081"/>
      <c r="O606" s="1142"/>
      <c r="P606" s="1081"/>
      <c r="Q606" s="1142"/>
      <c r="R606" s="1081"/>
      <c r="S606" s="1142"/>
      <c r="T606" s="1142"/>
      <c r="U606" s="1142"/>
      <c r="V606" s="1142"/>
      <c r="W606" s="1142"/>
      <c r="X606" s="1142"/>
      <c r="Y606" s="1142"/>
    </row>
    <row r="607">
      <c r="A607" s="1140"/>
      <c r="B607" s="1140"/>
      <c r="C607" s="1083"/>
      <c r="D607" s="1058"/>
      <c r="E607" s="1092"/>
      <c r="F607" s="1083"/>
      <c r="G607" s="1092"/>
      <c r="H607" s="1083"/>
      <c r="I607" s="1092"/>
      <c r="J607" s="1092"/>
      <c r="K607" s="1092"/>
      <c r="L607" s="1083"/>
      <c r="M607" s="1083"/>
      <c r="N607" s="1092"/>
      <c r="O607" s="1083"/>
      <c r="P607" s="1092"/>
      <c r="Q607" s="1083"/>
      <c r="R607" s="1092"/>
      <c r="S607" s="1083"/>
      <c r="T607" s="1083"/>
      <c r="U607" s="1083"/>
      <c r="V607" s="1083"/>
      <c r="W607" s="1083"/>
      <c r="X607" s="1083"/>
      <c r="Y607" s="1083"/>
    </row>
    <row r="608">
      <c r="A608" s="1120"/>
      <c r="B608" s="1120"/>
      <c r="C608" s="1142"/>
      <c r="D608" s="1058"/>
      <c r="E608" s="1081"/>
      <c r="F608" s="1142"/>
      <c r="G608" s="1081"/>
      <c r="H608" s="1142"/>
      <c r="I608" s="1081"/>
      <c r="J608" s="1081"/>
      <c r="K608" s="1081"/>
      <c r="L608" s="1142"/>
      <c r="M608" s="1142"/>
      <c r="N608" s="1081"/>
      <c r="O608" s="1142"/>
      <c r="P608" s="1081"/>
      <c r="Q608" s="1142"/>
      <c r="R608" s="1081"/>
      <c r="S608" s="1142"/>
      <c r="T608" s="1142"/>
      <c r="U608" s="1142"/>
      <c r="V608" s="1142"/>
      <c r="W608" s="1142"/>
      <c r="X608" s="1142"/>
      <c r="Y608" s="1142"/>
    </row>
    <row r="609">
      <c r="A609" s="1140"/>
      <c r="B609" s="1140"/>
      <c r="C609" s="1083"/>
      <c r="D609" s="1058"/>
      <c r="E609" s="1092"/>
      <c r="F609" s="1083"/>
      <c r="G609" s="1092"/>
      <c r="H609" s="1083"/>
      <c r="I609" s="1092"/>
      <c r="J609" s="1092"/>
      <c r="K609" s="1092"/>
      <c r="L609" s="1083"/>
      <c r="M609" s="1083"/>
      <c r="N609" s="1092"/>
      <c r="O609" s="1083"/>
      <c r="P609" s="1092"/>
      <c r="Q609" s="1083"/>
      <c r="R609" s="1092"/>
      <c r="S609" s="1083"/>
      <c r="T609" s="1083"/>
      <c r="U609" s="1083"/>
      <c r="V609" s="1083"/>
      <c r="W609" s="1083"/>
      <c r="X609" s="1083"/>
      <c r="Y609" s="1083"/>
    </row>
    <row r="610">
      <c r="A610" s="1120"/>
      <c r="B610" s="1120"/>
      <c r="C610" s="1142"/>
      <c r="D610" s="1058"/>
      <c r="E610" s="1081"/>
      <c r="F610" s="1142"/>
      <c r="G610" s="1081"/>
      <c r="H610" s="1142"/>
      <c r="I610" s="1081"/>
      <c r="J610" s="1081"/>
      <c r="K610" s="1081"/>
      <c r="L610" s="1142"/>
      <c r="M610" s="1142"/>
      <c r="N610" s="1081"/>
      <c r="O610" s="1142"/>
      <c r="P610" s="1081"/>
      <c r="Q610" s="1142"/>
      <c r="R610" s="1081"/>
      <c r="S610" s="1142"/>
      <c r="T610" s="1142"/>
      <c r="U610" s="1142"/>
      <c r="V610" s="1142"/>
      <c r="W610" s="1142"/>
      <c r="X610" s="1142"/>
      <c r="Y610" s="1142"/>
    </row>
    <row r="611">
      <c r="A611" s="1140"/>
      <c r="B611" s="1140"/>
      <c r="C611" s="1083"/>
      <c r="D611" s="1058"/>
      <c r="E611" s="1092"/>
      <c r="F611" s="1083"/>
      <c r="G611" s="1092"/>
      <c r="H611" s="1083"/>
      <c r="I611" s="1092"/>
      <c r="J611" s="1092"/>
      <c r="K611" s="1092"/>
      <c r="L611" s="1083"/>
      <c r="M611" s="1083"/>
      <c r="N611" s="1092"/>
      <c r="O611" s="1083"/>
      <c r="P611" s="1092"/>
      <c r="Q611" s="1083"/>
      <c r="R611" s="1092"/>
      <c r="S611" s="1083"/>
      <c r="T611" s="1083"/>
      <c r="U611" s="1083"/>
      <c r="V611" s="1083"/>
      <c r="W611" s="1083"/>
      <c r="X611" s="1083"/>
      <c r="Y611" s="1083"/>
    </row>
    <row r="612">
      <c r="A612" s="1120"/>
      <c r="B612" s="1120"/>
      <c r="C612" s="1142"/>
      <c r="D612" s="1058"/>
      <c r="E612" s="1081"/>
      <c r="F612" s="1142"/>
      <c r="G612" s="1081"/>
      <c r="H612" s="1142"/>
      <c r="I612" s="1081"/>
      <c r="J612" s="1081"/>
      <c r="K612" s="1081"/>
      <c r="L612" s="1142"/>
      <c r="M612" s="1142"/>
      <c r="N612" s="1081"/>
      <c r="O612" s="1142"/>
      <c r="P612" s="1081"/>
      <c r="Q612" s="1142"/>
      <c r="R612" s="1081"/>
      <c r="S612" s="1142"/>
      <c r="T612" s="1142"/>
      <c r="U612" s="1142"/>
      <c r="V612" s="1142"/>
      <c r="W612" s="1142"/>
      <c r="X612" s="1142"/>
      <c r="Y612" s="1142"/>
    </row>
    <row r="613">
      <c r="A613" s="1140"/>
      <c r="B613" s="1140"/>
      <c r="C613" s="1083"/>
      <c r="D613" s="1058"/>
      <c r="E613" s="1092"/>
      <c r="F613" s="1083"/>
      <c r="G613" s="1092"/>
      <c r="H613" s="1083"/>
      <c r="I613" s="1092"/>
      <c r="J613" s="1092"/>
      <c r="K613" s="1092"/>
      <c r="L613" s="1083"/>
      <c r="M613" s="1083"/>
      <c r="N613" s="1092"/>
      <c r="O613" s="1083"/>
      <c r="P613" s="1092"/>
      <c r="Q613" s="1083"/>
      <c r="R613" s="1092"/>
      <c r="S613" s="1083"/>
      <c r="T613" s="1083"/>
      <c r="U613" s="1083"/>
      <c r="V613" s="1083"/>
      <c r="W613" s="1083"/>
      <c r="X613" s="1083"/>
      <c r="Y613" s="1083"/>
    </row>
    <row r="614">
      <c r="A614" s="1120"/>
      <c r="B614" s="1120"/>
      <c r="C614" s="1142"/>
      <c r="D614" s="1058"/>
      <c r="E614" s="1081"/>
      <c r="F614" s="1142"/>
      <c r="G614" s="1081"/>
      <c r="H614" s="1142"/>
      <c r="I614" s="1081"/>
      <c r="J614" s="1081"/>
      <c r="K614" s="1081"/>
      <c r="L614" s="1142"/>
      <c r="M614" s="1142"/>
      <c r="N614" s="1081"/>
      <c r="O614" s="1142"/>
      <c r="P614" s="1081"/>
      <c r="Q614" s="1142"/>
      <c r="R614" s="1081"/>
      <c r="S614" s="1142"/>
      <c r="T614" s="1142"/>
      <c r="U614" s="1142"/>
      <c r="V614" s="1142"/>
      <c r="W614" s="1142"/>
      <c r="X614" s="1142"/>
      <c r="Y614" s="1142"/>
    </row>
    <row r="615">
      <c r="A615" s="1140"/>
      <c r="B615" s="1140"/>
      <c r="C615" s="1083"/>
      <c r="D615" s="1058"/>
      <c r="E615" s="1092"/>
      <c r="F615" s="1083"/>
      <c r="G615" s="1092"/>
      <c r="H615" s="1083"/>
      <c r="I615" s="1092"/>
      <c r="J615" s="1092"/>
      <c r="K615" s="1092"/>
      <c r="L615" s="1083"/>
      <c r="M615" s="1083"/>
      <c r="N615" s="1092"/>
      <c r="O615" s="1083"/>
      <c r="P615" s="1092"/>
      <c r="Q615" s="1083"/>
      <c r="R615" s="1092"/>
      <c r="S615" s="1083"/>
      <c r="T615" s="1083"/>
      <c r="U615" s="1083"/>
      <c r="V615" s="1083"/>
      <c r="W615" s="1083"/>
      <c r="X615" s="1083"/>
      <c r="Y615" s="1083"/>
    </row>
    <row r="616">
      <c r="A616" s="1120"/>
      <c r="B616" s="1120"/>
      <c r="C616" s="1142"/>
      <c r="D616" s="1058"/>
      <c r="E616" s="1081"/>
      <c r="F616" s="1142"/>
      <c r="G616" s="1081"/>
      <c r="H616" s="1142"/>
      <c r="I616" s="1081"/>
      <c r="J616" s="1081"/>
      <c r="K616" s="1081"/>
      <c r="L616" s="1142"/>
      <c r="M616" s="1142"/>
      <c r="N616" s="1081"/>
      <c r="O616" s="1142"/>
      <c r="P616" s="1081"/>
      <c r="Q616" s="1142"/>
      <c r="R616" s="1081"/>
      <c r="S616" s="1142"/>
      <c r="T616" s="1142"/>
      <c r="U616" s="1142"/>
      <c r="V616" s="1142"/>
      <c r="W616" s="1142"/>
      <c r="X616" s="1142"/>
      <c r="Y616" s="1142"/>
    </row>
    <row r="617">
      <c r="A617" s="1140"/>
      <c r="B617" s="1140"/>
      <c r="C617" s="1083"/>
      <c r="D617" s="1058"/>
      <c r="E617" s="1092"/>
      <c r="F617" s="1083"/>
      <c r="G617" s="1092"/>
      <c r="H617" s="1083"/>
      <c r="I617" s="1092"/>
      <c r="J617" s="1092"/>
      <c r="K617" s="1092"/>
      <c r="L617" s="1083"/>
      <c r="M617" s="1083"/>
      <c r="N617" s="1092"/>
      <c r="O617" s="1083"/>
      <c r="P617" s="1092"/>
      <c r="Q617" s="1083"/>
      <c r="R617" s="1092"/>
      <c r="S617" s="1083"/>
      <c r="T617" s="1083"/>
      <c r="U617" s="1083"/>
      <c r="V617" s="1083"/>
      <c r="W617" s="1083"/>
      <c r="X617" s="1083"/>
      <c r="Y617" s="1083"/>
    </row>
    <row r="618">
      <c r="A618" s="1120"/>
      <c r="B618" s="1120"/>
      <c r="C618" s="1142"/>
      <c r="D618" s="1058"/>
      <c r="E618" s="1081"/>
      <c r="F618" s="1142"/>
      <c r="G618" s="1081"/>
      <c r="H618" s="1142"/>
      <c r="I618" s="1081"/>
      <c r="J618" s="1081"/>
      <c r="K618" s="1081"/>
      <c r="L618" s="1142"/>
      <c r="M618" s="1142"/>
      <c r="N618" s="1081"/>
      <c r="O618" s="1142"/>
      <c r="P618" s="1081"/>
      <c r="Q618" s="1142"/>
      <c r="R618" s="1081"/>
      <c r="S618" s="1142"/>
      <c r="T618" s="1142"/>
      <c r="U618" s="1142"/>
      <c r="V618" s="1142"/>
      <c r="W618" s="1142"/>
      <c r="X618" s="1142"/>
      <c r="Y618" s="1142"/>
    </row>
    <row r="619">
      <c r="A619" s="1140"/>
      <c r="B619" s="1140"/>
      <c r="C619" s="1083"/>
      <c r="D619" s="1058"/>
      <c r="E619" s="1092"/>
      <c r="F619" s="1083"/>
      <c r="G619" s="1092"/>
      <c r="H619" s="1083"/>
      <c r="I619" s="1092"/>
      <c r="J619" s="1092"/>
      <c r="K619" s="1092"/>
      <c r="L619" s="1083"/>
      <c r="M619" s="1083"/>
      <c r="N619" s="1092"/>
      <c r="O619" s="1083"/>
      <c r="P619" s="1092"/>
      <c r="Q619" s="1083"/>
      <c r="R619" s="1092"/>
      <c r="S619" s="1083"/>
      <c r="T619" s="1083"/>
      <c r="U619" s="1083"/>
      <c r="V619" s="1083"/>
      <c r="W619" s="1083"/>
      <c r="X619" s="1083"/>
      <c r="Y619" s="1083"/>
    </row>
    <row r="620">
      <c r="A620" s="1120"/>
      <c r="B620" s="1120"/>
      <c r="C620" s="1142"/>
      <c r="D620" s="1058"/>
      <c r="E620" s="1081"/>
      <c r="F620" s="1142"/>
      <c r="G620" s="1081"/>
      <c r="H620" s="1142"/>
      <c r="I620" s="1081"/>
      <c r="J620" s="1081"/>
      <c r="K620" s="1081"/>
      <c r="L620" s="1142"/>
      <c r="M620" s="1142"/>
      <c r="N620" s="1081"/>
      <c r="O620" s="1142"/>
      <c r="P620" s="1081"/>
      <c r="Q620" s="1142"/>
      <c r="R620" s="1081"/>
      <c r="S620" s="1142"/>
      <c r="T620" s="1142"/>
      <c r="U620" s="1142"/>
      <c r="V620" s="1142"/>
      <c r="W620" s="1142"/>
      <c r="X620" s="1142"/>
      <c r="Y620" s="1142"/>
    </row>
    <row r="621">
      <c r="A621" s="1140"/>
      <c r="B621" s="1140"/>
      <c r="C621" s="1083"/>
      <c r="D621" s="1058"/>
      <c r="E621" s="1092"/>
      <c r="F621" s="1083"/>
      <c r="G621" s="1092"/>
      <c r="H621" s="1083"/>
      <c r="I621" s="1092"/>
      <c r="J621" s="1092"/>
      <c r="K621" s="1092"/>
      <c r="L621" s="1083"/>
      <c r="M621" s="1083"/>
      <c r="N621" s="1092"/>
      <c r="O621" s="1083"/>
      <c r="P621" s="1092"/>
      <c r="Q621" s="1083"/>
      <c r="R621" s="1092"/>
      <c r="S621" s="1083"/>
      <c r="T621" s="1083"/>
      <c r="U621" s="1083"/>
      <c r="V621" s="1083"/>
      <c r="W621" s="1083"/>
      <c r="X621" s="1083"/>
      <c r="Y621" s="1083"/>
    </row>
    <row r="622">
      <c r="A622" s="1120"/>
      <c r="B622" s="1120"/>
      <c r="C622" s="1142"/>
      <c r="D622" s="1058"/>
      <c r="E622" s="1081"/>
      <c r="F622" s="1142"/>
      <c r="G622" s="1081"/>
      <c r="H622" s="1142"/>
      <c r="I622" s="1081"/>
      <c r="J622" s="1081"/>
      <c r="K622" s="1081"/>
      <c r="L622" s="1142"/>
      <c r="M622" s="1142"/>
      <c r="N622" s="1081"/>
      <c r="O622" s="1142"/>
      <c r="P622" s="1081"/>
      <c r="Q622" s="1142"/>
      <c r="R622" s="1081"/>
      <c r="S622" s="1142"/>
      <c r="T622" s="1142"/>
      <c r="U622" s="1142"/>
      <c r="V622" s="1142"/>
      <c r="W622" s="1142"/>
      <c r="X622" s="1142"/>
      <c r="Y622" s="1142"/>
    </row>
    <row r="623">
      <c r="A623" s="1140"/>
      <c r="B623" s="1140"/>
      <c r="C623" s="1083"/>
      <c r="D623" s="1058"/>
      <c r="E623" s="1092"/>
      <c r="F623" s="1083"/>
      <c r="G623" s="1092"/>
      <c r="H623" s="1083"/>
      <c r="I623" s="1092"/>
      <c r="J623" s="1092"/>
      <c r="K623" s="1092"/>
      <c r="L623" s="1083"/>
      <c r="M623" s="1083"/>
      <c r="N623" s="1092"/>
      <c r="O623" s="1083"/>
      <c r="P623" s="1092"/>
      <c r="Q623" s="1083"/>
      <c r="R623" s="1092"/>
      <c r="S623" s="1083"/>
      <c r="T623" s="1083"/>
      <c r="U623" s="1083"/>
      <c r="V623" s="1083"/>
      <c r="W623" s="1083"/>
      <c r="X623" s="1083"/>
      <c r="Y623" s="1083"/>
    </row>
    <row r="624">
      <c r="A624" s="1120"/>
      <c r="B624" s="1120"/>
      <c r="C624" s="1142"/>
      <c r="D624" s="1058"/>
      <c r="E624" s="1081"/>
      <c r="F624" s="1142"/>
      <c r="G624" s="1081"/>
      <c r="H624" s="1142"/>
      <c r="I624" s="1081"/>
      <c r="J624" s="1081"/>
      <c r="K624" s="1081"/>
      <c r="L624" s="1142"/>
      <c r="M624" s="1142"/>
      <c r="N624" s="1081"/>
      <c r="O624" s="1142"/>
      <c r="P624" s="1081"/>
      <c r="Q624" s="1142"/>
      <c r="R624" s="1081"/>
      <c r="S624" s="1142"/>
      <c r="T624" s="1142"/>
      <c r="U624" s="1142"/>
      <c r="V624" s="1142"/>
      <c r="W624" s="1142"/>
      <c r="X624" s="1142"/>
      <c r="Y624" s="1142"/>
    </row>
    <row r="625">
      <c r="A625" s="1140"/>
      <c r="B625" s="1140"/>
      <c r="C625" s="1083"/>
      <c r="D625" s="1058"/>
      <c r="E625" s="1092"/>
      <c r="F625" s="1083"/>
      <c r="G625" s="1092"/>
      <c r="H625" s="1083"/>
      <c r="I625" s="1092"/>
      <c r="J625" s="1092"/>
      <c r="K625" s="1092"/>
      <c r="L625" s="1083"/>
      <c r="M625" s="1083"/>
      <c r="N625" s="1092"/>
      <c r="O625" s="1083"/>
      <c r="P625" s="1092"/>
      <c r="Q625" s="1083"/>
      <c r="R625" s="1092"/>
      <c r="S625" s="1083"/>
      <c r="T625" s="1083"/>
      <c r="U625" s="1083"/>
      <c r="V625" s="1083"/>
      <c r="W625" s="1083"/>
      <c r="X625" s="1083"/>
      <c r="Y625" s="1083"/>
    </row>
    <row r="626">
      <c r="A626" s="1120"/>
      <c r="B626" s="1120"/>
      <c r="C626" s="1142"/>
      <c r="D626" s="1058"/>
      <c r="E626" s="1081"/>
      <c r="F626" s="1142"/>
      <c r="G626" s="1081"/>
      <c r="H626" s="1142"/>
      <c r="I626" s="1081"/>
      <c r="J626" s="1081"/>
      <c r="K626" s="1081"/>
      <c r="L626" s="1142"/>
      <c r="M626" s="1142"/>
      <c r="N626" s="1081"/>
      <c r="O626" s="1142"/>
      <c r="P626" s="1081"/>
      <c r="Q626" s="1142"/>
      <c r="R626" s="1081"/>
      <c r="S626" s="1142"/>
      <c r="T626" s="1142"/>
      <c r="U626" s="1142"/>
      <c r="V626" s="1142"/>
      <c r="W626" s="1142"/>
      <c r="X626" s="1142"/>
      <c r="Y626" s="1142"/>
    </row>
    <row r="627">
      <c r="A627" s="1140"/>
      <c r="B627" s="1140"/>
      <c r="C627" s="1083"/>
      <c r="D627" s="1058"/>
      <c r="E627" s="1092"/>
      <c r="F627" s="1083"/>
      <c r="G627" s="1092"/>
      <c r="H627" s="1083"/>
      <c r="I627" s="1092"/>
      <c r="J627" s="1092"/>
      <c r="K627" s="1092"/>
      <c r="L627" s="1083"/>
      <c r="M627" s="1083"/>
      <c r="N627" s="1092"/>
      <c r="O627" s="1083"/>
      <c r="P627" s="1092"/>
      <c r="Q627" s="1083"/>
      <c r="R627" s="1092"/>
      <c r="S627" s="1083"/>
      <c r="T627" s="1083"/>
      <c r="U627" s="1083"/>
      <c r="V627" s="1083"/>
      <c r="W627" s="1083"/>
      <c r="X627" s="1083"/>
      <c r="Y627" s="1083"/>
    </row>
    <row r="628">
      <c r="A628" s="1120"/>
      <c r="B628" s="1120"/>
      <c r="C628" s="1142"/>
      <c r="D628" s="1058"/>
      <c r="E628" s="1081"/>
      <c r="F628" s="1142"/>
      <c r="G628" s="1081"/>
      <c r="H628" s="1142"/>
      <c r="I628" s="1081"/>
      <c r="J628" s="1081"/>
      <c r="K628" s="1081"/>
      <c r="L628" s="1142"/>
      <c r="M628" s="1142"/>
      <c r="N628" s="1081"/>
      <c r="O628" s="1142"/>
      <c r="P628" s="1081"/>
      <c r="Q628" s="1142"/>
      <c r="R628" s="1081"/>
      <c r="S628" s="1142"/>
      <c r="T628" s="1142"/>
      <c r="U628" s="1142"/>
      <c r="V628" s="1142"/>
      <c r="W628" s="1142"/>
      <c r="X628" s="1142"/>
      <c r="Y628" s="1142"/>
    </row>
    <row r="629">
      <c r="A629" s="1140"/>
      <c r="B629" s="1140"/>
      <c r="C629" s="1083"/>
      <c r="D629" s="1058"/>
      <c r="E629" s="1092"/>
      <c r="F629" s="1083"/>
      <c r="G629" s="1092"/>
      <c r="H629" s="1083"/>
      <c r="I629" s="1092"/>
      <c r="J629" s="1092"/>
      <c r="K629" s="1092"/>
      <c r="L629" s="1083"/>
      <c r="M629" s="1083"/>
      <c r="N629" s="1092"/>
      <c r="O629" s="1083"/>
      <c r="P629" s="1092"/>
      <c r="Q629" s="1083"/>
      <c r="R629" s="1092"/>
      <c r="S629" s="1083"/>
      <c r="T629" s="1083"/>
      <c r="U629" s="1083"/>
      <c r="V629" s="1083"/>
      <c r="W629" s="1083"/>
      <c r="X629" s="1083"/>
      <c r="Y629" s="1083"/>
    </row>
    <row r="630">
      <c r="A630" s="1120"/>
      <c r="B630" s="1120"/>
      <c r="C630" s="1142"/>
      <c r="D630" s="1058"/>
      <c r="E630" s="1081"/>
      <c r="F630" s="1142"/>
      <c r="G630" s="1081"/>
      <c r="H630" s="1142"/>
      <c r="I630" s="1081"/>
      <c r="J630" s="1081"/>
      <c r="K630" s="1081"/>
      <c r="L630" s="1142"/>
      <c r="M630" s="1142"/>
      <c r="N630" s="1081"/>
      <c r="O630" s="1142"/>
      <c r="P630" s="1081"/>
      <c r="Q630" s="1142"/>
      <c r="R630" s="1081"/>
      <c r="S630" s="1142"/>
      <c r="T630" s="1142"/>
      <c r="U630" s="1142"/>
      <c r="V630" s="1142"/>
      <c r="W630" s="1142"/>
      <c r="X630" s="1142"/>
      <c r="Y630" s="1142"/>
    </row>
    <row r="631">
      <c r="A631" s="1140"/>
      <c r="B631" s="1140"/>
      <c r="C631" s="1083"/>
      <c r="D631" s="1058"/>
      <c r="E631" s="1092"/>
      <c r="F631" s="1083"/>
      <c r="G631" s="1092"/>
      <c r="H631" s="1083"/>
      <c r="I631" s="1092"/>
      <c r="J631" s="1092"/>
      <c r="K631" s="1092"/>
      <c r="L631" s="1083"/>
      <c r="M631" s="1083"/>
      <c r="N631" s="1092"/>
      <c r="O631" s="1083"/>
      <c r="P631" s="1092"/>
      <c r="Q631" s="1083"/>
      <c r="R631" s="1092"/>
      <c r="S631" s="1083"/>
      <c r="T631" s="1083"/>
      <c r="U631" s="1083"/>
      <c r="V631" s="1083"/>
      <c r="W631" s="1083"/>
      <c r="X631" s="1083"/>
      <c r="Y631" s="1083"/>
    </row>
    <row r="632">
      <c r="A632" s="1120"/>
      <c r="B632" s="1120"/>
      <c r="C632" s="1142"/>
      <c r="D632" s="1058"/>
      <c r="E632" s="1081"/>
      <c r="F632" s="1142"/>
      <c r="G632" s="1081"/>
      <c r="H632" s="1142"/>
      <c r="I632" s="1081"/>
      <c r="J632" s="1081"/>
      <c r="K632" s="1081"/>
      <c r="L632" s="1142"/>
      <c r="M632" s="1142"/>
      <c r="N632" s="1081"/>
      <c r="O632" s="1142"/>
      <c r="P632" s="1081"/>
      <c r="Q632" s="1142"/>
      <c r="R632" s="1081"/>
      <c r="S632" s="1142"/>
      <c r="T632" s="1142"/>
      <c r="U632" s="1142"/>
      <c r="V632" s="1142"/>
      <c r="W632" s="1142"/>
      <c r="X632" s="1142"/>
      <c r="Y632" s="1142"/>
    </row>
    <row r="633">
      <c r="A633" s="1140"/>
      <c r="B633" s="1140"/>
      <c r="C633" s="1083"/>
      <c r="D633" s="1058"/>
      <c r="E633" s="1092"/>
      <c r="F633" s="1083"/>
      <c r="G633" s="1092"/>
      <c r="H633" s="1083"/>
      <c r="I633" s="1092"/>
      <c r="J633" s="1092"/>
      <c r="K633" s="1092"/>
      <c r="L633" s="1083"/>
      <c r="M633" s="1083"/>
      <c r="N633" s="1092"/>
      <c r="O633" s="1083"/>
      <c r="P633" s="1092"/>
      <c r="Q633" s="1083"/>
      <c r="R633" s="1092"/>
      <c r="S633" s="1083"/>
      <c r="T633" s="1083"/>
      <c r="U633" s="1083"/>
      <c r="V633" s="1083"/>
      <c r="W633" s="1083"/>
      <c r="X633" s="1083"/>
      <c r="Y633" s="1083"/>
    </row>
    <row r="634">
      <c r="A634" s="1120"/>
      <c r="B634" s="1120"/>
      <c r="C634" s="1142"/>
      <c r="D634" s="1058"/>
      <c r="E634" s="1081"/>
      <c r="F634" s="1142"/>
      <c r="G634" s="1081"/>
      <c r="H634" s="1142"/>
      <c r="I634" s="1081"/>
      <c r="J634" s="1081"/>
      <c r="K634" s="1081"/>
      <c r="L634" s="1142"/>
      <c r="M634" s="1142"/>
      <c r="N634" s="1081"/>
      <c r="O634" s="1142"/>
      <c r="P634" s="1081"/>
      <c r="Q634" s="1142"/>
      <c r="R634" s="1081"/>
      <c r="S634" s="1142"/>
      <c r="T634" s="1142"/>
      <c r="U634" s="1142"/>
      <c r="V634" s="1142"/>
      <c r="W634" s="1142"/>
      <c r="X634" s="1142"/>
      <c r="Y634" s="1142"/>
    </row>
    <row r="635">
      <c r="A635" s="1140"/>
      <c r="B635" s="1140"/>
      <c r="C635" s="1083"/>
      <c r="D635" s="1058"/>
      <c r="E635" s="1092"/>
      <c r="F635" s="1083"/>
      <c r="G635" s="1092"/>
      <c r="H635" s="1083"/>
      <c r="I635" s="1092"/>
      <c r="J635" s="1092"/>
      <c r="K635" s="1092"/>
      <c r="L635" s="1083"/>
      <c r="M635" s="1083"/>
      <c r="N635" s="1092"/>
      <c r="O635" s="1083"/>
      <c r="P635" s="1092"/>
      <c r="Q635" s="1083"/>
      <c r="R635" s="1092"/>
      <c r="S635" s="1083"/>
      <c r="T635" s="1083"/>
      <c r="U635" s="1083"/>
      <c r="V635" s="1083"/>
      <c r="W635" s="1083"/>
      <c r="X635" s="1083"/>
      <c r="Y635" s="1083"/>
    </row>
    <row r="636">
      <c r="A636" s="1120"/>
      <c r="B636" s="1120"/>
      <c r="C636" s="1142"/>
      <c r="D636" s="1058"/>
      <c r="E636" s="1081"/>
      <c r="F636" s="1142"/>
      <c r="G636" s="1081"/>
      <c r="H636" s="1142"/>
      <c r="I636" s="1081"/>
      <c r="J636" s="1081"/>
      <c r="K636" s="1081"/>
      <c r="L636" s="1142"/>
      <c r="M636" s="1142"/>
      <c r="N636" s="1081"/>
      <c r="O636" s="1142"/>
      <c r="P636" s="1081"/>
      <c r="Q636" s="1142"/>
      <c r="R636" s="1081"/>
      <c r="S636" s="1142"/>
      <c r="T636" s="1142"/>
      <c r="U636" s="1142"/>
      <c r="V636" s="1142"/>
      <c r="W636" s="1142"/>
      <c r="X636" s="1142"/>
      <c r="Y636" s="1142"/>
    </row>
    <row r="637">
      <c r="A637" s="1140"/>
      <c r="B637" s="1140"/>
      <c r="C637" s="1083"/>
      <c r="D637" s="1058"/>
      <c r="E637" s="1092"/>
      <c r="F637" s="1083"/>
      <c r="G637" s="1092"/>
      <c r="H637" s="1083"/>
      <c r="I637" s="1092"/>
      <c r="J637" s="1092"/>
      <c r="K637" s="1092"/>
      <c r="L637" s="1083"/>
      <c r="M637" s="1083"/>
      <c r="N637" s="1092"/>
      <c r="O637" s="1083"/>
      <c r="P637" s="1092"/>
      <c r="Q637" s="1083"/>
      <c r="R637" s="1092"/>
      <c r="S637" s="1083"/>
      <c r="T637" s="1083"/>
      <c r="U637" s="1083"/>
      <c r="V637" s="1083"/>
      <c r="W637" s="1083"/>
      <c r="X637" s="1083"/>
      <c r="Y637" s="1083"/>
    </row>
    <row r="638">
      <c r="A638" s="1120"/>
      <c r="B638" s="1120"/>
      <c r="C638" s="1142"/>
      <c r="D638" s="1058"/>
      <c r="E638" s="1081"/>
      <c r="F638" s="1142"/>
      <c r="G638" s="1081"/>
      <c r="H638" s="1142"/>
      <c r="I638" s="1081"/>
      <c r="J638" s="1081"/>
      <c r="K638" s="1081"/>
      <c r="L638" s="1142"/>
      <c r="M638" s="1142"/>
      <c r="N638" s="1081"/>
      <c r="O638" s="1142"/>
      <c r="P638" s="1081"/>
      <c r="Q638" s="1142"/>
      <c r="R638" s="1081"/>
      <c r="S638" s="1142"/>
      <c r="T638" s="1142"/>
      <c r="U638" s="1142"/>
      <c r="V638" s="1142"/>
      <c r="W638" s="1142"/>
      <c r="X638" s="1142"/>
      <c r="Y638" s="1142"/>
    </row>
    <row r="639">
      <c r="A639" s="1140"/>
      <c r="B639" s="1140"/>
      <c r="C639" s="1083"/>
      <c r="D639" s="1058"/>
      <c r="E639" s="1092"/>
      <c r="F639" s="1083"/>
      <c r="G639" s="1092"/>
      <c r="H639" s="1083"/>
      <c r="I639" s="1092"/>
      <c r="J639" s="1092"/>
      <c r="K639" s="1092"/>
      <c r="L639" s="1083"/>
      <c r="M639" s="1083"/>
      <c r="N639" s="1092"/>
      <c r="O639" s="1083"/>
      <c r="P639" s="1092"/>
      <c r="Q639" s="1083"/>
      <c r="R639" s="1092"/>
      <c r="S639" s="1083"/>
      <c r="T639" s="1083"/>
      <c r="U639" s="1083"/>
      <c r="V639" s="1083"/>
      <c r="W639" s="1083"/>
      <c r="X639" s="1083"/>
      <c r="Y639" s="1083"/>
    </row>
    <row r="640">
      <c r="A640" s="1120"/>
      <c r="B640" s="1120"/>
      <c r="C640" s="1142"/>
      <c r="D640" s="1058"/>
      <c r="E640" s="1081"/>
      <c r="F640" s="1142"/>
      <c r="G640" s="1081"/>
      <c r="H640" s="1142"/>
      <c r="I640" s="1081"/>
      <c r="J640" s="1081"/>
      <c r="K640" s="1081"/>
      <c r="L640" s="1142"/>
      <c r="M640" s="1142"/>
      <c r="N640" s="1081"/>
      <c r="O640" s="1142"/>
      <c r="P640" s="1081"/>
      <c r="Q640" s="1142"/>
      <c r="R640" s="1081"/>
      <c r="S640" s="1142"/>
      <c r="T640" s="1142"/>
      <c r="U640" s="1142"/>
      <c r="V640" s="1142"/>
      <c r="W640" s="1142"/>
      <c r="X640" s="1142"/>
      <c r="Y640" s="1142"/>
    </row>
    <row r="641">
      <c r="A641" s="1140"/>
      <c r="B641" s="1140"/>
      <c r="C641" s="1083"/>
      <c r="D641" s="1058"/>
      <c r="E641" s="1092"/>
      <c r="F641" s="1083"/>
      <c r="G641" s="1092"/>
      <c r="H641" s="1083"/>
      <c r="I641" s="1092"/>
      <c r="J641" s="1092"/>
      <c r="K641" s="1092"/>
      <c r="L641" s="1083"/>
      <c r="M641" s="1083"/>
      <c r="N641" s="1092"/>
      <c r="O641" s="1083"/>
      <c r="P641" s="1092"/>
      <c r="Q641" s="1083"/>
      <c r="R641" s="1092"/>
      <c r="S641" s="1083"/>
      <c r="T641" s="1083"/>
      <c r="U641" s="1083"/>
      <c r="V641" s="1083"/>
      <c r="W641" s="1083"/>
      <c r="X641" s="1083"/>
      <c r="Y641" s="1083"/>
    </row>
    <row r="642">
      <c r="A642" s="1120"/>
      <c r="B642" s="1120"/>
      <c r="C642" s="1142"/>
      <c r="D642" s="1058"/>
      <c r="E642" s="1081"/>
      <c r="F642" s="1142"/>
      <c r="G642" s="1081"/>
      <c r="H642" s="1142"/>
      <c r="I642" s="1081"/>
      <c r="J642" s="1081"/>
      <c r="K642" s="1081"/>
      <c r="L642" s="1142"/>
      <c r="M642" s="1142"/>
      <c r="N642" s="1081"/>
      <c r="O642" s="1142"/>
      <c r="P642" s="1081"/>
      <c r="Q642" s="1142"/>
      <c r="R642" s="1081"/>
      <c r="S642" s="1142"/>
      <c r="T642" s="1142"/>
      <c r="U642" s="1142"/>
      <c r="V642" s="1142"/>
      <c r="W642" s="1142"/>
      <c r="X642" s="1142"/>
      <c r="Y642" s="1142"/>
    </row>
    <row r="643">
      <c r="A643" s="1140"/>
      <c r="B643" s="1140"/>
      <c r="C643" s="1083"/>
      <c r="D643" s="1058"/>
      <c r="E643" s="1092"/>
      <c r="F643" s="1083"/>
      <c r="G643" s="1092"/>
      <c r="H643" s="1083"/>
      <c r="I643" s="1092"/>
      <c r="J643" s="1092"/>
      <c r="K643" s="1092"/>
      <c r="L643" s="1083"/>
      <c r="M643" s="1083"/>
      <c r="N643" s="1092"/>
      <c r="O643" s="1083"/>
      <c r="P643" s="1092"/>
      <c r="Q643" s="1083"/>
      <c r="R643" s="1092"/>
      <c r="S643" s="1083"/>
      <c r="T643" s="1083"/>
      <c r="U643" s="1083"/>
      <c r="V643" s="1083"/>
      <c r="W643" s="1083"/>
      <c r="X643" s="1083"/>
      <c r="Y643" s="1083"/>
    </row>
    <row r="644">
      <c r="A644" s="1120"/>
      <c r="B644" s="1120"/>
      <c r="C644" s="1142"/>
      <c r="D644" s="1058"/>
      <c r="E644" s="1081"/>
      <c r="F644" s="1142"/>
      <c r="G644" s="1081"/>
      <c r="H644" s="1142"/>
      <c r="I644" s="1081"/>
      <c r="J644" s="1081"/>
      <c r="K644" s="1081"/>
      <c r="L644" s="1142"/>
      <c r="M644" s="1142"/>
      <c r="N644" s="1081"/>
      <c r="O644" s="1142"/>
      <c r="P644" s="1081"/>
      <c r="Q644" s="1142"/>
      <c r="R644" s="1081"/>
      <c r="S644" s="1142"/>
      <c r="T644" s="1142"/>
      <c r="U644" s="1142"/>
      <c r="V644" s="1142"/>
      <c r="W644" s="1142"/>
      <c r="X644" s="1142"/>
      <c r="Y644" s="1142"/>
    </row>
    <row r="645">
      <c r="A645" s="1140"/>
      <c r="B645" s="1140"/>
      <c r="C645" s="1083"/>
      <c r="D645" s="1058"/>
      <c r="E645" s="1092"/>
      <c r="F645" s="1083"/>
      <c r="G645" s="1092"/>
      <c r="H645" s="1083"/>
      <c r="I645" s="1092"/>
      <c r="J645" s="1092"/>
      <c r="K645" s="1092"/>
      <c r="L645" s="1083"/>
      <c r="M645" s="1083"/>
      <c r="N645" s="1092"/>
      <c r="O645" s="1083"/>
      <c r="P645" s="1092"/>
      <c r="Q645" s="1083"/>
      <c r="R645" s="1092"/>
      <c r="S645" s="1083"/>
      <c r="T645" s="1083"/>
      <c r="U645" s="1083"/>
      <c r="V645" s="1083"/>
      <c r="W645" s="1083"/>
      <c r="X645" s="1083"/>
      <c r="Y645" s="1083"/>
    </row>
    <row r="646">
      <c r="A646" s="1120"/>
      <c r="B646" s="1120"/>
      <c r="C646" s="1142"/>
      <c r="D646" s="1058"/>
      <c r="E646" s="1081"/>
      <c r="F646" s="1142"/>
      <c r="G646" s="1081"/>
      <c r="H646" s="1142"/>
      <c r="I646" s="1081"/>
      <c r="J646" s="1081"/>
      <c r="K646" s="1081"/>
      <c r="L646" s="1142"/>
      <c r="M646" s="1142"/>
      <c r="N646" s="1081"/>
      <c r="O646" s="1142"/>
      <c r="P646" s="1081"/>
      <c r="Q646" s="1142"/>
      <c r="R646" s="1081"/>
      <c r="S646" s="1142"/>
      <c r="T646" s="1142"/>
      <c r="U646" s="1142"/>
      <c r="V646" s="1142"/>
      <c r="W646" s="1142"/>
      <c r="X646" s="1142"/>
      <c r="Y646" s="1142"/>
    </row>
    <row r="647">
      <c r="A647" s="1140"/>
      <c r="B647" s="1140"/>
      <c r="C647" s="1083"/>
      <c r="D647" s="1058"/>
      <c r="E647" s="1092"/>
      <c r="F647" s="1083"/>
      <c r="G647" s="1092"/>
      <c r="H647" s="1083"/>
      <c r="I647" s="1092"/>
      <c r="J647" s="1092"/>
      <c r="K647" s="1092"/>
      <c r="L647" s="1083"/>
      <c r="M647" s="1083"/>
      <c r="N647" s="1092"/>
      <c r="O647" s="1083"/>
      <c r="P647" s="1092"/>
      <c r="Q647" s="1083"/>
      <c r="R647" s="1092"/>
      <c r="S647" s="1083"/>
      <c r="T647" s="1083"/>
      <c r="U647" s="1083"/>
      <c r="V647" s="1083"/>
      <c r="W647" s="1083"/>
      <c r="X647" s="1083"/>
      <c r="Y647" s="1083"/>
    </row>
    <row r="648">
      <c r="A648" s="1120"/>
      <c r="B648" s="1120"/>
      <c r="C648" s="1142"/>
      <c r="D648" s="1058"/>
      <c r="E648" s="1081"/>
      <c r="F648" s="1142"/>
      <c r="G648" s="1081"/>
      <c r="H648" s="1142"/>
      <c r="I648" s="1081"/>
      <c r="J648" s="1081"/>
      <c r="K648" s="1081"/>
      <c r="L648" s="1142"/>
      <c r="M648" s="1142"/>
      <c r="N648" s="1081"/>
      <c r="O648" s="1142"/>
      <c r="P648" s="1081"/>
      <c r="Q648" s="1142"/>
      <c r="R648" s="1081"/>
      <c r="S648" s="1142"/>
      <c r="T648" s="1142"/>
      <c r="U648" s="1142"/>
      <c r="V648" s="1142"/>
      <c r="W648" s="1142"/>
      <c r="X648" s="1142"/>
      <c r="Y648" s="1142"/>
    </row>
    <row r="649">
      <c r="A649" s="1140"/>
      <c r="B649" s="1140"/>
      <c r="C649" s="1083"/>
      <c r="D649" s="1058"/>
      <c r="E649" s="1092"/>
      <c r="F649" s="1083"/>
      <c r="G649" s="1092"/>
      <c r="H649" s="1083"/>
      <c r="I649" s="1092"/>
      <c r="J649" s="1092"/>
      <c r="K649" s="1092"/>
      <c r="L649" s="1083"/>
      <c r="M649" s="1083"/>
      <c r="N649" s="1092"/>
      <c r="O649" s="1083"/>
      <c r="P649" s="1092"/>
      <c r="Q649" s="1083"/>
      <c r="R649" s="1092"/>
      <c r="S649" s="1083"/>
      <c r="T649" s="1083"/>
      <c r="U649" s="1083"/>
      <c r="V649" s="1083"/>
      <c r="W649" s="1083"/>
      <c r="X649" s="1083"/>
      <c r="Y649" s="1083"/>
    </row>
    <row r="650">
      <c r="A650" s="1120"/>
      <c r="B650" s="1120"/>
      <c r="C650" s="1142"/>
      <c r="D650" s="1058"/>
      <c r="E650" s="1081"/>
      <c r="F650" s="1142"/>
      <c r="G650" s="1081"/>
      <c r="H650" s="1142"/>
      <c r="I650" s="1081"/>
      <c r="J650" s="1081"/>
      <c r="K650" s="1081"/>
      <c r="L650" s="1142"/>
      <c r="M650" s="1142"/>
      <c r="N650" s="1081"/>
      <c r="O650" s="1142"/>
      <c r="P650" s="1081"/>
      <c r="Q650" s="1142"/>
      <c r="R650" s="1081"/>
      <c r="S650" s="1142"/>
      <c r="T650" s="1142"/>
      <c r="U650" s="1142"/>
      <c r="V650" s="1142"/>
      <c r="W650" s="1142"/>
      <c r="X650" s="1142"/>
      <c r="Y650" s="1142"/>
    </row>
    <row r="651">
      <c r="A651" s="1140"/>
      <c r="B651" s="1140"/>
      <c r="C651" s="1083"/>
      <c r="D651" s="1058"/>
      <c r="E651" s="1092"/>
      <c r="F651" s="1083"/>
      <c r="G651" s="1092"/>
      <c r="H651" s="1083"/>
      <c r="I651" s="1092"/>
      <c r="J651" s="1092"/>
      <c r="K651" s="1092"/>
      <c r="L651" s="1083"/>
      <c r="M651" s="1083"/>
      <c r="N651" s="1092"/>
      <c r="O651" s="1083"/>
      <c r="P651" s="1092"/>
      <c r="Q651" s="1083"/>
      <c r="R651" s="1092"/>
      <c r="S651" s="1083"/>
      <c r="T651" s="1083"/>
      <c r="U651" s="1083"/>
      <c r="V651" s="1083"/>
      <c r="W651" s="1083"/>
      <c r="X651" s="1083"/>
      <c r="Y651" s="1083"/>
    </row>
    <row r="652">
      <c r="A652" s="1120"/>
      <c r="B652" s="1120"/>
      <c r="C652" s="1142"/>
      <c r="D652" s="1058"/>
      <c r="E652" s="1081"/>
      <c r="F652" s="1142"/>
      <c r="G652" s="1081"/>
      <c r="H652" s="1142"/>
      <c r="I652" s="1081"/>
      <c r="J652" s="1081"/>
      <c r="K652" s="1081"/>
      <c r="L652" s="1142"/>
      <c r="M652" s="1142"/>
      <c r="N652" s="1081"/>
      <c r="O652" s="1142"/>
      <c r="P652" s="1081"/>
      <c r="Q652" s="1142"/>
      <c r="R652" s="1081"/>
      <c r="S652" s="1142"/>
      <c r="T652" s="1142"/>
      <c r="U652" s="1142"/>
      <c r="V652" s="1142"/>
      <c r="W652" s="1142"/>
      <c r="X652" s="1142"/>
      <c r="Y652" s="1142"/>
    </row>
    <row r="653">
      <c r="A653" s="1140"/>
      <c r="B653" s="1140"/>
      <c r="C653" s="1083"/>
      <c r="D653" s="1058"/>
      <c r="E653" s="1092"/>
      <c r="F653" s="1083"/>
      <c r="G653" s="1092"/>
      <c r="H653" s="1083"/>
      <c r="I653" s="1092"/>
      <c r="J653" s="1092"/>
      <c r="K653" s="1092"/>
      <c r="L653" s="1083"/>
      <c r="M653" s="1083"/>
      <c r="N653" s="1092"/>
      <c r="O653" s="1083"/>
      <c r="P653" s="1092"/>
      <c r="Q653" s="1083"/>
      <c r="R653" s="1092"/>
      <c r="S653" s="1083"/>
      <c r="T653" s="1083"/>
      <c r="U653" s="1083"/>
      <c r="V653" s="1083"/>
      <c r="W653" s="1083"/>
      <c r="X653" s="1083"/>
      <c r="Y653" s="1083"/>
    </row>
    <row r="654">
      <c r="A654" s="1120"/>
      <c r="B654" s="1120"/>
      <c r="C654" s="1142"/>
      <c r="D654" s="1058"/>
      <c r="E654" s="1081"/>
      <c r="F654" s="1142"/>
      <c r="G654" s="1081"/>
      <c r="H654" s="1142"/>
      <c r="I654" s="1081"/>
      <c r="J654" s="1081"/>
      <c r="K654" s="1081"/>
      <c r="L654" s="1142"/>
      <c r="M654" s="1142"/>
      <c r="N654" s="1081"/>
      <c r="O654" s="1142"/>
      <c r="P654" s="1081"/>
      <c r="Q654" s="1142"/>
      <c r="R654" s="1081"/>
      <c r="S654" s="1142"/>
      <c r="T654" s="1142"/>
      <c r="U654" s="1142"/>
      <c r="V654" s="1142"/>
      <c r="W654" s="1142"/>
      <c r="X654" s="1142"/>
      <c r="Y654" s="1142"/>
    </row>
    <row r="655">
      <c r="A655" s="1140"/>
      <c r="B655" s="1140"/>
      <c r="C655" s="1083"/>
      <c r="D655" s="1058"/>
      <c r="E655" s="1092"/>
      <c r="F655" s="1083"/>
      <c r="G655" s="1092"/>
      <c r="H655" s="1083"/>
      <c r="I655" s="1092"/>
      <c r="J655" s="1092"/>
      <c r="K655" s="1092"/>
      <c r="L655" s="1083"/>
      <c r="M655" s="1083"/>
      <c r="N655" s="1092"/>
      <c r="O655" s="1083"/>
      <c r="P655" s="1092"/>
      <c r="Q655" s="1083"/>
      <c r="R655" s="1092"/>
      <c r="S655" s="1083"/>
      <c r="T655" s="1083"/>
      <c r="U655" s="1083"/>
      <c r="V655" s="1083"/>
      <c r="W655" s="1083"/>
      <c r="X655" s="1083"/>
      <c r="Y655" s="1083"/>
    </row>
    <row r="656">
      <c r="A656" s="1120"/>
      <c r="B656" s="1120"/>
      <c r="C656" s="1142"/>
      <c r="D656" s="1058"/>
      <c r="E656" s="1081"/>
      <c r="F656" s="1142"/>
      <c r="G656" s="1081"/>
      <c r="H656" s="1142"/>
      <c r="I656" s="1081"/>
      <c r="J656" s="1081"/>
      <c r="K656" s="1081"/>
      <c r="L656" s="1142"/>
      <c r="M656" s="1142"/>
      <c r="N656" s="1081"/>
      <c r="O656" s="1142"/>
      <c r="P656" s="1081"/>
      <c r="Q656" s="1142"/>
      <c r="R656" s="1081"/>
      <c r="S656" s="1142"/>
      <c r="T656" s="1142"/>
      <c r="U656" s="1142"/>
      <c r="V656" s="1142"/>
      <c r="W656" s="1142"/>
      <c r="X656" s="1142"/>
      <c r="Y656" s="1142"/>
    </row>
    <row r="657">
      <c r="A657" s="1140"/>
      <c r="B657" s="1140"/>
      <c r="C657" s="1083"/>
      <c r="D657" s="1058"/>
      <c r="E657" s="1092"/>
      <c r="F657" s="1083"/>
      <c r="G657" s="1092"/>
      <c r="H657" s="1083"/>
      <c r="I657" s="1092"/>
      <c r="J657" s="1092"/>
      <c r="K657" s="1092"/>
      <c r="L657" s="1083"/>
      <c r="M657" s="1083"/>
      <c r="N657" s="1092"/>
      <c r="O657" s="1083"/>
      <c r="P657" s="1092"/>
      <c r="Q657" s="1083"/>
      <c r="R657" s="1092"/>
      <c r="S657" s="1083"/>
      <c r="T657" s="1083"/>
      <c r="U657" s="1083"/>
      <c r="V657" s="1083"/>
      <c r="W657" s="1083"/>
      <c r="X657" s="1083"/>
      <c r="Y657" s="1083"/>
    </row>
    <row r="658">
      <c r="A658" s="1120"/>
      <c r="B658" s="1120"/>
      <c r="C658" s="1142"/>
      <c r="D658" s="1058"/>
      <c r="E658" s="1081"/>
      <c r="F658" s="1142"/>
      <c r="G658" s="1081"/>
      <c r="H658" s="1142"/>
      <c r="I658" s="1081"/>
      <c r="J658" s="1081"/>
      <c r="K658" s="1081"/>
      <c r="L658" s="1142"/>
      <c r="M658" s="1142"/>
      <c r="N658" s="1081"/>
      <c r="O658" s="1142"/>
      <c r="P658" s="1081"/>
      <c r="Q658" s="1142"/>
      <c r="R658" s="1081"/>
      <c r="S658" s="1142"/>
      <c r="T658" s="1142"/>
      <c r="U658" s="1142"/>
      <c r="V658" s="1142"/>
      <c r="W658" s="1142"/>
      <c r="X658" s="1142"/>
      <c r="Y658" s="1142"/>
    </row>
    <row r="659">
      <c r="A659" s="1140"/>
      <c r="B659" s="1140"/>
      <c r="C659" s="1083"/>
      <c r="D659" s="1058"/>
      <c r="E659" s="1092"/>
      <c r="F659" s="1083"/>
      <c r="G659" s="1092"/>
      <c r="H659" s="1083"/>
      <c r="I659" s="1092"/>
      <c r="J659" s="1092"/>
      <c r="K659" s="1092"/>
      <c r="L659" s="1083"/>
      <c r="M659" s="1083"/>
      <c r="N659" s="1092"/>
      <c r="O659" s="1083"/>
      <c r="P659" s="1092"/>
      <c r="Q659" s="1083"/>
      <c r="R659" s="1092"/>
      <c r="S659" s="1083"/>
      <c r="T659" s="1083"/>
      <c r="U659" s="1083"/>
      <c r="V659" s="1083"/>
      <c r="W659" s="1083"/>
      <c r="X659" s="1083"/>
      <c r="Y659" s="1083"/>
    </row>
    <row r="660">
      <c r="A660" s="1120"/>
      <c r="B660" s="1120"/>
      <c r="C660" s="1142"/>
      <c r="D660" s="1058"/>
      <c r="E660" s="1081"/>
      <c r="F660" s="1142"/>
      <c r="G660" s="1081"/>
      <c r="H660" s="1142"/>
      <c r="I660" s="1081"/>
      <c r="J660" s="1081"/>
      <c r="K660" s="1081"/>
      <c r="L660" s="1142"/>
      <c r="M660" s="1142"/>
      <c r="N660" s="1081"/>
      <c r="O660" s="1142"/>
      <c r="P660" s="1081"/>
      <c r="Q660" s="1142"/>
      <c r="R660" s="1081"/>
      <c r="S660" s="1142"/>
      <c r="T660" s="1142"/>
      <c r="U660" s="1142"/>
      <c r="V660" s="1142"/>
      <c r="W660" s="1142"/>
      <c r="X660" s="1142"/>
      <c r="Y660" s="1142"/>
    </row>
    <row r="661">
      <c r="A661" s="1140"/>
      <c r="B661" s="1140"/>
      <c r="C661" s="1083"/>
      <c r="D661" s="1058"/>
      <c r="E661" s="1092"/>
      <c r="F661" s="1083"/>
      <c r="G661" s="1092"/>
      <c r="H661" s="1083"/>
      <c r="I661" s="1092"/>
      <c r="J661" s="1092"/>
      <c r="K661" s="1092"/>
      <c r="L661" s="1083"/>
      <c r="M661" s="1083"/>
      <c r="N661" s="1092"/>
      <c r="O661" s="1083"/>
      <c r="P661" s="1092"/>
      <c r="Q661" s="1083"/>
      <c r="R661" s="1092"/>
      <c r="S661" s="1083"/>
      <c r="T661" s="1083"/>
      <c r="U661" s="1083"/>
      <c r="V661" s="1083"/>
      <c r="W661" s="1083"/>
      <c r="X661" s="1083"/>
      <c r="Y661" s="1083"/>
    </row>
    <row r="662">
      <c r="A662" s="1120"/>
      <c r="B662" s="1120"/>
      <c r="C662" s="1142"/>
      <c r="D662" s="1058"/>
      <c r="E662" s="1081"/>
      <c r="F662" s="1142"/>
      <c r="G662" s="1081"/>
      <c r="H662" s="1142"/>
      <c r="I662" s="1081"/>
      <c r="J662" s="1081"/>
      <c r="K662" s="1081"/>
      <c r="L662" s="1142"/>
      <c r="M662" s="1142"/>
      <c r="N662" s="1081"/>
      <c r="O662" s="1142"/>
      <c r="P662" s="1081"/>
      <c r="Q662" s="1142"/>
      <c r="R662" s="1081"/>
      <c r="S662" s="1142"/>
      <c r="T662" s="1142"/>
      <c r="U662" s="1142"/>
      <c r="V662" s="1142"/>
      <c r="W662" s="1142"/>
      <c r="X662" s="1142"/>
      <c r="Y662" s="1142"/>
    </row>
    <row r="663">
      <c r="A663" s="1140"/>
      <c r="B663" s="1140"/>
      <c r="C663" s="1083"/>
      <c r="D663" s="1058"/>
      <c r="E663" s="1092"/>
      <c r="F663" s="1083"/>
      <c r="G663" s="1092"/>
      <c r="H663" s="1083"/>
      <c r="I663" s="1092"/>
      <c r="J663" s="1092"/>
      <c r="K663" s="1092"/>
      <c r="L663" s="1083"/>
      <c r="M663" s="1083"/>
      <c r="N663" s="1092"/>
      <c r="O663" s="1083"/>
      <c r="P663" s="1092"/>
      <c r="Q663" s="1083"/>
      <c r="R663" s="1092"/>
      <c r="S663" s="1083"/>
      <c r="T663" s="1083"/>
      <c r="U663" s="1083"/>
      <c r="V663" s="1083"/>
      <c r="W663" s="1083"/>
      <c r="X663" s="1083"/>
      <c r="Y663" s="1083"/>
    </row>
    <row r="664">
      <c r="A664" s="1120"/>
      <c r="B664" s="1120"/>
      <c r="C664" s="1142"/>
      <c r="D664" s="1058"/>
      <c r="E664" s="1081"/>
      <c r="F664" s="1142"/>
      <c r="G664" s="1081"/>
      <c r="H664" s="1142"/>
      <c r="I664" s="1081"/>
      <c r="J664" s="1081"/>
      <c r="K664" s="1081"/>
      <c r="L664" s="1142"/>
      <c r="M664" s="1142"/>
      <c r="N664" s="1081"/>
      <c r="O664" s="1142"/>
      <c r="P664" s="1081"/>
      <c r="Q664" s="1142"/>
      <c r="R664" s="1081"/>
      <c r="S664" s="1142"/>
      <c r="T664" s="1142"/>
      <c r="U664" s="1142"/>
      <c r="V664" s="1142"/>
      <c r="W664" s="1142"/>
      <c r="X664" s="1142"/>
      <c r="Y664" s="1142"/>
    </row>
    <row r="665">
      <c r="A665" s="1140"/>
      <c r="B665" s="1140"/>
      <c r="C665" s="1083"/>
      <c r="D665" s="1058"/>
      <c r="E665" s="1092"/>
      <c r="F665" s="1083"/>
      <c r="G665" s="1092"/>
      <c r="H665" s="1083"/>
      <c r="I665" s="1092"/>
      <c r="J665" s="1092"/>
      <c r="K665" s="1092"/>
      <c r="L665" s="1083"/>
      <c r="M665" s="1083"/>
      <c r="N665" s="1092"/>
      <c r="O665" s="1083"/>
      <c r="P665" s="1092"/>
      <c r="Q665" s="1083"/>
      <c r="R665" s="1092"/>
      <c r="S665" s="1083"/>
      <c r="T665" s="1083"/>
      <c r="U665" s="1083"/>
      <c r="V665" s="1083"/>
      <c r="W665" s="1083"/>
      <c r="X665" s="1083"/>
      <c r="Y665" s="1083"/>
    </row>
    <row r="666">
      <c r="A666" s="1120"/>
      <c r="B666" s="1120"/>
      <c r="C666" s="1142"/>
      <c r="D666" s="1058"/>
      <c r="E666" s="1081"/>
      <c r="F666" s="1142"/>
      <c r="G666" s="1081"/>
      <c r="H666" s="1142"/>
      <c r="I666" s="1081"/>
      <c r="J666" s="1081"/>
      <c r="K666" s="1081"/>
      <c r="L666" s="1142"/>
      <c r="M666" s="1142"/>
      <c r="N666" s="1081"/>
      <c r="O666" s="1142"/>
      <c r="P666" s="1081"/>
      <c r="Q666" s="1142"/>
      <c r="R666" s="1081"/>
      <c r="S666" s="1142"/>
      <c r="T666" s="1142"/>
      <c r="U666" s="1142"/>
      <c r="V666" s="1142"/>
      <c r="W666" s="1142"/>
      <c r="X666" s="1142"/>
      <c r="Y666" s="1142"/>
    </row>
    <row r="667">
      <c r="A667" s="1140"/>
      <c r="B667" s="1140"/>
      <c r="C667" s="1083"/>
      <c r="D667" s="1058"/>
      <c r="E667" s="1092"/>
      <c r="F667" s="1083"/>
      <c r="G667" s="1092"/>
      <c r="H667" s="1083"/>
      <c r="I667" s="1092"/>
      <c r="J667" s="1092"/>
      <c r="K667" s="1092"/>
      <c r="L667" s="1083"/>
      <c r="M667" s="1083"/>
      <c r="N667" s="1092"/>
      <c r="O667" s="1083"/>
      <c r="P667" s="1092"/>
      <c r="Q667" s="1083"/>
      <c r="R667" s="1092"/>
      <c r="S667" s="1083"/>
      <c r="T667" s="1083"/>
      <c r="U667" s="1083"/>
      <c r="V667" s="1083"/>
      <c r="W667" s="1083"/>
      <c r="X667" s="1083"/>
      <c r="Y667" s="1083"/>
    </row>
    <row r="668">
      <c r="A668" s="1120"/>
      <c r="B668" s="1120"/>
      <c r="C668" s="1142"/>
      <c r="D668" s="1058"/>
      <c r="E668" s="1081"/>
      <c r="F668" s="1142"/>
      <c r="G668" s="1081"/>
      <c r="H668" s="1142"/>
      <c r="I668" s="1081"/>
      <c r="J668" s="1081"/>
      <c r="K668" s="1081"/>
      <c r="L668" s="1142"/>
      <c r="M668" s="1142"/>
      <c r="N668" s="1081"/>
      <c r="O668" s="1142"/>
      <c r="P668" s="1081"/>
      <c r="Q668" s="1142"/>
      <c r="R668" s="1081"/>
      <c r="S668" s="1142"/>
      <c r="T668" s="1142"/>
      <c r="U668" s="1142"/>
      <c r="V668" s="1142"/>
      <c r="W668" s="1142"/>
      <c r="X668" s="1142"/>
      <c r="Y668" s="1142"/>
    </row>
    <row r="669">
      <c r="A669" s="1140"/>
      <c r="B669" s="1140"/>
      <c r="C669" s="1083"/>
      <c r="D669" s="1058"/>
      <c r="E669" s="1092"/>
      <c r="F669" s="1083"/>
      <c r="G669" s="1092"/>
      <c r="H669" s="1083"/>
      <c r="I669" s="1092"/>
      <c r="J669" s="1092"/>
      <c r="K669" s="1092"/>
      <c r="L669" s="1083"/>
      <c r="M669" s="1083"/>
      <c r="N669" s="1092"/>
      <c r="O669" s="1083"/>
      <c r="P669" s="1092"/>
      <c r="Q669" s="1083"/>
      <c r="R669" s="1092"/>
      <c r="S669" s="1083"/>
      <c r="T669" s="1083"/>
      <c r="U669" s="1083"/>
      <c r="V669" s="1083"/>
      <c r="W669" s="1083"/>
      <c r="X669" s="1083"/>
      <c r="Y669" s="1083"/>
    </row>
    <row r="670">
      <c r="A670" s="1120"/>
      <c r="B670" s="1120"/>
      <c r="C670" s="1142"/>
      <c r="D670" s="1058"/>
      <c r="E670" s="1081"/>
      <c r="F670" s="1142"/>
      <c r="G670" s="1081"/>
      <c r="H670" s="1142"/>
      <c r="I670" s="1081"/>
      <c r="J670" s="1081"/>
      <c r="K670" s="1081"/>
      <c r="L670" s="1142"/>
      <c r="M670" s="1142"/>
      <c r="N670" s="1081"/>
      <c r="O670" s="1142"/>
      <c r="P670" s="1081"/>
      <c r="Q670" s="1142"/>
      <c r="R670" s="1081"/>
      <c r="S670" s="1142"/>
      <c r="T670" s="1142"/>
      <c r="U670" s="1142"/>
      <c r="V670" s="1142"/>
      <c r="W670" s="1142"/>
      <c r="X670" s="1142"/>
      <c r="Y670" s="1142"/>
    </row>
    <row r="671">
      <c r="A671" s="1140"/>
      <c r="B671" s="1140"/>
      <c r="C671" s="1083"/>
      <c r="D671" s="1058"/>
      <c r="E671" s="1092"/>
      <c r="F671" s="1083"/>
      <c r="G671" s="1092"/>
      <c r="H671" s="1083"/>
      <c r="I671" s="1092"/>
      <c r="J671" s="1092"/>
      <c r="K671" s="1092"/>
      <c r="L671" s="1083"/>
      <c r="M671" s="1083"/>
      <c r="N671" s="1092"/>
      <c r="O671" s="1083"/>
      <c r="P671" s="1092"/>
      <c r="Q671" s="1083"/>
      <c r="R671" s="1092"/>
      <c r="S671" s="1083"/>
      <c r="T671" s="1083"/>
      <c r="U671" s="1083"/>
      <c r="V671" s="1083"/>
      <c r="W671" s="1083"/>
      <c r="X671" s="1083"/>
      <c r="Y671" s="1083"/>
    </row>
    <row r="672">
      <c r="A672" s="1120"/>
      <c r="B672" s="1120"/>
      <c r="C672" s="1142"/>
      <c r="D672" s="1058"/>
      <c r="E672" s="1081"/>
      <c r="F672" s="1142"/>
      <c r="G672" s="1081"/>
      <c r="H672" s="1142"/>
      <c r="I672" s="1081"/>
      <c r="J672" s="1081"/>
      <c r="K672" s="1081"/>
      <c r="L672" s="1142"/>
      <c r="M672" s="1142"/>
      <c r="N672" s="1081"/>
      <c r="O672" s="1142"/>
      <c r="P672" s="1081"/>
      <c r="Q672" s="1142"/>
      <c r="R672" s="1081"/>
      <c r="S672" s="1142"/>
      <c r="T672" s="1142"/>
      <c r="U672" s="1142"/>
      <c r="V672" s="1142"/>
      <c r="W672" s="1142"/>
      <c r="X672" s="1142"/>
      <c r="Y672" s="1142"/>
    </row>
    <row r="673">
      <c r="A673" s="1140"/>
      <c r="B673" s="1140"/>
      <c r="C673" s="1083"/>
      <c r="D673" s="1058"/>
      <c r="E673" s="1092"/>
      <c r="F673" s="1083"/>
      <c r="G673" s="1092"/>
      <c r="H673" s="1083"/>
      <c r="I673" s="1092"/>
      <c r="J673" s="1092"/>
      <c r="K673" s="1092"/>
      <c r="L673" s="1083"/>
      <c r="M673" s="1083"/>
      <c r="N673" s="1092"/>
      <c r="O673" s="1083"/>
      <c r="P673" s="1092"/>
      <c r="Q673" s="1083"/>
      <c r="R673" s="1092"/>
      <c r="S673" s="1083"/>
      <c r="T673" s="1083"/>
      <c r="U673" s="1083"/>
      <c r="V673" s="1083"/>
      <c r="W673" s="1083"/>
      <c r="X673" s="1083"/>
      <c r="Y673" s="1083"/>
    </row>
    <row r="674">
      <c r="A674" s="1120"/>
      <c r="B674" s="1120"/>
      <c r="C674" s="1142"/>
      <c r="D674" s="1058"/>
      <c r="E674" s="1081"/>
      <c r="F674" s="1142"/>
      <c r="G674" s="1081"/>
      <c r="H674" s="1142"/>
      <c r="I674" s="1081"/>
      <c r="J674" s="1081"/>
      <c r="K674" s="1081"/>
      <c r="L674" s="1142"/>
      <c r="M674" s="1142"/>
      <c r="N674" s="1081"/>
      <c r="O674" s="1142"/>
      <c r="P674" s="1081"/>
      <c r="Q674" s="1142"/>
      <c r="R674" s="1081"/>
      <c r="S674" s="1142"/>
      <c r="T674" s="1142"/>
      <c r="U674" s="1142"/>
      <c r="V674" s="1142"/>
      <c r="W674" s="1142"/>
      <c r="X674" s="1142"/>
      <c r="Y674" s="1142"/>
    </row>
    <row r="675">
      <c r="A675" s="1140"/>
      <c r="B675" s="1140"/>
      <c r="C675" s="1083"/>
      <c r="D675" s="1058"/>
      <c r="E675" s="1092"/>
      <c r="F675" s="1083"/>
      <c r="G675" s="1092"/>
      <c r="H675" s="1083"/>
      <c r="I675" s="1092"/>
      <c r="J675" s="1092"/>
      <c r="K675" s="1092"/>
      <c r="L675" s="1083"/>
      <c r="M675" s="1083"/>
      <c r="N675" s="1092"/>
      <c r="O675" s="1083"/>
      <c r="P675" s="1092"/>
      <c r="Q675" s="1083"/>
      <c r="R675" s="1092"/>
      <c r="S675" s="1083"/>
      <c r="T675" s="1083"/>
      <c r="U675" s="1083"/>
      <c r="V675" s="1083"/>
      <c r="W675" s="1083"/>
      <c r="X675" s="1083"/>
      <c r="Y675" s="1083"/>
    </row>
    <row r="676">
      <c r="A676" s="1120"/>
      <c r="B676" s="1120"/>
      <c r="C676" s="1142"/>
      <c r="D676" s="1058"/>
      <c r="E676" s="1081"/>
      <c r="F676" s="1142"/>
      <c r="G676" s="1081"/>
      <c r="H676" s="1142"/>
      <c r="I676" s="1081"/>
      <c r="J676" s="1081"/>
      <c r="K676" s="1081"/>
      <c r="L676" s="1142"/>
      <c r="M676" s="1142"/>
      <c r="N676" s="1081"/>
      <c r="O676" s="1142"/>
      <c r="P676" s="1081"/>
      <c r="Q676" s="1142"/>
      <c r="R676" s="1081"/>
      <c r="S676" s="1142"/>
      <c r="T676" s="1142"/>
      <c r="U676" s="1142"/>
      <c r="V676" s="1142"/>
      <c r="W676" s="1142"/>
      <c r="X676" s="1142"/>
      <c r="Y676" s="1142"/>
    </row>
    <row r="677">
      <c r="A677" s="1140"/>
      <c r="B677" s="1140"/>
      <c r="C677" s="1083"/>
      <c r="D677" s="1058"/>
      <c r="E677" s="1092"/>
      <c r="F677" s="1083"/>
      <c r="G677" s="1092"/>
      <c r="H677" s="1083"/>
      <c r="I677" s="1092"/>
      <c r="J677" s="1092"/>
      <c r="K677" s="1092"/>
      <c r="L677" s="1083"/>
      <c r="M677" s="1083"/>
      <c r="N677" s="1092"/>
      <c r="O677" s="1083"/>
      <c r="P677" s="1092"/>
      <c r="Q677" s="1083"/>
      <c r="R677" s="1092"/>
      <c r="S677" s="1083"/>
      <c r="T677" s="1083"/>
      <c r="U677" s="1083"/>
      <c r="V677" s="1083"/>
      <c r="W677" s="1083"/>
      <c r="X677" s="1083"/>
      <c r="Y677" s="1083"/>
    </row>
    <row r="678">
      <c r="A678" s="1120"/>
      <c r="B678" s="1120"/>
      <c r="C678" s="1142"/>
      <c r="D678" s="1058"/>
      <c r="E678" s="1081"/>
      <c r="F678" s="1142"/>
      <c r="G678" s="1081"/>
      <c r="H678" s="1142"/>
      <c r="I678" s="1081"/>
      <c r="J678" s="1081"/>
      <c r="K678" s="1081"/>
      <c r="L678" s="1142"/>
      <c r="M678" s="1142"/>
      <c r="N678" s="1081"/>
      <c r="O678" s="1142"/>
      <c r="P678" s="1081"/>
      <c r="Q678" s="1142"/>
      <c r="R678" s="1081"/>
      <c r="S678" s="1142"/>
      <c r="T678" s="1142"/>
      <c r="U678" s="1142"/>
      <c r="V678" s="1142"/>
      <c r="W678" s="1142"/>
      <c r="X678" s="1142"/>
      <c r="Y678" s="1142"/>
    </row>
    <row r="679">
      <c r="A679" s="1140"/>
      <c r="B679" s="1140"/>
      <c r="C679" s="1083"/>
      <c r="D679" s="1058"/>
      <c r="E679" s="1092"/>
      <c r="F679" s="1083"/>
      <c r="G679" s="1092"/>
      <c r="H679" s="1083"/>
      <c r="I679" s="1092"/>
      <c r="J679" s="1092"/>
      <c r="K679" s="1092"/>
      <c r="L679" s="1083"/>
      <c r="M679" s="1083"/>
      <c r="N679" s="1092"/>
      <c r="O679" s="1083"/>
      <c r="P679" s="1092"/>
      <c r="Q679" s="1083"/>
      <c r="R679" s="1092"/>
      <c r="S679" s="1083"/>
      <c r="T679" s="1083"/>
      <c r="U679" s="1083"/>
      <c r="V679" s="1083"/>
      <c r="W679" s="1083"/>
      <c r="X679" s="1083"/>
      <c r="Y679" s="1083"/>
    </row>
    <row r="680">
      <c r="A680" s="1120"/>
      <c r="B680" s="1120"/>
      <c r="C680" s="1142"/>
      <c r="D680" s="1058"/>
      <c r="E680" s="1081"/>
      <c r="F680" s="1142"/>
      <c r="G680" s="1081"/>
      <c r="H680" s="1142"/>
      <c r="I680" s="1081"/>
      <c r="J680" s="1081"/>
      <c r="K680" s="1081"/>
      <c r="L680" s="1142"/>
      <c r="M680" s="1142"/>
      <c r="N680" s="1081"/>
      <c r="O680" s="1142"/>
      <c r="P680" s="1081"/>
      <c r="Q680" s="1142"/>
      <c r="R680" s="1081"/>
      <c r="S680" s="1142"/>
      <c r="T680" s="1142"/>
      <c r="U680" s="1142"/>
      <c r="V680" s="1142"/>
      <c r="W680" s="1142"/>
      <c r="X680" s="1142"/>
      <c r="Y680" s="1142"/>
    </row>
    <row r="681">
      <c r="A681" s="1140"/>
      <c r="B681" s="1140"/>
      <c r="C681" s="1083"/>
      <c r="D681" s="1058"/>
      <c r="E681" s="1092"/>
      <c r="F681" s="1083"/>
      <c r="G681" s="1092"/>
      <c r="H681" s="1083"/>
      <c r="I681" s="1092"/>
      <c r="J681" s="1092"/>
      <c r="K681" s="1092"/>
      <c r="L681" s="1083"/>
      <c r="M681" s="1083"/>
      <c r="N681" s="1092"/>
      <c r="O681" s="1083"/>
      <c r="P681" s="1092"/>
      <c r="Q681" s="1083"/>
      <c r="R681" s="1092"/>
      <c r="S681" s="1083"/>
      <c r="T681" s="1083"/>
      <c r="U681" s="1083"/>
      <c r="V681" s="1083"/>
      <c r="W681" s="1083"/>
      <c r="X681" s="1083"/>
      <c r="Y681" s="1083"/>
    </row>
    <row r="682">
      <c r="A682" s="1120"/>
      <c r="B682" s="1120"/>
      <c r="C682" s="1142"/>
      <c r="D682" s="1058"/>
      <c r="E682" s="1081"/>
      <c r="F682" s="1142"/>
      <c r="G682" s="1081"/>
      <c r="H682" s="1142"/>
      <c r="I682" s="1081"/>
      <c r="J682" s="1081"/>
      <c r="K682" s="1081"/>
      <c r="L682" s="1142"/>
      <c r="M682" s="1142"/>
      <c r="N682" s="1081"/>
      <c r="O682" s="1142"/>
      <c r="P682" s="1081"/>
      <c r="Q682" s="1142"/>
      <c r="R682" s="1081"/>
      <c r="S682" s="1142"/>
      <c r="T682" s="1142"/>
      <c r="U682" s="1142"/>
      <c r="V682" s="1142"/>
      <c r="W682" s="1142"/>
      <c r="X682" s="1142"/>
      <c r="Y682" s="1142"/>
    </row>
    <row r="683">
      <c r="A683" s="1140"/>
      <c r="B683" s="1140"/>
      <c r="C683" s="1083"/>
      <c r="D683" s="1058"/>
      <c r="E683" s="1092"/>
      <c r="F683" s="1083"/>
      <c r="G683" s="1092"/>
      <c r="H683" s="1083"/>
      <c r="I683" s="1092"/>
      <c r="J683" s="1092"/>
      <c r="K683" s="1092"/>
      <c r="L683" s="1083"/>
      <c r="M683" s="1083"/>
      <c r="N683" s="1092"/>
      <c r="O683" s="1083"/>
      <c r="P683" s="1092"/>
      <c r="Q683" s="1083"/>
      <c r="R683" s="1092"/>
      <c r="S683" s="1083"/>
      <c r="T683" s="1083"/>
      <c r="U683" s="1083"/>
      <c r="V683" s="1083"/>
      <c r="W683" s="1083"/>
      <c r="X683" s="1083"/>
      <c r="Y683" s="1083"/>
    </row>
    <row r="684">
      <c r="A684" s="1120"/>
      <c r="B684" s="1120"/>
      <c r="C684" s="1142"/>
      <c r="D684" s="1058"/>
      <c r="E684" s="1081"/>
      <c r="F684" s="1142"/>
      <c r="G684" s="1081"/>
      <c r="H684" s="1142"/>
      <c r="I684" s="1081"/>
      <c r="J684" s="1081"/>
      <c r="K684" s="1081"/>
      <c r="L684" s="1142"/>
      <c r="M684" s="1142"/>
      <c r="N684" s="1081"/>
      <c r="O684" s="1142"/>
      <c r="P684" s="1081"/>
      <c r="Q684" s="1142"/>
      <c r="R684" s="1081"/>
      <c r="S684" s="1142"/>
      <c r="T684" s="1142"/>
      <c r="U684" s="1142"/>
      <c r="V684" s="1142"/>
      <c r="W684" s="1142"/>
      <c r="X684" s="1142"/>
      <c r="Y684" s="1142"/>
    </row>
    <row r="685">
      <c r="A685" s="1140"/>
      <c r="B685" s="1140"/>
      <c r="C685" s="1083"/>
      <c r="D685" s="1058"/>
      <c r="E685" s="1092"/>
      <c r="F685" s="1083"/>
      <c r="G685" s="1092"/>
      <c r="H685" s="1083"/>
      <c r="I685" s="1092"/>
      <c r="J685" s="1092"/>
      <c r="K685" s="1092"/>
      <c r="L685" s="1083"/>
      <c r="M685" s="1083"/>
      <c r="N685" s="1092"/>
      <c r="O685" s="1083"/>
      <c r="P685" s="1092"/>
      <c r="Q685" s="1083"/>
      <c r="R685" s="1092"/>
      <c r="S685" s="1083"/>
      <c r="T685" s="1083"/>
      <c r="U685" s="1083"/>
      <c r="V685" s="1083"/>
      <c r="W685" s="1083"/>
      <c r="X685" s="1083"/>
      <c r="Y685" s="1083"/>
    </row>
    <row r="686">
      <c r="A686" s="1120"/>
      <c r="B686" s="1120"/>
      <c r="C686" s="1142"/>
      <c r="D686" s="1058"/>
      <c r="E686" s="1081"/>
      <c r="F686" s="1142"/>
      <c r="G686" s="1081"/>
      <c r="H686" s="1142"/>
      <c r="I686" s="1081"/>
      <c r="J686" s="1081"/>
      <c r="K686" s="1081"/>
      <c r="L686" s="1142"/>
      <c r="M686" s="1142"/>
      <c r="N686" s="1081"/>
      <c r="O686" s="1142"/>
      <c r="P686" s="1081"/>
      <c r="Q686" s="1142"/>
      <c r="R686" s="1081"/>
      <c r="S686" s="1142"/>
      <c r="T686" s="1142"/>
      <c r="U686" s="1142"/>
      <c r="V686" s="1142"/>
      <c r="W686" s="1142"/>
      <c r="X686" s="1142"/>
      <c r="Y686" s="1142"/>
    </row>
    <row r="687">
      <c r="A687" s="1140"/>
      <c r="B687" s="1140"/>
      <c r="C687" s="1083"/>
      <c r="D687" s="1058"/>
      <c r="E687" s="1092"/>
      <c r="F687" s="1083"/>
      <c r="G687" s="1092"/>
      <c r="H687" s="1083"/>
      <c r="I687" s="1092"/>
      <c r="J687" s="1092"/>
      <c r="K687" s="1092"/>
      <c r="L687" s="1083"/>
      <c r="M687" s="1083"/>
      <c r="N687" s="1092"/>
      <c r="O687" s="1083"/>
      <c r="P687" s="1092"/>
      <c r="Q687" s="1083"/>
      <c r="R687" s="1092"/>
      <c r="S687" s="1083"/>
      <c r="T687" s="1083"/>
      <c r="U687" s="1083"/>
      <c r="V687" s="1083"/>
      <c r="W687" s="1083"/>
      <c r="X687" s="1083"/>
      <c r="Y687" s="1083"/>
    </row>
    <row r="688">
      <c r="A688" s="1120"/>
      <c r="B688" s="1120"/>
      <c r="C688" s="1142"/>
      <c r="D688" s="1058"/>
      <c r="E688" s="1081"/>
      <c r="F688" s="1142"/>
      <c r="G688" s="1081"/>
      <c r="H688" s="1142"/>
      <c r="I688" s="1081"/>
      <c r="J688" s="1081"/>
      <c r="K688" s="1081"/>
      <c r="L688" s="1142"/>
      <c r="M688" s="1142"/>
      <c r="N688" s="1081"/>
      <c r="O688" s="1142"/>
      <c r="P688" s="1081"/>
      <c r="Q688" s="1142"/>
      <c r="R688" s="1081"/>
      <c r="S688" s="1142"/>
      <c r="T688" s="1142"/>
      <c r="U688" s="1142"/>
      <c r="V688" s="1142"/>
      <c r="W688" s="1142"/>
      <c r="X688" s="1142"/>
      <c r="Y688" s="1142"/>
    </row>
    <row r="689">
      <c r="A689" s="1140"/>
      <c r="B689" s="1140"/>
      <c r="C689" s="1083"/>
      <c r="D689" s="1058"/>
      <c r="E689" s="1092"/>
      <c r="F689" s="1083"/>
      <c r="G689" s="1092"/>
      <c r="H689" s="1083"/>
      <c r="I689" s="1092"/>
      <c r="J689" s="1092"/>
      <c r="K689" s="1092"/>
      <c r="L689" s="1083"/>
      <c r="M689" s="1083"/>
      <c r="N689" s="1092"/>
      <c r="O689" s="1083"/>
      <c r="P689" s="1092"/>
      <c r="Q689" s="1083"/>
      <c r="R689" s="1092"/>
      <c r="S689" s="1083"/>
      <c r="T689" s="1083"/>
      <c r="U689" s="1083"/>
      <c r="V689" s="1083"/>
      <c r="W689" s="1083"/>
      <c r="X689" s="1083"/>
      <c r="Y689" s="1083"/>
    </row>
    <row r="690">
      <c r="A690" s="1120"/>
      <c r="B690" s="1120"/>
      <c r="C690" s="1142"/>
      <c r="D690" s="1058"/>
      <c r="E690" s="1081"/>
      <c r="F690" s="1142"/>
      <c r="G690" s="1081"/>
      <c r="H690" s="1142"/>
      <c r="I690" s="1081"/>
      <c r="J690" s="1081"/>
      <c r="K690" s="1081"/>
      <c r="L690" s="1142"/>
      <c r="M690" s="1142"/>
      <c r="N690" s="1081"/>
      <c r="O690" s="1142"/>
      <c r="P690" s="1081"/>
      <c r="Q690" s="1142"/>
      <c r="R690" s="1081"/>
      <c r="S690" s="1142"/>
      <c r="T690" s="1142"/>
      <c r="U690" s="1142"/>
      <c r="V690" s="1142"/>
      <c r="W690" s="1142"/>
      <c r="X690" s="1142"/>
      <c r="Y690" s="1142"/>
    </row>
    <row r="691">
      <c r="A691" s="1140"/>
      <c r="B691" s="1140"/>
      <c r="C691" s="1083"/>
      <c r="D691" s="1058"/>
      <c r="E691" s="1092"/>
      <c r="F691" s="1083"/>
      <c r="G691" s="1092"/>
      <c r="H691" s="1083"/>
      <c r="I691" s="1092"/>
      <c r="J691" s="1092"/>
      <c r="K691" s="1092"/>
      <c r="L691" s="1083"/>
      <c r="M691" s="1083"/>
      <c r="N691" s="1092"/>
      <c r="O691" s="1083"/>
      <c r="P691" s="1092"/>
      <c r="Q691" s="1083"/>
      <c r="R691" s="1092"/>
      <c r="S691" s="1083"/>
      <c r="T691" s="1083"/>
      <c r="U691" s="1083"/>
      <c r="V691" s="1083"/>
      <c r="W691" s="1083"/>
      <c r="X691" s="1083"/>
      <c r="Y691" s="1083"/>
    </row>
    <row r="692">
      <c r="A692" s="1120"/>
      <c r="B692" s="1120"/>
      <c r="C692" s="1142"/>
      <c r="D692" s="1058"/>
      <c r="E692" s="1081"/>
      <c r="F692" s="1142"/>
      <c r="G692" s="1081"/>
      <c r="H692" s="1142"/>
      <c r="I692" s="1081"/>
      <c r="J692" s="1081"/>
      <c r="K692" s="1081"/>
      <c r="L692" s="1142"/>
      <c r="M692" s="1142"/>
      <c r="N692" s="1081"/>
      <c r="O692" s="1142"/>
      <c r="P692" s="1081"/>
      <c r="Q692" s="1142"/>
      <c r="R692" s="1081"/>
      <c r="S692" s="1142"/>
      <c r="T692" s="1142"/>
      <c r="U692" s="1142"/>
      <c r="V692" s="1142"/>
      <c r="W692" s="1142"/>
      <c r="X692" s="1142"/>
      <c r="Y692" s="1142"/>
    </row>
    <row r="693">
      <c r="A693" s="1140"/>
      <c r="B693" s="1140"/>
      <c r="C693" s="1083"/>
      <c r="D693" s="1058"/>
      <c r="E693" s="1092"/>
      <c r="F693" s="1083"/>
      <c r="G693" s="1092"/>
      <c r="H693" s="1083"/>
      <c r="I693" s="1092"/>
      <c r="J693" s="1092"/>
      <c r="K693" s="1092"/>
      <c r="L693" s="1083"/>
      <c r="M693" s="1083"/>
      <c r="N693" s="1092"/>
      <c r="O693" s="1083"/>
      <c r="P693" s="1092"/>
      <c r="Q693" s="1083"/>
      <c r="R693" s="1092"/>
      <c r="S693" s="1083"/>
      <c r="T693" s="1083"/>
      <c r="U693" s="1083"/>
      <c r="V693" s="1083"/>
      <c r="W693" s="1083"/>
      <c r="X693" s="1083"/>
      <c r="Y693" s="1083"/>
    </row>
    <row r="694">
      <c r="A694" s="1120"/>
      <c r="B694" s="1120"/>
      <c r="C694" s="1142"/>
      <c r="D694" s="1058"/>
      <c r="E694" s="1081"/>
      <c r="F694" s="1142"/>
      <c r="G694" s="1081"/>
      <c r="H694" s="1142"/>
      <c r="I694" s="1081"/>
      <c r="J694" s="1081"/>
      <c r="K694" s="1081"/>
      <c r="L694" s="1142"/>
      <c r="M694" s="1142"/>
      <c r="N694" s="1081"/>
      <c r="O694" s="1142"/>
      <c r="P694" s="1081"/>
      <c r="Q694" s="1142"/>
      <c r="R694" s="1081"/>
      <c r="S694" s="1142"/>
      <c r="T694" s="1142"/>
      <c r="U694" s="1142"/>
      <c r="V694" s="1142"/>
      <c r="W694" s="1142"/>
      <c r="X694" s="1142"/>
      <c r="Y694" s="1142"/>
    </row>
    <row r="695">
      <c r="A695" s="1140"/>
      <c r="B695" s="1140"/>
      <c r="C695" s="1083"/>
      <c r="D695" s="1058"/>
      <c r="E695" s="1092"/>
      <c r="F695" s="1083"/>
      <c r="G695" s="1092"/>
      <c r="H695" s="1083"/>
      <c r="I695" s="1092"/>
      <c r="J695" s="1092"/>
      <c r="K695" s="1092"/>
      <c r="L695" s="1083"/>
      <c r="M695" s="1083"/>
      <c r="N695" s="1092"/>
      <c r="O695" s="1083"/>
      <c r="P695" s="1092"/>
      <c r="Q695" s="1083"/>
      <c r="R695" s="1092"/>
      <c r="S695" s="1083"/>
      <c r="T695" s="1083"/>
      <c r="U695" s="1083"/>
      <c r="V695" s="1083"/>
      <c r="W695" s="1083"/>
      <c r="X695" s="1083"/>
      <c r="Y695" s="1083"/>
    </row>
    <row r="696">
      <c r="A696" s="1120"/>
      <c r="B696" s="1120"/>
      <c r="C696" s="1142"/>
      <c r="D696" s="1058"/>
      <c r="E696" s="1081"/>
      <c r="F696" s="1142"/>
      <c r="G696" s="1081"/>
      <c r="H696" s="1142"/>
      <c r="I696" s="1081"/>
      <c r="J696" s="1081"/>
      <c r="K696" s="1081"/>
      <c r="L696" s="1142"/>
      <c r="M696" s="1142"/>
      <c r="N696" s="1081"/>
      <c r="O696" s="1142"/>
      <c r="P696" s="1081"/>
      <c r="Q696" s="1142"/>
      <c r="R696" s="1081"/>
      <c r="S696" s="1142"/>
      <c r="T696" s="1142"/>
      <c r="U696" s="1142"/>
      <c r="V696" s="1142"/>
      <c r="W696" s="1142"/>
      <c r="X696" s="1142"/>
      <c r="Y696" s="1142"/>
    </row>
    <row r="697">
      <c r="A697" s="1140"/>
      <c r="B697" s="1140"/>
      <c r="C697" s="1083"/>
      <c r="D697" s="1058"/>
      <c r="E697" s="1092"/>
      <c r="F697" s="1083"/>
      <c r="G697" s="1092"/>
      <c r="H697" s="1083"/>
      <c r="I697" s="1092"/>
      <c r="J697" s="1092"/>
      <c r="K697" s="1092"/>
      <c r="L697" s="1083"/>
      <c r="M697" s="1083"/>
      <c r="N697" s="1092"/>
      <c r="O697" s="1083"/>
      <c r="P697" s="1092"/>
      <c r="Q697" s="1083"/>
      <c r="R697" s="1092"/>
      <c r="S697" s="1083"/>
      <c r="T697" s="1083"/>
      <c r="U697" s="1083"/>
      <c r="V697" s="1083"/>
      <c r="W697" s="1083"/>
      <c r="X697" s="1083"/>
      <c r="Y697" s="1083"/>
    </row>
    <row r="698">
      <c r="A698" s="1120"/>
      <c r="B698" s="1120"/>
      <c r="C698" s="1142"/>
      <c r="D698" s="1058"/>
      <c r="E698" s="1081"/>
      <c r="F698" s="1142"/>
      <c r="G698" s="1081"/>
      <c r="H698" s="1142"/>
      <c r="I698" s="1081"/>
      <c r="J698" s="1081"/>
      <c r="K698" s="1081"/>
      <c r="L698" s="1142"/>
      <c r="M698" s="1142"/>
      <c r="N698" s="1081"/>
      <c r="O698" s="1142"/>
      <c r="P698" s="1081"/>
      <c r="Q698" s="1142"/>
      <c r="R698" s="1081"/>
      <c r="S698" s="1142"/>
      <c r="T698" s="1142"/>
      <c r="U698" s="1142"/>
      <c r="V698" s="1142"/>
      <c r="W698" s="1142"/>
      <c r="X698" s="1142"/>
      <c r="Y698" s="1142"/>
    </row>
    <row r="699">
      <c r="A699" s="1140"/>
      <c r="B699" s="1140"/>
      <c r="C699" s="1083"/>
      <c r="D699" s="1058"/>
      <c r="E699" s="1092"/>
      <c r="F699" s="1083"/>
      <c r="G699" s="1092"/>
      <c r="H699" s="1083"/>
      <c r="I699" s="1092"/>
      <c r="J699" s="1092"/>
      <c r="K699" s="1092"/>
      <c r="L699" s="1083"/>
      <c r="M699" s="1083"/>
      <c r="N699" s="1092"/>
      <c r="O699" s="1083"/>
      <c r="P699" s="1092"/>
      <c r="Q699" s="1083"/>
      <c r="R699" s="1092"/>
      <c r="S699" s="1083"/>
      <c r="T699" s="1083"/>
      <c r="U699" s="1083"/>
      <c r="V699" s="1083"/>
      <c r="W699" s="1083"/>
      <c r="X699" s="1083"/>
      <c r="Y699" s="1083"/>
    </row>
    <row r="700">
      <c r="A700" s="1120"/>
      <c r="B700" s="1120"/>
      <c r="C700" s="1142"/>
      <c r="D700" s="1058"/>
      <c r="E700" s="1081"/>
      <c r="F700" s="1142"/>
      <c r="G700" s="1081"/>
      <c r="H700" s="1142"/>
      <c r="I700" s="1081"/>
      <c r="J700" s="1081"/>
      <c r="K700" s="1081"/>
      <c r="L700" s="1142"/>
      <c r="M700" s="1142"/>
      <c r="N700" s="1081"/>
      <c r="O700" s="1142"/>
      <c r="P700" s="1081"/>
      <c r="Q700" s="1142"/>
      <c r="R700" s="1081"/>
      <c r="S700" s="1142"/>
      <c r="T700" s="1142"/>
      <c r="U700" s="1142"/>
      <c r="V700" s="1142"/>
      <c r="W700" s="1142"/>
      <c r="X700" s="1142"/>
      <c r="Y700" s="1142"/>
    </row>
    <row r="701">
      <c r="A701" s="1140"/>
      <c r="B701" s="1140"/>
      <c r="C701" s="1083"/>
      <c r="D701" s="1058"/>
      <c r="E701" s="1092"/>
      <c r="F701" s="1083"/>
      <c r="G701" s="1092"/>
      <c r="H701" s="1083"/>
      <c r="I701" s="1092"/>
      <c r="J701" s="1092"/>
      <c r="K701" s="1092"/>
      <c r="L701" s="1083"/>
      <c r="M701" s="1083"/>
      <c r="N701" s="1092"/>
      <c r="O701" s="1083"/>
      <c r="P701" s="1092"/>
      <c r="Q701" s="1083"/>
      <c r="R701" s="1092"/>
      <c r="S701" s="1083"/>
      <c r="T701" s="1083"/>
      <c r="U701" s="1083"/>
      <c r="V701" s="1083"/>
      <c r="W701" s="1083"/>
      <c r="X701" s="1083"/>
      <c r="Y701" s="1083"/>
    </row>
    <row r="702">
      <c r="A702" s="1120"/>
      <c r="B702" s="1120"/>
      <c r="C702" s="1142"/>
      <c r="D702" s="1058"/>
      <c r="E702" s="1081"/>
      <c r="F702" s="1142"/>
      <c r="G702" s="1081"/>
      <c r="H702" s="1142"/>
      <c r="I702" s="1081"/>
      <c r="J702" s="1081"/>
      <c r="K702" s="1081"/>
      <c r="L702" s="1142"/>
      <c r="M702" s="1142"/>
      <c r="N702" s="1081"/>
      <c r="O702" s="1142"/>
      <c r="P702" s="1081"/>
      <c r="Q702" s="1142"/>
      <c r="R702" s="1081"/>
      <c r="S702" s="1142"/>
      <c r="T702" s="1142"/>
      <c r="U702" s="1142"/>
      <c r="V702" s="1142"/>
      <c r="W702" s="1142"/>
      <c r="X702" s="1142"/>
      <c r="Y702" s="1142"/>
    </row>
    <row r="703">
      <c r="A703" s="1140"/>
      <c r="B703" s="1140"/>
      <c r="C703" s="1083"/>
      <c r="D703" s="1058"/>
      <c r="E703" s="1092"/>
      <c r="F703" s="1083"/>
      <c r="G703" s="1092"/>
      <c r="H703" s="1083"/>
      <c r="I703" s="1092"/>
      <c r="J703" s="1092"/>
      <c r="K703" s="1092"/>
      <c r="L703" s="1083"/>
      <c r="M703" s="1083"/>
      <c r="N703" s="1092"/>
      <c r="O703" s="1083"/>
      <c r="P703" s="1092"/>
      <c r="Q703" s="1083"/>
      <c r="R703" s="1092"/>
      <c r="S703" s="1083"/>
      <c r="T703" s="1083"/>
      <c r="U703" s="1083"/>
      <c r="V703" s="1083"/>
      <c r="W703" s="1083"/>
      <c r="X703" s="1083"/>
      <c r="Y703" s="1083"/>
    </row>
    <row r="704">
      <c r="A704" s="1120"/>
      <c r="B704" s="1120"/>
      <c r="C704" s="1142"/>
      <c r="D704" s="1058"/>
      <c r="E704" s="1081"/>
      <c r="F704" s="1142"/>
      <c r="G704" s="1081"/>
      <c r="H704" s="1142"/>
      <c r="I704" s="1081"/>
      <c r="J704" s="1081"/>
      <c r="K704" s="1081"/>
      <c r="L704" s="1142"/>
      <c r="M704" s="1142"/>
      <c r="N704" s="1081"/>
      <c r="O704" s="1142"/>
      <c r="P704" s="1081"/>
      <c r="Q704" s="1142"/>
      <c r="R704" s="1081"/>
      <c r="S704" s="1142"/>
      <c r="T704" s="1142"/>
      <c r="U704" s="1142"/>
      <c r="V704" s="1142"/>
      <c r="W704" s="1142"/>
      <c r="X704" s="1142"/>
      <c r="Y704" s="1142"/>
    </row>
    <row r="705">
      <c r="A705" s="1140"/>
      <c r="B705" s="1140"/>
      <c r="C705" s="1083"/>
      <c r="D705" s="1058"/>
      <c r="E705" s="1092"/>
      <c r="F705" s="1083"/>
      <c r="G705" s="1092"/>
      <c r="H705" s="1083"/>
      <c r="I705" s="1092"/>
      <c r="J705" s="1092"/>
      <c r="K705" s="1092"/>
      <c r="L705" s="1083"/>
      <c r="M705" s="1083"/>
      <c r="N705" s="1092"/>
      <c r="O705" s="1083"/>
      <c r="P705" s="1092"/>
      <c r="Q705" s="1083"/>
      <c r="R705" s="1092"/>
      <c r="S705" s="1083"/>
      <c r="T705" s="1083"/>
      <c r="U705" s="1083"/>
      <c r="V705" s="1083"/>
      <c r="W705" s="1083"/>
      <c r="X705" s="1083"/>
      <c r="Y705" s="1083"/>
    </row>
    <row r="706">
      <c r="A706" s="1120"/>
      <c r="B706" s="1120"/>
      <c r="C706" s="1142"/>
      <c r="D706" s="1058"/>
      <c r="E706" s="1081"/>
      <c r="F706" s="1142"/>
      <c r="G706" s="1081"/>
      <c r="H706" s="1142"/>
      <c r="I706" s="1081"/>
      <c r="J706" s="1081"/>
      <c r="K706" s="1081"/>
      <c r="L706" s="1142"/>
      <c r="M706" s="1142"/>
      <c r="N706" s="1081"/>
      <c r="O706" s="1142"/>
      <c r="P706" s="1081"/>
      <c r="Q706" s="1142"/>
      <c r="R706" s="1081"/>
      <c r="S706" s="1142"/>
      <c r="T706" s="1142"/>
      <c r="U706" s="1142"/>
      <c r="V706" s="1142"/>
      <c r="W706" s="1142"/>
      <c r="X706" s="1142"/>
      <c r="Y706" s="1142"/>
    </row>
    <row r="707">
      <c r="A707" s="1140"/>
      <c r="B707" s="1140"/>
      <c r="C707" s="1083"/>
      <c r="D707" s="1058"/>
      <c r="E707" s="1092"/>
      <c r="F707" s="1083"/>
      <c r="G707" s="1092"/>
      <c r="H707" s="1083"/>
      <c r="I707" s="1092"/>
      <c r="J707" s="1092"/>
      <c r="K707" s="1092"/>
      <c r="L707" s="1083"/>
      <c r="M707" s="1083"/>
      <c r="N707" s="1092"/>
      <c r="O707" s="1083"/>
      <c r="P707" s="1092"/>
      <c r="Q707" s="1083"/>
      <c r="R707" s="1092"/>
      <c r="S707" s="1083"/>
      <c r="T707" s="1083"/>
      <c r="U707" s="1083"/>
      <c r="V707" s="1083"/>
      <c r="W707" s="1083"/>
      <c r="X707" s="1083"/>
      <c r="Y707" s="1083"/>
    </row>
    <row r="708">
      <c r="A708" s="1120"/>
      <c r="B708" s="1120"/>
      <c r="C708" s="1142"/>
      <c r="D708" s="1058"/>
      <c r="E708" s="1081"/>
      <c r="F708" s="1142"/>
      <c r="G708" s="1081"/>
      <c r="H708" s="1142"/>
      <c r="I708" s="1081"/>
      <c r="J708" s="1081"/>
      <c r="K708" s="1081"/>
      <c r="L708" s="1142"/>
      <c r="M708" s="1142"/>
      <c r="N708" s="1081"/>
      <c r="O708" s="1142"/>
      <c r="P708" s="1081"/>
      <c r="Q708" s="1142"/>
      <c r="R708" s="1081"/>
      <c r="S708" s="1142"/>
      <c r="T708" s="1142"/>
      <c r="U708" s="1142"/>
      <c r="V708" s="1142"/>
      <c r="W708" s="1142"/>
      <c r="X708" s="1142"/>
      <c r="Y708" s="1142"/>
    </row>
    <row r="709">
      <c r="A709" s="1140"/>
      <c r="B709" s="1140"/>
      <c r="C709" s="1083"/>
      <c r="D709" s="1058"/>
      <c r="E709" s="1092"/>
      <c r="F709" s="1083"/>
      <c r="G709" s="1092"/>
      <c r="H709" s="1083"/>
      <c r="I709" s="1092"/>
      <c r="J709" s="1092"/>
      <c r="K709" s="1092"/>
      <c r="L709" s="1083"/>
      <c r="M709" s="1083"/>
      <c r="N709" s="1092"/>
      <c r="O709" s="1083"/>
      <c r="P709" s="1092"/>
      <c r="Q709" s="1083"/>
      <c r="R709" s="1092"/>
      <c r="S709" s="1083"/>
      <c r="T709" s="1083"/>
      <c r="U709" s="1083"/>
      <c r="V709" s="1083"/>
      <c r="W709" s="1083"/>
      <c r="X709" s="1083"/>
      <c r="Y709" s="1083"/>
    </row>
    <row r="710">
      <c r="A710" s="1120"/>
      <c r="B710" s="1120"/>
      <c r="C710" s="1142"/>
      <c r="D710" s="1058"/>
      <c r="E710" s="1081"/>
      <c r="F710" s="1142"/>
      <c r="G710" s="1081"/>
      <c r="H710" s="1142"/>
      <c r="I710" s="1081"/>
      <c r="J710" s="1081"/>
      <c r="K710" s="1081"/>
      <c r="L710" s="1142"/>
      <c r="M710" s="1142"/>
      <c r="N710" s="1081"/>
      <c r="O710" s="1142"/>
      <c r="P710" s="1081"/>
      <c r="Q710" s="1142"/>
      <c r="R710" s="1081"/>
      <c r="S710" s="1142"/>
      <c r="T710" s="1142"/>
      <c r="U710" s="1142"/>
      <c r="V710" s="1142"/>
      <c r="W710" s="1142"/>
      <c r="X710" s="1142"/>
      <c r="Y710" s="1142"/>
    </row>
    <row r="711">
      <c r="A711" s="1140"/>
      <c r="B711" s="1140"/>
      <c r="C711" s="1083"/>
      <c r="D711" s="1058"/>
      <c r="E711" s="1092"/>
      <c r="F711" s="1083"/>
      <c r="G711" s="1092"/>
      <c r="H711" s="1083"/>
      <c r="I711" s="1092"/>
      <c r="J711" s="1092"/>
      <c r="K711" s="1092"/>
      <c r="L711" s="1083"/>
      <c r="M711" s="1083"/>
      <c r="N711" s="1092"/>
      <c r="O711" s="1083"/>
      <c r="P711" s="1092"/>
      <c r="Q711" s="1083"/>
      <c r="R711" s="1092"/>
      <c r="S711" s="1083"/>
      <c r="T711" s="1083"/>
      <c r="U711" s="1083"/>
      <c r="V711" s="1083"/>
      <c r="W711" s="1083"/>
      <c r="X711" s="1083"/>
      <c r="Y711" s="1083"/>
    </row>
    <row r="712">
      <c r="A712" s="1120"/>
      <c r="B712" s="1120"/>
      <c r="C712" s="1142"/>
      <c r="D712" s="1058"/>
      <c r="E712" s="1081"/>
      <c r="F712" s="1142"/>
      <c r="G712" s="1081"/>
      <c r="H712" s="1142"/>
      <c r="I712" s="1081"/>
      <c r="J712" s="1081"/>
      <c r="K712" s="1081"/>
      <c r="L712" s="1142"/>
      <c r="M712" s="1142"/>
      <c r="N712" s="1081"/>
      <c r="O712" s="1142"/>
      <c r="P712" s="1081"/>
      <c r="Q712" s="1142"/>
      <c r="R712" s="1081"/>
      <c r="S712" s="1142"/>
      <c r="T712" s="1142"/>
      <c r="U712" s="1142"/>
      <c r="V712" s="1142"/>
      <c r="W712" s="1142"/>
      <c r="X712" s="1142"/>
      <c r="Y712" s="1142"/>
    </row>
    <row r="713">
      <c r="A713" s="1140"/>
      <c r="B713" s="1140"/>
      <c r="C713" s="1083"/>
      <c r="D713" s="1058"/>
      <c r="E713" s="1092"/>
      <c r="F713" s="1083"/>
      <c r="G713" s="1092"/>
      <c r="H713" s="1083"/>
      <c r="I713" s="1092"/>
      <c r="J713" s="1092"/>
      <c r="K713" s="1092"/>
      <c r="L713" s="1083"/>
      <c r="M713" s="1083"/>
      <c r="N713" s="1092"/>
      <c r="O713" s="1083"/>
      <c r="P713" s="1092"/>
      <c r="Q713" s="1083"/>
      <c r="R713" s="1092"/>
      <c r="S713" s="1083"/>
      <c r="T713" s="1083"/>
      <c r="U713" s="1083"/>
      <c r="V713" s="1083"/>
      <c r="W713" s="1083"/>
      <c r="X713" s="1083"/>
      <c r="Y713" s="1083"/>
    </row>
    <row r="714">
      <c r="A714" s="1120"/>
      <c r="B714" s="1120"/>
      <c r="C714" s="1142"/>
      <c r="D714" s="1058"/>
      <c r="E714" s="1081"/>
      <c r="F714" s="1142"/>
      <c r="G714" s="1081"/>
      <c r="H714" s="1142"/>
      <c r="I714" s="1081"/>
      <c r="J714" s="1081"/>
      <c r="K714" s="1081"/>
      <c r="L714" s="1142"/>
      <c r="M714" s="1142"/>
      <c r="N714" s="1081"/>
      <c r="O714" s="1142"/>
      <c r="P714" s="1081"/>
      <c r="Q714" s="1142"/>
      <c r="R714" s="1081"/>
      <c r="S714" s="1142"/>
      <c r="T714" s="1142"/>
      <c r="U714" s="1142"/>
      <c r="V714" s="1142"/>
      <c r="W714" s="1142"/>
      <c r="X714" s="1142"/>
      <c r="Y714" s="1142"/>
    </row>
    <row r="715">
      <c r="A715" s="1140"/>
      <c r="B715" s="1140"/>
      <c r="C715" s="1083"/>
      <c r="D715" s="1058"/>
      <c r="E715" s="1092"/>
      <c r="F715" s="1083"/>
      <c r="G715" s="1092"/>
      <c r="H715" s="1083"/>
      <c r="I715" s="1092"/>
      <c r="J715" s="1092"/>
      <c r="K715" s="1092"/>
      <c r="L715" s="1083"/>
      <c r="M715" s="1083"/>
      <c r="N715" s="1092"/>
      <c r="O715" s="1083"/>
      <c r="P715" s="1092"/>
      <c r="Q715" s="1083"/>
      <c r="R715" s="1092"/>
      <c r="S715" s="1083"/>
      <c r="T715" s="1083"/>
      <c r="U715" s="1083"/>
      <c r="V715" s="1083"/>
      <c r="W715" s="1083"/>
      <c r="X715" s="1083"/>
      <c r="Y715" s="1083"/>
    </row>
    <row r="716">
      <c r="A716" s="1120"/>
      <c r="B716" s="1120"/>
      <c r="C716" s="1142"/>
      <c r="D716" s="1058"/>
      <c r="E716" s="1081"/>
      <c r="F716" s="1142"/>
      <c r="G716" s="1081"/>
      <c r="H716" s="1142"/>
      <c r="I716" s="1081"/>
      <c r="J716" s="1081"/>
      <c r="K716" s="1081"/>
      <c r="L716" s="1142"/>
      <c r="M716" s="1142"/>
      <c r="N716" s="1081"/>
      <c r="O716" s="1142"/>
      <c r="P716" s="1081"/>
      <c r="Q716" s="1142"/>
      <c r="R716" s="1081"/>
      <c r="S716" s="1142"/>
      <c r="T716" s="1142"/>
      <c r="U716" s="1142"/>
      <c r="V716" s="1142"/>
      <c r="W716" s="1142"/>
      <c r="X716" s="1142"/>
      <c r="Y716" s="1142"/>
    </row>
    <row r="717">
      <c r="A717" s="1140"/>
      <c r="B717" s="1140"/>
      <c r="C717" s="1083"/>
      <c r="D717" s="1058"/>
      <c r="E717" s="1092"/>
      <c r="F717" s="1083"/>
      <c r="G717" s="1092"/>
      <c r="H717" s="1083"/>
      <c r="I717" s="1092"/>
      <c r="J717" s="1092"/>
      <c r="K717" s="1092"/>
      <c r="L717" s="1083"/>
      <c r="M717" s="1083"/>
      <c r="N717" s="1092"/>
      <c r="O717" s="1083"/>
      <c r="P717" s="1092"/>
      <c r="Q717" s="1083"/>
      <c r="R717" s="1092"/>
      <c r="S717" s="1083"/>
      <c r="T717" s="1083"/>
      <c r="U717" s="1083"/>
      <c r="V717" s="1083"/>
      <c r="W717" s="1083"/>
      <c r="X717" s="1083"/>
      <c r="Y717" s="1083"/>
    </row>
    <row r="718">
      <c r="A718" s="1120"/>
      <c r="B718" s="1120"/>
      <c r="C718" s="1142"/>
      <c r="D718" s="1058"/>
      <c r="E718" s="1081"/>
      <c r="F718" s="1142"/>
      <c r="G718" s="1081"/>
      <c r="H718" s="1142"/>
      <c r="I718" s="1081"/>
      <c r="J718" s="1081"/>
      <c r="K718" s="1081"/>
      <c r="L718" s="1142"/>
      <c r="M718" s="1142"/>
      <c r="N718" s="1081"/>
      <c r="O718" s="1142"/>
      <c r="P718" s="1081"/>
      <c r="Q718" s="1142"/>
      <c r="R718" s="1081"/>
      <c r="S718" s="1142"/>
      <c r="T718" s="1142"/>
      <c r="U718" s="1142"/>
      <c r="V718" s="1142"/>
      <c r="W718" s="1142"/>
      <c r="X718" s="1142"/>
      <c r="Y718" s="1142"/>
    </row>
    <row r="719">
      <c r="A719" s="1140"/>
      <c r="B719" s="1140"/>
      <c r="C719" s="1083"/>
      <c r="D719" s="1058"/>
      <c r="E719" s="1092"/>
      <c r="F719" s="1083"/>
      <c r="G719" s="1092"/>
      <c r="H719" s="1083"/>
      <c r="I719" s="1092"/>
      <c r="J719" s="1092"/>
      <c r="K719" s="1092"/>
      <c r="L719" s="1083"/>
      <c r="M719" s="1083"/>
      <c r="N719" s="1092"/>
      <c r="O719" s="1083"/>
      <c r="P719" s="1092"/>
      <c r="Q719" s="1083"/>
      <c r="R719" s="1092"/>
      <c r="S719" s="1083"/>
      <c r="T719" s="1083"/>
      <c r="U719" s="1083"/>
      <c r="V719" s="1083"/>
      <c r="W719" s="1083"/>
      <c r="X719" s="1083"/>
      <c r="Y719" s="1083"/>
    </row>
    <row r="720">
      <c r="A720" s="1120"/>
      <c r="B720" s="1120"/>
      <c r="C720" s="1142"/>
      <c r="D720" s="1058"/>
      <c r="E720" s="1081"/>
      <c r="F720" s="1142"/>
      <c r="G720" s="1081"/>
      <c r="H720" s="1142"/>
      <c r="I720" s="1081"/>
      <c r="J720" s="1081"/>
      <c r="K720" s="1081"/>
      <c r="L720" s="1142"/>
      <c r="M720" s="1142"/>
      <c r="N720" s="1081"/>
      <c r="O720" s="1142"/>
      <c r="P720" s="1081"/>
      <c r="Q720" s="1142"/>
      <c r="R720" s="1081"/>
      <c r="S720" s="1142"/>
      <c r="T720" s="1142"/>
      <c r="U720" s="1142"/>
      <c r="V720" s="1142"/>
      <c r="W720" s="1142"/>
      <c r="X720" s="1142"/>
      <c r="Y720" s="1142"/>
    </row>
    <row r="721">
      <c r="A721" s="1140"/>
      <c r="B721" s="1140"/>
      <c r="C721" s="1083"/>
      <c r="D721" s="1058"/>
      <c r="E721" s="1092"/>
      <c r="F721" s="1083"/>
      <c r="G721" s="1092"/>
      <c r="H721" s="1083"/>
      <c r="I721" s="1092"/>
      <c r="J721" s="1092"/>
      <c r="K721" s="1092"/>
      <c r="L721" s="1083"/>
      <c r="M721" s="1083"/>
      <c r="N721" s="1092"/>
      <c r="O721" s="1083"/>
      <c r="P721" s="1092"/>
      <c r="Q721" s="1083"/>
      <c r="R721" s="1092"/>
      <c r="S721" s="1083"/>
      <c r="T721" s="1083"/>
      <c r="U721" s="1083"/>
      <c r="V721" s="1083"/>
      <c r="W721" s="1083"/>
      <c r="X721" s="1083"/>
      <c r="Y721" s="1083"/>
    </row>
    <row r="722">
      <c r="A722" s="1120"/>
      <c r="B722" s="1120"/>
      <c r="C722" s="1142"/>
      <c r="D722" s="1058"/>
      <c r="E722" s="1081"/>
      <c r="F722" s="1142"/>
      <c r="G722" s="1081"/>
      <c r="H722" s="1142"/>
      <c r="I722" s="1081"/>
      <c r="J722" s="1081"/>
      <c r="K722" s="1081"/>
      <c r="L722" s="1142"/>
      <c r="M722" s="1142"/>
      <c r="N722" s="1081"/>
      <c r="O722" s="1142"/>
      <c r="P722" s="1081"/>
      <c r="Q722" s="1142"/>
      <c r="R722" s="1081"/>
      <c r="S722" s="1142"/>
      <c r="T722" s="1142"/>
      <c r="U722" s="1142"/>
      <c r="V722" s="1142"/>
      <c r="W722" s="1142"/>
      <c r="X722" s="1142"/>
      <c r="Y722" s="1142"/>
    </row>
    <row r="723">
      <c r="A723" s="1140"/>
      <c r="B723" s="1140"/>
      <c r="C723" s="1083"/>
      <c r="D723" s="1058"/>
      <c r="E723" s="1092"/>
      <c r="F723" s="1083"/>
      <c r="G723" s="1092"/>
      <c r="H723" s="1083"/>
      <c r="I723" s="1092"/>
      <c r="J723" s="1092"/>
      <c r="K723" s="1092"/>
      <c r="L723" s="1083"/>
      <c r="M723" s="1083"/>
      <c r="N723" s="1092"/>
      <c r="O723" s="1083"/>
      <c r="P723" s="1092"/>
      <c r="Q723" s="1083"/>
      <c r="R723" s="1092"/>
      <c r="S723" s="1083"/>
      <c r="T723" s="1083"/>
      <c r="U723" s="1083"/>
      <c r="V723" s="1083"/>
      <c r="W723" s="1083"/>
      <c r="X723" s="1083"/>
      <c r="Y723" s="1083"/>
    </row>
    <row r="724">
      <c r="A724" s="1120"/>
      <c r="B724" s="1120"/>
      <c r="C724" s="1142"/>
      <c r="D724" s="1058"/>
      <c r="E724" s="1081"/>
      <c r="F724" s="1142"/>
      <c r="G724" s="1081"/>
      <c r="H724" s="1142"/>
      <c r="I724" s="1081"/>
      <c r="J724" s="1081"/>
      <c r="K724" s="1081"/>
      <c r="L724" s="1142"/>
      <c r="M724" s="1142"/>
      <c r="N724" s="1081"/>
      <c r="O724" s="1142"/>
      <c r="P724" s="1081"/>
      <c r="Q724" s="1142"/>
      <c r="R724" s="1081"/>
      <c r="S724" s="1142"/>
      <c r="T724" s="1142"/>
      <c r="U724" s="1142"/>
      <c r="V724" s="1142"/>
      <c r="W724" s="1142"/>
      <c r="X724" s="1142"/>
      <c r="Y724" s="1142"/>
    </row>
    <row r="725">
      <c r="A725" s="1140"/>
      <c r="B725" s="1140"/>
      <c r="C725" s="1083"/>
      <c r="D725" s="1058"/>
      <c r="E725" s="1092"/>
      <c r="F725" s="1083"/>
      <c r="G725" s="1092"/>
      <c r="H725" s="1083"/>
      <c r="I725" s="1092"/>
      <c r="J725" s="1092"/>
      <c r="K725" s="1092"/>
      <c r="L725" s="1083"/>
      <c r="M725" s="1083"/>
      <c r="N725" s="1092"/>
      <c r="O725" s="1083"/>
      <c r="P725" s="1092"/>
      <c r="Q725" s="1083"/>
      <c r="R725" s="1092"/>
      <c r="S725" s="1083"/>
      <c r="T725" s="1083"/>
      <c r="U725" s="1083"/>
      <c r="V725" s="1083"/>
      <c r="W725" s="1083"/>
      <c r="X725" s="1083"/>
      <c r="Y725" s="1083"/>
    </row>
    <row r="726">
      <c r="A726" s="1120"/>
      <c r="B726" s="1120"/>
      <c r="C726" s="1142"/>
      <c r="D726" s="1058"/>
      <c r="E726" s="1081"/>
      <c r="F726" s="1142"/>
      <c r="G726" s="1081"/>
      <c r="H726" s="1142"/>
      <c r="I726" s="1081"/>
      <c r="J726" s="1081"/>
      <c r="K726" s="1081"/>
      <c r="L726" s="1142"/>
      <c r="M726" s="1142"/>
      <c r="N726" s="1081"/>
      <c r="O726" s="1142"/>
      <c r="P726" s="1081"/>
      <c r="Q726" s="1142"/>
      <c r="R726" s="1081"/>
      <c r="S726" s="1142"/>
      <c r="T726" s="1142"/>
      <c r="U726" s="1142"/>
      <c r="V726" s="1142"/>
      <c r="W726" s="1142"/>
      <c r="X726" s="1142"/>
      <c r="Y726" s="1142"/>
    </row>
    <row r="727">
      <c r="A727" s="1140"/>
      <c r="B727" s="1140"/>
      <c r="C727" s="1083"/>
      <c r="D727" s="1058"/>
      <c r="E727" s="1092"/>
      <c r="F727" s="1083"/>
      <c r="G727" s="1092"/>
      <c r="H727" s="1083"/>
      <c r="I727" s="1092"/>
      <c r="J727" s="1092"/>
      <c r="K727" s="1092"/>
      <c r="L727" s="1083"/>
      <c r="M727" s="1083"/>
      <c r="N727" s="1092"/>
      <c r="O727" s="1083"/>
      <c r="P727" s="1092"/>
      <c r="Q727" s="1083"/>
      <c r="R727" s="1092"/>
      <c r="S727" s="1083"/>
      <c r="T727" s="1083"/>
      <c r="U727" s="1083"/>
      <c r="V727" s="1083"/>
      <c r="W727" s="1083"/>
      <c r="X727" s="1083"/>
      <c r="Y727" s="1083"/>
    </row>
    <row r="728">
      <c r="A728" s="1120"/>
      <c r="B728" s="1120"/>
      <c r="C728" s="1142"/>
      <c r="D728" s="1058"/>
      <c r="E728" s="1081"/>
      <c r="F728" s="1142"/>
      <c r="G728" s="1081"/>
      <c r="H728" s="1142"/>
      <c r="I728" s="1081"/>
      <c r="J728" s="1081"/>
      <c r="K728" s="1081"/>
      <c r="L728" s="1142"/>
      <c r="M728" s="1142"/>
      <c r="N728" s="1081"/>
      <c r="O728" s="1142"/>
      <c r="P728" s="1081"/>
      <c r="Q728" s="1142"/>
      <c r="R728" s="1081"/>
      <c r="S728" s="1142"/>
      <c r="T728" s="1142"/>
      <c r="U728" s="1142"/>
      <c r="V728" s="1142"/>
      <c r="W728" s="1142"/>
      <c r="X728" s="1142"/>
      <c r="Y728" s="1142"/>
    </row>
    <row r="729">
      <c r="A729" s="1140"/>
      <c r="B729" s="1140"/>
      <c r="C729" s="1083"/>
      <c r="D729" s="1058"/>
      <c r="E729" s="1092"/>
      <c r="F729" s="1083"/>
      <c r="G729" s="1092"/>
      <c r="H729" s="1083"/>
      <c r="I729" s="1092"/>
      <c r="J729" s="1092"/>
      <c r="K729" s="1092"/>
      <c r="L729" s="1083"/>
      <c r="M729" s="1083"/>
      <c r="N729" s="1092"/>
      <c r="O729" s="1083"/>
      <c r="P729" s="1092"/>
      <c r="Q729" s="1083"/>
      <c r="R729" s="1092"/>
      <c r="S729" s="1083"/>
      <c r="T729" s="1083"/>
      <c r="U729" s="1083"/>
      <c r="V729" s="1083"/>
      <c r="W729" s="1083"/>
      <c r="X729" s="1083"/>
      <c r="Y729" s="1083"/>
    </row>
    <row r="730">
      <c r="A730" s="1120"/>
      <c r="B730" s="1120"/>
      <c r="C730" s="1142"/>
      <c r="D730" s="1058"/>
      <c r="E730" s="1081"/>
      <c r="F730" s="1142"/>
      <c r="G730" s="1081"/>
      <c r="H730" s="1142"/>
      <c r="I730" s="1081"/>
      <c r="J730" s="1081"/>
      <c r="K730" s="1081"/>
      <c r="L730" s="1142"/>
      <c r="M730" s="1142"/>
      <c r="N730" s="1081"/>
      <c r="O730" s="1142"/>
      <c r="P730" s="1081"/>
      <c r="Q730" s="1142"/>
      <c r="R730" s="1081"/>
      <c r="S730" s="1142"/>
      <c r="T730" s="1142"/>
      <c r="U730" s="1142"/>
      <c r="V730" s="1142"/>
      <c r="W730" s="1142"/>
      <c r="X730" s="1142"/>
      <c r="Y730" s="1142"/>
    </row>
    <row r="731">
      <c r="A731" s="1140"/>
      <c r="B731" s="1140"/>
      <c r="C731" s="1083"/>
      <c r="D731" s="1058"/>
      <c r="E731" s="1092"/>
      <c r="F731" s="1083"/>
      <c r="G731" s="1092"/>
      <c r="H731" s="1083"/>
      <c r="I731" s="1092"/>
      <c r="J731" s="1092"/>
      <c r="K731" s="1092"/>
      <c r="L731" s="1083"/>
      <c r="M731" s="1083"/>
      <c r="N731" s="1092"/>
      <c r="O731" s="1083"/>
      <c r="P731" s="1092"/>
      <c r="Q731" s="1083"/>
      <c r="R731" s="1092"/>
      <c r="S731" s="1083"/>
      <c r="T731" s="1083"/>
      <c r="U731" s="1083"/>
      <c r="V731" s="1083"/>
      <c r="W731" s="1083"/>
      <c r="X731" s="1083"/>
      <c r="Y731" s="1083"/>
    </row>
    <row r="732">
      <c r="A732" s="1120"/>
      <c r="B732" s="1120"/>
      <c r="C732" s="1142"/>
      <c r="D732" s="1058"/>
      <c r="E732" s="1081"/>
      <c r="F732" s="1142"/>
      <c r="G732" s="1081"/>
      <c r="H732" s="1142"/>
      <c r="I732" s="1081"/>
      <c r="J732" s="1081"/>
      <c r="K732" s="1081"/>
      <c r="L732" s="1142"/>
      <c r="M732" s="1142"/>
      <c r="N732" s="1081"/>
      <c r="O732" s="1142"/>
      <c r="P732" s="1081"/>
      <c r="Q732" s="1142"/>
      <c r="R732" s="1081"/>
      <c r="S732" s="1142"/>
      <c r="T732" s="1142"/>
      <c r="U732" s="1142"/>
      <c r="V732" s="1142"/>
      <c r="W732" s="1142"/>
      <c r="X732" s="1142"/>
      <c r="Y732" s="1142"/>
    </row>
    <row r="733">
      <c r="A733" s="1140"/>
      <c r="B733" s="1140"/>
      <c r="C733" s="1083"/>
      <c r="D733" s="1058"/>
      <c r="E733" s="1092"/>
      <c r="F733" s="1083"/>
      <c r="G733" s="1092"/>
      <c r="H733" s="1083"/>
      <c r="I733" s="1092"/>
      <c r="J733" s="1092"/>
      <c r="K733" s="1092"/>
      <c r="L733" s="1083"/>
      <c r="M733" s="1083"/>
      <c r="N733" s="1092"/>
      <c r="O733" s="1083"/>
      <c r="P733" s="1092"/>
      <c r="Q733" s="1083"/>
      <c r="R733" s="1092"/>
      <c r="S733" s="1083"/>
      <c r="T733" s="1083"/>
      <c r="U733" s="1083"/>
      <c r="V733" s="1083"/>
      <c r="W733" s="1083"/>
      <c r="X733" s="1083"/>
      <c r="Y733" s="1083"/>
    </row>
    <row r="734">
      <c r="A734" s="1120"/>
      <c r="B734" s="1120"/>
      <c r="C734" s="1142"/>
      <c r="D734" s="1058"/>
      <c r="E734" s="1081"/>
      <c r="F734" s="1142"/>
      <c r="G734" s="1081"/>
      <c r="H734" s="1142"/>
      <c r="I734" s="1081"/>
      <c r="J734" s="1081"/>
      <c r="K734" s="1081"/>
      <c r="L734" s="1142"/>
      <c r="M734" s="1142"/>
      <c r="N734" s="1081"/>
      <c r="O734" s="1142"/>
      <c r="P734" s="1081"/>
      <c r="Q734" s="1142"/>
      <c r="R734" s="1081"/>
      <c r="S734" s="1142"/>
      <c r="T734" s="1142"/>
      <c r="U734" s="1142"/>
      <c r="V734" s="1142"/>
      <c r="W734" s="1142"/>
      <c r="X734" s="1142"/>
      <c r="Y734" s="1142"/>
    </row>
    <row r="735">
      <c r="A735" s="1140"/>
      <c r="B735" s="1140"/>
      <c r="C735" s="1083"/>
      <c r="D735" s="1058"/>
      <c r="E735" s="1092"/>
      <c r="F735" s="1083"/>
      <c r="G735" s="1092"/>
      <c r="H735" s="1083"/>
      <c r="I735" s="1092"/>
      <c r="J735" s="1092"/>
      <c r="K735" s="1092"/>
      <c r="L735" s="1083"/>
      <c r="M735" s="1083"/>
      <c r="N735" s="1092"/>
      <c r="O735" s="1083"/>
      <c r="P735" s="1092"/>
      <c r="Q735" s="1083"/>
      <c r="R735" s="1092"/>
      <c r="S735" s="1083"/>
      <c r="T735" s="1083"/>
      <c r="U735" s="1083"/>
      <c r="V735" s="1083"/>
      <c r="W735" s="1083"/>
      <c r="X735" s="1083"/>
      <c r="Y735" s="1083"/>
    </row>
    <row r="736">
      <c r="A736" s="1120"/>
      <c r="B736" s="1120"/>
      <c r="C736" s="1142"/>
      <c r="D736" s="1058"/>
      <c r="E736" s="1081"/>
      <c r="F736" s="1142"/>
      <c r="G736" s="1081"/>
      <c r="H736" s="1142"/>
      <c r="I736" s="1081"/>
      <c r="J736" s="1081"/>
      <c r="K736" s="1081"/>
      <c r="L736" s="1142"/>
      <c r="M736" s="1142"/>
      <c r="N736" s="1081"/>
      <c r="O736" s="1142"/>
      <c r="P736" s="1081"/>
      <c r="Q736" s="1142"/>
      <c r="R736" s="1081"/>
      <c r="S736" s="1142"/>
      <c r="T736" s="1142"/>
      <c r="U736" s="1142"/>
      <c r="V736" s="1142"/>
      <c r="W736" s="1142"/>
      <c r="X736" s="1142"/>
      <c r="Y736" s="1142"/>
    </row>
    <row r="737">
      <c r="A737" s="1140"/>
      <c r="B737" s="1140"/>
      <c r="C737" s="1083"/>
      <c r="D737" s="1058"/>
      <c r="E737" s="1092"/>
      <c r="F737" s="1083"/>
      <c r="G737" s="1092"/>
      <c r="H737" s="1083"/>
      <c r="I737" s="1092"/>
      <c r="J737" s="1092"/>
      <c r="K737" s="1092"/>
      <c r="L737" s="1083"/>
      <c r="M737" s="1083"/>
      <c r="N737" s="1092"/>
      <c r="O737" s="1083"/>
      <c r="P737" s="1092"/>
      <c r="Q737" s="1083"/>
      <c r="R737" s="1092"/>
      <c r="S737" s="1083"/>
      <c r="T737" s="1083"/>
      <c r="U737" s="1083"/>
      <c r="V737" s="1083"/>
      <c r="W737" s="1083"/>
      <c r="X737" s="1083"/>
      <c r="Y737" s="1083"/>
    </row>
    <row r="738">
      <c r="A738" s="1120"/>
      <c r="B738" s="1120"/>
      <c r="C738" s="1142"/>
      <c r="D738" s="1058"/>
      <c r="E738" s="1081"/>
      <c r="F738" s="1142"/>
      <c r="G738" s="1081"/>
      <c r="H738" s="1142"/>
      <c r="I738" s="1081"/>
      <c r="J738" s="1081"/>
      <c r="K738" s="1081"/>
      <c r="L738" s="1142"/>
      <c r="M738" s="1142"/>
      <c r="N738" s="1081"/>
      <c r="O738" s="1142"/>
      <c r="P738" s="1081"/>
      <c r="Q738" s="1142"/>
      <c r="R738" s="1081"/>
      <c r="S738" s="1142"/>
      <c r="T738" s="1142"/>
      <c r="U738" s="1142"/>
      <c r="V738" s="1142"/>
      <c r="W738" s="1142"/>
      <c r="X738" s="1142"/>
      <c r="Y738" s="1142"/>
    </row>
    <row r="739">
      <c r="A739" s="1140"/>
      <c r="B739" s="1140"/>
      <c r="C739" s="1083"/>
      <c r="D739" s="1058"/>
      <c r="E739" s="1092"/>
      <c r="F739" s="1083"/>
      <c r="G739" s="1092"/>
      <c r="H739" s="1083"/>
      <c r="I739" s="1092"/>
      <c r="J739" s="1092"/>
      <c r="K739" s="1092"/>
      <c r="L739" s="1083"/>
      <c r="M739" s="1083"/>
      <c r="N739" s="1092"/>
      <c r="O739" s="1083"/>
      <c r="P739" s="1092"/>
      <c r="Q739" s="1083"/>
      <c r="R739" s="1092"/>
      <c r="S739" s="1083"/>
      <c r="T739" s="1083"/>
      <c r="U739" s="1083"/>
      <c r="V739" s="1083"/>
      <c r="W739" s="1083"/>
      <c r="X739" s="1083"/>
      <c r="Y739" s="1083"/>
    </row>
    <row r="740">
      <c r="A740" s="1120"/>
      <c r="B740" s="1120"/>
      <c r="C740" s="1142"/>
      <c r="D740" s="1058"/>
      <c r="E740" s="1081"/>
      <c r="F740" s="1142"/>
      <c r="G740" s="1081"/>
      <c r="H740" s="1142"/>
      <c r="I740" s="1081"/>
      <c r="J740" s="1081"/>
      <c r="K740" s="1081"/>
      <c r="L740" s="1142"/>
      <c r="M740" s="1142"/>
      <c r="N740" s="1081"/>
      <c r="O740" s="1142"/>
      <c r="P740" s="1081"/>
      <c r="Q740" s="1142"/>
      <c r="R740" s="1081"/>
      <c r="S740" s="1142"/>
      <c r="T740" s="1142"/>
      <c r="U740" s="1142"/>
      <c r="V740" s="1142"/>
      <c r="W740" s="1142"/>
      <c r="X740" s="1142"/>
      <c r="Y740" s="1142"/>
    </row>
    <row r="741">
      <c r="A741" s="1140"/>
      <c r="B741" s="1140"/>
      <c r="C741" s="1083"/>
      <c r="D741" s="1058"/>
      <c r="E741" s="1092"/>
      <c r="F741" s="1083"/>
      <c r="G741" s="1092"/>
      <c r="H741" s="1083"/>
      <c r="I741" s="1092"/>
      <c r="J741" s="1092"/>
      <c r="K741" s="1092"/>
      <c r="L741" s="1083"/>
      <c r="M741" s="1083"/>
      <c r="N741" s="1092"/>
      <c r="O741" s="1083"/>
      <c r="P741" s="1092"/>
      <c r="Q741" s="1083"/>
      <c r="R741" s="1092"/>
      <c r="S741" s="1083"/>
      <c r="T741" s="1083"/>
      <c r="U741" s="1083"/>
      <c r="V741" s="1083"/>
      <c r="W741" s="1083"/>
      <c r="X741" s="1083"/>
      <c r="Y741" s="1083"/>
    </row>
    <row r="742">
      <c r="A742" s="1120"/>
      <c r="B742" s="1120"/>
      <c r="C742" s="1142"/>
      <c r="D742" s="1058"/>
      <c r="E742" s="1081"/>
      <c r="F742" s="1142"/>
      <c r="G742" s="1081"/>
      <c r="H742" s="1142"/>
      <c r="I742" s="1081"/>
      <c r="J742" s="1081"/>
      <c r="K742" s="1081"/>
      <c r="L742" s="1142"/>
      <c r="M742" s="1142"/>
      <c r="N742" s="1081"/>
      <c r="O742" s="1142"/>
      <c r="P742" s="1081"/>
      <c r="Q742" s="1142"/>
      <c r="R742" s="1081"/>
      <c r="S742" s="1142"/>
      <c r="T742" s="1142"/>
      <c r="U742" s="1142"/>
      <c r="V742" s="1142"/>
      <c r="W742" s="1142"/>
      <c r="X742" s="1142"/>
      <c r="Y742" s="1142"/>
    </row>
    <row r="743">
      <c r="A743" s="1140"/>
      <c r="B743" s="1140"/>
      <c r="C743" s="1083"/>
      <c r="D743" s="1058"/>
      <c r="E743" s="1092"/>
      <c r="F743" s="1083"/>
      <c r="G743" s="1092"/>
      <c r="H743" s="1083"/>
      <c r="I743" s="1092"/>
      <c r="J743" s="1092"/>
      <c r="K743" s="1092"/>
      <c r="L743" s="1083"/>
      <c r="M743" s="1083"/>
      <c r="N743" s="1092"/>
      <c r="O743" s="1083"/>
      <c r="P743" s="1092"/>
      <c r="Q743" s="1083"/>
      <c r="R743" s="1092"/>
      <c r="S743" s="1083"/>
      <c r="T743" s="1083"/>
      <c r="U743" s="1083"/>
      <c r="V743" s="1083"/>
      <c r="W743" s="1083"/>
      <c r="X743" s="1083"/>
      <c r="Y743" s="1083"/>
    </row>
    <row r="744">
      <c r="A744" s="1120"/>
      <c r="B744" s="1120"/>
      <c r="C744" s="1142"/>
      <c r="D744" s="1058"/>
      <c r="E744" s="1081"/>
      <c r="F744" s="1142"/>
      <c r="G744" s="1081"/>
      <c r="H744" s="1142"/>
      <c r="I744" s="1081"/>
      <c r="J744" s="1081"/>
      <c r="K744" s="1081"/>
      <c r="L744" s="1142"/>
      <c r="M744" s="1142"/>
      <c r="N744" s="1081"/>
      <c r="O744" s="1142"/>
      <c r="P744" s="1081"/>
      <c r="Q744" s="1142"/>
      <c r="R744" s="1081"/>
      <c r="S744" s="1142"/>
      <c r="T744" s="1142"/>
      <c r="U744" s="1142"/>
      <c r="V744" s="1142"/>
      <c r="W744" s="1142"/>
      <c r="X744" s="1142"/>
      <c r="Y744" s="1142"/>
    </row>
    <row r="745">
      <c r="A745" s="1140"/>
      <c r="B745" s="1140"/>
      <c r="C745" s="1083"/>
      <c r="D745" s="1058"/>
      <c r="E745" s="1092"/>
      <c r="F745" s="1083"/>
      <c r="G745" s="1092"/>
      <c r="H745" s="1083"/>
      <c r="I745" s="1092"/>
      <c r="J745" s="1092"/>
      <c r="K745" s="1092"/>
      <c r="L745" s="1083"/>
      <c r="M745" s="1083"/>
      <c r="N745" s="1092"/>
      <c r="O745" s="1083"/>
      <c r="P745" s="1092"/>
      <c r="Q745" s="1083"/>
      <c r="R745" s="1092"/>
      <c r="S745" s="1083"/>
      <c r="T745" s="1083"/>
      <c r="U745" s="1083"/>
      <c r="V745" s="1083"/>
      <c r="W745" s="1083"/>
      <c r="X745" s="1083"/>
      <c r="Y745" s="1083"/>
    </row>
    <row r="746">
      <c r="A746" s="1120"/>
      <c r="B746" s="1120"/>
      <c r="C746" s="1142"/>
      <c r="D746" s="1058"/>
      <c r="E746" s="1081"/>
      <c r="F746" s="1142"/>
      <c r="G746" s="1081"/>
      <c r="H746" s="1142"/>
      <c r="I746" s="1081"/>
      <c r="J746" s="1081"/>
      <c r="K746" s="1081"/>
      <c r="L746" s="1142"/>
      <c r="M746" s="1142"/>
      <c r="N746" s="1081"/>
      <c r="O746" s="1142"/>
      <c r="P746" s="1081"/>
      <c r="Q746" s="1142"/>
      <c r="R746" s="1081"/>
      <c r="S746" s="1142"/>
      <c r="T746" s="1142"/>
      <c r="U746" s="1142"/>
      <c r="V746" s="1142"/>
      <c r="W746" s="1142"/>
      <c r="X746" s="1142"/>
      <c r="Y746" s="1142"/>
    </row>
    <row r="747">
      <c r="A747" s="1140"/>
      <c r="B747" s="1140"/>
      <c r="C747" s="1083"/>
      <c r="D747" s="1058"/>
      <c r="E747" s="1092"/>
      <c r="F747" s="1083"/>
      <c r="G747" s="1092"/>
      <c r="H747" s="1083"/>
      <c r="I747" s="1092"/>
      <c r="J747" s="1092"/>
      <c r="K747" s="1092"/>
      <c r="L747" s="1083"/>
      <c r="M747" s="1083"/>
      <c r="N747" s="1092"/>
      <c r="O747" s="1083"/>
      <c r="P747" s="1092"/>
      <c r="Q747" s="1083"/>
      <c r="R747" s="1092"/>
      <c r="S747" s="1083"/>
      <c r="T747" s="1083"/>
      <c r="U747" s="1083"/>
      <c r="V747" s="1083"/>
      <c r="W747" s="1083"/>
      <c r="X747" s="1083"/>
      <c r="Y747" s="1083"/>
    </row>
    <row r="748">
      <c r="A748" s="1120"/>
      <c r="B748" s="1120"/>
      <c r="C748" s="1142"/>
      <c r="D748" s="1058"/>
      <c r="E748" s="1081"/>
      <c r="F748" s="1142"/>
      <c r="G748" s="1081"/>
      <c r="H748" s="1142"/>
      <c r="I748" s="1081"/>
      <c r="J748" s="1081"/>
      <c r="K748" s="1081"/>
      <c r="L748" s="1142"/>
      <c r="M748" s="1142"/>
      <c r="N748" s="1081"/>
      <c r="O748" s="1142"/>
      <c r="P748" s="1081"/>
      <c r="Q748" s="1142"/>
      <c r="R748" s="1081"/>
      <c r="S748" s="1142"/>
      <c r="T748" s="1142"/>
      <c r="U748" s="1142"/>
      <c r="V748" s="1142"/>
      <c r="W748" s="1142"/>
      <c r="X748" s="1142"/>
      <c r="Y748" s="1142"/>
    </row>
    <row r="749">
      <c r="A749" s="1140"/>
      <c r="B749" s="1140"/>
      <c r="C749" s="1083"/>
      <c r="D749" s="1058"/>
      <c r="E749" s="1092"/>
      <c r="F749" s="1083"/>
      <c r="G749" s="1092"/>
      <c r="H749" s="1083"/>
      <c r="I749" s="1092"/>
      <c r="J749" s="1092"/>
      <c r="K749" s="1092"/>
      <c r="L749" s="1083"/>
      <c r="M749" s="1083"/>
      <c r="N749" s="1092"/>
      <c r="O749" s="1083"/>
      <c r="P749" s="1092"/>
      <c r="Q749" s="1083"/>
      <c r="R749" s="1092"/>
      <c r="S749" s="1083"/>
      <c r="T749" s="1083"/>
      <c r="U749" s="1083"/>
      <c r="V749" s="1083"/>
      <c r="W749" s="1083"/>
      <c r="X749" s="1083"/>
      <c r="Y749" s="1083"/>
    </row>
    <row r="750">
      <c r="A750" s="1120"/>
      <c r="B750" s="1120"/>
      <c r="C750" s="1142"/>
      <c r="D750" s="1058"/>
      <c r="E750" s="1081"/>
      <c r="F750" s="1142"/>
      <c r="G750" s="1081"/>
      <c r="H750" s="1142"/>
      <c r="I750" s="1081"/>
      <c r="J750" s="1081"/>
      <c r="K750" s="1081"/>
      <c r="L750" s="1142"/>
      <c r="M750" s="1142"/>
      <c r="N750" s="1081"/>
      <c r="O750" s="1142"/>
      <c r="P750" s="1081"/>
      <c r="Q750" s="1142"/>
      <c r="R750" s="1081"/>
      <c r="S750" s="1142"/>
      <c r="T750" s="1142"/>
      <c r="U750" s="1142"/>
      <c r="V750" s="1142"/>
      <c r="W750" s="1142"/>
      <c r="X750" s="1142"/>
      <c r="Y750" s="1142"/>
    </row>
    <row r="751">
      <c r="A751" s="1140"/>
      <c r="B751" s="1140"/>
      <c r="C751" s="1083"/>
      <c r="D751" s="1058"/>
      <c r="E751" s="1092"/>
      <c r="F751" s="1083"/>
      <c r="G751" s="1092"/>
      <c r="H751" s="1083"/>
      <c r="I751" s="1092"/>
      <c r="J751" s="1092"/>
      <c r="K751" s="1092"/>
      <c r="L751" s="1083"/>
      <c r="M751" s="1083"/>
      <c r="N751" s="1092"/>
      <c r="O751" s="1083"/>
      <c r="P751" s="1092"/>
      <c r="Q751" s="1083"/>
      <c r="R751" s="1092"/>
      <c r="S751" s="1083"/>
      <c r="T751" s="1083"/>
      <c r="U751" s="1083"/>
      <c r="V751" s="1083"/>
      <c r="W751" s="1083"/>
      <c r="X751" s="1083"/>
      <c r="Y751" s="1083"/>
    </row>
    <row r="752">
      <c r="A752" s="1120"/>
      <c r="B752" s="1120"/>
      <c r="C752" s="1142"/>
      <c r="D752" s="1058"/>
      <c r="E752" s="1081"/>
      <c r="F752" s="1142"/>
      <c r="G752" s="1081"/>
      <c r="H752" s="1142"/>
      <c r="I752" s="1081"/>
      <c r="J752" s="1081"/>
      <c r="K752" s="1081"/>
      <c r="L752" s="1142"/>
      <c r="M752" s="1142"/>
      <c r="N752" s="1081"/>
      <c r="O752" s="1142"/>
      <c r="P752" s="1081"/>
      <c r="Q752" s="1142"/>
      <c r="R752" s="1081"/>
      <c r="S752" s="1142"/>
      <c r="T752" s="1142"/>
      <c r="U752" s="1142"/>
      <c r="V752" s="1142"/>
      <c r="W752" s="1142"/>
      <c r="X752" s="1142"/>
      <c r="Y752" s="1142"/>
    </row>
    <row r="753">
      <c r="A753" s="1140"/>
      <c r="B753" s="1140"/>
      <c r="C753" s="1083"/>
      <c r="D753" s="1058"/>
      <c r="E753" s="1092"/>
      <c r="F753" s="1083"/>
      <c r="G753" s="1092"/>
      <c r="H753" s="1083"/>
      <c r="I753" s="1092"/>
      <c r="J753" s="1092"/>
      <c r="K753" s="1092"/>
      <c r="L753" s="1083"/>
      <c r="M753" s="1083"/>
      <c r="N753" s="1092"/>
      <c r="O753" s="1083"/>
      <c r="P753" s="1092"/>
      <c r="Q753" s="1083"/>
      <c r="R753" s="1092"/>
      <c r="S753" s="1083"/>
      <c r="T753" s="1083"/>
      <c r="U753" s="1083"/>
      <c r="V753" s="1083"/>
      <c r="W753" s="1083"/>
      <c r="X753" s="1083"/>
      <c r="Y753" s="1083"/>
    </row>
    <row r="754">
      <c r="A754" s="1120"/>
      <c r="B754" s="1120"/>
      <c r="C754" s="1142"/>
      <c r="D754" s="1058"/>
      <c r="E754" s="1081"/>
      <c r="F754" s="1142"/>
      <c r="G754" s="1081"/>
      <c r="H754" s="1142"/>
      <c r="I754" s="1081"/>
      <c r="J754" s="1081"/>
      <c r="K754" s="1081"/>
      <c r="L754" s="1142"/>
      <c r="M754" s="1142"/>
      <c r="N754" s="1081"/>
      <c r="O754" s="1142"/>
      <c r="P754" s="1081"/>
      <c r="Q754" s="1142"/>
      <c r="R754" s="1081"/>
      <c r="S754" s="1142"/>
      <c r="T754" s="1142"/>
      <c r="U754" s="1142"/>
      <c r="V754" s="1142"/>
      <c r="W754" s="1142"/>
      <c r="X754" s="1142"/>
      <c r="Y754" s="1142"/>
    </row>
    <row r="755">
      <c r="A755" s="1140"/>
      <c r="B755" s="1140"/>
      <c r="C755" s="1083"/>
      <c r="D755" s="1058"/>
      <c r="E755" s="1092"/>
      <c r="F755" s="1083"/>
      <c r="G755" s="1092"/>
      <c r="H755" s="1083"/>
      <c r="I755" s="1092"/>
      <c r="J755" s="1092"/>
      <c r="K755" s="1092"/>
      <c r="L755" s="1083"/>
      <c r="M755" s="1083"/>
      <c r="N755" s="1092"/>
      <c r="O755" s="1083"/>
      <c r="P755" s="1092"/>
      <c r="Q755" s="1083"/>
      <c r="R755" s="1092"/>
      <c r="S755" s="1083"/>
      <c r="T755" s="1083"/>
      <c r="U755" s="1083"/>
      <c r="V755" s="1083"/>
      <c r="W755" s="1083"/>
      <c r="X755" s="1083"/>
      <c r="Y755" s="1083"/>
    </row>
    <row r="756">
      <c r="A756" s="1120"/>
      <c r="B756" s="1120"/>
      <c r="C756" s="1142"/>
      <c r="D756" s="1058"/>
      <c r="E756" s="1081"/>
      <c r="F756" s="1142"/>
      <c r="G756" s="1081"/>
      <c r="H756" s="1142"/>
      <c r="I756" s="1081"/>
      <c r="J756" s="1081"/>
      <c r="K756" s="1081"/>
      <c r="L756" s="1142"/>
      <c r="M756" s="1142"/>
      <c r="N756" s="1081"/>
      <c r="O756" s="1142"/>
      <c r="P756" s="1081"/>
      <c r="Q756" s="1142"/>
      <c r="R756" s="1081"/>
      <c r="S756" s="1142"/>
      <c r="T756" s="1142"/>
      <c r="U756" s="1142"/>
      <c r="V756" s="1142"/>
      <c r="W756" s="1142"/>
      <c r="X756" s="1142"/>
      <c r="Y756" s="1142"/>
    </row>
    <row r="757">
      <c r="A757" s="1140"/>
      <c r="B757" s="1140"/>
      <c r="C757" s="1083"/>
      <c r="D757" s="1058"/>
      <c r="E757" s="1092"/>
      <c r="F757" s="1083"/>
      <c r="G757" s="1092"/>
      <c r="H757" s="1083"/>
      <c r="I757" s="1092"/>
      <c r="J757" s="1092"/>
      <c r="K757" s="1092"/>
      <c r="L757" s="1083"/>
      <c r="M757" s="1083"/>
      <c r="N757" s="1092"/>
      <c r="O757" s="1083"/>
      <c r="P757" s="1092"/>
      <c r="Q757" s="1083"/>
      <c r="R757" s="1092"/>
      <c r="S757" s="1083"/>
      <c r="T757" s="1083"/>
      <c r="U757" s="1083"/>
      <c r="V757" s="1083"/>
      <c r="W757" s="1083"/>
      <c r="X757" s="1083"/>
      <c r="Y757" s="1083"/>
    </row>
    <row r="758">
      <c r="A758" s="1120"/>
      <c r="B758" s="1120"/>
      <c r="C758" s="1142"/>
      <c r="D758" s="1058"/>
      <c r="E758" s="1081"/>
      <c r="F758" s="1142"/>
      <c r="G758" s="1081"/>
      <c r="H758" s="1142"/>
      <c r="I758" s="1081"/>
      <c r="J758" s="1081"/>
      <c r="K758" s="1081"/>
      <c r="L758" s="1142"/>
      <c r="M758" s="1142"/>
      <c r="N758" s="1081"/>
      <c r="O758" s="1142"/>
      <c r="P758" s="1081"/>
      <c r="Q758" s="1142"/>
      <c r="R758" s="1081"/>
      <c r="S758" s="1142"/>
      <c r="T758" s="1142"/>
      <c r="U758" s="1142"/>
      <c r="V758" s="1142"/>
      <c r="W758" s="1142"/>
      <c r="X758" s="1142"/>
      <c r="Y758" s="1142"/>
    </row>
    <row r="759">
      <c r="A759" s="1140"/>
      <c r="B759" s="1140"/>
      <c r="C759" s="1083"/>
      <c r="D759" s="1058"/>
      <c r="E759" s="1092"/>
      <c r="F759" s="1083"/>
      <c r="G759" s="1092"/>
      <c r="H759" s="1083"/>
      <c r="I759" s="1092"/>
      <c r="J759" s="1092"/>
      <c r="K759" s="1092"/>
      <c r="L759" s="1083"/>
      <c r="M759" s="1083"/>
      <c r="N759" s="1092"/>
      <c r="O759" s="1083"/>
      <c r="P759" s="1092"/>
      <c r="Q759" s="1083"/>
      <c r="R759" s="1092"/>
      <c r="S759" s="1083"/>
      <c r="T759" s="1083"/>
      <c r="U759" s="1083"/>
      <c r="V759" s="1083"/>
      <c r="W759" s="1083"/>
      <c r="X759" s="1083"/>
      <c r="Y759" s="1083"/>
    </row>
    <row r="760">
      <c r="A760" s="1120"/>
      <c r="B760" s="1120"/>
      <c r="C760" s="1142"/>
      <c r="D760" s="1058"/>
      <c r="E760" s="1081"/>
      <c r="F760" s="1142"/>
      <c r="G760" s="1081"/>
      <c r="H760" s="1142"/>
      <c r="I760" s="1081"/>
      <c r="J760" s="1081"/>
      <c r="K760" s="1081"/>
      <c r="L760" s="1142"/>
      <c r="M760" s="1142"/>
      <c r="N760" s="1081"/>
      <c r="O760" s="1142"/>
      <c r="P760" s="1081"/>
      <c r="Q760" s="1142"/>
      <c r="R760" s="1081"/>
      <c r="S760" s="1142"/>
      <c r="T760" s="1142"/>
      <c r="U760" s="1142"/>
      <c r="V760" s="1142"/>
      <c r="W760" s="1142"/>
      <c r="X760" s="1142"/>
      <c r="Y760" s="1142"/>
    </row>
    <row r="761">
      <c r="A761" s="1140"/>
      <c r="B761" s="1140"/>
      <c r="C761" s="1083"/>
      <c r="D761" s="1058"/>
      <c r="E761" s="1092"/>
      <c r="F761" s="1083"/>
      <c r="G761" s="1092"/>
      <c r="H761" s="1083"/>
      <c r="I761" s="1092"/>
      <c r="J761" s="1092"/>
      <c r="K761" s="1092"/>
      <c r="L761" s="1083"/>
      <c r="M761" s="1083"/>
      <c r="N761" s="1092"/>
      <c r="O761" s="1083"/>
      <c r="P761" s="1092"/>
      <c r="Q761" s="1083"/>
      <c r="R761" s="1092"/>
      <c r="S761" s="1083"/>
      <c r="T761" s="1083"/>
      <c r="U761" s="1083"/>
      <c r="V761" s="1083"/>
      <c r="W761" s="1083"/>
      <c r="X761" s="1083"/>
      <c r="Y761" s="1083"/>
    </row>
    <row r="762">
      <c r="A762" s="1120"/>
      <c r="B762" s="1120"/>
      <c r="C762" s="1142"/>
      <c r="D762" s="1058"/>
      <c r="E762" s="1081"/>
      <c r="F762" s="1142"/>
      <c r="G762" s="1081"/>
      <c r="H762" s="1142"/>
      <c r="I762" s="1081"/>
      <c r="J762" s="1081"/>
      <c r="K762" s="1081"/>
      <c r="L762" s="1142"/>
      <c r="M762" s="1142"/>
      <c r="N762" s="1081"/>
      <c r="O762" s="1142"/>
      <c r="P762" s="1081"/>
      <c r="Q762" s="1142"/>
      <c r="R762" s="1081"/>
      <c r="S762" s="1142"/>
      <c r="T762" s="1142"/>
      <c r="U762" s="1142"/>
      <c r="V762" s="1142"/>
      <c r="W762" s="1142"/>
      <c r="X762" s="1142"/>
      <c r="Y762" s="1142"/>
    </row>
    <row r="763">
      <c r="A763" s="1140"/>
      <c r="B763" s="1140"/>
      <c r="C763" s="1083"/>
      <c r="D763" s="1058"/>
      <c r="E763" s="1092"/>
      <c r="F763" s="1083"/>
      <c r="G763" s="1092"/>
      <c r="H763" s="1083"/>
      <c r="I763" s="1092"/>
      <c r="J763" s="1092"/>
      <c r="K763" s="1092"/>
      <c r="L763" s="1083"/>
      <c r="M763" s="1083"/>
      <c r="N763" s="1092"/>
      <c r="O763" s="1083"/>
      <c r="P763" s="1092"/>
      <c r="Q763" s="1083"/>
      <c r="R763" s="1092"/>
      <c r="S763" s="1083"/>
      <c r="T763" s="1083"/>
      <c r="U763" s="1083"/>
      <c r="V763" s="1083"/>
      <c r="W763" s="1083"/>
      <c r="X763" s="1083"/>
      <c r="Y763" s="1083"/>
    </row>
    <row r="764">
      <c r="A764" s="1120"/>
      <c r="B764" s="1120"/>
      <c r="C764" s="1142"/>
      <c r="D764" s="1058"/>
      <c r="E764" s="1081"/>
      <c r="F764" s="1142"/>
      <c r="G764" s="1081"/>
      <c r="H764" s="1142"/>
      <c r="I764" s="1081"/>
      <c r="J764" s="1081"/>
      <c r="K764" s="1081"/>
      <c r="L764" s="1142"/>
      <c r="M764" s="1142"/>
      <c r="N764" s="1081"/>
      <c r="O764" s="1142"/>
      <c r="P764" s="1081"/>
      <c r="Q764" s="1142"/>
      <c r="R764" s="1081"/>
      <c r="S764" s="1142"/>
      <c r="T764" s="1142"/>
      <c r="U764" s="1142"/>
      <c r="V764" s="1142"/>
      <c r="W764" s="1142"/>
      <c r="X764" s="1142"/>
      <c r="Y764" s="1142"/>
    </row>
    <row r="765">
      <c r="A765" s="1140"/>
      <c r="B765" s="1140"/>
      <c r="C765" s="1083"/>
      <c r="D765" s="1058"/>
      <c r="E765" s="1092"/>
      <c r="F765" s="1083"/>
      <c r="G765" s="1092"/>
      <c r="H765" s="1083"/>
      <c r="I765" s="1092"/>
      <c r="J765" s="1092"/>
      <c r="K765" s="1092"/>
      <c r="L765" s="1083"/>
      <c r="M765" s="1083"/>
      <c r="N765" s="1092"/>
      <c r="O765" s="1083"/>
      <c r="P765" s="1092"/>
      <c r="Q765" s="1083"/>
      <c r="R765" s="1092"/>
      <c r="S765" s="1083"/>
      <c r="T765" s="1083"/>
      <c r="U765" s="1083"/>
      <c r="V765" s="1083"/>
      <c r="W765" s="1083"/>
      <c r="X765" s="1083"/>
      <c r="Y765" s="1083"/>
    </row>
    <row r="766">
      <c r="A766" s="1120"/>
      <c r="B766" s="1120"/>
      <c r="C766" s="1142"/>
      <c r="D766" s="1058"/>
      <c r="E766" s="1081"/>
      <c r="F766" s="1142"/>
      <c r="G766" s="1081"/>
      <c r="H766" s="1142"/>
      <c r="I766" s="1081"/>
      <c r="J766" s="1081"/>
      <c r="K766" s="1081"/>
      <c r="L766" s="1142"/>
      <c r="M766" s="1142"/>
      <c r="N766" s="1081"/>
      <c r="O766" s="1142"/>
      <c r="P766" s="1081"/>
      <c r="Q766" s="1142"/>
      <c r="R766" s="1081"/>
      <c r="S766" s="1142"/>
      <c r="T766" s="1142"/>
      <c r="U766" s="1142"/>
      <c r="V766" s="1142"/>
      <c r="W766" s="1142"/>
      <c r="X766" s="1142"/>
      <c r="Y766" s="1142"/>
    </row>
    <row r="767">
      <c r="A767" s="1140"/>
      <c r="B767" s="1140"/>
      <c r="C767" s="1083"/>
      <c r="D767" s="1058"/>
      <c r="E767" s="1092"/>
      <c r="F767" s="1083"/>
      <c r="G767" s="1092"/>
      <c r="H767" s="1083"/>
      <c r="I767" s="1092"/>
      <c r="J767" s="1092"/>
      <c r="K767" s="1092"/>
      <c r="L767" s="1083"/>
      <c r="M767" s="1083"/>
      <c r="N767" s="1092"/>
      <c r="O767" s="1083"/>
      <c r="P767" s="1092"/>
      <c r="Q767" s="1083"/>
      <c r="R767" s="1092"/>
      <c r="S767" s="1083"/>
      <c r="T767" s="1083"/>
      <c r="U767" s="1083"/>
      <c r="V767" s="1083"/>
      <c r="W767" s="1083"/>
      <c r="X767" s="1083"/>
      <c r="Y767" s="1083"/>
    </row>
    <row r="768">
      <c r="A768" s="1120"/>
      <c r="B768" s="1120"/>
      <c r="C768" s="1142"/>
      <c r="D768" s="1058"/>
      <c r="E768" s="1081"/>
      <c r="F768" s="1142"/>
      <c r="G768" s="1081"/>
      <c r="H768" s="1142"/>
      <c r="I768" s="1081"/>
      <c r="J768" s="1081"/>
      <c r="K768" s="1081"/>
      <c r="L768" s="1142"/>
      <c r="M768" s="1142"/>
      <c r="N768" s="1081"/>
      <c r="O768" s="1142"/>
      <c r="P768" s="1081"/>
      <c r="Q768" s="1142"/>
      <c r="R768" s="1081"/>
      <c r="S768" s="1142"/>
      <c r="T768" s="1142"/>
      <c r="U768" s="1142"/>
      <c r="V768" s="1142"/>
      <c r="W768" s="1142"/>
      <c r="X768" s="1142"/>
      <c r="Y768" s="1142"/>
    </row>
    <row r="769">
      <c r="A769" s="1140"/>
      <c r="B769" s="1140"/>
      <c r="C769" s="1083"/>
      <c r="D769" s="1058"/>
      <c r="E769" s="1092"/>
      <c r="F769" s="1083"/>
      <c r="G769" s="1092"/>
      <c r="H769" s="1083"/>
      <c r="I769" s="1092"/>
      <c r="J769" s="1092"/>
      <c r="K769" s="1092"/>
      <c r="L769" s="1083"/>
      <c r="M769" s="1083"/>
      <c r="N769" s="1092"/>
      <c r="O769" s="1083"/>
      <c r="P769" s="1092"/>
      <c r="Q769" s="1083"/>
      <c r="R769" s="1092"/>
      <c r="S769" s="1083"/>
      <c r="T769" s="1083"/>
      <c r="U769" s="1083"/>
      <c r="V769" s="1083"/>
      <c r="W769" s="1083"/>
      <c r="X769" s="1083"/>
      <c r="Y769" s="1083"/>
    </row>
    <row r="770">
      <c r="A770" s="1120"/>
      <c r="B770" s="1120"/>
      <c r="C770" s="1142"/>
      <c r="D770" s="1058"/>
      <c r="E770" s="1081"/>
      <c r="F770" s="1142"/>
      <c r="G770" s="1081"/>
      <c r="H770" s="1142"/>
      <c r="I770" s="1081"/>
      <c r="J770" s="1081"/>
      <c r="K770" s="1081"/>
      <c r="L770" s="1142"/>
      <c r="M770" s="1142"/>
      <c r="N770" s="1081"/>
      <c r="O770" s="1142"/>
      <c r="P770" s="1081"/>
      <c r="Q770" s="1142"/>
      <c r="R770" s="1081"/>
      <c r="S770" s="1142"/>
      <c r="T770" s="1142"/>
      <c r="U770" s="1142"/>
      <c r="V770" s="1142"/>
      <c r="W770" s="1142"/>
      <c r="X770" s="1142"/>
      <c r="Y770" s="1142"/>
    </row>
    <row r="771">
      <c r="A771" s="1140"/>
      <c r="B771" s="1140"/>
      <c r="C771" s="1083"/>
      <c r="D771" s="1058"/>
      <c r="E771" s="1092"/>
      <c r="F771" s="1083"/>
      <c r="G771" s="1092"/>
      <c r="H771" s="1083"/>
      <c r="I771" s="1092"/>
      <c r="J771" s="1092"/>
      <c r="K771" s="1092"/>
      <c r="L771" s="1083"/>
      <c r="M771" s="1083"/>
      <c r="N771" s="1092"/>
      <c r="O771" s="1083"/>
      <c r="P771" s="1092"/>
      <c r="Q771" s="1083"/>
      <c r="R771" s="1092"/>
      <c r="S771" s="1083"/>
      <c r="T771" s="1083"/>
      <c r="U771" s="1083"/>
      <c r="V771" s="1083"/>
      <c r="W771" s="1083"/>
      <c r="X771" s="1083"/>
      <c r="Y771" s="1083"/>
    </row>
    <row r="772">
      <c r="A772" s="1120"/>
      <c r="B772" s="1120"/>
      <c r="C772" s="1142"/>
      <c r="D772" s="1058"/>
      <c r="E772" s="1081"/>
      <c r="F772" s="1142"/>
      <c r="G772" s="1081"/>
      <c r="H772" s="1142"/>
      <c r="I772" s="1081"/>
      <c r="J772" s="1081"/>
      <c r="K772" s="1081"/>
      <c r="L772" s="1142"/>
      <c r="M772" s="1142"/>
      <c r="N772" s="1081"/>
      <c r="O772" s="1142"/>
      <c r="P772" s="1081"/>
      <c r="Q772" s="1142"/>
      <c r="R772" s="1081"/>
      <c r="S772" s="1142"/>
      <c r="T772" s="1142"/>
      <c r="U772" s="1142"/>
      <c r="V772" s="1142"/>
      <c r="W772" s="1142"/>
      <c r="X772" s="1142"/>
      <c r="Y772" s="1142"/>
    </row>
    <row r="773">
      <c r="A773" s="1140"/>
      <c r="B773" s="1140"/>
      <c r="C773" s="1083"/>
      <c r="D773" s="1058"/>
      <c r="E773" s="1092"/>
      <c r="F773" s="1083"/>
      <c r="G773" s="1092"/>
      <c r="H773" s="1083"/>
      <c r="I773" s="1092"/>
      <c r="J773" s="1092"/>
      <c r="K773" s="1092"/>
      <c r="L773" s="1083"/>
      <c r="M773" s="1083"/>
      <c r="N773" s="1092"/>
      <c r="O773" s="1083"/>
      <c r="P773" s="1092"/>
      <c r="Q773" s="1083"/>
      <c r="R773" s="1092"/>
      <c r="S773" s="1083"/>
      <c r="T773" s="1083"/>
      <c r="U773" s="1083"/>
      <c r="V773" s="1083"/>
      <c r="W773" s="1083"/>
      <c r="X773" s="1083"/>
      <c r="Y773" s="1083"/>
    </row>
    <row r="774">
      <c r="A774" s="1120"/>
      <c r="B774" s="1120"/>
      <c r="C774" s="1142"/>
      <c r="D774" s="1058"/>
      <c r="E774" s="1081"/>
      <c r="F774" s="1142"/>
      <c r="G774" s="1081"/>
      <c r="H774" s="1142"/>
      <c r="I774" s="1081"/>
      <c r="J774" s="1081"/>
      <c r="K774" s="1081"/>
      <c r="L774" s="1142"/>
      <c r="M774" s="1142"/>
      <c r="N774" s="1081"/>
      <c r="O774" s="1142"/>
      <c r="P774" s="1081"/>
      <c r="Q774" s="1142"/>
      <c r="R774" s="1081"/>
      <c r="S774" s="1142"/>
      <c r="T774" s="1142"/>
      <c r="U774" s="1142"/>
      <c r="V774" s="1142"/>
      <c r="W774" s="1142"/>
      <c r="X774" s="1142"/>
      <c r="Y774" s="1142"/>
    </row>
    <row r="775">
      <c r="A775" s="1140"/>
      <c r="B775" s="1140"/>
      <c r="C775" s="1083"/>
      <c r="D775" s="1058"/>
      <c r="E775" s="1092"/>
      <c r="F775" s="1083"/>
      <c r="G775" s="1092"/>
      <c r="H775" s="1083"/>
      <c r="I775" s="1092"/>
      <c r="J775" s="1092"/>
      <c r="K775" s="1092"/>
      <c r="L775" s="1083"/>
      <c r="M775" s="1083"/>
      <c r="N775" s="1092"/>
      <c r="O775" s="1083"/>
      <c r="P775" s="1092"/>
      <c r="Q775" s="1083"/>
      <c r="R775" s="1092"/>
      <c r="S775" s="1083"/>
      <c r="T775" s="1083"/>
      <c r="U775" s="1083"/>
      <c r="V775" s="1083"/>
      <c r="W775" s="1083"/>
      <c r="X775" s="1083"/>
      <c r="Y775" s="1083"/>
    </row>
    <row r="776">
      <c r="A776" s="1120"/>
      <c r="B776" s="1120"/>
      <c r="C776" s="1142"/>
      <c r="D776" s="1058"/>
      <c r="E776" s="1081"/>
      <c r="F776" s="1142"/>
      <c r="G776" s="1081"/>
      <c r="H776" s="1142"/>
      <c r="I776" s="1081"/>
      <c r="J776" s="1081"/>
      <c r="K776" s="1081"/>
      <c r="L776" s="1142"/>
      <c r="M776" s="1142"/>
      <c r="N776" s="1081"/>
      <c r="O776" s="1142"/>
      <c r="P776" s="1081"/>
      <c r="Q776" s="1142"/>
      <c r="R776" s="1081"/>
      <c r="S776" s="1142"/>
      <c r="T776" s="1142"/>
      <c r="U776" s="1142"/>
      <c r="V776" s="1142"/>
      <c r="W776" s="1142"/>
      <c r="X776" s="1142"/>
      <c r="Y776" s="1142"/>
    </row>
    <row r="777">
      <c r="A777" s="1140"/>
      <c r="B777" s="1140"/>
      <c r="C777" s="1083"/>
      <c r="D777" s="1058"/>
      <c r="E777" s="1092"/>
      <c r="F777" s="1083"/>
      <c r="G777" s="1092"/>
      <c r="H777" s="1083"/>
      <c r="I777" s="1092"/>
      <c r="J777" s="1092"/>
      <c r="K777" s="1092"/>
      <c r="L777" s="1083"/>
      <c r="M777" s="1083"/>
      <c r="N777" s="1092"/>
      <c r="O777" s="1083"/>
      <c r="P777" s="1092"/>
      <c r="Q777" s="1083"/>
      <c r="R777" s="1092"/>
      <c r="S777" s="1083"/>
      <c r="T777" s="1083"/>
      <c r="U777" s="1083"/>
      <c r="V777" s="1083"/>
      <c r="W777" s="1083"/>
      <c r="X777" s="1083"/>
      <c r="Y777" s="1083"/>
    </row>
    <row r="778">
      <c r="A778" s="1120"/>
      <c r="B778" s="1120"/>
      <c r="C778" s="1142"/>
      <c r="D778" s="1058"/>
      <c r="E778" s="1081"/>
      <c r="F778" s="1142"/>
      <c r="G778" s="1081"/>
      <c r="H778" s="1142"/>
      <c r="I778" s="1081"/>
      <c r="J778" s="1081"/>
      <c r="K778" s="1081"/>
      <c r="L778" s="1142"/>
      <c r="M778" s="1142"/>
      <c r="N778" s="1081"/>
      <c r="O778" s="1142"/>
      <c r="P778" s="1081"/>
      <c r="Q778" s="1142"/>
      <c r="R778" s="1081"/>
      <c r="S778" s="1142"/>
      <c r="T778" s="1142"/>
      <c r="U778" s="1142"/>
      <c r="V778" s="1142"/>
      <c r="W778" s="1142"/>
      <c r="X778" s="1142"/>
      <c r="Y778" s="1142"/>
    </row>
    <row r="779">
      <c r="A779" s="1140"/>
      <c r="B779" s="1140"/>
      <c r="C779" s="1083"/>
      <c r="D779" s="1058"/>
      <c r="E779" s="1092"/>
      <c r="F779" s="1083"/>
      <c r="G779" s="1092"/>
      <c r="H779" s="1083"/>
      <c r="I779" s="1092"/>
      <c r="J779" s="1092"/>
      <c r="K779" s="1092"/>
      <c r="L779" s="1083"/>
      <c r="M779" s="1083"/>
      <c r="N779" s="1092"/>
      <c r="O779" s="1083"/>
      <c r="P779" s="1092"/>
      <c r="Q779" s="1083"/>
      <c r="R779" s="1092"/>
      <c r="S779" s="1083"/>
      <c r="T779" s="1083"/>
      <c r="U779" s="1083"/>
      <c r="V779" s="1083"/>
      <c r="W779" s="1083"/>
      <c r="X779" s="1083"/>
      <c r="Y779" s="1083"/>
    </row>
    <row r="780">
      <c r="A780" s="1120"/>
      <c r="B780" s="1120"/>
      <c r="C780" s="1142"/>
      <c r="D780" s="1058"/>
      <c r="E780" s="1081"/>
      <c r="F780" s="1142"/>
      <c r="G780" s="1081"/>
      <c r="H780" s="1142"/>
      <c r="I780" s="1081"/>
      <c r="J780" s="1081"/>
      <c r="K780" s="1081"/>
      <c r="L780" s="1142"/>
      <c r="M780" s="1142"/>
      <c r="N780" s="1081"/>
      <c r="O780" s="1142"/>
      <c r="P780" s="1081"/>
      <c r="Q780" s="1142"/>
      <c r="R780" s="1081"/>
      <c r="S780" s="1142"/>
      <c r="T780" s="1142"/>
      <c r="U780" s="1142"/>
      <c r="V780" s="1142"/>
      <c r="W780" s="1142"/>
      <c r="X780" s="1142"/>
      <c r="Y780" s="1142"/>
    </row>
    <row r="781">
      <c r="A781" s="1140"/>
      <c r="B781" s="1140"/>
      <c r="C781" s="1083"/>
      <c r="D781" s="1058"/>
      <c r="E781" s="1092"/>
      <c r="F781" s="1083"/>
      <c r="G781" s="1092"/>
      <c r="H781" s="1083"/>
      <c r="I781" s="1092"/>
      <c r="J781" s="1092"/>
      <c r="K781" s="1092"/>
      <c r="L781" s="1083"/>
      <c r="M781" s="1083"/>
      <c r="N781" s="1092"/>
      <c r="O781" s="1083"/>
      <c r="P781" s="1092"/>
      <c r="Q781" s="1083"/>
      <c r="R781" s="1092"/>
      <c r="S781" s="1083"/>
      <c r="T781" s="1083"/>
      <c r="U781" s="1083"/>
      <c r="V781" s="1083"/>
      <c r="W781" s="1083"/>
      <c r="X781" s="1083"/>
      <c r="Y781" s="1083"/>
    </row>
    <row r="782">
      <c r="A782" s="1120"/>
      <c r="B782" s="1120"/>
      <c r="C782" s="1142"/>
      <c r="D782" s="1058"/>
      <c r="E782" s="1081"/>
      <c r="F782" s="1142"/>
      <c r="G782" s="1081"/>
      <c r="H782" s="1142"/>
      <c r="I782" s="1081"/>
      <c r="J782" s="1081"/>
      <c r="K782" s="1081"/>
      <c r="L782" s="1142"/>
      <c r="M782" s="1142"/>
      <c r="N782" s="1081"/>
      <c r="O782" s="1142"/>
      <c r="P782" s="1081"/>
      <c r="Q782" s="1142"/>
      <c r="R782" s="1081"/>
      <c r="S782" s="1142"/>
      <c r="T782" s="1142"/>
      <c r="U782" s="1142"/>
      <c r="V782" s="1142"/>
      <c r="W782" s="1142"/>
      <c r="X782" s="1142"/>
      <c r="Y782" s="1142"/>
    </row>
    <row r="783">
      <c r="A783" s="1140"/>
      <c r="B783" s="1140"/>
      <c r="C783" s="1083"/>
      <c r="D783" s="1058"/>
      <c r="E783" s="1092"/>
      <c r="F783" s="1083"/>
      <c r="G783" s="1092"/>
      <c r="H783" s="1083"/>
      <c r="I783" s="1092"/>
      <c r="J783" s="1092"/>
      <c r="K783" s="1092"/>
      <c r="L783" s="1083"/>
      <c r="M783" s="1083"/>
      <c r="N783" s="1092"/>
      <c r="O783" s="1083"/>
      <c r="P783" s="1092"/>
      <c r="Q783" s="1083"/>
      <c r="R783" s="1092"/>
      <c r="S783" s="1083"/>
      <c r="T783" s="1083"/>
      <c r="U783" s="1083"/>
      <c r="V783" s="1083"/>
      <c r="W783" s="1083"/>
      <c r="X783" s="1083"/>
      <c r="Y783" s="1083"/>
    </row>
    <row r="784">
      <c r="A784" s="1120"/>
      <c r="B784" s="1120"/>
      <c r="C784" s="1142"/>
      <c r="D784" s="1058"/>
      <c r="E784" s="1081"/>
      <c r="F784" s="1142"/>
      <c r="G784" s="1081"/>
      <c r="H784" s="1142"/>
      <c r="I784" s="1081"/>
      <c r="J784" s="1081"/>
      <c r="K784" s="1081"/>
      <c r="L784" s="1142"/>
      <c r="M784" s="1142"/>
      <c r="N784" s="1081"/>
      <c r="O784" s="1142"/>
      <c r="P784" s="1081"/>
      <c r="Q784" s="1142"/>
      <c r="R784" s="1081"/>
      <c r="S784" s="1142"/>
      <c r="T784" s="1142"/>
      <c r="U784" s="1142"/>
      <c r="V784" s="1142"/>
      <c r="W784" s="1142"/>
      <c r="X784" s="1142"/>
      <c r="Y784" s="1142"/>
    </row>
    <row r="785">
      <c r="A785" s="1140"/>
      <c r="B785" s="1140"/>
      <c r="C785" s="1083"/>
      <c r="D785" s="1058"/>
      <c r="E785" s="1092"/>
      <c r="F785" s="1083"/>
      <c r="G785" s="1092"/>
      <c r="H785" s="1083"/>
      <c r="I785" s="1092"/>
      <c r="J785" s="1092"/>
      <c r="K785" s="1092"/>
      <c r="L785" s="1083"/>
      <c r="M785" s="1083"/>
      <c r="N785" s="1092"/>
      <c r="O785" s="1083"/>
      <c r="P785" s="1092"/>
      <c r="Q785" s="1083"/>
      <c r="R785" s="1092"/>
      <c r="S785" s="1083"/>
      <c r="T785" s="1083"/>
      <c r="U785" s="1083"/>
      <c r="V785" s="1083"/>
      <c r="W785" s="1083"/>
      <c r="X785" s="1083"/>
      <c r="Y785" s="1083"/>
    </row>
    <row r="786">
      <c r="A786" s="1120"/>
      <c r="B786" s="1120"/>
      <c r="C786" s="1142"/>
      <c r="D786" s="1058"/>
      <c r="E786" s="1081"/>
      <c r="F786" s="1142"/>
      <c r="G786" s="1081"/>
      <c r="H786" s="1142"/>
      <c r="I786" s="1081"/>
      <c r="J786" s="1081"/>
      <c r="K786" s="1081"/>
      <c r="L786" s="1142"/>
      <c r="M786" s="1142"/>
      <c r="N786" s="1081"/>
      <c r="O786" s="1142"/>
      <c r="P786" s="1081"/>
      <c r="Q786" s="1142"/>
      <c r="R786" s="1081"/>
      <c r="S786" s="1142"/>
      <c r="T786" s="1142"/>
      <c r="U786" s="1142"/>
      <c r="V786" s="1142"/>
      <c r="W786" s="1142"/>
      <c r="X786" s="1142"/>
      <c r="Y786" s="1142"/>
    </row>
    <row r="787">
      <c r="A787" s="1140"/>
      <c r="B787" s="1140"/>
      <c r="C787" s="1083"/>
      <c r="D787" s="1058"/>
      <c r="E787" s="1092"/>
      <c r="F787" s="1083"/>
      <c r="G787" s="1092"/>
      <c r="H787" s="1083"/>
      <c r="I787" s="1092"/>
      <c r="J787" s="1092"/>
      <c r="K787" s="1092"/>
      <c r="L787" s="1083"/>
      <c r="M787" s="1083"/>
      <c r="N787" s="1092"/>
      <c r="O787" s="1083"/>
      <c r="P787" s="1092"/>
      <c r="Q787" s="1083"/>
      <c r="R787" s="1092"/>
      <c r="S787" s="1083"/>
      <c r="T787" s="1083"/>
      <c r="U787" s="1083"/>
      <c r="V787" s="1083"/>
      <c r="W787" s="1083"/>
      <c r="X787" s="1083"/>
      <c r="Y787" s="1083"/>
    </row>
    <row r="788">
      <c r="A788" s="1120"/>
      <c r="B788" s="1120"/>
      <c r="C788" s="1142"/>
      <c r="D788" s="1058"/>
      <c r="E788" s="1081"/>
      <c r="F788" s="1142"/>
      <c r="G788" s="1081"/>
      <c r="H788" s="1142"/>
      <c r="I788" s="1081"/>
      <c r="J788" s="1081"/>
      <c r="K788" s="1081"/>
      <c r="L788" s="1142"/>
      <c r="M788" s="1142"/>
      <c r="N788" s="1081"/>
      <c r="O788" s="1142"/>
      <c r="P788" s="1081"/>
      <c r="Q788" s="1142"/>
      <c r="R788" s="1081"/>
      <c r="S788" s="1142"/>
      <c r="T788" s="1142"/>
      <c r="U788" s="1142"/>
      <c r="V788" s="1142"/>
      <c r="W788" s="1142"/>
      <c r="X788" s="1142"/>
      <c r="Y788" s="1142"/>
    </row>
    <row r="789">
      <c r="A789" s="1140"/>
      <c r="B789" s="1140"/>
      <c r="C789" s="1083"/>
      <c r="D789" s="1058"/>
      <c r="E789" s="1092"/>
      <c r="F789" s="1083"/>
      <c r="G789" s="1092"/>
      <c r="H789" s="1083"/>
      <c r="I789" s="1092"/>
      <c r="J789" s="1092"/>
      <c r="K789" s="1092"/>
      <c r="L789" s="1083"/>
      <c r="M789" s="1083"/>
      <c r="N789" s="1092"/>
      <c r="O789" s="1083"/>
      <c r="P789" s="1092"/>
      <c r="Q789" s="1083"/>
      <c r="R789" s="1092"/>
      <c r="S789" s="1083"/>
      <c r="T789" s="1083"/>
      <c r="U789" s="1083"/>
      <c r="V789" s="1083"/>
      <c r="W789" s="1083"/>
      <c r="X789" s="1083"/>
      <c r="Y789" s="1083"/>
    </row>
    <row r="790">
      <c r="A790" s="1120"/>
      <c r="B790" s="1120"/>
      <c r="C790" s="1142"/>
      <c r="D790" s="1058"/>
      <c r="E790" s="1081"/>
      <c r="F790" s="1142"/>
      <c r="G790" s="1081"/>
      <c r="H790" s="1142"/>
      <c r="I790" s="1081"/>
      <c r="J790" s="1081"/>
      <c r="K790" s="1081"/>
      <c r="L790" s="1142"/>
      <c r="M790" s="1142"/>
      <c r="N790" s="1081"/>
      <c r="O790" s="1142"/>
      <c r="P790" s="1081"/>
      <c r="Q790" s="1142"/>
      <c r="R790" s="1081"/>
      <c r="S790" s="1142"/>
      <c r="T790" s="1142"/>
      <c r="U790" s="1142"/>
      <c r="V790" s="1142"/>
      <c r="W790" s="1142"/>
      <c r="X790" s="1142"/>
      <c r="Y790" s="1142"/>
    </row>
    <row r="791">
      <c r="A791" s="1140"/>
      <c r="B791" s="1140"/>
      <c r="C791" s="1083"/>
      <c r="D791" s="1058"/>
      <c r="E791" s="1092"/>
      <c r="F791" s="1083"/>
      <c r="G791" s="1092"/>
      <c r="H791" s="1083"/>
      <c r="I791" s="1092"/>
      <c r="J791" s="1092"/>
      <c r="K791" s="1092"/>
      <c r="L791" s="1083"/>
      <c r="M791" s="1083"/>
      <c r="N791" s="1092"/>
      <c r="O791" s="1083"/>
      <c r="P791" s="1092"/>
      <c r="Q791" s="1083"/>
      <c r="R791" s="1092"/>
      <c r="S791" s="1083"/>
      <c r="T791" s="1083"/>
      <c r="U791" s="1083"/>
      <c r="V791" s="1083"/>
      <c r="W791" s="1083"/>
      <c r="X791" s="1083"/>
      <c r="Y791" s="1083"/>
    </row>
    <row r="792">
      <c r="A792" s="1120"/>
      <c r="B792" s="1120"/>
      <c r="C792" s="1142"/>
      <c r="D792" s="1058"/>
      <c r="E792" s="1081"/>
      <c r="F792" s="1142"/>
      <c r="G792" s="1081"/>
      <c r="H792" s="1142"/>
      <c r="I792" s="1081"/>
      <c r="J792" s="1081"/>
      <c r="K792" s="1081"/>
      <c r="L792" s="1142"/>
      <c r="M792" s="1142"/>
      <c r="N792" s="1081"/>
      <c r="O792" s="1142"/>
      <c r="P792" s="1081"/>
      <c r="Q792" s="1142"/>
      <c r="R792" s="1081"/>
      <c r="S792" s="1142"/>
      <c r="T792" s="1142"/>
      <c r="U792" s="1142"/>
      <c r="V792" s="1142"/>
      <c r="W792" s="1142"/>
      <c r="X792" s="1142"/>
      <c r="Y792" s="1142"/>
    </row>
    <row r="793">
      <c r="A793" s="1140"/>
      <c r="B793" s="1140"/>
      <c r="C793" s="1083"/>
      <c r="D793" s="1058"/>
      <c r="E793" s="1092"/>
      <c r="F793" s="1083"/>
      <c r="G793" s="1092"/>
      <c r="H793" s="1083"/>
      <c r="I793" s="1092"/>
      <c r="J793" s="1092"/>
      <c r="K793" s="1092"/>
      <c r="L793" s="1083"/>
      <c r="M793" s="1083"/>
      <c r="N793" s="1092"/>
      <c r="O793" s="1083"/>
      <c r="P793" s="1092"/>
      <c r="Q793" s="1083"/>
      <c r="R793" s="1092"/>
      <c r="S793" s="1083"/>
      <c r="T793" s="1083"/>
      <c r="U793" s="1083"/>
      <c r="V793" s="1083"/>
      <c r="W793" s="1083"/>
      <c r="X793" s="1083"/>
      <c r="Y793" s="1083"/>
    </row>
    <row r="794">
      <c r="A794" s="1120"/>
      <c r="B794" s="1120"/>
      <c r="C794" s="1142"/>
      <c r="D794" s="1058"/>
      <c r="E794" s="1081"/>
      <c r="F794" s="1142"/>
      <c r="G794" s="1081"/>
      <c r="H794" s="1142"/>
      <c r="I794" s="1081"/>
      <c r="J794" s="1081"/>
      <c r="K794" s="1081"/>
      <c r="L794" s="1142"/>
      <c r="M794" s="1142"/>
      <c r="N794" s="1081"/>
      <c r="O794" s="1142"/>
      <c r="P794" s="1081"/>
      <c r="Q794" s="1142"/>
      <c r="R794" s="1081"/>
      <c r="S794" s="1142"/>
      <c r="T794" s="1142"/>
      <c r="U794" s="1142"/>
      <c r="V794" s="1142"/>
      <c r="W794" s="1142"/>
      <c r="X794" s="1142"/>
      <c r="Y794" s="1142"/>
    </row>
    <row r="795">
      <c r="A795" s="1140"/>
      <c r="B795" s="1140"/>
      <c r="C795" s="1083"/>
      <c r="D795" s="1058"/>
      <c r="E795" s="1092"/>
      <c r="F795" s="1083"/>
      <c r="G795" s="1092"/>
      <c r="H795" s="1083"/>
      <c r="I795" s="1092"/>
      <c r="J795" s="1092"/>
      <c r="K795" s="1092"/>
      <c r="L795" s="1083"/>
      <c r="M795" s="1083"/>
      <c r="N795" s="1092"/>
      <c r="O795" s="1083"/>
      <c r="P795" s="1092"/>
      <c r="Q795" s="1083"/>
      <c r="R795" s="1092"/>
      <c r="S795" s="1083"/>
      <c r="T795" s="1083"/>
      <c r="U795" s="1083"/>
      <c r="V795" s="1083"/>
      <c r="W795" s="1083"/>
      <c r="X795" s="1083"/>
      <c r="Y795" s="1083"/>
    </row>
    <row r="796">
      <c r="A796" s="1120"/>
      <c r="B796" s="1120"/>
      <c r="C796" s="1142"/>
      <c r="D796" s="1058"/>
      <c r="E796" s="1081"/>
      <c r="F796" s="1142"/>
      <c r="G796" s="1081"/>
      <c r="H796" s="1142"/>
      <c r="I796" s="1081"/>
      <c r="J796" s="1081"/>
      <c r="K796" s="1081"/>
      <c r="L796" s="1142"/>
      <c r="M796" s="1142"/>
      <c r="N796" s="1081"/>
      <c r="O796" s="1142"/>
      <c r="P796" s="1081"/>
      <c r="Q796" s="1142"/>
      <c r="R796" s="1081"/>
      <c r="S796" s="1142"/>
      <c r="T796" s="1142"/>
      <c r="U796" s="1142"/>
      <c r="V796" s="1142"/>
      <c r="W796" s="1142"/>
      <c r="X796" s="1142"/>
      <c r="Y796" s="1142"/>
    </row>
    <row r="797">
      <c r="A797" s="1140"/>
      <c r="B797" s="1140"/>
      <c r="C797" s="1083"/>
      <c r="D797" s="1058"/>
      <c r="E797" s="1092"/>
      <c r="F797" s="1083"/>
      <c r="G797" s="1092"/>
      <c r="H797" s="1083"/>
      <c r="I797" s="1092"/>
      <c r="J797" s="1092"/>
      <c r="K797" s="1092"/>
      <c r="L797" s="1083"/>
      <c r="M797" s="1083"/>
      <c r="N797" s="1092"/>
      <c r="O797" s="1083"/>
      <c r="P797" s="1092"/>
      <c r="Q797" s="1083"/>
      <c r="R797" s="1092"/>
      <c r="S797" s="1083"/>
      <c r="T797" s="1083"/>
      <c r="U797" s="1083"/>
      <c r="V797" s="1083"/>
      <c r="W797" s="1083"/>
      <c r="X797" s="1083"/>
      <c r="Y797" s="1083"/>
    </row>
    <row r="798">
      <c r="A798" s="1120"/>
      <c r="B798" s="1120"/>
      <c r="C798" s="1142"/>
      <c r="D798" s="1058"/>
      <c r="E798" s="1081"/>
      <c r="F798" s="1142"/>
      <c r="G798" s="1081"/>
      <c r="H798" s="1142"/>
      <c r="I798" s="1081"/>
      <c r="J798" s="1081"/>
      <c r="K798" s="1081"/>
      <c r="L798" s="1142"/>
      <c r="M798" s="1142"/>
      <c r="N798" s="1081"/>
      <c r="O798" s="1142"/>
      <c r="P798" s="1081"/>
      <c r="Q798" s="1142"/>
      <c r="R798" s="1081"/>
      <c r="S798" s="1142"/>
      <c r="T798" s="1142"/>
      <c r="U798" s="1142"/>
      <c r="V798" s="1142"/>
      <c r="W798" s="1142"/>
      <c r="X798" s="1142"/>
      <c r="Y798" s="1142"/>
    </row>
    <row r="799">
      <c r="A799" s="1140"/>
      <c r="B799" s="1140"/>
      <c r="C799" s="1083"/>
      <c r="D799" s="1058"/>
      <c r="E799" s="1092"/>
      <c r="F799" s="1083"/>
      <c r="G799" s="1092"/>
      <c r="H799" s="1083"/>
      <c r="I799" s="1092"/>
      <c r="J799" s="1092"/>
      <c r="K799" s="1092"/>
      <c r="L799" s="1083"/>
      <c r="M799" s="1083"/>
      <c r="N799" s="1092"/>
      <c r="O799" s="1083"/>
      <c r="P799" s="1092"/>
      <c r="Q799" s="1083"/>
      <c r="R799" s="1092"/>
      <c r="S799" s="1083"/>
      <c r="T799" s="1083"/>
      <c r="U799" s="1083"/>
      <c r="V799" s="1083"/>
      <c r="W799" s="1083"/>
      <c r="X799" s="1083"/>
      <c r="Y799" s="1083"/>
    </row>
    <row r="800">
      <c r="A800" s="1120"/>
      <c r="B800" s="1120"/>
      <c r="C800" s="1142"/>
      <c r="D800" s="1058"/>
      <c r="E800" s="1081"/>
      <c r="F800" s="1142"/>
      <c r="G800" s="1081"/>
      <c r="H800" s="1142"/>
      <c r="I800" s="1081"/>
      <c r="J800" s="1081"/>
      <c r="K800" s="1081"/>
      <c r="L800" s="1142"/>
      <c r="M800" s="1142"/>
      <c r="N800" s="1081"/>
      <c r="O800" s="1142"/>
      <c r="P800" s="1081"/>
      <c r="Q800" s="1142"/>
      <c r="R800" s="1081"/>
      <c r="S800" s="1142"/>
      <c r="T800" s="1142"/>
      <c r="U800" s="1142"/>
      <c r="V800" s="1142"/>
      <c r="W800" s="1142"/>
      <c r="X800" s="1142"/>
      <c r="Y800" s="1142"/>
    </row>
    <row r="801">
      <c r="A801" s="1140"/>
      <c r="B801" s="1140"/>
      <c r="C801" s="1083"/>
      <c r="D801" s="1058"/>
      <c r="E801" s="1092"/>
      <c r="F801" s="1083"/>
      <c r="G801" s="1092"/>
      <c r="H801" s="1083"/>
      <c r="I801" s="1092"/>
      <c r="J801" s="1092"/>
      <c r="K801" s="1092"/>
      <c r="L801" s="1083"/>
      <c r="M801" s="1083"/>
      <c r="N801" s="1092"/>
      <c r="O801" s="1083"/>
      <c r="P801" s="1092"/>
      <c r="Q801" s="1083"/>
      <c r="R801" s="1092"/>
      <c r="S801" s="1083"/>
      <c r="T801" s="1083"/>
      <c r="U801" s="1083"/>
      <c r="V801" s="1083"/>
      <c r="W801" s="1083"/>
      <c r="X801" s="1083"/>
      <c r="Y801" s="1083"/>
    </row>
    <row r="802">
      <c r="A802" s="1120"/>
      <c r="B802" s="1120"/>
      <c r="C802" s="1142"/>
      <c r="D802" s="1058"/>
      <c r="E802" s="1081"/>
      <c r="F802" s="1142"/>
      <c r="G802" s="1081"/>
      <c r="H802" s="1142"/>
      <c r="I802" s="1081"/>
      <c r="J802" s="1081"/>
      <c r="K802" s="1081"/>
      <c r="L802" s="1142"/>
      <c r="M802" s="1142"/>
      <c r="N802" s="1081"/>
      <c r="O802" s="1142"/>
      <c r="P802" s="1081"/>
      <c r="Q802" s="1142"/>
      <c r="R802" s="1081"/>
      <c r="S802" s="1142"/>
      <c r="T802" s="1142"/>
      <c r="U802" s="1142"/>
      <c r="V802" s="1142"/>
      <c r="W802" s="1142"/>
      <c r="X802" s="1142"/>
      <c r="Y802" s="1142"/>
    </row>
    <row r="803">
      <c r="A803" s="1140"/>
      <c r="B803" s="1140"/>
      <c r="C803" s="1083"/>
      <c r="D803" s="1058"/>
      <c r="E803" s="1092"/>
      <c r="F803" s="1083"/>
      <c r="G803" s="1092"/>
      <c r="H803" s="1083"/>
      <c r="I803" s="1092"/>
      <c r="J803" s="1092"/>
      <c r="K803" s="1092"/>
      <c r="L803" s="1083"/>
      <c r="M803" s="1083"/>
      <c r="N803" s="1092"/>
      <c r="O803" s="1083"/>
      <c r="P803" s="1092"/>
      <c r="Q803" s="1083"/>
      <c r="R803" s="1092"/>
      <c r="S803" s="1083"/>
      <c r="T803" s="1083"/>
      <c r="U803" s="1083"/>
      <c r="V803" s="1083"/>
      <c r="W803" s="1083"/>
      <c r="X803" s="1083"/>
      <c r="Y803" s="1083"/>
    </row>
    <row r="804">
      <c r="A804" s="1120"/>
      <c r="B804" s="1120"/>
      <c r="C804" s="1142"/>
      <c r="D804" s="1058"/>
      <c r="E804" s="1081"/>
      <c r="F804" s="1142"/>
      <c r="G804" s="1081"/>
      <c r="H804" s="1142"/>
      <c r="I804" s="1081"/>
      <c r="J804" s="1081"/>
      <c r="K804" s="1081"/>
      <c r="L804" s="1142"/>
      <c r="M804" s="1142"/>
      <c r="N804" s="1081"/>
      <c r="O804" s="1142"/>
      <c r="P804" s="1081"/>
      <c r="Q804" s="1142"/>
      <c r="R804" s="1081"/>
      <c r="S804" s="1142"/>
      <c r="T804" s="1142"/>
      <c r="U804" s="1142"/>
      <c r="V804" s="1142"/>
      <c r="W804" s="1142"/>
      <c r="X804" s="1142"/>
      <c r="Y804" s="1142"/>
    </row>
    <row r="805">
      <c r="A805" s="1140"/>
      <c r="B805" s="1140"/>
      <c r="C805" s="1083"/>
      <c r="D805" s="1058"/>
      <c r="E805" s="1092"/>
      <c r="F805" s="1083"/>
      <c r="G805" s="1092"/>
      <c r="H805" s="1083"/>
      <c r="I805" s="1092"/>
      <c r="J805" s="1092"/>
      <c r="K805" s="1092"/>
      <c r="L805" s="1083"/>
      <c r="M805" s="1083"/>
      <c r="N805" s="1092"/>
      <c r="O805" s="1083"/>
      <c r="P805" s="1092"/>
      <c r="Q805" s="1083"/>
      <c r="R805" s="1092"/>
      <c r="S805" s="1083"/>
      <c r="T805" s="1083"/>
      <c r="U805" s="1083"/>
      <c r="V805" s="1083"/>
      <c r="W805" s="1083"/>
      <c r="X805" s="1083"/>
      <c r="Y805" s="1083"/>
    </row>
    <row r="806">
      <c r="A806" s="1120"/>
      <c r="B806" s="1120"/>
      <c r="C806" s="1142"/>
      <c r="D806" s="1058"/>
      <c r="E806" s="1081"/>
      <c r="F806" s="1142"/>
      <c r="G806" s="1081"/>
      <c r="H806" s="1142"/>
      <c r="I806" s="1081"/>
      <c r="J806" s="1081"/>
      <c r="K806" s="1081"/>
      <c r="L806" s="1142"/>
      <c r="M806" s="1142"/>
      <c r="N806" s="1081"/>
      <c r="O806" s="1142"/>
      <c r="P806" s="1081"/>
      <c r="Q806" s="1142"/>
      <c r="R806" s="1081"/>
      <c r="S806" s="1142"/>
      <c r="T806" s="1142"/>
      <c r="U806" s="1142"/>
      <c r="V806" s="1142"/>
      <c r="W806" s="1142"/>
      <c r="X806" s="1142"/>
      <c r="Y806" s="1142"/>
    </row>
    <row r="807">
      <c r="A807" s="1140"/>
      <c r="B807" s="1140"/>
      <c r="C807" s="1083"/>
      <c r="D807" s="1058"/>
      <c r="E807" s="1092"/>
      <c r="F807" s="1083"/>
      <c r="G807" s="1092"/>
      <c r="H807" s="1083"/>
      <c r="I807" s="1092"/>
      <c r="J807" s="1092"/>
      <c r="K807" s="1092"/>
      <c r="L807" s="1083"/>
      <c r="M807" s="1083"/>
      <c r="N807" s="1092"/>
      <c r="O807" s="1083"/>
      <c r="P807" s="1092"/>
      <c r="Q807" s="1083"/>
      <c r="R807" s="1092"/>
      <c r="S807" s="1083"/>
      <c r="T807" s="1083"/>
      <c r="U807" s="1083"/>
      <c r="V807" s="1083"/>
      <c r="W807" s="1083"/>
      <c r="X807" s="1083"/>
      <c r="Y807" s="1083"/>
    </row>
    <row r="808">
      <c r="A808" s="1120"/>
      <c r="B808" s="1120"/>
      <c r="C808" s="1142"/>
      <c r="D808" s="1058"/>
      <c r="E808" s="1081"/>
      <c r="F808" s="1142"/>
      <c r="G808" s="1081"/>
      <c r="H808" s="1142"/>
      <c r="I808" s="1081"/>
      <c r="J808" s="1081"/>
      <c r="K808" s="1081"/>
      <c r="L808" s="1142"/>
      <c r="M808" s="1142"/>
      <c r="N808" s="1081"/>
      <c r="O808" s="1142"/>
      <c r="P808" s="1081"/>
      <c r="Q808" s="1142"/>
      <c r="R808" s="1081"/>
      <c r="S808" s="1142"/>
      <c r="T808" s="1142"/>
      <c r="U808" s="1142"/>
      <c r="V808" s="1142"/>
      <c r="W808" s="1142"/>
      <c r="X808" s="1142"/>
      <c r="Y808" s="1142"/>
    </row>
    <row r="809">
      <c r="A809" s="1140"/>
      <c r="B809" s="1140"/>
      <c r="C809" s="1083"/>
      <c r="D809" s="1058"/>
      <c r="E809" s="1092"/>
      <c r="F809" s="1083"/>
      <c r="G809" s="1092"/>
      <c r="H809" s="1083"/>
      <c r="I809" s="1092"/>
      <c r="J809" s="1092"/>
      <c r="K809" s="1092"/>
      <c r="L809" s="1083"/>
      <c r="M809" s="1083"/>
      <c r="N809" s="1092"/>
      <c r="O809" s="1083"/>
      <c r="P809" s="1092"/>
      <c r="Q809" s="1083"/>
      <c r="R809" s="1092"/>
      <c r="S809" s="1083"/>
      <c r="T809" s="1083"/>
      <c r="U809" s="1083"/>
      <c r="V809" s="1083"/>
      <c r="W809" s="1083"/>
      <c r="X809" s="1083"/>
      <c r="Y809" s="1083"/>
    </row>
    <row r="810">
      <c r="A810" s="1120"/>
      <c r="B810" s="1120"/>
      <c r="C810" s="1142"/>
      <c r="D810" s="1058"/>
      <c r="E810" s="1081"/>
      <c r="F810" s="1142"/>
      <c r="G810" s="1081"/>
      <c r="H810" s="1142"/>
      <c r="I810" s="1081"/>
      <c r="J810" s="1081"/>
      <c r="K810" s="1081"/>
      <c r="L810" s="1142"/>
      <c r="M810" s="1142"/>
      <c r="N810" s="1081"/>
      <c r="O810" s="1142"/>
      <c r="P810" s="1081"/>
      <c r="Q810" s="1142"/>
      <c r="R810" s="1081"/>
      <c r="S810" s="1142"/>
      <c r="T810" s="1142"/>
      <c r="U810" s="1142"/>
      <c r="V810" s="1142"/>
      <c r="W810" s="1142"/>
      <c r="X810" s="1142"/>
      <c r="Y810" s="1142"/>
    </row>
    <row r="811">
      <c r="A811" s="1140"/>
      <c r="B811" s="1140"/>
      <c r="C811" s="1083"/>
      <c r="D811" s="1058"/>
      <c r="E811" s="1092"/>
      <c r="F811" s="1083"/>
      <c r="G811" s="1092"/>
      <c r="H811" s="1083"/>
      <c r="I811" s="1092"/>
      <c r="J811" s="1092"/>
      <c r="K811" s="1092"/>
      <c r="L811" s="1083"/>
      <c r="M811" s="1083"/>
      <c r="N811" s="1092"/>
      <c r="O811" s="1083"/>
      <c r="P811" s="1092"/>
      <c r="Q811" s="1083"/>
      <c r="R811" s="1092"/>
      <c r="S811" s="1083"/>
      <c r="T811" s="1083"/>
      <c r="U811" s="1083"/>
      <c r="V811" s="1083"/>
      <c r="W811" s="1083"/>
      <c r="X811" s="1083"/>
      <c r="Y811" s="1083"/>
    </row>
    <row r="812">
      <c r="A812" s="1120"/>
      <c r="B812" s="1120"/>
      <c r="C812" s="1142"/>
      <c r="D812" s="1058"/>
      <c r="E812" s="1081"/>
      <c r="F812" s="1142"/>
      <c r="G812" s="1081"/>
      <c r="H812" s="1142"/>
      <c r="I812" s="1081"/>
      <c r="J812" s="1081"/>
      <c r="K812" s="1081"/>
      <c r="L812" s="1142"/>
      <c r="M812" s="1142"/>
      <c r="N812" s="1081"/>
      <c r="O812" s="1142"/>
      <c r="P812" s="1081"/>
      <c r="Q812" s="1142"/>
      <c r="R812" s="1081"/>
      <c r="S812" s="1142"/>
      <c r="T812" s="1142"/>
      <c r="U812" s="1142"/>
      <c r="V812" s="1142"/>
      <c r="W812" s="1142"/>
      <c r="X812" s="1142"/>
      <c r="Y812" s="1142"/>
    </row>
    <row r="813">
      <c r="A813" s="1140"/>
      <c r="B813" s="1140"/>
      <c r="C813" s="1083"/>
      <c r="D813" s="1058"/>
      <c r="E813" s="1092"/>
      <c r="F813" s="1083"/>
      <c r="G813" s="1092"/>
      <c r="H813" s="1083"/>
      <c r="I813" s="1092"/>
      <c r="J813" s="1092"/>
      <c r="K813" s="1092"/>
      <c r="L813" s="1083"/>
      <c r="M813" s="1083"/>
      <c r="N813" s="1092"/>
      <c r="O813" s="1083"/>
      <c r="P813" s="1092"/>
      <c r="Q813" s="1083"/>
      <c r="R813" s="1092"/>
      <c r="S813" s="1083"/>
      <c r="T813" s="1083"/>
      <c r="U813" s="1083"/>
      <c r="V813" s="1083"/>
      <c r="W813" s="1083"/>
      <c r="X813" s="1083"/>
      <c r="Y813" s="1083"/>
    </row>
    <row r="814">
      <c r="A814" s="1120"/>
      <c r="B814" s="1120"/>
      <c r="C814" s="1142"/>
      <c r="D814" s="1058"/>
      <c r="E814" s="1081"/>
      <c r="F814" s="1142"/>
      <c r="G814" s="1081"/>
      <c r="H814" s="1142"/>
      <c r="I814" s="1081"/>
      <c r="J814" s="1081"/>
      <c r="K814" s="1081"/>
      <c r="L814" s="1142"/>
      <c r="M814" s="1142"/>
      <c r="N814" s="1081"/>
      <c r="O814" s="1142"/>
      <c r="P814" s="1081"/>
      <c r="Q814" s="1142"/>
      <c r="R814" s="1081"/>
      <c r="S814" s="1142"/>
      <c r="T814" s="1142"/>
      <c r="U814" s="1142"/>
      <c r="V814" s="1142"/>
      <c r="W814" s="1142"/>
      <c r="X814" s="1142"/>
      <c r="Y814" s="1142"/>
    </row>
    <row r="815">
      <c r="A815" s="1140"/>
      <c r="B815" s="1140"/>
      <c r="C815" s="1083"/>
      <c r="D815" s="1058"/>
      <c r="E815" s="1092"/>
      <c r="F815" s="1083"/>
      <c r="G815" s="1092"/>
      <c r="H815" s="1083"/>
      <c r="I815" s="1092"/>
      <c r="J815" s="1092"/>
      <c r="K815" s="1092"/>
      <c r="L815" s="1083"/>
      <c r="M815" s="1083"/>
      <c r="N815" s="1092"/>
      <c r="O815" s="1083"/>
      <c r="P815" s="1092"/>
      <c r="Q815" s="1083"/>
      <c r="R815" s="1092"/>
      <c r="S815" s="1083"/>
      <c r="T815" s="1083"/>
      <c r="U815" s="1083"/>
      <c r="V815" s="1083"/>
      <c r="W815" s="1083"/>
      <c r="X815" s="1083"/>
      <c r="Y815" s="1083"/>
    </row>
    <row r="816">
      <c r="A816" s="1120"/>
      <c r="B816" s="1120"/>
      <c r="C816" s="1142"/>
      <c r="D816" s="1058"/>
      <c r="E816" s="1081"/>
      <c r="F816" s="1142"/>
      <c r="G816" s="1081"/>
      <c r="H816" s="1142"/>
      <c r="I816" s="1081"/>
      <c r="J816" s="1081"/>
      <c r="K816" s="1081"/>
      <c r="L816" s="1142"/>
      <c r="M816" s="1142"/>
      <c r="N816" s="1081"/>
      <c r="O816" s="1142"/>
      <c r="P816" s="1081"/>
      <c r="Q816" s="1142"/>
      <c r="R816" s="1081"/>
      <c r="S816" s="1142"/>
      <c r="T816" s="1142"/>
      <c r="U816" s="1142"/>
      <c r="V816" s="1142"/>
      <c r="W816" s="1142"/>
      <c r="X816" s="1142"/>
      <c r="Y816" s="1142"/>
    </row>
    <row r="817">
      <c r="A817" s="1140"/>
      <c r="B817" s="1140"/>
      <c r="C817" s="1083"/>
      <c r="D817" s="1058"/>
      <c r="E817" s="1092"/>
      <c r="F817" s="1083"/>
      <c r="G817" s="1092"/>
      <c r="H817" s="1083"/>
      <c r="I817" s="1092"/>
      <c r="J817" s="1092"/>
      <c r="K817" s="1092"/>
      <c r="L817" s="1083"/>
      <c r="M817" s="1083"/>
      <c r="N817" s="1092"/>
      <c r="O817" s="1083"/>
      <c r="P817" s="1092"/>
      <c r="Q817" s="1083"/>
      <c r="R817" s="1092"/>
      <c r="S817" s="1083"/>
      <c r="T817" s="1083"/>
      <c r="U817" s="1083"/>
      <c r="V817" s="1083"/>
      <c r="W817" s="1083"/>
      <c r="X817" s="1083"/>
      <c r="Y817" s="1083"/>
    </row>
    <row r="818">
      <c r="A818" s="1120"/>
      <c r="B818" s="1120"/>
      <c r="C818" s="1142"/>
      <c r="D818" s="1058"/>
      <c r="E818" s="1081"/>
      <c r="F818" s="1142"/>
      <c r="G818" s="1081"/>
      <c r="H818" s="1142"/>
      <c r="I818" s="1081"/>
      <c r="J818" s="1081"/>
      <c r="K818" s="1081"/>
      <c r="L818" s="1142"/>
      <c r="M818" s="1142"/>
      <c r="N818" s="1081"/>
      <c r="O818" s="1142"/>
      <c r="P818" s="1081"/>
      <c r="Q818" s="1142"/>
      <c r="R818" s="1081"/>
      <c r="S818" s="1142"/>
      <c r="T818" s="1142"/>
      <c r="U818" s="1142"/>
      <c r="V818" s="1142"/>
      <c r="W818" s="1142"/>
      <c r="X818" s="1142"/>
      <c r="Y818" s="1142"/>
    </row>
    <row r="819">
      <c r="A819" s="1140"/>
      <c r="B819" s="1140"/>
      <c r="C819" s="1083"/>
      <c r="D819" s="1058"/>
      <c r="E819" s="1092"/>
      <c r="F819" s="1083"/>
      <c r="G819" s="1092"/>
      <c r="H819" s="1083"/>
      <c r="I819" s="1092"/>
      <c r="J819" s="1092"/>
      <c r="K819" s="1092"/>
      <c r="L819" s="1083"/>
      <c r="M819" s="1083"/>
      <c r="N819" s="1092"/>
      <c r="O819" s="1083"/>
      <c r="P819" s="1092"/>
      <c r="Q819" s="1083"/>
      <c r="R819" s="1092"/>
      <c r="S819" s="1083"/>
      <c r="T819" s="1083"/>
      <c r="U819" s="1083"/>
      <c r="V819" s="1083"/>
      <c r="W819" s="1083"/>
      <c r="X819" s="1083"/>
      <c r="Y819" s="1083"/>
    </row>
    <row r="820">
      <c r="A820" s="1120"/>
      <c r="B820" s="1120"/>
      <c r="C820" s="1142"/>
      <c r="D820" s="1058"/>
      <c r="E820" s="1081"/>
      <c r="F820" s="1142"/>
      <c r="G820" s="1081"/>
      <c r="H820" s="1142"/>
      <c r="I820" s="1081"/>
      <c r="J820" s="1081"/>
      <c r="K820" s="1081"/>
      <c r="L820" s="1142"/>
      <c r="M820" s="1142"/>
      <c r="N820" s="1081"/>
      <c r="O820" s="1142"/>
      <c r="P820" s="1081"/>
      <c r="Q820" s="1142"/>
      <c r="R820" s="1081"/>
      <c r="S820" s="1142"/>
      <c r="T820" s="1142"/>
      <c r="U820" s="1142"/>
      <c r="V820" s="1142"/>
      <c r="W820" s="1142"/>
      <c r="X820" s="1142"/>
      <c r="Y820" s="1142"/>
    </row>
    <row r="821">
      <c r="A821" s="1140"/>
      <c r="B821" s="1140"/>
      <c r="C821" s="1083"/>
      <c r="D821" s="1058"/>
      <c r="E821" s="1092"/>
      <c r="F821" s="1083"/>
      <c r="G821" s="1092"/>
      <c r="H821" s="1083"/>
      <c r="I821" s="1092"/>
      <c r="J821" s="1092"/>
      <c r="K821" s="1092"/>
      <c r="L821" s="1083"/>
      <c r="M821" s="1083"/>
      <c r="N821" s="1092"/>
      <c r="O821" s="1083"/>
      <c r="P821" s="1092"/>
      <c r="Q821" s="1083"/>
      <c r="R821" s="1092"/>
      <c r="S821" s="1083"/>
      <c r="T821" s="1083"/>
      <c r="U821" s="1083"/>
      <c r="V821" s="1083"/>
      <c r="W821" s="1083"/>
      <c r="X821" s="1083"/>
      <c r="Y821" s="1083"/>
    </row>
    <row r="822">
      <c r="A822" s="1120"/>
      <c r="B822" s="1120"/>
      <c r="C822" s="1142"/>
      <c r="D822" s="1058"/>
      <c r="E822" s="1081"/>
      <c r="F822" s="1142"/>
      <c r="G822" s="1081"/>
      <c r="H822" s="1142"/>
      <c r="I822" s="1081"/>
      <c r="J822" s="1081"/>
      <c r="K822" s="1081"/>
      <c r="L822" s="1142"/>
      <c r="M822" s="1142"/>
      <c r="N822" s="1081"/>
      <c r="O822" s="1142"/>
      <c r="P822" s="1081"/>
      <c r="Q822" s="1142"/>
      <c r="R822" s="1081"/>
      <c r="S822" s="1142"/>
      <c r="T822" s="1142"/>
      <c r="U822" s="1142"/>
      <c r="V822" s="1142"/>
      <c r="W822" s="1142"/>
      <c r="X822" s="1142"/>
      <c r="Y822" s="1142"/>
    </row>
    <row r="823">
      <c r="A823" s="1140"/>
      <c r="B823" s="1140"/>
      <c r="C823" s="1083"/>
      <c r="D823" s="1058"/>
      <c r="E823" s="1092"/>
      <c r="F823" s="1083"/>
      <c r="G823" s="1092"/>
      <c r="H823" s="1083"/>
      <c r="I823" s="1092"/>
      <c r="J823" s="1092"/>
      <c r="K823" s="1092"/>
      <c r="L823" s="1083"/>
      <c r="M823" s="1083"/>
      <c r="N823" s="1092"/>
      <c r="O823" s="1083"/>
      <c r="P823" s="1092"/>
      <c r="Q823" s="1083"/>
      <c r="R823" s="1092"/>
      <c r="S823" s="1083"/>
      <c r="T823" s="1083"/>
      <c r="U823" s="1083"/>
      <c r="V823" s="1083"/>
      <c r="W823" s="1083"/>
      <c r="X823" s="1083"/>
      <c r="Y823" s="1083"/>
    </row>
    <row r="824">
      <c r="A824" s="1120"/>
      <c r="B824" s="1120"/>
      <c r="C824" s="1142"/>
      <c r="D824" s="1058"/>
      <c r="E824" s="1081"/>
      <c r="F824" s="1142"/>
      <c r="G824" s="1081"/>
      <c r="H824" s="1142"/>
      <c r="I824" s="1081"/>
      <c r="J824" s="1081"/>
      <c r="K824" s="1081"/>
      <c r="L824" s="1142"/>
      <c r="M824" s="1142"/>
      <c r="N824" s="1081"/>
      <c r="O824" s="1142"/>
      <c r="P824" s="1081"/>
      <c r="Q824" s="1142"/>
      <c r="R824" s="1081"/>
      <c r="S824" s="1142"/>
      <c r="T824" s="1142"/>
      <c r="U824" s="1142"/>
      <c r="V824" s="1142"/>
      <c r="W824" s="1142"/>
      <c r="X824" s="1142"/>
      <c r="Y824" s="1142"/>
    </row>
    <row r="825">
      <c r="A825" s="1140"/>
      <c r="B825" s="1140"/>
      <c r="C825" s="1083"/>
      <c r="D825" s="1058"/>
      <c r="E825" s="1092"/>
      <c r="F825" s="1083"/>
      <c r="G825" s="1092"/>
      <c r="H825" s="1083"/>
      <c r="I825" s="1092"/>
      <c r="J825" s="1092"/>
      <c r="K825" s="1092"/>
      <c r="L825" s="1083"/>
      <c r="M825" s="1083"/>
      <c r="N825" s="1092"/>
      <c r="O825" s="1083"/>
      <c r="P825" s="1092"/>
      <c r="Q825" s="1083"/>
      <c r="R825" s="1092"/>
      <c r="S825" s="1083"/>
      <c r="T825" s="1083"/>
      <c r="U825" s="1083"/>
      <c r="V825" s="1083"/>
      <c r="W825" s="1083"/>
      <c r="X825" s="1083"/>
      <c r="Y825" s="1083"/>
    </row>
    <row r="826">
      <c r="A826" s="1120"/>
      <c r="B826" s="1120"/>
      <c r="C826" s="1142"/>
      <c r="D826" s="1058"/>
      <c r="E826" s="1081"/>
      <c r="F826" s="1142"/>
      <c r="G826" s="1081"/>
      <c r="H826" s="1142"/>
      <c r="I826" s="1081"/>
      <c r="J826" s="1081"/>
      <c r="K826" s="1081"/>
      <c r="L826" s="1142"/>
      <c r="M826" s="1142"/>
      <c r="N826" s="1081"/>
      <c r="O826" s="1142"/>
      <c r="P826" s="1081"/>
      <c r="Q826" s="1142"/>
      <c r="R826" s="1081"/>
      <c r="S826" s="1142"/>
      <c r="T826" s="1142"/>
      <c r="U826" s="1142"/>
      <c r="V826" s="1142"/>
      <c r="W826" s="1142"/>
      <c r="X826" s="1142"/>
      <c r="Y826" s="1142"/>
    </row>
    <row r="827">
      <c r="A827" s="1140"/>
      <c r="B827" s="1140"/>
      <c r="C827" s="1083"/>
      <c r="D827" s="1058"/>
      <c r="E827" s="1092"/>
      <c r="F827" s="1083"/>
      <c r="G827" s="1092"/>
      <c r="H827" s="1083"/>
      <c r="I827" s="1092"/>
      <c r="J827" s="1092"/>
      <c r="K827" s="1092"/>
      <c r="L827" s="1083"/>
      <c r="M827" s="1083"/>
      <c r="N827" s="1092"/>
      <c r="O827" s="1083"/>
      <c r="P827" s="1092"/>
      <c r="Q827" s="1083"/>
      <c r="R827" s="1092"/>
      <c r="S827" s="1083"/>
      <c r="T827" s="1083"/>
      <c r="U827" s="1083"/>
      <c r="V827" s="1083"/>
      <c r="W827" s="1083"/>
      <c r="X827" s="1083"/>
      <c r="Y827" s="1083"/>
    </row>
    <row r="828">
      <c r="A828" s="1120"/>
      <c r="B828" s="1120"/>
      <c r="C828" s="1142"/>
      <c r="D828" s="1058"/>
      <c r="E828" s="1081"/>
      <c r="F828" s="1142"/>
      <c r="G828" s="1081"/>
      <c r="H828" s="1142"/>
      <c r="I828" s="1081"/>
      <c r="J828" s="1081"/>
      <c r="K828" s="1081"/>
      <c r="L828" s="1142"/>
      <c r="M828" s="1142"/>
      <c r="N828" s="1081"/>
      <c r="O828" s="1142"/>
      <c r="P828" s="1081"/>
      <c r="Q828" s="1142"/>
      <c r="R828" s="1081"/>
      <c r="S828" s="1142"/>
      <c r="T828" s="1142"/>
      <c r="U828" s="1142"/>
      <c r="V828" s="1142"/>
      <c r="W828" s="1142"/>
      <c r="X828" s="1142"/>
      <c r="Y828" s="1142"/>
    </row>
    <row r="829">
      <c r="A829" s="1140"/>
      <c r="B829" s="1140"/>
      <c r="C829" s="1083"/>
      <c r="D829" s="1058"/>
      <c r="E829" s="1092"/>
      <c r="F829" s="1083"/>
      <c r="G829" s="1092"/>
      <c r="H829" s="1083"/>
      <c r="I829" s="1092"/>
      <c r="J829" s="1092"/>
      <c r="K829" s="1092"/>
      <c r="L829" s="1083"/>
      <c r="M829" s="1083"/>
      <c r="N829" s="1092"/>
      <c r="O829" s="1083"/>
      <c r="P829" s="1092"/>
      <c r="Q829" s="1083"/>
      <c r="R829" s="1092"/>
      <c r="S829" s="1083"/>
      <c r="T829" s="1083"/>
      <c r="U829" s="1083"/>
      <c r="V829" s="1083"/>
      <c r="W829" s="1083"/>
      <c r="X829" s="1083"/>
      <c r="Y829" s="1083"/>
    </row>
    <row r="830">
      <c r="A830" s="1120"/>
      <c r="B830" s="1120"/>
      <c r="C830" s="1142"/>
      <c r="D830" s="1058"/>
      <c r="E830" s="1081"/>
      <c r="F830" s="1142"/>
      <c r="G830" s="1081"/>
      <c r="H830" s="1142"/>
      <c r="I830" s="1081"/>
      <c r="J830" s="1081"/>
      <c r="K830" s="1081"/>
      <c r="L830" s="1142"/>
      <c r="M830" s="1142"/>
      <c r="N830" s="1081"/>
      <c r="O830" s="1142"/>
      <c r="P830" s="1081"/>
      <c r="Q830" s="1142"/>
      <c r="R830" s="1081"/>
      <c r="S830" s="1142"/>
      <c r="T830" s="1142"/>
      <c r="U830" s="1142"/>
      <c r="V830" s="1142"/>
      <c r="W830" s="1142"/>
      <c r="X830" s="1142"/>
      <c r="Y830" s="1142"/>
    </row>
    <row r="831">
      <c r="A831" s="1140"/>
      <c r="B831" s="1140"/>
      <c r="C831" s="1083"/>
      <c r="D831" s="1058"/>
      <c r="E831" s="1092"/>
      <c r="F831" s="1083"/>
      <c r="G831" s="1092"/>
      <c r="H831" s="1083"/>
      <c r="I831" s="1092"/>
      <c r="J831" s="1092"/>
      <c r="K831" s="1092"/>
      <c r="L831" s="1083"/>
      <c r="M831" s="1083"/>
      <c r="N831" s="1092"/>
      <c r="O831" s="1083"/>
      <c r="P831" s="1092"/>
      <c r="Q831" s="1083"/>
      <c r="R831" s="1092"/>
      <c r="S831" s="1083"/>
      <c r="T831" s="1083"/>
      <c r="U831" s="1083"/>
      <c r="V831" s="1083"/>
      <c r="W831" s="1083"/>
      <c r="X831" s="1083"/>
      <c r="Y831" s="1083"/>
    </row>
    <row r="832">
      <c r="A832" s="1120"/>
      <c r="B832" s="1120"/>
      <c r="C832" s="1142"/>
      <c r="D832" s="1058"/>
      <c r="E832" s="1081"/>
      <c r="F832" s="1142"/>
      <c r="G832" s="1081"/>
      <c r="H832" s="1142"/>
      <c r="I832" s="1081"/>
      <c r="J832" s="1081"/>
      <c r="K832" s="1081"/>
      <c r="L832" s="1142"/>
      <c r="M832" s="1142"/>
      <c r="N832" s="1081"/>
      <c r="O832" s="1142"/>
      <c r="P832" s="1081"/>
      <c r="Q832" s="1142"/>
      <c r="R832" s="1081"/>
      <c r="S832" s="1142"/>
      <c r="T832" s="1142"/>
      <c r="U832" s="1142"/>
      <c r="V832" s="1142"/>
      <c r="W832" s="1142"/>
      <c r="X832" s="1142"/>
      <c r="Y832" s="1142"/>
    </row>
    <row r="833">
      <c r="A833" s="1140"/>
      <c r="B833" s="1140"/>
      <c r="C833" s="1083"/>
      <c r="D833" s="1058"/>
      <c r="E833" s="1092"/>
      <c r="F833" s="1083"/>
      <c r="G833" s="1092"/>
      <c r="H833" s="1083"/>
      <c r="I833" s="1092"/>
      <c r="J833" s="1092"/>
      <c r="K833" s="1092"/>
      <c r="L833" s="1083"/>
      <c r="M833" s="1083"/>
      <c r="N833" s="1092"/>
      <c r="O833" s="1083"/>
      <c r="P833" s="1092"/>
      <c r="Q833" s="1083"/>
      <c r="R833" s="1092"/>
      <c r="S833" s="1083"/>
      <c r="T833" s="1083"/>
      <c r="U833" s="1083"/>
      <c r="V833" s="1083"/>
      <c r="W833" s="1083"/>
      <c r="X833" s="1083"/>
      <c r="Y833" s="1083"/>
    </row>
    <row r="834">
      <c r="A834" s="1120"/>
      <c r="B834" s="1120"/>
      <c r="C834" s="1142"/>
      <c r="D834" s="1058"/>
      <c r="E834" s="1081"/>
      <c r="F834" s="1142"/>
      <c r="G834" s="1081"/>
      <c r="H834" s="1142"/>
      <c r="I834" s="1081"/>
      <c r="J834" s="1081"/>
      <c r="K834" s="1081"/>
      <c r="L834" s="1142"/>
      <c r="M834" s="1142"/>
      <c r="N834" s="1081"/>
      <c r="O834" s="1142"/>
      <c r="P834" s="1081"/>
      <c r="Q834" s="1142"/>
      <c r="R834" s="1081"/>
      <c r="S834" s="1142"/>
      <c r="T834" s="1142"/>
      <c r="U834" s="1142"/>
      <c r="V834" s="1142"/>
      <c r="W834" s="1142"/>
      <c r="X834" s="1142"/>
      <c r="Y834" s="1142"/>
    </row>
    <row r="835">
      <c r="A835" s="1140"/>
      <c r="B835" s="1140"/>
      <c r="C835" s="1083"/>
      <c r="D835" s="1058"/>
      <c r="E835" s="1092"/>
      <c r="F835" s="1083"/>
      <c r="G835" s="1092"/>
      <c r="H835" s="1083"/>
      <c r="I835" s="1092"/>
      <c r="J835" s="1092"/>
      <c r="K835" s="1092"/>
      <c r="L835" s="1083"/>
      <c r="M835" s="1083"/>
      <c r="N835" s="1092"/>
      <c r="O835" s="1083"/>
      <c r="P835" s="1092"/>
      <c r="Q835" s="1083"/>
      <c r="R835" s="1092"/>
      <c r="S835" s="1083"/>
      <c r="T835" s="1083"/>
      <c r="U835" s="1083"/>
      <c r="V835" s="1083"/>
      <c r="W835" s="1083"/>
      <c r="X835" s="1083"/>
      <c r="Y835" s="1083"/>
    </row>
    <row r="836">
      <c r="A836" s="1120"/>
      <c r="B836" s="1120"/>
      <c r="C836" s="1142"/>
      <c r="D836" s="1058"/>
      <c r="E836" s="1081"/>
      <c r="F836" s="1142"/>
      <c r="G836" s="1081"/>
      <c r="H836" s="1142"/>
      <c r="I836" s="1081"/>
      <c r="J836" s="1081"/>
      <c r="K836" s="1081"/>
      <c r="L836" s="1142"/>
      <c r="M836" s="1142"/>
      <c r="N836" s="1081"/>
      <c r="O836" s="1142"/>
      <c r="P836" s="1081"/>
      <c r="Q836" s="1142"/>
      <c r="R836" s="1081"/>
      <c r="S836" s="1142"/>
      <c r="T836" s="1142"/>
      <c r="U836" s="1142"/>
      <c r="V836" s="1142"/>
      <c r="W836" s="1142"/>
      <c r="X836" s="1142"/>
      <c r="Y836" s="1142"/>
    </row>
    <row r="837">
      <c r="A837" s="1140"/>
      <c r="B837" s="1140"/>
      <c r="C837" s="1083"/>
      <c r="D837" s="1058"/>
      <c r="E837" s="1092"/>
      <c r="F837" s="1083"/>
      <c r="G837" s="1092"/>
      <c r="H837" s="1083"/>
      <c r="I837" s="1092"/>
      <c r="J837" s="1092"/>
      <c r="K837" s="1092"/>
      <c r="L837" s="1083"/>
      <c r="M837" s="1083"/>
      <c r="N837" s="1092"/>
      <c r="O837" s="1083"/>
      <c r="P837" s="1092"/>
      <c r="Q837" s="1083"/>
      <c r="R837" s="1092"/>
      <c r="S837" s="1083"/>
      <c r="T837" s="1083"/>
      <c r="U837" s="1083"/>
      <c r="V837" s="1083"/>
      <c r="W837" s="1083"/>
      <c r="X837" s="1083"/>
      <c r="Y837" s="1083"/>
    </row>
    <row r="838">
      <c r="A838" s="1120"/>
      <c r="B838" s="1120"/>
      <c r="C838" s="1142"/>
      <c r="D838" s="1058"/>
      <c r="E838" s="1081"/>
      <c r="F838" s="1142"/>
      <c r="G838" s="1081"/>
      <c r="H838" s="1142"/>
      <c r="I838" s="1081"/>
      <c r="J838" s="1081"/>
      <c r="K838" s="1081"/>
      <c r="L838" s="1142"/>
      <c r="M838" s="1142"/>
      <c r="N838" s="1081"/>
      <c r="O838" s="1142"/>
      <c r="P838" s="1081"/>
      <c r="Q838" s="1142"/>
      <c r="R838" s="1081"/>
      <c r="S838" s="1142"/>
      <c r="T838" s="1142"/>
      <c r="U838" s="1142"/>
      <c r="V838" s="1142"/>
      <c r="W838" s="1142"/>
      <c r="X838" s="1142"/>
      <c r="Y838" s="1142"/>
    </row>
    <row r="839">
      <c r="A839" s="1140"/>
      <c r="B839" s="1140"/>
      <c r="C839" s="1083"/>
      <c r="D839" s="1058"/>
      <c r="E839" s="1092"/>
      <c r="F839" s="1083"/>
      <c r="G839" s="1092"/>
      <c r="H839" s="1083"/>
      <c r="I839" s="1092"/>
      <c r="J839" s="1092"/>
      <c r="K839" s="1092"/>
      <c r="L839" s="1083"/>
      <c r="M839" s="1083"/>
      <c r="N839" s="1092"/>
      <c r="O839" s="1083"/>
      <c r="P839" s="1092"/>
      <c r="Q839" s="1083"/>
      <c r="R839" s="1092"/>
      <c r="S839" s="1083"/>
      <c r="T839" s="1083"/>
      <c r="U839" s="1083"/>
      <c r="V839" s="1083"/>
      <c r="W839" s="1083"/>
      <c r="X839" s="1083"/>
      <c r="Y839" s="1083"/>
    </row>
    <row r="840">
      <c r="A840" s="1120"/>
      <c r="B840" s="1120"/>
      <c r="C840" s="1142"/>
      <c r="D840" s="1058"/>
      <c r="E840" s="1081"/>
      <c r="F840" s="1142"/>
      <c r="G840" s="1081"/>
      <c r="H840" s="1142"/>
      <c r="I840" s="1081"/>
      <c r="J840" s="1081"/>
      <c r="K840" s="1081"/>
      <c r="L840" s="1142"/>
      <c r="M840" s="1142"/>
      <c r="N840" s="1081"/>
      <c r="O840" s="1142"/>
      <c r="P840" s="1081"/>
      <c r="Q840" s="1142"/>
      <c r="R840" s="1081"/>
      <c r="S840" s="1142"/>
      <c r="T840" s="1142"/>
      <c r="U840" s="1142"/>
      <c r="V840" s="1142"/>
      <c r="W840" s="1142"/>
      <c r="X840" s="1142"/>
      <c r="Y840" s="1142"/>
    </row>
    <row r="841">
      <c r="A841" s="1140"/>
      <c r="B841" s="1140"/>
      <c r="C841" s="1083"/>
      <c r="D841" s="1058"/>
      <c r="E841" s="1092"/>
      <c r="F841" s="1083"/>
      <c r="G841" s="1092"/>
      <c r="H841" s="1083"/>
      <c r="I841" s="1092"/>
      <c r="J841" s="1092"/>
      <c r="K841" s="1092"/>
      <c r="L841" s="1083"/>
      <c r="M841" s="1083"/>
      <c r="N841" s="1092"/>
      <c r="O841" s="1083"/>
      <c r="P841" s="1092"/>
      <c r="Q841" s="1083"/>
      <c r="R841" s="1092"/>
      <c r="S841" s="1083"/>
      <c r="T841" s="1083"/>
      <c r="U841" s="1083"/>
      <c r="V841" s="1083"/>
      <c r="W841" s="1083"/>
      <c r="X841" s="1083"/>
      <c r="Y841" s="1083"/>
    </row>
    <row r="842">
      <c r="A842" s="1120"/>
      <c r="B842" s="1120"/>
      <c r="C842" s="1142"/>
      <c r="D842" s="1058"/>
      <c r="E842" s="1081"/>
      <c r="F842" s="1142"/>
      <c r="G842" s="1081"/>
      <c r="H842" s="1142"/>
      <c r="I842" s="1081"/>
      <c r="J842" s="1081"/>
      <c r="K842" s="1081"/>
      <c r="L842" s="1142"/>
      <c r="M842" s="1142"/>
      <c r="N842" s="1081"/>
      <c r="O842" s="1142"/>
      <c r="P842" s="1081"/>
      <c r="Q842" s="1142"/>
      <c r="R842" s="1081"/>
      <c r="S842" s="1142"/>
      <c r="T842" s="1142"/>
      <c r="U842" s="1142"/>
      <c r="V842" s="1142"/>
      <c r="W842" s="1142"/>
      <c r="X842" s="1142"/>
      <c r="Y842" s="1142"/>
    </row>
    <row r="843">
      <c r="A843" s="1140"/>
      <c r="B843" s="1140"/>
      <c r="C843" s="1083"/>
      <c r="D843" s="1058"/>
      <c r="E843" s="1092"/>
      <c r="F843" s="1083"/>
      <c r="G843" s="1092"/>
      <c r="H843" s="1083"/>
      <c r="I843" s="1092"/>
      <c r="J843" s="1092"/>
      <c r="K843" s="1092"/>
      <c r="L843" s="1083"/>
      <c r="M843" s="1083"/>
      <c r="N843" s="1092"/>
      <c r="O843" s="1083"/>
      <c r="P843" s="1092"/>
      <c r="Q843" s="1083"/>
      <c r="R843" s="1092"/>
      <c r="S843" s="1083"/>
      <c r="T843" s="1083"/>
      <c r="U843" s="1083"/>
      <c r="V843" s="1083"/>
      <c r="W843" s="1083"/>
      <c r="X843" s="1083"/>
      <c r="Y843" s="1083"/>
    </row>
    <row r="844">
      <c r="A844" s="1120"/>
      <c r="B844" s="1120"/>
      <c r="C844" s="1142"/>
      <c r="D844" s="1058"/>
      <c r="E844" s="1081"/>
      <c r="F844" s="1142"/>
      <c r="G844" s="1081"/>
      <c r="H844" s="1142"/>
      <c r="I844" s="1081"/>
      <c r="J844" s="1081"/>
      <c r="K844" s="1081"/>
      <c r="L844" s="1142"/>
      <c r="M844" s="1142"/>
      <c r="N844" s="1081"/>
      <c r="O844" s="1142"/>
      <c r="P844" s="1081"/>
      <c r="Q844" s="1142"/>
      <c r="R844" s="1081"/>
      <c r="S844" s="1142"/>
      <c r="T844" s="1142"/>
      <c r="U844" s="1142"/>
      <c r="V844" s="1142"/>
      <c r="W844" s="1142"/>
      <c r="X844" s="1142"/>
      <c r="Y844" s="1142"/>
    </row>
    <row r="845">
      <c r="A845" s="1140"/>
      <c r="B845" s="1140"/>
      <c r="C845" s="1083"/>
      <c r="D845" s="1058"/>
      <c r="E845" s="1092"/>
      <c r="F845" s="1083"/>
      <c r="G845" s="1092"/>
      <c r="H845" s="1083"/>
      <c r="I845" s="1092"/>
      <c r="J845" s="1092"/>
      <c r="K845" s="1092"/>
      <c r="L845" s="1083"/>
      <c r="M845" s="1083"/>
      <c r="N845" s="1092"/>
      <c r="O845" s="1083"/>
      <c r="P845" s="1092"/>
      <c r="Q845" s="1083"/>
      <c r="R845" s="1092"/>
      <c r="S845" s="1083"/>
      <c r="T845" s="1083"/>
      <c r="U845" s="1083"/>
      <c r="V845" s="1083"/>
      <c r="W845" s="1083"/>
      <c r="X845" s="1083"/>
      <c r="Y845" s="1083"/>
    </row>
    <row r="846">
      <c r="A846" s="1120"/>
      <c r="B846" s="1120"/>
      <c r="C846" s="1142"/>
      <c r="D846" s="1058"/>
      <c r="E846" s="1081"/>
      <c r="F846" s="1142"/>
      <c r="G846" s="1081"/>
      <c r="H846" s="1142"/>
      <c r="I846" s="1081"/>
      <c r="J846" s="1081"/>
      <c r="K846" s="1081"/>
      <c r="L846" s="1142"/>
      <c r="M846" s="1142"/>
      <c r="N846" s="1081"/>
      <c r="O846" s="1142"/>
      <c r="P846" s="1081"/>
      <c r="Q846" s="1142"/>
      <c r="R846" s="1081"/>
      <c r="S846" s="1142"/>
      <c r="T846" s="1142"/>
      <c r="U846" s="1142"/>
      <c r="V846" s="1142"/>
      <c r="W846" s="1142"/>
      <c r="X846" s="1142"/>
      <c r="Y846" s="1142"/>
    </row>
    <row r="847">
      <c r="A847" s="1140"/>
      <c r="B847" s="1140"/>
      <c r="C847" s="1083"/>
      <c r="D847" s="1058"/>
      <c r="E847" s="1092"/>
      <c r="F847" s="1083"/>
      <c r="G847" s="1092"/>
      <c r="H847" s="1083"/>
      <c r="I847" s="1092"/>
      <c r="J847" s="1092"/>
      <c r="K847" s="1092"/>
      <c r="L847" s="1083"/>
      <c r="M847" s="1083"/>
      <c r="N847" s="1092"/>
      <c r="O847" s="1083"/>
      <c r="P847" s="1092"/>
      <c r="Q847" s="1083"/>
      <c r="R847" s="1092"/>
      <c r="S847" s="1083"/>
      <c r="T847" s="1083"/>
      <c r="U847" s="1083"/>
      <c r="V847" s="1083"/>
      <c r="W847" s="1083"/>
      <c r="X847" s="1083"/>
      <c r="Y847" s="1083"/>
    </row>
    <row r="848">
      <c r="A848" s="1120"/>
      <c r="B848" s="1120"/>
      <c r="C848" s="1142"/>
      <c r="D848" s="1058"/>
      <c r="E848" s="1081"/>
      <c r="F848" s="1142"/>
      <c r="G848" s="1081"/>
      <c r="H848" s="1142"/>
      <c r="I848" s="1081"/>
      <c r="J848" s="1081"/>
      <c r="K848" s="1081"/>
      <c r="L848" s="1142"/>
      <c r="M848" s="1142"/>
      <c r="N848" s="1081"/>
      <c r="O848" s="1142"/>
      <c r="P848" s="1081"/>
      <c r="Q848" s="1142"/>
      <c r="R848" s="1081"/>
      <c r="S848" s="1142"/>
      <c r="T848" s="1142"/>
      <c r="U848" s="1142"/>
      <c r="V848" s="1142"/>
      <c r="W848" s="1142"/>
      <c r="X848" s="1142"/>
      <c r="Y848" s="1142"/>
    </row>
    <row r="849">
      <c r="A849" s="1140"/>
      <c r="B849" s="1140"/>
      <c r="C849" s="1083"/>
      <c r="D849" s="1058"/>
      <c r="E849" s="1092"/>
      <c r="F849" s="1083"/>
      <c r="G849" s="1092"/>
      <c r="H849" s="1083"/>
      <c r="I849" s="1092"/>
      <c r="J849" s="1092"/>
      <c r="K849" s="1092"/>
      <c r="L849" s="1083"/>
      <c r="M849" s="1083"/>
      <c r="N849" s="1092"/>
      <c r="O849" s="1083"/>
      <c r="P849" s="1092"/>
      <c r="Q849" s="1083"/>
      <c r="R849" s="1092"/>
      <c r="S849" s="1083"/>
      <c r="T849" s="1083"/>
      <c r="U849" s="1083"/>
      <c r="V849" s="1083"/>
      <c r="W849" s="1083"/>
      <c r="X849" s="1083"/>
      <c r="Y849" s="1083"/>
    </row>
    <row r="850">
      <c r="A850" s="1120"/>
      <c r="B850" s="1120"/>
      <c r="C850" s="1142"/>
      <c r="D850" s="1058"/>
      <c r="E850" s="1081"/>
      <c r="F850" s="1142"/>
      <c r="G850" s="1081"/>
      <c r="H850" s="1142"/>
      <c r="I850" s="1081"/>
      <c r="J850" s="1081"/>
      <c r="K850" s="1081"/>
      <c r="L850" s="1142"/>
      <c r="M850" s="1142"/>
      <c r="N850" s="1081"/>
      <c r="O850" s="1142"/>
      <c r="P850" s="1081"/>
      <c r="Q850" s="1142"/>
      <c r="R850" s="1081"/>
      <c r="S850" s="1142"/>
      <c r="T850" s="1142"/>
      <c r="U850" s="1142"/>
      <c r="V850" s="1142"/>
      <c r="W850" s="1142"/>
      <c r="X850" s="1142"/>
      <c r="Y850" s="1142"/>
    </row>
    <row r="851">
      <c r="A851" s="1140"/>
      <c r="B851" s="1140"/>
      <c r="C851" s="1083"/>
      <c r="D851" s="1058"/>
      <c r="E851" s="1092"/>
      <c r="F851" s="1083"/>
      <c r="G851" s="1092"/>
      <c r="H851" s="1083"/>
      <c r="I851" s="1092"/>
      <c r="J851" s="1092"/>
      <c r="K851" s="1092"/>
      <c r="L851" s="1083"/>
      <c r="M851" s="1083"/>
      <c r="N851" s="1092"/>
      <c r="O851" s="1083"/>
      <c r="P851" s="1092"/>
      <c r="Q851" s="1083"/>
      <c r="R851" s="1092"/>
      <c r="S851" s="1083"/>
      <c r="T851" s="1083"/>
      <c r="U851" s="1083"/>
      <c r="V851" s="1083"/>
      <c r="W851" s="1083"/>
      <c r="X851" s="1083"/>
      <c r="Y851" s="1083"/>
    </row>
    <row r="852">
      <c r="A852" s="1120"/>
      <c r="B852" s="1120"/>
      <c r="C852" s="1142"/>
      <c r="D852" s="1058"/>
      <c r="E852" s="1081"/>
      <c r="F852" s="1142"/>
      <c r="G852" s="1081"/>
      <c r="H852" s="1142"/>
      <c r="I852" s="1081"/>
      <c r="J852" s="1081"/>
      <c r="K852" s="1081"/>
      <c r="L852" s="1142"/>
      <c r="M852" s="1142"/>
      <c r="N852" s="1081"/>
      <c r="O852" s="1142"/>
      <c r="P852" s="1081"/>
      <c r="Q852" s="1142"/>
      <c r="R852" s="1081"/>
      <c r="S852" s="1142"/>
      <c r="T852" s="1142"/>
      <c r="U852" s="1142"/>
      <c r="V852" s="1142"/>
      <c r="W852" s="1142"/>
      <c r="X852" s="1142"/>
      <c r="Y852" s="1142"/>
    </row>
    <row r="853">
      <c r="A853" s="1140"/>
      <c r="B853" s="1140"/>
      <c r="C853" s="1083"/>
      <c r="D853" s="1058"/>
      <c r="E853" s="1092"/>
      <c r="F853" s="1083"/>
      <c r="G853" s="1092"/>
      <c r="H853" s="1083"/>
      <c r="I853" s="1092"/>
      <c r="J853" s="1092"/>
      <c r="K853" s="1092"/>
      <c r="L853" s="1083"/>
      <c r="M853" s="1083"/>
      <c r="N853" s="1092"/>
      <c r="O853" s="1083"/>
      <c r="P853" s="1092"/>
      <c r="Q853" s="1083"/>
      <c r="R853" s="1092"/>
      <c r="S853" s="1083"/>
      <c r="T853" s="1083"/>
      <c r="U853" s="1083"/>
      <c r="V853" s="1083"/>
      <c r="W853" s="1083"/>
      <c r="X853" s="1083"/>
      <c r="Y853" s="1083"/>
    </row>
    <row r="854">
      <c r="A854" s="1120"/>
      <c r="B854" s="1120"/>
      <c r="C854" s="1142"/>
      <c r="D854" s="1058"/>
      <c r="E854" s="1081"/>
      <c r="F854" s="1142"/>
      <c r="G854" s="1081"/>
      <c r="H854" s="1142"/>
      <c r="I854" s="1081"/>
      <c r="J854" s="1081"/>
      <c r="K854" s="1081"/>
      <c r="L854" s="1142"/>
      <c r="M854" s="1142"/>
      <c r="N854" s="1081"/>
      <c r="O854" s="1142"/>
      <c r="P854" s="1081"/>
      <c r="Q854" s="1142"/>
      <c r="R854" s="1081"/>
      <c r="S854" s="1142"/>
      <c r="T854" s="1142"/>
      <c r="U854" s="1142"/>
      <c r="V854" s="1142"/>
      <c r="W854" s="1142"/>
      <c r="X854" s="1142"/>
      <c r="Y854" s="1142"/>
    </row>
    <row r="855">
      <c r="A855" s="1140"/>
      <c r="B855" s="1140"/>
      <c r="C855" s="1083"/>
      <c r="D855" s="1058"/>
      <c r="E855" s="1092"/>
      <c r="F855" s="1083"/>
      <c r="G855" s="1092"/>
      <c r="H855" s="1083"/>
      <c r="I855" s="1092"/>
      <c r="J855" s="1092"/>
      <c r="K855" s="1092"/>
      <c r="L855" s="1083"/>
      <c r="M855" s="1083"/>
      <c r="N855" s="1092"/>
      <c r="O855" s="1083"/>
      <c r="P855" s="1092"/>
      <c r="Q855" s="1083"/>
      <c r="R855" s="1092"/>
      <c r="S855" s="1083"/>
      <c r="T855" s="1083"/>
      <c r="U855" s="1083"/>
      <c r="V855" s="1083"/>
      <c r="W855" s="1083"/>
      <c r="X855" s="1083"/>
      <c r="Y855" s="1083"/>
    </row>
    <row r="856">
      <c r="A856" s="1120"/>
      <c r="B856" s="1120"/>
      <c r="C856" s="1142"/>
      <c r="D856" s="1058"/>
      <c r="E856" s="1081"/>
      <c r="F856" s="1142"/>
      <c r="G856" s="1081"/>
      <c r="H856" s="1142"/>
      <c r="I856" s="1081"/>
      <c r="J856" s="1081"/>
      <c r="K856" s="1081"/>
      <c r="L856" s="1142"/>
      <c r="M856" s="1142"/>
      <c r="N856" s="1081"/>
      <c r="O856" s="1142"/>
      <c r="P856" s="1081"/>
      <c r="Q856" s="1142"/>
      <c r="R856" s="1081"/>
      <c r="S856" s="1142"/>
      <c r="T856" s="1142"/>
      <c r="U856" s="1142"/>
      <c r="V856" s="1142"/>
      <c r="W856" s="1142"/>
      <c r="X856" s="1142"/>
      <c r="Y856" s="1142"/>
    </row>
    <row r="857">
      <c r="A857" s="1140"/>
      <c r="B857" s="1140"/>
      <c r="C857" s="1083"/>
      <c r="D857" s="1058"/>
      <c r="E857" s="1092"/>
      <c r="F857" s="1083"/>
      <c r="G857" s="1092"/>
      <c r="H857" s="1083"/>
      <c r="I857" s="1092"/>
      <c r="J857" s="1092"/>
      <c r="K857" s="1092"/>
      <c r="L857" s="1083"/>
      <c r="M857" s="1083"/>
      <c r="N857" s="1092"/>
      <c r="O857" s="1083"/>
      <c r="P857" s="1092"/>
      <c r="Q857" s="1083"/>
      <c r="R857" s="1092"/>
      <c r="S857" s="1083"/>
      <c r="T857" s="1083"/>
      <c r="U857" s="1083"/>
      <c r="V857" s="1083"/>
      <c r="W857" s="1083"/>
      <c r="X857" s="1083"/>
      <c r="Y857" s="1083"/>
    </row>
    <row r="858">
      <c r="A858" s="1120"/>
      <c r="B858" s="1120"/>
      <c r="C858" s="1142"/>
      <c r="D858" s="1058"/>
      <c r="E858" s="1081"/>
      <c r="F858" s="1142"/>
      <c r="G858" s="1081"/>
      <c r="H858" s="1142"/>
      <c r="I858" s="1081"/>
      <c r="J858" s="1081"/>
      <c r="K858" s="1081"/>
      <c r="L858" s="1142"/>
      <c r="M858" s="1142"/>
      <c r="N858" s="1081"/>
      <c r="O858" s="1142"/>
      <c r="P858" s="1081"/>
      <c r="Q858" s="1142"/>
      <c r="R858" s="1081"/>
      <c r="S858" s="1142"/>
      <c r="T858" s="1142"/>
      <c r="U858" s="1142"/>
      <c r="V858" s="1142"/>
      <c r="W858" s="1142"/>
      <c r="X858" s="1142"/>
      <c r="Y858" s="1142"/>
    </row>
    <row r="859">
      <c r="A859" s="1140"/>
      <c r="B859" s="1140"/>
      <c r="C859" s="1083"/>
      <c r="D859" s="1058"/>
      <c r="E859" s="1092"/>
      <c r="F859" s="1083"/>
      <c r="G859" s="1092"/>
      <c r="H859" s="1083"/>
      <c r="I859" s="1092"/>
      <c r="J859" s="1092"/>
      <c r="K859" s="1092"/>
      <c r="L859" s="1083"/>
      <c r="M859" s="1083"/>
      <c r="N859" s="1092"/>
      <c r="O859" s="1083"/>
      <c r="P859" s="1092"/>
      <c r="Q859" s="1083"/>
      <c r="R859" s="1092"/>
      <c r="S859" s="1083"/>
      <c r="T859" s="1083"/>
      <c r="U859" s="1083"/>
      <c r="V859" s="1083"/>
      <c r="W859" s="1083"/>
      <c r="X859" s="1083"/>
      <c r="Y859" s="1083"/>
    </row>
    <row r="860">
      <c r="A860" s="1120"/>
      <c r="B860" s="1120"/>
      <c r="C860" s="1142"/>
      <c r="D860" s="1058"/>
      <c r="E860" s="1081"/>
      <c r="F860" s="1142"/>
      <c r="G860" s="1081"/>
      <c r="H860" s="1142"/>
      <c r="I860" s="1081"/>
      <c r="J860" s="1081"/>
      <c r="K860" s="1081"/>
      <c r="L860" s="1142"/>
      <c r="M860" s="1142"/>
      <c r="N860" s="1081"/>
      <c r="O860" s="1142"/>
      <c r="P860" s="1081"/>
      <c r="Q860" s="1142"/>
      <c r="R860" s="1081"/>
      <c r="S860" s="1142"/>
      <c r="T860" s="1142"/>
      <c r="U860" s="1142"/>
      <c r="V860" s="1142"/>
      <c r="W860" s="1142"/>
      <c r="X860" s="1142"/>
      <c r="Y860" s="1142"/>
    </row>
    <row r="861">
      <c r="A861" s="1140"/>
      <c r="B861" s="1140"/>
      <c r="C861" s="1083"/>
      <c r="D861" s="1058"/>
      <c r="E861" s="1092"/>
      <c r="F861" s="1083"/>
      <c r="G861" s="1092"/>
      <c r="H861" s="1083"/>
      <c r="I861" s="1092"/>
      <c r="J861" s="1092"/>
      <c r="K861" s="1092"/>
      <c r="L861" s="1083"/>
      <c r="M861" s="1083"/>
      <c r="N861" s="1092"/>
      <c r="O861" s="1083"/>
      <c r="P861" s="1092"/>
      <c r="Q861" s="1083"/>
      <c r="R861" s="1092"/>
      <c r="S861" s="1083"/>
      <c r="T861" s="1083"/>
      <c r="U861" s="1083"/>
      <c r="V861" s="1083"/>
      <c r="W861" s="1083"/>
      <c r="X861" s="1083"/>
      <c r="Y861" s="1083"/>
    </row>
    <row r="862">
      <c r="A862" s="1120"/>
      <c r="B862" s="1120"/>
      <c r="C862" s="1142"/>
      <c r="D862" s="1058"/>
      <c r="E862" s="1081"/>
      <c r="F862" s="1142"/>
      <c r="G862" s="1081"/>
      <c r="H862" s="1142"/>
      <c r="I862" s="1081"/>
      <c r="J862" s="1081"/>
      <c r="K862" s="1081"/>
      <c r="L862" s="1142"/>
      <c r="M862" s="1142"/>
      <c r="N862" s="1081"/>
      <c r="O862" s="1142"/>
      <c r="P862" s="1081"/>
      <c r="Q862" s="1142"/>
      <c r="R862" s="1081"/>
      <c r="S862" s="1142"/>
      <c r="T862" s="1142"/>
      <c r="U862" s="1142"/>
      <c r="V862" s="1142"/>
      <c r="W862" s="1142"/>
      <c r="X862" s="1142"/>
      <c r="Y862" s="1142"/>
    </row>
    <row r="863">
      <c r="A863" s="1140"/>
      <c r="B863" s="1140"/>
      <c r="C863" s="1083"/>
      <c r="D863" s="1058"/>
      <c r="E863" s="1092"/>
      <c r="F863" s="1083"/>
      <c r="G863" s="1092"/>
      <c r="H863" s="1083"/>
      <c r="I863" s="1092"/>
      <c r="J863" s="1092"/>
      <c r="K863" s="1092"/>
      <c r="L863" s="1083"/>
      <c r="M863" s="1083"/>
      <c r="N863" s="1092"/>
      <c r="O863" s="1083"/>
      <c r="P863" s="1092"/>
      <c r="Q863" s="1083"/>
      <c r="R863" s="1092"/>
      <c r="S863" s="1083"/>
      <c r="T863" s="1083"/>
      <c r="U863" s="1083"/>
      <c r="V863" s="1083"/>
      <c r="W863" s="1083"/>
      <c r="X863" s="1083"/>
      <c r="Y863" s="1083"/>
    </row>
    <row r="864">
      <c r="A864" s="1120"/>
      <c r="B864" s="1120"/>
      <c r="C864" s="1142"/>
      <c r="D864" s="1058"/>
      <c r="E864" s="1081"/>
      <c r="F864" s="1142"/>
      <c r="G864" s="1081"/>
      <c r="H864" s="1142"/>
      <c r="I864" s="1081"/>
      <c r="J864" s="1081"/>
      <c r="K864" s="1081"/>
      <c r="L864" s="1142"/>
      <c r="M864" s="1142"/>
      <c r="N864" s="1081"/>
      <c r="O864" s="1142"/>
      <c r="P864" s="1081"/>
      <c r="Q864" s="1142"/>
      <c r="R864" s="1081"/>
      <c r="S864" s="1142"/>
      <c r="T864" s="1142"/>
      <c r="U864" s="1142"/>
      <c r="V864" s="1142"/>
      <c r="W864" s="1142"/>
      <c r="X864" s="1142"/>
      <c r="Y864" s="1142"/>
    </row>
    <row r="865">
      <c r="A865" s="1140"/>
      <c r="B865" s="1140"/>
      <c r="C865" s="1083"/>
      <c r="D865" s="1058"/>
      <c r="E865" s="1092"/>
      <c r="F865" s="1083"/>
      <c r="G865" s="1092"/>
      <c r="H865" s="1083"/>
      <c r="I865" s="1092"/>
      <c r="J865" s="1092"/>
      <c r="K865" s="1092"/>
      <c r="L865" s="1083"/>
      <c r="M865" s="1083"/>
      <c r="N865" s="1092"/>
      <c r="O865" s="1083"/>
      <c r="P865" s="1092"/>
      <c r="Q865" s="1083"/>
      <c r="R865" s="1092"/>
      <c r="S865" s="1083"/>
      <c r="T865" s="1083"/>
      <c r="U865" s="1083"/>
      <c r="V865" s="1083"/>
      <c r="W865" s="1083"/>
      <c r="X865" s="1083"/>
      <c r="Y865" s="1083"/>
    </row>
    <row r="866">
      <c r="A866" s="1120"/>
      <c r="B866" s="1120"/>
      <c r="C866" s="1142"/>
      <c r="D866" s="1058"/>
      <c r="E866" s="1081"/>
      <c r="F866" s="1142"/>
      <c r="G866" s="1081"/>
      <c r="H866" s="1142"/>
      <c r="I866" s="1081"/>
      <c r="J866" s="1081"/>
      <c r="K866" s="1081"/>
      <c r="L866" s="1142"/>
      <c r="M866" s="1142"/>
      <c r="N866" s="1081"/>
      <c r="O866" s="1142"/>
      <c r="P866" s="1081"/>
      <c r="Q866" s="1142"/>
      <c r="R866" s="1081"/>
      <c r="S866" s="1142"/>
      <c r="T866" s="1142"/>
      <c r="U866" s="1142"/>
      <c r="V866" s="1142"/>
      <c r="W866" s="1142"/>
      <c r="X866" s="1142"/>
      <c r="Y866" s="1142"/>
    </row>
    <row r="867">
      <c r="A867" s="1140"/>
      <c r="B867" s="1140"/>
      <c r="C867" s="1083"/>
      <c r="D867" s="1058"/>
      <c r="E867" s="1092"/>
      <c r="F867" s="1083"/>
      <c r="G867" s="1092"/>
      <c r="H867" s="1083"/>
      <c r="I867" s="1092"/>
      <c r="J867" s="1092"/>
      <c r="K867" s="1092"/>
      <c r="L867" s="1083"/>
      <c r="M867" s="1083"/>
      <c r="N867" s="1092"/>
      <c r="O867" s="1083"/>
      <c r="P867" s="1092"/>
      <c r="Q867" s="1083"/>
      <c r="R867" s="1092"/>
      <c r="S867" s="1083"/>
      <c r="T867" s="1083"/>
      <c r="U867" s="1083"/>
      <c r="V867" s="1083"/>
      <c r="W867" s="1083"/>
      <c r="X867" s="1083"/>
      <c r="Y867" s="1083"/>
    </row>
    <row r="868">
      <c r="A868" s="1120"/>
      <c r="B868" s="1120"/>
      <c r="C868" s="1142"/>
      <c r="D868" s="1058"/>
      <c r="E868" s="1081"/>
      <c r="F868" s="1142"/>
      <c r="G868" s="1081"/>
      <c r="H868" s="1142"/>
      <c r="I868" s="1081"/>
      <c r="J868" s="1081"/>
      <c r="K868" s="1081"/>
      <c r="L868" s="1142"/>
      <c r="M868" s="1142"/>
      <c r="N868" s="1081"/>
      <c r="O868" s="1142"/>
      <c r="P868" s="1081"/>
      <c r="Q868" s="1142"/>
      <c r="R868" s="1081"/>
      <c r="S868" s="1142"/>
      <c r="T868" s="1142"/>
      <c r="U868" s="1142"/>
      <c r="V868" s="1142"/>
      <c r="W868" s="1142"/>
      <c r="X868" s="1142"/>
      <c r="Y868" s="1142"/>
    </row>
    <row r="869">
      <c r="A869" s="1140"/>
      <c r="B869" s="1140"/>
      <c r="C869" s="1083"/>
      <c r="D869" s="1058"/>
      <c r="E869" s="1092"/>
      <c r="F869" s="1083"/>
      <c r="G869" s="1092"/>
      <c r="H869" s="1083"/>
      <c r="I869" s="1092"/>
      <c r="J869" s="1092"/>
      <c r="K869" s="1092"/>
      <c r="L869" s="1083"/>
      <c r="M869" s="1083"/>
      <c r="N869" s="1092"/>
      <c r="O869" s="1083"/>
      <c r="P869" s="1092"/>
      <c r="Q869" s="1083"/>
      <c r="R869" s="1092"/>
      <c r="S869" s="1083"/>
      <c r="T869" s="1083"/>
      <c r="U869" s="1083"/>
      <c r="V869" s="1083"/>
      <c r="W869" s="1083"/>
      <c r="X869" s="1083"/>
      <c r="Y869" s="1083"/>
    </row>
    <row r="870">
      <c r="A870" s="1120"/>
      <c r="B870" s="1120"/>
      <c r="C870" s="1142"/>
      <c r="D870" s="1058"/>
      <c r="E870" s="1081"/>
      <c r="F870" s="1142"/>
      <c r="G870" s="1081"/>
      <c r="H870" s="1142"/>
      <c r="I870" s="1081"/>
      <c r="J870" s="1081"/>
      <c r="K870" s="1081"/>
      <c r="L870" s="1142"/>
      <c r="M870" s="1142"/>
      <c r="N870" s="1081"/>
      <c r="O870" s="1142"/>
      <c r="P870" s="1081"/>
      <c r="Q870" s="1142"/>
      <c r="R870" s="1081"/>
      <c r="S870" s="1142"/>
      <c r="T870" s="1142"/>
      <c r="U870" s="1142"/>
      <c r="V870" s="1142"/>
      <c r="W870" s="1142"/>
      <c r="X870" s="1142"/>
      <c r="Y870" s="1142"/>
    </row>
    <row r="871">
      <c r="A871" s="1140"/>
      <c r="B871" s="1140"/>
      <c r="C871" s="1083"/>
      <c r="D871" s="1058"/>
      <c r="E871" s="1092"/>
      <c r="F871" s="1083"/>
      <c r="G871" s="1092"/>
      <c r="H871" s="1083"/>
      <c r="I871" s="1092"/>
      <c r="J871" s="1092"/>
      <c r="K871" s="1092"/>
      <c r="L871" s="1083"/>
      <c r="M871" s="1083"/>
      <c r="N871" s="1092"/>
      <c r="O871" s="1083"/>
      <c r="P871" s="1092"/>
      <c r="Q871" s="1083"/>
      <c r="R871" s="1092"/>
      <c r="S871" s="1083"/>
      <c r="T871" s="1083"/>
      <c r="U871" s="1083"/>
      <c r="V871" s="1083"/>
      <c r="W871" s="1083"/>
      <c r="X871" s="1083"/>
      <c r="Y871" s="1083"/>
    </row>
    <row r="872">
      <c r="A872" s="1120"/>
      <c r="B872" s="1120"/>
      <c r="C872" s="1142"/>
      <c r="D872" s="1058"/>
      <c r="E872" s="1081"/>
      <c r="F872" s="1142"/>
      <c r="G872" s="1081"/>
      <c r="H872" s="1142"/>
      <c r="I872" s="1081"/>
      <c r="J872" s="1081"/>
      <c r="K872" s="1081"/>
      <c r="L872" s="1142"/>
      <c r="M872" s="1142"/>
      <c r="N872" s="1081"/>
      <c r="O872" s="1142"/>
      <c r="P872" s="1081"/>
      <c r="Q872" s="1142"/>
      <c r="R872" s="1081"/>
      <c r="S872" s="1142"/>
      <c r="T872" s="1142"/>
      <c r="U872" s="1142"/>
      <c r="V872" s="1142"/>
      <c r="W872" s="1142"/>
      <c r="X872" s="1142"/>
      <c r="Y872" s="1142"/>
    </row>
    <row r="873">
      <c r="A873" s="1140"/>
      <c r="B873" s="1140"/>
      <c r="C873" s="1083"/>
      <c r="D873" s="1058"/>
      <c r="E873" s="1092"/>
      <c r="F873" s="1083"/>
      <c r="G873" s="1092"/>
      <c r="H873" s="1083"/>
      <c r="I873" s="1092"/>
      <c r="J873" s="1092"/>
      <c r="K873" s="1092"/>
      <c r="L873" s="1083"/>
      <c r="M873" s="1083"/>
      <c r="N873" s="1092"/>
      <c r="O873" s="1083"/>
      <c r="P873" s="1092"/>
      <c r="Q873" s="1083"/>
      <c r="R873" s="1092"/>
      <c r="S873" s="1083"/>
      <c r="T873" s="1083"/>
      <c r="U873" s="1083"/>
      <c r="V873" s="1083"/>
      <c r="W873" s="1083"/>
      <c r="X873" s="1083"/>
      <c r="Y873" s="1083"/>
    </row>
    <row r="874">
      <c r="A874" s="1120"/>
      <c r="B874" s="1120"/>
      <c r="C874" s="1142"/>
      <c r="D874" s="1058"/>
      <c r="E874" s="1081"/>
      <c r="F874" s="1142"/>
      <c r="G874" s="1081"/>
      <c r="H874" s="1142"/>
      <c r="I874" s="1081"/>
      <c r="J874" s="1081"/>
      <c r="K874" s="1081"/>
      <c r="L874" s="1142"/>
      <c r="M874" s="1142"/>
      <c r="N874" s="1081"/>
      <c r="O874" s="1142"/>
      <c r="P874" s="1081"/>
      <c r="Q874" s="1142"/>
      <c r="R874" s="1081"/>
      <c r="S874" s="1142"/>
      <c r="T874" s="1142"/>
      <c r="U874" s="1142"/>
      <c r="V874" s="1142"/>
      <c r="W874" s="1142"/>
      <c r="X874" s="1142"/>
      <c r="Y874" s="1142"/>
    </row>
    <row r="875">
      <c r="A875" s="1140"/>
      <c r="B875" s="1140"/>
      <c r="C875" s="1083"/>
      <c r="D875" s="1058"/>
      <c r="E875" s="1092"/>
      <c r="F875" s="1083"/>
      <c r="G875" s="1092"/>
      <c r="H875" s="1083"/>
      <c r="I875" s="1092"/>
      <c r="J875" s="1092"/>
      <c r="K875" s="1092"/>
      <c r="L875" s="1083"/>
      <c r="M875" s="1083"/>
      <c r="N875" s="1092"/>
      <c r="O875" s="1083"/>
      <c r="P875" s="1092"/>
      <c r="Q875" s="1083"/>
      <c r="R875" s="1092"/>
      <c r="S875" s="1083"/>
      <c r="T875" s="1083"/>
      <c r="U875" s="1083"/>
      <c r="V875" s="1083"/>
      <c r="W875" s="1083"/>
      <c r="X875" s="1083"/>
      <c r="Y875" s="1083"/>
    </row>
    <row r="876">
      <c r="A876" s="1120"/>
      <c r="B876" s="1120"/>
      <c r="C876" s="1142"/>
      <c r="D876" s="1058"/>
      <c r="E876" s="1081"/>
      <c r="F876" s="1142"/>
      <c r="G876" s="1081"/>
      <c r="H876" s="1142"/>
      <c r="I876" s="1081"/>
      <c r="J876" s="1081"/>
      <c r="K876" s="1081"/>
      <c r="L876" s="1142"/>
      <c r="M876" s="1142"/>
      <c r="N876" s="1081"/>
      <c r="O876" s="1142"/>
      <c r="P876" s="1081"/>
      <c r="Q876" s="1142"/>
      <c r="R876" s="1081"/>
      <c r="S876" s="1142"/>
      <c r="T876" s="1142"/>
      <c r="U876" s="1142"/>
      <c r="V876" s="1142"/>
      <c r="W876" s="1142"/>
      <c r="X876" s="1142"/>
      <c r="Y876" s="1142"/>
    </row>
    <row r="877">
      <c r="A877" s="1140"/>
      <c r="B877" s="1140"/>
      <c r="C877" s="1083"/>
      <c r="D877" s="1058"/>
      <c r="E877" s="1092"/>
      <c r="F877" s="1083"/>
      <c r="G877" s="1092"/>
      <c r="H877" s="1083"/>
      <c r="I877" s="1092"/>
      <c r="J877" s="1092"/>
      <c r="K877" s="1092"/>
      <c r="L877" s="1083"/>
      <c r="M877" s="1083"/>
      <c r="N877" s="1092"/>
      <c r="O877" s="1083"/>
      <c r="P877" s="1092"/>
      <c r="Q877" s="1083"/>
      <c r="R877" s="1092"/>
      <c r="S877" s="1083"/>
      <c r="T877" s="1083"/>
      <c r="U877" s="1083"/>
      <c r="V877" s="1083"/>
      <c r="W877" s="1083"/>
      <c r="X877" s="1083"/>
      <c r="Y877" s="1083"/>
    </row>
    <row r="878">
      <c r="A878" s="1120"/>
      <c r="B878" s="1120"/>
      <c r="C878" s="1142"/>
      <c r="D878" s="1058"/>
      <c r="E878" s="1081"/>
      <c r="F878" s="1142"/>
      <c r="G878" s="1081"/>
      <c r="H878" s="1142"/>
      <c r="I878" s="1081"/>
      <c r="J878" s="1081"/>
      <c r="K878" s="1081"/>
      <c r="L878" s="1142"/>
      <c r="M878" s="1142"/>
      <c r="N878" s="1081"/>
      <c r="O878" s="1142"/>
      <c r="P878" s="1081"/>
      <c r="Q878" s="1142"/>
      <c r="R878" s="1081"/>
      <c r="S878" s="1142"/>
      <c r="T878" s="1142"/>
      <c r="U878" s="1142"/>
      <c r="V878" s="1142"/>
      <c r="W878" s="1142"/>
      <c r="X878" s="1142"/>
      <c r="Y878" s="1142"/>
    </row>
    <row r="879">
      <c r="A879" s="1140"/>
      <c r="B879" s="1140"/>
      <c r="C879" s="1083"/>
      <c r="D879" s="1058"/>
      <c r="E879" s="1092"/>
      <c r="F879" s="1083"/>
      <c r="G879" s="1092"/>
      <c r="H879" s="1083"/>
      <c r="I879" s="1092"/>
      <c r="J879" s="1092"/>
      <c r="K879" s="1092"/>
      <c r="L879" s="1083"/>
      <c r="M879" s="1083"/>
      <c r="N879" s="1092"/>
      <c r="O879" s="1083"/>
      <c r="P879" s="1092"/>
      <c r="Q879" s="1083"/>
      <c r="R879" s="1092"/>
      <c r="S879" s="1083"/>
      <c r="T879" s="1083"/>
      <c r="U879" s="1083"/>
      <c r="V879" s="1083"/>
      <c r="W879" s="1083"/>
      <c r="X879" s="1083"/>
      <c r="Y879" s="1083"/>
    </row>
    <row r="880">
      <c r="A880" s="1120"/>
      <c r="B880" s="1120"/>
      <c r="C880" s="1142"/>
      <c r="D880" s="1058"/>
      <c r="E880" s="1081"/>
      <c r="F880" s="1142"/>
      <c r="G880" s="1081"/>
      <c r="H880" s="1142"/>
      <c r="I880" s="1081"/>
      <c r="J880" s="1081"/>
      <c r="K880" s="1081"/>
      <c r="L880" s="1142"/>
      <c r="M880" s="1142"/>
      <c r="N880" s="1081"/>
      <c r="O880" s="1142"/>
      <c r="P880" s="1081"/>
      <c r="Q880" s="1142"/>
      <c r="R880" s="1081"/>
      <c r="S880" s="1142"/>
      <c r="T880" s="1142"/>
      <c r="U880" s="1142"/>
      <c r="V880" s="1142"/>
      <c r="W880" s="1142"/>
      <c r="X880" s="1142"/>
      <c r="Y880" s="1142"/>
    </row>
    <row r="881">
      <c r="A881" s="1140"/>
      <c r="B881" s="1140"/>
      <c r="C881" s="1083"/>
      <c r="D881" s="1058"/>
      <c r="E881" s="1092"/>
      <c r="F881" s="1083"/>
      <c r="G881" s="1092"/>
      <c r="H881" s="1083"/>
      <c r="I881" s="1092"/>
      <c r="J881" s="1092"/>
      <c r="K881" s="1092"/>
      <c r="L881" s="1083"/>
      <c r="M881" s="1083"/>
      <c r="N881" s="1092"/>
      <c r="O881" s="1083"/>
      <c r="P881" s="1092"/>
      <c r="Q881" s="1083"/>
      <c r="R881" s="1092"/>
      <c r="S881" s="1083"/>
      <c r="T881" s="1083"/>
      <c r="U881" s="1083"/>
      <c r="V881" s="1083"/>
      <c r="W881" s="1083"/>
      <c r="X881" s="1083"/>
      <c r="Y881" s="1083"/>
    </row>
    <row r="882">
      <c r="A882" s="1120"/>
      <c r="B882" s="1120"/>
      <c r="C882" s="1142"/>
      <c r="D882" s="1058"/>
      <c r="E882" s="1081"/>
      <c r="F882" s="1142"/>
      <c r="G882" s="1081"/>
      <c r="H882" s="1142"/>
      <c r="I882" s="1081"/>
      <c r="J882" s="1081"/>
      <c r="K882" s="1081"/>
      <c r="L882" s="1142"/>
      <c r="M882" s="1142"/>
      <c r="N882" s="1081"/>
      <c r="O882" s="1142"/>
      <c r="P882" s="1081"/>
      <c r="Q882" s="1142"/>
      <c r="R882" s="1081"/>
      <c r="S882" s="1142"/>
      <c r="T882" s="1142"/>
      <c r="U882" s="1142"/>
      <c r="V882" s="1142"/>
      <c r="W882" s="1142"/>
      <c r="X882" s="1142"/>
      <c r="Y882" s="1142"/>
    </row>
    <row r="883">
      <c r="A883" s="1140"/>
      <c r="B883" s="1140"/>
      <c r="C883" s="1083"/>
      <c r="D883" s="1058"/>
      <c r="E883" s="1092"/>
      <c r="F883" s="1083"/>
      <c r="G883" s="1092"/>
      <c r="H883" s="1083"/>
      <c r="I883" s="1092"/>
      <c r="J883" s="1092"/>
      <c r="K883" s="1092"/>
      <c r="L883" s="1083"/>
      <c r="M883" s="1083"/>
      <c r="N883" s="1092"/>
      <c r="O883" s="1083"/>
      <c r="P883" s="1092"/>
      <c r="Q883" s="1083"/>
      <c r="R883" s="1092"/>
      <c r="S883" s="1083"/>
      <c r="T883" s="1083"/>
      <c r="U883" s="1083"/>
      <c r="V883" s="1083"/>
      <c r="W883" s="1083"/>
      <c r="X883" s="1083"/>
      <c r="Y883" s="1083"/>
    </row>
    <row r="884">
      <c r="A884" s="1120"/>
      <c r="B884" s="1120"/>
      <c r="C884" s="1142"/>
      <c r="D884" s="1058"/>
      <c r="E884" s="1081"/>
      <c r="F884" s="1142"/>
      <c r="G884" s="1081"/>
      <c r="H884" s="1142"/>
      <c r="I884" s="1081"/>
      <c r="J884" s="1081"/>
      <c r="K884" s="1081"/>
      <c r="L884" s="1142"/>
      <c r="M884" s="1142"/>
      <c r="N884" s="1081"/>
      <c r="O884" s="1142"/>
      <c r="P884" s="1081"/>
      <c r="Q884" s="1142"/>
      <c r="R884" s="1081"/>
      <c r="S884" s="1142"/>
      <c r="T884" s="1142"/>
      <c r="U884" s="1142"/>
      <c r="V884" s="1142"/>
      <c r="W884" s="1142"/>
      <c r="X884" s="1142"/>
      <c r="Y884" s="1142"/>
    </row>
    <row r="885">
      <c r="A885" s="1140"/>
      <c r="B885" s="1140"/>
      <c r="C885" s="1083"/>
      <c r="D885" s="1058"/>
      <c r="E885" s="1092"/>
      <c r="F885" s="1083"/>
      <c r="G885" s="1092"/>
      <c r="H885" s="1083"/>
      <c r="I885" s="1092"/>
      <c r="J885" s="1092"/>
      <c r="K885" s="1092"/>
      <c r="L885" s="1083"/>
      <c r="M885" s="1083"/>
      <c r="N885" s="1092"/>
      <c r="O885" s="1083"/>
      <c r="P885" s="1092"/>
      <c r="Q885" s="1083"/>
      <c r="R885" s="1092"/>
      <c r="S885" s="1083"/>
      <c r="T885" s="1083"/>
      <c r="U885" s="1083"/>
      <c r="V885" s="1083"/>
      <c r="W885" s="1083"/>
      <c r="X885" s="1083"/>
      <c r="Y885" s="1083"/>
    </row>
    <row r="886">
      <c r="A886" s="1120"/>
      <c r="B886" s="1120"/>
      <c r="C886" s="1142"/>
      <c r="D886" s="1058"/>
      <c r="E886" s="1081"/>
      <c r="F886" s="1142"/>
      <c r="G886" s="1081"/>
      <c r="H886" s="1142"/>
      <c r="I886" s="1081"/>
      <c r="J886" s="1081"/>
      <c r="K886" s="1081"/>
      <c r="L886" s="1142"/>
      <c r="M886" s="1142"/>
      <c r="N886" s="1081"/>
      <c r="O886" s="1142"/>
      <c r="P886" s="1081"/>
      <c r="Q886" s="1142"/>
      <c r="R886" s="1081"/>
      <c r="S886" s="1142"/>
      <c r="T886" s="1142"/>
      <c r="U886" s="1142"/>
      <c r="V886" s="1142"/>
      <c r="W886" s="1142"/>
      <c r="X886" s="1142"/>
      <c r="Y886" s="1142"/>
    </row>
    <row r="887">
      <c r="A887" s="1140"/>
      <c r="B887" s="1140"/>
      <c r="C887" s="1083"/>
      <c r="D887" s="1058"/>
      <c r="E887" s="1092"/>
      <c r="F887" s="1083"/>
      <c r="G887" s="1092"/>
      <c r="H887" s="1083"/>
      <c r="I887" s="1092"/>
      <c r="J887" s="1092"/>
      <c r="K887" s="1092"/>
      <c r="L887" s="1083"/>
      <c r="M887" s="1083"/>
      <c r="N887" s="1092"/>
      <c r="O887" s="1083"/>
      <c r="P887" s="1092"/>
      <c r="Q887" s="1083"/>
      <c r="R887" s="1092"/>
      <c r="S887" s="1083"/>
      <c r="T887" s="1083"/>
      <c r="U887" s="1083"/>
      <c r="V887" s="1083"/>
      <c r="W887" s="1083"/>
      <c r="X887" s="1083"/>
      <c r="Y887" s="1083"/>
    </row>
    <row r="888">
      <c r="A888" s="1120"/>
      <c r="B888" s="1120"/>
      <c r="C888" s="1142"/>
      <c r="D888" s="1058"/>
      <c r="E888" s="1081"/>
      <c r="F888" s="1142"/>
      <c r="G888" s="1081"/>
      <c r="H888" s="1142"/>
      <c r="I888" s="1081"/>
      <c r="J888" s="1081"/>
      <c r="K888" s="1081"/>
      <c r="L888" s="1142"/>
      <c r="M888" s="1142"/>
      <c r="N888" s="1081"/>
      <c r="O888" s="1142"/>
      <c r="P888" s="1081"/>
      <c r="Q888" s="1142"/>
      <c r="R888" s="1081"/>
      <c r="S888" s="1142"/>
      <c r="T888" s="1142"/>
      <c r="U888" s="1142"/>
      <c r="V888" s="1142"/>
      <c r="W888" s="1142"/>
      <c r="X888" s="1142"/>
      <c r="Y888" s="1142"/>
    </row>
    <row r="889">
      <c r="A889" s="1140"/>
      <c r="B889" s="1140"/>
      <c r="C889" s="1083"/>
      <c r="D889" s="1058"/>
      <c r="E889" s="1092"/>
      <c r="F889" s="1083"/>
      <c r="G889" s="1092"/>
      <c r="H889" s="1083"/>
      <c r="I889" s="1092"/>
      <c r="J889" s="1092"/>
      <c r="K889" s="1092"/>
      <c r="L889" s="1083"/>
      <c r="M889" s="1083"/>
      <c r="N889" s="1092"/>
      <c r="O889" s="1083"/>
      <c r="P889" s="1092"/>
      <c r="Q889" s="1083"/>
      <c r="R889" s="1092"/>
      <c r="S889" s="1083"/>
      <c r="T889" s="1083"/>
      <c r="U889" s="1083"/>
      <c r="V889" s="1083"/>
      <c r="W889" s="1083"/>
      <c r="X889" s="1083"/>
      <c r="Y889" s="1083"/>
    </row>
    <row r="890">
      <c r="A890" s="1120"/>
      <c r="B890" s="1120"/>
      <c r="C890" s="1142"/>
      <c r="D890" s="1058"/>
      <c r="E890" s="1081"/>
      <c r="F890" s="1142"/>
      <c r="G890" s="1081"/>
      <c r="H890" s="1142"/>
      <c r="I890" s="1081"/>
      <c r="J890" s="1081"/>
      <c r="K890" s="1081"/>
      <c r="L890" s="1142"/>
      <c r="M890" s="1142"/>
      <c r="N890" s="1081"/>
      <c r="O890" s="1142"/>
      <c r="P890" s="1081"/>
      <c r="Q890" s="1142"/>
      <c r="R890" s="1081"/>
      <c r="S890" s="1142"/>
      <c r="T890" s="1142"/>
      <c r="U890" s="1142"/>
      <c r="V890" s="1142"/>
      <c r="W890" s="1142"/>
      <c r="X890" s="1142"/>
      <c r="Y890" s="1142"/>
    </row>
    <row r="891">
      <c r="A891" s="1140"/>
      <c r="B891" s="1140"/>
      <c r="C891" s="1083"/>
      <c r="D891" s="1058"/>
      <c r="E891" s="1092"/>
      <c r="F891" s="1083"/>
      <c r="G891" s="1092"/>
      <c r="H891" s="1083"/>
      <c r="I891" s="1092"/>
      <c r="J891" s="1092"/>
      <c r="K891" s="1092"/>
      <c r="L891" s="1083"/>
      <c r="M891" s="1083"/>
      <c r="N891" s="1092"/>
      <c r="O891" s="1083"/>
      <c r="P891" s="1092"/>
      <c r="Q891" s="1083"/>
      <c r="R891" s="1092"/>
      <c r="S891" s="1083"/>
      <c r="T891" s="1083"/>
      <c r="U891" s="1083"/>
      <c r="V891" s="1083"/>
      <c r="W891" s="1083"/>
      <c r="X891" s="1083"/>
      <c r="Y891" s="1083"/>
    </row>
    <row r="892">
      <c r="A892" s="1120"/>
      <c r="B892" s="1120"/>
      <c r="C892" s="1142"/>
      <c r="D892" s="1058"/>
      <c r="E892" s="1081"/>
      <c r="F892" s="1142"/>
      <c r="G892" s="1081"/>
      <c r="H892" s="1142"/>
      <c r="I892" s="1081"/>
      <c r="J892" s="1081"/>
      <c r="K892" s="1081"/>
      <c r="L892" s="1142"/>
      <c r="M892" s="1142"/>
      <c r="N892" s="1081"/>
      <c r="O892" s="1142"/>
      <c r="P892" s="1081"/>
      <c r="Q892" s="1142"/>
      <c r="R892" s="1081"/>
      <c r="S892" s="1142"/>
      <c r="T892" s="1142"/>
      <c r="U892" s="1142"/>
      <c r="V892" s="1142"/>
      <c r="W892" s="1142"/>
      <c r="X892" s="1142"/>
      <c r="Y892" s="1142"/>
    </row>
    <row r="893">
      <c r="A893" s="1140"/>
      <c r="B893" s="1140"/>
      <c r="C893" s="1083"/>
      <c r="D893" s="1058"/>
      <c r="E893" s="1092"/>
      <c r="F893" s="1083"/>
      <c r="G893" s="1092"/>
      <c r="H893" s="1083"/>
      <c r="I893" s="1092"/>
      <c r="J893" s="1092"/>
      <c r="K893" s="1092"/>
      <c r="L893" s="1083"/>
      <c r="M893" s="1083"/>
      <c r="N893" s="1092"/>
      <c r="O893" s="1083"/>
      <c r="P893" s="1092"/>
      <c r="Q893" s="1083"/>
      <c r="R893" s="1092"/>
      <c r="S893" s="1083"/>
      <c r="T893" s="1083"/>
      <c r="U893" s="1083"/>
      <c r="V893" s="1083"/>
      <c r="W893" s="1083"/>
      <c r="X893" s="1083"/>
      <c r="Y893" s="1083"/>
    </row>
    <row r="894">
      <c r="A894" s="1120"/>
      <c r="B894" s="1120"/>
      <c r="C894" s="1142"/>
      <c r="D894" s="1058"/>
      <c r="E894" s="1081"/>
      <c r="F894" s="1142"/>
      <c r="G894" s="1081"/>
      <c r="H894" s="1142"/>
      <c r="I894" s="1081"/>
      <c r="J894" s="1081"/>
      <c r="K894" s="1081"/>
      <c r="L894" s="1142"/>
      <c r="M894" s="1142"/>
      <c r="N894" s="1081"/>
      <c r="O894" s="1142"/>
      <c r="P894" s="1081"/>
      <c r="Q894" s="1142"/>
      <c r="R894" s="1081"/>
      <c r="S894" s="1142"/>
      <c r="T894" s="1142"/>
      <c r="U894" s="1142"/>
      <c r="V894" s="1142"/>
      <c r="W894" s="1142"/>
      <c r="X894" s="1142"/>
      <c r="Y894" s="1142"/>
    </row>
    <row r="895">
      <c r="A895" s="1140"/>
      <c r="B895" s="1140"/>
      <c r="C895" s="1083"/>
      <c r="D895" s="1058"/>
      <c r="E895" s="1092"/>
      <c r="F895" s="1083"/>
      <c r="G895" s="1092"/>
      <c r="H895" s="1083"/>
      <c r="I895" s="1092"/>
      <c r="J895" s="1092"/>
      <c r="K895" s="1092"/>
      <c r="L895" s="1083"/>
      <c r="M895" s="1083"/>
      <c r="N895" s="1092"/>
      <c r="O895" s="1083"/>
      <c r="P895" s="1092"/>
      <c r="Q895" s="1083"/>
      <c r="R895" s="1092"/>
      <c r="S895" s="1083"/>
      <c r="T895" s="1083"/>
      <c r="U895" s="1083"/>
      <c r="V895" s="1083"/>
      <c r="W895" s="1083"/>
      <c r="X895" s="1083"/>
      <c r="Y895" s="1083"/>
    </row>
    <row r="896">
      <c r="A896" s="1120"/>
      <c r="B896" s="1120"/>
      <c r="C896" s="1142"/>
      <c r="D896" s="1058"/>
      <c r="E896" s="1081"/>
      <c r="F896" s="1142"/>
      <c r="G896" s="1081"/>
      <c r="H896" s="1142"/>
      <c r="I896" s="1081"/>
      <c r="J896" s="1081"/>
      <c r="K896" s="1081"/>
      <c r="L896" s="1142"/>
      <c r="M896" s="1142"/>
      <c r="N896" s="1081"/>
      <c r="O896" s="1142"/>
      <c r="P896" s="1081"/>
      <c r="Q896" s="1142"/>
      <c r="R896" s="1081"/>
      <c r="S896" s="1142"/>
      <c r="T896" s="1142"/>
      <c r="U896" s="1142"/>
      <c r="V896" s="1142"/>
      <c r="W896" s="1142"/>
      <c r="X896" s="1142"/>
      <c r="Y896" s="1142"/>
    </row>
    <row r="897">
      <c r="A897" s="1140"/>
      <c r="B897" s="1140"/>
      <c r="C897" s="1083"/>
      <c r="D897" s="1058"/>
      <c r="E897" s="1092"/>
      <c r="F897" s="1083"/>
      <c r="G897" s="1092"/>
      <c r="H897" s="1083"/>
      <c r="I897" s="1092"/>
      <c r="J897" s="1092"/>
      <c r="K897" s="1092"/>
      <c r="L897" s="1083"/>
      <c r="M897" s="1083"/>
      <c r="N897" s="1092"/>
      <c r="O897" s="1083"/>
      <c r="P897" s="1092"/>
      <c r="Q897" s="1083"/>
      <c r="R897" s="1092"/>
      <c r="S897" s="1083"/>
      <c r="T897" s="1083"/>
      <c r="U897" s="1083"/>
      <c r="V897" s="1083"/>
      <c r="W897" s="1083"/>
      <c r="X897" s="1083"/>
      <c r="Y897" s="1083"/>
    </row>
    <row r="898">
      <c r="A898" s="1120"/>
      <c r="B898" s="1120"/>
      <c r="C898" s="1142"/>
      <c r="D898" s="1058"/>
      <c r="E898" s="1081"/>
      <c r="F898" s="1142"/>
      <c r="G898" s="1081"/>
      <c r="H898" s="1142"/>
      <c r="I898" s="1081"/>
      <c r="J898" s="1081"/>
      <c r="K898" s="1081"/>
      <c r="L898" s="1142"/>
      <c r="M898" s="1142"/>
      <c r="N898" s="1081"/>
      <c r="O898" s="1142"/>
      <c r="P898" s="1081"/>
      <c r="Q898" s="1142"/>
      <c r="R898" s="1081"/>
      <c r="S898" s="1142"/>
      <c r="T898" s="1142"/>
      <c r="U898" s="1142"/>
      <c r="V898" s="1142"/>
      <c r="W898" s="1142"/>
      <c r="X898" s="1142"/>
      <c r="Y898" s="1142"/>
    </row>
    <row r="899">
      <c r="A899" s="1140"/>
      <c r="B899" s="1140"/>
      <c r="C899" s="1083"/>
      <c r="D899" s="1058"/>
      <c r="E899" s="1092"/>
      <c r="F899" s="1083"/>
      <c r="G899" s="1092"/>
      <c r="H899" s="1083"/>
      <c r="I899" s="1092"/>
      <c r="J899" s="1092"/>
      <c r="K899" s="1092"/>
      <c r="L899" s="1083"/>
      <c r="M899" s="1083"/>
      <c r="N899" s="1092"/>
      <c r="O899" s="1083"/>
      <c r="P899" s="1092"/>
      <c r="Q899" s="1083"/>
      <c r="R899" s="1092"/>
      <c r="S899" s="1083"/>
      <c r="T899" s="1083"/>
      <c r="U899" s="1083"/>
      <c r="V899" s="1083"/>
      <c r="W899" s="1083"/>
      <c r="X899" s="1083"/>
      <c r="Y899" s="1083"/>
    </row>
    <row r="900">
      <c r="A900" s="1120"/>
      <c r="B900" s="1120"/>
      <c r="C900" s="1142"/>
      <c r="D900" s="1058"/>
      <c r="E900" s="1081"/>
      <c r="F900" s="1142"/>
      <c r="G900" s="1081"/>
      <c r="H900" s="1142"/>
      <c r="I900" s="1081"/>
      <c r="J900" s="1081"/>
      <c r="K900" s="1081"/>
      <c r="L900" s="1142"/>
      <c r="M900" s="1142"/>
      <c r="N900" s="1081"/>
      <c r="O900" s="1142"/>
      <c r="P900" s="1081"/>
      <c r="Q900" s="1142"/>
      <c r="R900" s="1081"/>
      <c r="S900" s="1142"/>
      <c r="T900" s="1142"/>
      <c r="U900" s="1142"/>
      <c r="V900" s="1142"/>
      <c r="W900" s="1142"/>
      <c r="X900" s="1142"/>
      <c r="Y900" s="1142"/>
    </row>
    <row r="901">
      <c r="A901" s="1140"/>
      <c r="B901" s="1140"/>
      <c r="C901" s="1083"/>
      <c r="D901" s="1058"/>
      <c r="E901" s="1092"/>
      <c r="F901" s="1083"/>
      <c r="G901" s="1092"/>
      <c r="H901" s="1083"/>
      <c r="I901" s="1092"/>
      <c r="J901" s="1092"/>
      <c r="K901" s="1092"/>
      <c r="L901" s="1083"/>
      <c r="M901" s="1083"/>
      <c r="N901" s="1092"/>
      <c r="O901" s="1083"/>
      <c r="P901" s="1092"/>
      <c r="Q901" s="1083"/>
      <c r="R901" s="1092"/>
      <c r="S901" s="1083"/>
      <c r="T901" s="1083"/>
      <c r="U901" s="1083"/>
      <c r="V901" s="1083"/>
      <c r="W901" s="1083"/>
      <c r="X901" s="1083"/>
      <c r="Y901" s="1083"/>
    </row>
    <row r="902">
      <c r="A902" s="1120"/>
      <c r="B902" s="1120"/>
      <c r="C902" s="1142"/>
      <c r="D902" s="1058"/>
      <c r="E902" s="1081"/>
      <c r="F902" s="1142"/>
      <c r="G902" s="1081"/>
      <c r="H902" s="1142"/>
      <c r="I902" s="1081"/>
      <c r="J902" s="1081"/>
      <c r="K902" s="1081"/>
      <c r="L902" s="1142"/>
      <c r="M902" s="1142"/>
      <c r="N902" s="1081"/>
      <c r="O902" s="1142"/>
      <c r="P902" s="1081"/>
      <c r="Q902" s="1142"/>
      <c r="R902" s="1081"/>
      <c r="S902" s="1142"/>
      <c r="T902" s="1142"/>
      <c r="U902" s="1142"/>
      <c r="V902" s="1142"/>
      <c r="W902" s="1142"/>
      <c r="X902" s="1142"/>
      <c r="Y902" s="1142"/>
    </row>
    <row r="903">
      <c r="A903" s="1140"/>
      <c r="B903" s="1140"/>
      <c r="C903" s="1083"/>
      <c r="D903" s="1058"/>
      <c r="E903" s="1092"/>
      <c r="F903" s="1083"/>
      <c r="G903" s="1092"/>
      <c r="H903" s="1083"/>
      <c r="I903" s="1092"/>
      <c r="J903" s="1092"/>
      <c r="K903" s="1092"/>
      <c r="L903" s="1083"/>
      <c r="M903" s="1083"/>
      <c r="N903" s="1092"/>
      <c r="O903" s="1083"/>
      <c r="P903" s="1092"/>
      <c r="Q903" s="1083"/>
      <c r="R903" s="1092"/>
      <c r="S903" s="1083"/>
      <c r="T903" s="1083"/>
      <c r="U903" s="1083"/>
      <c r="V903" s="1083"/>
      <c r="W903" s="1083"/>
      <c r="X903" s="1083"/>
      <c r="Y903" s="1083"/>
    </row>
    <row r="904">
      <c r="A904" s="1120"/>
      <c r="B904" s="1120"/>
      <c r="C904" s="1142"/>
      <c r="D904" s="1058"/>
      <c r="E904" s="1081"/>
      <c r="F904" s="1142"/>
      <c r="G904" s="1081"/>
      <c r="H904" s="1142"/>
      <c r="I904" s="1081"/>
      <c r="J904" s="1081"/>
      <c r="K904" s="1081"/>
      <c r="L904" s="1142"/>
      <c r="M904" s="1142"/>
      <c r="N904" s="1081"/>
      <c r="O904" s="1142"/>
      <c r="P904" s="1081"/>
      <c r="Q904" s="1142"/>
      <c r="R904" s="1081"/>
      <c r="S904" s="1142"/>
      <c r="T904" s="1142"/>
      <c r="U904" s="1142"/>
      <c r="V904" s="1142"/>
      <c r="W904" s="1142"/>
      <c r="X904" s="1142"/>
      <c r="Y904" s="1142"/>
    </row>
    <row r="905">
      <c r="A905" s="1140"/>
      <c r="B905" s="1140"/>
      <c r="C905" s="1083"/>
      <c r="D905" s="1058"/>
      <c r="E905" s="1092"/>
      <c r="F905" s="1083"/>
      <c r="G905" s="1092"/>
      <c r="H905" s="1083"/>
      <c r="I905" s="1092"/>
      <c r="J905" s="1092"/>
      <c r="K905" s="1092"/>
      <c r="L905" s="1083"/>
      <c r="M905" s="1083"/>
      <c r="N905" s="1092"/>
      <c r="O905" s="1083"/>
      <c r="P905" s="1092"/>
      <c r="Q905" s="1083"/>
      <c r="R905" s="1092"/>
      <c r="S905" s="1083"/>
      <c r="T905" s="1083"/>
      <c r="U905" s="1083"/>
      <c r="V905" s="1083"/>
      <c r="W905" s="1083"/>
      <c r="X905" s="1083"/>
      <c r="Y905" s="1083"/>
    </row>
    <row r="906">
      <c r="A906" s="1120"/>
      <c r="B906" s="1120"/>
      <c r="C906" s="1142"/>
      <c r="D906" s="1058"/>
      <c r="E906" s="1081"/>
      <c r="F906" s="1142"/>
      <c r="G906" s="1081"/>
      <c r="H906" s="1142"/>
      <c r="I906" s="1081"/>
      <c r="J906" s="1081"/>
      <c r="K906" s="1081"/>
      <c r="L906" s="1142"/>
      <c r="M906" s="1142"/>
      <c r="N906" s="1081"/>
      <c r="O906" s="1142"/>
      <c r="P906" s="1081"/>
      <c r="Q906" s="1142"/>
      <c r="R906" s="1081"/>
      <c r="S906" s="1142"/>
      <c r="T906" s="1142"/>
      <c r="U906" s="1142"/>
      <c r="V906" s="1142"/>
      <c r="W906" s="1142"/>
      <c r="X906" s="1142"/>
      <c r="Y906" s="1142"/>
    </row>
    <row r="907">
      <c r="A907" s="1140"/>
      <c r="B907" s="1140"/>
      <c r="C907" s="1083"/>
      <c r="D907" s="1058"/>
      <c r="E907" s="1092"/>
      <c r="F907" s="1083"/>
      <c r="G907" s="1092"/>
      <c r="H907" s="1083"/>
      <c r="I907" s="1092"/>
      <c r="J907" s="1092"/>
      <c r="K907" s="1092"/>
      <c r="L907" s="1083"/>
      <c r="M907" s="1083"/>
      <c r="N907" s="1092"/>
      <c r="O907" s="1083"/>
      <c r="P907" s="1092"/>
      <c r="Q907" s="1083"/>
      <c r="R907" s="1092"/>
      <c r="S907" s="1083"/>
      <c r="T907" s="1083"/>
      <c r="U907" s="1083"/>
      <c r="V907" s="1083"/>
      <c r="W907" s="1083"/>
      <c r="X907" s="1083"/>
      <c r="Y907" s="1083"/>
    </row>
    <row r="908">
      <c r="A908" s="1120"/>
      <c r="B908" s="1120"/>
      <c r="C908" s="1142"/>
      <c r="D908" s="1058"/>
      <c r="E908" s="1081"/>
      <c r="F908" s="1142"/>
      <c r="G908" s="1081"/>
      <c r="H908" s="1142"/>
      <c r="I908" s="1081"/>
      <c r="J908" s="1081"/>
      <c r="K908" s="1081"/>
      <c r="L908" s="1142"/>
      <c r="M908" s="1142"/>
      <c r="N908" s="1081"/>
      <c r="O908" s="1142"/>
      <c r="P908" s="1081"/>
      <c r="Q908" s="1142"/>
      <c r="R908" s="1081"/>
      <c r="S908" s="1142"/>
      <c r="T908" s="1142"/>
      <c r="U908" s="1142"/>
      <c r="V908" s="1142"/>
      <c r="W908" s="1142"/>
      <c r="X908" s="1142"/>
      <c r="Y908" s="1142"/>
    </row>
    <row r="909">
      <c r="A909" s="1140"/>
      <c r="B909" s="1140"/>
      <c r="C909" s="1083"/>
      <c r="D909" s="1058"/>
      <c r="E909" s="1092"/>
      <c r="F909" s="1083"/>
      <c r="G909" s="1092"/>
      <c r="H909" s="1083"/>
      <c r="I909" s="1092"/>
      <c r="J909" s="1092"/>
      <c r="K909" s="1092"/>
      <c r="L909" s="1083"/>
      <c r="M909" s="1083"/>
      <c r="N909" s="1092"/>
      <c r="O909" s="1083"/>
      <c r="P909" s="1092"/>
      <c r="Q909" s="1083"/>
      <c r="R909" s="1092"/>
      <c r="S909" s="1083"/>
      <c r="T909" s="1083"/>
      <c r="U909" s="1083"/>
      <c r="V909" s="1083"/>
      <c r="W909" s="1083"/>
      <c r="X909" s="1083"/>
      <c r="Y909" s="1083"/>
    </row>
    <row r="910">
      <c r="A910" s="1120"/>
      <c r="B910" s="1120"/>
      <c r="C910" s="1142"/>
      <c r="D910" s="1058"/>
      <c r="E910" s="1081"/>
      <c r="F910" s="1142"/>
      <c r="G910" s="1081"/>
      <c r="H910" s="1142"/>
      <c r="I910" s="1081"/>
      <c r="J910" s="1081"/>
      <c r="K910" s="1081"/>
      <c r="L910" s="1142"/>
      <c r="M910" s="1142"/>
      <c r="N910" s="1081"/>
      <c r="O910" s="1142"/>
      <c r="P910" s="1081"/>
      <c r="Q910" s="1142"/>
      <c r="R910" s="1081"/>
      <c r="S910" s="1142"/>
      <c r="T910" s="1142"/>
      <c r="U910" s="1142"/>
      <c r="V910" s="1142"/>
      <c r="W910" s="1142"/>
      <c r="X910" s="1142"/>
      <c r="Y910" s="1142"/>
    </row>
    <row r="911">
      <c r="A911" s="1140"/>
      <c r="B911" s="1140"/>
      <c r="C911" s="1083"/>
      <c r="D911" s="1058"/>
      <c r="E911" s="1092"/>
      <c r="F911" s="1083"/>
      <c r="G911" s="1092"/>
      <c r="H911" s="1083"/>
      <c r="I911" s="1092"/>
      <c r="J911" s="1092"/>
      <c r="K911" s="1092"/>
      <c r="L911" s="1083"/>
      <c r="M911" s="1083"/>
      <c r="N911" s="1092"/>
      <c r="O911" s="1083"/>
      <c r="P911" s="1092"/>
      <c r="Q911" s="1083"/>
      <c r="R911" s="1092"/>
      <c r="S911" s="1083"/>
      <c r="T911" s="1083"/>
      <c r="U911" s="1083"/>
      <c r="V911" s="1083"/>
      <c r="W911" s="1083"/>
      <c r="X911" s="1083"/>
      <c r="Y911" s="1083"/>
    </row>
    <row r="912">
      <c r="A912" s="1120"/>
      <c r="B912" s="1120"/>
      <c r="C912" s="1142"/>
      <c r="D912" s="1058"/>
      <c r="E912" s="1081"/>
      <c r="F912" s="1142"/>
      <c r="G912" s="1081"/>
      <c r="H912" s="1142"/>
      <c r="I912" s="1081"/>
      <c r="J912" s="1081"/>
      <c r="K912" s="1081"/>
      <c r="L912" s="1142"/>
      <c r="M912" s="1142"/>
      <c r="N912" s="1081"/>
      <c r="O912" s="1142"/>
      <c r="P912" s="1081"/>
      <c r="Q912" s="1142"/>
      <c r="R912" s="1081"/>
      <c r="S912" s="1142"/>
      <c r="T912" s="1142"/>
      <c r="U912" s="1142"/>
      <c r="V912" s="1142"/>
      <c r="W912" s="1142"/>
      <c r="X912" s="1142"/>
      <c r="Y912" s="1142"/>
    </row>
    <row r="913">
      <c r="A913" s="1140"/>
      <c r="B913" s="1140"/>
      <c r="C913" s="1083"/>
      <c r="D913" s="1058"/>
      <c r="E913" s="1092"/>
      <c r="F913" s="1083"/>
      <c r="G913" s="1092"/>
      <c r="H913" s="1083"/>
      <c r="I913" s="1092"/>
      <c r="J913" s="1092"/>
      <c r="K913" s="1092"/>
      <c r="L913" s="1083"/>
      <c r="M913" s="1083"/>
      <c r="N913" s="1092"/>
      <c r="O913" s="1083"/>
      <c r="P913" s="1092"/>
      <c r="Q913" s="1083"/>
      <c r="R913" s="1092"/>
      <c r="S913" s="1083"/>
      <c r="T913" s="1083"/>
      <c r="U913" s="1083"/>
      <c r="V913" s="1083"/>
      <c r="W913" s="1083"/>
      <c r="X913" s="1083"/>
      <c r="Y913" s="1083"/>
    </row>
    <row r="914">
      <c r="A914" s="1120"/>
      <c r="B914" s="1120"/>
      <c r="C914" s="1142"/>
      <c r="D914" s="1058"/>
      <c r="E914" s="1081"/>
      <c r="F914" s="1142"/>
      <c r="G914" s="1081"/>
      <c r="H914" s="1142"/>
      <c r="I914" s="1081"/>
      <c r="J914" s="1081"/>
      <c r="K914" s="1081"/>
      <c r="L914" s="1142"/>
      <c r="M914" s="1142"/>
      <c r="N914" s="1081"/>
      <c r="O914" s="1142"/>
      <c r="P914" s="1081"/>
      <c r="Q914" s="1142"/>
      <c r="R914" s="1081"/>
      <c r="S914" s="1142"/>
      <c r="T914" s="1142"/>
      <c r="U914" s="1142"/>
      <c r="V914" s="1142"/>
      <c r="W914" s="1142"/>
      <c r="X914" s="1142"/>
      <c r="Y914" s="1142"/>
    </row>
    <row r="915">
      <c r="A915" s="1140"/>
      <c r="B915" s="1140"/>
      <c r="C915" s="1083"/>
      <c r="D915" s="1058"/>
      <c r="E915" s="1092"/>
      <c r="F915" s="1083"/>
      <c r="G915" s="1092"/>
      <c r="H915" s="1083"/>
      <c r="I915" s="1092"/>
      <c r="J915" s="1092"/>
      <c r="K915" s="1092"/>
      <c r="L915" s="1083"/>
      <c r="M915" s="1083"/>
      <c r="N915" s="1092"/>
      <c r="O915" s="1083"/>
      <c r="P915" s="1092"/>
      <c r="Q915" s="1083"/>
      <c r="R915" s="1092"/>
      <c r="S915" s="1083"/>
      <c r="T915" s="1083"/>
      <c r="U915" s="1083"/>
      <c r="V915" s="1083"/>
      <c r="W915" s="1083"/>
      <c r="X915" s="1083"/>
      <c r="Y915" s="1083"/>
    </row>
    <row r="916">
      <c r="A916" s="1120"/>
      <c r="B916" s="1120"/>
      <c r="C916" s="1142"/>
      <c r="D916" s="1058"/>
      <c r="E916" s="1081"/>
      <c r="F916" s="1142"/>
      <c r="G916" s="1081"/>
      <c r="H916" s="1142"/>
      <c r="I916" s="1081"/>
      <c r="J916" s="1081"/>
      <c r="K916" s="1081"/>
      <c r="L916" s="1142"/>
      <c r="M916" s="1142"/>
      <c r="N916" s="1081"/>
      <c r="O916" s="1142"/>
      <c r="P916" s="1081"/>
      <c r="Q916" s="1142"/>
      <c r="R916" s="1081"/>
      <c r="S916" s="1142"/>
      <c r="T916" s="1142"/>
      <c r="U916" s="1142"/>
      <c r="V916" s="1142"/>
      <c r="W916" s="1142"/>
      <c r="X916" s="1142"/>
      <c r="Y916" s="1142"/>
    </row>
    <row r="917">
      <c r="A917" s="1140"/>
      <c r="B917" s="1140"/>
      <c r="C917" s="1083"/>
      <c r="D917" s="1058"/>
      <c r="E917" s="1092"/>
      <c r="F917" s="1083"/>
      <c r="G917" s="1092"/>
      <c r="H917" s="1083"/>
      <c r="I917" s="1092"/>
      <c r="J917" s="1092"/>
      <c r="K917" s="1092"/>
      <c r="L917" s="1083"/>
      <c r="M917" s="1083"/>
      <c r="N917" s="1092"/>
      <c r="O917" s="1083"/>
      <c r="P917" s="1092"/>
      <c r="Q917" s="1083"/>
      <c r="R917" s="1092"/>
      <c r="S917" s="1083"/>
      <c r="T917" s="1083"/>
      <c r="U917" s="1083"/>
      <c r="V917" s="1083"/>
      <c r="W917" s="1083"/>
      <c r="X917" s="1083"/>
      <c r="Y917" s="1083"/>
    </row>
    <row r="918">
      <c r="A918" s="1120"/>
      <c r="B918" s="1120"/>
      <c r="C918" s="1142"/>
      <c r="D918" s="1058"/>
      <c r="E918" s="1081"/>
      <c r="F918" s="1142"/>
      <c r="G918" s="1081"/>
      <c r="H918" s="1142"/>
      <c r="I918" s="1081"/>
      <c r="J918" s="1081"/>
      <c r="K918" s="1081"/>
      <c r="L918" s="1142"/>
      <c r="M918" s="1142"/>
      <c r="N918" s="1081"/>
      <c r="O918" s="1142"/>
      <c r="P918" s="1081"/>
      <c r="Q918" s="1142"/>
      <c r="R918" s="1081"/>
      <c r="S918" s="1142"/>
      <c r="T918" s="1142"/>
      <c r="U918" s="1142"/>
      <c r="V918" s="1142"/>
      <c r="W918" s="1142"/>
      <c r="X918" s="1142"/>
      <c r="Y918" s="1142"/>
    </row>
    <row r="919">
      <c r="A919" s="1140"/>
      <c r="B919" s="1140"/>
      <c r="C919" s="1083"/>
      <c r="D919" s="1058"/>
      <c r="E919" s="1092"/>
      <c r="F919" s="1083"/>
      <c r="G919" s="1092"/>
      <c r="H919" s="1083"/>
      <c r="I919" s="1092"/>
      <c r="J919" s="1092"/>
      <c r="K919" s="1092"/>
      <c r="L919" s="1083"/>
      <c r="M919" s="1083"/>
      <c r="N919" s="1092"/>
      <c r="O919" s="1083"/>
      <c r="P919" s="1092"/>
      <c r="Q919" s="1083"/>
      <c r="R919" s="1092"/>
      <c r="S919" s="1083"/>
      <c r="T919" s="1083"/>
      <c r="U919" s="1083"/>
      <c r="V919" s="1083"/>
      <c r="W919" s="1083"/>
      <c r="X919" s="1083"/>
      <c r="Y919" s="1083"/>
    </row>
    <row r="920">
      <c r="A920" s="1120"/>
      <c r="B920" s="1120"/>
      <c r="C920" s="1142"/>
      <c r="D920" s="1058"/>
      <c r="E920" s="1081"/>
      <c r="F920" s="1142"/>
      <c r="G920" s="1081"/>
      <c r="H920" s="1142"/>
      <c r="I920" s="1081"/>
      <c r="J920" s="1081"/>
      <c r="K920" s="1081"/>
      <c r="L920" s="1142"/>
      <c r="M920" s="1142"/>
      <c r="N920" s="1081"/>
      <c r="O920" s="1142"/>
      <c r="P920" s="1081"/>
      <c r="Q920" s="1142"/>
      <c r="R920" s="1081"/>
      <c r="S920" s="1142"/>
      <c r="T920" s="1142"/>
      <c r="U920" s="1142"/>
      <c r="V920" s="1142"/>
      <c r="W920" s="1142"/>
      <c r="X920" s="1142"/>
      <c r="Y920" s="1142"/>
    </row>
    <row r="921">
      <c r="A921" s="1140"/>
      <c r="B921" s="1140"/>
      <c r="C921" s="1083"/>
      <c r="D921" s="1058"/>
      <c r="E921" s="1092"/>
      <c r="F921" s="1083"/>
      <c r="G921" s="1092"/>
      <c r="H921" s="1083"/>
      <c r="I921" s="1092"/>
      <c r="J921" s="1092"/>
      <c r="K921" s="1092"/>
      <c r="L921" s="1083"/>
      <c r="M921" s="1083"/>
      <c r="N921" s="1092"/>
      <c r="O921" s="1083"/>
      <c r="P921" s="1092"/>
      <c r="Q921" s="1083"/>
      <c r="R921" s="1092"/>
      <c r="S921" s="1083"/>
      <c r="T921" s="1083"/>
      <c r="U921" s="1083"/>
      <c r="V921" s="1083"/>
      <c r="W921" s="1083"/>
      <c r="X921" s="1083"/>
      <c r="Y921" s="1083"/>
    </row>
    <row r="922">
      <c r="A922" s="1120"/>
      <c r="B922" s="1120"/>
      <c r="C922" s="1142"/>
      <c r="D922" s="1058"/>
      <c r="E922" s="1081"/>
      <c r="F922" s="1142"/>
      <c r="G922" s="1081"/>
      <c r="H922" s="1142"/>
      <c r="I922" s="1081"/>
      <c r="J922" s="1081"/>
      <c r="K922" s="1081"/>
      <c r="L922" s="1142"/>
      <c r="M922" s="1142"/>
      <c r="N922" s="1081"/>
      <c r="O922" s="1142"/>
      <c r="P922" s="1081"/>
      <c r="Q922" s="1142"/>
      <c r="R922" s="1081"/>
      <c r="S922" s="1142"/>
      <c r="T922" s="1142"/>
      <c r="U922" s="1142"/>
      <c r="V922" s="1142"/>
      <c r="W922" s="1142"/>
      <c r="X922" s="1142"/>
      <c r="Y922" s="1142"/>
    </row>
    <row r="923">
      <c r="A923" s="1140"/>
      <c r="B923" s="1140"/>
      <c r="C923" s="1083"/>
      <c r="D923" s="1058"/>
      <c r="E923" s="1092"/>
      <c r="F923" s="1083"/>
      <c r="G923" s="1092"/>
      <c r="H923" s="1083"/>
      <c r="I923" s="1092"/>
      <c r="J923" s="1092"/>
      <c r="K923" s="1092"/>
      <c r="L923" s="1083"/>
      <c r="M923" s="1083"/>
      <c r="N923" s="1092"/>
      <c r="O923" s="1083"/>
      <c r="P923" s="1092"/>
      <c r="Q923" s="1083"/>
      <c r="R923" s="1092"/>
      <c r="S923" s="1083"/>
      <c r="T923" s="1083"/>
      <c r="U923" s="1083"/>
      <c r="V923" s="1083"/>
      <c r="W923" s="1083"/>
      <c r="X923" s="1083"/>
      <c r="Y923" s="1083"/>
    </row>
    <row r="924">
      <c r="A924" s="1120"/>
      <c r="B924" s="1120"/>
      <c r="C924" s="1142"/>
      <c r="D924" s="1058"/>
      <c r="E924" s="1081"/>
      <c r="F924" s="1142"/>
      <c r="G924" s="1081"/>
      <c r="H924" s="1142"/>
      <c r="I924" s="1081"/>
      <c r="J924" s="1081"/>
      <c r="K924" s="1081"/>
      <c r="L924" s="1142"/>
      <c r="M924" s="1142"/>
      <c r="N924" s="1081"/>
      <c r="O924" s="1142"/>
      <c r="P924" s="1081"/>
      <c r="Q924" s="1142"/>
      <c r="R924" s="1081"/>
      <c r="S924" s="1142"/>
      <c r="T924" s="1142"/>
      <c r="U924" s="1142"/>
      <c r="V924" s="1142"/>
      <c r="W924" s="1142"/>
      <c r="X924" s="1142"/>
      <c r="Y924" s="1142"/>
    </row>
    <row r="925">
      <c r="A925" s="1140"/>
      <c r="B925" s="1140"/>
      <c r="C925" s="1083"/>
      <c r="D925" s="1058"/>
      <c r="E925" s="1092"/>
      <c r="F925" s="1083"/>
      <c r="G925" s="1092"/>
      <c r="H925" s="1083"/>
      <c r="I925" s="1092"/>
      <c r="J925" s="1092"/>
      <c r="K925" s="1092"/>
      <c r="L925" s="1083"/>
      <c r="M925" s="1083"/>
      <c r="N925" s="1092"/>
      <c r="O925" s="1083"/>
      <c r="P925" s="1092"/>
      <c r="Q925" s="1083"/>
      <c r="R925" s="1092"/>
      <c r="S925" s="1083"/>
      <c r="T925" s="1083"/>
      <c r="U925" s="1083"/>
      <c r="V925" s="1083"/>
      <c r="W925" s="1083"/>
      <c r="X925" s="1083"/>
      <c r="Y925" s="1083"/>
    </row>
    <row r="926">
      <c r="A926" s="1120"/>
      <c r="B926" s="1120"/>
      <c r="C926" s="1142"/>
      <c r="D926" s="1058"/>
      <c r="E926" s="1081"/>
      <c r="F926" s="1142"/>
      <c r="G926" s="1081"/>
      <c r="H926" s="1142"/>
      <c r="I926" s="1081"/>
      <c r="J926" s="1081"/>
      <c r="K926" s="1081"/>
      <c r="L926" s="1142"/>
      <c r="M926" s="1142"/>
      <c r="N926" s="1081"/>
      <c r="O926" s="1142"/>
      <c r="P926" s="1081"/>
      <c r="Q926" s="1142"/>
      <c r="R926" s="1081"/>
      <c r="S926" s="1142"/>
      <c r="T926" s="1142"/>
      <c r="U926" s="1142"/>
      <c r="V926" s="1142"/>
      <c r="W926" s="1142"/>
      <c r="X926" s="1142"/>
      <c r="Y926" s="1142"/>
    </row>
    <row r="927">
      <c r="A927" s="1140"/>
      <c r="B927" s="1140"/>
      <c r="C927" s="1083"/>
      <c r="D927" s="1058"/>
      <c r="E927" s="1092"/>
      <c r="F927" s="1083"/>
      <c r="G927" s="1092"/>
      <c r="H927" s="1083"/>
      <c r="I927" s="1092"/>
      <c r="J927" s="1092"/>
      <c r="K927" s="1092"/>
      <c r="L927" s="1083"/>
      <c r="M927" s="1083"/>
      <c r="N927" s="1092"/>
      <c r="O927" s="1083"/>
      <c r="P927" s="1092"/>
      <c r="Q927" s="1083"/>
      <c r="R927" s="1092"/>
      <c r="S927" s="1083"/>
      <c r="T927" s="1083"/>
      <c r="U927" s="1083"/>
      <c r="V927" s="1083"/>
      <c r="W927" s="1083"/>
      <c r="X927" s="1083"/>
      <c r="Y927" s="1083"/>
    </row>
    <row r="928">
      <c r="A928" s="1120"/>
      <c r="B928" s="1120"/>
      <c r="C928" s="1142"/>
      <c r="D928" s="1058"/>
      <c r="E928" s="1081"/>
      <c r="F928" s="1142"/>
      <c r="G928" s="1081"/>
      <c r="H928" s="1142"/>
      <c r="I928" s="1081"/>
      <c r="J928" s="1081"/>
      <c r="K928" s="1081"/>
      <c r="L928" s="1142"/>
      <c r="M928" s="1142"/>
      <c r="N928" s="1081"/>
      <c r="O928" s="1142"/>
      <c r="P928" s="1081"/>
      <c r="Q928" s="1142"/>
      <c r="R928" s="1081"/>
      <c r="S928" s="1142"/>
      <c r="T928" s="1142"/>
      <c r="U928" s="1142"/>
      <c r="V928" s="1142"/>
      <c r="W928" s="1142"/>
      <c r="X928" s="1142"/>
      <c r="Y928" s="1142"/>
    </row>
    <row r="929">
      <c r="A929" s="1140"/>
      <c r="B929" s="1140"/>
      <c r="C929" s="1083"/>
      <c r="D929" s="1058"/>
      <c r="E929" s="1092"/>
      <c r="F929" s="1083"/>
      <c r="G929" s="1092"/>
      <c r="H929" s="1083"/>
      <c r="I929" s="1092"/>
      <c r="J929" s="1092"/>
      <c r="K929" s="1092"/>
      <c r="L929" s="1083"/>
      <c r="M929" s="1083"/>
      <c r="N929" s="1092"/>
      <c r="O929" s="1083"/>
      <c r="P929" s="1092"/>
      <c r="Q929" s="1083"/>
      <c r="R929" s="1092"/>
      <c r="S929" s="1083"/>
      <c r="T929" s="1083"/>
      <c r="U929" s="1083"/>
      <c r="V929" s="1083"/>
      <c r="W929" s="1083"/>
      <c r="X929" s="1083"/>
      <c r="Y929" s="1083"/>
    </row>
    <row r="930">
      <c r="A930" s="1120"/>
      <c r="B930" s="1120"/>
      <c r="C930" s="1142"/>
      <c r="D930" s="1058"/>
      <c r="E930" s="1081"/>
      <c r="F930" s="1142"/>
      <c r="G930" s="1081"/>
      <c r="H930" s="1142"/>
      <c r="I930" s="1081"/>
      <c r="J930" s="1081"/>
      <c r="K930" s="1081"/>
      <c r="L930" s="1142"/>
      <c r="M930" s="1142"/>
      <c r="N930" s="1081"/>
      <c r="O930" s="1142"/>
      <c r="P930" s="1081"/>
      <c r="Q930" s="1142"/>
      <c r="R930" s="1081"/>
      <c r="S930" s="1142"/>
      <c r="T930" s="1142"/>
      <c r="U930" s="1142"/>
      <c r="V930" s="1142"/>
      <c r="W930" s="1142"/>
      <c r="X930" s="1142"/>
      <c r="Y930" s="1142"/>
    </row>
    <row r="931">
      <c r="A931" s="1140"/>
      <c r="B931" s="1140"/>
      <c r="C931" s="1083"/>
      <c r="D931" s="1058"/>
      <c r="E931" s="1092"/>
      <c r="F931" s="1083"/>
      <c r="G931" s="1092"/>
      <c r="H931" s="1083"/>
      <c r="I931" s="1092"/>
      <c r="J931" s="1092"/>
      <c r="K931" s="1092"/>
      <c r="L931" s="1083"/>
      <c r="M931" s="1083"/>
      <c r="N931" s="1092"/>
      <c r="O931" s="1083"/>
      <c r="P931" s="1092"/>
      <c r="Q931" s="1083"/>
      <c r="R931" s="1092"/>
      <c r="S931" s="1083"/>
      <c r="T931" s="1083"/>
      <c r="U931" s="1083"/>
      <c r="V931" s="1083"/>
      <c r="W931" s="1083"/>
      <c r="X931" s="1083"/>
      <c r="Y931" s="1083"/>
    </row>
    <row r="932">
      <c r="A932" s="1120"/>
      <c r="B932" s="1120"/>
      <c r="C932" s="1142"/>
      <c r="D932" s="1058"/>
      <c r="E932" s="1081"/>
      <c r="F932" s="1142"/>
      <c r="G932" s="1081"/>
      <c r="H932" s="1142"/>
      <c r="I932" s="1081"/>
      <c r="J932" s="1081"/>
      <c r="K932" s="1081"/>
      <c r="L932" s="1142"/>
      <c r="M932" s="1142"/>
      <c r="N932" s="1081"/>
      <c r="O932" s="1142"/>
      <c r="P932" s="1081"/>
      <c r="Q932" s="1142"/>
      <c r="R932" s="1081"/>
      <c r="S932" s="1142"/>
      <c r="T932" s="1142"/>
      <c r="U932" s="1142"/>
      <c r="V932" s="1142"/>
      <c r="W932" s="1142"/>
      <c r="X932" s="1142"/>
      <c r="Y932" s="1142"/>
    </row>
    <row r="933">
      <c r="A933" s="1140"/>
      <c r="B933" s="1140"/>
      <c r="C933" s="1083"/>
      <c r="D933" s="1058"/>
      <c r="E933" s="1092"/>
      <c r="F933" s="1083"/>
      <c r="G933" s="1092"/>
      <c r="H933" s="1083"/>
      <c r="I933" s="1092"/>
      <c r="J933" s="1092"/>
      <c r="K933" s="1092"/>
      <c r="L933" s="1083"/>
      <c r="M933" s="1083"/>
      <c r="N933" s="1092"/>
      <c r="O933" s="1083"/>
      <c r="P933" s="1092"/>
      <c r="Q933" s="1083"/>
      <c r="R933" s="1092"/>
      <c r="S933" s="1083"/>
      <c r="T933" s="1083"/>
      <c r="U933" s="1083"/>
      <c r="V933" s="1083"/>
      <c r="W933" s="1083"/>
      <c r="X933" s="1083"/>
      <c r="Y933" s="1083"/>
    </row>
    <row r="934">
      <c r="A934" s="1120"/>
      <c r="B934" s="1120"/>
      <c r="C934" s="1142"/>
      <c r="D934" s="1058"/>
      <c r="E934" s="1081"/>
      <c r="F934" s="1142"/>
      <c r="G934" s="1081"/>
      <c r="H934" s="1142"/>
      <c r="I934" s="1081"/>
      <c r="J934" s="1081"/>
      <c r="K934" s="1081"/>
      <c r="L934" s="1142"/>
      <c r="M934" s="1142"/>
      <c r="N934" s="1081"/>
      <c r="O934" s="1142"/>
      <c r="P934" s="1081"/>
      <c r="Q934" s="1142"/>
      <c r="R934" s="1081"/>
      <c r="S934" s="1142"/>
      <c r="T934" s="1142"/>
      <c r="U934" s="1142"/>
      <c r="V934" s="1142"/>
      <c r="W934" s="1142"/>
      <c r="X934" s="1142"/>
      <c r="Y934" s="1142"/>
    </row>
    <row r="935">
      <c r="A935" s="1140"/>
      <c r="B935" s="1140"/>
      <c r="C935" s="1083"/>
      <c r="D935" s="1058"/>
      <c r="E935" s="1092"/>
      <c r="F935" s="1083"/>
      <c r="G935" s="1092"/>
      <c r="H935" s="1083"/>
      <c r="I935" s="1092"/>
      <c r="J935" s="1092"/>
      <c r="K935" s="1092"/>
      <c r="L935" s="1083"/>
      <c r="M935" s="1083"/>
      <c r="N935" s="1092"/>
      <c r="O935" s="1083"/>
      <c r="P935" s="1092"/>
      <c r="Q935" s="1083"/>
      <c r="R935" s="1092"/>
      <c r="S935" s="1083"/>
      <c r="T935" s="1083"/>
      <c r="U935" s="1083"/>
      <c r="V935" s="1083"/>
      <c r="W935" s="1083"/>
      <c r="X935" s="1083"/>
      <c r="Y935" s="1083"/>
    </row>
    <row r="936">
      <c r="A936" s="1120"/>
      <c r="B936" s="1120"/>
      <c r="C936" s="1142"/>
      <c r="D936" s="1058"/>
      <c r="E936" s="1081"/>
      <c r="F936" s="1142"/>
      <c r="G936" s="1081"/>
      <c r="H936" s="1142"/>
      <c r="I936" s="1081"/>
      <c r="J936" s="1081"/>
      <c r="K936" s="1081"/>
      <c r="L936" s="1142"/>
      <c r="M936" s="1142"/>
      <c r="N936" s="1081"/>
      <c r="O936" s="1142"/>
      <c r="P936" s="1081"/>
      <c r="Q936" s="1142"/>
      <c r="R936" s="1081"/>
      <c r="S936" s="1142"/>
      <c r="T936" s="1142"/>
      <c r="U936" s="1142"/>
      <c r="V936" s="1142"/>
      <c r="W936" s="1142"/>
      <c r="X936" s="1142"/>
      <c r="Y936" s="1142"/>
    </row>
    <row r="937">
      <c r="A937" s="1140"/>
      <c r="B937" s="1140"/>
      <c r="C937" s="1083"/>
      <c r="D937" s="1058"/>
      <c r="E937" s="1092"/>
      <c r="F937" s="1083"/>
      <c r="G937" s="1092"/>
      <c r="H937" s="1083"/>
      <c r="I937" s="1092"/>
      <c r="J937" s="1092"/>
      <c r="K937" s="1092"/>
      <c r="L937" s="1083"/>
      <c r="M937" s="1083"/>
      <c r="N937" s="1092"/>
      <c r="O937" s="1083"/>
      <c r="P937" s="1092"/>
      <c r="Q937" s="1083"/>
      <c r="R937" s="1092"/>
      <c r="S937" s="1083"/>
      <c r="T937" s="1083"/>
      <c r="U937" s="1083"/>
      <c r="V937" s="1083"/>
      <c r="W937" s="1083"/>
      <c r="X937" s="1083"/>
      <c r="Y937" s="1083"/>
    </row>
    <row r="938">
      <c r="A938" s="1120"/>
      <c r="B938" s="1120"/>
      <c r="C938" s="1142"/>
      <c r="D938" s="1058"/>
      <c r="E938" s="1081"/>
      <c r="F938" s="1142"/>
      <c r="G938" s="1081"/>
      <c r="H938" s="1142"/>
      <c r="I938" s="1081"/>
      <c r="J938" s="1081"/>
      <c r="K938" s="1081"/>
      <c r="L938" s="1142"/>
      <c r="M938" s="1142"/>
      <c r="N938" s="1081"/>
      <c r="O938" s="1142"/>
      <c r="P938" s="1081"/>
      <c r="Q938" s="1142"/>
      <c r="R938" s="1081"/>
      <c r="S938" s="1142"/>
      <c r="T938" s="1142"/>
      <c r="U938" s="1142"/>
      <c r="V938" s="1142"/>
      <c r="W938" s="1142"/>
      <c r="X938" s="1142"/>
      <c r="Y938" s="1142"/>
    </row>
    <row r="939">
      <c r="A939" s="1140"/>
      <c r="B939" s="1140"/>
      <c r="C939" s="1083"/>
      <c r="D939" s="1058"/>
      <c r="E939" s="1092"/>
      <c r="F939" s="1083"/>
      <c r="G939" s="1092"/>
      <c r="H939" s="1083"/>
      <c r="I939" s="1092"/>
      <c r="J939" s="1092"/>
      <c r="K939" s="1092"/>
      <c r="L939" s="1083"/>
      <c r="M939" s="1083"/>
      <c r="N939" s="1092"/>
      <c r="O939" s="1083"/>
      <c r="P939" s="1092"/>
      <c r="Q939" s="1083"/>
      <c r="R939" s="1092"/>
      <c r="S939" s="1083"/>
      <c r="T939" s="1083"/>
      <c r="U939" s="1083"/>
      <c r="V939" s="1083"/>
      <c r="W939" s="1083"/>
      <c r="X939" s="1083"/>
      <c r="Y939" s="1083"/>
    </row>
    <row r="940">
      <c r="A940" s="1120"/>
      <c r="B940" s="1120"/>
      <c r="C940" s="1142"/>
      <c r="D940" s="1058"/>
      <c r="E940" s="1081"/>
      <c r="F940" s="1142"/>
      <c r="G940" s="1081"/>
      <c r="H940" s="1142"/>
      <c r="I940" s="1081"/>
      <c r="J940" s="1081"/>
      <c r="K940" s="1081"/>
      <c r="L940" s="1142"/>
      <c r="M940" s="1142"/>
      <c r="N940" s="1081"/>
      <c r="O940" s="1142"/>
      <c r="P940" s="1081"/>
      <c r="Q940" s="1142"/>
      <c r="R940" s="1081"/>
      <c r="S940" s="1142"/>
      <c r="T940" s="1142"/>
      <c r="U940" s="1142"/>
      <c r="V940" s="1142"/>
      <c r="W940" s="1142"/>
      <c r="X940" s="1142"/>
      <c r="Y940" s="1142"/>
    </row>
    <row r="941">
      <c r="A941" s="1140"/>
      <c r="B941" s="1140"/>
      <c r="C941" s="1083"/>
      <c r="D941" s="1058"/>
      <c r="E941" s="1092"/>
      <c r="F941" s="1083"/>
      <c r="G941" s="1092"/>
      <c r="H941" s="1083"/>
      <c r="I941" s="1092"/>
      <c r="J941" s="1092"/>
      <c r="K941" s="1092"/>
      <c r="L941" s="1083"/>
      <c r="M941" s="1083"/>
      <c r="N941" s="1092"/>
      <c r="O941" s="1083"/>
      <c r="P941" s="1092"/>
      <c r="Q941" s="1083"/>
      <c r="R941" s="1092"/>
      <c r="S941" s="1083"/>
      <c r="T941" s="1083"/>
      <c r="U941" s="1083"/>
      <c r="V941" s="1083"/>
      <c r="W941" s="1083"/>
      <c r="X941" s="1083"/>
      <c r="Y941" s="1083"/>
    </row>
    <row r="942">
      <c r="A942" s="1120"/>
      <c r="B942" s="1120"/>
      <c r="C942" s="1142"/>
      <c r="D942" s="1058"/>
      <c r="E942" s="1081"/>
      <c r="F942" s="1142"/>
      <c r="G942" s="1081"/>
      <c r="H942" s="1142"/>
      <c r="I942" s="1081"/>
      <c r="J942" s="1081"/>
      <c r="K942" s="1081"/>
      <c r="L942" s="1142"/>
      <c r="M942" s="1142"/>
      <c r="N942" s="1081"/>
      <c r="O942" s="1142"/>
      <c r="P942" s="1081"/>
      <c r="Q942" s="1142"/>
      <c r="R942" s="1081"/>
      <c r="S942" s="1142"/>
      <c r="T942" s="1142"/>
      <c r="U942" s="1142"/>
      <c r="V942" s="1142"/>
      <c r="W942" s="1142"/>
      <c r="X942" s="1142"/>
      <c r="Y942" s="1142"/>
    </row>
    <row r="943">
      <c r="A943" s="1140"/>
      <c r="B943" s="1140"/>
      <c r="C943" s="1083"/>
      <c r="D943" s="1058"/>
      <c r="E943" s="1092"/>
      <c r="F943" s="1083"/>
      <c r="G943" s="1092"/>
      <c r="H943" s="1083"/>
      <c r="I943" s="1092"/>
      <c r="J943" s="1092"/>
      <c r="K943" s="1092"/>
      <c r="L943" s="1083"/>
      <c r="M943" s="1083"/>
      <c r="N943" s="1092"/>
      <c r="O943" s="1083"/>
      <c r="P943" s="1092"/>
      <c r="Q943" s="1083"/>
      <c r="R943" s="1092"/>
      <c r="S943" s="1083"/>
      <c r="T943" s="1083"/>
      <c r="U943" s="1083"/>
      <c r="V943" s="1083"/>
      <c r="W943" s="1083"/>
      <c r="X943" s="1083"/>
      <c r="Y943" s="1083"/>
    </row>
    <row r="944">
      <c r="A944" s="1120"/>
      <c r="B944" s="1120"/>
      <c r="C944" s="1142"/>
      <c r="D944" s="1058"/>
      <c r="E944" s="1081"/>
      <c r="F944" s="1142"/>
      <c r="G944" s="1081"/>
      <c r="H944" s="1142"/>
      <c r="I944" s="1081"/>
      <c r="J944" s="1081"/>
      <c r="K944" s="1081"/>
      <c r="L944" s="1142"/>
      <c r="M944" s="1142"/>
      <c r="N944" s="1081"/>
      <c r="O944" s="1142"/>
      <c r="P944" s="1081"/>
      <c r="Q944" s="1142"/>
      <c r="R944" s="1081"/>
      <c r="S944" s="1142"/>
      <c r="T944" s="1142"/>
      <c r="U944" s="1142"/>
      <c r="V944" s="1142"/>
      <c r="W944" s="1142"/>
      <c r="X944" s="1142"/>
      <c r="Y944" s="1142"/>
    </row>
    <row r="945">
      <c r="A945" s="1140"/>
      <c r="B945" s="1140"/>
      <c r="C945" s="1083"/>
      <c r="D945" s="1058"/>
      <c r="E945" s="1092"/>
      <c r="F945" s="1083"/>
      <c r="G945" s="1092"/>
      <c r="H945" s="1083"/>
      <c r="I945" s="1092"/>
      <c r="J945" s="1092"/>
      <c r="K945" s="1092"/>
      <c r="L945" s="1083"/>
      <c r="M945" s="1083"/>
      <c r="N945" s="1092"/>
      <c r="O945" s="1083"/>
      <c r="P945" s="1092"/>
      <c r="Q945" s="1083"/>
      <c r="R945" s="1092"/>
      <c r="S945" s="1083"/>
      <c r="T945" s="1083"/>
      <c r="U945" s="1083"/>
      <c r="V945" s="1083"/>
      <c r="W945" s="1083"/>
      <c r="X945" s="1083"/>
      <c r="Y945" s="1083"/>
    </row>
    <row r="946">
      <c r="A946" s="1120"/>
      <c r="B946" s="1120"/>
      <c r="C946" s="1142"/>
      <c r="D946" s="1058"/>
      <c r="E946" s="1081"/>
      <c r="F946" s="1142"/>
      <c r="G946" s="1081"/>
      <c r="H946" s="1142"/>
      <c r="I946" s="1081"/>
      <c r="J946" s="1081"/>
      <c r="K946" s="1081"/>
      <c r="L946" s="1142"/>
      <c r="M946" s="1142"/>
      <c r="N946" s="1081"/>
      <c r="O946" s="1142"/>
      <c r="P946" s="1081"/>
      <c r="Q946" s="1142"/>
      <c r="R946" s="1081"/>
      <c r="S946" s="1142"/>
      <c r="T946" s="1142"/>
      <c r="U946" s="1142"/>
      <c r="V946" s="1142"/>
      <c r="W946" s="1142"/>
      <c r="X946" s="1142"/>
      <c r="Y946" s="1142"/>
    </row>
    <row r="947">
      <c r="A947" s="1140"/>
      <c r="B947" s="1140"/>
      <c r="C947" s="1083"/>
      <c r="D947" s="1058"/>
      <c r="E947" s="1092"/>
      <c r="F947" s="1083"/>
      <c r="G947" s="1092"/>
      <c r="H947" s="1083"/>
      <c r="I947" s="1092"/>
      <c r="J947" s="1092"/>
      <c r="K947" s="1092"/>
      <c r="L947" s="1083"/>
      <c r="M947" s="1083"/>
      <c r="N947" s="1092"/>
      <c r="O947" s="1083"/>
      <c r="P947" s="1092"/>
      <c r="Q947" s="1083"/>
      <c r="R947" s="1092"/>
      <c r="S947" s="1083"/>
      <c r="T947" s="1083"/>
      <c r="U947" s="1083"/>
      <c r="V947" s="1083"/>
      <c r="W947" s="1083"/>
      <c r="X947" s="1083"/>
      <c r="Y947" s="1083"/>
    </row>
    <row r="948">
      <c r="A948" s="1120"/>
      <c r="B948" s="1120"/>
      <c r="C948" s="1142"/>
      <c r="D948" s="1058"/>
      <c r="E948" s="1081"/>
      <c r="F948" s="1142"/>
      <c r="G948" s="1081"/>
      <c r="H948" s="1142"/>
      <c r="I948" s="1081"/>
      <c r="J948" s="1081"/>
      <c r="K948" s="1081"/>
      <c r="L948" s="1142"/>
      <c r="M948" s="1142"/>
      <c r="N948" s="1081"/>
      <c r="O948" s="1142"/>
      <c r="P948" s="1081"/>
      <c r="Q948" s="1142"/>
      <c r="R948" s="1081"/>
      <c r="S948" s="1142"/>
      <c r="T948" s="1142"/>
      <c r="U948" s="1142"/>
      <c r="V948" s="1142"/>
      <c r="W948" s="1142"/>
      <c r="X948" s="1142"/>
      <c r="Y948" s="1142"/>
    </row>
    <row r="949">
      <c r="A949" s="1140"/>
      <c r="B949" s="1140"/>
      <c r="C949" s="1083"/>
      <c r="D949" s="1058"/>
      <c r="E949" s="1092"/>
      <c r="F949" s="1083"/>
      <c r="G949" s="1092"/>
      <c r="H949" s="1083"/>
      <c r="I949" s="1092"/>
      <c r="J949" s="1092"/>
      <c r="K949" s="1092"/>
      <c r="L949" s="1083"/>
      <c r="M949" s="1083"/>
      <c r="N949" s="1092"/>
      <c r="O949" s="1083"/>
      <c r="P949" s="1092"/>
      <c r="Q949" s="1083"/>
      <c r="R949" s="1092"/>
      <c r="S949" s="1083"/>
      <c r="T949" s="1083"/>
      <c r="U949" s="1083"/>
      <c r="V949" s="1083"/>
      <c r="W949" s="1083"/>
      <c r="X949" s="1083"/>
      <c r="Y949" s="1083"/>
    </row>
    <row r="950">
      <c r="A950" s="1120"/>
      <c r="B950" s="1120"/>
      <c r="C950" s="1142"/>
      <c r="D950" s="1058"/>
      <c r="E950" s="1081"/>
      <c r="F950" s="1142"/>
      <c r="G950" s="1081"/>
      <c r="H950" s="1142"/>
      <c r="I950" s="1081"/>
      <c r="J950" s="1081"/>
      <c r="K950" s="1081"/>
      <c r="L950" s="1142"/>
      <c r="M950" s="1142"/>
      <c r="N950" s="1081"/>
      <c r="O950" s="1142"/>
      <c r="P950" s="1081"/>
      <c r="Q950" s="1142"/>
      <c r="R950" s="1081"/>
      <c r="S950" s="1142"/>
      <c r="T950" s="1142"/>
      <c r="U950" s="1142"/>
      <c r="V950" s="1142"/>
      <c r="W950" s="1142"/>
      <c r="X950" s="1142"/>
      <c r="Y950" s="1142"/>
    </row>
    <row r="951">
      <c r="A951" s="1140"/>
      <c r="B951" s="1140"/>
      <c r="C951" s="1083"/>
      <c r="D951" s="1058"/>
      <c r="E951" s="1092"/>
      <c r="F951" s="1083"/>
      <c r="G951" s="1092"/>
      <c r="H951" s="1083"/>
      <c r="I951" s="1092"/>
      <c r="J951" s="1092"/>
      <c r="K951" s="1092"/>
      <c r="L951" s="1083"/>
      <c r="M951" s="1083"/>
      <c r="N951" s="1092"/>
      <c r="O951" s="1083"/>
      <c r="P951" s="1092"/>
      <c r="Q951" s="1083"/>
      <c r="R951" s="1092"/>
      <c r="S951" s="1083"/>
      <c r="T951" s="1083"/>
      <c r="U951" s="1083"/>
      <c r="V951" s="1083"/>
      <c r="W951" s="1083"/>
      <c r="X951" s="1083"/>
      <c r="Y951" s="1083"/>
    </row>
    <row r="952">
      <c r="A952" s="1120"/>
      <c r="B952" s="1120"/>
      <c r="C952" s="1142"/>
      <c r="D952" s="1058"/>
      <c r="E952" s="1081"/>
      <c r="F952" s="1142"/>
      <c r="G952" s="1081"/>
      <c r="H952" s="1142"/>
      <c r="I952" s="1081"/>
      <c r="J952" s="1081"/>
      <c r="K952" s="1081"/>
      <c r="L952" s="1142"/>
      <c r="M952" s="1142"/>
      <c r="N952" s="1081"/>
      <c r="O952" s="1142"/>
      <c r="P952" s="1081"/>
      <c r="Q952" s="1142"/>
      <c r="R952" s="1081"/>
      <c r="S952" s="1142"/>
      <c r="T952" s="1142"/>
      <c r="U952" s="1142"/>
      <c r="V952" s="1142"/>
      <c r="W952" s="1142"/>
      <c r="X952" s="1142"/>
      <c r="Y952" s="1142"/>
    </row>
    <row r="953">
      <c r="A953" s="1140"/>
      <c r="B953" s="1140"/>
      <c r="C953" s="1083"/>
      <c r="D953" s="1058"/>
      <c r="E953" s="1092"/>
      <c r="F953" s="1083"/>
      <c r="G953" s="1092"/>
      <c r="H953" s="1083"/>
      <c r="I953" s="1092"/>
      <c r="J953" s="1092"/>
      <c r="K953" s="1092"/>
      <c r="L953" s="1083"/>
      <c r="M953" s="1083"/>
      <c r="N953" s="1092"/>
      <c r="O953" s="1083"/>
      <c r="P953" s="1092"/>
      <c r="Q953" s="1083"/>
      <c r="R953" s="1092"/>
      <c r="S953" s="1083"/>
      <c r="T953" s="1083"/>
      <c r="U953" s="1083"/>
      <c r="V953" s="1083"/>
      <c r="W953" s="1083"/>
      <c r="X953" s="1083"/>
      <c r="Y953" s="1083"/>
    </row>
    <row r="954">
      <c r="A954" s="1120"/>
      <c r="B954" s="1120"/>
      <c r="C954" s="1142"/>
      <c r="D954" s="1058"/>
      <c r="E954" s="1081"/>
      <c r="F954" s="1142"/>
      <c r="G954" s="1081"/>
      <c r="H954" s="1142"/>
      <c r="I954" s="1081"/>
      <c r="J954" s="1081"/>
      <c r="K954" s="1081"/>
      <c r="L954" s="1142"/>
      <c r="M954" s="1142"/>
      <c r="N954" s="1081"/>
      <c r="O954" s="1142"/>
      <c r="P954" s="1081"/>
      <c r="Q954" s="1142"/>
      <c r="R954" s="1081"/>
      <c r="S954" s="1142"/>
      <c r="T954" s="1142"/>
      <c r="U954" s="1142"/>
      <c r="V954" s="1142"/>
      <c r="W954" s="1142"/>
      <c r="X954" s="1142"/>
      <c r="Y954" s="1142"/>
    </row>
    <row r="955">
      <c r="A955" s="1140"/>
      <c r="B955" s="1140"/>
      <c r="C955" s="1083"/>
      <c r="D955" s="1058"/>
      <c r="E955" s="1092"/>
      <c r="F955" s="1083"/>
      <c r="G955" s="1092"/>
      <c r="H955" s="1083"/>
      <c r="I955" s="1092"/>
      <c r="J955" s="1092"/>
      <c r="K955" s="1092"/>
      <c r="L955" s="1083"/>
      <c r="M955" s="1083"/>
      <c r="N955" s="1092"/>
      <c r="O955" s="1083"/>
      <c r="P955" s="1092"/>
      <c r="Q955" s="1083"/>
      <c r="R955" s="1092"/>
      <c r="S955" s="1083"/>
      <c r="T955" s="1083"/>
      <c r="U955" s="1083"/>
      <c r="V955" s="1083"/>
      <c r="W955" s="1083"/>
      <c r="X955" s="1083"/>
      <c r="Y955" s="1083"/>
    </row>
    <row r="956">
      <c r="A956" s="1120"/>
      <c r="B956" s="1120"/>
      <c r="C956" s="1142"/>
      <c r="D956" s="1058"/>
      <c r="E956" s="1081"/>
      <c r="F956" s="1142"/>
      <c r="G956" s="1081"/>
      <c r="H956" s="1142"/>
      <c r="I956" s="1081"/>
      <c r="J956" s="1081"/>
      <c r="K956" s="1081"/>
      <c r="L956" s="1142"/>
      <c r="M956" s="1142"/>
      <c r="N956" s="1081"/>
      <c r="O956" s="1142"/>
      <c r="P956" s="1081"/>
      <c r="Q956" s="1142"/>
      <c r="R956" s="1081"/>
      <c r="S956" s="1142"/>
      <c r="T956" s="1142"/>
      <c r="U956" s="1142"/>
      <c r="V956" s="1142"/>
      <c r="W956" s="1142"/>
      <c r="X956" s="1142"/>
      <c r="Y956" s="1142"/>
    </row>
    <row r="957">
      <c r="A957" s="1140"/>
      <c r="B957" s="1140"/>
      <c r="C957" s="1083"/>
      <c r="D957" s="1058"/>
      <c r="E957" s="1092"/>
      <c r="F957" s="1083"/>
      <c r="G957" s="1092"/>
      <c r="H957" s="1083"/>
      <c r="I957" s="1092"/>
      <c r="J957" s="1092"/>
      <c r="K957" s="1092"/>
      <c r="L957" s="1083"/>
      <c r="M957" s="1083"/>
      <c r="N957" s="1092"/>
      <c r="O957" s="1083"/>
      <c r="P957" s="1092"/>
      <c r="Q957" s="1083"/>
      <c r="R957" s="1092"/>
      <c r="S957" s="1083"/>
      <c r="T957" s="1083"/>
      <c r="U957" s="1083"/>
      <c r="V957" s="1083"/>
      <c r="W957" s="1083"/>
      <c r="X957" s="1083"/>
      <c r="Y957" s="1083"/>
    </row>
    <row r="958">
      <c r="A958" s="1120"/>
      <c r="B958" s="1120"/>
      <c r="C958" s="1142"/>
      <c r="D958" s="1058"/>
      <c r="E958" s="1081"/>
      <c r="F958" s="1142"/>
      <c r="G958" s="1081"/>
      <c r="H958" s="1142"/>
      <c r="I958" s="1081"/>
      <c r="J958" s="1081"/>
      <c r="K958" s="1081"/>
      <c r="L958" s="1142"/>
      <c r="M958" s="1142"/>
      <c r="N958" s="1081"/>
      <c r="O958" s="1142"/>
      <c r="P958" s="1081"/>
      <c r="Q958" s="1142"/>
      <c r="R958" s="1081"/>
      <c r="S958" s="1142"/>
      <c r="T958" s="1142"/>
      <c r="U958" s="1142"/>
      <c r="V958" s="1142"/>
      <c r="W958" s="1142"/>
      <c r="X958" s="1142"/>
      <c r="Y958" s="1142"/>
    </row>
    <row r="959">
      <c r="A959" s="1140"/>
      <c r="B959" s="1140"/>
      <c r="C959" s="1083"/>
      <c r="D959" s="1058"/>
      <c r="E959" s="1092"/>
      <c r="F959" s="1083"/>
      <c r="G959" s="1092"/>
      <c r="H959" s="1083"/>
      <c r="I959" s="1092"/>
      <c r="J959" s="1092"/>
      <c r="K959" s="1092"/>
      <c r="L959" s="1083"/>
      <c r="M959" s="1083"/>
      <c r="N959" s="1092"/>
      <c r="O959" s="1083"/>
      <c r="P959" s="1092"/>
      <c r="Q959" s="1083"/>
      <c r="R959" s="1092"/>
      <c r="S959" s="1083"/>
      <c r="T959" s="1083"/>
      <c r="U959" s="1083"/>
      <c r="V959" s="1083"/>
      <c r="W959" s="1083"/>
      <c r="X959" s="1083"/>
      <c r="Y959" s="1083"/>
    </row>
    <row r="960">
      <c r="A960" s="1120"/>
      <c r="B960" s="1120"/>
      <c r="C960" s="1142"/>
      <c r="D960" s="1058"/>
      <c r="E960" s="1081"/>
      <c r="F960" s="1142"/>
      <c r="G960" s="1081"/>
      <c r="H960" s="1142"/>
      <c r="I960" s="1081"/>
      <c r="J960" s="1081"/>
      <c r="K960" s="1081"/>
      <c r="L960" s="1142"/>
      <c r="M960" s="1142"/>
      <c r="N960" s="1081"/>
      <c r="O960" s="1142"/>
      <c r="P960" s="1081"/>
      <c r="Q960" s="1142"/>
      <c r="R960" s="1081"/>
      <c r="S960" s="1142"/>
      <c r="T960" s="1142"/>
      <c r="U960" s="1142"/>
      <c r="V960" s="1142"/>
      <c r="W960" s="1142"/>
      <c r="X960" s="1142"/>
      <c r="Y960" s="1142"/>
    </row>
    <row r="961">
      <c r="A961" s="1140"/>
      <c r="B961" s="1140"/>
      <c r="C961" s="1083"/>
      <c r="D961" s="1058"/>
      <c r="E961" s="1092"/>
      <c r="F961" s="1083"/>
      <c r="G961" s="1092"/>
      <c r="H961" s="1083"/>
      <c r="I961" s="1092"/>
      <c r="J961" s="1092"/>
      <c r="K961" s="1092"/>
      <c r="L961" s="1083"/>
      <c r="M961" s="1083"/>
      <c r="N961" s="1092"/>
      <c r="O961" s="1083"/>
      <c r="P961" s="1092"/>
      <c r="Q961" s="1083"/>
      <c r="R961" s="1092"/>
      <c r="S961" s="1083"/>
      <c r="T961" s="1083"/>
      <c r="U961" s="1083"/>
      <c r="V961" s="1083"/>
      <c r="W961" s="1083"/>
      <c r="X961" s="1083"/>
      <c r="Y961" s="1083"/>
    </row>
    <row r="962">
      <c r="A962" s="1120"/>
      <c r="B962" s="1120"/>
      <c r="C962" s="1142"/>
      <c r="D962" s="1058"/>
      <c r="E962" s="1081"/>
      <c r="F962" s="1142"/>
      <c r="G962" s="1081"/>
      <c r="H962" s="1142"/>
      <c r="I962" s="1081"/>
      <c r="J962" s="1081"/>
      <c r="K962" s="1081"/>
      <c r="L962" s="1142"/>
      <c r="M962" s="1142"/>
      <c r="N962" s="1081"/>
      <c r="O962" s="1142"/>
      <c r="P962" s="1081"/>
      <c r="Q962" s="1142"/>
      <c r="R962" s="1081"/>
      <c r="S962" s="1142"/>
      <c r="T962" s="1142"/>
      <c r="U962" s="1142"/>
      <c r="V962" s="1142"/>
      <c r="W962" s="1142"/>
      <c r="X962" s="1142"/>
      <c r="Y962" s="1142"/>
    </row>
    <row r="963">
      <c r="A963" s="1140"/>
      <c r="B963" s="1140"/>
      <c r="C963" s="1083"/>
      <c r="D963" s="1058"/>
      <c r="E963" s="1092"/>
      <c r="F963" s="1083"/>
      <c r="G963" s="1092"/>
      <c r="H963" s="1083"/>
      <c r="I963" s="1092"/>
      <c r="J963" s="1092"/>
      <c r="K963" s="1092"/>
      <c r="L963" s="1083"/>
      <c r="M963" s="1083"/>
      <c r="N963" s="1092"/>
      <c r="O963" s="1083"/>
      <c r="P963" s="1092"/>
      <c r="Q963" s="1083"/>
      <c r="R963" s="1092"/>
      <c r="S963" s="1083"/>
      <c r="T963" s="1083"/>
      <c r="U963" s="1083"/>
      <c r="V963" s="1083"/>
      <c r="W963" s="1083"/>
      <c r="X963" s="1083"/>
      <c r="Y963" s="1083"/>
    </row>
    <row r="964">
      <c r="A964" s="1120"/>
      <c r="B964" s="1120"/>
      <c r="C964" s="1142"/>
      <c r="D964" s="1058"/>
      <c r="E964" s="1081"/>
      <c r="F964" s="1142"/>
      <c r="G964" s="1081"/>
      <c r="H964" s="1142"/>
      <c r="I964" s="1081"/>
      <c r="J964" s="1081"/>
      <c r="K964" s="1081"/>
      <c r="L964" s="1142"/>
      <c r="M964" s="1142"/>
      <c r="N964" s="1081"/>
      <c r="O964" s="1142"/>
      <c r="P964" s="1081"/>
      <c r="Q964" s="1142"/>
      <c r="R964" s="1081"/>
      <c r="S964" s="1142"/>
      <c r="T964" s="1142"/>
      <c r="U964" s="1142"/>
      <c r="V964" s="1142"/>
      <c r="W964" s="1142"/>
      <c r="X964" s="1142"/>
      <c r="Y964" s="1142"/>
    </row>
    <row r="965">
      <c r="A965" s="1140"/>
      <c r="B965" s="1140"/>
      <c r="C965" s="1083"/>
      <c r="D965" s="1058"/>
      <c r="E965" s="1092"/>
      <c r="F965" s="1083"/>
      <c r="G965" s="1092"/>
      <c r="H965" s="1083"/>
      <c r="I965" s="1092"/>
      <c r="J965" s="1092"/>
      <c r="K965" s="1092"/>
      <c r="L965" s="1083"/>
      <c r="M965" s="1083"/>
      <c r="N965" s="1092"/>
      <c r="O965" s="1083"/>
      <c r="P965" s="1092"/>
      <c r="Q965" s="1083"/>
      <c r="R965" s="1092"/>
      <c r="S965" s="1083"/>
      <c r="T965" s="1083"/>
      <c r="U965" s="1083"/>
      <c r="V965" s="1083"/>
      <c r="W965" s="1083"/>
      <c r="X965" s="1083"/>
      <c r="Y965" s="1083"/>
    </row>
    <row r="966">
      <c r="A966" s="1120"/>
      <c r="B966" s="1120"/>
      <c r="C966" s="1142"/>
      <c r="D966" s="1058"/>
      <c r="E966" s="1081"/>
      <c r="F966" s="1142"/>
      <c r="G966" s="1081"/>
      <c r="H966" s="1142"/>
      <c r="I966" s="1081"/>
      <c r="J966" s="1081"/>
      <c r="K966" s="1081"/>
      <c r="L966" s="1142"/>
      <c r="M966" s="1142"/>
      <c r="N966" s="1081"/>
      <c r="O966" s="1142"/>
      <c r="P966" s="1081"/>
      <c r="Q966" s="1142"/>
      <c r="R966" s="1081"/>
      <c r="S966" s="1142"/>
      <c r="T966" s="1142"/>
      <c r="U966" s="1142"/>
      <c r="V966" s="1142"/>
      <c r="W966" s="1142"/>
      <c r="X966" s="1142"/>
      <c r="Y966" s="1142"/>
    </row>
    <row r="967">
      <c r="A967" s="1140"/>
      <c r="B967" s="1140"/>
      <c r="C967" s="1083"/>
      <c r="D967" s="1058"/>
      <c r="E967" s="1092"/>
      <c r="F967" s="1083"/>
      <c r="G967" s="1092"/>
      <c r="H967" s="1083"/>
      <c r="I967" s="1092"/>
      <c r="J967" s="1092"/>
      <c r="K967" s="1092"/>
      <c r="L967" s="1083"/>
      <c r="M967" s="1083"/>
      <c r="N967" s="1092"/>
      <c r="O967" s="1083"/>
      <c r="P967" s="1092"/>
      <c r="Q967" s="1083"/>
      <c r="R967" s="1092"/>
      <c r="S967" s="1083"/>
      <c r="T967" s="1083"/>
      <c r="U967" s="1083"/>
      <c r="V967" s="1083"/>
      <c r="W967" s="1083"/>
      <c r="X967" s="1083"/>
      <c r="Y967" s="1083"/>
    </row>
    <row r="968">
      <c r="A968" s="1120"/>
      <c r="B968" s="1120"/>
      <c r="C968" s="1142"/>
      <c r="D968" s="1058"/>
      <c r="E968" s="1081"/>
      <c r="F968" s="1142"/>
      <c r="G968" s="1081"/>
      <c r="H968" s="1142"/>
      <c r="I968" s="1081"/>
      <c r="J968" s="1081"/>
      <c r="K968" s="1081"/>
      <c r="L968" s="1142"/>
      <c r="M968" s="1142"/>
      <c r="N968" s="1081"/>
      <c r="O968" s="1142"/>
      <c r="P968" s="1081"/>
      <c r="Q968" s="1142"/>
      <c r="R968" s="1081"/>
      <c r="S968" s="1142"/>
      <c r="T968" s="1142"/>
      <c r="U968" s="1142"/>
      <c r="V968" s="1142"/>
      <c r="W968" s="1142"/>
      <c r="X968" s="1142"/>
      <c r="Y968" s="1142"/>
    </row>
    <row r="969">
      <c r="A969" s="1140"/>
      <c r="B969" s="1140"/>
      <c r="C969" s="1083"/>
      <c r="D969" s="1058"/>
      <c r="E969" s="1092"/>
      <c r="F969" s="1083"/>
      <c r="G969" s="1092"/>
      <c r="H969" s="1083"/>
      <c r="I969" s="1092"/>
      <c r="J969" s="1092"/>
      <c r="K969" s="1092"/>
      <c r="L969" s="1083"/>
      <c r="M969" s="1083"/>
      <c r="N969" s="1092"/>
      <c r="O969" s="1083"/>
      <c r="P969" s="1092"/>
      <c r="Q969" s="1083"/>
      <c r="R969" s="1092"/>
      <c r="S969" s="1083"/>
      <c r="T969" s="1083"/>
      <c r="U969" s="1083"/>
      <c r="V969" s="1083"/>
      <c r="W969" s="1083"/>
      <c r="X969" s="1083"/>
      <c r="Y969" s="1083"/>
    </row>
    <row r="970">
      <c r="A970" s="1120"/>
      <c r="B970" s="1120"/>
      <c r="C970" s="1142"/>
      <c r="D970" s="1058"/>
      <c r="E970" s="1081"/>
      <c r="F970" s="1142"/>
      <c r="G970" s="1081"/>
      <c r="H970" s="1142"/>
      <c r="I970" s="1081"/>
      <c r="J970" s="1081"/>
      <c r="K970" s="1081"/>
      <c r="L970" s="1142"/>
      <c r="M970" s="1142"/>
      <c r="N970" s="1081"/>
      <c r="O970" s="1142"/>
      <c r="P970" s="1081"/>
      <c r="Q970" s="1142"/>
      <c r="R970" s="1081"/>
      <c r="S970" s="1142"/>
      <c r="T970" s="1142"/>
      <c r="U970" s="1142"/>
      <c r="V970" s="1142"/>
      <c r="W970" s="1142"/>
      <c r="X970" s="1142"/>
      <c r="Y970" s="1142"/>
    </row>
    <row r="971">
      <c r="A971" s="1140"/>
      <c r="B971" s="1140"/>
      <c r="C971" s="1083"/>
      <c r="D971" s="1058"/>
      <c r="E971" s="1092"/>
      <c r="F971" s="1083"/>
      <c r="G971" s="1092"/>
      <c r="H971" s="1083"/>
      <c r="I971" s="1092"/>
      <c r="J971" s="1092"/>
      <c r="K971" s="1092"/>
      <c r="L971" s="1083"/>
      <c r="M971" s="1083"/>
      <c r="N971" s="1092"/>
      <c r="O971" s="1083"/>
      <c r="P971" s="1092"/>
      <c r="Q971" s="1083"/>
      <c r="R971" s="1092"/>
      <c r="S971" s="1083"/>
      <c r="T971" s="1083"/>
      <c r="U971" s="1083"/>
      <c r="V971" s="1083"/>
      <c r="W971" s="1083"/>
      <c r="X971" s="1083"/>
      <c r="Y971" s="1083"/>
    </row>
    <row r="972">
      <c r="A972" s="1120"/>
      <c r="B972" s="1120"/>
      <c r="C972" s="1142"/>
      <c r="D972" s="1058"/>
      <c r="E972" s="1081"/>
      <c r="F972" s="1142"/>
      <c r="G972" s="1081"/>
      <c r="H972" s="1142"/>
      <c r="I972" s="1081"/>
      <c r="J972" s="1081"/>
      <c r="K972" s="1081"/>
      <c r="L972" s="1142"/>
      <c r="M972" s="1142"/>
      <c r="N972" s="1081"/>
      <c r="O972" s="1142"/>
      <c r="P972" s="1081"/>
      <c r="Q972" s="1142"/>
      <c r="R972" s="1081"/>
      <c r="S972" s="1142"/>
      <c r="T972" s="1142"/>
      <c r="U972" s="1142"/>
      <c r="V972" s="1142"/>
      <c r="W972" s="1142"/>
      <c r="X972" s="1142"/>
      <c r="Y972" s="1142"/>
    </row>
    <row r="973">
      <c r="A973" s="1140"/>
      <c r="B973" s="1140"/>
      <c r="C973" s="1083"/>
      <c r="D973" s="1058"/>
      <c r="E973" s="1092"/>
      <c r="F973" s="1083"/>
      <c r="G973" s="1092"/>
      <c r="H973" s="1083"/>
      <c r="I973" s="1092"/>
      <c r="J973" s="1092"/>
      <c r="K973" s="1092"/>
      <c r="L973" s="1083"/>
      <c r="M973" s="1083"/>
      <c r="N973" s="1092"/>
      <c r="O973" s="1083"/>
      <c r="P973" s="1092"/>
      <c r="Q973" s="1083"/>
      <c r="R973" s="1092"/>
      <c r="S973" s="1083"/>
      <c r="T973" s="1083"/>
      <c r="U973" s="1083"/>
      <c r="V973" s="1083"/>
      <c r="W973" s="1083"/>
      <c r="X973" s="1083"/>
      <c r="Y973" s="1083"/>
    </row>
    <row r="974">
      <c r="A974" s="1120"/>
      <c r="B974" s="1120"/>
      <c r="C974" s="1142"/>
      <c r="D974" s="1058"/>
      <c r="E974" s="1081"/>
      <c r="F974" s="1142"/>
      <c r="G974" s="1081"/>
      <c r="H974" s="1142"/>
      <c r="I974" s="1081"/>
      <c r="J974" s="1081"/>
      <c r="K974" s="1081"/>
      <c r="L974" s="1142"/>
      <c r="M974" s="1142"/>
      <c r="N974" s="1081"/>
      <c r="O974" s="1142"/>
      <c r="P974" s="1081"/>
      <c r="Q974" s="1142"/>
      <c r="R974" s="1081"/>
      <c r="S974" s="1142"/>
      <c r="T974" s="1142"/>
      <c r="U974" s="1142"/>
      <c r="V974" s="1142"/>
      <c r="W974" s="1142"/>
      <c r="X974" s="1142"/>
      <c r="Y974" s="1142"/>
    </row>
    <row r="975">
      <c r="A975" s="1140"/>
      <c r="B975" s="1140"/>
      <c r="C975" s="1083"/>
      <c r="D975" s="1058"/>
      <c r="E975" s="1092"/>
      <c r="F975" s="1083"/>
      <c r="G975" s="1092"/>
      <c r="H975" s="1083"/>
      <c r="I975" s="1092"/>
      <c r="J975" s="1092"/>
      <c r="K975" s="1092"/>
      <c r="L975" s="1083"/>
      <c r="M975" s="1083"/>
      <c r="N975" s="1092"/>
      <c r="O975" s="1083"/>
      <c r="P975" s="1092"/>
      <c r="Q975" s="1083"/>
      <c r="R975" s="1092"/>
      <c r="S975" s="1083"/>
      <c r="T975" s="1083"/>
      <c r="U975" s="1083"/>
      <c r="V975" s="1083"/>
      <c r="W975" s="1083"/>
      <c r="X975" s="1083"/>
      <c r="Y975" s="1083"/>
    </row>
    <row r="976">
      <c r="A976" s="1120"/>
      <c r="B976" s="1120"/>
      <c r="C976" s="1142"/>
      <c r="D976" s="1058"/>
      <c r="E976" s="1081"/>
      <c r="F976" s="1142"/>
      <c r="G976" s="1081"/>
      <c r="H976" s="1142"/>
      <c r="I976" s="1081"/>
      <c r="J976" s="1081"/>
      <c r="K976" s="1081"/>
      <c r="L976" s="1142"/>
      <c r="M976" s="1142"/>
      <c r="N976" s="1081"/>
      <c r="O976" s="1142"/>
      <c r="P976" s="1081"/>
      <c r="Q976" s="1142"/>
      <c r="R976" s="1081"/>
      <c r="S976" s="1142"/>
      <c r="T976" s="1142"/>
      <c r="U976" s="1142"/>
      <c r="V976" s="1142"/>
      <c r="W976" s="1142"/>
      <c r="X976" s="1142"/>
      <c r="Y976" s="1142"/>
    </row>
    <row r="977">
      <c r="A977" s="1140"/>
      <c r="B977" s="1140"/>
      <c r="C977" s="1083"/>
      <c r="D977" s="1058"/>
      <c r="E977" s="1092"/>
      <c r="F977" s="1083"/>
      <c r="G977" s="1092"/>
      <c r="H977" s="1083"/>
      <c r="I977" s="1092"/>
      <c r="J977" s="1092"/>
      <c r="K977" s="1092"/>
      <c r="L977" s="1083"/>
      <c r="M977" s="1083"/>
      <c r="N977" s="1092"/>
      <c r="O977" s="1083"/>
      <c r="P977" s="1092"/>
      <c r="Q977" s="1083"/>
      <c r="R977" s="1092"/>
      <c r="S977" s="1083"/>
      <c r="T977" s="1083"/>
      <c r="U977" s="1083"/>
      <c r="V977" s="1083"/>
      <c r="W977" s="1083"/>
      <c r="X977" s="1083"/>
      <c r="Y977" s="1083"/>
    </row>
    <row r="978">
      <c r="A978" s="1120"/>
      <c r="B978" s="1120"/>
      <c r="C978" s="1142"/>
      <c r="D978" s="1058"/>
      <c r="E978" s="1081"/>
      <c r="F978" s="1142"/>
      <c r="G978" s="1081"/>
      <c r="H978" s="1142"/>
      <c r="I978" s="1081"/>
      <c r="J978" s="1081"/>
      <c r="K978" s="1081"/>
      <c r="L978" s="1142"/>
      <c r="M978" s="1142"/>
      <c r="N978" s="1081"/>
      <c r="O978" s="1142"/>
      <c r="P978" s="1081"/>
      <c r="Q978" s="1142"/>
      <c r="R978" s="1081"/>
      <c r="S978" s="1142"/>
      <c r="T978" s="1142"/>
      <c r="U978" s="1142"/>
      <c r="V978" s="1142"/>
      <c r="W978" s="1142"/>
      <c r="X978" s="1142"/>
      <c r="Y978" s="1142"/>
    </row>
    <row r="979">
      <c r="A979" s="1140"/>
      <c r="B979" s="1140"/>
      <c r="C979" s="1083"/>
      <c r="D979" s="1058"/>
      <c r="E979" s="1092"/>
      <c r="F979" s="1083"/>
      <c r="G979" s="1092"/>
      <c r="H979" s="1083"/>
      <c r="I979" s="1092"/>
      <c r="J979" s="1092"/>
      <c r="K979" s="1092"/>
      <c r="L979" s="1083"/>
      <c r="M979" s="1083"/>
      <c r="N979" s="1092"/>
      <c r="O979" s="1083"/>
      <c r="P979" s="1092"/>
      <c r="Q979" s="1083"/>
      <c r="R979" s="1092"/>
      <c r="S979" s="1083"/>
      <c r="T979" s="1083"/>
      <c r="U979" s="1083"/>
      <c r="V979" s="1083"/>
      <c r="W979" s="1083"/>
      <c r="X979" s="1083"/>
      <c r="Y979" s="1083"/>
    </row>
    <row r="980">
      <c r="A980" s="1120"/>
      <c r="B980" s="1120"/>
      <c r="C980" s="1142"/>
      <c r="D980" s="1058"/>
      <c r="E980" s="1081"/>
      <c r="F980" s="1142"/>
      <c r="G980" s="1081"/>
      <c r="H980" s="1142"/>
      <c r="I980" s="1081"/>
      <c r="J980" s="1081"/>
      <c r="K980" s="1081"/>
      <c r="L980" s="1142"/>
      <c r="M980" s="1142"/>
      <c r="N980" s="1081"/>
      <c r="O980" s="1142"/>
      <c r="P980" s="1081"/>
      <c r="Q980" s="1142"/>
      <c r="R980" s="1081"/>
      <c r="S980" s="1142"/>
      <c r="T980" s="1142"/>
      <c r="U980" s="1142"/>
      <c r="V980" s="1142"/>
      <c r="W980" s="1142"/>
      <c r="X980" s="1142"/>
      <c r="Y980" s="1142"/>
    </row>
    <row r="981">
      <c r="A981" s="1140"/>
      <c r="B981" s="1140"/>
      <c r="C981" s="1083"/>
      <c r="D981" s="1058"/>
      <c r="E981" s="1092"/>
      <c r="F981" s="1083"/>
      <c r="G981" s="1092"/>
      <c r="H981" s="1083"/>
      <c r="I981" s="1092"/>
      <c r="J981" s="1092"/>
      <c r="K981" s="1092"/>
      <c r="L981" s="1083"/>
      <c r="M981" s="1083"/>
      <c r="N981" s="1092"/>
      <c r="O981" s="1083"/>
      <c r="P981" s="1092"/>
      <c r="Q981" s="1083"/>
      <c r="R981" s="1092"/>
      <c r="S981" s="1083"/>
      <c r="T981" s="1083"/>
      <c r="U981" s="1083"/>
      <c r="V981" s="1083"/>
      <c r="W981" s="1083"/>
      <c r="X981" s="1083"/>
      <c r="Y981" s="1083"/>
    </row>
    <row r="982">
      <c r="A982" s="1120"/>
      <c r="B982" s="1120"/>
      <c r="C982" s="1142"/>
      <c r="D982" s="1058"/>
      <c r="E982" s="1081"/>
      <c r="F982" s="1142"/>
      <c r="G982" s="1081"/>
      <c r="H982" s="1142"/>
      <c r="I982" s="1081"/>
      <c r="J982" s="1081"/>
      <c r="K982" s="1081"/>
      <c r="L982" s="1142"/>
      <c r="M982" s="1142"/>
      <c r="N982" s="1081"/>
      <c r="O982" s="1142"/>
      <c r="P982" s="1081"/>
      <c r="Q982" s="1142"/>
      <c r="R982" s="1081"/>
      <c r="S982" s="1142"/>
      <c r="T982" s="1142"/>
      <c r="U982" s="1142"/>
      <c r="V982" s="1142"/>
      <c r="W982" s="1142"/>
      <c r="X982" s="1142"/>
      <c r="Y982" s="1142"/>
    </row>
    <row r="983">
      <c r="A983" s="1140"/>
      <c r="B983" s="1140"/>
      <c r="C983" s="1083"/>
      <c r="D983" s="1058"/>
      <c r="E983" s="1092"/>
      <c r="F983" s="1083"/>
      <c r="G983" s="1092"/>
      <c r="H983" s="1083"/>
      <c r="I983" s="1092"/>
      <c r="J983" s="1092"/>
      <c r="K983" s="1092"/>
      <c r="L983" s="1083"/>
      <c r="M983" s="1083"/>
      <c r="N983" s="1092"/>
      <c r="O983" s="1083"/>
      <c r="P983" s="1092"/>
      <c r="Q983" s="1083"/>
      <c r="R983" s="1092"/>
      <c r="S983" s="1083"/>
      <c r="T983" s="1083"/>
      <c r="U983" s="1083"/>
      <c r="V983" s="1083"/>
      <c r="W983" s="1083"/>
      <c r="X983" s="1083"/>
      <c r="Y983" s="1083"/>
    </row>
    <row r="984">
      <c r="A984" s="1120"/>
      <c r="B984" s="1120"/>
      <c r="C984" s="1142"/>
      <c r="D984" s="1058"/>
      <c r="E984" s="1081"/>
      <c r="F984" s="1142"/>
      <c r="G984" s="1081"/>
      <c r="H984" s="1142"/>
      <c r="I984" s="1081"/>
      <c r="J984" s="1081"/>
      <c r="K984" s="1081"/>
      <c r="L984" s="1142"/>
      <c r="M984" s="1142"/>
      <c r="N984" s="1081"/>
      <c r="O984" s="1142"/>
      <c r="P984" s="1081"/>
      <c r="Q984" s="1142"/>
      <c r="R984" s="1081"/>
      <c r="S984" s="1142"/>
      <c r="T984" s="1142"/>
      <c r="U984" s="1142"/>
      <c r="V984" s="1142"/>
      <c r="W984" s="1142"/>
      <c r="X984" s="1142"/>
      <c r="Y984" s="1142"/>
    </row>
    <row r="985">
      <c r="A985" s="1140"/>
      <c r="B985" s="1140"/>
      <c r="C985" s="1083"/>
      <c r="D985" s="1058"/>
      <c r="E985" s="1092"/>
      <c r="F985" s="1083"/>
      <c r="G985" s="1092"/>
      <c r="H985" s="1083"/>
      <c r="I985" s="1092"/>
      <c r="J985" s="1092"/>
      <c r="K985" s="1092"/>
      <c r="L985" s="1083"/>
      <c r="M985" s="1083"/>
      <c r="N985" s="1092"/>
      <c r="O985" s="1083"/>
      <c r="P985" s="1092"/>
      <c r="Q985" s="1083"/>
      <c r="R985" s="1092"/>
      <c r="S985" s="1083"/>
      <c r="T985" s="1083"/>
      <c r="U985" s="1083"/>
      <c r="V985" s="1083"/>
      <c r="W985" s="1083"/>
      <c r="X985" s="1083"/>
      <c r="Y985" s="1083"/>
    </row>
    <row r="986">
      <c r="A986" s="1120"/>
      <c r="B986" s="1120"/>
      <c r="C986" s="1142"/>
      <c r="D986" s="1058"/>
      <c r="E986" s="1081"/>
      <c r="F986" s="1142"/>
      <c r="G986" s="1081"/>
      <c r="H986" s="1142"/>
      <c r="I986" s="1081"/>
      <c r="J986" s="1081"/>
      <c r="K986" s="1081"/>
      <c r="L986" s="1142"/>
      <c r="M986" s="1142"/>
      <c r="N986" s="1081"/>
      <c r="O986" s="1142"/>
      <c r="P986" s="1081"/>
      <c r="Q986" s="1142"/>
      <c r="R986" s="1081"/>
      <c r="S986" s="1142"/>
      <c r="T986" s="1142"/>
      <c r="U986" s="1142"/>
      <c r="V986" s="1142"/>
      <c r="W986" s="1142"/>
      <c r="X986" s="1142"/>
      <c r="Y986" s="1142"/>
    </row>
    <row r="987">
      <c r="A987" s="1140"/>
      <c r="B987" s="1140"/>
      <c r="C987" s="1083"/>
      <c r="D987" s="1058"/>
      <c r="E987" s="1092"/>
      <c r="F987" s="1083"/>
      <c r="G987" s="1092"/>
      <c r="H987" s="1083"/>
      <c r="I987" s="1092"/>
      <c r="J987" s="1092"/>
      <c r="K987" s="1092"/>
      <c r="L987" s="1083"/>
      <c r="M987" s="1083"/>
      <c r="N987" s="1092"/>
      <c r="O987" s="1083"/>
      <c r="P987" s="1092"/>
      <c r="Q987" s="1083"/>
      <c r="R987" s="1092"/>
      <c r="S987" s="1083"/>
      <c r="T987" s="1083"/>
      <c r="U987" s="1083"/>
      <c r="V987" s="1083"/>
      <c r="W987" s="1083"/>
      <c r="X987" s="1083"/>
      <c r="Y987" s="1083"/>
    </row>
    <row r="988">
      <c r="A988" s="1120"/>
      <c r="B988" s="1120"/>
      <c r="C988" s="1142"/>
      <c r="D988" s="1058"/>
      <c r="E988" s="1081"/>
      <c r="F988" s="1142"/>
      <c r="G988" s="1081"/>
      <c r="H988" s="1142"/>
      <c r="I988" s="1081"/>
      <c r="J988" s="1081"/>
      <c r="K988" s="1081"/>
      <c r="L988" s="1142"/>
      <c r="M988" s="1142"/>
      <c r="N988" s="1081"/>
      <c r="O988" s="1142"/>
      <c r="P988" s="1081"/>
      <c r="Q988" s="1142"/>
      <c r="R988" s="1081"/>
      <c r="S988" s="1142"/>
      <c r="T988" s="1142"/>
      <c r="U988" s="1142"/>
      <c r="V988" s="1142"/>
      <c r="W988" s="1142"/>
      <c r="X988" s="1142"/>
      <c r="Y988" s="1142"/>
    </row>
    <row r="989">
      <c r="A989" s="1140"/>
      <c r="B989" s="1140"/>
      <c r="C989" s="1083"/>
      <c r="D989" s="1058"/>
      <c r="E989" s="1092"/>
      <c r="F989" s="1083"/>
      <c r="G989" s="1092"/>
      <c r="H989" s="1083"/>
      <c r="I989" s="1092"/>
      <c r="J989" s="1092"/>
      <c r="K989" s="1092"/>
      <c r="L989" s="1083"/>
      <c r="M989" s="1083"/>
      <c r="N989" s="1092"/>
      <c r="O989" s="1083"/>
      <c r="P989" s="1092"/>
      <c r="Q989" s="1083"/>
      <c r="R989" s="1092"/>
      <c r="S989" s="1083"/>
      <c r="T989" s="1083"/>
      <c r="U989" s="1083"/>
      <c r="V989" s="1083"/>
      <c r="W989" s="1083"/>
      <c r="X989" s="1083"/>
      <c r="Y989" s="1083"/>
    </row>
    <row r="990">
      <c r="A990" s="1120"/>
      <c r="B990" s="1120"/>
      <c r="C990" s="1142"/>
      <c r="D990" s="1058"/>
      <c r="E990" s="1081"/>
      <c r="F990" s="1142"/>
      <c r="G990" s="1081"/>
      <c r="H990" s="1142"/>
      <c r="I990" s="1081"/>
      <c r="J990" s="1081"/>
      <c r="K990" s="1081"/>
      <c r="L990" s="1142"/>
      <c r="M990" s="1142"/>
      <c r="N990" s="1081"/>
      <c r="O990" s="1142"/>
      <c r="P990" s="1081"/>
      <c r="Q990" s="1142"/>
      <c r="R990" s="1081"/>
      <c r="S990" s="1142"/>
      <c r="T990" s="1142"/>
      <c r="U990" s="1142"/>
      <c r="V990" s="1142"/>
      <c r="W990" s="1142"/>
      <c r="X990" s="1142"/>
      <c r="Y990" s="1142"/>
    </row>
    <row r="991">
      <c r="A991" s="1140"/>
      <c r="B991" s="1140"/>
      <c r="C991" s="1083"/>
      <c r="D991" s="1058"/>
      <c r="E991" s="1092"/>
      <c r="F991" s="1083"/>
      <c r="G991" s="1092"/>
      <c r="H991" s="1083"/>
      <c r="I991" s="1092"/>
      <c r="J991" s="1092"/>
      <c r="K991" s="1092"/>
      <c r="L991" s="1083"/>
      <c r="M991" s="1083"/>
      <c r="N991" s="1092"/>
      <c r="O991" s="1083"/>
      <c r="P991" s="1092"/>
      <c r="Q991" s="1083"/>
      <c r="R991" s="1092"/>
      <c r="S991" s="1083"/>
      <c r="T991" s="1083"/>
      <c r="U991" s="1083"/>
      <c r="V991" s="1083"/>
      <c r="W991" s="1083"/>
      <c r="X991" s="1083"/>
      <c r="Y991" s="1083"/>
    </row>
    <row r="992">
      <c r="A992" s="1120"/>
      <c r="B992" s="1120"/>
      <c r="C992" s="1142"/>
      <c r="D992" s="1058"/>
      <c r="E992" s="1081"/>
      <c r="F992" s="1142"/>
      <c r="G992" s="1081"/>
      <c r="H992" s="1142"/>
      <c r="I992" s="1081"/>
      <c r="J992" s="1081"/>
      <c r="K992" s="1081"/>
      <c r="L992" s="1142"/>
      <c r="M992" s="1142"/>
      <c r="N992" s="1081"/>
      <c r="O992" s="1142"/>
      <c r="P992" s="1081"/>
      <c r="Q992" s="1142"/>
      <c r="R992" s="1081"/>
      <c r="S992" s="1142"/>
      <c r="T992" s="1142"/>
      <c r="U992" s="1142"/>
      <c r="V992" s="1142"/>
      <c r="W992" s="1142"/>
      <c r="X992" s="1142"/>
      <c r="Y992" s="1142"/>
    </row>
    <row r="993">
      <c r="A993" s="1140"/>
      <c r="B993" s="1140"/>
      <c r="C993" s="1083"/>
      <c r="D993" s="1058"/>
      <c r="E993" s="1092"/>
      <c r="F993" s="1083"/>
      <c r="G993" s="1092"/>
      <c r="H993" s="1083"/>
      <c r="I993" s="1092"/>
      <c r="J993" s="1092"/>
      <c r="K993" s="1092"/>
      <c r="L993" s="1083"/>
      <c r="M993" s="1083"/>
      <c r="N993" s="1092"/>
      <c r="O993" s="1083"/>
      <c r="P993" s="1092"/>
      <c r="Q993" s="1083"/>
      <c r="R993" s="1092"/>
      <c r="S993" s="1083"/>
      <c r="T993" s="1083"/>
      <c r="U993" s="1083"/>
      <c r="V993" s="1083"/>
      <c r="W993" s="1083"/>
      <c r="X993" s="1083"/>
      <c r="Y993" s="1083"/>
    </row>
    <row r="994">
      <c r="A994" s="1120"/>
      <c r="B994" s="1120"/>
      <c r="C994" s="1142"/>
      <c r="D994" s="1058"/>
      <c r="E994" s="1081"/>
      <c r="F994" s="1142"/>
      <c r="G994" s="1081"/>
      <c r="H994" s="1142"/>
      <c r="I994" s="1081"/>
      <c r="J994" s="1081"/>
      <c r="K994" s="1081"/>
      <c r="L994" s="1142"/>
      <c r="M994" s="1142"/>
      <c r="N994" s="1081"/>
      <c r="O994" s="1142"/>
      <c r="P994" s="1081"/>
      <c r="Q994" s="1142"/>
      <c r="R994" s="1081"/>
      <c r="S994" s="1142"/>
      <c r="T994" s="1142"/>
      <c r="U994" s="1142"/>
      <c r="V994" s="1142"/>
      <c r="W994" s="1142"/>
      <c r="X994" s="1142"/>
      <c r="Y994" s="1142"/>
    </row>
    <row r="995">
      <c r="A995" s="1140"/>
      <c r="B995" s="1140"/>
      <c r="C995" s="1083"/>
      <c r="D995" s="1058"/>
      <c r="E995" s="1092"/>
      <c r="F995" s="1083"/>
      <c r="G995" s="1092"/>
      <c r="H995" s="1083"/>
      <c r="I995" s="1092"/>
      <c r="J995" s="1092"/>
      <c r="K995" s="1092"/>
      <c r="L995" s="1083"/>
      <c r="M995" s="1083"/>
      <c r="N995" s="1092"/>
      <c r="O995" s="1083"/>
      <c r="P995" s="1092"/>
      <c r="Q995" s="1083"/>
      <c r="R995" s="1092"/>
      <c r="S995" s="1083"/>
      <c r="T995" s="1083"/>
      <c r="U995" s="1083"/>
      <c r="V995" s="1083"/>
      <c r="W995" s="1083"/>
      <c r="X995" s="1083"/>
      <c r="Y995" s="1083"/>
    </row>
    <row r="996">
      <c r="A996" s="1120"/>
      <c r="B996" s="1120"/>
      <c r="C996" s="1142"/>
      <c r="D996" s="1058"/>
      <c r="E996" s="1081"/>
      <c r="F996" s="1142"/>
      <c r="G996" s="1081"/>
      <c r="H996" s="1142"/>
      <c r="I996" s="1081"/>
      <c r="J996" s="1081"/>
      <c r="K996" s="1081"/>
      <c r="L996" s="1142"/>
      <c r="M996" s="1142"/>
      <c r="N996" s="1081"/>
      <c r="O996" s="1142"/>
      <c r="P996" s="1081"/>
      <c r="Q996" s="1142"/>
      <c r="R996" s="1081"/>
      <c r="S996" s="1142"/>
      <c r="T996" s="1142"/>
      <c r="U996" s="1142"/>
      <c r="V996" s="1142"/>
      <c r="W996" s="1142"/>
      <c r="X996" s="1142"/>
      <c r="Y996" s="1142"/>
    </row>
    <row r="997">
      <c r="A997" s="1140"/>
      <c r="B997" s="1140"/>
      <c r="C997" s="1083"/>
      <c r="D997" s="1058"/>
      <c r="E997" s="1092"/>
      <c r="F997" s="1083"/>
      <c r="G997" s="1092"/>
      <c r="H997" s="1083"/>
      <c r="I997" s="1092"/>
      <c r="J997" s="1092"/>
      <c r="K997" s="1092"/>
      <c r="L997" s="1083"/>
      <c r="M997" s="1083"/>
      <c r="N997" s="1092"/>
      <c r="O997" s="1083"/>
      <c r="P997" s="1092"/>
      <c r="Q997" s="1083"/>
      <c r="R997" s="1092"/>
      <c r="S997" s="1083"/>
      <c r="T997" s="1083"/>
      <c r="U997" s="1083"/>
      <c r="V997" s="1083"/>
      <c r="W997" s="1083"/>
      <c r="X997" s="1083"/>
      <c r="Y997" s="1083"/>
    </row>
    <row r="998">
      <c r="A998" s="1120"/>
      <c r="B998" s="1120"/>
      <c r="C998" s="1142"/>
      <c r="D998" s="1058"/>
      <c r="E998" s="1081"/>
      <c r="F998" s="1142"/>
      <c r="G998" s="1081"/>
      <c r="H998" s="1142"/>
      <c r="I998" s="1081"/>
      <c r="J998" s="1081"/>
      <c r="K998" s="1081"/>
      <c r="L998" s="1142"/>
      <c r="M998" s="1142"/>
      <c r="N998" s="1081"/>
      <c r="O998" s="1142"/>
      <c r="P998" s="1081"/>
      <c r="Q998" s="1142"/>
      <c r="R998" s="1081"/>
      <c r="S998" s="1142"/>
      <c r="T998" s="1142"/>
      <c r="U998" s="1142"/>
      <c r="V998" s="1142"/>
      <c r="W998" s="1142"/>
      <c r="X998" s="1142"/>
      <c r="Y998" s="1142"/>
    </row>
    <row r="999">
      <c r="A999" s="1140"/>
      <c r="B999" s="1140"/>
      <c r="C999" s="1083"/>
      <c r="D999" s="1058"/>
      <c r="E999" s="1092"/>
      <c r="F999" s="1083"/>
      <c r="G999" s="1092"/>
      <c r="H999" s="1083"/>
      <c r="I999" s="1092"/>
      <c r="J999" s="1092"/>
      <c r="K999" s="1092"/>
      <c r="L999" s="1083"/>
      <c r="M999" s="1083"/>
      <c r="N999" s="1092"/>
      <c r="O999" s="1083"/>
      <c r="P999" s="1092"/>
      <c r="Q999" s="1083"/>
      <c r="R999" s="1092"/>
      <c r="S999" s="1083"/>
      <c r="T999" s="1083"/>
      <c r="U999" s="1083"/>
      <c r="V999" s="1083"/>
      <c r="W999" s="1083"/>
      <c r="X999" s="1083"/>
      <c r="Y999" s="1083"/>
    </row>
    <row r="1000">
      <c r="A1000" s="1120"/>
      <c r="B1000" s="1120"/>
      <c r="C1000" s="1142"/>
      <c r="D1000" s="1058"/>
      <c r="E1000" s="1081"/>
      <c r="F1000" s="1142"/>
      <c r="G1000" s="1081"/>
      <c r="H1000" s="1142"/>
      <c r="I1000" s="1081"/>
      <c r="J1000" s="1081"/>
      <c r="K1000" s="1081"/>
      <c r="L1000" s="1142"/>
      <c r="M1000" s="1142"/>
      <c r="N1000" s="1081"/>
      <c r="O1000" s="1142"/>
      <c r="P1000" s="1081"/>
      <c r="Q1000" s="1142"/>
      <c r="R1000" s="1081"/>
      <c r="S1000" s="1142"/>
      <c r="T1000" s="1142"/>
      <c r="U1000" s="1142"/>
      <c r="V1000" s="1142"/>
      <c r="W1000" s="1142"/>
      <c r="X1000" s="1142"/>
      <c r="Y1000" s="1142"/>
    </row>
    <row r="1001">
      <c r="A1001" s="1140"/>
      <c r="B1001" s="1140"/>
      <c r="C1001" s="1083"/>
      <c r="D1001" s="1058"/>
      <c r="E1001" s="1092"/>
      <c r="F1001" s="1083"/>
      <c r="G1001" s="1092"/>
      <c r="H1001" s="1083"/>
      <c r="I1001" s="1092"/>
      <c r="J1001" s="1092"/>
      <c r="K1001" s="1092"/>
      <c r="L1001" s="1083"/>
      <c r="M1001" s="1083"/>
      <c r="N1001" s="1092"/>
      <c r="O1001" s="1083"/>
      <c r="P1001" s="1092"/>
      <c r="Q1001" s="1083"/>
      <c r="R1001" s="1092"/>
      <c r="S1001" s="1083"/>
      <c r="T1001" s="1083"/>
      <c r="U1001" s="1083"/>
      <c r="V1001" s="1083"/>
      <c r="W1001" s="1083"/>
      <c r="X1001" s="1083"/>
      <c r="Y1001" s="1083"/>
    </row>
    <row r="1002">
      <c r="A1002" s="1120"/>
      <c r="B1002" s="1120"/>
      <c r="C1002" s="1142"/>
      <c r="D1002" s="1058"/>
      <c r="E1002" s="1081"/>
      <c r="F1002" s="1142"/>
      <c r="G1002" s="1081"/>
      <c r="H1002" s="1142"/>
      <c r="I1002" s="1081"/>
      <c r="J1002" s="1081"/>
      <c r="K1002" s="1081"/>
      <c r="L1002" s="1142"/>
      <c r="M1002" s="1142"/>
      <c r="N1002" s="1081"/>
      <c r="O1002" s="1142"/>
      <c r="P1002" s="1081"/>
      <c r="Q1002" s="1142"/>
      <c r="R1002" s="1081"/>
      <c r="S1002" s="1142"/>
      <c r="T1002" s="1142"/>
      <c r="U1002" s="1142"/>
      <c r="V1002" s="1142"/>
      <c r="W1002" s="1142"/>
      <c r="X1002" s="1142"/>
      <c r="Y1002" s="1142"/>
    </row>
    <row r="1003">
      <c r="A1003" s="1140"/>
      <c r="B1003" s="1140"/>
      <c r="C1003" s="1083"/>
      <c r="D1003" s="1058"/>
      <c r="E1003" s="1092"/>
      <c r="F1003" s="1083"/>
      <c r="G1003" s="1092"/>
      <c r="H1003" s="1083"/>
      <c r="I1003" s="1092"/>
      <c r="J1003" s="1092"/>
      <c r="K1003" s="1092"/>
      <c r="L1003" s="1083"/>
      <c r="M1003" s="1083"/>
      <c r="N1003" s="1092"/>
      <c r="O1003" s="1083"/>
      <c r="P1003" s="1092"/>
      <c r="Q1003" s="1083"/>
      <c r="R1003" s="1092"/>
      <c r="S1003" s="1083"/>
      <c r="T1003" s="1083"/>
      <c r="U1003" s="1083"/>
      <c r="V1003" s="1083"/>
      <c r="W1003" s="1083"/>
      <c r="X1003" s="1083"/>
      <c r="Y1003" s="1083"/>
    </row>
    <row r="1004">
      <c r="A1004" s="1120"/>
      <c r="B1004" s="1120"/>
      <c r="C1004" s="1142"/>
      <c r="D1004" s="1058"/>
      <c r="E1004" s="1081"/>
      <c r="F1004" s="1142"/>
      <c r="G1004" s="1081"/>
      <c r="H1004" s="1142"/>
      <c r="I1004" s="1081"/>
      <c r="J1004" s="1081"/>
      <c r="K1004" s="1081"/>
      <c r="L1004" s="1142"/>
      <c r="M1004" s="1142"/>
      <c r="N1004" s="1081"/>
      <c r="O1004" s="1142"/>
      <c r="P1004" s="1081"/>
      <c r="Q1004" s="1142"/>
      <c r="R1004" s="1081"/>
      <c r="S1004" s="1142"/>
      <c r="T1004" s="1142"/>
      <c r="U1004" s="1142"/>
      <c r="V1004" s="1142"/>
      <c r="W1004" s="1142"/>
      <c r="X1004" s="1142"/>
      <c r="Y1004" s="1142"/>
    </row>
    <row r="1005">
      <c r="A1005" s="1140"/>
      <c r="B1005" s="1140"/>
      <c r="C1005" s="1083"/>
      <c r="D1005" s="1058"/>
      <c r="E1005" s="1092"/>
      <c r="F1005" s="1083"/>
      <c r="G1005" s="1092"/>
      <c r="H1005" s="1083"/>
      <c r="I1005" s="1092"/>
      <c r="J1005" s="1092"/>
      <c r="K1005" s="1092"/>
      <c r="L1005" s="1083"/>
      <c r="M1005" s="1083"/>
      <c r="N1005" s="1092"/>
      <c r="O1005" s="1083"/>
      <c r="P1005" s="1092"/>
      <c r="Q1005" s="1083"/>
      <c r="R1005" s="1092"/>
      <c r="S1005" s="1083"/>
      <c r="T1005" s="1083"/>
      <c r="U1005" s="1083"/>
      <c r="V1005" s="1083"/>
      <c r="W1005" s="1083"/>
      <c r="X1005" s="1083"/>
      <c r="Y1005" s="1083"/>
    </row>
    <row r="1006">
      <c r="A1006" s="1120"/>
      <c r="B1006" s="1120"/>
      <c r="C1006" s="1142"/>
      <c r="D1006" s="1058"/>
      <c r="E1006" s="1081"/>
      <c r="F1006" s="1142"/>
      <c r="G1006" s="1081"/>
      <c r="H1006" s="1142"/>
      <c r="I1006" s="1081"/>
      <c r="J1006" s="1081"/>
      <c r="K1006" s="1081"/>
      <c r="L1006" s="1142"/>
      <c r="M1006" s="1142"/>
      <c r="N1006" s="1081"/>
      <c r="O1006" s="1142"/>
      <c r="P1006" s="1081"/>
      <c r="Q1006" s="1142"/>
      <c r="R1006" s="1081"/>
      <c r="S1006" s="1142"/>
      <c r="T1006" s="1142"/>
      <c r="U1006" s="1142"/>
      <c r="V1006" s="1142"/>
      <c r="W1006" s="1142"/>
      <c r="X1006" s="1142"/>
      <c r="Y1006" s="1142"/>
    </row>
    <row r="1007">
      <c r="A1007" s="1140"/>
      <c r="B1007" s="1140"/>
      <c r="C1007" s="1083"/>
      <c r="D1007" s="1058"/>
      <c r="E1007" s="1092"/>
      <c r="F1007" s="1083"/>
      <c r="G1007" s="1092"/>
      <c r="H1007" s="1083"/>
      <c r="I1007" s="1092"/>
      <c r="J1007" s="1092"/>
      <c r="K1007" s="1092"/>
      <c r="L1007" s="1083"/>
      <c r="M1007" s="1083"/>
      <c r="N1007" s="1092"/>
      <c r="O1007" s="1083"/>
      <c r="P1007" s="1092"/>
      <c r="Q1007" s="1083"/>
      <c r="R1007" s="1092"/>
      <c r="S1007" s="1083"/>
      <c r="T1007" s="1083"/>
      <c r="U1007" s="1083"/>
      <c r="V1007" s="1083"/>
      <c r="W1007" s="1083"/>
      <c r="X1007" s="1083"/>
      <c r="Y1007" s="1083"/>
    </row>
    <row r="1008">
      <c r="A1008" s="1120"/>
      <c r="B1008" s="1120"/>
      <c r="C1008" s="1142"/>
      <c r="D1008" s="1058"/>
      <c r="E1008" s="1081"/>
      <c r="F1008" s="1142"/>
      <c r="G1008" s="1081"/>
      <c r="H1008" s="1142"/>
      <c r="I1008" s="1081"/>
      <c r="J1008" s="1081"/>
      <c r="K1008" s="1081"/>
      <c r="L1008" s="1142"/>
      <c r="M1008" s="1142"/>
      <c r="N1008" s="1081"/>
      <c r="O1008" s="1142"/>
      <c r="P1008" s="1081"/>
      <c r="Q1008" s="1142"/>
      <c r="R1008" s="1081"/>
      <c r="S1008" s="1142"/>
      <c r="T1008" s="1142"/>
      <c r="U1008" s="1142"/>
      <c r="V1008" s="1142"/>
      <c r="W1008" s="1142"/>
      <c r="X1008" s="1142"/>
      <c r="Y1008" s="1142"/>
    </row>
    <row r="1009">
      <c r="A1009" s="1140"/>
      <c r="B1009" s="1140"/>
      <c r="C1009" s="1083"/>
      <c r="D1009" s="1058"/>
      <c r="E1009" s="1092"/>
      <c r="F1009" s="1083"/>
      <c r="G1009" s="1092"/>
      <c r="H1009" s="1083"/>
      <c r="I1009" s="1092"/>
      <c r="J1009" s="1092"/>
      <c r="K1009" s="1092"/>
      <c r="L1009" s="1083"/>
      <c r="M1009" s="1083"/>
      <c r="N1009" s="1092"/>
      <c r="O1009" s="1083"/>
      <c r="P1009" s="1092"/>
      <c r="Q1009" s="1083"/>
      <c r="R1009" s="1092"/>
      <c r="S1009" s="1083"/>
      <c r="T1009" s="1083"/>
      <c r="U1009" s="1083"/>
      <c r="V1009" s="1083"/>
      <c r="W1009" s="1083"/>
      <c r="X1009" s="1083"/>
      <c r="Y1009" s="1083"/>
    </row>
    <row r="1010">
      <c r="A1010" s="1120"/>
      <c r="B1010" s="1120"/>
      <c r="C1010" s="1142"/>
      <c r="D1010" s="1058"/>
      <c r="E1010" s="1081"/>
      <c r="F1010" s="1142"/>
      <c r="G1010" s="1081"/>
      <c r="H1010" s="1142"/>
      <c r="I1010" s="1081"/>
      <c r="J1010" s="1081"/>
      <c r="K1010" s="1081"/>
      <c r="L1010" s="1142"/>
      <c r="M1010" s="1142"/>
      <c r="N1010" s="1081"/>
      <c r="O1010" s="1142"/>
      <c r="P1010" s="1081"/>
      <c r="Q1010" s="1142"/>
      <c r="R1010" s="1081"/>
      <c r="S1010" s="1142"/>
      <c r="T1010" s="1142"/>
      <c r="U1010" s="1142"/>
      <c r="V1010" s="1142"/>
      <c r="W1010" s="1142"/>
      <c r="X1010" s="1142"/>
      <c r="Y1010" s="1142"/>
    </row>
    <row r="1011">
      <c r="A1011" s="1140"/>
      <c r="B1011" s="1140"/>
      <c r="C1011" s="1083"/>
      <c r="D1011" s="1058"/>
      <c r="E1011" s="1092"/>
      <c r="F1011" s="1083"/>
      <c r="G1011" s="1092"/>
      <c r="H1011" s="1083"/>
      <c r="I1011" s="1092"/>
      <c r="J1011" s="1092"/>
      <c r="K1011" s="1092"/>
      <c r="L1011" s="1083"/>
      <c r="M1011" s="1083"/>
      <c r="N1011" s="1092"/>
      <c r="O1011" s="1083"/>
      <c r="P1011" s="1092"/>
      <c r="Q1011" s="1083"/>
      <c r="R1011" s="1092"/>
      <c r="S1011" s="1083"/>
      <c r="T1011" s="1083"/>
      <c r="U1011" s="1083"/>
      <c r="V1011" s="1083"/>
      <c r="W1011" s="1083"/>
      <c r="X1011" s="1083"/>
      <c r="Y1011" s="1083"/>
    </row>
    <row r="1012">
      <c r="A1012" s="1120"/>
      <c r="B1012" s="1120"/>
      <c r="C1012" s="1142"/>
      <c r="D1012" s="1058"/>
      <c r="E1012" s="1081"/>
      <c r="F1012" s="1142"/>
      <c r="G1012" s="1081"/>
      <c r="H1012" s="1142"/>
      <c r="I1012" s="1081"/>
      <c r="J1012" s="1081"/>
      <c r="K1012" s="1081"/>
      <c r="L1012" s="1142"/>
      <c r="M1012" s="1142"/>
      <c r="N1012" s="1081"/>
      <c r="O1012" s="1142"/>
      <c r="P1012" s="1081"/>
      <c r="Q1012" s="1142"/>
      <c r="R1012" s="1081"/>
      <c r="S1012" s="1142"/>
      <c r="T1012" s="1142"/>
      <c r="U1012" s="1142"/>
      <c r="V1012" s="1142"/>
      <c r="W1012" s="1142"/>
      <c r="X1012" s="1142"/>
      <c r="Y1012" s="1142"/>
    </row>
    <row r="1013">
      <c r="A1013" s="1140"/>
      <c r="B1013" s="1140"/>
      <c r="C1013" s="1083"/>
      <c r="D1013" s="1058"/>
      <c r="E1013" s="1092"/>
      <c r="F1013" s="1083"/>
      <c r="G1013" s="1092"/>
      <c r="H1013" s="1083"/>
      <c r="I1013" s="1092"/>
      <c r="J1013" s="1092"/>
      <c r="K1013" s="1092"/>
      <c r="L1013" s="1083"/>
      <c r="M1013" s="1083"/>
      <c r="N1013" s="1092"/>
      <c r="O1013" s="1083"/>
      <c r="P1013" s="1092"/>
      <c r="Q1013" s="1083"/>
      <c r="R1013" s="1092"/>
      <c r="S1013" s="1083"/>
      <c r="T1013" s="1083"/>
      <c r="U1013" s="1083"/>
      <c r="V1013" s="1083"/>
      <c r="W1013" s="1083"/>
      <c r="X1013" s="1083"/>
      <c r="Y1013" s="1083"/>
    </row>
    <row r="1014">
      <c r="A1014" s="1120"/>
      <c r="B1014" s="1120"/>
      <c r="C1014" s="1142"/>
      <c r="D1014" s="1058"/>
      <c r="E1014" s="1081"/>
      <c r="F1014" s="1142"/>
      <c r="G1014" s="1081"/>
      <c r="H1014" s="1142"/>
      <c r="I1014" s="1081"/>
      <c r="J1014" s="1081"/>
      <c r="K1014" s="1081"/>
      <c r="L1014" s="1142"/>
      <c r="M1014" s="1142"/>
      <c r="N1014" s="1081"/>
      <c r="O1014" s="1142"/>
      <c r="P1014" s="1081"/>
      <c r="Q1014" s="1142"/>
      <c r="R1014" s="1081"/>
      <c r="S1014" s="1142"/>
      <c r="T1014" s="1142"/>
      <c r="U1014" s="1142"/>
      <c r="V1014" s="1142"/>
      <c r="W1014" s="1142"/>
      <c r="X1014" s="1142"/>
      <c r="Y1014" s="1142"/>
    </row>
    <row r="1015">
      <c r="A1015" s="1140"/>
      <c r="B1015" s="1140"/>
      <c r="C1015" s="1083"/>
      <c r="D1015" s="1058"/>
      <c r="E1015" s="1092"/>
      <c r="F1015" s="1083"/>
      <c r="G1015" s="1092"/>
      <c r="H1015" s="1083"/>
      <c r="I1015" s="1092"/>
      <c r="J1015" s="1092"/>
      <c r="K1015" s="1092"/>
      <c r="L1015" s="1083"/>
      <c r="M1015" s="1083"/>
      <c r="N1015" s="1092"/>
      <c r="O1015" s="1083"/>
      <c r="P1015" s="1092"/>
      <c r="Q1015" s="1083"/>
      <c r="R1015" s="1092"/>
      <c r="S1015" s="1083"/>
      <c r="T1015" s="1083"/>
      <c r="U1015" s="1083"/>
      <c r="V1015" s="1083"/>
      <c r="W1015" s="1083"/>
      <c r="X1015" s="1083"/>
      <c r="Y1015" s="1083"/>
    </row>
    <row r="1016">
      <c r="A1016" s="1120"/>
      <c r="B1016" s="1120"/>
      <c r="C1016" s="1142"/>
      <c r="D1016" s="1058"/>
      <c r="E1016" s="1081"/>
      <c r="F1016" s="1142"/>
      <c r="G1016" s="1081"/>
      <c r="H1016" s="1142"/>
      <c r="I1016" s="1081"/>
      <c r="J1016" s="1081"/>
      <c r="K1016" s="1081"/>
      <c r="L1016" s="1142"/>
      <c r="M1016" s="1142"/>
      <c r="N1016" s="1081"/>
      <c r="O1016" s="1142"/>
      <c r="P1016" s="1081"/>
      <c r="Q1016" s="1142"/>
      <c r="R1016" s="1081"/>
      <c r="S1016" s="1142"/>
      <c r="T1016" s="1142"/>
      <c r="U1016" s="1142"/>
      <c r="V1016" s="1142"/>
      <c r="W1016" s="1142"/>
      <c r="X1016" s="1142"/>
      <c r="Y1016" s="1142"/>
    </row>
    <row r="1017">
      <c r="A1017" s="1140"/>
      <c r="B1017" s="1140"/>
      <c r="C1017" s="1083"/>
      <c r="D1017" s="1058"/>
      <c r="E1017" s="1092"/>
      <c r="F1017" s="1083"/>
      <c r="G1017" s="1092"/>
      <c r="H1017" s="1083"/>
      <c r="I1017" s="1092"/>
      <c r="J1017" s="1092"/>
      <c r="K1017" s="1092"/>
      <c r="L1017" s="1083"/>
      <c r="M1017" s="1083"/>
      <c r="N1017" s="1092"/>
      <c r="O1017" s="1083"/>
      <c r="P1017" s="1092"/>
      <c r="Q1017" s="1083"/>
      <c r="R1017" s="1092"/>
      <c r="S1017" s="1083"/>
      <c r="T1017" s="1083"/>
      <c r="U1017" s="1083"/>
      <c r="V1017" s="1083"/>
      <c r="W1017" s="1083"/>
      <c r="X1017" s="1083"/>
      <c r="Y1017" s="1083"/>
    </row>
    <row r="1018">
      <c r="A1018" s="1120"/>
      <c r="B1018" s="1120"/>
      <c r="C1018" s="1142"/>
      <c r="D1018" s="1058"/>
      <c r="E1018" s="1081"/>
      <c r="F1018" s="1142"/>
      <c r="G1018" s="1081"/>
      <c r="H1018" s="1142"/>
      <c r="I1018" s="1081"/>
      <c r="J1018" s="1081"/>
      <c r="K1018" s="1081"/>
      <c r="L1018" s="1142"/>
      <c r="M1018" s="1142"/>
      <c r="N1018" s="1081"/>
      <c r="O1018" s="1142"/>
      <c r="P1018" s="1081"/>
      <c r="Q1018" s="1142"/>
      <c r="R1018" s="1081"/>
      <c r="S1018" s="1142"/>
      <c r="T1018" s="1142"/>
      <c r="U1018" s="1142"/>
      <c r="V1018" s="1142"/>
      <c r="W1018" s="1142"/>
      <c r="X1018" s="1142"/>
      <c r="Y1018" s="1142"/>
    </row>
    <row r="1019">
      <c r="A1019" s="1140"/>
      <c r="B1019" s="1140"/>
      <c r="C1019" s="1083"/>
      <c r="D1019" s="1058"/>
      <c r="E1019" s="1092"/>
      <c r="F1019" s="1083"/>
      <c r="G1019" s="1092"/>
      <c r="H1019" s="1083"/>
      <c r="I1019" s="1092"/>
      <c r="J1019" s="1092"/>
      <c r="K1019" s="1092"/>
      <c r="L1019" s="1083"/>
      <c r="M1019" s="1083"/>
      <c r="N1019" s="1092"/>
      <c r="O1019" s="1083"/>
      <c r="P1019" s="1092"/>
      <c r="Q1019" s="1083"/>
      <c r="R1019" s="1092"/>
      <c r="S1019" s="1083"/>
      <c r="T1019" s="1083"/>
      <c r="U1019" s="1083"/>
      <c r="V1019" s="1083"/>
      <c r="W1019" s="1083"/>
      <c r="X1019" s="1083"/>
      <c r="Y1019" s="1083"/>
    </row>
    <row r="1020">
      <c r="A1020" s="1120"/>
      <c r="B1020" s="1120"/>
      <c r="C1020" s="1142"/>
      <c r="D1020" s="1058"/>
      <c r="E1020" s="1081"/>
      <c r="F1020" s="1142"/>
      <c r="G1020" s="1081"/>
      <c r="H1020" s="1142"/>
      <c r="I1020" s="1081"/>
      <c r="J1020" s="1081"/>
      <c r="K1020" s="1081"/>
      <c r="L1020" s="1142"/>
      <c r="M1020" s="1142"/>
      <c r="N1020" s="1081"/>
      <c r="O1020" s="1142"/>
      <c r="P1020" s="1081"/>
      <c r="Q1020" s="1142"/>
      <c r="R1020" s="1081"/>
      <c r="S1020" s="1142"/>
      <c r="T1020" s="1142"/>
      <c r="U1020" s="1142"/>
      <c r="V1020" s="1142"/>
      <c r="W1020" s="1142"/>
      <c r="X1020" s="1142"/>
      <c r="Y1020" s="1142"/>
    </row>
    <row r="1021">
      <c r="A1021" s="1140"/>
      <c r="B1021" s="1140"/>
      <c r="C1021" s="1083"/>
      <c r="D1021" s="1058"/>
      <c r="E1021" s="1092"/>
      <c r="F1021" s="1083"/>
      <c r="G1021" s="1092"/>
      <c r="H1021" s="1083"/>
      <c r="I1021" s="1092"/>
      <c r="J1021" s="1092"/>
      <c r="K1021" s="1092"/>
      <c r="L1021" s="1083"/>
      <c r="M1021" s="1083"/>
      <c r="N1021" s="1092"/>
      <c r="O1021" s="1083"/>
      <c r="P1021" s="1092"/>
      <c r="Q1021" s="1083"/>
      <c r="R1021" s="1092"/>
      <c r="S1021" s="1083"/>
      <c r="T1021" s="1083"/>
      <c r="U1021" s="1083"/>
      <c r="V1021" s="1083"/>
      <c r="W1021" s="1083"/>
      <c r="X1021" s="1083"/>
      <c r="Y1021" s="1083"/>
    </row>
    <row r="1022">
      <c r="A1022" s="1120"/>
      <c r="B1022" s="1120"/>
      <c r="C1022" s="1142"/>
      <c r="D1022" s="1058"/>
      <c r="E1022" s="1081"/>
      <c r="F1022" s="1142"/>
      <c r="G1022" s="1081"/>
      <c r="H1022" s="1142"/>
      <c r="I1022" s="1081"/>
      <c r="J1022" s="1081"/>
      <c r="K1022" s="1081"/>
      <c r="L1022" s="1142"/>
      <c r="M1022" s="1142"/>
      <c r="N1022" s="1081"/>
      <c r="O1022" s="1142"/>
      <c r="P1022" s="1081"/>
      <c r="Q1022" s="1142"/>
      <c r="R1022" s="1081"/>
      <c r="S1022" s="1142"/>
      <c r="T1022" s="1142"/>
      <c r="U1022" s="1142"/>
      <c r="V1022" s="1142"/>
      <c r="W1022" s="1142"/>
      <c r="X1022" s="1142"/>
      <c r="Y1022" s="1142"/>
    </row>
    <row r="1023">
      <c r="A1023" s="1140"/>
      <c r="B1023" s="1140"/>
      <c r="C1023" s="1083"/>
      <c r="D1023" s="1058"/>
      <c r="E1023" s="1092"/>
      <c r="F1023" s="1083"/>
      <c r="G1023" s="1092"/>
      <c r="H1023" s="1083"/>
      <c r="I1023" s="1092"/>
      <c r="J1023" s="1092"/>
      <c r="K1023" s="1092"/>
      <c r="L1023" s="1083"/>
      <c r="M1023" s="1083"/>
      <c r="N1023" s="1092"/>
      <c r="O1023" s="1083"/>
      <c r="P1023" s="1092"/>
      <c r="Q1023" s="1083"/>
      <c r="R1023" s="1092"/>
      <c r="S1023" s="1083"/>
      <c r="T1023" s="1083"/>
      <c r="U1023" s="1083"/>
      <c r="V1023" s="1083"/>
      <c r="W1023" s="1083"/>
      <c r="X1023" s="1083"/>
      <c r="Y1023" s="1083"/>
    </row>
    <row r="1024">
      <c r="A1024" s="1120"/>
      <c r="B1024" s="1120"/>
      <c r="C1024" s="1142"/>
      <c r="D1024" s="1058"/>
      <c r="E1024" s="1081"/>
      <c r="F1024" s="1142"/>
      <c r="G1024" s="1081"/>
      <c r="H1024" s="1142"/>
      <c r="I1024" s="1081"/>
      <c r="J1024" s="1081"/>
      <c r="K1024" s="1081"/>
      <c r="L1024" s="1142"/>
      <c r="M1024" s="1142"/>
      <c r="N1024" s="1081"/>
      <c r="O1024" s="1142"/>
      <c r="P1024" s="1081"/>
      <c r="Q1024" s="1142"/>
      <c r="R1024" s="1081"/>
      <c r="S1024" s="1142"/>
      <c r="T1024" s="1142"/>
      <c r="U1024" s="1142"/>
      <c r="V1024" s="1142"/>
      <c r="W1024" s="1142"/>
      <c r="X1024" s="1142"/>
      <c r="Y1024" s="1142"/>
    </row>
    <row r="1025">
      <c r="A1025" s="1140"/>
      <c r="B1025" s="1140"/>
      <c r="C1025" s="1083"/>
      <c r="D1025" s="1058"/>
      <c r="E1025" s="1092"/>
      <c r="F1025" s="1083"/>
      <c r="G1025" s="1092"/>
      <c r="H1025" s="1083"/>
      <c r="I1025" s="1092"/>
      <c r="J1025" s="1092"/>
      <c r="K1025" s="1092"/>
      <c r="L1025" s="1083"/>
      <c r="M1025" s="1083"/>
      <c r="N1025" s="1092"/>
      <c r="O1025" s="1083"/>
      <c r="P1025" s="1092"/>
      <c r="Q1025" s="1083"/>
      <c r="R1025" s="1092"/>
      <c r="S1025" s="1083"/>
      <c r="T1025" s="1083"/>
      <c r="U1025" s="1083"/>
      <c r="V1025" s="1083"/>
      <c r="W1025" s="1083"/>
      <c r="X1025" s="1083"/>
      <c r="Y1025" s="1083"/>
    </row>
    <row r="1026">
      <c r="A1026" s="1120"/>
      <c r="B1026" s="1120"/>
      <c r="C1026" s="1142"/>
      <c r="D1026" s="1058"/>
      <c r="E1026" s="1081"/>
      <c r="F1026" s="1142"/>
      <c r="G1026" s="1081"/>
      <c r="H1026" s="1142"/>
      <c r="I1026" s="1081"/>
      <c r="J1026" s="1081"/>
      <c r="K1026" s="1081"/>
      <c r="L1026" s="1142"/>
      <c r="M1026" s="1142"/>
      <c r="N1026" s="1081"/>
      <c r="O1026" s="1142"/>
      <c r="P1026" s="1081"/>
      <c r="Q1026" s="1142"/>
      <c r="R1026" s="1081"/>
      <c r="S1026" s="1142"/>
      <c r="T1026" s="1142"/>
      <c r="U1026" s="1142"/>
      <c r="V1026" s="1142"/>
      <c r="W1026" s="1142"/>
      <c r="X1026" s="1142"/>
      <c r="Y1026" s="1142"/>
    </row>
    <row r="1027">
      <c r="A1027" s="1140"/>
      <c r="B1027" s="1140"/>
      <c r="C1027" s="1083"/>
      <c r="D1027" s="1058"/>
      <c r="E1027" s="1092"/>
      <c r="F1027" s="1083"/>
      <c r="G1027" s="1092"/>
      <c r="H1027" s="1083"/>
      <c r="I1027" s="1092"/>
      <c r="J1027" s="1092"/>
      <c r="K1027" s="1092"/>
      <c r="L1027" s="1083"/>
      <c r="M1027" s="1083"/>
      <c r="N1027" s="1092"/>
      <c r="O1027" s="1083"/>
      <c r="P1027" s="1092"/>
      <c r="Q1027" s="1083"/>
      <c r="R1027" s="1092"/>
      <c r="S1027" s="1083"/>
      <c r="T1027" s="1083"/>
      <c r="U1027" s="1083"/>
      <c r="V1027" s="1083"/>
      <c r="W1027" s="1083"/>
      <c r="X1027" s="1083"/>
      <c r="Y1027" s="1083"/>
    </row>
    <row r="1028">
      <c r="A1028" s="1120"/>
      <c r="B1028" s="1120"/>
      <c r="C1028" s="1142"/>
      <c r="D1028" s="1058"/>
      <c r="E1028" s="1081"/>
      <c r="F1028" s="1142"/>
      <c r="G1028" s="1081"/>
      <c r="H1028" s="1142"/>
      <c r="I1028" s="1081"/>
      <c r="J1028" s="1081"/>
      <c r="K1028" s="1081"/>
      <c r="L1028" s="1142"/>
      <c r="M1028" s="1142"/>
      <c r="N1028" s="1081"/>
      <c r="O1028" s="1142"/>
      <c r="P1028" s="1081"/>
      <c r="Q1028" s="1142"/>
      <c r="R1028" s="1081"/>
      <c r="S1028" s="1142"/>
      <c r="T1028" s="1142"/>
      <c r="U1028" s="1142"/>
      <c r="V1028" s="1142"/>
      <c r="W1028" s="1142"/>
      <c r="X1028" s="1142"/>
      <c r="Y1028" s="1142"/>
    </row>
    <row r="1029">
      <c r="A1029" s="1140"/>
      <c r="B1029" s="1140"/>
      <c r="C1029" s="1083"/>
      <c r="D1029" s="1058"/>
      <c r="E1029" s="1092"/>
      <c r="F1029" s="1083"/>
      <c r="G1029" s="1092"/>
      <c r="H1029" s="1083"/>
      <c r="I1029" s="1092"/>
      <c r="J1029" s="1092"/>
      <c r="K1029" s="1092"/>
      <c r="L1029" s="1083"/>
      <c r="M1029" s="1083"/>
      <c r="N1029" s="1092"/>
      <c r="O1029" s="1083"/>
      <c r="P1029" s="1092"/>
      <c r="Q1029" s="1083"/>
      <c r="R1029" s="1092"/>
      <c r="S1029" s="1083"/>
      <c r="T1029" s="1083"/>
      <c r="U1029" s="1083"/>
      <c r="V1029" s="1083"/>
      <c r="W1029" s="1083"/>
      <c r="X1029" s="1083"/>
      <c r="Y1029" s="1083"/>
    </row>
    <row r="1030">
      <c r="A1030" s="1120"/>
      <c r="B1030" s="1120"/>
      <c r="C1030" s="1142"/>
      <c r="D1030" s="1058"/>
      <c r="E1030" s="1081"/>
      <c r="F1030" s="1142"/>
      <c r="G1030" s="1081"/>
      <c r="H1030" s="1142"/>
      <c r="I1030" s="1081"/>
      <c r="J1030" s="1081"/>
      <c r="K1030" s="1081"/>
      <c r="L1030" s="1142"/>
      <c r="M1030" s="1142"/>
      <c r="N1030" s="1081"/>
      <c r="O1030" s="1142"/>
      <c r="P1030" s="1081"/>
      <c r="Q1030" s="1142"/>
      <c r="R1030" s="1081"/>
      <c r="S1030" s="1142"/>
      <c r="T1030" s="1142"/>
      <c r="U1030" s="1142"/>
      <c r="V1030" s="1142"/>
      <c r="W1030" s="1142"/>
      <c r="X1030" s="1142"/>
      <c r="Y1030" s="1142"/>
    </row>
    <row r="1031">
      <c r="A1031" s="1140"/>
      <c r="B1031" s="1140"/>
      <c r="C1031" s="1083"/>
      <c r="D1031" s="1058"/>
      <c r="E1031" s="1092"/>
      <c r="F1031" s="1083"/>
      <c r="G1031" s="1092"/>
      <c r="H1031" s="1083"/>
      <c r="I1031" s="1092"/>
      <c r="J1031" s="1092"/>
      <c r="K1031" s="1092"/>
      <c r="L1031" s="1083"/>
      <c r="M1031" s="1083"/>
      <c r="N1031" s="1092"/>
      <c r="O1031" s="1083"/>
      <c r="P1031" s="1092"/>
      <c r="Q1031" s="1083"/>
      <c r="R1031" s="1092"/>
      <c r="S1031" s="1083"/>
      <c r="T1031" s="1083"/>
      <c r="U1031" s="1083"/>
      <c r="V1031" s="1083"/>
      <c r="W1031" s="1083"/>
      <c r="X1031" s="1083"/>
      <c r="Y1031" s="1083"/>
    </row>
    <row r="1032">
      <c r="A1032" s="1120"/>
      <c r="B1032" s="1120"/>
      <c r="C1032" s="1142"/>
      <c r="D1032" s="1058"/>
      <c r="E1032" s="1081"/>
      <c r="F1032" s="1142"/>
      <c r="G1032" s="1081"/>
      <c r="H1032" s="1142"/>
      <c r="I1032" s="1081"/>
      <c r="J1032" s="1081"/>
      <c r="K1032" s="1081"/>
      <c r="L1032" s="1142"/>
      <c r="M1032" s="1142"/>
      <c r="N1032" s="1081"/>
      <c r="O1032" s="1142"/>
      <c r="P1032" s="1081"/>
      <c r="Q1032" s="1142"/>
      <c r="R1032" s="1081"/>
      <c r="S1032" s="1142"/>
      <c r="T1032" s="1142"/>
      <c r="U1032" s="1142"/>
      <c r="V1032" s="1142"/>
      <c r="W1032" s="1142"/>
      <c r="X1032" s="1142"/>
      <c r="Y1032" s="1142"/>
    </row>
    <row r="1033">
      <c r="A1033" s="1140"/>
      <c r="B1033" s="1140"/>
      <c r="C1033" s="1083"/>
      <c r="D1033" s="1058"/>
      <c r="E1033" s="1092"/>
      <c r="F1033" s="1083"/>
      <c r="G1033" s="1092"/>
      <c r="H1033" s="1083"/>
      <c r="I1033" s="1092"/>
      <c r="J1033" s="1092"/>
      <c r="K1033" s="1092"/>
      <c r="L1033" s="1083"/>
      <c r="M1033" s="1083"/>
      <c r="N1033" s="1092"/>
      <c r="O1033" s="1083"/>
      <c r="P1033" s="1092"/>
      <c r="Q1033" s="1083"/>
      <c r="R1033" s="1092"/>
      <c r="S1033" s="1083"/>
      <c r="T1033" s="1083"/>
      <c r="U1033" s="1083"/>
      <c r="V1033" s="1083"/>
      <c r="W1033" s="1083"/>
      <c r="X1033" s="1083"/>
      <c r="Y1033" s="1083"/>
    </row>
    <row r="1034">
      <c r="A1034" s="1120"/>
      <c r="B1034" s="1120"/>
      <c r="C1034" s="1142"/>
      <c r="D1034" s="1058"/>
      <c r="E1034" s="1081"/>
      <c r="F1034" s="1142"/>
      <c r="G1034" s="1081"/>
      <c r="H1034" s="1142"/>
      <c r="I1034" s="1081"/>
      <c r="J1034" s="1081"/>
      <c r="K1034" s="1081"/>
      <c r="L1034" s="1142"/>
      <c r="M1034" s="1142"/>
      <c r="N1034" s="1081"/>
      <c r="O1034" s="1142"/>
      <c r="P1034" s="1081"/>
      <c r="Q1034" s="1142"/>
      <c r="R1034" s="1081"/>
      <c r="S1034" s="1142"/>
      <c r="T1034" s="1142"/>
      <c r="U1034" s="1142"/>
      <c r="V1034" s="1142"/>
      <c r="W1034" s="1142"/>
      <c r="X1034" s="1142"/>
      <c r="Y1034" s="1142"/>
    </row>
    <row r="1035">
      <c r="A1035" s="1140"/>
      <c r="B1035" s="1140"/>
      <c r="C1035" s="1083"/>
      <c r="D1035" s="1058"/>
      <c r="E1035" s="1092"/>
      <c r="F1035" s="1083"/>
      <c r="G1035" s="1092"/>
      <c r="H1035" s="1083"/>
      <c r="I1035" s="1092"/>
      <c r="J1035" s="1092"/>
      <c r="K1035" s="1092"/>
      <c r="L1035" s="1083"/>
      <c r="M1035" s="1083"/>
      <c r="N1035" s="1092"/>
      <c r="O1035" s="1083"/>
      <c r="P1035" s="1092"/>
      <c r="Q1035" s="1083"/>
      <c r="R1035" s="1092"/>
      <c r="S1035" s="1083"/>
      <c r="T1035" s="1083"/>
      <c r="U1035" s="1083"/>
      <c r="V1035" s="1083"/>
      <c r="W1035" s="1083"/>
      <c r="X1035" s="1083"/>
      <c r="Y1035" s="1083"/>
    </row>
    <row r="1036">
      <c r="A1036" s="1120"/>
      <c r="B1036" s="1120"/>
      <c r="C1036" s="1142"/>
      <c r="D1036" s="1058"/>
      <c r="E1036" s="1081"/>
      <c r="F1036" s="1142"/>
      <c r="G1036" s="1081"/>
      <c r="H1036" s="1142"/>
      <c r="I1036" s="1081"/>
      <c r="J1036" s="1081"/>
      <c r="K1036" s="1081"/>
      <c r="L1036" s="1142"/>
      <c r="M1036" s="1142"/>
      <c r="N1036" s="1081"/>
      <c r="O1036" s="1142"/>
      <c r="P1036" s="1081"/>
      <c r="Q1036" s="1142"/>
      <c r="R1036" s="1081"/>
      <c r="S1036" s="1142"/>
      <c r="T1036" s="1142"/>
      <c r="U1036" s="1142"/>
      <c r="V1036" s="1142"/>
      <c r="W1036" s="1142"/>
      <c r="X1036" s="1142"/>
      <c r="Y1036" s="1142"/>
    </row>
    <row r="1037">
      <c r="A1037" s="1140"/>
      <c r="B1037" s="1140"/>
      <c r="C1037" s="1083"/>
      <c r="D1037" s="1058"/>
      <c r="E1037" s="1092"/>
      <c r="F1037" s="1083"/>
      <c r="G1037" s="1092"/>
      <c r="H1037" s="1083"/>
      <c r="I1037" s="1092"/>
      <c r="J1037" s="1092"/>
      <c r="K1037" s="1092"/>
      <c r="L1037" s="1083"/>
      <c r="M1037" s="1083"/>
      <c r="N1037" s="1092"/>
      <c r="O1037" s="1083"/>
      <c r="P1037" s="1092"/>
      <c r="Q1037" s="1083"/>
      <c r="R1037" s="1092"/>
      <c r="S1037" s="1083"/>
      <c r="T1037" s="1083"/>
      <c r="U1037" s="1083"/>
      <c r="V1037" s="1083"/>
      <c r="W1037" s="1083"/>
      <c r="X1037" s="1083"/>
      <c r="Y1037" s="1083"/>
    </row>
    <row r="1038">
      <c r="A1038" s="1120"/>
      <c r="B1038" s="1120"/>
      <c r="C1038" s="1142"/>
      <c r="D1038" s="1058"/>
      <c r="E1038" s="1081"/>
      <c r="F1038" s="1142"/>
      <c r="G1038" s="1081"/>
      <c r="H1038" s="1142"/>
      <c r="I1038" s="1081"/>
      <c r="J1038" s="1081"/>
      <c r="K1038" s="1081"/>
      <c r="L1038" s="1142"/>
      <c r="M1038" s="1142"/>
      <c r="N1038" s="1081"/>
      <c r="O1038" s="1142"/>
      <c r="P1038" s="1081"/>
      <c r="Q1038" s="1142"/>
      <c r="R1038" s="1081"/>
      <c r="S1038" s="1142"/>
      <c r="T1038" s="1142"/>
      <c r="U1038" s="1142"/>
      <c r="V1038" s="1142"/>
      <c r="W1038" s="1142"/>
      <c r="X1038" s="1142"/>
      <c r="Y1038" s="1142"/>
    </row>
    <row r="1039">
      <c r="A1039" s="1140"/>
      <c r="B1039" s="1140"/>
      <c r="C1039" s="1083"/>
      <c r="D1039" s="1058"/>
      <c r="E1039" s="1092"/>
      <c r="F1039" s="1083"/>
      <c r="G1039" s="1092"/>
      <c r="H1039" s="1083"/>
      <c r="I1039" s="1092"/>
      <c r="J1039" s="1092"/>
      <c r="K1039" s="1092"/>
      <c r="L1039" s="1083"/>
      <c r="M1039" s="1083"/>
      <c r="N1039" s="1092"/>
      <c r="O1039" s="1083"/>
      <c r="P1039" s="1092"/>
      <c r="Q1039" s="1083"/>
      <c r="R1039" s="1092"/>
      <c r="S1039" s="1083"/>
      <c r="T1039" s="1083"/>
      <c r="U1039" s="1083"/>
      <c r="V1039" s="1083"/>
      <c r="W1039" s="1083"/>
      <c r="X1039" s="1083"/>
      <c r="Y1039" s="1083"/>
    </row>
    <row r="1040">
      <c r="A1040" s="1120"/>
      <c r="B1040" s="1120"/>
      <c r="C1040" s="1142"/>
      <c r="D1040" s="1058"/>
      <c r="E1040" s="1081"/>
      <c r="F1040" s="1142"/>
      <c r="G1040" s="1081"/>
      <c r="H1040" s="1142"/>
      <c r="I1040" s="1081"/>
      <c r="J1040" s="1081"/>
      <c r="K1040" s="1081"/>
      <c r="L1040" s="1142"/>
      <c r="M1040" s="1142"/>
      <c r="N1040" s="1081"/>
      <c r="O1040" s="1142"/>
      <c r="P1040" s="1081"/>
      <c r="Q1040" s="1142"/>
      <c r="R1040" s="1081"/>
      <c r="S1040" s="1142"/>
      <c r="T1040" s="1142"/>
      <c r="U1040" s="1142"/>
      <c r="V1040" s="1142"/>
      <c r="W1040" s="1142"/>
      <c r="X1040" s="1142"/>
      <c r="Y1040" s="1142"/>
    </row>
    <row r="1041">
      <c r="A1041" s="1140"/>
      <c r="B1041" s="1140"/>
      <c r="C1041" s="1083"/>
      <c r="D1041" s="1058"/>
      <c r="E1041" s="1092"/>
      <c r="F1041" s="1083"/>
      <c r="G1041" s="1092"/>
      <c r="H1041" s="1083"/>
      <c r="I1041" s="1092"/>
      <c r="J1041" s="1092"/>
      <c r="K1041" s="1092"/>
      <c r="L1041" s="1083"/>
      <c r="M1041" s="1083"/>
      <c r="N1041" s="1092"/>
      <c r="O1041" s="1083"/>
      <c r="P1041" s="1092"/>
      <c r="Q1041" s="1083"/>
      <c r="R1041" s="1092"/>
      <c r="S1041" s="1083"/>
      <c r="T1041" s="1083"/>
      <c r="U1041" s="1083"/>
      <c r="V1041" s="1083"/>
      <c r="W1041" s="1083"/>
      <c r="X1041" s="1083"/>
      <c r="Y1041" s="1083"/>
    </row>
    <row r="1042">
      <c r="A1042" s="1120"/>
      <c r="B1042" s="1120"/>
      <c r="C1042" s="1142"/>
      <c r="D1042" s="1058"/>
      <c r="E1042" s="1081"/>
      <c r="F1042" s="1142"/>
      <c r="G1042" s="1081"/>
      <c r="H1042" s="1142"/>
      <c r="I1042" s="1081"/>
      <c r="J1042" s="1081"/>
      <c r="K1042" s="1081"/>
      <c r="L1042" s="1142"/>
      <c r="M1042" s="1142"/>
      <c r="N1042" s="1081"/>
      <c r="O1042" s="1142"/>
      <c r="P1042" s="1081"/>
      <c r="Q1042" s="1142"/>
      <c r="R1042" s="1081"/>
      <c r="S1042" s="1142"/>
      <c r="T1042" s="1142"/>
      <c r="U1042" s="1142"/>
      <c r="V1042" s="1142"/>
      <c r="W1042" s="1142"/>
      <c r="X1042" s="1142"/>
      <c r="Y1042" s="1142"/>
    </row>
    <row r="1043">
      <c r="A1043" s="1140"/>
      <c r="B1043" s="1140"/>
      <c r="C1043" s="1083"/>
      <c r="D1043" s="1058"/>
      <c r="E1043" s="1092"/>
      <c r="F1043" s="1083"/>
      <c r="G1043" s="1092"/>
      <c r="H1043" s="1083"/>
      <c r="I1043" s="1092"/>
      <c r="J1043" s="1092"/>
      <c r="K1043" s="1092"/>
      <c r="L1043" s="1083"/>
      <c r="M1043" s="1083"/>
      <c r="N1043" s="1092"/>
      <c r="O1043" s="1083"/>
      <c r="P1043" s="1092"/>
      <c r="Q1043" s="1083"/>
      <c r="R1043" s="1092"/>
      <c r="S1043" s="1083"/>
      <c r="T1043" s="1083"/>
      <c r="U1043" s="1083"/>
      <c r="V1043" s="1083"/>
      <c r="W1043" s="1083"/>
      <c r="X1043" s="1083"/>
      <c r="Y1043" s="1083"/>
    </row>
    <row r="1044">
      <c r="A1044" s="1120"/>
      <c r="B1044" s="1120"/>
      <c r="C1044" s="1142"/>
      <c r="D1044" s="1058"/>
      <c r="E1044" s="1081"/>
      <c r="F1044" s="1142"/>
      <c r="G1044" s="1081"/>
      <c r="H1044" s="1142"/>
      <c r="I1044" s="1081"/>
      <c r="J1044" s="1081"/>
      <c r="K1044" s="1081"/>
      <c r="L1044" s="1142"/>
      <c r="M1044" s="1142"/>
      <c r="N1044" s="1081"/>
      <c r="O1044" s="1142"/>
      <c r="P1044" s="1081"/>
      <c r="Q1044" s="1142"/>
      <c r="R1044" s="1081"/>
      <c r="S1044" s="1142"/>
      <c r="T1044" s="1142"/>
      <c r="U1044" s="1142"/>
      <c r="V1044" s="1142"/>
      <c r="W1044" s="1142"/>
      <c r="X1044" s="1142"/>
      <c r="Y1044" s="1142"/>
    </row>
    <row r="1045">
      <c r="A1045" s="1140"/>
      <c r="B1045" s="1140"/>
      <c r="C1045" s="1083"/>
      <c r="D1045" s="1058"/>
      <c r="E1045" s="1092"/>
      <c r="F1045" s="1083"/>
      <c r="G1045" s="1092"/>
      <c r="H1045" s="1083"/>
      <c r="I1045" s="1092"/>
      <c r="J1045" s="1092"/>
      <c r="K1045" s="1092"/>
      <c r="L1045" s="1083"/>
      <c r="M1045" s="1083"/>
      <c r="N1045" s="1092"/>
      <c r="O1045" s="1083"/>
      <c r="P1045" s="1092"/>
      <c r="Q1045" s="1083"/>
      <c r="R1045" s="1092"/>
      <c r="S1045" s="1083"/>
      <c r="T1045" s="1083"/>
      <c r="U1045" s="1083"/>
      <c r="V1045" s="1083"/>
      <c r="W1045" s="1083"/>
      <c r="X1045" s="1083"/>
      <c r="Y1045" s="1083"/>
    </row>
    <row r="1046">
      <c r="A1046" s="1120"/>
      <c r="B1046" s="1120"/>
      <c r="C1046" s="1142"/>
      <c r="D1046" s="1058"/>
      <c r="E1046" s="1081"/>
      <c r="F1046" s="1142"/>
      <c r="G1046" s="1081"/>
      <c r="H1046" s="1142"/>
      <c r="I1046" s="1081"/>
      <c r="J1046" s="1081"/>
      <c r="K1046" s="1081"/>
      <c r="L1046" s="1142"/>
      <c r="M1046" s="1142"/>
      <c r="N1046" s="1081"/>
      <c r="O1046" s="1142"/>
      <c r="P1046" s="1081"/>
      <c r="Q1046" s="1142"/>
      <c r="R1046" s="1081"/>
      <c r="S1046" s="1142"/>
      <c r="T1046" s="1142"/>
      <c r="U1046" s="1142"/>
      <c r="V1046" s="1142"/>
      <c r="W1046" s="1142"/>
      <c r="X1046" s="1142"/>
      <c r="Y1046" s="1142"/>
    </row>
    <row r="1047">
      <c r="A1047" s="1140"/>
      <c r="B1047" s="1140"/>
      <c r="C1047" s="1083"/>
      <c r="D1047" s="1058"/>
      <c r="E1047" s="1092"/>
      <c r="F1047" s="1083"/>
      <c r="G1047" s="1092"/>
      <c r="H1047" s="1083"/>
      <c r="I1047" s="1092"/>
      <c r="J1047" s="1092"/>
      <c r="K1047" s="1092"/>
      <c r="L1047" s="1083"/>
      <c r="M1047" s="1083"/>
      <c r="N1047" s="1092"/>
      <c r="O1047" s="1083"/>
      <c r="P1047" s="1092"/>
      <c r="Q1047" s="1083"/>
      <c r="R1047" s="1092"/>
      <c r="S1047" s="1083"/>
      <c r="T1047" s="1083"/>
      <c r="U1047" s="1083"/>
      <c r="V1047" s="1083"/>
      <c r="W1047" s="1083"/>
      <c r="X1047" s="1083"/>
      <c r="Y1047" s="1083"/>
    </row>
    <row r="1048">
      <c r="A1048" s="1120"/>
      <c r="B1048" s="1120"/>
      <c r="C1048" s="1142"/>
      <c r="D1048" s="1058"/>
      <c r="E1048" s="1081"/>
      <c r="F1048" s="1142"/>
      <c r="G1048" s="1081"/>
      <c r="H1048" s="1142"/>
      <c r="I1048" s="1081"/>
      <c r="J1048" s="1081"/>
      <c r="K1048" s="1081"/>
      <c r="L1048" s="1142"/>
      <c r="M1048" s="1142"/>
      <c r="N1048" s="1081"/>
      <c r="O1048" s="1142"/>
      <c r="P1048" s="1081"/>
      <c r="Q1048" s="1142"/>
      <c r="R1048" s="1081"/>
      <c r="S1048" s="1142"/>
      <c r="T1048" s="1142"/>
      <c r="U1048" s="1142"/>
      <c r="V1048" s="1142"/>
      <c r="W1048" s="1142"/>
      <c r="X1048" s="1142"/>
      <c r="Y1048" s="1142"/>
    </row>
    <row r="1049">
      <c r="A1049" s="1140"/>
      <c r="B1049" s="1140"/>
      <c r="C1049" s="1083"/>
      <c r="D1049" s="1058"/>
      <c r="E1049" s="1092"/>
      <c r="F1049" s="1083"/>
      <c r="G1049" s="1092"/>
      <c r="H1049" s="1083"/>
      <c r="I1049" s="1092"/>
      <c r="J1049" s="1092"/>
      <c r="K1049" s="1092"/>
      <c r="L1049" s="1083"/>
      <c r="M1049" s="1083"/>
      <c r="N1049" s="1092"/>
      <c r="O1049" s="1083"/>
      <c r="P1049" s="1092"/>
      <c r="Q1049" s="1083"/>
      <c r="R1049" s="1092"/>
      <c r="S1049" s="1083"/>
      <c r="T1049" s="1083"/>
      <c r="U1049" s="1083"/>
      <c r="V1049" s="1083"/>
      <c r="W1049" s="1083"/>
      <c r="X1049" s="1083"/>
      <c r="Y1049" s="1083"/>
    </row>
    <row r="1050">
      <c r="A1050" s="1120"/>
      <c r="B1050" s="1120"/>
      <c r="C1050" s="1142"/>
      <c r="D1050" s="1058"/>
      <c r="E1050" s="1081"/>
      <c r="F1050" s="1142"/>
      <c r="G1050" s="1081"/>
      <c r="H1050" s="1142"/>
      <c r="I1050" s="1081"/>
      <c r="J1050" s="1081"/>
      <c r="K1050" s="1081"/>
      <c r="L1050" s="1142"/>
      <c r="M1050" s="1142"/>
      <c r="N1050" s="1081"/>
      <c r="O1050" s="1142"/>
      <c r="P1050" s="1081"/>
      <c r="Q1050" s="1142"/>
      <c r="R1050" s="1081"/>
      <c r="S1050" s="1142"/>
      <c r="T1050" s="1142"/>
      <c r="U1050" s="1142"/>
      <c r="V1050" s="1142"/>
      <c r="W1050" s="1142"/>
      <c r="X1050" s="1142"/>
      <c r="Y1050" s="1142"/>
    </row>
    <row r="1051">
      <c r="A1051" s="1140"/>
      <c r="B1051" s="1140"/>
      <c r="C1051" s="1083"/>
      <c r="D1051" s="1058"/>
      <c r="E1051" s="1092"/>
      <c r="F1051" s="1083"/>
      <c r="G1051" s="1092"/>
      <c r="H1051" s="1083"/>
      <c r="I1051" s="1092"/>
      <c r="J1051" s="1092"/>
      <c r="K1051" s="1092"/>
      <c r="L1051" s="1083"/>
      <c r="M1051" s="1083"/>
      <c r="N1051" s="1092"/>
      <c r="O1051" s="1083"/>
      <c r="P1051" s="1092"/>
      <c r="Q1051" s="1083"/>
      <c r="R1051" s="1092"/>
      <c r="S1051" s="1083"/>
      <c r="T1051" s="1083"/>
      <c r="U1051" s="1083"/>
      <c r="V1051" s="1083"/>
      <c r="W1051" s="1083"/>
      <c r="X1051" s="1083"/>
      <c r="Y1051" s="1083"/>
    </row>
    <row r="1052">
      <c r="A1052" s="1120"/>
      <c r="B1052" s="1120"/>
      <c r="C1052" s="1142"/>
      <c r="D1052" s="1058"/>
      <c r="E1052" s="1081"/>
      <c r="F1052" s="1142"/>
      <c r="G1052" s="1081"/>
      <c r="H1052" s="1142"/>
      <c r="I1052" s="1081"/>
      <c r="J1052" s="1081"/>
      <c r="K1052" s="1081"/>
      <c r="L1052" s="1142"/>
      <c r="M1052" s="1142"/>
      <c r="N1052" s="1081"/>
      <c r="O1052" s="1142"/>
      <c r="P1052" s="1081"/>
      <c r="Q1052" s="1142"/>
      <c r="R1052" s="1081"/>
      <c r="S1052" s="1142"/>
      <c r="T1052" s="1142"/>
      <c r="U1052" s="1142"/>
      <c r="V1052" s="1142"/>
      <c r="W1052" s="1142"/>
      <c r="X1052" s="1142"/>
      <c r="Y1052" s="1142"/>
    </row>
    <row r="1053">
      <c r="A1053" s="1140"/>
      <c r="B1053" s="1140"/>
      <c r="C1053" s="1083"/>
      <c r="D1053" s="1058"/>
      <c r="E1053" s="1092"/>
      <c r="F1053" s="1083"/>
      <c r="G1053" s="1092"/>
      <c r="H1053" s="1083"/>
      <c r="I1053" s="1092"/>
      <c r="J1053" s="1092"/>
      <c r="K1053" s="1092"/>
      <c r="L1053" s="1083"/>
      <c r="M1053" s="1083"/>
      <c r="N1053" s="1092"/>
      <c r="O1053" s="1083"/>
      <c r="P1053" s="1092"/>
      <c r="Q1053" s="1083"/>
      <c r="R1053" s="1092"/>
      <c r="S1053" s="1083"/>
      <c r="T1053" s="1083"/>
      <c r="U1053" s="1083"/>
      <c r="V1053" s="1083"/>
      <c r="W1053" s="1083"/>
      <c r="X1053" s="1083"/>
      <c r="Y1053" s="1083"/>
    </row>
    <row r="1054">
      <c r="A1054" s="1120"/>
      <c r="B1054" s="1120"/>
      <c r="C1054" s="1142"/>
      <c r="D1054" s="1058"/>
      <c r="E1054" s="1081"/>
      <c r="F1054" s="1142"/>
      <c r="G1054" s="1081"/>
      <c r="H1054" s="1142"/>
      <c r="I1054" s="1081"/>
      <c r="J1054" s="1081"/>
      <c r="K1054" s="1081"/>
      <c r="L1054" s="1142"/>
      <c r="M1054" s="1142"/>
      <c r="N1054" s="1081"/>
      <c r="O1054" s="1142"/>
      <c r="P1054" s="1081"/>
      <c r="Q1054" s="1142"/>
      <c r="R1054" s="1081"/>
      <c r="S1054" s="1142"/>
      <c r="T1054" s="1142"/>
      <c r="U1054" s="1142"/>
      <c r="V1054" s="1142"/>
      <c r="W1054" s="1142"/>
      <c r="X1054" s="1142"/>
      <c r="Y1054" s="1142"/>
    </row>
    <row r="1055">
      <c r="A1055" s="1140"/>
      <c r="B1055" s="1140"/>
      <c r="C1055" s="1083"/>
      <c r="D1055" s="1058"/>
      <c r="E1055" s="1092"/>
      <c r="F1055" s="1083"/>
      <c r="G1055" s="1092"/>
      <c r="H1055" s="1083"/>
      <c r="I1055" s="1092"/>
      <c r="J1055" s="1092"/>
      <c r="K1055" s="1092"/>
      <c r="L1055" s="1083"/>
      <c r="M1055" s="1083"/>
      <c r="N1055" s="1092"/>
      <c r="O1055" s="1083"/>
      <c r="P1055" s="1092"/>
      <c r="Q1055" s="1083"/>
      <c r="R1055" s="1092"/>
      <c r="S1055" s="1083"/>
      <c r="T1055" s="1083"/>
      <c r="U1055" s="1083"/>
      <c r="V1055" s="1083"/>
      <c r="W1055" s="1083"/>
      <c r="X1055" s="1083"/>
      <c r="Y1055" s="1083"/>
    </row>
    <row r="1056">
      <c r="A1056" s="1120"/>
      <c r="B1056" s="1120"/>
      <c r="C1056" s="1142"/>
      <c r="D1056" s="1058"/>
      <c r="E1056" s="1081"/>
      <c r="F1056" s="1142"/>
      <c r="G1056" s="1081"/>
      <c r="H1056" s="1142"/>
      <c r="I1056" s="1081"/>
      <c r="J1056" s="1081"/>
      <c r="K1056" s="1081"/>
      <c r="L1056" s="1142"/>
      <c r="M1056" s="1142"/>
      <c r="N1056" s="1081"/>
      <c r="O1056" s="1142"/>
      <c r="P1056" s="1081"/>
      <c r="Q1056" s="1142"/>
      <c r="R1056" s="1081"/>
      <c r="S1056" s="1142"/>
      <c r="T1056" s="1142"/>
      <c r="U1056" s="1142"/>
      <c r="V1056" s="1142"/>
      <c r="W1056" s="1142"/>
      <c r="X1056" s="1142"/>
      <c r="Y1056" s="1142"/>
    </row>
    <row r="1057">
      <c r="A1057" s="1140"/>
      <c r="B1057" s="1140"/>
      <c r="C1057" s="1083"/>
      <c r="D1057" s="1058"/>
      <c r="E1057" s="1092"/>
      <c r="F1057" s="1083"/>
      <c r="G1057" s="1092"/>
      <c r="H1057" s="1083"/>
      <c r="I1057" s="1092"/>
      <c r="J1057" s="1092"/>
      <c r="K1057" s="1092"/>
      <c r="L1057" s="1083"/>
      <c r="M1057" s="1083"/>
      <c r="N1057" s="1092"/>
      <c r="O1057" s="1083"/>
      <c r="P1057" s="1092"/>
      <c r="Q1057" s="1083"/>
      <c r="R1057" s="1092"/>
      <c r="S1057" s="1083"/>
      <c r="T1057" s="1083"/>
      <c r="U1057" s="1083"/>
      <c r="V1057" s="1083"/>
      <c r="W1057" s="1083"/>
      <c r="X1057" s="1083"/>
      <c r="Y1057" s="1083"/>
    </row>
    <row r="1058">
      <c r="A1058" s="1120"/>
      <c r="B1058" s="1120"/>
      <c r="C1058" s="1142"/>
      <c r="D1058" s="1058"/>
      <c r="E1058" s="1081"/>
      <c r="F1058" s="1142"/>
      <c r="G1058" s="1081"/>
      <c r="H1058" s="1142"/>
      <c r="I1058" s="1081"/>
      <c r="J1058" s="1081"/>
      <c r="K1058" s="1081"/>
      <c r="L1058" s="1142"/>
      <c r="M1058" s="1142"/>
      <c r="N1058" s="1081"/>
      <c r="O1058" s="1142"/>
      <c r="P1058" s="1081"/>
      <c r="Q1058" s="1142"/>
      <c r="R1058" s="1081"/>
      <c r="S1058" s="1142"/>
      <c r="T1058" s="1142"/>
      <c r="U1058" s="1142"/>
      <c r="V1058" s="1142"/>
      <c r="W1058" s="1142"/>
      <c r="X1058" s="1142"/>
      <c r="Y1058" s="1142"/>
    </row>
    <row r="1059">
      <c r="A1059" s="1140"/>
      <c r="B1059" s="1140"/>
      <c r="C1059" s="1083"/>
      <c r="D1059" s="1058"/>
      <c r="E1059" s="1092"/>
      <c r="F1059" s="1083"/>
      <c r="G1059" s="1092"/>
      <c r="H1059" s="1083"/>
      <c r="I1059" s="1092"/>
      <c r="J1059" s="1092"/>
      <c r="K1059" s="1092"/>
      <c r="L1059" s="1083"/>
      <c r="M1059" s="1083"/>
      <c r="N1059" s="1092"/>
      <c r="O1059" s="1083"/>
      <c r="P1059" s="1092"/>
      <c r="Q1059" s="1083"/>
      <c r="R1059" s="1092"/>
      <c r="S1059" s="1083"/>
      <c r="T1059" s="1083"/>
      <c r="U1059" s="1083"/>
      <c r="V1059" s="1083"/>
      <c r="W1059" s="1083"/>
      <c r="X1059" s="1083"/>
      <c r="Y1059" s="1083"/>
    </row>
    <row r="1060">
      <c r="A1060" s="1120"/>
      <c r="B1060" s="1120"/>
      <c r="C1060" s="1142"/>
      <c r="D1060" s="1058"/>
      <c r="E1060" s="1081"/>
      <c r="F1060" s="1142"/>
      <c r="G1060" s="1081"/>
      <c r="H1060" s="1142"/>
      <c r="I1060" s="1081"/>
      <c r="J1060" s="1081"/>
      <c r="K1060" s="1081"/>
      <c r="L1060" s="1142"/>
      <c r="M1060" s="1142"/>
      <c r="N1060" s="1081"/>
      <c r="O1060" s="1142"/>
      <c r="P1060" s="1081"/>
      <c r="Q1060" s="1142"/>
      <c r="R1060" s="1081"/>
      <c r="S1060" s="1142"/>
      <c r="T1060" s="1142"/>
      <c r="U1060" s="1142"/>
      <c r="V1060" s="1142"/>
      <c r="W1060" s="1142"/>
      <c r="X1060" s="1142"/>
      <c r="Y1060" s="1142"/>
    </row>
    <row r="1061">
      <c r="A1061" s="1140"/>
      <c r="B1061" s="1140"/>
      <c r="C1061" s="1083"/>
      <c r="D1061" s="1058"/>
      <c r="E1061" s="1092"/>
      <c r="F1061" s="1083"/>
      <c r="G1061" s="1092"/>
      <c r="H1061" s="1083"/>
      <c r="I1061" s="1092"/>
      <c r="J1061" s="1092"/>
      <c r="K1061" s="1092"/>
      <c r="L1061" s="1083"/>
      <c r="M1061" s="1083"/>
      <c r="N1061" s="1092"/>
      <c r="O1061" s="1083"/>
      <c r="P1061" s="1092"/>
      <c r="Q1061" s="1083"/>
      <c r="R1061" s="1092"/>
      <c r="S1061" s="1083"/>
      <c r="T1061" s="1083"/>
      <c r="U1061" s="1083"/>
      <c r="V1061" s="1083"/>
      <c r="W1061" s="1083"/>
      <c r="X1061" s="1083"/>
      <c r="Y1061" s="1083"/>
    </row>
    <row r="1062">
      <c r="A1062" s="1120"/>
      <c r="B1062" s="1120"/>
      <c r="C1062" s="1142"/>
      <c r="D1062" s="1058"/>
      <c r="E1062" s="1081"/>
      <c r="F1062" s="1142"/>
      <c r="G1062" s="1081"/>
      <c r="H1062" s="1142"/>
      <c r="I1062" s="1081"/>
      <c r="J1062" s="1081"/>
      <c r="K1062" s="1081"/>
      <c r="L1062" s="1142"/>
      <c r="M1062" s="1142"/>
      <c r="N1062" s="1081"/>
      <c r="O1062" s="1142"/>
      <c r="P1062" s="1081"/>
      <c r="Q1062" s="1142"/>
      <c r="R1062" s="1081"/>
      <c r="S1062" s="1142"/>
      <c r="T1062" s="1142"/>
      <c r="U1062" s="1142"/>
      <c r="V1062" s="1142"/>
      <c r="W1062" s="1142"/>
      <c r="X1062" s="1142"/>
      <c r="Y1062" s="1142"/>
    </row>
    <row r="1063">
      <c r="A1063" s="1140"/>
      <c r="B1063" s="1140"/>
      <c r="C1063" s="1083"/>
      <c r="D1063" s="1058"/>
      <c r="E1063" s="1092"/>
      <c r="F1063" s="1083"/>
      <c r="G1063" s="1092"/>
      <c r="H1063" s="1083"/>
      <c r="I1063" s="1092"/>
      <c r="J1063" s="1092"/>
      <c r="K1063" s="1092"/>
      <c r="L1063" s="1083"/>
      <c r="M1063" s="1083"/>
      <c r="N1063" s="1092"/>
      <c r="O1063" s="1083"/>
      <c r="P1063" s="1092"/>
      <c r="Q1063" s="1083"/>
      <c r="R1063" s="1092"/>
      <c r="S1063" s="1083"/>
      <c r="T1063" s="1083"/>
      <c r="U1063" s="1083"/>
      <c r="V1063" s="1083"/>
      <c r="W1063" s="1083"/>
      <c r="X1063" s="1083"/>
      <c r="Y1063" s="1083"/>
    </row>
    <row r="1064">
      <c r="A1064" s="1120"/>
      <c r="B1064" s="1120"/>
      <c r="C1064" s="1142"/>
      <c r="D1064" s="1058"/>
      <c r="E1064" s="1081"/>
      <c r="F1064" s="1142"/>
      <c r="G1064" s="1081"/>
      <c r="H1064" s="1142"/>
      <c r="I1064" s="1081"/>
      <c r="J1064" s="1081"/>
      <c r="K1064" s="1081"/>
      <c r="L1064" s="1142"/>
      <c r="M1064" s="1142"/>
      <c r="N1064" s="1081"/>
      <c r="O1064" s="1142"/>
      <c r="P1064" s="1081"/>
      <c r="Q1064" s="1142"/>
      <c r="R1064" s="1081"/>
      <c r="S1064" s="1142"/>
      <c r="T1064" s="1142"/>
      <c r="U1064" s="1142"/>
      <c r="V1064" s="1142"/>
      <c r="W1064" s="1142"/>
      <c r="X1064" s="1142"/>
      <c r="Y1064" s="1142"/>
    </row>
    <row r="1065">
      <c r="A1065" s="1140"/>
      <c r="B1065" s="1140"/>
      <c r="C1065" s="1083"/>
      <c r="D1065" s="1058"/>
      <c r="E1065" s="1092"/>
      <c r="F1065" s="1083"/>
      <c r="G1065" s="1092"/>
      <c r="H1065" s="1083"/>
      <c r="I1065" s="1092"/>
      <c r="J1065" s="1092"/>
      <c r="K1065" s="1092"/>
      <c r="L1065" s="1083"/>
      <c r="M1065" s="1083"/>
      <c r="N1065" s="1092"/>
      <c r="O1065" s="1083"/>
      <c r="P1065" s="1092"/>
      <c r="Q1065" s="1083"/>
      <c r="R1065" s="1092"/>
      <c r="S1065" s="1083"/>
      <c r="T1065" s="1083"/>
      <c r="U1065" s="1083"/>
      <c r="V1065" s="1083"/>
      <c r="W1065" s="1083"/>
      <c r="X1065" s="1083"/>
      <c r="Y1065" s="1083"/>
    </row>
    <row r="1066">
      <c r="A1066" s="1120"/>
      <c r="B1066" s="1120"/>
      <c r="C1066" s="1142"/>
      <c r="D1066" s="1058"/>
      <c r="E1066" s="1081"/>
      <c r="F1066" s="1142"/>
      <c r="G1066" s="1081"/>
      <c r="H1066" s="1142"/>
      <c r="I1066" s="1081"/>
      <c r="J1066" s="1081"/>
      <c r="K1066" s="1081"/>
      <c r="L1066" s="1142"/>
      <c r="M1066" s="1142"/>
      <c r="N1066" s="1081"/>
      <c r="O1066" s="1142"/>
      <c r="P1066" s="1081"/>
      <c r="Q1066" s="1142"/>
      <c r="R1066" s="1081"/>
      <c r="S1066" s="1142"/>
      <c r="T1066" s="1142"/>
      <c r="U1066" s="1142"/>
      <c r="V1066" s="1142"/>
      <c r="W1066" s="1142"/>
      <c r="X1066" s="1142"/>
      <c r="Y1066" s="1142"/>
    </row>
    <row r="1067">
      <c r="A1067" s="1140"/>
      <c r="B1067" s="1140"/>
      <c r="C1067" s="1083"/>
      <c r="D1067" s="1058"/>
      <c r="E1067" s="1092"/>
      <c r="F1067" s="1083"/>
      <c r="G1067" s="1092"/>
      <c r="H1067" s="1083"/>
      <c r="I1067" s="1092"/>
      <c r="J1067" s="1092"/>
      <c r="K1067" s="1092"/>
      <c r="L1067" s="1083"/>
      <c r="M1067" s="1083"/>
      <c r="N1067" s="1092"/>
      <c r="O1067" s="1083"/>
      <c r="P1067" s="1092"/>
      <c r="Q1067" s="1083"/>
      <c r="R1067" s="1092"/>
      <c r="S1067" s="1083"/>
      <c r="T1067" s="1083"/>
      <c r="U1067" s="1083"/>
      <c r="V1067" s="1083"/>
      <c r="W1067" s="1083"/>
      <c r="X1067" s="1083"/>
      <c r="Y1067" s="1083"/>
    </row>
    <row r="1068">
      <c r="A1068" s="1120"/>
      <c r="B1068" s="1120"/>
      <c r="C1068" s="1142"/>
      <c r="D1068" s="1058"/>
      <c r="E1068" s="1081"/>
      <c r="F1068" s="1142"/>
      <c r="G1068" s="1081"/>
      <c r="H1068" s="1142"/>
      <c r="I1068" s="1081"/>
      <c r="J1068" s="1081"/>
      <c r="K1068" s="1081"/>
      <c r="L1068" s="1142"/>
      <c r="M1068" s="1142"/>
      <c r="N1068" s="1081"/>
      <c r="O1068" s="1142"/>
      <c r="P1068" s="1081"/>
      <c r="Q1068" s="1142"/>
      <c r="R1068" s="1081"/>
      <c r="S1068" s="1142"/>
      <c r="T1068" s="1142"/>
      <c r="U1068" s="1142"/>
      <c r="V1068" s="1142"/>
      <c r="W1068" s="1142"/>
      <c r="X1068" s="1142"/>
      <c r="Y1068" s="1142"/>
    </row>
    <row r="1069">
      <c r="A1069" s="1140"/>
      <c r="B1069" s="1140"/>
      <c r="C1069" s="1083"/>
      <c r="D1069" s="1058"/>
      <c r="E1069" s="1092"/>
      <c r="F1069" s="1083"/>
      <c r="G1069" s="1092"/>
      <c r="H1069" s="1083"/>
      <c r="I1069" s="1092"/>
      <c r="J1069" s="1092"/>
      <c r="K1069" s="1092"/>
      <c r="L1069" s="1083"/>
      <c r="M1069" s="1083"/>
      <c r="N1069" s="1092"/>
      <c r="O1069" s="1083"/>
      <c r="P1069" s="1092"/>
      <c r="Q1069" s="1083"/>
      <c r="R1069" s="1092"/>
      <c r="S1069" s="1083"/>
      <c r="T1069" s="1083"/>
      <c r="U1069" s="1083"/>
      <c r="V1069" s="1083"/>
      <c r="W1069" s="1083"/>
      <c r="X1069" s="1083"/>
      <c r="Y1069" s="1083"/>
    </row>
    <row r="1070">
      <c r="A1070" s="1120"/>
      <c r="B1070" s="1120"/>
      <c r="C1070" s="1142"/>
      <c r="D1070" s="1058"/>
      <c r="E1070" s="1081"/>
      <c r="F1070" s="1142"/>
      <c r="G1070" s="1081"/>
      <c r="H1070" s="1142"/>
      <c r="I1070" s="1081"/>
      <c r="J1070" s="1081"/>
      <c r="K1070" s="1081"/>
      <c r="L1070" s="1142"/>
      <c r="M1070" s="1142"/>
      <c r="N1070" s="1081"/>
      <c r="O1070" s="1142"/>
      <c r="P1070" s="1081"/>
      <c r="Q1070" s="1142"/>
      <c r="R1070" s="1081"/>
      <c r="S1070" s="1142"/>
      <c r="T1070" s="1142"/>
      <c r="U1070" s="1142"/>
      <c r="V1070" s="1142"/>
      <c r="W1070" s="1142"/>
      <c r="X1070" s="1142"/>
      <c r="Y1070" s="1142"/>
    </row>
    <row r="1071">
      <c r="A1071" s="1140"/>
      <c r="B1071" s="1140"/>
      <c r="C1071" s="1083"/>
      <c r="D1071" s="1058"/>
      <c r="E1071" s="1092"/>
      <c r="F1071" s="1083"/>
      <c r="G1071" s="1092"/>
      <c r="H1071" s="1083"/>
      <c r="I1071" s="1092"/>
      <c r="J1071" s="1092"/>
      <c r="K1071" s="1092"/>
      <c r="L1071" s="1083"/>
      <c r="M1071" s="1083"/>
      <c r="N1071" s="1092"/>
      <c r="O1071" s="1083"/>
      <c r="P1071" s="1092"/>
      <c r="Q1071" s="1083"/>
      <c r="R1071" s="1092"/>
      <c r="S1071" s="1083"/>
      <c r="T1071" s="1083"/>
      <c r="U1071" s="1083"/>
      <c r="V1071" s="1083"/>
      <c r="W1071" s="1083"/>
      <c r="X1071" s="1083"/>
      <c r="Y1071" s="1083"/>
    </row>
    <row r="1072">
      <c r="A1072" s="1120"/>
      <c r="B1072" s="1120"/>
      <c r="C1072" s="1142"/>
      <c r="D1072" s="1058"/>
      <c r="E1072" s="1081"/>
      <c r="F1072" s="1142"/>
      <c r="G1072" s="1081"/>
      <c r="H1072" s="1142"/>
      <c r="I1072" s="1081"/>
      <c r="J1072" s="1081"/>
      <c r="K1072" s="1081"/>
      <c r="L1072" s="1142"/>
      <c r="M1072" s="1142"/>
      <c r="N1072" s="1081"/>
      <c r="O1072" s="1142"/>
      <c r="P1072" s="1081"/>
      <c r="Q1072" s="1142"/>
      <c r="R1072" s="1081"/>
      <c r="S1072" s="1142"/>
      <c r="T1072" s="1142"/>
      <c r="U1072" s="1142"/>
      <c r="V1072" s="1142"/>
      <c r="W1072" s="1142"/>
      <c r="X1072" s="1142"/>
      <c r="Y1072" s="1142"/>
    </row>
    <row r="1073">
      <c r="A1073" s="1140"/>
      <c r="B1073" s="1140"/>
      <c r="C1073" s="1083"/>
      <c r="D1073" s="1058"/>
      <c r="E1073" s="1092"/>
      <c r="F1073" s="1083"/>
      <c r="G1073" s="1092"/>
      <c r="H1073" s="1083"/>
      <c r="I1073" s="1092"/>
      <c r="J1073" s="1092"/>
      <c r="K1073" s="1092"/>
      <c r="L1073" s="1083"/>
      <c r="M1073" s="1083"/>
      <c r="N1073" s="1092"/>
      <c r="O1073" s="1083"/>
      <c r="P1073" s="1092"/>
      <c r="Q1073" s="1083"/>
      <c r="R1073" s="1092"/>
      <c r="S1073" s="1083"/>
      <c r="T1073" s="1083"/>
      <c r="U1073" s="1083"/>
      <c r="V1073" s="1083"/>
      <c r="W1073" s="1083"/>
      <c r="X1073" s="1083"/>
      <c r="Y1073" s="1083"/>
    </row>
    <row r="1074">
      <c r="A1074" s="1120"/>
      <c r="B1074" s="1120"/>
      <c r="C1074" s="1142"/>
      <c r="D1074" s="1058"/>
      <c r="E1074" s="1081"/>
      <c r="F1074" s="1142"/>
      <c r="G1074" s="1081"/>
      <c r="H1074" s="1142"/>
      <c r="I1074" s="1081"/>
      <c r="J1074" s="1081"/>
      <c r="K1074" s="1081"/>
      <c r="L1074" s="1142"/>
      <c r="M1074" s="1142"/>
      <c r="N1074" s="1081"/>
      <c r="O1074" s="1142"/>
      <c r="P1074" s="1081"/>
      <c r="Q1074" s="1142"/>
      <c r="R1074" s="1081"/>
      <c r="S1074" s="1142"/>
      <c r="T1074" s="1142"/>
      <c r="U1074" s="1142"/>
      <c r="V1074" s="1142"/>
      <c r="W1074" s="1142"/>
      <c r="X1074" s="1142"/>
      <c r="Y1074" s="1142"/>
    </row>
    <row r="1075">
      <c r="A1075" s="1140"/>
      <c r="B1075" s="1140"/>
      <c r="C1075" s="1083"/>
      <c r="D1075" s="1058"/>
      <c r="E1075" s="1092"/>
      <c r="F1075" s="1083"/>
      <c r="G1075" s="1092"/>
      <c r="H1075" s="1083"/>
      <c r="I1075" s="1092"/>
      <c r="J1075" s="1092"/>
      <c r="K1075" s="1092"/>
      <c r="L1075" s="1083"/>
      <c r="M1075" s="1083"/>
      <c r="N1075" s="1092"/>
      <c r="O1075" s="1083"/>
      <c r="P1075" s="1092"/>
      <c r="Q1075" s="1083"/>
      <c r="R1075" s="1092"/>
      <c r="S1075" s="1083"/>
      <c r="T1075" s="1083"/>
      <c r="U1075" s="1083"/>
      <c r="V1075" s="1083"/>
      <c r="W1075" s="1083"/>
      <c r="X1075" s="1083"/>
      <c r="Y1075" s="1083"/>
    </row>
    <row r="1076">
      <c r="A1076" s="1120"/>
      <c r="B1076" s="1120"/>
      <c r="C1076" s="1142"/>
      <c r="D1076" s="1058"/>
      <c r="E1076" s="1081"/>
      <c r="F1076" s="1142"/>
      <c r="G1076" s="1081"/>
      <c r="H1076" s="1142"/>
      <c r="I1076" s="1081"/>
      <c r="J1076" s="1081"/>
      <c r="K1076" s="1081"/>
      <c r="L1076" s="1142"/>
      <c r="M1076" s="1142"/>
      <c r="N1076" s="1081"/>
      <c r="O1076" s="1142"/>
      <c r="P1076" s="1081"/>
      <c r="Q1076" s="1142"/>
      <c r="R1076" s="1081"/>
      <c r="S1076" s="1142"/>
      <c r="T1076" s="1142"/>
      <c r="U1076" s="1142"/>
      <c r="V1076" s="1142"/>
      <c r="W1076" s="1142"/>
      <c r="X1076" s="1142"/>
      <c r="Y1076" s="1142"/>
    </row>
    <row r="1077">
      <c r="A1077" s="1140"/>
      <c r="B1077" s="1140"/>
      <c r="C1077" s="1083"/>
      <c r="D1077" s="1058"/>
      <c r="E1077" s="1092"/>
      <c r="F1077" s="1083"/>
      <c r="G1077" s="1092"/>
      <c r="H1077" s="1083"/>
      <c r="I1077" s="1092"/>
      <c r="J1077" s="1092"/>
      <c r="K1077" s="1092"/>
      <c r="L1077" s="1083"/>
      <c r="M1077" s="1083"/>
      <c r="N1077" s="1092"/>
      <c r="O1077" s="1083"/>
      <c r="P1077" s="1092"/>
      <c r="Q1077" s="1083"/>
      <c r="R1077" s="1092"/>
      <c r="S1077" s="1083"/>
      <c r="T1077" s="1083"/>
      <c r="U1077" s="1083"/>
      <c r="V1077" s="1083"/>
      <c r="W1077" s="1083"/>
      <c r="X1077" s="1083"/>
      <c r="Y1077" s="1083"/>
    </row>
    <row r="1078">
      <c r="A1078" s="1120"/>
      <c r="B1078" s="1120"/>
      <c r="C1078" s="1142"/>
      <c r="D1078" s="1058"/>
      <c r="E1078" s="1081"/>
      <c r="F1078" s="1142"/>
      <c r="G1078" s="1081"/>
      <c r="H1078" s="1142"/>
      <c r="I1078" s="1081"/>
      <c r="J1078" s="1081"/>
      <c r="K1078" s="1081"/>
      <c r="L1078" s="1142"/>
      <c r="M1078" s="1142"/>
      <c r="N1078" s="1081"/>
      <c r="O1078" s="1142"/>
      <c r="P1078" s="1081"/>
      <c r="Q1078" s="1142"/>
      <c r="R1078" s="1081"/>
      <c r="S1078" s="1142"/>
      <c r="T1078" s="1142"/>
      <c r="U1078" s="1142"/>
      <c r="V1078" s="1142"/>
      <c r="W1078" s="1142"/>
      <c r="X1078" s="1142"/>
      <c r="Y1078" s="1142"/>
    </row>
    <row r="1079">
      <c r="A1079" s="1140"/>
      <c r="B1079" s="1140"/>
      <c r="C1079" s="1083"/>
      <c r="D1079" s="1058"/>
      <c r="E1079" s="1092"/>
      <c r="F1079" s="1083"/>
      <c r="G1079" s="1092"/>
      <c r="H1079" s="1083"/>
      <c r="I1079" s="1092"/>
      <c r="J1079" s="1092"/>
      <c r="K1079" s="1092"/>
      <c r="L1079" s="1083"/>
      <c r="M1079" s="1083"/>
      <c r="N1079" s="1092"/>
      <c r="O1079" s="1083"/>
      <c r="P1079" s="1092"/>
      <c r="Q1079" s="1083"/>
      <c r="R1079" s="1092"/>
      <c r="S1079" s="1083"/>
      <c r="T1079" s="1083"/>
      <c r="U1079" s="1083"/>
      <c r="V1079" s="1083"/>
      <c r="W1079" s="1083"/>
      <c r="X1079" s="1083"/>
      <c r="Y1079" s="1083"/>
    </row>
    <row r="1080">
      <c r="A1080" s="1120"/>
      <c r="B1080" s="1120"/>
      <c r="C1080" s="1142"/>
      <c r="D1080" s="1058"/>
      <c r="E1080" s="1081"/>
      <c r="F1080" s="1142"/>
      <c r="G1080" s="1081"/>
      <c r="H1080" s="1142"/>
      <c r="I1080" s="1081"/>
      <c r="J1080" s="1081"/>
      <c r="K1080" s="1081"/>
      <c r="L1080" s="1142"/>
      <c r="M1080" s="1142"/>
      <c r="N1080" s="1081"/>
      <c r="O1080" s="1142"/>
      <c r="P1080" s="1081"/>
      <c r="Q1080" s="1142"/>
      <c r="R1080" s="1081"/>
      <c r="S1080" s="1142"/>
      <c r="T1080" s="1142"/>
      <c r="U1080" s="1142"/>
      <c r="V1080" s="1142"/>
      <c r="W1080" s="1142"/>
      <c r="X1080" s="1142"/>
      <c r="Y1080" s="1142"/>
    </row>
    <row r="1081">
      <c r="A1081" s="1140"/>
      <c r="B1081" s="1140"/>
      <c r="C1081" s="1083"/>
      <c r="D1081" s="1058"/>
      <c r="E1081" s="1092"/>
      <c r="F1081" s="1083"/>
      <c r="G1081" s="1092"/>
      <c r="H1081" s="1083"/>
      <c r="I1081" s="1092"/>
      <c r="J1081" s="1092"/>
      <c r="K1081" s="1092"/>
      <c r="L1081" s="1083"/>
      <c r="M1081" s="1083"/>
      <c r="N1081" s="1092"/>
      <c r="O1081" s="1083"/>
      <c r="P1081" s="1092"/>
      <c r="Q1081" s="1083"/>
      <c r="R1081" s="1092"/>
      <c r="S1081" s="1083"/>
      <c r="T1081" s="1083"/>
      <c r="U1081" s="1083"/>
      <c r="V1081" s="1083"/>
      <c r="W1081" s="1083"/>
      <c r="X1081" s="1083"/>
      <c r="Y1081" s="1083"/>
    </row>
    <row r="1082">
      <c r="A1082" s="1120"/>
      <c r="B1082" s="1120"/>
      <c r="C1082" s="1142"/>
      <c r="D1082" s="1058"/>
      <c r="E1082" s="1081"/>
      <c r="F1082" s="1142"/>
      <c r="G1082" s="1081"/>
      <c r="H1082" s="1142"/>
      <c r="I1082" s="1081"/>
      <c r="J1082" s="1081"/>
      <c r="K1082" s="1081"/>
      <c r="L1082" s="1142"/>
      <c r="M1082" s="1142"/>
      <c r="N1082" s="1081"/>
      <c r="O1082" s="1142"/>
      <c r="P1082" s="1081"/>
      <c r="Q1082" s="1142"/>
      <c r="R1082" s="1081"/>
      <c r="S1082" s="1142"/>
      <c r="T1082" s="1142"/>
      <c r="U1082" s="1142"/>
      <c r="V1082" s="1142"/>
      <c r="W1082" s="1142"/>
      <c r="X1082" s="1142"/>
      <c r="Y1082" s="1142"/>
    </row>
    <row r="1083">
      <c r="A1083" s="1140"/>
      <c r="B1083" s="1140"/>
      <c r="C1083" s="1083"/>
      <c r="D1083" s="1058"/>
      <c r="E1083" s="1092"/>
      <c r="F1083" s="1083"/>
      <c r="G1083" s="1092"/>
      <c r="H1083" s="1083"/>
      <c r="I1083" s="1092"/>
      <c r="J1083" s="1092"/>
      <c r="K1083" s="1092"/>
      <c r="L1083" s="1083"/>
      <c r="M1083" s="1083"/>
      <c r="N1083" s="1092"/>
      <c r="O1083" s="1083"/>
      <c r="P1083" s="1092"/>
      <c r="Q1083" s="1083"/>
      <c r="R1083" s="1092"/>
      <c r="S1083" s="1083"/>
      <c r="T1083" s="1083"/>
      <c r="U1083" s="1083"/>
      <c r="V1083" s="1083"/>
      <c r="W1083" s="1083"/>
      <c r="X1083" s="1083"/>
      <c r="Y1083" s="1083"/>
    </row>
    <row r="1084">
      <c r="A1084" s="1120"/>
      <c r="B1084" s="1120"/>
      <c r="C1084" s="1142"/>
      <c r="D1084" s="1058"/>
      <c r="E1084" s="1081"/>
      <c r="F1084" s="1142"/>
      <c r="G1084" s="1081"/>
      <c r="H1084" s="1142"/>
      <c r="I1084" s="1081"/>
      <c r="J1084" s="1081"/>
      <c r="K1084" s="1081"/>
      <c r="L1084" s="1142"/>
      <c r="M1084" s="1142"/>
      <c r="N1084" s="1081"/>
      <c r="O1084" s="1142"/>
      <c r="P1084" s="1081"/>
      <c r="Q1084" s="1142"/>
      <c r="R1084" s="1081"/>
      <c r="S1084" s="1142"/>
      <c r="T1084" s="1142"/>
      <c r="U1084" s="1142"/>
      <c r="V1084" s="1142"/>
      <c r="W1084" s="1142"/>
      <c r="X1084" s="1142"/>
      <c r="Y1084" s="1142"/>
    </row>
    <row r="1085">
      <c r="A1085" s="1140"/>
      <c r="B1085" s="1140"/>
      <c r="C1085" s="1083"/>
      <c r="D1085" s="1058"/>
      <c r="E1085" s="1092"/>
      <c r="F1085" s="1083"/>
      <c r="G1085" s="1092"/>
      <c r="H1085" s="1083"/>
      <c r="I1085" s="1092"/>
      <c r="J1085" s="1092"/>
      <c r="K1085" s="1092"/>
      <c r="L1085" s="1083"/>
      <c r="M1085" s="1083"/>
      <c r="N1085" s="1092"/>
      <c r="O1085" s="1083"/>
      <c r="P1085" s="1092"/>
      <c r="Q1085" s="1083"/>
      <c r="R1085" s="1092"/>
      <c r="S1085" s="1083"/>
      <c r="T1085" s="1083"/>
      <c r="U1085" s="1083"/>
      <c r="V1085" s="1083"/>
      <c r="W1085" s="1083"/>
      <c r="X1085" s="1083"/>
      <c r="Y1085" s="1083"/>
    </row>
    <row r="1086">
      <c r="A1086" s="1120"/>
      <c r="B1086" s="1120"/>
      <c r="C1086" s="1142"/>
      <c r="D1086" s="1058"/>
      <c r="E1086" s="1081"/>
      <c r="F1086" s="1142"/>
      <c r="G1086" s="1081"/>
      <c r="H1086" s="1142"/>
      <c r="I1086" s="1081"/>
      <c r="J1086" s="1081"/>
      <c r="K1086" s="1081"/>
      <c r="L1086" s="1142"/>
      <c r="M1086" s="1142"/>
      <c r="N1086" s="1081"/>
      <c r="O1086" s="1142"/>
      <c r="P1086" s="1081"/>
      <c r="Q1086" s="1142"/>
      <c r="R1086" s="1081"/>
      <c r="S1086" s="1142"/>
      <c r="T1086" s="1142"/>
      <c r="U1086" s="1142"/>
      <c r="V1086" s="1142"/>
      <c r="W1086" s="1142"/>
      <c r="X1086" s="1142"/>
      <c r="Y1086" s="1142"/>
    </row>
    <row r="1087">
      <c r="A1087" s="1140"/>
      <c r="B1087" s="1140"/>
      <c r="C1087" s="1083"/>
      <c r="D1087" s="1058"/>
      <c r="E1087" s="1092"/>
      <c r="F1087" s="1083"/>
      <c r="G1087" s="1092"/>
      <c r="H1087" s="1083"/>
      <c r="I1087" s="1092"/>
      <c r="J1087" s="1092"/>
      <c r="K1087" s="1092"/>
      <c r="L1087" s="1083"/>
      <c r="M1087" s="1083"/>
      <c r="N1087" s="1092"/>
      <c r="O1087" s="1083"/>
      <c r="P1087" s="1092"/>
      <c r="Q1087" s="1083"/>
      <c r="R1087" s="1092"/>
      <c r="S1087" s="1083"/>
      <c r="T1087" s="1083"/>
      <c r="U1087" s="1083"/>
      <c r="V1087" s="1083"/>
      <c r="W1087" s="1083"/>
      <c r="X1087" s="1083"/>
      <c r="Y1087" s="1083"/>
    </row>
    <row r="1088">
      <c r="A1088" s="1120"/>
      <c r="B1088" s="1120"/>
      <c r="C1088" s="1142"/>
      <c r="D1088" s="1058"/>
      <c r="E1088" s="1081"/>
      <c r="F1088" s="1142"/>
      <c r="G1088" s="1081"/>
      <c r="H1088" s="1142"/>
      <c r="I1088" s="1081"/>
      <c r="J1088" s="1081"/>
      <c r="K1088" s="1081"/>
      <c r="L1088" s="1142"/>
      <c r="M1088" s="1142"/>
      <c r="N1088" s="1081"/>
      <c r="O1088" s="1142"/>
      <c r="P1088" s="1081"/>
      <c r="Q1088" s="1142"/>
      <c r="R1088" s="1081"/>
      <c r="S1088" s="1142"/>
      <c r="T1088" s="1142"/>
      <c r="U1088" s="1142"/>
      <c r="V1088" s="1142"/>
      <c r="W1088" s="1142"/>
      <c r="X1088" s="1142"/>
      <c r="Y1088" s="1142"/>
    </row>
    <row r="1089">
      <c r="A1089" s="1140"/>
      <c r="B1089" s="1140"/>
      <c r="C1089" s="1083"/>
      <c r="D1089" s="1058"/>
      <c r="E1089" s="1092"/>
      <c r="F1089" s="1083"/>
      <c r="G1089" s="1092"/>
      <c r="H1089" s="1083"/>
      <c r="I1089" s="1092"/>
      <c r="J1089" s="1092"/>
      <c r="K1089" s="1092"/>
      <c r="L1089" s="1083"/>
      <c r="M1089" s="1083"/>
      <c r="N1089" s="1092"/>
      <c r="O1089" s="1083"/>
      <c r="P1089" s="1092"/>
      <c r="Q1089" s="1083"/>
      <c r="R1089" s="1092"/>
      <c r="S1089" s="1083"/>
      <c r="T1089" s="1083"/>
      <c r="U1089" s="1083"/>
      <c r="V1089" s="1083"/>
      <c r="W1089" s="1083"/>
      <c r="X1089" s="1083"/>
      <c r="Y1089" s="1083"/>
    </row>
    <row r="1090">
      <c r="A1090" s="1120"/>
      <c r="B1090" s="1120"/>
      <c r="C1090" s="1142"/>
      <c r="D1090" s="1058"/>
      <c r="E1090" s="1081"/>
      <c r="F1090" s="1142"/>
      <c r="G1090" s="1081"/>
      <c r="H1090" s="1142"/>
      <c r="I1090" s="1081"/>
      <c r="J1090" s="1081"/>
      <c r="K1090" s="1081"/>
      <c r="L1090" s="1142"/>
      <c r="M1090" s="1142"/>
      <c r="N1090" s="1081"/>
      <c r="O1090" s="1142"/>
      <c r="P1090" s="1081"/>
      <c r="Q1090" s="1142"/>
      <c r="R1090" s="1081"/>
      <c r="S1090" s="1142"/>
      <c r="T1090" s="1142"/>
      <c r="U1090" s="1142"/>
      <c r="V1090" s="1142"/>
      <c r="W1090" s="1142"/>
      <c r="X1090" s="1142"/>
      <c r="Y1090" s="1142"/>
    </row>
    <row r="1091">
      <c r="A1091" s="1140"/>
      <c r="B1091" s="1140"/>
      <c r="C1091" s="1083"/>
      <c r="D1091" s="1058"/>
      <c r="E1091" s="1092"/>
      <c r="F1091" s="1083"/>
      <c r="G1091" s="1092"/>
      <c r="H1091" s="1083"/>
      <c r="I1091" s="1092"/>
      <c r="J1091" s="1092"/>
      <c r="K1091" s="1092"/>
      <c r="L1091" s="1083"/>
      <c r="M1091" s="1083"/>
      <c r="N1091" s="1092"/>
      <c r="O1091" s="1083"/>
      <c r="P1091" s="1092"/>
      <c r="Q1091" s="1083"/>
      <c r="R1091" s="1092"/>
      <c r="S1091" s="1083"/>
      <c r="T1091" s="1083"/>
      <c r="U1091" s="1083"/>
      <c r="V1091" s="1083"/>
      <c r="W1091" s="1083"/>
      <c r="X1091" s="1083"/>
      <c r="Y1091" s="1083"/>
    </row>
    <row r="1092">
      <c r="A1092" s="1120"/>
      <c r="B1092" s="1120"/>
      <c r="C1092" s="1142"/>
      <c r="D1092" s="1058"/>
      <c r="E1092" s="1081"/>
      <c r="F1092" s="1142"/>
      <c r="G1092" s="1081"/>
      <c r="H1092" s="1142"/>
      <c r="I1092" s="1081"/>
      <c r="J1092" s="1081"/>
      <c r="K1092" s="1081"/>
      <c r="L1092" s="1142"/>
      <c r="M1092" s="1142"/>
      <c r="N1092" s="1081"/>
      <c r="O1092" s="1142"/>
      <c r="P1092" s="1081"/>
      <c r="Q1092" s="1142"/>
      <c r="R1092" s="1081"/>
      <c r="S1092" s="1142"/>
      <c r="T1092" s="1142"/>
      <c r="U1092" s="1142"/>
      <c r="V1092" s="1142"/>
      <c r="W1092" s="1142"/>
      <c r="X1092" s="1142"/>
      <c r="Y1092" s="1142"/>
    </row>
    <row r="1093">
      <c r="A1093" s="1140"/>
      <c r="B1093" s="1140"/>
      <c r="C1093" s="1083"/>
      <c r="D1093" s="1058"/>
      <c r="E1093" s="1092"/>
      <c r="F1093" s="1083"/>
      <c r="G1093" s="1092"/>
      <c r="H1093" s="1083"/>
      <c r="I1093" s="1092"/>
      <c r="J1093" s="1092"/>
      <c r="K1093" s="1092"/>
      <c r="L1093" s="1083"/>
      <c r="M1093" s="1083"/>
      <c r="N1093" s="1092"/>
      <c r="O1093" s="1083"/>
      <c r="P1093" s="1092"/>
      <c r="Q1093" s="1083"/>
      <c r="R1093" s="1092"/>
      <c r="S1093" s="1083"/>
      <c r="T1093" s="1083"/>
      <c r="U1093" s="1083"/>
      <c r="V1093" s="1083"/>
      <c r="W1093" s="1083"/>
      <c r="X1093" s="1083"/>
      <c r="Y1093" s="1083"/>
    </row>
    <row r="1094">
      <c r="A1094" s="1120"/>
      <c r="B1094" s="1120"/>
      <c r="C1094" s="1142"/>
      <c r="D1094" s="1058"/>
      <c r="E1094" s="1081"/>
      <c r="F1094" s="1142"/>
      <c r="G1094" s="1081"/>
      <c r="H1094" s="1142"/>
      <c r="I1094" s="1081"/>
      <c r="J1094" s="1081"/>
      <c r="K1094" s="1081"/>
      <c r="L1094" s="1142"/>
      <c r="M1094" s="1142"/>
      <c r="N1094" s="1081"/>
      <c r="O1094" s="1142"/>
      <c r="P1094" s="1081"/>
      <c r="Q1094" s="1142"/>
      <c r="R1094" s="1081"/>
      <c r="S1094" s="1142"/>
      <c r="T1094" s="1142"/>
      <c r="U1094" s="1142"/>
      <c r="V1094" s="1142"/>
      <c r="W1094" s="1142"/>
      <c r="X1094" s="1142"/>
      <c r="Y1094" s="1142"/>
    </row>
    <row r="1095">
      <c r="A1095" s="1140"/>
      <c r="B1095" s="1140"/>
      <c r="C1095" s="1083"/>
      <c r="D1095" s="1058"/>
      <c r="E1095" s="1092"/>
      <c r="F1095" s="1083"/>
      <c r="G1095" s="1092"/>
      <c r="H1095" s="1083"/>
      <c r="I1095" s="1092"/>
      <c r="J1095" s="1092"/>
      <c r="K1095" s="1092"/>
      <c r="L1095" s="1083"/>
      <c r="M1095" s="1083"/>
      <c r="N1095" s="1092"/>
      <c r="O1095" s="1083"/>
      <c r="P1095" s="1092"/>
      <c r="Q1095" s="1083"/>
      <c r="R1095" s="1092"/>
      <c r="S1095" s="1083"/>
      <c r="T1095" s="1083"/>
      <c r="U1095" s="1083"/>
      <c r="V1095" s="1083"/>
      <c r="W1095" s="1083"/>
      <c r="X1095" s="1083"/>
      <c r="Y1095" s="1083"/>
    </row>
    <row r="1096">
      <c r="A1096" s="1120"/>
      <c r="B1096" s="1120"/>
      <c r="C1096" s="1142"/>
      <c r="D1096" s="1058"/>
      <c r="E1096" s="1081"/>
      <c r="F1096" s="1142"/>
      <c r="G1096" s="1081"/>
      <c r="H1096" s="1142"/>
      <c r="I1096" s="1081"/>
      <c r="J1096" s="1081"/>
      <c r="K1096" s="1081"/>
      <c r="L1096" s="1142"/>
      <c r="M1096" s="1142"/>
      <c r="N1096" s="1081"/>
      <c r="O1096" s="1142"/>
      <c r="P1096" s="1081"/>
      <c r="Q1096" s="1142"/>
      <c r="R1096" s="1081"/>
      <c r="S1096" s="1142"/>
      <c r="T1096" s="1142"/>
      <c r="U1096" s="1142"/>
      <c r="V1096" s="1142"/>
      <c r="W1096" s="1142"/>
      <c r="X1096" s="1142"/>
      <c r="Y1096" s="1142"/>
    </row>
    <row r="1097">
      <c r="A1097" s="1140"/>
      <c r="B1097" s="1140"/>
      <c r="C1097" s="1083"/>
      <c r="D1097" s="1058"/>
      <c r="E1097" s="1092"/>
      <c r="F1097" s="1083"/>
      <c r="G1097" s="1092"/>
      <c r="H1097" s="1083"/>
      <c r="I1097" s="1092"/>
      <c r="J1097" s="1092"/>
      <c r="K1097" s="1092"/>
      <c r="L1097" s="1083"/>
      <c r="M1097" s="1083"/>
      <c r="N1097" s="1092"/>
      <c r="O1097" s="1083"/>
      <c r="P1097" s="1092"/>
      <c r="Q1097" s="1083"/>
      <c r="R1097" s="1092"/>
      <c r="S1097" s="1083"/>
      <c r="T1097" s="1083"/>
      <c r="U1097" s="1083"/>
      <c r="V1097" s="1083"/>
      <c r="W1097" s="1083"/>
      <c r="X1097" s="1083"/>
      <c r="Y1097" s="1083"/>
    </row>
    <row r="1098">
      <c r="A1098" s="1120"/>
      <c r="B1098" s="1120"/>
      <c r="C1098" s="1142"/>
      <c r="D1098" s="1058"/>
      <c r="E1098" s="1081"/>
      <c r="F1098" s="1142"/>
      <c r="G1098" s="1081"/>
      <c r="H1098" s="1142"/>
      <c r="I1098" s="1081"/>
      <c r="J1098" s="1081"/>
      <c r="K1098" s="1081"/>
      <c r="L1098" s="1142"/>
      <c r="M1098" s="1142"/>
      <c r="N1098" s="1081"/>
      <c r="O1098" s="1142"/>
      <c r="P1098" s="1081"/>
      <c r="Q1098" s="1142"/>
      <c r="R1098" s="1081"/>
      <c r="S1098" s="1142"/>
      <c r="T1098" s="1142"/>
      <c r="U1098" s="1142"/>
      <c r="V1098" s="1142"/>
      <c r="W1098" s="1142"/>
      <c r="X1098" s="1142"/>
      <c r="Y1098" s="1142"/>
    </row>
    <row r="1099">
      <c r="A1099" s="1140"/>
      <c r="B1099" s="1140"/>
      <c r="C1099" s="1083"/>
      <c r="D1099" s="1058"/>
      <c r="E1099" s="1092"/>
      <c r="F1099" s="1083"/>
      <c r="G1099" s="1092"/>
      <c r="H1099" s="1083"/>
      <c r="I1099" s="1092"/>
      <c r="J1099" s="1092"/>
      <c r="K1099" s="1092"/>
      <c r="L1099" s="1083"/>
      <c r="M1099" s="1083"/>
      <c r="N1099" s="1092"/>
      <c r="O1099" s="1083"/>
      <c r="P1099" s="1092"/>
      <c r="Q1099" s="1083"/>
      <c r="R1099" s="1092"/>
      <c r="S1099" s="1083"/>
      <c r="T1099" s="1083"/>
      <c r="U1099" s="1083"/>
      <c r="V1099" s="1083"/>
      <c r="W1099" s="1083"/>
      <c r="X1099" s="1083"/>
      <c r="Y1099" s="1083"/>
    </row>
    <row r="1100">
      <c r="A1100" s="1120"/>
      <c r="B1100" s="1120"/>
      <c r="C1100" s="1142"/>
      <c r="D1100" s="1058"/>
      <c r="E1100" s="1081"/>
      <c r="F1100" s="1142"/>
      <c r="G1100" s="1081"/>
      <c r="H1100" s="1142"/>
      <c r="I1100" s="1081"/>
      <c r="J1100" s="1081"/>
      <c r="K1100" s="1081"/>
      <c r="L1100" s="1142"/>
      <c r="M1100" s="1142"/>
      <c r="N1100" s="1081"/>
      <c r="O1100" s="1142"/>
      <c r="P1100" s="1081"/>
      <c r="Q1100" s="1142"/>
      <c r="R1100" s="1081"/>
      <c r="S1100" s="1142"/>
      <c r="T1100" s="1142"/>
      <c r="U1100" s="1142"/>
      <c r="V1100" s="1142"/>
      <c r="W1100" s="1142"/>
      <c r="X1100" s="1142"/>
      <c r="Y1100" s="1142"/>
    </row>
    <row r="1101">
      <c r="A1101" s="1140"/>
      <c r="B1101" s="1140"/>
      <c r="C1101" s="1083"/>
      <c r="D1101" s="1058"/>
      <c r="E1101" s="1092"/>
      <c r="F1101" s="1083"/>
      <c r="G1101" s="1092"/>
      <c r="H1101" s="1083"/>
      <c r="I1101" s="1092"/>
      <c r="J1101" s="1092"/>
      <c r="K1101" s="1092"/>
      <c r="L1101" s="1083"/>
      <c r="M1101" s="1083"/>
      <c r="N1101" s="1092"/>
      <c r="O1101" s="1083"/>
      <c r="P1101" s="1092"/>
      <c r="Q1101" s="1083"/>
      <c r="R1101" s="1092"/>
      <c r="S1101" s="1083"/>
      <c r="T1101" s="1083"/>
      <c r="U1101" s="1083"/>
      <c r="V1101" s="1083"/>
      <c r="W1101" s="1083"/>
      <c r="X1101" s="1083"/>
      <c r="Y1101" s="1083"/>
    </row>
    <row r="1102">
      <c r="A1102" s="1120"/>
      <c r="B1102" s="1120"/>
      <c r="C1102" s="1142"/>
      <c r="D1102" s="1058"/>
      <c r="E1102" s="1081"/>
      <c r="F1102" s="1142"/>
      <c r="G1102" s="1081"/>
      <c r="H1102" s="1142"/>
      <c r="I1102" s="1081"/>
      <c r="J1102" s="1081"/>
      <c r="K1102" s="1081"/>
      <c r="L1102" s="1142"/>
      <c r="M1102" s="1142"/>
      <c r="N1102" s="1081"/>
      <c r="O1102" s="1142"/>
      <c r="P1102" s="1081"/>
      <c r="Q1102" s="1142"/>
      <c r="R1102" s="1081"/>
      <c r="S1102" s="1142"/>
      <c r="T1102" s="1142"/>
      <c r="U1102" s="1142"/>
      <c r="V1102" s="1142"/>
      <c r="W1102" s="1142"/>
      <c r="X1102" s="1142"/>
      <c r="Y1102" s="1142"/>
    </row>
    <row r="1103">
      <c r="A1103" s="1140"/>
      <c r="B1103" s="1140"/>
      <c r="C1103" s="1083"/>
      <c r="D1103" s="1058"/>
      <c r="E1103" s="1092"/>
      <c r="F1103" s="1083"/>
      <c r="G1103" s="1092"/>
      <c r="H1103" s="1083"/>
      <c r="I1103" s="1092"/>
      <c r="J1103" s="1092"/>
      <c r="K1103" s="1092"/>
      <c r="L1103" s="1083"/>
      <c r="M1103" s="1083"/>
      <c r="N1103" s="1092"/>
      <c r="O1103" s="1083"/>
      <c r="P1103" s="1092"/>
      <c r="Q1103" s="1083"/>
      <c r="R1103" s="1092"/>
      <c r="S1103" s="1083"/>
      <c r="T1103" s="1083"/>
      <c r="U1103" s="1083"/>
      <c r="V1103" s="1083"/>
      <c r="W1103" s="1083"/>
      <c r="X1103" s="1083"/>
      <c r="Y1103" s="1083"/>
    </row>
    <row r="1104">
      <c r="A1104" s="1120"/>
      <c r="B1104" s="1120"/>
      <c r="C1104" s="1142"/>
      <c r="D1104" s="1058"/>
      <c r="E1104" s="1081"/>
      <c r="F1104" s="1142"/>
      <c r="G1104" s="1081"/>
      <c r="H1104" s="1142"/>
      <c r="I1104" s="1081"/>
      <c r="J1104" s="1081"/>
      <c r="K1104" s="1081"/>
      <c r="L1104" s="1142"/>
      <c r="M1104" s="1142"/>
      <c r="N1104" s="1081"/>
      <c r="O1104" s="1142"/>
      <c r="P1104" s="1081"/>
      <c r="Q1104" s="1142"/>
      <c r="R1104" s="1081"/>
      <c r="S1104" s="1142"/>
      <c r="T1104" s="1142"/>
      <c r="U1104" s="1142"/>
      <c r="V1104" s="1142"/>
      <c r="W1104" s="1142"/>
      <c r="X1104" s="1142"/>
      <c r="Y1104" s="1142"/>
    </row>
    <row r="1105">
      <c r="A1105" s="1140"/>
      <c r="B1105" s="1140"/>
      <c r="C1105" s="1083"/>
      <c r="D1105" s="1058"/>
      <c r="E1105" s="1092"/>
      <c r="F1105" s="1083"/>
      <c r="G1105" s="1092"/>
      <c r="H1105" s="1083"/>
      <c r="I1105" s="1092"/>
      <c r="J1105" s="1092"/>
      <c r="K1105" s="1092"/>
      <c r="L1105" s="1083"/>
      <c r="M1105" s="1083"/>
      <c r="N1105" s="1092"/>
      <c r="O1105" s="1083"/>
      <c r="P1105" s="1092"/>
      <c r="Q1105" s="1083"/>
      <c r="R1105" s="1092"/>
      <c r="S1105" s="1083"/>
      <c r="T1105" s="1083"/>
      <c r="U1105" s="1083"/>
      <c r="V1105" s="1083"/>
      <c r="W1105" s="1083"/>
      <c r="X1105" s="1083"/>
      <c r="Y1105" s="1083"/>
    </row>
    <row r="1106">
      <c r="A1106" s="1120"/>
      <c r="B1106" s="1120"/>
      <c r="C1106" s="1142"/>
      <c r="D1106" s="1058"/>
      <c r="E1106" s="1081"/>
      <c r="F1106" s="1142"/>
      <c r="G1106" s="1081"/>
      <c r="H1106" s="1142"/>
      <c r="I1106" s="1081"/>
      <c r="J1106" s="1081"/>
      <c r="K1106" s="1081"/>
      <c r="L1106" s="1142"/>
      <c r="M1106" s="1142"/>
      <c r="N1106" s="1081"/>
      <c r="O1106" s="1142"/>
      <c r="P1106" s="1081"/>
      <c r="Q1106" s="1142"/>
      <c r="R1106" s="1081"/>
      <c r="S1106" s="1142"/>
      <c r="T1106" s="1142"/>
      <c r="U1106" s="1142"/>
      <c r="V1106" s="1142"/>
      <c r="W1106" s="1142"/>
      <c r="X1106" s="1142"/>
      <c r="Y1106" s="1142"/>
    </row>
    <row r="1107">
      <c r="A1107" s="1140"/>
      <c r="B1107" s="1140"/>
      <c r="C1107" s="1083"/>
      <c r="D1107" s="1058"/>
      <c r="E1107" s="1092"/>
      <c r="F1107" s="1083"/>
      <c r="G1107" s="1092"/>
      <c r="H1107" s="1083"/>
      <c r="I1107" s="1092"/>
      <c r="J1107" s="1092"/>
      <c r="K1107" s="1092"/>
      <c r="L1107" s="1083"/>
      <c r="M1107" s="1083"/>
      <c r="N1107" s="1092"/>
      <c r="O1107" s="1083"/>
      <c r="P1107" s="1092"/>
      <c r="Q1107" s="1083"/>
      <c r="R1107" s="1092"/>
      <c r="S1107" s="1083"/>
      <c r="T1107" s="1083"/>
      <c r="U1107" s="1083"/>
      <c r="V1107" s="1083"/>
      <c r="W1107" s="1083"/>
      <c r="X1107" s="1083"/>
      <c r="Y1107" s="1083"/>
    </row>
    <row r="1108">
      <c r="A1108" s="1120"/>
      <c r="B1108" s="1120"/>
      <c r="C1108" s="1142"/>
      <c r="D1108" s="1058"/>
      <c r="E1108" s="1081"/>
      <c r="F1108" s="1142"/>
      <c r="G1108" s="1081"/>
      <c r="H1108" s="1142"/>
      <c r="I1108" s="1081"/>
      <c r="J1108" s="1081"/>
      <c r="K1108" s="1081"/>
      <c r="L1108" s="1142"/>
      <c r="M1108" s="1142"/>
      <c r="N1108" s="1081"/>
      <c r="O1108" s="1142"/>
      <c r="P1108" s="1081"/>
      <c r="Q1108" s="1142"/>
      <c r="R1108" s="1081"/>
      <c r="S1108" s="1142"/>
      <c r="T1108" s="1142"/>
      <c r="U1108" s="1142"/>
      <c r="V1108" s="1142"/>
      <c r="W1108" s="1142"/>
      <c r="X1108" s="1142"/>
      <c r="Y1108" s="1142"/>
    </row>
    <row r="1109">
      <c r="A1109" s="1140"/>
      <c r="B1109" s="1140"/>
      <c r="C1109" s="1083"/>
      <c r="D1109" s="1058"/>
      <c r="E1109" s="1092"/>
      <c r="F1109" s="1083"/>
      <c r="G1109" s="1092"/>
      <c r="H1109" s="1083"/>
      <c r="I1109" s="1092"/>
      <c r="J1109" s="1092"/>
      <c r="K1109" s="1092"/>
      <c r="L1109" s="1083"/>
      <c r="M1109" s="1083"/>
      <c r="N1109" s="1092"/>
      <c r="O1109" s="1083"/>
      <c r="P1109" s="1092"/>
      <c r="Q1109" s="1083"/>
      <c r="R1109" s="1092"/>
      <c r="S1109" s="1083"/>
      <c r="T1109" s="1083"/>
      <c r="U1109" s="1083"/>
      <c r="V1109" s="1083"/>
      <c r="W1109" s="1083"/>
      <c r="X1109" s="1083"/>
      <c r="Y1109" s="1083"/>
    </row>
    <row r="1110">
      <c r="A1110" s="1120"/>
      <c r="B1110" s="1120"/>
      <c r="C1110" s="1142"/>
      <c r="D1110" s="1058"/>
      <c r="E1110" s="1081"/>
      <c r="F1110" s="1142"/>
      <c r="G1110" s="1081"/>
      <c r="H1110" s="1142"/>
      <c r="I1110" s="1081"/>
      <c r="J1110" s="1081"/>
      <c r="K1110" s="1081"/>
      <c r="L1110" s="1142"/>
      <c r="M1110" s="1142"/>
      <c r="N1110" s="1081"/>
      <c r="O1110" s="1142"/>
      <c r="P1110" s="1081"/>
      <c r="Q1110" s="1142"/>
      <c r="R1110" s="1081"/>
      <c r="S1110" s="1142"/>
      <c r="T1110" s="1142"/>
      <c r="U1110" s="1142"/>
      <c r="V1110" s="1142"/>
      <c r="W1110" s="1142"/>
      <c r="X1110" s="1142"/>
      <c r="Y1110" s="1142"/>
    </row>
    <row r="1111">
      <c r="A1111" s="1140"/>
      <c r="B1111" s="1140"/>
      <c r="C1111" s="1083"/>
      <c r="D1111" s="1058"/>
      <c r="E1111" s="1092"/>
      <c r="F1111" s="1083"/>
      <c r="G1111" s="1092"/>
      <c r="H1111" s="1083"/>
      <c r="I1111" s="1092"/>
      <c r="J1111" s="1092"/>
      <c r="K1111" s="1092"/>
      <c r="L1111" s="1083"/>
      <c r="M1111" s="1083"/>
      <c r="N1111" s="1092"/>
      <c r="O1111" s="1083"/>
      <c r="P1111" s="1092"/>
      <c r="Q1111" s="1083"/>
      <c r="R1111" s="1092"/>
      <c r="S1111" s="1083"/>
      <c r="T1111" s="1083"/>
      <c r="U1111" s="1083"/>
      <c r="V1111" s="1083"/>
      <c r="W1111" s="1083"/>
      <c r="X1111" s="1083"/>
      <c r="Y1111" s="1083"/>
    </row>
    <row r="1112">
      <c r="A1112" s="1120"/>
      <c r="B1112" s="1120"/>
      <c r="C1112" s="1142"/>
      <c r="D1112" s="1058"/>
      <c r="E1112" s="1081"/>
      <c r="F1112" s="1142"/>
      <c r="G1112" s="1081"/>
      <c r="H1112" s="1142"/>
      <c r="I1112" s="1081"/>
      <c r="J1112" s="1081"/>
      <c r="K1112" s="1081"/>
      <c r="L1112" s="1142"/>
      <c r="M1112" s="1142"/>
      <c r="N1112" s="1081"/>
      <c r="O1112" s="1142"/>
      <c r="P1112" s="1081"/>
      <c r="Q1112" s="1142"/>
      <c r="R1112" s="1081"/>
      <c r="S1112" s="1142"/>
      <c r="T1112" s="1142"/>
      <c r="U1112" s="1142"/>
      <c r="V1112" s="1142"/>
      <c r="W1112" s="1142"/>
      <c r="X1112" s="1142"/>
      <c r="Y1112" s="1142"/>
    </row>
    <row r="1113">
      <c r="A1113" s="1140"/>
      <c r="B1113" s="1140"/>
      <c r="C1113" s="1083"/>
      <c r="D1113" s="1058"/>
      <c r="E1113" s="1092"/>
      <c r="F1113" s="1083"/>
      <c r="G1113" s="1092"/>
      <c r="H1113" s="1083"/>
      <c r="I1113" s="1092"/>
      <c r="J1113" s="1092"/>
      <c r="K1113" s="1092"/>
      <c r="L1113" s="1083"/>
      <c r="M1113" s="1083"/>
      <c r="N1113" s="1092"/>
      <c r="O1113" s="1083"/>
      <c r="P1113" s="1092"/>
      <c r="Q1113" s="1083"/>
      <c r="R1113" s="1092"/>
      <c r="S1113" s="1083"/>
      <c r="T1113" s="1083"/>
      <c r="U1113" s="1083"/>
      <c r="V1113" s="1083"/>
      <c r="W1113" s="1083"/>
      <c r="X1113" s="1083"/>
      <c r="Y1113" s="1083"/>
    </row>
    <row r="1114">
      <c r="A1114" s="1120"/>
      <c r="B1114" s="1120"/>
      <c r="C1114" s="1142"/>
      <c r="D1114" s="1058"/>
      <c r="E1114" s="1081"/>
      <c r="F1114" s="1142"/>
      <c r="G1114" s="1081"/>
      <c r="H1114" s="1142"/>
      <c r="I1114" s="1081"/>
      <c r="J1114" s="1081"/>
      <c r="K1114" s="1081"/>
      <c r="L1114" s="1142"/>
      <c r="M1114" s="1142"/>
      <c r="N1114" s="1081"/>
      <c r="O1114" s="1142"/>
      <c r="P1114" s="1081"/>
      <c r="Q1114" s="1142"/>
      <c r="R1114" s="1081"/>
      <c r="S1114" s="1142"/>
      <c r="T1114" s="1142"/>
      <c r="U1114" s="1142"/>
      <c r="V1114" s="1142"/>
      <c r="W1114" s="1142"/>
      <c r="X1114" s="1142"/>
      <c r="Y1114" s="1142"/>
    </row>
    <row r="1115">
      <c r="A1115" s="1140"/>
      <c r="B1115" s="1140"/>
      <c r="C1115" s="1083"/>
      <c r="D1115" s="1058"/>
      <c r="E1115" s="1092"/>
      <c r="F1115" s="1083"/>
      <c r="G1115" s="1092"/>
      <c r="H1115" s="1083"/>
      <c r="I1115" s="1092"/>
      <c r="J1115" s="1092"/>
      <c r="K1115" s="1092"/>
      <c r="L1115" s="1083"/>
      <c r="M1115" s="1083"/>
      <c r="N1115" s="1092"/>
      <c r="O1115" s="1083"/>
      <c r="P1115" s="1092"/>
      <c r="Q1115" s="1083"/>
      <c r="R1115" s="1092"/>
      <c r="S1115" s="1083"/>
      <c r="T1115" s="1083"/>
      <c r="U1115" s="1083"/>
      <c r="V1115" s="1083"/>
      <c r="W1115" s="1083"/>
      <c r="X1115" s="1083"/>
      <c r="Y1115" s="1083"/>
    </row>
    <row r="1116">
      <c r="A1116" s="1120"/>
      <c r="B1116" s="1120"/>
      <c r="C1116" s="1142"/>
      <c r="D1116" s="1058"/>
      <c r="E1116" s="1081"/>
      <c r="F1116" s="1142"/>
      <c r="G1116" s="1081"/>
      <c r="H1116" s="1142"/>
      <c r="I1116" s="1081"/>
      <c r="J1116" s="1081"/>
      <c r="K1116" s="1081"/>
      <c r="L1116" s="1142"/>
      <c r="M1116" s="1142"/>
      <c r="N1116" s="1081"/>
      <c r="O1116" s="1142"/>
      <c r="P1116" s="1081"/>
      <c r="Q1116" s="1142"/>
      <c r="R1116" s="1081"/>
      <c r="S1116" s="1142"/>
      <c r="T1116" s="1142"/>
      <c r="U1116" s="1142"/>
      <c r="V1116" s="1142"/>
      <c r="W1116" s="1142"/>
      <c r="X1116" s="1142"/>
      <c r="Y1116" s="1142"/>
    </row>
    <row r="1117">
      <c r="A1117" s="1140"/>
      <c r="B1117" s="1140"/>
      <c r="C1117" s="1083"/>
      <c r="D1117" s="1058"/>
      <c r="E1117" s="1092"/>
      <c r="F1117" s="1083"/>
      <c r="G1117" s="1092"/>
      <c r="H1117" s="1083"/>
      <c r="I1117" s="1092"/>
      <c r="J1117" s="1092"/>
      <c r="K1117" s="1092"/>
      <c r="L1117" s="1083"/>
      <c r="M1117" s="1083"/>
      <c r="N1117" s="1092"/>
      <c r="O1117" s="1083"/>
      <c r="P1117" s="1092"/>
      <c r="Q1117" s="1083"/>
      <c r="R1117" s="1092"/>
      <c r="S1117" s="1083"/>
      <c r="T1117" s="1083"/>
      <c r="U1117" s="1083"/>
      <c r="V1117" s="1083"/>
      <c r="W1117" s="1083"/>
      <c r="X1117" s="1083"/>
      <c r="Y1117" s="1083"/>
    </row>
    <row r="1118">
      <c r="A1118" s="1120"/>
      <c r="B1118" s="1120"/>
      <c r="C1118" s="1142"/>
      <c r="D1118" s="1058"/>
      <c r="E1118" s="1081"/>
      <c r="F1118" s="1142"/>
      <c r="G1118" s="1081"/>
      <c r="H1118" s="1142"/>
      <c r="I1118" s="1081"/>
      <c r="J1118" s="1081"/>
      <c r="K1118" s="1081"/>
      <c r="L1118" s="1142"/>
      <c r="M1118" s="1142"/>
      <c r="N1118" s="1081"/>
      <c r="O1118" s="1142"/>
      <c r="P1118" s="1081"/>
      <c r="Q1118" s="1142"/>
      <c r="R1118" s="1081"/>
      <c r="S1118" s="1142"/>
      <c r="T1118" s="1142"/>
      <c r="U1118" s="1142"/>
      <c r="V1118" s="1142"/>
      <c r="W1118" s="1142"/>
      <c r="X1118" s="1142"/>
      <c r="Y1118" s="1142"/>
    </row>
    <row r="1119">
      <c r="A1119" s="1140"/>
      <c r="B1119" s="1140"/>
      <c r="C1119" s="1083"/>
      <c r="D1119" s="1058"/>
      <c r="E1119" s="1092"/>
      <c r="F1119" s="1083"/>
      <c r="G1119" s="1092"/>
      <c r="H1119" s="1083"/>
      <c r="I1119" s="1092"/>
      <c r="J1119" s="1092"/>
      <c r="K1119" s="1092"/>
      <c r="L1119" s="1083"/>
      <c r="M1119" s="1083"/>
      <c r="N1119" s="1092"/>
      <c r="O1119" s="1083"/>
      <c r="P1119" s="1092"/>
      <c r="Q1119" s="1083"/>
      <c r="R1119" s="1092"/>
      <c r="S1119" s="1083"/>
      <c r="T1119" s="1083"/>
      <c r="U1119" s="1083"/>
      <c r="V1119" s="1083"/>
      <c r="W1119" s="1083"/>
      <c r="X1119" s="1083"/>
      <c r="Y1119" s="1083"/>
    </row>
    <row r="1120">
      <c r="A1120" s="1120"/>
      <c r="B1120" s="1120"/>
      <c r="C1120" s="1142"/>
      <c r="D1120" s="1058"/>
      <c r="E1120" s="1081"/>
      <c r="F1120" s="1142"/>
      <c r="G1120" s="1081"/>
      <c r="H1120" s="1142"/>
      <c r="I1120" s="1081"/>
      <c r="J1120" s="1081"/>
      <c r="K1120" s="1081"/>
      <c r="L1120" s="1142"/>
      <c r="M1120" s="1142"/>
      <c r="N1120" s="1081"/>
      <c r="O1120" s="1142"/>
      <c r="P1120" s="1081"/>
      <c r="Q1120" s="1142"/>
      <c r="R1120" s="1081"/>
      <c r="S1120" s="1142"/>
      <c r="T1120" s="1142"/>
      <c r="U1120" s="1142"/>
      <c r="V1120" s="1142"/>
      <c r="W1120" s="1142"/>
      <c r="X1120" s="1142"/>
      <c r="Y1120" s="1142"/>
    </row>
    <row r="1121">
      <c r="A1121" s="1140"/>
      <c r="B1121" s="1140"/>
      <c r="C1121" s="1083"/>
      <c r="D1121" s="1058"/>
      <c r="E1121" s="1092"/>
      <c r="F1121" s="1083"/>
      <c r="G1121" s="1092"/>
      <c r="H1121" s="1083"/>
      <c r="I1121" s="1092"/>
      <c r="J1121" s="1092"/>
      <c r="K1121" s="1092"/>
      <c r="L1121" s="1083"/>
      <c r="M1121" s="1083"/>
      <c r="N1121" s="1092"/>
      <c r="O1121" s="1083"/>
      <c r="P1121" s="1092"/>
      <c r="Q1121" s="1083"/>
      <c r="R1121" s="1092"/>
      <c r="S1121" s="1083"/>
      <c r="T1121" s="1083"/>
      <c r="U1121" s="1083"/>
      <c r="V1121" s="1083"/>
      <c r="W1121" s="1083"/>
      <c r="X1121" s="1083"/>
      <c r="Y1121" s="1083"/>
    </row>
    <row r="1122">
      <c r="A1122" s="1120"/>
      <c r="B1122" s="1120"/>
      <c r="C1122" s="1142"/>
      <c r="D1122" s="1058"/>
      <c r="E1122" s="1081"/>
      <c r="F1122" s="1142"/>
      <c r="G1122" s="1081"/>
      <c r="H1122" s="1142"/>
      <c r="I1122" s="1081"/>
      <c r="J1122" s="1081"/>
      <c r="K1122" s="1081"/>
      <c r="L1122" s="1142"/>
      <c r="M1122" s="1142"/>
      <c r="N1122" s="1081"/>
      <c r="O1122" s="1142"/>
      <c r="P1122" s="1081"/>
      <c r="Q1122" s="1142"/>
      <c r="R1122" s="1081"/>
      <c r="S1122" s="1142"/>
      <c r="T1122" s="1142"/>
      <c r="U1122" s="1142"/>
      <c r="V1122" s="1142"/>
      <c r="W1122" s="1142"/>
      <c r="X1122" s="1142"/>
      <c r="Y1122" s="1142"/>
    </row>
    <row r="1123">
      <c r="A1123" s="1140"/>
      <c r="B1123" s="1140"/>
      <c r="C1123" s="1083"/>
      <c r="D1123" s="1058"/>
      <c r="E1123" s="1092"/>
      <c r="F1123" s="1083"/>
      <c r="G1123" s="1092"/>
      <c r="H1123" s="1083"/>
      <c r="I1123" s="1092"/>
      <c r="J1123" s="1092"/>
      <c r="K1123" s="1092"/>
      <c r="L1123" s="1083"/>
      <c r="M1123" s="1083"/>
      <c r="N1123" s="1092"/>
      <c r="O1123" s="1083"/>
      <c r="P1123" s="1092"/>
      <c r="Q1123" s="1083"/>
      <c r="R1123" s="1092"/>
      <c r="S1123" s="1083"/>
      <c r="T1123" s="1083"/>
      <c r="U1123" s="1083"/>
      <c r="V1123" s="1083"/>
      <c r="W1123" s="1083"/>
      <c r="X1123" s="1083"/>
      <c r="Y1123" s="1083"/>
    </row>
    <row r="1124">
      <c r="A1124" s="1120"/>
      <c r="B1124" s="1120"/>
      <c r="C1124" s="1142"/>
      <c r="D1124" s="1058"/>
      <c r="E1124" s="1081"/>
      <c r="F1124" s="1142"/>
      <c r="G1124" s="1081"/>
      <c r="H1124" s="1142"/>
      <c r="I1124" s="1081"/>
      <c r="J1124" s="1081"/>
      <c r="K1124" s="1081"/>
      <c r="L1124" s="1142"/>
      <c r="M1124" s="1142"/>
      <c r="N1124" s="1081"/>
      <c r="O1124" s="1142"/>
      <c r="P1124" s="1081"/>
      <c r="Q1124" s="1142"/>
      <c r="R1124" s="1081"/>
      <c r="S1124" s="1142"/>
      <c r="T1124" s="1142"/>
      <c r="U1124" s="1142"/>
      <c r="V1124" s="1142"/>
      <c r="W1124" s="1142"/>
      <c r="X1124" s="1142"/>
      <c r="Y1124" s="1142"/>
    </row>
    <row r="1125">
      <c r="A1125" s="1140"/>
      <c r="B1125" s="1140"/>
      <c r="C1125" s="1083"/>
      <c r="D1125" s="1058"/>
      <c r="E1125" s="1092"/>
      <c r="F1125" s="1083"/>
      <c r="G1125" s="1092"/>
      <c r="H1125" s="1083"/>
      <c r="I1125" s="1092"/>
      <c r="J1125" s="1092"/>
      <c r="K1125" s="1092"/>
      <c r="L1125" s="1083"/>
      <c r="M1125" s="1083"/>
      <c r="N1125" s="1092"/>
      <c r="O1125" s="1083"/>
      <c r="P1125" s="1092"/>
      <c r="Q1125" s="1083"/>
      <c r="R1125" s="1092"/>
      <c r="S1125" s="1083"/>
      <c r="T1125" s="1083"/>
      <c r="U1125" s="1083"/>
      <c r="V1125" s="1083"/>
      <c r="W1125" s="1083"/>
      <c r="X1125" s="1083"/>
      <c r="Y1125" s="1083"/>
    </row>
    <row r="1126">
      <c r="A1126" s="1120"/>
      <c r="B1126" s="1120"/>
      <c r="C1126" s="1142"/>
      <c r="D1126" s="1058"/>
      <c r="E1126" s="1081"/>
      <c r="F1126" s="1142"/>
      <c r="G1126" s="1081"/>
      <c r="H1126" s="1142"/>
      <c r="I1126" s="1081"/>
      <c r="J1126" s="1081"/>
      <c r="K1126" s="1081"/>
      <c r="L1126" s="1142"/>
      <c r="M1126" s="1142"/>
      <c r="N1126" s="1081"/>
      <c r="O1126" s="1142"/>
      <c r="P1126" s="1081"/>
      <c r="Q1126" s="1142"/>
      <c r="R1126" s="1081"/>
      <c r="S1126" s="1142"/>
      <c r="T1126" s="1142"/>
      <c r="U1126" s="1142"/>
      <c r="V1126" s="1142"/>
      <c r="W1126" s="1142"/>
      <c r="X1126" s="1142"/>
      <c r="Y1126" s="1142"/>
    </row>
    <row r="1127">
      <c r="A1127" s="1140"/>
      <c r="B1127" s="1140"/>
      <c r="C1127" s="1083"/>
      <c r="D1127" s="1058"/>
      <c r="E1127" s="1092"/>
      <c r="F1127" s="1083"/>
      <c r="G1127" s="1092"/>
      <c r="H1127" s="1083"/>
      <c r="I1127" s="1092"/>
      <c r="J1127" s="1092"/>
      <c r="K1127" s="1092"/>
      <c r="L1127" s="1083"/>
      <c r="M1127" s="1083"/>
      <c r="N1127" s="1092"/>
      <c r="O1127" s="1083"/>
      <c r="P1127" s="1092"/>
      <c r="Q1127" s="1083"/>
      <c r="R1127" s="1092"/>
      <c r="S1127" s="1083"/>
      <c r="T1127" s="1083"/>
      <c r="U1127" s="1083"/>
      <c r="V1127" s="1083"/>
      <c r="W1127" s="1083"/>
      <c r="X1127" s="1083"/>
      <c r="Y1127" s="1083"/>
    </row>
    <row r="1128">
      <c r="A1128" s="1120"/>
      <c r="B1128" s="1120"/>
      <c r="C1128" s="1142"/>
      <c r="D1128" s="1058"/>
      <c r="E1128" s="1081"/>
      <c r="F1128" s="1142"/>
      <c r="G1128" s="1081"/>
      <c r="H1128" s="1142"/>
      <c r="I1128" s="1081"/>
      <c r="J1128" s="1081"/>
      <c r="K1128" s="1081"/>
      <c r="L1128" s="1142"/>
      <c r="M1128" s="1142"/>
      <c r="N1128" s="1081"/>
      <c r="O1128" s="1142"/>
      <c r="P1128" s="1081"/>
      <c r="Q1128" s="1142"/>
      <c r="R1128" s="1081"/>
      <c r="S1128" s="1142"/>
      <c r="T1128" s="1142"/>
      <c r="U1128" s="1142"/>
      <c r="V1128" s="1142"/>
      <c r="W1128" s="1142"/>
      <c r="X1128" s="1142"/>
      <c r="Y1128" s="1142"/>
    </row>
    <row r="1129">
      <c r="A1129" s="1140"/>
      <c r="B1129" s="1140"/>
      <c r="C1129" s="1083"/>
      <c r="D1129" s="1058"/>
      <c r="E1129" s="1092"/>
      <c r="F1129" s="1083"/>
      <c r="G1129" s="1092"/>
      <c r="H1129" s="1083"/>
      <c r="I1129" s="1092"/>
      <c r="J1129" s="1092"/>
      <c r="K1129" s="1092"/>
      <c r="L1129" s="1083"/>
      <c r="M1129" s="1083"/>
      <c r="N1129" s="1092"/>
      <c r="O1129" s="1083"/>
      <c r="P1129" s="1092"/>
      <c r="Q1129" s="1083"/>
      <c r="R1129" s="1092"/>
      <c r="S1129" s="1083"/>
      <c r="T1129" s="1083"/>
      <c r="U1129" s="1083"/>
      <c r="V1129" s="1083"/>
      <c r="W1129" s="1083"/>
      <c r="X1129" s="1083"/>
      <c r="Y1129" s="1083"/>
    </row>
    <row r="1130">
      <c r="A1130" s="1120"/>
      <c r="B1130" s="1120"/>
      <c r="C1130" s="1142"/>
      <c r="D1130" s="1058"/>
      <c r="E1130" s="1081"/>
      <c r="F1130" s="1142"/>
      <c r="G1130" s="1081"/>
      <c r="H1130" s="1142"/>
      <c r="I1130" s="1081"/>
      <c r="J1130" s="1081"/>
      <c r="K1130" s="1081"/>
      <c r="L1130" s="1142"/>
      <c r="M1130" s="1142"/>
      <c r="N1130" s="1081"/>
      <c r="O1130" s="1142"/>
      <c r="P1130" s="1081"/>
      <c r="Q1130" s="1142"/>
      <c r="R1130" s="1081"/>
      <c r="S1130" s="1142"/>
      <c r="T1130" s="1142"/>
      <c r="U1130" s="1142"/>
      <c r="V1130" s="1142"/>
      <c r="W1130" s="1142"/>
      <c r="X1130" s="1142"/>
      <c r="Y1130" s="1142"/>
    </row>
    <row r="1131">
      <c r="A1131" s="1140"/>
      <c r="B1131" s="1140"/>
      <c r="C1131" s="1083"/>
      <c r="D1131" s="1058"/>
      <c r="E1131" s="1092"/>
      <c r="F1131" s="1083"/>
      <c r="G1131" s="1092"/>
      <c r="H1131" s="1083"/>
      <c r="I1131" s="1092"/>
      <c r="J1131" s="1092"/>
      <c r="K1131" s="1092"/>
      <c r="L1131" s="1083"/>
      <c r="M1131" s="1083"/>
      <c r="N1131" s="1092"/>
      <c r="O1131" s="1083"/>
      <c r="P1131" s="1092"/>
      <c r="Q1131" s="1083"/>
      <c r="R1131" s="1092"/>
      <c r="S1131" s="1083"/>
      <c r="T1131" s="1083"/>
      <c r="U1131" s="1083"/>
      <c r="V1131" s="1083"/>
      <c r="W1131" s="1083"/>
      <c r="X1131" s="1083"/>
      <c r="Y1131" s="1083"/>
    </row>
    <row r="1132">
      <c r="A1132" s="1120"/>
      <c r="B1132" s="1120"/>
      <c r="C1132" s="1142"/>
      <c r="D1132" s="1058"/>
      <c r="E1132" s="1081"/>
      <c r="F1132" s="1142"/>
      <c r="G1132" s="1081"/>
      <c r="H1132" s="1142"/>
      <c r="I1132" s="1081"/>
      <c r="J1132" s="1081"/>
      <c r="K1132" s="1081"/>
      <c r="L1132" s="1142"/>
      <c r="M1132" s="1142"/>
      <c r="N1132" s="1081"/>
      <c r="O1132" s="1142"/>
      <c r="P1132" s="1081"/>
      <c r="Q1132" s="1142"/>
      <c r="R1132" s="1081"/>
      <c r="S1132" s="1142"/>
      <c r="T1132" s="1142"/>
      <c r="U1132" s="1142"/>
      <c r="V1132" s="1142"/>
      <c r="W1132" s="1142"/>
      <c r="X1132" s="1142"/>
      <c r="Y1132" s="1142"/>
    </row>
    <row r="1133">
      <c r="A1133" s="1140"/>
      <c r="B1133" s="1140"/>
      <c r="C1133" s="1083"/>
      <c r="D1133" s="1058"/>
      <c r="E1133" s="1092"/>
      <c r="F1133" s="1083"/>
      <c r="G1133" s="1092"/>
      <c r="H1133" s="1083"/>
      <c r="I1133" s="1092"/>
      <c r="J1133" s="1092"/>
      <c r="K1133" s="1092"/>
      <c r="L1133" s="1083"/>
      <c r="M1133" s="1083"/>
      <c r="N1133" s="1092"/>
      <c r="O1133" s="1083"/>
      <c r="P1133" s="1092"/>
      <c r="Q1133" s="1083"/>
      <c r="R1133" s="1092"/>
      <c r="S1133" s="1083"/>
      <c r="T1133" s="1083"/>
      <c r="U1133" s="1083"/>
      <c r="V1133" s="1083"/>
      <c r="W1133" s="1083"/>
      <c r="X1133" s="1083"/>
      <c r="Y1133" s="1083"/>
    </row>
    <row r="1134">
      <c r="A1134" s="1120"/>
      <c r="B1134" s="1120"/>
      <c r="C1134" s="1142"/>
      <c r="D1134" s="1058"/>
      <c r="E1134" s="1081"/>
      <c r="F1134" s="1142"/>
      <c r="G1134" s="1081"/>
      <c r="H1134" s="1142"/>
      <c r="I1134" s="1081"/>
      <c r="J1134" s="1081"/>
      <c r="K1134" s="1081"/>
      <c r="L1134" s="1142"/>
      <c r="M1134" s="1142"/>
      <c r="N1134" s="1081"/>
      <c r="O1134" s="1142"/>
      <c r="P1134" s="1081"/>
      <c r="Q1134" s="1142"/>
      <c r="R1134" s="1081"/>
      <c r="S1134" s="1142"/>
      <c r="T1134" s="1142"/>
      <c r="U1134" s="1142"/>
      <c r="V1134" s="1142"/>
      <c r="W1134" s="1142"/>
      <c r="X1134" s="1142"/>
      <c r="Y1134" s="1142"/>
    </row>
    <row r="1135">
      <c r="A1135" s="1140"/>
      <c r="B1135" s="1140"/>
      <c r="C1135" s="1083"/>
      <c r="D1135" s="1058"/>
      <c r="E1135" s="1092"/>
      <c r="F1135" s="1083"/>
      <c r="G1135" s="1092"/>
      <c r="H1135" s="1083"/>
      <c r="I1135" s="1092"/>
      <c r="J1135" s="1092"/>
      <c r="K1135" s="1092"/>
      <c r="L1135" s="1083"/>
      <c r="M1135" s="1083"/>
      <c r="N1135" s="1092"/>
      <c r="O1135" s="1083"/>
      <c r="P1135" s="1092"/>
      <c r="Q1135" s="1083"/>
      <c r="R1135" s="1092"/>
      <c r="S1135" s="1083"/>
      <c r="T1135" s="1083"/>
      <c r="U1135" s="1083"/>
      <c r="V1135" s="1083"/>
      <c r="W1135" s="1083"/>
      <c r="X1135" s="1083"/>
      <c r="Y1135" s="1083"/>
    </row>
    <row r="1136">
      <c r="A1136" s="1120"/>
      <c r="B1136" s="1120"/>
      <c r="C1136" s="1142"/>
      <c r="D1136" s="1058"/>
      <c r="E1136" s="1081"/>
      <c r="F1136" s="1142"/>
      <c r="G1136" s="1081"/>
      <c r="H1136" s="1142"/>
      <c r="I1136" s="1081"/>
      <c r="J1136" s="1081"/>
      <c r="K1136" s="1081"/>
      <c r="L1136" s="1142"/>
      <c r="M1136" s="1142"/>
      <c r="N1136" s="1081"/>
      <c r="O1136" s="1142"/>
      <c r="P1136" s="1081"/>
      <c r="Q1136" s="1142"/>
      <c r="R1136" s="1081"/>
      <c r="S1136" s="1142"/>
      <c r="T1136" s="1142"/>
      <c r="U1136" s="1142"/>
      <c r="V1136" s="1142"/>
      <c r="W1136" s="1142"/>
      <c r="X1136" s="1142"/>
      <c r="Y1136" s="1142"/>
    </row>
    <row r="1137">
      <c r="A1137" s="1140"/>
      <c r="B1137" s="1140"/>
      <c r="C1137" s="1083"/>
      <c r="D1137" s="1058"/>
      <c r="E1137" s="1092"/>
      <c r="F1137" s="1083"/>
      <c r="G1137" s="1092"/>
      <c r="H1137" s="1083"/>
      <c r="I1137" s="1092"/>
      <c r="J1137" s="1092"/>
      <c r="K1137" s="1092"/>
      <c r="L1137" s="1083"/>
      <c r="M1137" s="1083"/>
      <c r="N1137" s="1092"/>
      <c r="O1137" s="1083"/>
      <c r="P1137" s="1092"/>
      <c r="Q1137" s="1083"/>
      <c r="R1137" s="1092"/>
      <c r="S1137" s="1083"/>
      <c r="T1137" s="1083"/>
      <c r="U1137" s="1083"/>
      <c r="V1137" s="1083"/>
      <c r="W1137" s="1083"/>
      <c r="X1137" s="1083"/>
      <c r="Y1137" s="1083"/>
    </row>
    <row r="1138">
      <c r="A1138" s="1120"/>
      <c r="B1138" s="1120"/>
      <c r="C1138" s="1142"/>
      <c r="D1138" s="1058"/>
      <c r="E1138" s="1081"/>
      <c r="F1138" s="1142"/>
      <c r="G1138" s="1081"/>
      <c r="H1138" s="1142"/>
      <c r="I1138" s="1081"/>
      <c r="J1138" s="1081"/>
      <c r="K1138" s="1081"/>
      <c r="L1138" s="1142"/>
      <c r="M1138" s="1142"/>
      <c r="N1138" s="1081"/>
      <c r="O1138" s="1142"/>
      <c r="P1138" s="1081"/>
      <c r="Q1138" s="1142"/>
      <c r="R1138" s="1081"/>
      <c r="S1138" s="1142"/>
      <c r="T1138" s="1142"/>
      <c r="U1138" s="1142"/>
      <c r="V1138" s="1142"/>
      <c r="W1138" s="1142"/>
      <c r="X1138" s="1142"/>
      <c r="Y1138" s="1142"/>
    </row>
    <row r="1139">
      <c r="A1139" s="1140"/>
      <c r="B1139" s="1140"/>
      <c r="C1139" s="1083"/>
      <c r="D1139" s="1058"/>
      <c r="E1139" s="1092"/>
      <c r="F1139" s="1083"/>
      <c r="G1139" s="1092"/>
      <c r="H1139" s="1083"/>
      <c r="I1139" s="1092"/>
      <c r="J1139" s="1092"/>
      <c r="K1139" s="1092"/>
      <c r="L1139" s="1083"/>
      <c r="M1139" s="1083"/>
      <c r="N1139" s="1092"/>
      <c r="O1139" s="1083"/>
      <c r="P1139" s="1092"/>
      <c r="Q1139" s="1083"/>
      <c r="R1139" s="1092"/>
      <c r="S1139" s="1083"/>
      <c r="T1139" s="1083"/>
      <c r="U1139" s="1083"/>
      <c r="V1139" s="1083"/>
      <c r="W1139" s="1083"/>
      <c r="X1139" s="1083"/>
      <c r="Y1139" s="1083"/>
    </row>
    <row r="1140">
      <c r="A1140" s="1120"/>
      <c r="B1140" s="1120"/>
      <c r="C1140" s="1142"/>
      <c r="D1140" s="1058"/>
      <c r="E1140" s="1081"/>
      <c r="F1140" s="1142"/>
      <c r="G1140" s="1081"/>
      <c r="H1140" s="1142"/>
      <c r="I1140" s="1081"/>
      <c r="J1140" s="1081"/>
      <c r="K1140" s="1081"/>
      <c r="L1140" s="1142"/>
      <c r="M1140" s="1142"/>
      <c r="N1140" s="1081"/>
      <c r="O1140" s="1142"/>
      <c r="P1140" s="1081"/>
      <c r="Q1140" s="1142"/>
      <c r="R1140" s="1081"/>
      <c r="S1140" s="1142"/>
      <c r="T1140" s="1142"/>
      <c r="U1140" s="1142"/>
      <c r="V1140" s="1142"/>
      <c r="W1140" s="1142"/>
      <c r="X1140" s="1142"/>
      <c r="Y1140" s="1142"/>
    </row>
    <row r="1141">
      <c r="A1141" s="1140"/>
      <c r="B1141" s="1140"/>
      <c r="C1141" s="1083"/>
      <c r="D1141" s="1058"/>
      <c r="E1141" s="1092"/>
      <c r="F1141" s="1083"/>
      <c r="G1141" s="1092"/>
      <c r="H1141" s="1083"/>
      <c r="I1141" s="1092"/>
      <c r="J1141" s="1092"/>
      <c r="K1141" s="1092"/>
      <c r="L1141" s="1083"/>
      <c r="M1141" s="1083"/>
      <c r="N1141" s="1092"/>
      <c r="O1141" s="1083"/>
      <c r="P1141" s="1092"/>
      <c r="Q1141" s="1083"/>
      <c r="R1141" s="1092"/>
      <c r="S1141" s="1083"/>
      <c r="T1141" s="1083"/>
      <c r="U1141" s="1083"/>
      <c r="V1141" s="1083"/>
      <c r="W1141" s="1083"/>
      <c r="X1141" s="1083"/>
      <c r="Y1141" s="1083"/>
    </row>
    <row r="1142">
      <c r="A1142" s="1120"/>
      <c r="B1142" s="1120"/>
      <c r="C1142" s="1142"/>
      <c r="D1142" s="1058"/>
      <c r="E1142" s="1081"/>
      <c r="F1142" s="1142"/>
      <c r="G1142" s="1081"/>
      <c r="H1142" s="1142"/>
      <c r="I1142" s="1081"/>
      <c r="J1142" s="1081"/>
      <c r="K1142" s="1081"/>
      <c r="L1142" s="1142"/>
      <c r="M1142" s="1142"/>
      <c r="N1142" s="1081"/>
      <c r="O1142" s="1142"/>
      <c r="P1142" s="1081"/>
      <c r="Q1142" s="1142"/>
      <c r="R1142" s="1081"/>
      <c r="S1142" s="1142"/>
      <c r="T1142" s="1142"/>
      <c r="U1142" s="1142"/>
      <c r="V1142" s="1142"/>
      <c r="W1142" s="1142"/>
      <c r="X1142" s="1142"/>
      <c r="Y1142" s="1142"/>
    </row>
    <row r="1143">
      <c r="A1143" s="1140"/>
      <c r="B1143" s="1140"/>
      <c r="C1143" s="1083"/>
      <c r="D1143" s="1058"/>
      <c r="E1143" s="1092"/>
      <c r="F1143" s="1083"/>
      <c r="G1143" s="1092"/>
      <c r="H1143" s="1083"/>
      <c r="I1143" s="1092"/>
      <c r="J1143" s="1092"/>
      <c r="K1143" s="1092"/>
      <c r="L1143" s="1083"/>
      <c r="M1143" s="1083"/>
      <c r="N1143" s="1092"/>
      <c r="O1143" s="1083"/>
      <c r="P1143" s="1092"/>
      <c r="Q1143" s="1083"/>
      <c r="R1143" s="1092"/>
      <c r="S1143" s="1083"/>
      <c r="T1143" s="1083"/>
      <c r="U1143" s="1083"/>
      <c r="V1143" s="1083"/>
      <c r="W1143" s="1083"/>
      <c r="X1143" s="1083"/>
      <c r="Y1143" s="1083"/>
    </row>
    <row r="1144">
      <c r="A1144" s="1120"/>
      <c r="B1144" s="1120"/>
      <c r="C1144" s="1142"/>
      <c r="D1144" s="1058"/>
      <c r="E1144" s="1081"/>
      <c r="F1144" s="1142"/>
      <c r="G1144" s="1081"/>
      <c r="H1144" s="1142"/>
      <c r="I1144" s="1081"/>
      <c r="J1144" s="1081"/>
      <c r="K1144" s="1081"/>
      <c r="L1144" s="1142"/>
      <c r="M1144" s="1142"/>
      <c r="N1144" s="1081"/>
      <c r="O1144" s="1142"/>
      <c r="P1144" s="1081"/>
      <c r="Q1144" s="1142"/>
      <c r="R1144" s="1081"/>
      <c r="S1144" s="1142"/>
      <c r="T1144" s="1142"/>
      <c r="U1144" s="1142"/>
      <c r="V1144" s="1142"/>
      <c r="W1144" s="1142"/>
      <c r="X1144" s="1142"/>
      <c r="Y1144" s="1142"/>
    </row>
    <row r="1145">
      <c r="A1145" s="1140"/>
      <c r="B1145" s="1140"/>
      <c r="C1145" s="1083"/>
      <c r="D1145" s="1058"/>
      <c r="E1145" s="1092"/>
      <c r="F1145" s="1083"/>
      <c r="G1145" s="1092"/>
      <c r="H1145" s="1083"/>
      <c r="I1145" s="1092"/>
      <c r="J1145" s="1092"/>
      <c r="K1145" s="1092"/>
      <c r="L1145" s="1083"/>
      <c r="M1145" s="1083"/>
      <c r="N1145" s="1092"/>
      <c r="O1145" s="1083"/>
      <c r="P1145" s="1092"/>
      <c r="Q1145" s="1083"/>
      <c r="R1145" s="1092"/>
      <c r="S1145" s="1083"/>
      <c r="T1145" s="1083"/>
      <c r="U1145" s="1083"/>
      <c r="V1145" s="1083"/>
      <c r="W1145" s="1083"/>
      <c r="X1145" s="1083"/>
      <c r="Y1145" s="1083"/>
    </row>
    <row r="1146">
      <c r="A1146" s="1120"/>
      <c r="B1146" s="1120"/>
      <c r="C1146" s="1142"/>
      <c r="D1146" s="1058"/>
      <c r="E1146" s="1081"/>
      <c r="F1146" s="1142"/>
      <c r="G1146" s="1081"/>
      <c r="H1146" s="1142"/>
      <c r="I1146" s="1081"/>
      <c r="J1146" s="1081"/>
      <c r="K1146" s="1081"/>
      <c r="L1146" s="1142"/>
      <c r="M1146" s="1142"/>
      <c r="N1146" s="1081"/>
      <c r="O1146" s="1142"/>
      <c r="P1146" s="1081"/>
      <c r="Q1146" s="1142"/>
      <c r="R1146" s="1081"/>
      <c r="S1146" s="1142"/>
      <c r="T1146" s="1142"/>
      <c r="U1146" s="1142"/>
      <c r="V1146" s="1142"/>
      <c r="W1146" s="1142"/>
      <c r="X1146" s="1142"/>
      <c r="Y1146" s="1142"/>
    </row>
    <row r="1147">
      <c r="A1147" s="1140"/>
      <c r="B1147" s="1140"/>
      <c r="C1147" s="1083"/>
      <c r="D1147" s="1058"/>
      <c r="E1147" s="1092"/>
      <c r="F1147" s="1083"/>
      <c r="G1147" s="1092"/>
      <c r="H1147" s="1083"/>
      <c r="I1147" s="1092"/>
      <c r="J1147" s="1092"/>
      <c r="K1147" s="1092"/>
      <c r="L1147" s="1083"/>
      <c r="M1147" s="1083"/>
      <c r="N1147" s="1092"/>
      <c r="O1147" s="1083"/>
      <c r="P1147" s="1092"/>
      <c r="Q1147" s="1083"/>
      <c r="R1147" s="1092"/>
      <c r="S1147" s="1083"/>
      <c r="T1147" s="1083"/>
      <c r="U1147" s="1083"/>
      <c r="V1147" s="1083"/>
      <c r="W1147" s="1083"/>
      <c r="X1147" s="1083"/>
      <c r="Y1147" s="1083"/>
    </row>
    <row r="1148">
      <c r="A1148" s="1120"/>
      <c r="B1148" s="1120"/>
      <c r="C1148" s="1142"/>
      <c r="D1148" s="1058"/>
      <c r="E1148" s="1081"/>
      <c r="F1148" s="1142"/>
      <c r="G1148" s="1081"/>
      <c r="H1148" s="1142"/>
      <c r="I1148" s="1081"/>
      <c r="J1148" s="1081"/>
      <c r="K1148" s="1081"/>
      <c r="L1148" s="1142"/>
      <c r="M1148" s="1142"/>
      <c r="N1148" s="1081"/>
      <c r="O1148" s="1142"/>
      <c r="P1148" s="1081"/>
      <c r="Q1148" s="1142"/>
      <c r="R1148" s="1081"/>
      <c r="S1148" s="1142"/>
      <c r="T1148" s="1142"/>
      <c r="U1148" s="1142"/>
      <c r="V1148" s="1142"/>
      <c r="W1148" s="1142"/>
      <c r="X1148" s="1142"/>
      <c r="Y1148" s="1142"/>
    </row>
    <row r="1149">
      <c r="A1149" s="1140"/>
      <c r="B1149" s="1140"/>
      <c r="C1149" s="1083"/>
      <c r="D1149" s="1058"/>
      <c r="E1149" s="1092"/>
      <c r="F1149" s="1083"/>
      <c r="G1149" s="1092"/>
      <c r="H1149" s="1083"/>
      <c r="I1149" s="1092"/>
      <c r="J1149" s="1092"/>
      <c r="K1149" s="1092"/>
      <c r="L1149" s="1083"/>
      <c r="M1149" s="1083"/>
      <c r="N1149" s="1092"/>
      <c r="O1149" s="1083"/>
      <c r="P1149" s="1092"/>
      <c r="Q1149" s="1083"/>
      <c r="R1149" s="1092"/>
      <c r="S1149" s="1083"/>
      <c r="T1149" s="1083"/>
      <c r="U1149" s="1083"/>
      <c r="V1149" s="1083"/>
      <c r="W1149" s="1083"/>
      <c r="X1149" s="1083"/>
      <c r="Y1149" s="1083"/>
    </row>
    <row r="1150">
      <c r="A1150" s="1120"/>
      <c r="B1150" s="1120"/>
      <c r="C1150" s="1142"/>
      <c r="D1150" s="1058"/>
      <c r="E1150" s="1081"/>
      <c r="F1150" s="1142"/>
      <c r="G1150" s="1081"/>
      <c r="H1150" s="1142"/>
      <c r="I1150" s="1081"/>
      <c r="J1150" s="1081"/>
      <c r="K1150" s="1081"/>
      <c r="L1150" s="1142"/>
      <c r="M1150" s="1142"/>
      <c r="N1150" s="1081"/>
      <c r="O1150" s="1142"/>
      <c r="P1150" s="1081"/>
      <c r="Q1150" s="1142"/>
      <c r="R1150" s="1081"/>
      <c r="S1150" s="1142"/>
      <c r="T1150" s="1142"/>
      <c r="U1150" s="1142"/>
      <c r="V1150" s="1142"/>
      <c r="W1150" s="1142"/>
      <c r="X1150" s="1142"/>
      <c r="Y1150" s="1142"/>
    </row>
    <row r="1151">
      <c r="A1151" s="1140"/>
      <c r="B1151" s="1140"/>
      <c r="C1151" s="1083"/>
      <c r="D1151" s="1058"/>
      <c r="E1151" s="1092"/>
      <c r="F1151" s="1083"/>
      <c r="G1151" s="1092"/>
      <c r="H1151" s="1083"/>
      <c r="I1151" s="1092"/>
      <c r="J1151" s="1092"/>
      <c r="K1151" s="1092"/>
      <c r="L1151" s="1083"/>
      <c r="M1151" s="1083"/>
      <c r="N1151" s="1092"/>
      <c r="O1151" s="1083"/>
      <c r="P1151" s="1092"/>
      <c r="Q1151" s="1083"/>
      <c r="R1151" s="1092"/>
      <c r="S1151" s="1083"/>
      <c r="T1151" s="1083"/>
      <c r="U1151" s="1083"/>
      <c r="V1151" s="1083"/>
      <c r="W1151" s="1083"/>
      <c r="X1151" s="1083"/>
      <c r="Y1151" s="1083"/>
    </row>
    <row r="1152">
      <c r="A1152" s="1120"/>
      <c r="B1152" s="1120"/>
      <c r="C1152" s="1142"/>
      <c r="D1152" s="1058"/>
      <c r="E1152" s="1081"/>
      <c r="F1152" s="1142"/>
      <c r="G1152" s="1081"/>
      <c r="H1152" s="1142"/>
      <c r="I1152" s="1081"/>
      <c r="J1152" s="1081"/>
      <c r="K1152" s="1081"/>
      <c r="L1152" s="1142"/>
      <c r="M1152" s="1142"/>
      <c r="N1152" s="1081"/>
      <c r="O1152" s="1142"/>
      <c r="P1152" s="1081"/>
      <c r="Q1152" s="1142"/>
      <c r="R1152" s="1081"/>
      <c r="S1152" s="1142"/>
      <c r="T1152" s="1142"/>
      <c r="U1152" s="1142"/>
      <c r="V1152" s="1142"/>
      <c r="W1152" s="1142"/>
      <c r="X1152" s="1142"/>
      <c r="Y1152" s="1142"/>
    </row>
    <row r="1153">
      <c r="A1153" s="1140"/>
      <c r="B1153" s="1140"/>
      <c r="C1153" s="1083"/>
      <c r="D1153" s="1058"/>
      <c r="E1153" s="1092"/>
      <c r="F1153" s="1083"/>
      <c r="G1153" s="1092"/>
      <c r="H1153" s="1083"/>
      <c r="I1153" s="1092"/>
      <c r="J1153" s="1092"/>
      <c r="K1153" s="1092"/>
      <c r="L1153" s="1083"/>
      <c r="M1153" s="1083"/>
      <c r="N1153" s="1092"/>
      <c r="O1153" s="1083"/>
      <c r="P1153" s="1092"/>
      <c r="Q1153" s="1083"/>
      <c r="R1153" s="1092"/>
      <c r="S1153" s="1083"/>
      <c r="T1153" s="1083"/>
      <c r="U1153" s="1083"/>
      <c r="V1153" s="1083"/>
      <c r="W1153" s="1083"/>
      <c r="X1153" s="1083"/>
      <c r="Y1153" s="1083"/>
    </row>
    <row r="1154">
      <c r="A1154" s="1120"/>
      <c r="B1154" s="1120"/>
      <c r="C1154" s="1142"/>
      <c r="D1154" s="1058"/>
      <c r="E1154" s="1081"/>
      <c r="F1154" s="1142"/>
      <c r="G1154" s="1081"/>
      <c r="H1154" s="1142"/>
      <c r="I1154" s="1081"/>
      <c r="J1154" s="1081"/>
      <c r="K1154" s="1081"/>
      <c r="L1154" s="1142"/>
      <c r="M1154" s="1142"/>
      <c r="N1154" s="1081"/>
      <c r="O1154" s="1142"/>
      <c r="P1154" s="1081"/>
      <c r="Q1154" s="1142"/>
      <c r="R1154" s="1081"/>
      <c r="S1154" s="1142"/>
      <c r="T1154" s="1142"/>
      <c r="U1154" s="1142"/>
      <c r="V1154" s="1142"/>
      <c r="W1154" s="1142"/>
      <c r="X1154" s="1142"/>
      <c r="Y1154" s="1142"/>
    </row>
    <row r="1155">
      <c r="A1155" s="1140"/>
      <c r="B1155" s="1140"/>
      <c r="C1155" s="1083"/>
      <c r="D1155" s="1058"/>
      <c r="E1155" s="1092"/>
      <c r="F1155" s="1083"/>
      <c r="G1155" s="1092"/>
      <c r="H1155" s="1083"/>
      <c r="I1155" s="1092"/>
      <c r="J1155" s="1092"/>
      <c r="K1155" s="1092"/>
      <c r="L1155" s="1083"/>
      <c r="M1155" s="1083"/>
      <c r="N1155" s="1092"/>
      <c r="O1155" s="1083"/>
      <c r="P1155" s="1092"/>
      <c r="Q1155" s="1083"/>
      <c r="R1155" s="1092"/>
      <c r="S1155" s="1083"/>
      <c r="T1155" s="1083"/>
      <c r="U1155" s="1083"/>
      <c r="V1155" s="1083"/>
      <c r="W1155" s="1083"/>
      <c r="X1155" s="1083"/>
      <c r="Y1155" s="1083"/>
    </row>
    <row r="1156">
      <c r="A1156" s="1120"/>
      <c r="B1156" s="1120"/>
      <c r="C1156" s="1142"/>
      <c r="D1156" s="1058"/>
      <c r="E1156" s="1081"/>
      <c r="F1156" s="1142"/>
      <c r="G1156" s="1081"/>
      <c r="H1156" s="1142"/>
      <c r="I1156" s="1081"/>
      <c r="J1156" s="1081"/>
      <c r="K1156" s="1081"/>
      <c r="L1156" s="1142"/>
      <c r="M1156" s="1142"/>
      <c r="N1156" s="1081"/>
      <c r="O1156" s="1142"/>
      <c r="P1156" s="1081"/>
      <c r="Q1156" s="1142"/>
      <c r="R1156" s="1081"/>
      <c r="S1156" s="1142"/>
      <c r="T1156" s="1142"/>
      <c r="U1156" s="1142"/>
      <c r="V1156" s="1142"/>
      <c r="W1156" s="1142"/>
      <c r="X1156" s="1142"/>
      <c r="Y1156" s="1142"/>
    </row>
    <row r="1157">
      <c r="A1157" s="1140"/>
      <c r="B1157" s="1140"/>
      <c r="C1157" s="1083"/>
      <c r="D1157" s="1058"/>
      <c r="E1157" s="1092"/>
      <c r="F1157" s="1083"/>
      <c r="G1157" s="1092"/>
      <c r="H1157" s="1083"/>
      <c r="I1157" s="1092"/>
      <c r="J1157" s="1092"/>
      <c r="K1157" s="1092"/>
      <c r="L1157" s="1083"/>
      <c r="M1157" s="1083"/>
      <c r="N1157" s="1092"/>
      <c r="O1157" s="1083"/>
      <c r="P1157" s="1092"/>
      <c r="Q1157" s="1083"/>
      <c r="R1157" s="1092"/>
      <c r="S1157" s="1083"/>
      <c r="T1157" s="1083"/>
      <c r="U1157" s="1083"/>
      <c r="V1157" s="1083"/>
      <c r="W1157" s="1083"/>
      <c r="X1157" s="1083"/>
      <c r="Y1157" s="1083"/>
    </row>
    <row r="1158">
      <c r="A1158" s="1120"/>
      <c r="B1158" s="1120"/>
      <c r="C1158" s="1142"/>
      <c r="D1158" s="1058"/>
      <c r="E1158" s="1081"/>
      <c r="F1158" s="1142"/>
      <c r="G1158" s="1081"/>
      <c r="H1158" s="1142"/>
      <c r="I1158" s="1081"/>
      <c r="J1158" s="1081"/>
      <c r="K1158" s="1081"/>
      <c r="L1158" s="1142"/>
      <c r="M1158" s="1142"/>
      <c r="N1158" s="1081"/>
      <c r="O1158" s="1142"/>
      <c r="P1158" s="1081"/>
      <c r="Q1158" s="1142"/>
      <c r="R1158" s="1081"/>
      <c r="S1158" s="1142"/>
      <c r="T1158" s="1142"/>
      <c r="U1158" s="1142"/>
      <c r="V1158" s="1142"/>
      <c r="W1158" s="1142"/>
      <c r="X1158" s="1142"/>
      <c r="Y1158" s="1142"/>
    </row>
    <row r="1159">
      <c r="A1159" s="1140"/>
      <c r="B1159" s="1140"/>
      <c r="C1159" s="1083"/>
      <c r="D1159" s="1058"/>
      <c r="E1159" s="1092"/>
      <c r="F1159" s="1083"/>
      <c r="G1159" s="1092"/>
      <c r="H1159" s="1083"/>
      <c r="I1159" s="1092"/>
      <c r="J1159" s="1092"/>
      <c r="K1159" s="1092"/>
      <c r="L1159" s="1083"/>
      <c r="M1159" s="1083"/>
      <c r="N1159" s="1092"/>
      <c r="O1159" s="1083"/>
      <c r="P1159" s="1092"/>
      <c r="Q1159" s="1083"/>
      <c r="R1159" s="1092"/>
      <c r="S1159" s="1083"/>
      <c r="T1159" s="1083"/>
      <c r="U1159" s="1083"/>
      <c r="V1159" s="1083"/>
      <c r="W1159" s="1083"/>
      <c r="X1159" s="1083"/>
      <c r="Y1159" s="1083"/>
    </row>
    <row r="1160">
      <c r="A1160" s="1120"/>
      <c r="B1160" s="1120"/>
      <c r="C1160" s="1142"/>
      <c r="D1160" s="1058"/>
      <c r="E1160" s="1081"/>
      <c r="F1160" s="1142"/>
      <c r="G1160" s="1081"/>
      <c r="H1160" s="1142"/>
      <c r="I1160" s="1081"/>
      <c r="J1160" s="1081"/>
      <c r="K1160" s="1081"/>
      <c r="L1160" s="1142"/>
      <c r="M1160" s="1142"/>
      <c r="N1160" s="1081"/>
      <c r="O1160" s="1142"/>
      <c r="P1160" s="1081"/>
      <c r="Q1160" s="1142"/>
      <c r="R1160" s="1081"/>
      <c r="S1160" s="1142"/>
      <c r="T1160" s="1142"/>
      <c r="U1160" s="1142"/>
      <c r="V1160" s="1142"/>
      <c r="W1160" s="1142"/>
      <c r="X1160" s="1142"/>
      <c r="Y1160" s="1142"/>
    </row>
    <row r="1161">
      <c r="A1161" s="1140"/>
      <c r="B1161" s="1140"/>
      <c r="C1161" s="1083"/>
      <c r="D1161" s="1058"/>
      <c r="E1161" s="1092"/>
      <c r="F1161" s="1083"/>
      <c r="G1161" s="1092"/>
      <c r="H1161" s="1083"/>
      <c r="I1161" s="1092"/>
      <c r="J1161" s="1092"/>
      <c r="K1161" s="1092"/>
      <c r="L1161" s="1083"/>
      <c r="M1161" s="1083"/>
      <c r="N1161" s="1092"/>
      <c r="O1161" s="1083"/>
      <c r="P1161" s="1092"/>
      <c r="Q1161" s="1083"/>
      <c r="R1161" s="1092"/>
      <c r="S1161" s="1083"/>
      <c r="T1161" s="1083"/>
      <c r="U1161" s="1083"/>
      <c r="V1161" s="1083"/>
      <c r="W1161" s="1083"/>
      <c r="X1161" s="1083"/>
      <c r="Y1161" s="1083"/>
    </row>
    <row r="1162">
      <c r="A1162" s="1120"/>
      <c r="B1162" s="1120"/>
      <c r="C1162" s="1142"/>
      <c r="D1162" s="1058"/>
      <c r="E1162" s="1081"/>
      <c r="F1162" s="1142"/>
      <c r="G1162" s="1081"/>
      <c r="H1162" s="1142"/>
      <c r="I1162" s="1081"/>
      <c r="J1162" s="1081"/>
      <c r="K1162" s="1081"/>
      <c r="L1162" s="1142"/>
      <c r="M1162" s="1142"/>
      <c r="N1162" s="1081"/>
      <c r="O1162" s="1142"/>
      <c r="P1162" s="1081"/>
      <c r="Q1162" s="1142"/>
      <c r="R1162" s="1081"/>
      <c r="S1162" s="1142"/>
      <c r="T1162" s="1142"/>
      <c r="U1162" s="1142"/>
      <c r="V1162" s="1142"/>
      <c r="W1162" s="1142"/>
      <c r="X1162" s="1142"/>
      <c r="Y1162" s="1142"/>
    </row>
    <row r="1163">
      <c r="A1163" s="1140"/>
      <c r="B1163" s="1140"/>
      <c r="C1163" s="1083"/>
      <c r="D1163" s="1058"/>
      <c r="E1163" s="1092"/>
      <c r="F1163" s="1083"/>
      <c r="G1163" s="1092"/>
      <c r="H1163" s="1083"/>
      <c r="I1163" s="1092"/>
      <c r="J1163" s="1092"/>
      <c r="K1163" s="1092"/>
      <c r="L1163" s="1083"/>
      <c r="M1163" s="1083"/>
      <c r="N1163" s="1092"/>
      <c r="O1163" s="1083"/>
      <c r="P1163" s="1092"/>
      <c r="Q1163" s="1083"/>
      <c r="R1163" s="1092"/>
      <c r="S1163" s="1083"/>
      <c r="T1163" s="1083"/>
      <c r="U1163" s="1083"/>
      <c r="V1163" s="1083"/>
      <c r="W1163" s="1083"/>
      <c r="X1163" s="1083"/>
      <c r="Y1163" s="1083"/>
    </row>
    <row r="1164">
      <c r="A1164" s="1120"/>
      <c r="B1164" s="1120"/>
      <c r="C1164" s="1142"/>
      <c r="D1164" s="1058"/>
      <c r="E1164" s="1081"/>
      <c r="F1164" s="1142"/>
      <c r="G1164" s="1081"/>
      <c r="H1164" s="1142"/>
      <c r="I1164" s="1081"/>
      <c r="J1164" s="1081"/>
      <c r="K1164" s="1081"/>
      <c r="L1164" s="1142"/>
      <c r="M1164" s="1142"/>
      <c r="N1164" s="1081"/>
      <c r="O1164" s="1142"/>
      <c r="P1164" s="1081"/>
      <c r="Q1164" s="1142"/>
      <c r="R1164" s="1081"/>
      <c r="S1164" s="1142"/>
      <c r="T1164" s="1142"/>
      <c r="U1164" s="1142"/>
      <c r="V1164" s="1142"/>
      <c r="W1164" s="1142"/>
      <c r="X1164" s="1142"/>
      <c r="Y1164" s="1142"/>
    </row>
    <row r="1165">
      <c r="A1165" s="1140"/>
      <c r="B1165" s="1140"/>
      <c r="C1165" s="1083"/>
      <c r="D1165" s="1058"/>
      <c r="E1165" s="1092"/>
      <c r="F1165" s="1083"/>
      <c r="G1165" s="1092"/>
      <c r="H1165" s="1083"/>
      <c r="I1165" s="1092"/>
      <c r="J1165" s="1092"/>
      <c r="K1165" s="1092"/>
      <c r="L1165" s="1083"/>
      <c r="M1165" s="1083"/>
      <c r="N1165" s="1092"/>
      <c r="O1165" s="1083"/>
      <c r="P1165" s="1092"/>
      <c r="Q1165" s="1083"/>
      <c r="R1165" s="1092"/>
      <c r="S1165" s="1083"/>
      <c r="T1165" s="1083"/>
      <c r="U1165" s="1083"/>
      <c r="V1165" s="1083"/>
      <c r="W1165" s="1083"/>
      <c r="X1165" s="1083"/>
      <c r="Y1165" s="1083"/>
    </row>
    <row r="1166">
      <c r="A1166" s="1120"/>
      <c r="B1166" s="1120"/>
      <c r="C1166" s="1142"/>
      <c r="D1166" s="1058"/>
      <c r="E1166" s="1081"/>
      <c r="F1166" s="1142"/>
      <c r="G1166" s="1081"/>
      <c r="H1166" s="1142"/>
      <c r="I1166" s="1081"/>
      <c r="J1166" s="1081"/>
      <c r="K1166" s="1081"/>
      <c r="L1166" s="1142"/>
      <c r="M1166" s="1142"/>
      <c r="N1166" s="1081"/>
      <c r="O1166" s="1142"/>
      <c r="P1166" s="1081"/>
      <c r="Q1166" s="1142"/>
      <c r="R1166" s="1081"/>
      <c r="S1166" s="1142"/>
      <c r="T1166" s="1142"/>
      <c r="U1166" s="1142"/>
      <c r="V1166" s="1142"/>
      <c r="W1166" s="1142"/>
      <c r="X1166" s="1142"/>
      <c r="Y1166" s="1142"/>
    </row>
    <row r="1167">
      <c r="A1167" s="1140"/>
      <c r="B1167" s="1140"/>
      <c r="C1167" s="1083"/>
      <c r="D1167" s="1058"/>
      <c r="E1167" s="1092"/>
      <c r="F1167" s="1083"/>
      <c r="G1167" s="1092"/>
      <c r="H1167" s="1083"/>
      <c r="I1167" s="1092"/>
      <c r="J1167" s="1092"/>
      <c r="K1167" s="1092"/>
      <c r="L1167" s="1083"/>
      <c r="M1167" s="1083"/>
      <c r="N1167" s="1092"/>
      <c r="O1167" s="1083"/>
      <c r="P1167" s="1092"/>
      <c r="Q1167" s="1083"/>
      <c r="R1167" s="1092"/>
      <c r="S1167" s="1083"/>
      <c r="T1167" s="1083"/>
      <c r="U1167" s="1083"/>
      <c r="V1167" s="1083"/>
      <c r="W1167" s="1083"/>
      <c r="X1167" s="1083"/>
      <c r="Y1167" s="1083"/>
    </row>
    <row r="1168">
      <c r="A1168" s="1120"/>
      <c r="B1168" s="1120"/>
      <c r="C1168" s="1142"/>
      <c r="D1168" s="1058"/>
      <c r="E1168" s="1081"/>
      <c r="F1168" s="1142"/>
      <c r="G1168" s="1081"/>
      <c r="H1168" s="1142"/>
      <c r="I1168" s="1081"/>
      <c r="J1168" s="1081"/>
      <c r="K1168" s="1081"/>
      <c r="L1168" s="1142"/>
      <c r="M1168" s="1142"/>
      <c r="N1168" s="1081"/>
      <c r="O1168" s="1142"/>
      <c r="P1168" s="1081"/>
      <c r="Q1168" s="1142"/>
      <c r="R1168" s="1081"/>
      <c r="S1168" s="1142"/>
      <c r="T1168" s="1142"/>
      <c r="U1168" s="1142"/>
      <c r="V1168" s="1142"/>
      <c r="W1168" s="1142"/>
      <c r="X1168" s="1142"/>
      <c r="Y1168" s="1142"/>
    </row>
    <row r="1169">
      <c r="A1169" s="1140"/>
      <c r="B1169" s="1140"/>
      <c r="C1169" s="1083"/>
      <c r="D1169" s="1058"/>
      <c r="E1169" s="1092"/>
      <c r="F1169" s="1083"/>
      <c r="G1169" s="1092"/>
      <c r="H1169" s="1083"/>
      <c r="I1169" s="1092"/>
      <c r="J1169" s="1092"/>
      <c r="K1169" s="1092"/>
      <c r="L1169" s="1083"/>
      <c r="M1169" s="1083"/>
      <c r="N1169" s="1092"/>
      <c r="O1169" s="1083"/>
      <c r="P1169" s="1092"/>
      <c r="Q1169" s="1083"/>
      <c r="R1169" s="1092"/>
      <c r="S1169" s="1083"/>
      <c r="T1169" s="1083"/>
      <c r="U1169" s="1083"/>
      <c r="V1169" s="1083"/>
      <c r="W1169" s="1083"/>
      <c r="X1169" s="1083"/>
      <c r="Y1169" s="1083"/>
    </row>
    <row r="1170">
      <c r="A1170" s="1120"/>
      <c r="B1170" s="1120"/>
      <c r="C1170" s="1142"/>
      <c r="D1170" s="1058"/>
      <c r="E1170" s="1081"/>
      <c r="F1170" s="1142"/>
      <c r="G1170" s="1081"/>
      <c r="H1170" s="1142"/>
      <c r="I1170" s="1081"/>
      <c r="J1170" s="1081"/>
      <c r="K1170" s="1081"/>
      <c r="L1170" s="1142"/>
      <c r="M1170" s="1142"/>
      <c r="N1170" s="1081"/>
      <c r="O1170" s="1142"/>
      <c r="P1170" s="1081"/>
      <c r="Q1170" s="1142"/>
      <c r="R1170" s="1081"/>
      <c r="S1170" s="1142"/>
      <c r="T1170" s="1142"/>
      <c r="U1170" s="1142"/>
      <c r="V1170" s="1142"/>
      <c r="W1170" s="1142"/>
      <c r="X1170" s="1142"/>
      <c r="Y1170" s="1142"/>
    </row>
    <row r="1171">
      <c r="A1171" s="1140"/>
      <c r="B1171" s="1140"/>
      <c r="C1171" s="1083"/>
      <c r="D1171" s="1058"/>
      <c r="E1171" s="1092"/>
      <c r="F1171" s="1083"/>
      <c r="G1171" s="1092"/>
      <c r="H1171" s="1083"/>
      <c r="I1171" s="1092"/>
      <c r="J1171" s="1092"/>
      <c r="K1171" s="1092"/>
      <c r="L1171" s="1083"/>
      <c r="M1171" s="1083"/>
      <c r="N1171" s="1092"/>
      <c r="O1171" s="1083"/>
      <c r="P1171" s="1092"/>
      <c r="Q1171" s="1083"/>
      <c r="R1171" s="1092"/>
      <c r="S1171" s="1083"/>
      <c r="T1171" s="1083"/>
      <c r="U1171" s="1083"/>
      <c r="V1171" s="1083"/>
      <c r="W1171" s="1083"/>
      <c r="X1171" s="1083"/>
      <c r="Y1171" s="1083"/>
    </row>
    <row r="1172">
      <c r="A1172" s="1120"/>
      <c r="B1172" s="1120"/>
      <c r="C1172" s="1142"/>
      <c r="D1172" s="1058"/>
      <c r="E1172" s="1081"/>
      <c r="F1172" s="1142"/>
      <c r="G1172" s="1081"/>
      <c r="H1172" s="1142"/>
      <c r="I1172" s="1081"/>
      <c r="J1172" s="1081"/>
      <c r="K1172" s="1081"/>
      <c r="L1172" s="1142"/>
      <c r="M1172" s="1142"/>
      <c r="N1172" s="1081"/>
      <c r="O1172" s="1142"/>
      <c r="P1172" s="1081"/>
      <c r="Q1172" s="1142"/>
      <c r="R1172" s="1081"/>
      <c r="S1172" s="1142"/>
      <c r="T1172" s="1142"/>
      <c r="U1172" s="1142"/>
      <c r="V1172" s="1142"/>
      <c r="W1172" s="1142"/>
      <c r="X1172" s="1142"/>
      <c r="Y1172" s="1142"/>
    </row>
    <row r="1173">
      <c r="A1173" s="1140"/>
      <c r="B1173" s="1140"/>
      <c r="C1173" s="1083"/>
      <c r="D1173" s="1058"/>
      <c r="E1173" s="1092"/>
      <c r="F1173" s="1083"/>
      <c r="G1173" s="1092"/>
      <c r="H1173" s="1083"/>
      <c r="I1173" s="1092"/>
      <c r="J1173" s="1092"/>
      <c r="K1173" s="1092"/>
      <c r="L1173" s="1083"/>
      <c r="M1173" s="1083"/>
      <c r="N1173" s="1092"/>
      <c r="O1173" s="1083"/>
      <c r="P1173" s="1092"/>
      <c r="Q1173" s="1083"/>
      <c r="R1173" s="1092"/>
      <c r="S1173" s="1083"/>
      <c r="T1173" s="1083"/>
      <c r="U1173" s="1083"/>
      <c r="V1173" s="1083"/>
      <c r="W1173" s="1083"/>
      <c r="X1173" s="1083"/>
      <c r="Y1173" s="1083"/>
    </row>
    <row r="1174">
      <c r="A1174" s="1120"/>
      <c r="B1174" s="1120"/>
      <c r="C1174" s="1142"/>
      <c r="D1174" s="1058"/>
      <c r="E1174" s="1081"/>
      <c r="F1174" s="1142"/>
      <c r="G1174" s="1081"/>
      <c r="H1174" s="1142"/>
      <c r="I1174" s="1081"/>
      <c r="J1174" s="1081"/>
      <c r="K1174" s="1081"/>
      <c r="L1174" s="1142"/>
      <c r="M1174" s="1142"/>
      <c r="N1174" s="1081"/>
      <c r="O1174" s="1142"/>
      <c r="P1174" s="1081"/>
      <c r="Q1174" s="1142"/>
      <c r="R1174" s="1081"/>
      <c r="S1174" s="1142"/>
      <c r="T1174" s="1142"/>
      <c r="U1174" s="1142"/>
      <c r="V1174" s="1142"/>
      <c r="W1174" s="1142"/>
      <c r="X1174" s="1142"/>
      <c r="Y1174" s="1142"/>
    </row>
    <row r="1175">
      <c r="A1175" s="1140"/>
      <c r="B1175" s="1140"/>
      <c r="C1175" s="1083"/>
      <c r="D1175" s="1058"/>
      <c r="E1175" s="1092"/>
      <c r="F1175" s="1083"/>
      <c r="G1175" s="1092"/>
      <c r="H1175" s="1083"/>
      <c r="I1175" s="1092"/>
      <c r="J1175" s="1092"/>
      <c r="K1175" s="1092"/>
      <c r="L1175" s="1083"/>
      <c r="M1175" s="1083"/>
      <c r="N1175" s="1092"/>
      <c r="O1175" s="1083"/>
      <c r="P1175" s="1092"/>
      <c r="Q1175" s="1083"/>
      <c r="R1175" s="1092"/>
      <c r="S1175" s="1083"/>
      <c r="T1175" s="1083"/>
      <c r="U1175" s="1083"/>
      <c r="V1175" s="1083"/>
      <c r="W1175" s="1083"/>
      <c r="X1175" s="1083"/>
      <c r="Y1175" s="1083"/>
    </row>
    <row r="1176">
      <c r="A1176" s="1120"/>
      <c r="B1176" s="1120"/>
      <c r="C1176" s="1142"/>
      <c r="D1176" s="1058"/>
      <c r="E1176" s="1081"/>
      <c r="F1176" s="1142"/>
      <c r="G1176" s="1081"/>
      <c r="H1176" s="1142"/>
      <c r="I1176" s="1081"/>
      <c r="J1176" s="1081"/>
      <c r="K1176" s="1081"/>
      <c r="L1176" s="1142"/>
      <c r="M1176" s="1142"/>
      <c r="N1176" s="1081"/>
      <c r="O1176" s="1142"/>
      <c r="P1176" s="1081"/>
      <c r="Q1176" s="1142"/>
      <c r="R1176" s="1081"/>
      <c r="S1176" s="1142"/>
      <c r="T1176" s="1142"/>
      <c r="U1176" s="1142"/>
      <c r="V1176" s="1142"/>
      <c r="W1176" s="1142"/>
      <c r="X1176" s="1142"/>
      <c r="Y1176" s="1142"/>
    </row>
    <row r="1177">
      <c r="A1177" s="1140"/>
      <c r="B1177" s="1140"/>
      <c r="C1177" s="1083"/>
      <c r="D1177" s="1058"/>
      <c r="E1177" s="1092"/>
      <c r="F1177" s="1083"/>
      <c r="G1177" s="1092"/>
      <c r="H1177" s="1083"/>
      <c r="I1177" s="1092"/>
      <c r="J1177" s="1092"/>
      <c r="K1177" s="1092"/>
      <c r="L1177" s="1083"/>
      <c r="M1177" s="1083"/>
      <c r="N1177" s="1092"/>
      <c r="O1177" s="1083"/>
      <c r="P1177" s="1092"/>
      <c r="Q1177" s="1083"/>
      <c r="R1177" s="1092"/>
      <c r="S1177" s="1083"/>
      <c r="T1177" s="1083"/>
      <c r="U1177" s="1083"/>
      <c r="V1177" s="1083"/>
      <c r="W1177" s="1083"/>
      <c r="X1177" s="1083"/>
      <c r="Y1177" s="1083"/>
    </row>
    <row r="1178">
      <c r="A1178" s="1120"/>
      <c r="B1178" s="1120"/>
      <c r="C1178" s="1142"/>
      <c r="D1178" s="1058"/>
      <c r="E1178" s="1081"/>
      <c r="F1178" s="1142"/>
      <c r="G1178" s="1081"/>
      <c r="H1178" s="1142"/>
      <c r="I1178" s="1081"/>
      <c r="J1178" s="1081"/>
      <c r="K1178" s="1081"/>
      <c r="L1178" s="1142"/>
      <c r="M1178" s="1142"/>
      <c r="N1178" s="1081"/>
      <c r="O1178" s="1142"/>
      <c r="P1178" s="1081"/>
      <c r="Q1178" s="1142"/>
      <c r="R1178" s="1081"/>
      <c r="S1178" s="1142"/>
      <c r="T1178" s="1142"/>
      <c r="U1178" s="1142"/>
      <c r="V1178" s="1142"/>
      <c r="W1178" s="1142"/>
      <c r="X1178" s="1142"/>
      <c r="Y1178" s="1142"/>
    </row>
    <row r="1179">
      <c r="A1179" s="1140"/>
      <c r="B1179" s="1140"/>
      <c r="C1179" s="1083"/>
      <c r="D1179" s="1058"/>
      <c r="E1179" s="1092"/>
      <c r="F1179" s="1083"/>
      <c r="G1179" s="1092"/>
      <c r="H1179" s="1083"/>
      <c r="I1179" s="1092"/>
      <c r="J1179" s="1092"/>
      <c r="K1179" s="1092"/>
      <c r="L1179" s="1083"/>
      <c r="M1179" s="1083"/>
      <c r="N1179" s="1092"/>
      <c r="O1179" s="1083"/>
      <c r="P1179" s="1092"/>
      <c r="Q1179" s="1083"/>
      <c r="R1179" s="1092"/>
      <c r="S1179" s="1083"/>
      <c r="T1179" s="1083"/>
      <c r="U1179" s="1083"/>
      <c r="V1179" s="1083"/>
      <c r="W1179" s="1083"/>
      <c r="X1179" s="1083"/>
      <c r="Y1179" s="1083"/>
    </row>
    <row r="1180">
      <c r="A1180" s="1120"/>
      <c r="B1180" s="1120"/>
      <c r="C1180" s="1142"/>
      <c r="D1180" s="1058"/>
      <c r="E1180" s="1081"/>
      <c r="F1180" s="1142"/>
      <c r="G1180" s="1081"/>
      <c r="H1180" s="1142"/>
      <c r="I1180" s="1081"/>
      <c r="J1180" s="1081"/>
      <c r="K1180" s="1081"/>
      <c r="L1180" s="1142"/>
      <c r="M1180" s="1142"/>
      <c r="N1180" s="1081"/>
      <c r="O1180" s="1142"/>
      <c r="P1180" s="1081"/>
      <c r="Q1180" s="1142"/>
      <c r="R1180" s="1081"/>
      <c r="S1180" s="1142"/>
      <c r="T1180" s="1142"/>
      <c r="U1180" s="1142"/>
      <c r="V1180" s="1142"/>
      <c r="W1180" s="1142"/>
      <c r="X1180" s="1142"/>
      <c r="Y1180" s="1142"/>
    </row>
    <row r="1181">
      <c r="A1181" s="1140"/>
      <c r="B1181" s="1140"/>
      <c r="C1181" s="1083"/>
      <c r="D1181" s="1058"/>
      <c r="E1181" s="1092"/>
      <c r="F1181" s="1083"/>
      <c r="G1181" s="1092"/>
      <c r="H1181" s="1083"/>
      <c r="I1181" s="1092"/>
      <c r="J1181" s="1092"/>
      <c r="K1181" s="1092"/>
      <c r="L1181" s="1083"/>
      <c r="M1181" s="1083"/>
      <c r="N1181" s="1092"/>
      <c r="O1181" s="1083"/>
      <c r="P1181" s="1092"/>
      <c r="Q1181" s="1083"/>
      <c r="R1181" s="1092"/>
      <c r="S1181" s="1083"/>
      <c r="T1181" s="1083"/>
      <c r="U1181" s="1083"/>
      <c r="V1181" s="1083"/>
      <c r="W1181" s="1083"/>
      <c r="X1181" s="1083"/>
      <c r="Y1181" s="1083"/>
    </row>
    <row r="1182">
      <c r="A1182" s="1120"/>
      <c r="B1182" s="1120"/>
      <c r="C1182" s="1142"/>
      <c r="D1182" s="1058"/>
      <c r="E1182" s="1081"/>
      <c r="F1182" s="1142"/>
      <c r="G1182" s="1081"/>
      <c r="H1182" s="1142"/>
      <c r="I1182" s="1081"/>
      <c r="J1182" s="1081"/>
      <c r="K1182" s="1081"/>
      <c r="L1182" s="1142"/>
      <c r="M1182" s="1142"/>
      <c r="N1182" s="1081"/>
      <c r="O1182" s="1142"/>
      <c r="P1182" s="1081"/>
      <c r="Q1182" s="1142"/>
      <c r="R1182" s="1081"/>
      <c r="S1182" s="1142"/>
      <c r="T1182" s="1142"/>
      <c r="U1182" s="1142"/>
      <c r="V1182" s="1142"/>
      <c r="W1182" s="1142"/>
      <c r="X1182" s="1142"/>
      <c r="Y1182" s="1142"/>
    </row>
    <row r="1183">
      <c r="A1183" s="1140"/>
      <c r="B1183" s="1140"/>
      <c r="C1183" s="1083"/>
      <c r="D1183" s="1058"/>
      <c r="E1183" s="1092"/>
      <c r="F1183" s="1083"/>
      <c r="G1183" s="1092"/>
      <c r="H1183" s="1083"/>
      <c r="I1183" s="1092"/>
      <c r="J1183" s="1092"/>
      <c r="K1183" s="1092"/>
      <c r="L1183" s="1083"/>
      <c r="M1183" s="1083"/>
      <c r="N1183" s="1092"/>
      <c r="O1183" s="1083"/>
      <c r="P1183" s="1092"/>
      <c r="Q1183" s="1083"/>
      <c r="R1183" s="1092"/>
      <c r="S1183" s="1083"/>
      <c r="T1183" s="1083"/>
      <c r="U1183" s="1083"/>
      <c r="V1183" s="1083"/>
      <c r="W1183" s="1083"/>
      <c r="X1183" s="1083"/>
      <c r="Y1183" s="1083"/>
    </row>
    <row r="1184">
      <c r="A1184" s="1120"/>
      <c r="B1184" s="1120"/>
      <c r="C1184" s="1142"/>
      <c r="D1184" s="1058"/>
      <c r="E1184" s="1081"/>
      <c r="F1184" s="1142"/>
      <c r="G1184" s="1081"/>
      <c r="H1184" s="1142"/>
      <c r="I1184" s="1081"/>
      <c r="J1184" s="1081"/>
      <c r="K1184" s="1081"/>
      <c r="L1184" s="1142"/>
      <c r="M1184" s="1142"/>
      <c r="N1184" s="1081"/>
      <c r="O1184" s="1142"/>
      <c r="P1184" s="1081"/>
      <c r="Q1184" s="1142"/>
      <c r="R1184" s="1081"/>
      <c r="S1184" s="1142"/>
      <c r="T1184" s="1142"/>
      <c r="U1184" s="1142"/>
      <c r="V1184" s="1142"/>
      <c r="W1184" s="1142"/>
      <c r="X1184" s="1142"/>
      <c r="Y1184" s="1142"/>
    </row>
    <row r="1185">
      <c r="A1185" s="1140"/>
      <c r="B1185" s="1140"/>
      <c r="C1185" s="1083"/>
      <c r="D1185" s="1058"/>
      <c r="E1185" s="1092"/>
      <c r="F1185" s="1083"/>
      <c r="G1185" s="1092"/>
      <c r="H1185" s="1083"/>
      <c r="I1185" s="1092"/>
      <c r="J1185" s="1092"/>
      <c r="K1185" s="1092"/>
      <c r="L1185" s="1083"/>
      <c r="M1185" s="1083"/>
      <c r="N1185" s="1092"/>
      <c r="O1185" s="1083"/>
      <c r="P1185" s="1092"/>
      <c r="Q1185" s="1083"/>
      <c r="R1185" s="1092"/>
      <c r="S1185" s="1083"/>
      <c r="T1185" s="1083"/>
      <c r="U1185" s="1083"/>
      <c r="V1185" s="1083"/>
      <c r="W1185" s="1083"/>
      <c r="X1185" s="1083"/>
      <c r="Y1185" s="1083"/>
    </row>
    <row r="1186">
      <c r="A1186" s="1120"/>
      <c r="B1186" s="1120"/>
      <c r="C1186" s="1142"/>
      <c r="D1186" s="1058"/>
      <c r="E1186" s="1081"/>
      <c r="F1186" s="1142"/>
      <c r="G1186" s="1081"/>
      <c r="H1186" s="1142"/>
      <c r="I1186" s="1081"/>
      <c r="J1186" s="1081"/>
      <c r="K1186" s="1081"/>
      <c r="L1186" s="1142"/>
      <c r="M1186" s="1142"/>
      <c r="N1186" s="1081"/>
      <c r="O1186" s="1142"/>
      <c r="P1186" s="1081"/>
      <c r="Q1186" s="1142"/>
      <c r="R1186" s="1081"/>
      <c r="S1186" s="1142"/>
      <c r="T1186" s="1142"/>
      <c r="U1186" s="1142"/>
      <c r="V1186" s="1142"/>
      <c r="W1186" s="1142"/>
      <c r="X1186" s="1142"/>
      <c r="Y1186" s="1142"/>
    </row>
    <row r="1187">
      <c r="A1187" s="1140"/>
      <c r="B1187" s="1140"/>
      <c r="C1187" s="1083"/>
      <c r="D1187" s="1058"/>
      <c r="E1187" s="1092"/>
      <c r="F1187" s="1083"/>
      <c r="G1187" s="1092"/>
      <c r="H1187" s="1083"/>
      <c r="I1187" s="1092"/>
      <c r="J1187" s="1092"/>
      <c r="K1187" s="1092"/>
      <c r="L1187" s="1083"/>
      <c r="M1187" s="1083"/>
      <c r="N1187" s="1092"/>
      <c r="O1187" s="1083"/>
      <c r="P1187" s="1092"/>
      <c r="Q1187" s="1083"/>
      <c r="R1187" s="1092"/>
      <c r="S1187" s="1083"/>
      <c r="T1187" s="1083"/>
      <c r="U1187" s="1083"/>
      <c r="V1187" s="1083"/>
      <c r="W1187" s="1083"/>
      <c r="X1187" s="1083"/>
      <c r="Y1187" s="1083"/>
    </row>
    <row r="1188">
      <c r="A1188" s="1120"/>
      <c r="B1188" s="1120"/>
      <c r="C1188" s="1142"/>
      <c r="D1188" s="1058"/>
      <c r="E1188" s="1081"/>
      <c r="F1188" s="1142"/>
      <c r="G1188" s="1081"/>
      <c r="H1188" s="1142"/>
      <c r="I1188" s="1081"/>
      <c r="J1188" s="1081"/>
      <c r="K1188" s="1081"/>
      <c r="L1188" s="1142"/>
      <c r="M1188" s="1142"/>
      <c r="N1188" s="1081"/>
      <c r="O1188" s="1142"/>
      <c r="P1188" s="1081"/>
      <c r="Q1188" s="1142"/>
      <c r="R1188" s="1081"/>
      <c r="S1188" s="1142"/>
      <c r="T1188" s="1142"/>
      <c r="U1188" s="1142"/>
      <c r="V1188" s="1142"/>
      <c r="W1188" s="1142"/>
      <c r="X1188" s="1142"/>
      <c r="Y1188" s="1142"/>
    </row>
    <row r="1189">
      <c r="A1189" s="1140"/>
      <c r="B1189" s="1140"/>
      <c r="C1189" s="1083"/>
      <c r="D1189" s="1058"/>
      <c r="E1189" s="1092"/>
      <c r="F1189" s="1083"/>
      <c r="G1189" s="1092"/>
      <c r="H1189" s="1083"/>
      <c r="I1189" s="1092"/>
      <c r="J1189" s="1092"/>
      <c r="K1189" s="1092"/>
      <c r="L1189" s="1083"/>
      <c r="M1189" s="1083"/>
      <c r="N1189" s="1092"/>
      <c r="O1189" s="1083"/>
      <c r="P1189" s="1092"/>
      <c r="Q1189" s="1083"/>
      <c r="R1189" s="1092"/>
      <c r="S1189" s="1083"/>
      <c r="T1189" s="1083"/>
      <c r="U1189" s="1083"/>
      <c r="V1189" s="1083"/>
      <c r="W1189" s="1083"/>
      <c r="X1189" s="1083"/>
      <c r="Y1189" s="1083"/>
    </row>
    <row r="1190">
      <c r="A1190" s="1120"/>
      <c r="B1190" s="1120"/>
      <c r="C1190" s="1142"/>
      <c r="D1190" s="1058"/>
      <c r="E1190" s="1081"/>
      <c r="F1190" s="1142"/>
      <c r="G1190" s="1081"/>
      <c r="H1190" s="1142"/>
      <c r="I1190" s="1081"/>
      <c r="J1190" s="1081"/>
      <c r="K1190" s="1081"/>
      <c r="L1190" s="1142"/>
      <c r="M1190" s="1142"/>
      <c r="N1190" s="1081"/>
      <c r="O1190" s="1142"/>
      <c r="P1190" s="1081"/>
      <c r="Q1190" s="1142"/>
      <c r="R1190" s="1081"/>
      <c r="S1190" s="1142"/>
      <c r="T1190" s="1142"/>
      <c r="U1190" s="1142"/>
      <c r="V1190" s="1142"/>
      <c r="W1190" s="1142"/>
      <c r="X1190" s="1142"/>
      <c r="Y1190" s="1142"/>
    </row>
    <row r="1191">
      <c r="A1191" s="1140"/>
      <c r="B1191" s="1140"/>
      <c r="C1191" s="1083"/>
      <c r="D1191" s="1058"/>
      <c r="E1191" s="1092"/>
      <c r="F1191" s="1083"/>
      <c r="G1191" s="1092"/>
      <c r="H1191" s="1083"/>
      <c r="I1191" s="1092"/>
      <c r="J1191" s="1092"/>
      <c r="K1191" s="1092"/>
      <c r="L1191" s="1083"/>
      <c r="M1191" s="1083"/>
      <c r="N1191" s="1092"/>
      <c r="O1191" s="1083"/>
      <c r="P1191" s="1092"/>
      <c r="Q1191" s="1083"/>
      <c r="R1191" s="1092"/>
      <c r="S1191" s="1083"/>
      <c r="T1191" s="1083"/>
      <c r="U1191" s="1083"/>
      <c r="V1191" s="1083"/>
      <c r="W1191" s="1083"/>
      <c r="X1191" s="1083"/>
      <c r="Y1191" s="1083"/>
    </row>
    <row r="1192">
      <c r="A1192" s="1120"/>
      <c r="B1192" s="1120"/>
      <c r="C1192" s="1142"/>
      <c r="D1192" s="1058"/>
      <c r="E1192" s="1081"/>
      <c r="F1192" s="1142"/>
      <c r="G1192" s="1081"/>
      <c r="H1192" s="1142"/>
      <c r="I1192" s="1081"/>
      <c r="J1192" s="1081"/>
      <c r="K1192" s="1081"/>
      <c r="L1192" s="1142"/>
      <c r="M1192" s="1142"/>
      <c r="N1192" s="1081"/>
      <c r="O1192" s="1142"/>
      <c r="P1192" s="1081"/>
      <c r="Q1192" s="1142"/>
      <c r="R1192" s="1081"/>
      <c r="S1192" s="1142"/>
      <c r="T1192" s="1142"/>
      <c r="U1192" s="1142"/>
      <c r="V1192" s="1142"/>
      <c r="W1192" s="1142"/>
      <c r="X1192" s="1142"/>
      <c r="Y1192" s="1142"/>
    </row>
    <row r="1193">
      <c r="A1193" s="1140"/>
      <c r="B1193" s="1140"/>
      <c r="C1193" s="1083"/>
      <c r="D1193" s="1058"/>
      <c r="E1193" s="1092"/>
      <c r="F1193" s="1083"/>
      <c r="G1193" s="1092"/>
      <c r="H1193" s="1083"/>
      <c r="I1193" s="1092"/>
      <c r="J1193" s="1092"/>
      <c r="K1193" s="1092"/>
      <c r="L1193" s="1083"/>
      <c r="M1193" s="1083"/>
      <c r="N1193" s="1092"/>
      <c r="O1193" s="1083"/>
      <c r="P1193" s="1092"/>
      <c r="Q1193" s="1083"/>
      <c r="R1193" s="1092"/>
      <c r="S1193" s="1083"/>
      <c r="T1193" s="1083"/>
      <c r="U1193" s="1083"/>
      <c r="V1193" s="1083"/>
      <c r="W1193" s="1083"/>
      <c r="X1193" s="1083"/>
      <c r="Y1193" s="1083"/>
    </row>
    <row r="1194">
      <c r="A1194" s="1120"/>
      <c r="B1194" s="1120"/>
      <c r="C1194" s="1142"/>
      <c r="D1194" s="1058"/>
      <c r="E1194" s="1081"/>
      <c r="F1194" s="1142"/>
      <c r="G1194" s="1081"/>
      <c r="H1194" s="1142"/>
      <c r="I1194" s="1081"/>
      <c r="J1194" s="1081"/>
      <c r="K1194" s="1081"/>
      <c r="L1194" s="1142"/>
      <c r="M1194" s="1142"/>
      <c r="N1194" s="1081"/>
      <c r="O1194" s="1142"/>
      <c r="P1194" s="1081"/>
      <c r="Q1194" s="1142"/>
      <c r="R1194" s="1081"/>
      <c r="S1194" s="1142"/>
      <c r="T1194" s="1142"/>
      <c r="U1194" s="1142"/>
      <c r="V1194" s="1142"/>
      <c r="W1194" s="1142"/>
      <c r="X1194" s="1142"/>
      <c r="Y1194" s="1142"/>
    </row>
    <row r="1195">
      <c r="A1195" s="1140"/>
      <c r="B1195" s="1140"/>
      <c r="C1195" s="1083"/>
      <c r="D1195" s="1058"/>
      <c r="E1195" s="1092"/>
      <c r="F1195" s="1083"/>
      <c r="G1195" s="1092"/>
      <c r="H1195" s="1083"/>
      <c r="I1195" s="1092"/>
      <c r="J1195" s="1092"/>
      <c r="K1195" s="1092"/>
      <c r="L1195" s="1083"/>
      <c r="M1195" s="1083"/>
      <c r="N1195" s="1092"/>
      <c r="O1195" s="1083"/>
      <c r="P1195" s="1092"/>
      <c r="Q1195" s="1083"/>
      <c r="R1195" s="1092"/>
      <c r="S1195" s="1083"/>
      <c r="T1195" s="1083"/>
      <c r="U1195" s="1083"/>
      <c r="V1195" s="1083"/>
      <c r="W1195" s="1083"/>
      <c r="X1195" s="1083"/>
      <c r="Y1195" s="1083"/>
    </row>
    <row r="1196">
      <c r="A1196" s="1120"/>
      <c r="B1196" s="1120"/>
      <c r="C1196" s="1142"/>
      <c r="D1196" s="1058"/>
      <c r="E1196" s="1081"/>
      <c r="F1196" s="1142"/>
      <c r="G1196" s="1081"/>
      <c r="H1196" s="1142"/>
      <c r="I1196" s="1081"/>
      <c r="J1196" s="1081"/>
      <c r="K1196" s="1081"/>
      <c r="L1196" s="1142"/>
      <c r="M1196" s="1142"/>
      <c r="N1196" s="1081"/>
      <c r="O1196" s="1142"/>
      <c r="P1196" s="1081"/>
      <c r="Q1196" s="1142"/>
      <c r="R1196" s="1081"/>
      <c r="S1196" s="1142"/>
      <c r="T1196" s="1142"/>
      <c r="U1196" s="1142"/>
      <c r="V1196" s="1142"/>
      <c r="W1196" s="1142"/>
      <c r="X1196" s="1142"/>
      <c r="Y1196" s="1142"/>
    </row>
    <row r="1197">
      <c r="A1197" s="1140"/>
      <c r="B1197" s="1140"/>
      <c r="C1197" s="1083"/>
      <c r="D1197" s="1058"/>
      <c r="E1197" s="1092"/>
      <c r="F1197" s="1083"/>
      <c r="G1197" s="1092"/>
      <c r="H1197" s="1083"/>
      <c r="I1197" s="1092"/>
      <c r="J1197" s="1092"/>
      <c r="K1197" s="1092"/>
      <c r="L1197" s="1083"/>
      <c r="M1197" s="1083"/>
      <c r="N1197" s="1092"/>
      <c r="O1197" s="1083"/>
      <c r="P1197" s="1092"/>
      <c r="Q1197" s="1083"/>
      <c r="R1197" s="1092"/>
      <c r="S1197" s="1083"/>
      <c r="T1197" s="1083"/>
      <c r="U1197" s="1083"/>
      <c r="V1197" s="1083"/>
      <c r="W1197" s="1083"/>
      <c r="X1197" s="1083"/>
      <c r="Y1197" s="1083"/>
    </row>
    <row r="1198">
      <c r="A1198" s="1120"/>
      <c r="B1198" s="1120"/>
      <c r="C1198" s="1142"/>
      <c r="D1198" s="1058"/>
      <c r="E1198" s="1081"/>
      <c r="F1198" s="1142"/>
      <c r="G1198" s="1081"/>
      <c r="H1198" s="1142"/>
      <c r="I1198" s="1081"/>
      <c r="J1198" s="1081"/>
      <c r="K1198" s="1081"/>
      <c r="L1198" s="1142"/>
      <c r="M1198" s="1142"/>
      <c r="N1198" s="1081"/>
      <c r="O1198" s="1142"/>
      <c r="P1198" s="1081"/>
      <c r="Q1198" s="1142"/>
      <c r="R1198" s="1081"/>
      <c r="S1198" s="1142"/>
      <c r="T1198" s="1142"/>
      <c r="U1198" s="1142"/>
      <c r="V1198" s="1142"/>
      <c r="W1198" s="1142"/>
      <c r="X1198" s="1142"/>
      <c r="Y1198" s="1142"/>
    </row>
    <row r="1199">
      <c r="A1199" s="1140"/>
      <c r="B1199" s="1140"/>
      <c r="C1199" s="1083"/>
      <c r="D1199" s="1058"/>
      <c r="E1199" s="1092"/>
      <c r="F1199" s="1083"/>
      <c r="G1199" s="1092"/>
      <c r="H1199" s="1083"/>
      <c r="I1199" s="1092"/>
      <c r="J1199" s="1092"/>
      <c r="K1199" s="1092"/>
      <c r="L1199" s="1083"/>
      <c r="M1199" s="1083"/>
      <c r="N1199" s="1092"/>
      <c r="O1199" s="1083"/>
      <c r="P1199" s="1092"/>
      <c r="Q1199" s="1083"/>
      <c r="R1199" s="1092"/>
      <c r="S1199" s="1083"/>
      <c r="T1199" s="1083"/>
      <c r="U1199" s="1083"/>
      <c r="V1199" s="1083"/>
      <c r="W1199" s="1083"/>
      <c r="X1199" s="1083"/>
      <c r="Y1199" s="1083"/>
    </row>
    <row r="1200">
      <c r="A1200" s="1120"/>
      <c r="B1200" s="1120"/>
      <c r="C1200" s="1142"/>
      <c r="D1200" s="1058"/>
      <c r="E1200" s="1081"/>
      <c r="F1200" s="1142"/>
      <c r="G1200" s="1081"/>
      <c r="H1200" s="1142"/>
      <c r="I1200" s="1081"/>
      <c r="J1200" s="1081"/>
      <c r="K1200" s="1081"/>
      <c r="L1200" s="1142"/>
      <c r="M1200" s="1142"/>
      <c r="N1200" s="1081"/>
      <c r="O1200" s="1142"/>
      <c r="P1200" s="1081"/>
      <c r="Q1200" s="1142"/>
      <c r="R1200" s="1081"/>
      <c r="S1200" s="1142"/>
      <c r="T1200" s="1142"/>
      <c r="U1200" s="1142"/>
      <c r="V1200" s="1142"/>
      <c r="W1200" s="1142"/>
      <c r="X1200" s="1142"/>
      <c r="Y1200" s="1142"/>
    </row>
    <row r="1201">
      <c r="A1201" s="1140"/>
      <c r="B1201" s="1140"/>
      <c r="C1201" s="1083"/>
      <c r="D1201" s="1058"/>
      <c r="E1201" s="1092"/>
      <c r="F1201" s="1083"/>
      <c r="G1201" s="1092"/>
      <c r="H1201" s="1083"/>
      <c r="I1201" s="1092"/>
      <c r="J1201" s="1092"/>
      <c r="K1201" s="1092"/>
      <c r="L1201" s="1083"/>
      <c r="M1201" s="1083"/>
      <c r="N1201" s="1092"/>
      <c r="O1201" s="1083"/>
      <c r="P1201" s="1092"/>
      <c r="Q1201" s="1083"/>
      <c r="R1201" s="1092"/>
      <c r="S1201" s="1083"/>
      <c r="T1201" s="1083"/>
      <c r="U1201" s="1083"/>
      <c r="V1201" s="1083"/>
      <c r="W1201" s="1083"/>
      <c r="X1201" s="1083"/>
      <c r="Y1201" s="1083"/>
    </row>
    <row r="1202">
      <c r="A1202" s="1120"/>
      <c r="B1202" s="1120"/>
      <c r="C1202" s="1142"/>
      <c r="D1202" s="1058"/>
      <c r="E1202" s="1081"/>
      <c r="F1202" s="1142"/>
      <c r="G1202" s="1081"/>
      <c r="H1202" s="1142"/>
      <c r="I1202" s="1081"/>
      <c r="J1202" s="1081"/>
      <c r="K1202" s="1081"/>
      <c r="L1202" s="1142"/>
      <c r="M1202" s="1142"/>
      <c r="N1202" s="1081"/>
      <c r="O1202" s="1142"/>
      <c r="P1202" s="1081"/>
      <c r="Q1202" s="1142"/>
      <c r="R1202" s="1081"/>
      <c r="S1202" s="1142"/>
      <c r="T1202" s="1142"/>
      <c r="U1202" s="1142"/>
      <c r="V1202" s="1142"/>
      <c r="W1202" s="1142"/>
      <c r="X1202" s="1142"/>
      <c r="Y1202" s="1142"/>
    </row>
    <row r="1203">
      <c r="A1203" s="1140"/>
      <c r="B1203" s="1140"/>
      <c r="C1203" s="1083"/>
      <c r="D1203" s="1058"/>
      <c r="E1203" s="1092"/>
      <c r="F1203" s="1083"/>
      <c r="G1203" s="1092"/>
      <c r="H1203" s="1083"/>
      <c r="I1203" s="1092"/>
      <c r="J1203" s="1092"/>
      <c r="K1203" s="1092"/>
      <c r="L1203" s="1083"/>
      <c r="M1203" s="1083"/>
      <c r="N1203" s="1092"/>
      <c r="O1203" s="1083"/>
      <c r="P1203" s="1092"/>
      <c r="Q1203" s="1083"/>
      <c r="R1203" s="1092"/>
      <c r="S1203" s="1083"/>
      <c r="T1203" s="1083"/>
      <c r="U1203" s="1083"/>
      <c r="V1203" s="1083"/>
      <c r="W1203" s="1083"/>
      <c r="X1203" s="1083"/>
      <c r="Y1203" s="1083"/>
    </row>
    <row r="1204">
      <c r="A1204" s="1120"/>
      <c r="B1204" s="1120"/>
      <c r="C1204" s="1142"/>
      <c r="D1204" s="1058"/>
      <c r="E1204" s="1081"/>
      <c r="F1204" s="1142"/>
      <c r="G1204" s="1081"/>
      <c r="H1204" s="1142"/>
      <c r="I1204" s="1081"/>
      <c r="J1204" s="1081"/>
      <c r="K1204" s="1081"/>
      <c r="L1204" s="1142"/>
      <c r="M1204" s="1142"/>
      <c r="N1204" s="1081"/>
      <c r="O1204" s="1142"/>
      <c r="P1204" s="1081"/>
      <c r="Q1204" s="1142"/>
      <c r="R1204" s="1081"/>
      <c r="S1204" s="1142"/>
      <c r="T1204" s="1142"/>
      <c r="U1204" s="1142"/>
      <c r="V1204" s="1142"/>
      <c r="W1204" s="1142"/>
      <c r="X1204" s="1142"/>
      <c r="Y1204" s="1142"/>
    </row>
    <row r="1205">
      <c r="A1205" s="1140"/>
      <c r="B1205" s="1140"/>
      <c r="C1205" s="1083"/>
      <c r="D1205" s="1058"/>
      <c r="E1205" s="1092"/>
      <c r="F1205" s="1083"/>
      <c r="G1205" s="1092"/>
      <c r="H1205" s="1083"/>
      <c r="I1205" s="1092"/>
      <c r="J1205" s="1092"/>
      <c r="K1205" s="1092"/>
      <c r="L1205" s="1083"/>
      <c r="M1205" s="1083"/>
      <c r="N1205" s="1092"/>
      <c r="O1205" s="1083"/>
      <c r="P1205" s="1092"/>
      <c r="Q1205" s="1083"/>
      <c r="R1205" s="1092"/>
      <c r="S1205" s="1083"/>
      <c r="T1205" s="1083"/>
      <c r="U1205" s="1083"/>
      <c r="V1205" s="1083"/>
      <c r="W1205" s="1083"/>
      <c r="X1205" s="1083"/>
      <c r="Y1205" s="1083"/>
    </row>
    <row r="1206">
      <c r="A1206" s="1120"/>
      <c r="B1206" s="1120"/>
      <c r="C1206" s="1142"/>
      <c r="D1206" s="1058"/>
      <c r="E1206" s="1081"/>
      <c r="F1206" s="1142"/>
      <c r="G1206" s="1081"/>
      <c r="H1206" s="1142"/>
      <c r="I1206" s="1081"/>
      <c r="J1206" s="1081"/>
      <c r="K1206" s="1081"/>
      <c r="L1206" s="1142"/>
      <c r="M1206" s="1142"/>
      <c r="N1206" s="1081"/>
      <c r="O1206" s="1142"/>
      <c r="P1206" s="1081"/>
      <c r="Q1206" s="1142"/>
      <c r="R1206" s="1081"/>
      <c r="S1206" s="1142"/>
      <c r="T1206" s="1142"/>
      <c r="U1206" s="1142"/>
      <c r="V1206" s="1142"/>
      <c r="W1206" s="1142"/>
      <c r="X1206" s="1142"/>
      <c r="Y1206" s="1142"/>
    </row>
    <row r="1207">
      <c r="A1207" s="1140"/>
      <c r="B1207" s="1140"/>
      <c r="C1207" s="1083"/>
      <c r="D1207" s="1058"/>
      <c r="E1207" s="1092"/>
      <c r="F1207" s="1083"/>
      <c r="G1207" s="1092"/>
      <c r="H1207" s="1083"/>
      <c r="I1207" s="1092"/>
      <c r="J1207" s="1092"/>
      <c r="K1207" s="1092"/>
      <c r="L1207" s="1083"/>
      <c r="M1207" s="1083"/>
      <c r="N1207" s="1092"/>
      <c r="O1207" s="1083"/>
      <c r="P1207" s="1092"/>
      <c r="Q1207" s="1083"/>
      <c r="R1207" s="1092"/>
      <c r="S1207" s="1083"/>
      <c r="T1207" s="1083"/>
      <c r="U1207" s="1083"/>
      <c r="V1207" s="1083"/>
      <c r="W1207" s="1083"/>
      <c r="X1207" s="1083"/>
      <c r="Y1207" s="1083"/>
    </row>
    <row r="1208">
      <c r="A1208" s="1120"/>
      <c r="B1208" s="1120"/>
      <c r="C1208" s="1142"/>
      <c r="D1208" s="1058"/>
      <c r="E1208" s="1081"/>
      <c r="F1208" s="1142"/>
      <c r="G1208" s="1081"/>
      <c r="H1208" s="1142"/>
      <c r="I1208" s="1081"/>
      <c r="J1208" s="1081"/>
      <c r="K1208" s="1081"/>
      <c r="L1208" s="1142"/>
      <c r="M1208" s="1142"/>
      <c r="N1208" s="1081"/>
      <c r="O1208" s="1142"/>
      <c r="P1208" s="1081"/>
      <c r="Q1208" s="1142"/>
      <c r="R1208" s="1081"/>
      <c r="S1208" s="1142"/>
      <c r="T1208" s="1142"/>
      <c r="U1208" s="1142"/>
      <c r="V1208" s="1142"/>
      <c r="W1208" s="1142"/>
      <c r="X1208" s="1142"/>
      <c r="Y1208" s="1142"/>
    </row>
    <row r="1209">
      <c r="A1209" s="1140"/>
      <c r="B1209" s="1140"/>
      <c r="C1209" s="1083"/>
      <c r="D1209" s="1058"/>
      <c r="E1209" s="1092"/>
      <c r="F1209" s="1083"/>
      <c r="G1209" s="1092"/>
      <c r="H1209" s="1083"/>
      <c r="I1209" s="1092"/>
      <c r="J1209" s="1092"/>
      <c r="K1209" s="1092"/>
      <c r="L1209" s="1083"/>
      <c r="M1209" s="1083"/>
      <c r="N1209" s="1092"/>
      <c r="O1209" s="1083"/>
      <c r="P1209" s="1092"/>
      <c r="Q1209" s="1083"/>
      <c r="R1209" s="1092"/>
      <c r="S1209" s="1083"/>
      <c r="T1209" s="1083"/>
      <c r="U1209" s="1083"/>
      <c r="V1209" s="1083"/>
      <c r="W1209" s="1083"/>
      <c r="X1209" s="1083"/>
      <c r="Y1209" s="1083"/>
    </row>
    <row r="1210">
      <c r="A1210" s="1120"/>
      <c r="B1210" s="1120"/>
      <c r="C1210" s="1142"/>
      <c r="D1210" s="1058"/>
      <c r="E1210" s="1081"/>
      <c r="F1210" s="1142"/>
      <c r="G1210" s="1081"/>
      <c r="H1210" s="1142"/>
      <c r="I1210" s="1081"/>
      <c r="J1210" s="1081"/>
      <c r="K1210" s="1081"/>
      <c r="L1210" s="1142"/>
      <c r="M1210" s="1142"/>
      <c r="N1210" s="1081"/>
      <c r="O1210" s="1142"/>
      <c r="P1210" s="1081"/>
      <c r="Q1210" s="1142"/>
      <c r="R1210" s="1081"/>
      <c r="S1210" s="1142"/>
      <c r="T1210" s="1142"/>
      <c r="U1210" s="1142"/>
      <c r="V1210" s="1142"/>
      <c r="W1210" s="1142"/>
      <c r="X1210" s="1142"/>
      <c r="Y1210" s="1142"/>
    </row>
    <row r="1211">
      <c r="A1211" s="1140"/>
      <c r="B1211" s="1140"/>
      <c r="C1211" s="1083"/>
      <c r="D1211" s="1058"/>
      <c r="E1211" s="1092"/>
      <c r="F1211" s="1083"/>
      <c r="G1211" s="1092"/>
      <c r="H1211" s="1083"/>
      <c r="I1211" s="1092"/>
      <c r="J1211" s="1092"/>
      <c r="K1211" s="1092"/>
      <c r="L1211" s="1083"/>
      <c r="M1211" s="1083"/>
      <c r="N1211" s="1092"/>
      <c r="O1211" s="1083"/>
      <c r="P1211" s="1092"/>
      <c r="Q1211" s="1083"/>
      <c r="R1211" s="1092"/>
      <c r="S1211" s="1083"/>
      <c r="T1211" s="1083"/>
      <c r="U1211" s="1083"/>
      <c r="V1211" s="1083"/>
      <c r="W1211" s="1083"/>
      <c r="X1211" s="1083"/>
      <c r="Y1211" s="1083"/>
    </row>
    <row r="1212">
      <c r="A1212" s="1120"/>
      <c r="B1212" s="1120"/>
      <c r="C1212" s="1142"/>
      <c r="D1212" s="1058"/>
      <c r="E1212" s="1081"/>
      <c r="F1212" s="1142"/>
      <c r="G1212" s="1081"/>
      <c r="H1212" s="1142"/>
      <c r="I1212" s="1081"/>
      <c r="J1212" s="1081"/>
      <c r="K1212" s="1081"/>
      <c r="L1212" s="1142"/>
      <c r="M1212" s="1142"/>
      <c r="N1212" s="1081"/>
      <c r="O1212" s="1142"/>
      <c r="P1212" s="1081"/>
      <c r="Q1212" s="1142"/>
      <c r="R1212" s="1081"/>
      <c r="S1212" s="1142"/>
      <c r="T1212" s="1142"/>
      <c r="U1212" s="1142"/>
      <c r="V1212" s="1142"/>
      <c r="W1212" s="1142"/>
      <c r="X1212" s="1142"/>
      <c r="Y1212" s="1142"/>
    </row>
    <row r="1213">
      <c r="A1213" s="1140"/>
      <c r="B1213" s="1140"/>
      <c r="C1213" s="1083"/>
      <c r="D1213" s="1058"/>
      <c r="E1213" s="1092"/>
      <c r="F1213" s="1083"/>
      <c r="G1213" s="1092"/>
      <c r="H1213" s="1083"/>
      <c r="I1213" s="1092"/>
      <c r="J1213" s="1092"/>
      <c r="K1213" s="1092"/>
      <c r="L1213" s="1083"/>
      <c r="M1213" s="1083"/>
      <c r="N1213" s="1092"/>
      <c r="O1213" s="1083"/>
      <c r="P1213" s="1092"/>
      <c r="Q1213" s="1083"/>
      <c r="R1213" s="1092"/>
      <c r="S1213" s="1083"/>
      <c r="T1213" s="1083"/>
      <c r="U1213" s="1083"/>
      <c r="V1213" s="1083"/>
      <c r="W1213" s="1083"/>
      <c r="X1213" s="1083"/>
      <c r="Y1213" s="1083"/>
    </row>
    <row r="1214">
      <c r="A1214" s="1120"/>
      <c r="B1214" s="1120"/>
      <c r="C1214" s="1142"/>
      <c r="D1214" s="1058"/>
      <c r="E1214" s="1081"/>
      <c r="F1214" s="1142"/>
      <c r="G1214" s="1081"/>
      <c r="H1214" s="1142"/>
      <c r="I1214" s="1081"/>
      <c r="J1214" s="1081"/>
      <c r="K1214" s="1081"/>
      <c r="L1214" s="1142"/>
      <c r="M1214" s="1142"/>
      <c r="N1214" s="1081"/>
      <c r="O1214" s="1142"/>
      <c r="P1214" s="1081"/>
      <c r="Q1214" s="1142"/>
      <c r="R1214" s="1081"/>
      <c r="S1214" s="1142"/>
      <c r="T1214" s="1142"/>
      <c r="U1214" s="1142"/>
      <c r="V1214" s="1142"/>
      <c r="W1214" s="1142"/>
      <c r="X1214" s="1142"/>
      <c r="Y1214" s="1142"/>
    </row>
    <row r="1215">
      <c r="A1215" s="1140"/>
      <c r="B1215" s="1140"/>
      <c r="C1215" s="1083"/>
      <c r="D1215" s="1058"/>
      <c r="E1215" s="1092"/>
      <c r="F1215" s="1083"/>
      <c r="G1215" s="1092"/>
      <c r="H1215" s="1083"/>
      <c r="I1215" s="1092"/>
      <c r="J1215" s="1092"/>
      <c r="K1215" s="1092"/>
      <c r="L1215" s="1083"/>
      <c r="M1215" s="1083"/>
      <c r="N1215" s="1092"/>
      <c r="O1215" s="1083"/>
      <c r="P1215" s="1092"/>
      <c r="Q1215" s="1083"/>
      <c r="R1215" s="1092"/>
      <c r="S1215" s="1083"/>
      <c r="T1215" s="1083"/>
      <c r="U1215" s="1083"/>
      <c r="V1215" s="1083"/>
      <c r="W1215" s="1083"/>
      <c r="X1215" s="1083"/>
      <c r="Y1215" s="1083"/>
    </row>
    <row r="1216">
      <c r="A1216" s="1120"/>
      <c r="B1216" s="1120"/>
      <c r="C1216" s="1142"/>
      <c r="D1216" s="1058"/>
      <c r="E1216" s="1081"/>
      <c r="F1216" s="1142"/>
      <c r="G1216" s="1081"/>
      <c r="H1216" s="1142"/>
      <c r="I1216" s="1081"/>
      <c r="J1216" s="1081"/>
      <c r="K1216" s="1081"/>
      <c r="L1216" s="1142"/>
      <c r="M1216" s="1142"/>
      <c r="N1216" s="1081"/>
      <c r="O1216" s="1142"/>
      <c r="P1216" s="1081"/>
      <c r="Q1216" s="1142"/>
      <c r="R1216" s="1081"/>
      <c r="S1216" s="1142"/>
      <c r="T1216" s="1142"/>
      <c r="U1216" s="1142"/>
      <c r="V1216" s="1142"/>
      <c r="W1216" s="1142"/>
      <c r="X1216" s="1142"/>
      <c r="Y1216" s="1142"/>
    </row>
    <row r="1217">
      <c r="A1217" s="1140"/>
      <c r="B1217" s="1140"/>
      <c r="C1217" s="1083"/>
      <c r="D1217" s="1058"/>
      <c r="E1217" s="1092"/>
      <c r="F1217" s="1083"/>
      <c r="G1217" s="1092"/>
      <c r="H1217" s="1083"/>
      <c r="I1217" s="1092"/>
      <c r="J1217" s="1092"/>
      <c r="K1217" s="1092"/>
      <c r="L1217" s="1083"/>
      <c r="M1217" s="1083"/>
      <c r="N1217" s="1092"/>
      <c r="O1217" s="1083"/>
      <c r="P1217" s="1092"/>
      <c r="Q1217" s="1083"/>
      <c r="R1217" s="1092"/>
      <c r="S1217" s="1083"/>
      <c r="T1217" s="1083"/>
      <c r="U1217" s="1083"/>
      <c r="V1217" s="1083"/>
      <c r="W1217" s="1083"/>
      <c r="X1217" s="1083"/>
      <c r="Y1217" s="1083"/>
    </row>
    <row r="1218">
      <c r="A1218" s="1120"/>
      <c r="B1218" s="1120"/>
      <c r="C1218" s="1142"/>
      <c r="D1218" s="1058"/>
      <c r="E1218" s="1081"/>
      <c r="F1218" s="1142"/>
      <c r="G1218" s="1081"/>
      <c r="H1218" s="1142"/>
      <c r="I1218" s="1081"/>
      <c r="J1218" s="1081"/>
      <c r="K1218" s="1081"/>
      <c r="L1218" s="1142"/>
      <c r="M1218" s="1142"/>
      <c r="N1218" s="1081"/>
      <c r="O1218" s="1142"/>
      <c r="P1218" s="1081"/>
      <c r="Q1218" s="1142"/>
      <c r="R1218" s="1081"/>
      <c r="S1218" s="1142"/>
      <c r="T1218" s="1142"/>
      <c r="U1218" s="1142"/>
      <c r="V1218" s="1142"/>
      <c r="W1218" s="1142"/>
      <c r="X1218" s="1142"/>
      <c r="Y1218" s="1142"/>
    </row>
    <row r="1219">
      <c r="A1219" s="1140"/>
      <c r="B1219" s="1140"/>
      <c r="C1219" s="1083"/>
      <c r="D1219" s="1058"/>
      <c r="E1219" s="1092"/>
      <c r="F1219" s="1083"/>
      <c r="G1219" s="1092"/>
      <c r="H1219" s="1083"/>
      <c r="I1219" s="1092"/>
      <c r="J1219" s="1092"/>
      <c r="K1219" s="1092"/>
      <c r="L1219" s="1083"/>
      <c r="M1219" s="1083"/>
      <c r="N1219" s="1092"/>
      <c r="O1219" s="1083"/>
      <c r="P1219" s="1092"/>
      <c r="Q1219" s="1083"/>
      <c r="R1219" s="1092"/>
      <c r="S1219" s="1083"/>
      <c r="T1219" s="1083"/>
      <c r="U1219" s="1083"/>
      <c r="V1219" s="1083"/>
      <c r="W1219" s="1083"/>
      <c r="X1219" s="1083"/>
      <c r="Y1219" s="1083"/>
    </row>
    <row r="1220">
      <c r="A1220" s="1120"/>
      <c r="B1220" s="1120"/>
      <c r="C1220" s="1142"/>
      <c r="D1220" s="1058"/>
      <c r="E1220" s="1081"/>
      <c r="F1220" s="1142"/>
      <c r="G1220" s="1081"/>
      <c r="H1220" s="1142"/>
      <c r="I1220" s="1081"/>
      <c r="J1220" s="1081"/>
      <c r="K1220" s="1081"/>
      <c r="L1220" s="1142"/>
      <c r="M1220" s="1142"/>
      <c r="N1220" s="1081"/>
      <c r="O1220" s="1142"/>
      <c r="P1220" s="1081"/>
      <c r="Q1220" s="1142"/>
      <c r="R1220" s="1081"/>
      <c r="S1220" s="1142"/>
      <c r="T1220" s="1142"/>
      <c r="U1220" s="1142"/>
      <c r="V1220" s="1142"/>
      <c r="W1220" s="1142"/>
      <c r="X1220" s="1142"/>
      <c r="Y1220" s="1142"/>
    </row>
    <row r="1221">
      <c r="A1221" s="1140"/>
      <c r="B1221" s="1140"/>
      <c r="C1221" s="1083"/>
      <c r="D1221" s="1058"/>
      <c r="E1221" s="1092"/>
      <c r="F1221" s="1083"/>
      <c r="G1221" s="1092"/>
      <c r="H1221" s="1083"/>
      <c r="I1221" s="1092"/>
      <c r="J1221" s="1092"/>
      <c r="K1221" s="1092"/>
      <c r="L1221" s="1083"/>
      <c r="M1221" s="1083"/>
      <c r="N1221" s="1092"/>
      <c r="O1221" s="1083"/>
      <c r="P1221" s="1092"/>
      <c r="Q1221" s="1083"/>
      <c r="R1221" s="1092"/>
      <c r="S1221" s="1083"/>
      <c r="T1221" s="1083"/>
      <c r="U1221" s="1083"/>
      <c r="V1221" s="1083"/>
      <c r="W1221" s="1083"/>
      <c r="X1221" s="1083"/>
      <c r="Y1221" s="1083"/>
    </row>
    <row r="1222">
      <c r="A1222" s="1120"/>
      <c r="B1222" s="1120"/>
      <c r="C1222" s="1142"/>
      <c r="D1222" s="1058"/>
      <c r="E1222" s="1081"/>
      <c r="F1222" s="1142"/>
      <c r="G1222" s="1081"/>
      <c r="H1222" s="1142"/>
      <c r="I1222" s="1081"/>
      <c r="J1222" s="1081"/>
      <c r="K1222" s="1081"/>
      <c r="L1222" s="1142"/>
      <c r="M1222" s="1142"/>
      <c r="N1222" s="1081"/>
      <c r="O1222" s="1142"/>
      <c r="P1222" s="1081"/>
      <c r="Q1222" s="1142"/>
      <c r="R1222" s="1081"/>
      <c r="S1222" s="1142"/>
      <c r="T1222" s="1142"/>
      <c r="U1222" s="1142"/>
      <c r="V1222" s="1142"/>
      <c r="W1222" s="1142"/>
      <c r="X1222" s="1142"/>
      <c r="Y1222" s="1142"/>
    </row>
    <row r="1223">
      <c r="A1223" s="1140"/>
      <c r="B1223" s="1140"/>
      <c r="C1223" s="1083"/>
      <c r="D1223" s="1058"/>
      <c r="E1223" s="1092"/>
      <c r="F1223" s="1083"/>
      <c r="G1223" s="1092"/>
      <c r="H1223" s="1083"/>
      <c r="I1223" s="1092"/>
      <c r="J1223" s="1092"/>
      <c r="K1223" s="1092"/>
      <c r="L1223" s="1083"/>
      <c r="M1223" s="1083"/>
      <c r="N1223" s="1092"/>
      <c r="O1223" s="1083"/>
      <c r="P1223" s="1092"/>
      <c r="Q1223" s="1083"/>
      <c r="R1223" s="1092"/>
      <c r="S1223" s="1083"/>
      <c r="T1223" s="1083"/>
      <c r="U1223" s="1083"/>
      <c r="V1223" s="1083"/>
      <c r="W1223" s="1083"/>
      <c r="X1223" s="1083"/>
      <c r="Y1223" s="1083"/>
    </row>
    <row r="1224">
      <c r="A1224" s="1120"/>
      <c r="B1224" s="1120"/>
      <c r="C1224" s="1142"/>
      <c r="D1224" s="1058"/>
      <c r="E1224" s="1081"/>
      <c r="F1224" s="1142"/>
      <c r="G1224" s="1081"/>
      <c r="H1224" s="1142"/>
      <c r="I1224" s="1081"/>
      <c r="J1224" s="1081"/>
      <c r="K1224" s="1081"/>
      <c r="L1224" s="1142"/>
      <c r="M1224" s="1142"/>
      <c r="N1224" s="1081"/>
      <c r="O1224" s="1142"/>
      <c r="P1224" s="1081"/>
      <c r="Q1224" s="1142"/>
      <c r="R1224" s="1081"/>
      <c r="S1224" s="1142"/>
      <c r="T1224" s="1142"/>
      <c r="U1224" s="1142"/>
      <c r="V1224" s="1142"/>
      <c r="W1224" s="1142"/>
      <c r="X1224" s="1142"/>
      <c r="Y1224" s="1142"/>
    </row>
    <row r="1225">
      <c r="A1225" s="1140"/>
      <c r="B1225" s="1140"/>
      <c r="C1225" s="1083"/>
      <c r="D1225" s="1058"/>
      <c r="E1225" s="1092"/>
      <c r="F1225" s="1083"/>
      <c r="G1225" s="1092"/>
      <c r="H1225" s="1083"/>
      <c r="I1225" s="1092"/>
      <c r="J1225" s="1092"/>
      <c r="K1225" s="1092"/>
      <c r="L1225" s="1083"/>
      <c r="M1225" s="1083"/>
      <c r="N1225" s="1092"/>
      <c r="O1225" s="1083"/>
      <c r="P1225" s="1092"/>
      <c r="Q1225" s="1083"/>
      <c r="R1225" s="1092"/>
      <c r="S1225" s="1083"/>
      <c r="T1225" s="1083"/>
      <c r="U1225" s="1083"/>
      <c r="V1225" s="1083"/>
      <c r="W1225" s="1083"/>
      <c r="X1225" s="1083"/>
      <c r="Y1225" s="1083"/>
    </row>
    <row r="1226">
      <c r="A1226" s="1120"/>
      <c r="B1226" s="1120"/>
      <c r="C1226" s="1142"/>
      <c r="D1226" s="1058"/>
      <c r="E1226" s="1081"/>
      <c r="F1226" s="1142"/>
      <c r="G1226" s="1081"/>
      <c r="H1226" s="1142"/>
      <c r="I1226" s="1081"/>
      <c r="J1226" s="1081"/>
      <c r="K1226" s="1081"/>
      <c r="L1226" s="1142"/>
      <c r="M1226" s="1142"/>
      <c r="N1226" s="1081"/>
      <c r="O1226" s="1142"/>
      <c r="P1226" s="1081"/>
      <c r="Q1226" s="1142"/>
      <c r="R1226" s="1081"/>
      <c r="S1226" s="1142"/>
      <c r="T1226" s="1142"/>
      <c r="U1226" s="1142"/>
      <c r="V1226" s="1142"/>
      <c r="W1226" s="1142"/>
      <c r="X1226" s="1142"/>
      <c r="Y1226" s="1142"/>
    </row>
    <row r="1227">
      <c r="A1227" s="1140"/>
      <c r="B1227" s="1140"/>
      <c r="C1227" s="1083"/>
      <c r="D1227" s="1058"/>
      <c r="E1227" s="1092"/>
      <c r="F1227" s="1083"/>
      <c r="G1227" s="1092"/>
      <c r="H1227" s="1083"/>
      <c r="I1227" s="1092"/>
      <c r="J1227" s="1092"/>
      <c r="K1227" s="1092"/>
      <c r="L1227" s="1083"/>
      <c r="M1227" s="1083"/>
      <c r="N1227" s="1092"/>
      <c r="O1227" s="1083"/>
      <c r="P1227" s="1092"/>
      <c r="Q1227" s="1083"/>
      <c r="R1227" s="1092"/>
      <c r="S1227" s="1083"/>
      <c r="T1227" s="1083"/>
      <c r="U1227" s="1083"/>
      <c r="V1227" s="1083"/>
      <c r="W1227" s="1083"/>
      <c r="X1227" s="1083"/>
      <c r="Y1227" s="1083"/>
    </row>
    <row r="1228">
      <c r="A1228" s="1120"/>
      <c r="B1228" s="1120"/>
      <c r="C1228" s="1142"/>
      <c r="D1228" s="1058"/>
      <c r="E1228" s="1081"/>
      <c r="F1228" s="1142"/>
      <c r="G1228" s="1081"/>
      <c r="H1228" s="1142"/>
      <c r="I1228" s="1081"/>
      <c r="J1228" s="1081"/>
      <c r="K1228" s="1081"/>
      <c r="L1228" s="1142"/>
      <c r="M1228" s="1142"/>
      <c r="N1228" s="1081"/>
      <c r="O1228" s="1142"/>
      <c r="P1228" s="1081"/>
      <c r="Q1228" s="1142"/>
      <c r="R1228" s="1081"/>
      <c r="S1228" s="1142"/>
      <c r="T1228" s="1142"/>
      <c r="U1228" s="1142"/>
      <c r="V1228" s="1142"/>
      <c r="W1228" s="1142"/>
      <c r="X1228" s="1142"/>
      <c r="Y1228" s="1142"/>
    </row>
    <row r="1229">
      <c r="A1229" s="1140"/>
      <c r="B1229" s="1140"/>
      <c r="C1229" s="1083"/>
      <c r="D1229" s="1058"/>
      <c r="E1229" s="1092"/>
      <c r="F1229" s="1083"/>
      <c r="G1229" s="1092"/>
      <c r="H1229" s="1083"/>
      <c r="I1229" s="1092"/>
      <c r="J1229" s="1092"/>
      <c r="K1229" s="1092"/>
      <c r="L1229" s="1083"/>
      <c r="M1229" s="1083"/>
      <c r="N1229" s="1092"/>
      <c r="O1229" s="1083"/>
      <c r="P1229" s="1092"/>
      <c r="Q1229" s="1083"/>
      <c r="R1229" s="1092"/>
      <c r="S1229" s="1083"/>
      <c r="T1229" s="1083"/>
      <c r="U1229" s="1083"/>
      <c r="V1229" s="1083"/>
      <c r="W1229" s="1083"/>
      <c r="X1229" s="1083"/>
      <c r="Y1229" s="1083"/>
    </row>
    <row r="1230">
      <c r="A1230" s="1120"/>
      <c r="B1230" s="1120"/>
      <c r="C1230" s="1142"/>
      <c r="D1230" s="1058"/>
      <c r="E1230" s="1081"/>
      <c r="F1230" s="1142"/>
      <c r="G1230" s="1081"/>
      <c r="H1230" s="1142"/>
      <c r="I1230" s="1081"/>
      <c r="J1230" s="1081"/>
      <c r="K1230" s="1081"/>
      <c r="L1230" s="1142"/>
      <c r="M1230" s="1142"/>
      <c r="N1230" s="1081"/>
      <c r="O1230" s="1142"/>
      <c r="P1230" s="1081"/>
      <c r="Q1230" s="1142"/>
      <c r="R1230" s="1081"/>
      <c r="S1230" s="1142"/>
      <c r="T1230" s="1142"/>
      <c r="U1230" s="1142"/>
      <c r="V1230" s="1142"/>
      <c r="W1230" s="1142"/>
      <c r="X1230" s="1142"/>
      <c r="Y1230" s="1142"/>
    </row>
    <row r="1231">
      <c r="A1231" s="1140"/>
      <c r="B1231" s="1140"/>
      <c r="C1231" s="1083"/>
      <c r="D1231" s="1058"/>
      <c r="E1231" s="1092"/>
      <c r="F1231" s="1083"/>
      <c r="G1231" s="1092"/>
      <c r="H1231" s="1083"/>
      <c r="I1231" s="1092"/>
      <c r="J1231" s="1092"/>
      <c r="K1231" s="1092"/>
      <c r="L1231" s="1083"/>
      <c r="M1231" s="1083"/>
      <c r="N1231" s="1092"/>
      <c r="O1231" s="1083"/>
      <c r="P1231" s="1092"/>
      <c r="Q1231" s="1083"/>
      <c r="R1231" s="1092"/>
      <c r="S1231" s="1083"/>
      <c r="T1231" s="1083"/>
      <c r="U1231" s="1083"/>
      <c r="V1231" s="1083"/>
      <c r="W1231" s="1083"/>
      <c r="X1231" s="1083"/>
      <c r="Y1231" s="1083"/>
    </row>
    <row r="1232">
      <c r="A1232" s="1120"/>
      <c r="B1232" s="1120"/>
      <c r="C1232" s="1142"/>
      <c r="D1232" s="1058"/>
      <c r="E1232" s="1081"/>
      <c r="F1232" s="1142"/>
      <c r="G1232" s="1081"/>
      <c r="H1232" s="1142"/>
      <c r="I1232" s="1081"/>
      <c r="J1232" s="1081"/>
      <c r="K1232" s="1081"/>
      <c r="L1232" s="1142"/>
      <c r="M1232" s="1142"/>
      <c r="N1232" s="1081"/>
      <c r="O1232" s="1142"/>
      <c r="P1232" s="1081"/>
      <c r="Q1232" s="1142"/>
      <c r="R1232" s="1081"/>
      <c r="S1232" s="1142"/>
      <c r="T1232" s="1142"/>
      <c r="U1232" s="1142"/>
      <c r="V1232" s="1142"/>
      <c r="W1232" s="1142"/>
      <c r="X1232" s="1142"/>
      <c r="Y1232" s="1142"/>
    </row>
    <row r="1233">
      <c r="A1233" s="1140"/>
      <c r="B1233" s="1140"/>
      <c r="C1233" s="1083"/>
      <c r="D1233" s="1058"/>
      <c r="E1233" s="1092"/>
      <c r="F1233" s="1083"/>
      <c r="G1233" s="1092"/>
      <c r="H1233" s="1083"/>
      <c r="I1233" s="1092"/>
      <c r="J1233" s="1092"/>
      <c r="K1233" s="1092"/>
      <c r="L1233" s="1083"/>
      <c r="M1233" s="1083"/>
      <c r="N1233" s="1092"/>
      <c r="O1233" s="1083"/>
      <c r="P1233" s="1092"/>
      <c r="Q1233" s="1083"/>
      <c r="R1233" s="1092"/>
      <c r="S1233" s="1083"/>
      <c r="T1233" s="1083"/>
      <c r="U1233" s="1083"/>
      <c r="V1233" s="1083"/>
      <c r="W1233" s="1083"/>
      <c r="X1233" s="1083"/>
      <c r="Y1233" s="1083"/>
    </row>
    <row r="1234">
      <c r="A1234" s="1120"/>
      <c r="B1234" s="1120"/>
      <c r="C1234" s="1142"/>
      <c r="D1234" s="1058"/>
      <c r="E1234" s="1081"/>
      <c r="F1234" s="1142"/>
      <c r="G1234" s="1081"/>
      <c r="H1234" s="1142"/>
      <c r="I1234" s="1081"/>
      <c r="J1234" s="1081"/>
      <c r="K1234" s="1081"/>
      <c r="L1234" s="1142"/>
      <c r="M1234" s="1142"/>
      <c r="N1234" s="1081"/>
      <c r="O1234" s="1142"/>
      <c r="P1234" s="1081"/>
      <c r="Q1234" s="1142"/>
      <c r="R1234" s="1081"/>
      <c r="S1234" s="1142"/>
      <c r="T1234" s="1142"/>
      <c r="U1234" s="1142"/>
      <c r="V1234" s="1142"/>
      <c r="W1234" s="1142"/>
      <c r="X1234" s="1142"/>
      <c r="Y1234" s="1142"/>
    </row>
    <row r="1235">
      <c r="A1235" s="1140"/>
      <c r="B1235" s="1140"/>
      <c r="C1235" s="1083"/>
      <c r="D1235" s="1058"/>
      <c r="E1235" s="1092"/>
      <c r="F1235" s="1083"/>
      <c r="G1235" s="1092"/>
      <c r="H1235" s="1083"/>
      <c r="I1235" s="1092"/>
      <c r="J1235" s="1092"/>
      <c r="K1235" s="1092"/>
      <c r="L1235" s="1083"/>
      <c r="M1235" s="1083"/>
      <c r="N1235" s="1092"/>
      <c r="O1235" s="1083"/>
      <c r="P1235" s="1092"/>
      <c r="Q1235" s="1083"/>
      <c r="R1235" s="1092"/>
      <c r="S1235" s="1083"/>
      <c r="T1235" s="1083"/>
      <c r="U1235" s="1083"/>
      <c r="V1235" s="1083"/>
      <c r="W1235" s="1083"/>
      <c r="X1235" s="1083"/>
      <c r="Y1235" s="1083"/>
    </row>
    <row r="1236">
      <c r="A1236" s="1120"/>
      <c r="B1236" s="1120"/>
      <c r="C1236" s="1142"/>
      <c r="D1236" s="1058"/>
      <c r="E1236" s="1081"/>
      <c r="F1236" s="1142"/>
      <c r="G1236" s="1081"/>
      <c r="H1236" s="1142"/>
      <c r="I1236" s="1081"/>
      <c r="J1236" s="1081"/>
      <c r="K1236" s="1081"/>
      <c r="L1236" s="1142"/>
      <c r="M1236" s="1142"/>
      <c r="N1236" s="1081"/>
      <c r="O1236" s="1142"/>
      <c r="P1236" s="1081"/>
      <c r="Q1236" s="1142"/>
      <c r="R1236" s="1081"/>
      <c r="S1236" s="1142"/>
      <c r="T1236" s="1142"/>
      <c r="U1236" s="1142"/>
      <c r="V1236" s="1142"/>
      <c r="W1236" s="1142"/>
      <c r="X1236" s="1142"/>
      <c r="Y1236" s="1142"/>
    </row>
    <row r="1237">
      <c r="A1237" s="1140"/>
      <c r="B1237" s="1140"/>
      <c r="C1237" s="1083"/>
      <c r="D1237" s="1058"/>
      <c r="E1237" s="1092"/>
      <c r="F1237" s="1083"/>
      <c r="G1237" s="1092"/>
      <c r="H1237" s="1083"/>
      <c r="I1237" s="1092"/>
      <c r="J1237" s="1092"/>
      <c r="K1237" s="1092"/>
      <c r="L1237" s="1083"/>
      <c r="M1237" s="1083"/>
      <c r="N1237" s="1092"/>
      <c r="O1237" s="1083"/>
      <c r="P1237" s="1092"/>
      <c r="Q1237" s="1083"/>
      <c r="R1237" s="1092"/>
      <c r="S1237" s="1083"/>
      <c r="T1237" s="1083"/>
      <c r="U1237" s="1083"/>
      <c r="V1237" s="1083"/>
      <c r="W1237" s="1083"/>
      <c r="X1237" s="1083"/>
      <c r="Y1237" s="1083"/>
    </row>
    <row r="1238">
      <c r="A1238" s="1120"/>
      <c r="B1238" s="1120"/>
      <c r="C1238" s="1142"/>
      <c r="D1238" s="1058"/>
      <c r="E1238" s="1081"/>
      <c r="F1238" s="1142"/>
      <c r="G1238" s="1081"/>
      <c r="H1238" s="1142"/>
      <c r="I1238" s="1081"/>
      <c r="J1238" s="1081"/>
      <c r="K1238" s="1081"/>
      <c r="L1238" s="1142"/>
      <c r="M1238" s="1142"/>
      <c r="N1238" s="1081"/>
      <c r="O1238" s="1142"/>
      <c r="P1238" s="1081"/>
      <c r="Q1238" s="1142"/>
      <c r="R1238" s="1081"/>
      <c r="S1238" s="1142"/>
      <c r="T1238" s="1142"/>
      <c r="U1238" s="1142"/>
      <c r="V1238" s="1142"/>
      <c r="W1238" s="1142"/>
      <c r="X1238" s="1142"/>
      <c r="Y1238" s="1142"/>
    </row>
    <row r="1239">
      <c r="A1239" s="1140"/>
      <c r="B1239" s="1140"/>
      <c r="C1239" s="1083"/>
      <c r="D1239" s="1058"/>
      <c r="E1239" s="1092"/>
      <c r="F1239" s="1083"/>
      <c r="G1239" s="1092"/>
      <c r="H1239" s="1083"/>
      <c r="I1239" s="1092"/>
      <c r="J1239" s="1092"/>
      <c r="K1239" s="1092"/>
      <c r="L1239" s="1083"/>
      <c r="M1239" s="1083"/>
      <c r="N1239" s="1092"/>
      <c r="O1239" s="1083"/>
      <c r="P1239" s="1092"/>
      <c r="Q1239" s="1083"/>
      <c r="R1239" s="1092"/>
      <c r="S1239" s="1083"/>
      <c r="T1239" s="1083"/>
      <c r="U1239" s="1083"/>
      <c r="V1239" s="1083"/>
      <c r="W1239" s="1083"/>
      <c r="X1239" s="1083"/>
      <c r="Y1239" s="1083"/>
    </row>
    <row r="1240">
      <c r="A1240" s="1120"/>
      <c r="B1240" s="1120"/>
      <c r="C1240" s="1142"/>
      <c r="D1240" s="1058"/>
      <c r="E1240" s="1081"/>
      <c r="F1240" s="1142"/>
      <c r="G1240" s="1081"/>
      <c r="H1240" s="1142"/>
      <c r="I1240" s="1081"/>
      <c r="J1240" s="1081"/>
      <c r="K1240" s="1081"/>
      <c r="L1240" s="1142"/>
      <c r="M1240" s="1142"/>
      <c r="N1240" s="1081"/>
      <c r="O1240" s="1142"/>
      <c r="P1240" s="1081"/>
      <c r="Q1240" s="1142"/>
      <c r="R1240" s="1081"/>
      <c r="S1240" s="1142"/>
      <c r="T1240" s="1142"/>
      <c r="U1240" s="1142"/>
      <c r="V1240" s="1142"/>
      <c r="W1240" s="1142"/>
      <c r="X1240" s="1142"/>
      <c r="Y1240" s="1142"/>
    </row>
    <row r="1241">
      <c r="A1241" s="1140"/>
      <c r="B1241" s="1140"/>
      <c r="C1241" s="1083"/>
      <c r="D1241" s="1058"/>
      <c r="E1241" s="1092"/>
      <c r="F1241" s="1083"/>
      <c r="G1241" s="1092"/>
      <c r="H1241" s="1083"/>
      <c r="I1241" s="1092"/>
      <c r="J1241" s="1092"/>
      <c r="K1241" s="1092"/>
      <c r="L1241" s="1083"/>
      <c r="M1241" s="1083"/>
      <c r="N1241" s="1092"/>
      <c r="O1241" s="1083"/>
      <c r="P1241" s="1092"/>
      <c r="Q1241" s="1083"/>
      <c r="R1241" s="1092"/>
      <c r="S1241" s="1083"/>
      <c r="T1241" s="1083"/>
      <c r="U1241" s="1083"/>
      <c r="V1241" s="1083"/>
      <c r="W1241" s="1083"/>
      <c r="X1241" s="1083"/>
      <c r="Y1241" s="1083"/>
    </row>
    <row r="1242">
      <c r="A1242" s="1120"/>
      <c r="B1242" s="1120"/>
      <c r="C1242" s="1142"/>
      <c r="D1242" s="1058"/>
      <c r="E1242" s="1081"/>
      <c r="F1242" s="1142"/>
      <c r="G1242" s="1081"/>
      <c r="H1242" s="1142"/>
      <c r="I1242" s="1081"/>
      <c r="J1242" s="1081"/>
      <c r="K1242" s="1081"/>
      <c r="L1242" s="1142"/>
      <c r="M1242" s="1142"/>
      <c r="N1242" s="1081"/>
      <c r="O1242" s="1142"/>
      <c r="P1242" s="1081"/>
      <c r="Q1242" s="1142"/>
      <c r="R1242" s="1081"/>
      <c r="S1242" s="1142"/>
      <c r="T1242" s="1142"/>
      <c r="U1242" s="1142"/>
      <c r="V1242" s="1142"/>
      <c r="W1242" s="1142"/>
      <c r="X1242" s="1142"/>
      <c r="Y1242" s="1142"/>
    </row>
    <row r="1243">
      <c r="A1243" s="1140"/>
      <c r="B1243" s="1140"/>
      <c r="C1243" s="1083"/>
      <c r="D1243" s="1058"/>
      <c r="E1243" s="1092"/>
      <c r="F1243" s="1083"/>
      <c r="G1243" s="1092"/>
      <c r="H1243" s="1083"/>
      <c r="I1243" s="1092"/>
      <c r="J1243" s="1092"/>
      <c r="K1243" s="1092"/>
      <c r="L1243" s="1083"/>
      <c r="M1243" s="1083"/>
      <c r="N1243" s="1092"/>
      <c r="O1243" s="1083"/>
      <c r="P1243" s="1092"/>
      <c r="Q1243" s="1083"/>
      <c r="R1243" s="1092"/>
      <c r="S1243" s="1083"/>
      <c r="T1243" s="1083"/>
      <c r="U1243" s="1083"/>
      <c r="V1243" s="1083"/>
      <c r="W1243" s="1083"/>
      <c r="X1243" s="1083"/>
      <c r="Y1243" s="1083"/>
    </row>
    <row r="1244">
      <c r="A1244" s="1120"/>
      <c r="B1244" s="1120"/>
      <c r="C1244" s="1142"/>
      <c r="D1244" s="1058"/>
      <c r="E1244" s="1081"/>
      <c r="F1244" s="1142"/>
      <c r="G1244" s="1081"/>
      <c r="H1244" s="1142"/>
      <c r="I1244" s="1081"/>
      <c r="J1244" s="1081"/>
      <c r="K1244" s="1081"/>
      <c r="L1244" s="1142"/>
      <c r="M1244" s="1142"/>
      <c r="N1244" s="1081"/>
      <c r="O1244" s="1142"/>
      <c r="P1244" s="1081"/>
      <c r="Q1244" s="1142"/>
      <c r="R1244" s="1081"/>
      <c r="S1244" s="1142"/>
      <c r="T1244" s="1142"/>
      <c r="U1244" s="1142"/>
      <c r="V1244" s="1142"/>
      <c r="W1244" s="1142"/>
      <c r="X1244" s="1142"/>
      <c r="Y1244" s="1142"/>
    </row>
    <row r="1245">
      <c r="A1245" s="1140"/>
      <c r="B1245" s="1140"/>
      <c r="C1245" s="1083"/>
      <c r="D1245" s="1058"/>
      <c r="E1245" s="1092"/>
      <c r="F1245" s="1083"/>
      <c r="G1245" s="1092"/>
      <c r="H1245" s="1083"/>
      <c r="I1245" s="1092"/>
      <c r="J1245" s="1092"/>
      <c r="K1245" s="1092"/>
      <c r="L1245" s="1083"/>
      <c r="M1245" s="1083"/>
      <c r="N1245" s="1092"/>
      <c r="O1245" s="1083"/>
      <c r="P1245" s="1092"/>
      <c r="Q1245" s="1083"/>
      <c r="R1245" s="1092"/>
      <c r="S1245" s="1083"/>
      <c r="T1245" s="1083"/>
      <c r="U1245" s="1083"/>
      <c r="V1245" s="1083"/>
      <c r="W1245" s="1083"/>
      <c r="X1245" s="1083"/>
      <c r="Y1245" s="1083"/>
    </row>
    <row r="1246">
      <c r="A1246" s="1120"/>
      <c r="B1246" s="1120"/>
      <c r="C1246" s="1142"/>
      <c r="D1246" s="1058"/>
      <c r="E1246" s="1081"/>
      <c r="F1246" s="1142"/>
      <c r="G1246" s="1081"/>
      <c r="H1246" s="1142"/>
      <c r="I1246" s="1081"/>
      <c r="J1246" s="1081"/>
      <c r="K1246" s="1081"/>
      <c r="L1246" s="1142"/>
      <c r="M1246" s="1142"/>
      <c r="N1246" s="1081"/>
      <c r="O1246" s="1142"/>
      <c r="P1246" s="1081"/>
      <c r="Q1246" s="1142"/>
      <c r="R1246" s="1081"/>
      <c r="S1246" s="1142"/>
      <c r="T1246" s="1142"/>
      <c r="U1246" s="1142"/>
      <c r="V1246" s="1142"/>
      <c r="W1246" s="1142"/>
      <c r="X1246" s="1142"/>
      <c r="Y1246" s="1142"/>
    </row>
    <row r="1247">
      <c r="A1247" s="1140"/>
      <c r="B1247" s="1140"/>
      <c r="C1247" s="1083"/>
      <c r="D1247" s="1058"/>
      <c r="E1247" s="1092"/>
      <c r="F1247" s="1083"/>
      <c r="G1247" s="1092"/>
      <c r="H1247" s="1083"/>
      <c r="I1247" s="1092"/>
      <c r="J1247" s="1092"/>
      <c r="K1247" s="1092"/>
      <c r="L1247" s="1083"/>
      <c r="M1247" s="1083"/>
      <c r="N1247" s="1092"/>
      <c r="O1247" s="1083"/>
      <c r="P1247" s="1092"/>
      <c r="Q1247" s="1083"/>
      <c r="R1247" s="1092"/>
      <c r="S1247" s="1083"/>
      <c r="T1247" s="1083"/>
      <c r="U1247" s="1083"/>
      <c r="V1247" s="1083"/>
      <c r="W1247" s="1083"/>
      <c r="X1247" s="1083"/>
      <c r="Y1247" s="1083"/>
    </row>
    <row r="1248">
      <c r="A1248" s="1120"/>
      <c r="B1248" s="1120"/>
      <c r="C1248" s="1142"/>
      <c r="D1248" s="1058"/>
      <c r="E1248" s="1081"/>
      <c r="F1248" s="1142"/>
      <c r="G1248" s="1081"/>
      <c r="H1248" s="1142"/>
      <c r="I1248" s="1081"/>
      <c r="J1248" s="1081"/>
      <c r="K1248" s="1081"/>
      <c r="L1248" s="1142"/>
      <c r="M1248" s="1142"/>
      <c r="N1248" s="1081"/>
      <c r="O1248" s="1142"/>
      <c r="P1248" s="1081"/>
      <c r="Q1248" s="1142"/>
      <c r="R1248" s="1081"/>
      <c r="S1248" s="1142"/>
      <c r="T1248" s="1142"/>
      <c r="U1248" s="1142"/>
      <c r="V1248" s="1142"/>
      <c r="W1248" s="1142"/>
      <c r="X1248" s="1142"/>
      <c r="Y1248" s="1142"/>
    </row>
    <row r="1249">
      <c r="A1249" s="1140"/>
      <c r="B1249" s="1140"/>
      <c r="C1249" s="1083"/>
      <c r="D1249" s="1058"/>
      <c r="E1249" s="1092"/>
      <c r="F1249" s="1083"/>
      <c r="G1249" s="1092"/>
      <c r="H1249" s="1083"/>
      <c r="I1249" s="1092"/>
      <c r="J1249" s="1092"/>
      <c r="K1249" s="1092"/>
      <c r="L1249" s="1083"/>
      <c r="M1249" s="1083"/>
      <c r="N1249" s="1092"/>
      <c r="O1249" s="1083"/>
      <c r="P1249" s="1092"/>
      <c r="Q1249" s="1083"/>
      <c r="R1249" s="1092"/>
      <c r="S1249" s="1083"/>
      <c r="T1249" s="1083"/>
      <c r="U1249" s="1083"/>
      <c r="V1249" s="1083"/>
      <c r="W1249" s="1083"/>
      <c r="X1249" s="1083"/>
      <c r="Y1249" s="1083"/>
    </row>
    <row r="1250">
      <c r="A1250" s="1120"/>
      <c r="B1250" s="1120"/>
      <c r="C1250" s="1142"/>
      <c r="D1250" s="1058"/>
      <c r="E1250" s="1081"/>
      <c r="F1250" s="1142"/>
      <c r="G1250" s="1081"/>
      <c r="H1250" s="1142"/>
      <c r="I1250" s="1081"/>
      <c r="J1250" s="1081"/>
      <c r="K1250" s="1081"/>
      <c r="L1250" s="1142"/>
      <c r="M1250" s="1142"/>
      <c r="N1250" s="1081"/>
      <c r="O1250" s="1142"/>
      <c r="P1250" s="1081"/>
      <c r="Q1250" s="1142"/>
      <c r="R1250" s="1081"/>
      <c r="S1250" s="1142"/>
      <c r="T1250" s="1142"/>
      <c r="U1250" s="1142"/>
      <c r="V1250" s="1142"/>
      <c r="W1250" s="1142"/>
      <c r="X1250" s="1142"/>
      <c r="Y1250" s="1142"/>
    </row>
    <row r="1251">
      <c r="A1251" s="1140"/>
      <c r="B1251" s="1140"/>
      <c r="C1251" s="1083"/>
      <c r="D1251" s="1058"/>
      <c r="E1251" s="1092"/>
      <c r="F1251" s="1083"/>
      <c r="G1251" s="1092"/>
      <c r="H1251" s="1083"/>
      <c r="I1251" s="1092"/>
      <c r="J1251" s="1092"/>
      <c r="K1251" s="1092"/>
      <c r="L1251" s="1083"/>
      <c r="M1251" s="1083"/>
      <c r="N1251" s="1092"/>
      <c r="O1251" s="1083"/>
      <c r="P1251" s="1092"/>
      <c r="Q1251" s="1083"/>
      <c r="R1251" s="1092"/>
      <c r="S1251" s="1083"/>
      <c r="T1251" s="1083"/>
      <c r="U1251" s="1083"/>
      <c r="V1251" s="1083"/>
      <c r="W1251" s="1083"/>
      <c r="X1251" s="1083"/>
      <c r="Y1251" s="1083"/>
    </row>
    <row r="1252">
      <c r="A1252" s="1120"/>
      <c r="B1252" s="1120"/>
      <c r="C1252" s="1142"/>
      <c r="D1252" s="1058"/>
      <c r="E1252" s="1081"/>
      <c r="F1252" s="1142"/>
      <c r="G1252" s="1081"/>
      <c r="H1252" s="1142"/>
      <c r="I1252" s="1081"/>
      <c r="J1252" s="1081"/>
      <c r="K1252" s="1081"/>
      <c r="L1252" s="1142"/>
      <c r="M1252" s="1142"/>
      <c r="N1252" s="1081"/>
      <c r="O1252" s="1142"/>
      <c r="P1252" s="1081"/>
      <c r="Q1252" s="1142"/>
      <c r="R1252" s="1081"/>
      <c r="S1252" s="1142"/>
      <c r="T1252" s="1142"/>
      <c r="U1252" s="1142"/>
      <c r="V1252" s="1142"/>
      <c r="W1252" s="1142"/>
      <c r="X1252" s="1142"/>
      <c r="Y1252" s="1142"/>
    </row>
    <row r="1253">
      <c r="A1253" s="1140"/>
      <c r="B1253" s="1140"/>
      <c r="C1253" s="1083"/>
      <c r="D1253" s="1058"/>
      <c r="E1253" s="1092"/>
      <c r="F1253" s="1083"/>
      <c r="G1253" s="1092"/>
      <c r="H1253" s="1083"/>
      <c r="I1253" s="1092"/>
      <c r="J1253" s="1092"/>
      <c r="K1253" s="1092"/>
      <c r="L1253" s="1083"/>
      <c r="M1253" s="1083"/>
      <c r="N1253" s="1092"/>
      <c r="O1253" s="1083"/>
      <c r="P1253" s="1092"/>
      <c r="Q1253" s="1083"/>
      <c r="R1253" s="1092"/>
      <c r="S1253" s="1083"/>
      <c r="T1253" s="1083"/>
      <c r="U1253" s="1083"/>
      <c r="V1253" s="1083"/>
      <c r="W1253" s="1083"/>
      <c r="X1253" s="1083"/>
      <c r="Y1253" s="1083"/>
    </row>
    <row r="1254">
      <c r="A1254" s="1120"/>
      <c r="B1254" s="1120"/>
      <c r="C1254" s="1142"/>
      <c r="D1254" s="1058"/>
      <c r="E1254" s="1081"/>
      <c r="F1254" s="1142"/>
      <c r="G1254" s="1081"/>
      <c r="H1254" s="1142"/>
      <c r="I1254" s="1081"/>
      <c r="J1254" s="1081"/>
      <c r="K1254" s="1081"/>
      <c r="L1254" s="1142"/>
      <c r="M1254" s="1142"/>
      <c r="N1254" s="1081"/>
      <c r="O1254" s="1142"/>
      <c r="P1254" s="1081"/>
      <c r="Q1254" s="1142"/>
      <c r="R1254" s="1081"/>
      <c r="S1254" s="1142"/>
      <c r="T1254" s="1142"/>
      <c r="U1254" s="1142"/>
      <c r="V1254" s="1142"/>
      <c r="W1254" s="1142"/>
      <c r="X1254" s="1142"/>
      <c r="Y1254" s="1142"/>
    </row>
    <row r="1255">
      <c r="A1255" s="1140"/>
      <c r="B1255" s="1140"/>
      <c r="C1255" s="1083"/>
      <c r="D1255" s="1058"/>
      <c r="E1255" s="1092"/>
      <c r="F1255" s="1083"/>
      <c r="G1255" s="1092"/>
      <c r="H1255" s="1083"/>
      <c r="I1255" s="1092"/>
      <c r="J1255" s="1092"/>
      <c r="K1255" s="1092"/>
      <c r="L1255" s="1083"/>
      <c r="M1255" s="1083"/>
      <c r="N1255" s="1092"/>
      <c r="O1255" s="1083"/>
      <c r="P1255" s="1092"/>
      <c r="Q1255" s="1083"/>
      <c r="R1255" s="1092"/>
      <c r="S1255" s="1083"/>
      <c r="T1255" s="1083"/>
      <c r="U1255" s="1083"/>
      <c r="V1255" s="1083"/>
      <c r="W1255" s="1083"/>
      <c r="X1255" s="1083"/>
      <c r="Y1255" s="1083"/>
    </row>
    <row r="1256">
      <c r="A1256" s="1120"/>
      <c r="B1256" s="1120"/>
      <c r="C1256" s="1142"/>
      <c r="D1256" s="1058"/>
      <c r="E1256" s="1081"/>
      <c r="F1256" s="1142"/>
      <c r="G1256" s="1081"/>
      <c r="H1256" s="1142"/>
      <c r="I1256" s="1081"/>
      <c r="J1256" s="1081"/>
      <c r="K1256" s="1081"/>
      <c r="L1256" s="1142"/>
      <c r="M1256" s="1142"/>
      <c r="N1256" s="1081"/>
      <c r="O1256" s="1142"/>
      <c r="P1256" s="1081"/>
      <c r="Q1256" s="1142"/>
      <c r="R1256" s="1081"/>
      <c r="S1256" s="1142"/>
      <c r="T1256" s="1142"/>
      <c r="U1256" s="1142"/>
      <c r="V1256" s="1142"/>
      <c r="W1256" s="1142"/>
      <c r="X1256" s="1142"/>
      <c r="Y1256" s="1142"/>
    </row>
    <row r="1257">
      <c r="A1257" s="1140"/>
      <c r="B1257" s="1140"/>
      <c r="C1257" s="1083"/>
      <c r="D1257" s="1058"/>
      <c r="E1257" s="1092"/>
      <c r="F1257" s="1083"/>
      <c r="G1257" s="1092"/>
      <c r="H1257" s="1083"/>
      <c r="I1257" s="1092"/>
      <c r="J1257" s="1092"/>
      <c r="K1257" s="1092"/>
      <c r="L1257" s="1083"/>
      <c r="M1257" s="1083"/>
      <c r="N1257" s="1092"/>
      <c r="O1257" s="1083"/>
      <c r="P1257" s="1092"/>
      <c r="Q1257" s="1083"/>
      <c r="R1257" s="1092"/>
      <c r="S1257" s="1083"/>
      <c r="T1257" s="1083"/>
      <c r="U1257" s="1083"/>
      <c r="V1257" s="1083"/>
      <c r="W1257" s="1083"/>
      <c r="X1257" s="1083"/>
      <c r="Y1257" s="1083"/>
    </row>
    <row r="1258">
      <c r="A1258" s="1120"/>
      <c r="B1258" s="1120"/>
      <c r="C1258" s="1142"/>
      <c r="D1258" s="1058"/>
      <c r="E1258" s="1081"/>
      <c r="F1258" s="1142"/>
      <c r="G1258" s="1081"/>
      <c r="H1258" s="1142"/>
      <c r="I1258" s="1081"/>
      <c r="J1258" s="1081"/>
      <c r="K1258" s="1081"/>
      <c r="L1258" s="1142"/>
      <c r="M1258" s="1142"/>
      <c r="N1258" s="1081"/>
      <c r="O1258" s="1142"/>
      <c r="P1258" s="1081"/>
      <c r="Q1258" s="1142"/>
      <c r="R1258" s="1081"/>
      <c r="S1258" s="1142"/>
      <c r="T1258" s="1142"/>
      <c r="U1258" s="1142"/>
      <c r="V1258" s="1142"/>
      <c r="W1258" s="1142"/>
      <c r="X1258" s="1142"/>
      <c r="Y1258" s="1142"/>
    </row>
    <row r="1259">
      <c r="A1259" s="1140"/>
      <c r="B1259" s="1140"/>
      <c r="C1259" s="1083"/>
      <c r="D1259" s="1058"/>
      <c r="E1259" s="1092"/>
      <c r="F1259" s="1083"/>
      <c r="G1259" s="1092"/>
      <c r="H1259" s="1083"/>
      <c r="I1259" s="1092"/>
      <c r="J1259" s="1092"/>
      <c r="K1259" s="1092"/>
      <c r="L1259" s="1083"/>
      <c r="M1259" s="1083"/>
      <c r="N1259" s="1092"/>
      <c r="O1259" s="1083"/>
      <c r="P1259" s="1092"/>
      <c r="Q1259" s="1083"/>
      <c r="R1259" s="1092"/>
      <c r="S1259" s="1083"/>
      <c r="T1259" s="1083"/>
      <c r="U1259" s="1083"/>
      <c r="V1259" s="1083"/>
      <c r="W1259" s="1083"/>
      <c r="X1259" s="1083"/>
      <c r="Y1259" s="1083"/>
    </row>
    <row r="1260">
      <c r="A1260" s="1120"/>
      <c r="B1260" s="1120"/>
      <c r="C1260" s="1142"/>
      <c r="D1260" s="1058"/>
      <c r="E1260" s="1081"/>
      <c r="F1260" s="1142"/>
      <c r="G1260" s="1081"/>
      <c r="H1260" s="1142"/>
      <c r="I1260" s="1081"/>
      <c r="J1260" s="1081"/>
      <c r="K1260" s="1081"/>
      <c r="L1260" s="1142"/>
      <c r="M1260" s="1142"/>
      <c r="N1260" s="1081"/>
      <c r="O1260" s="1142"/>
      <c r="P1260" s="1081"/>
      <c r="Q1260" s="1142"/>
      <c r="R1260" s="1081"/>
      <c r="S1260" s="1142"/>
      <c r="T1260" s="1142"/>
      <c r="U1260" s="1142"/>
      <c r="V1260" s="1142"/>
      <c r="W1260" s="1142"/>
      <c r="X1260" s="1142"/>
      <c r="Y1260" s="1142"/>
    </row>
    <row r="1261">
      <c r="A1261" s="1140"/>
      <c r="B1261" s="1140"/>
      <c r="C1261" s="1083"/>
      <c r="D1261" s="1058"/>
      <c r="E1261" s="1092"/>
      <c r="F1261" s="1083"/>
      <c r="G1261" s="1092"/>
      <c r="H1261" s="1083"/>
      <c r="I1261" s="1092"/>
      <c r="J1261" s="1092"/>
      <c r="K1261" s="1092"/>
      <c r="L1261" s="1083"/>
      <c r="M1261" s="1083"/>
      <c r="N1261" s="1092"/>
      <c r="O1261" s="1083"/>
      <c r="P1261" s="1092"/>
      <c r="Q1261" s="1083"/>
      <c r="R1261" s="1092"/>
      <c r="S1261" s="1083"/>
      <c r="T1261" s="1083"/>
      <c r="U1261" s="1083"/>
      <c r="V1261" s="1083"/>
      <c r="W1261" s="1083"/>
      <c r="X1261" s="1083"/>
      <c r="Y1261" s="1083"/>
    </row>
    <row r="1262">
      <c r="A1262" s="1120"/>
      <c r="B1262" s="1120"/>
      <c r="C1262" s="1142"/>
      <c r="D1262" s="1058"/>
      <c r="E1262" s="1081"/>
      <c r="F1262" s="1142"/>
      <c r="G1262" s="1081"/>
      <c r="H1262" s="1142"/>
      <c r="I1262" s="1081"/>
      <c r="J1262" s="1081"/>
      <c r="K1262" s="1081"/>
      <c r="L1262" s="1142"/>
      <c r="M1262" s="1142"/>
      <c r="N1262" s="1081"/>
      <c r="O1262" s="1142"/>
      <c r="P1262" s="1081"/>
      <c r="Q1262" s="1142"/>
      <c r="R1262" s="1081"/>
      <c r="S1262" s="1142"/>
      <c r="T1262" s="1142"/>
      <c r="U1262" s="1142"/>
      <c r="V1262" s="1142"/>
      <c r="W1262" s="1142"/>
      <c r="X1262" s="1142"/>
      <c r="Y1262" s="1142"/>
    </row>
    <row r="1263">
      <c r="A1263" s="1140"/>
      <c r="B1263" s="1140"/>
      <c r="C1263" s="1083"/>
      <c r="D1263" s="1058"/>
      <c r="E1263" s="1092"/>
      <c r="F1263" s="1083"/>
      <c r="G1263" s="1092"/>
      <c r="H1263" s="1083"/>
      <c r="I1263" s="1092"/>
      <c r="J1263" s="1092"/>
      <c r="K1263" s="1092"/>
      <c r="L1263" s="1083"/>
      <c r="M1263" s="1083"/>
      <c r="N1263" s="1092"/>
      <c r="O1263" s="1083"/>
      <c r="P1263" s="1092"/>
      <c r="Q1263" s="1083"/>
      <c r="R1263" s="1092"/>
      <c r="S1263" s="1083"/>
      <c r="T1263" s="1083"/>
      <c r="U1263" s="1083"/>
      <c r="V1263" s="1083"/>
      <c r="W1263" s="1083"/>
      <c r="X1263" s="1083"/>
      <c r="Y1263" s="1083"/>
    </row>
    <row r="1264">
      <c r="A1264" s="1120"/>
      <c r="B1264" s="1120"/>
      <c r="C1264" s="1142"/>
      <c r="D1264" s="1058"/>
      <c r="E1264" s="1081"/>
      <c r="F1264" s="1142"/>
      <c r="G1264" s="1081"/>
      <c r="H1264" s="1142"/>
      <c r="I1264" s="1081"/>
      <c r="J1264" s="1081"/>
      <c r="K1264" s="1081"/>
      <c r="L1264" s="1142"/>
      <c r="M1264" s="1142"/>
      <c r="N1264" s="1081"/>
      <c r="O1264" s="1142"/>
      <c r="P1264" s="1081"/>
      <c r="Q1264" s="1142"/>
      <c r="R1264" s="1081"/>
      <c r="S1264" s="1142"/>
      <c r="T1264" s="1142"/>
      <c r="U1264" s="1142"/>
      <c r="V1264" s="1142"/>
      <c r="W1264" s="1142"/>
      <c r="X1264" s="1142"/>
      <c r="Y1264" s="1142"/>
    </row>
    <row r="1265">
      <c r="A1265" s="1140"/>
      <c r="B1265" s="1140"/>
      <c r="C1265" s="1083"/>
      <c r="D1265" s="1058"/>
      <c r="E1265" s="1092"/>
      <c r="F1265" s="1083"/>
      <c r="G1265" s="1092"/>
      <c r="H1265" s="1083"/>
      <c r="I1265" s="1092"/>
      <c r="J1265" s="1092"/>
      <c r="K1265" s="1092"/>
      <c r="L1265" s="1083"/>
      <c r="M1265" s="1083"/>
      <c r="N1265" s="1092"/>
      <c r="O1265" s="1083"/>
      <c r="P1265" s="1092"/>
      <c r="Q1265" s="1083"/>
      <c r="R1265" s="1092"/>
      <c r="S1265" s="1083"/>
      <c r="T1265" s="1083"/>
      <c r="U1265" s="1083"/>
      <c r="V1265" s="1083"/>
      <c r="W1265" s="1083"/>
      <c r="X1265" s="1083"/>
      <c r="Y1265" s="1083"/>
    </row>
    <row r="1266">
      <c r="A1266" s="1120"/>
      <c r="B1266" s="1120"/>
      <c r="C1266" s="1142"/>
      <c r="D1266" s="1058"/>
      <c r="E1266" s="1081"/>
      <c r="F1266" s="1142"/>
      <c r="G1266" s="1081"/>
      <c r="H1266" s="1142"/>
      <c r="I1266" s="1081"/>
      <c r="J1266" s="1081"/>
      <c r="K1266" s="1081"/>
      <c r="L1266" s="1142"/>
      <c r="M1266" s="1142"/>
      <c r="N1266" s="1081"/>
      <c r="O1266" s="1142"/>
      <c r="P1266" s="1081"/>
      <c r="Q1266" s="1142"/>
      <c r="R1266" s="1081"/>
      <c r="S1266" s="1142"/>
      <c r="T1266" s="1142"/>
      <c r="U1266" s="1142"/>
      <c r="V1266" s="1142"/>
      <c r="W1266" s="1142"/>
      <c r="X1266" s="1142"/>
      <c r="Y1266" s="1142"/>
    </row>
    <row r="1267">
      <c r="A1267" s="1140"/>
      <c r="B1267" s="1140"/>
      <c r="C1267" s="1083"/>
      <c r="D1267" s="1058"/>
      <c r="E1267" s="1092"/>
      <c r="F1267" s="1083"/>
      <c r="G1267" s="1092"/>
      <c r="H1267" s="1083"/>
      <c r="I1267" s="1092"/>
      <c r="J1267" s="1092"/>
      <c r="K1267" s="1092"/>
      <c r="L1267" s="1083"/>
      <c r="M1267" s="1083"/>
      <c r="N1267" s="1092"/>
      <c r="O1267" s="1083"/>
      <c r="P1267" s="1092"/>
      <c r="Q1267" s="1083"/>
      <c r="R1267" s="1092"/>
      <c r="S1267" s="1083"/>
      <c r="T1267" s="1083"/>
      <c r="U1267" s="1083"/>
      <c r="V1267" s="1083"/>
      <c r="W1267" s="1083"/>
      <c r="X1267" s="1083"/>
      <c r="Y1267" s="1083"/>
    </row>
    <row r="1268">
      <c r="A1268" s="1120"/>
      <c r="B1268" s="1120"/>
      <c r="C1268" s="1142"/>
      <c r="D1268" s="1058"/>
      <c r="E1268" s="1081"/>
      <c r="F1268" s="1142"/>
      <c r="G1268" s="1081"/>
      <c r="H1268" s="1142"/>
      <c r="I1268" s="1081"/>
      <c r="J1268" s="1081"/>
      <c r="K1268" s="1081"/>
      <c r="L1268" s="1142"/>
      <c r="M1268" s="1142"/>
      <c r="N1268" s="1081"/>
      <c r="O1268" s="1142"/>
      <c r="P1268" s="1081"/>
      <c r="Q1268" s="1142"/>
      <c r="R1268" s="1081"/>
      <c r="S1268" s="1142"/>
      <c r="T1268" s="1142"/>
      <c r="U1268" s="1142"/>
      <c r="V1268" s="1142"/>
      <c r="W1268" s="1142"/>
      <c r="X1268" s="1142"/>
      <c r="Y1268" s="1142"/>
    </row>
    <row r="1269">
      <c r="A1269" s="1140"/>
      <c r="B1269" s="1140"/>
      <c r="C1269" s="1083"/>
      <c r="D1269" s="1058"/>
      <c r="E1269" s="1092"/>
      <c r="F1269" s="1083"/>
      <c r="G1269" s="1092"/>
      <c r="H1269" s="1083"/>
      <c r="I1269" s="1092"/>
      <c r="J1269" s="1092"/>
      <c r="K1269" s="1092"/>
      <c r="L1269" s="1083"/>
      <c r="M1269" s="1083"/>
      <c r="N1269" s="1092"/>
      <c r="O1269" s="1083"/>
      <c r="P1269" s="1092"/>
      <c r="Q1269" s="1083"/>
      <c r="R1269" s="1092"/>
      <c r="S1269" s="1083"/>
      <c r="T1269" s="1083"/>
      <c r="U1269" s="1083"/>
      <c r="V1269" s="1083"/>
      <c r="W1269" s="1083"/>
      <c r="X1269" s="1083"/>
      <c r="Y1269" s="1083"/>
    </row>
    <row r="1270">
      <c r="A1270" s="1120"/>
      <c r="B1270" s="1120"/>
      <c r="C1270" s="1142"/>
      <c r="D1270" s="1058"/>
      <c r="E1270" s="1081"/>
      <c r="F1270" s="1142"/>
      <c r="G1270" s="1081"/>
      <c r="H1270" s="1142"/>
      <c r="I1270" s="1081"/>
      <c r="J1270" s="1081"/>
      <c r="K1270" s="1081"/>
      <c r="L1270" s="1142"/>
      <c r="M1270" s="1142"/>
      <c r="N1270" s="1081"/>
      <c r="O1270" s="1142"/>
      <c r="P1270" s="1081"/>
      <c r="Q1270" s="1142"/>
      <c r="R1270" s="1081"/>
      <c r="S1270" s="1142"/>
      <c r="T1270" s="1142"/>
      <c r="U1270" s="1142"/>
      <c r="V1270" s="1142"/>
      <c r="W1270" s="1142"/>
      <c r="X1270" s="1142"/>
      <c r="Y1270" s="1142"/>
    </row>
    <row r="1271">
      <c r="A1271" s="1140"/>
      <c r="B1271" s="1140"/>
      <c r="C1271" s="1083"/>
      <c r="D1271" s="1058"/>
      <c r="E1271" s="1092"/>
      <c r="F1271" s="1083"/>
      <c r="G1271" s="1092"/>
      <c r="H1271" s="1083"/>
      <c r="I1271" s="1092"/>
      <c r="J1271" s="1092"/>
      <c r="K1271" s="1092"/>
      <c r="L1271" s="1083"/>
      <c r="M1271" s="1083"/>
      <c r="N1271" s="1092"/>
      <c r="O1271" s="1083"/>
      <c r="P1271" s="1092"/>
      <c r="Q1271" s="1083"/>
      <c r="R1271" s="1092"/>
      <c r="S1271" s="1083"/>
      <c r="T1271" s="1083"/>
      <c r="U1271" s="1083"/>
      <c r="V1271" s="1083"/>
      <c r="W1271" s="1083"/>
      <c r="X1271" s="1083"/>
      <c r="Y1271" s="1083"/>
    </row>
    <row r="1272">
      <c r="A1272" s="1120"/>
      <c r="B1272" s="1120"/>
      <c r="C1272" s="1142"/>
      <c r="D1272" s="1058"/>
      <c r="E1272" s="1081"/>
      <c r="F1272" s="1142"/>
      <c r="G1272" s="1081"/>
      <c r="H1272" s="1142"/>
      <c r="I1272" s="1081"/>
      <c r="J1272" s="1081"/>
      <c r="K1272" s="1081"/>
      <c r="L1272" s="1142"/>
      <c r="M1272" s="1142"/>
      <c r="N1272" s="1081"/>
      <c r="O1272" s="1142"/>
      <c r="P1272" s="1081"/>
      <c r="Q1272" s="1142"/>
      <c r="R1272" s="1081"/>
      <c r="S1272" s="1142"/>
      <c r="T1272" s="1142"/>
      <c r="U1272" s="1142"/>
      <c r="V1272" s="1142"/>
      <c r="W1272" s="1142"/>
      <c r="X1272" s="1142"/>
      <c r="Y1272" s="1142"/>
    </row>
    <row r="1273">
      <c r="A1273" s="1140"/>
      <c r="B1273" s="1140"/>
      <c r="C1273" s="1083"/>
      <c r="D1273" s="1058"/>
      <c r="E1273" s="1092"/>
      <c r="F1273" s="1083"/>
      <c r="G1273" s="1092"/>
      <c r="H1273" s="1083"/>
      <c r="I1273" s="1092"/>
      <c r="J1273" s="1092"/>
      <c r="K1273" s="1092"/>
      <c r="L1273" s="1083"/>
      <c r="M1273" s="1083"/>
      <c r="N1273" s="1092"/>
      <c r="O1273" s="1083"/>
      <c r="P1273" s="1092"/>
      <c r="Q1273" s="1083"/>
      <c r="R1273" s="1092"/>
      <c r="S1273" s="1083"/>
      <c r="T1273" s="1083"/>
      <c r="U1273" s="1083"/>
      <c r="V1273" s="1083"/>
      <c r="W1273" s="1083"/>
      <c r="X1273" s="1083"/>
      <c r="Y1273" s="1083"/>
    </row>
    <row r="1274">
      <c r="A1274" s="1120"/>
      <c r="B1274" s="1120"/>
      <c r="C1274" s="1142"/>
      <c r="D1274" s="1058"/>
      <c r="E1274" s="1081"/>
      <c r="F1274" s="1142"/>
      <c r="G1274" s="1081"/>
      <c r="H1274" s="1142"/>
      <c r="I1274" s="1081"/>
      <c r="J1274" s="1081"/>
      <c r="K1274" s="1081"/>
      <c r="L1274" s="1142"/>
      <c r="M1274" s="1142"/>
      <c r="N1274" s="1081"/>
      <c r="O1274" s="1142"/>
      <c r="P1274" s="1081"/>
      <c r="Q1274" s="1142"/>
      <c r="R1274" s="1081"/>
      <c r="S1274" s="1142"/>
      <c r="T1274" s="1142"/>
      <c r="U1274" s="1142"/>
      <c r="V1274" s="1142"/>
      <c r="W1274" s="1142"/>
      <c r="X1274" s="1142"/>
      <c r="Y1274" s="1142"/>
    </row>
    <row r="1275">
      <c r="A1275" s="1140"/>
      <c r="B1275" s="1140"/>
      <c r="C1275" s="1083"/>
      <c r="D1275" s="1058"/>
      <c r="E1275" s="1092"/>
      <c r="F1275" s="1083"/>
      <c r="G1275" s="1092"/>
      <c r="H1275" s="1083"/>
      <c r="I1275" s="1092"/>
      <c r="J1275" s="1092"/>
      <c r="K1275" s="1092"/>
      <c r="L1275" s="1083"/>
      <c r="M1275" s="1083"/>
      <c r="N1275" s="1092"/>
      <c r="O1275" s="1083"/>
      <c r="P1275" s="1092"/>
      <c r="Q1275" s="1083"/>
      <c r="R1275" s="1092"/>
      <c r="S1275" s="1083"/>
      <c r="T1275" s="1083"/>
      <c r="U1275" s="1083"/>
      <c r="V1275" s="1083"/>
      <c r="W1275" s="1083"/>
      <c r="X1275" s="1083"/>
      <c r="Y1275" s="1083"/>
    </row>
    <row r="1276">
      <c r="A1276" s="1120"/>
      <c r="B1276" s="1120"/>
      <c r="C1276" s="1142"/>
      <c r="D1276" s="1058"/>
      <c r="E1276" s="1081"/>
      <c r="F1276" s="1142"/>
      <c r="G1276" s="1081"/>
      <c r="H1276" s="1142"/>
      <c r="I1276" s="1081"/>
      <c r="J1276" s="1081"/>
      <c r="K1276" s="1081"/>
      <c r="L1276" s="1142"/>
      <c r="M1276" s="1142"/>
      <c r="N1276" s="1081"/>
      <c r="O1276" s="1142"/>
      <c r="P1276" s="1081"/>
      <c r="Q1276" s="1142"/>
      <c r="R1276" s="1081"/>
      <c r="S1276" s="1142"/>
      <c r="T1276" s="1142"/>
      <c r="U1276" s="1142"/>
      <c r="V1276" s="1142"/>
      <c r="W1276" s="1142"/>
      <c r="X1276" s="1142"/>
      <c r="Y1276" s="1142"/>
    </row>
    <row r="1277">
      <c r="A1277" s="1140"/>
      <c r="B1277" s="1140"/>
      <c r="C1277" s="1083"/>
      <c r="D1277" s="1058"/>
      <c r="E1277" s="1092"/>
      <c r="F1277" s="1083"/>
      <c r="G1277" s="1092"/>
      <c r="H1277" s="1083"/>
      <c r="I1277" s="1092"/>
      <c r="J1277" s="1092"/>
      <c r="K1277" s="1092"/>
      <c r="L1277" s="1083"/>
      <c r="M1277" s="1083"/>
      <c r="N1277" s="1092"/>
      <c r="O1277" s="1083"/>
      <c r="P1277" s="1092"/>
      <c r="Q1277" s="1083"/>
      <c r="R1277" s="1092"/>
      <c r="S1277" s="1083"/>
      <c r="T1277" s="1083"/>
      <c r="U1277" s="1083"/>
      <c r="V1277" s="1083"/>
      <c r="W1277" s="1083"/>
      <c r="X1277" s="1083"/>
      <c r="Y1277" s="1083"/>
    </row>
    <row r="1278">
      <c r="A1278" s="1120"/>
      <c r="B1278" s="1120"/>
      <c r="C1278" s="1142"/>
      <c r="D1278" s="1058"/>
      <c r="E1278" s="1081"/>
      <c r="F1278" s="1142"/>
      <c r="G1278" s="1081"/>
      <c r="H1278" s="1142"/>
      <c r="I1278" s="1081"/>
      <c r="J1278" s="1081"/>
      <c r="K1278" s="1081"/>
      <c r="L1278" s="1142"/>
      <c r="M1278" s="1142"/>
      <c r="N1278" s="1081"/>
      <c r="O1278" s="1142"/>
      <c r="P1278" s="1081"/>
      <c r="Q1278" s="1142"/>
      <c r="R1278" s="1081"/>
      <c r="S1278" s="1142"/>
      <c r="T1278" s="1142"/>
      <c r="U1278" s="1142"/>
      <c r="V1278" s="1142"/>
      <c r="W1278" s="1142"/>
      <c r="X1278" s="1142"/>
      <c r="Y1278" s="1142"/>
    </row>
    <row r="1279">
      <c r="A1279" s="1140"/>
      <c r="B1279" s="1140"/>
      <c r="C1279" s="1083"/>
      <c r="D1279" s="1058"/>
      <c r="E1279" s="1092"/>
      <c r="F1279" s="1083"/>
      <c r="G1279" s="1092"/>
      <c r="H1279" s="1083"/>
      <c r="I1279" s="1092"/>
      <c r="J1279" s="1092"/>
      <c r="K1279" s="1092"/>
      <c r="L1279" s="1083"/>
      <c r="M1279" s="1083"/>
      <c r="N1279" s="1092"/>
      <c r="O1279" s="1083"/>
      <c r="P1279" s="1092"/>
      <c r="Q1279" s="1083"/>
      <c r="R1279" s="1092"/>
      <c r="S1279" s="1083"/>
      <c r="T1279" s="1083"/>
      <c r="U1279" s="1083"/>
      <c r="V1279" s="1083"/>
      <c r="W1279" s="1083"/>
      <c r="X1279" s="1083"/>
      <c r="Y1279" s="1083"/>
    </row>
    <row r="1280">
      <c r="A1280" s="1120"/>
      <c r="B1280" s="1120"/>
      <c r="C1280" s="1142"/>
      <c r="D1280" s="1058"/>
      <c r="E1280" s="1081"/>
      <c r="F1280" s="1142"/>
      <c r="G1280" s="1081"/>
      <c r="H1280" s="1142"/>
      <c r="I1280" s="1081"/>
      <c r="J1280" s="1081"/>
      <c r="K1280" s="1081"/>
      <c r="L1280" s="1142"/>
      <c r="M1280" s="1142"/>
      <c r="N1280" s="1081"/>
      <c r="O1280" s="1142"/>
      <c r="P1280" s="1081"/>
      <c r="Q1280" s="1142"/>
      <c r="R1280" s="1081"/>
      <c r="S1280" s="1142"/>
      <c r="T1280" s="1142"/>
      <c r="U1280" s="1142"/>
      <c r="V1280" s="1142"/>
      <c r="W1280" s="1142"/>
      <c r="X1280" s="1142"/>
      <c r="Y1280" s="1142"/>
    </row>
    <row r="1281">
      <c r="A1281" s="1140"/>
      <c r="B1281" s="1140"/>
      <c r="C1281" s="1083"/>
      <c r="D1281" s="1058"/>
      <c r="E1281" s="1092"/>
      <c r="F1281" s="1083"/>
      <c r="G1281" s="1092"/>
      <c r="H1281" s="1083"/>
      <c r="I1281" s="1092"/>
      <c r="J1281" s="1092"/>
      <c r="K1281" s="1092"/>
      <c r="L1281" s="1083"/>
      <c r="M1281" s="1083"/>
      <c r="N1281" s="1092"/>
      <c r="O1281" s="1083"/>
      <c r="P1281" s="1092"/>
      <c r="Q1281" s="1083"/>
      <c r="R1281" s="1092"/>
      <c r="S1281" s="1083"/>
      <c r="T1281" s="1083"/>
      <c r="U1281" s="1083"/>
      <c r="V1281" s="1083"/>
      <c r="W1281" s="1083"/>
      <c r="X1281" s="1083"/>
      <c r="Y1281" s="1083"/>
    </row>
    <row r="1282">
      <c r="A1282" s="1120"/>
      <c r="B1282" s="1120"/>
      <c r="C1282" s="1142"/>
      <c r="D1282" s="1058"/>
      <c r="E1282" s="1081"/>
      <c r="F1282" s="1142"/>
      <c r="G1282" s="1081"/>
      <c r="H1282" s="1142"/>
      <c r="I1282" s="1081"/>
      <c r="J1282" s="1081"/>
      <c r="K1282" s="1081"/>
      <c r="L1282" s="1142"/>
      <c r="M1282" s="1142"/>
      <c r="N1282" s="1081"/>
      <c r="O1282" s="1142"/>
      <c r="P1282" s="1081"/>
      <c r="Q1282" s="1142"/>
      <c r="R1282" s="1081"/>
      <c r="S1282" s="1142"/>
      <c r="T1282" s="1142"/>
      <c r="U1282" s="1142"/>
      <c r="V1282" s="1142"/>
      <c r="W1282" s="1142"/>
      <c r="X1282" s="1142"/>
      <c r="Y1282" s="1142"/>
    </row>
    <row r="1283">
      <c r="A1283" s="1140"/>
      <c r="B1283" s="1140"/>
      <c r="C1283" s="1083"/>
      <c r="D1283" s="1058"/>
      <c r="E1283" s="1092"/>
      <c r="F1283" s="1083"/>
      <c r="G1283" s="1092"/>
      <c r="H1283" s="1083"/>
      <c r="I1283" s="1092"/>
      <c r="J1283" s="1092"/>
      <c r="K1283" s="1092"/>
      <c r="L1283" s="1083"/>
      <c r="M1283" s="1083"/>
      <c r="N1283" s="1092"/>
      <c r="O1283" s="1083"/>
      <c r="P1283" s="1092"/>
      <c r="Q1283" s="1083"/>
      <c r="R1283" s="1092"/>
      <c r="S1283" s="1083"/>
      <c r="T1283" s="1083"/>
      <c r="U1283" s="1083"/>
      <c r="V1283" s="1083"/>
      <c r="W1283" s="1083"/>
      <c r="X1283" s="1083"/>
      <c r="Y1283" s="1083"/>
    </row>
    <row r="1284">
      <c r="A1284" s="1120"/>
      <c r="B1284" s="1120"/>
      <c r="C1284" s="1142"/>
      <c r="D1284" s="1058"/>
      <c r="E1284" s="1081"/>
      <c r="F1284" s="1142"/>
      <c r="G1284" s="1081"/>
      <c r="H1284" s="1142"/>
      <c r="I1284" s="1081"/>
      <c r="J1284" s="1081"/>
      <c r="K1284" s="1081"/>
      <c r="L1284" s="1142"/>
      <c r="M1284" s="1142"/>
      <c r="N1284" s="1081"/>
      <c r="O1284" s="1142"/>
      <c r="P1284" s="1081"/>
      <c r="Q1284" s="1142"/>
      <c r="R1284" s="1081"/>
      <c r="S1284" s="1142"/>
      <c r="T1284" s="1142"/>
      <c r="U1284" s="1142"/>
      <c r="V1284" s="1142"/>
      <c r="W1284" s="1142"/>
      <c r="X1284" s="1142"/>
      <c r="Y1284" s="1142"/>
    </row>
    <row r="1285">
      <c r="A1285" s="1140"/>
      <c r="B1285" s="1140"/>
      <c r="C1285" s="1083"/>
      <c r="D1285" s="1058"/>
      <c r="E1285" s="1092"/>
      <c r="F1285" s="1083"/>
      <c r="G1285" s="1092"/>
      <c r="H1285" s="1083"/>
      <c r="I1285" s="1092"/>
      <c r="J1285" s="1092"/>
      <c r="K1285" s="1092"/>
      <c r="L1285" s="1083"/>
      <c r="M1285" s="1083"/>
      <c r="N1285" s="1092"/>
      <c r="O1285" s="1083"/>
      <c r="P1285" s="1092"/>
      <c r="Q1285" s="1083"/>
      <c r="R1285" s="1092"/>
      <c r="S1285" s="1083"/>
      <c r="T1285" s="1083"/>
      <c r="U1285" s="1083"/>
      <c r="V1285" s="1083"/>
      <c r="W1285" s="1083"/>
      <c r="X1285" s="1083"/>
      <c r="Y1285" s="1083"/>
    </row>
    <row r="1286">
      <c r="A1286" s="1120"/>
      <c r="B1286" s="1120"/>
      <c r="C1286" s="1142"/>
      <c r="D1286" s="1058"/>
      <c r="E1286" s="1081"/>
      <c r="F1286" s="1142"/>
      <c r="G1286" s="1081"/>
      <c r="H1286" s="1142"/>
      <c r="I1286" s="1081"/>
      <c r="J1286" s="1081"/>
      <c r="K1286" s="1081"/>
      <c r="L1286" s="1142"/>
      <c r="M1286" s="1142"/>
      <c r="N1286" s="1081"/>
      <c r="O1286" s="1142"/>
      <c r="P1286" s="1081"/>
      <c r="Q1286" s="1142"/>
      <c r="R1286" s="1081"/>
      <c r="S1286" s="1142"/>
      <c r="T1286" s="1142"/>
      <c r="U1286" s="1142"/>
      <c r="V1286" s="1142"/>
      <c r="W1286" s="1142"/>
      <c r="X1286" s="1142"/>
      <c r="Y1286" s="1142"/>
    </row>
    <row r="1287">
      <c r="A1287" s="1140"/>
      <c r="B1287" s="1140"/>
      <c r="C1287" s="1083"/>
      <c r="D1287" s="1058"/>
      <c r="E1287" s="1092"/>
      <c r="F1287" s="1083"/>
      <c r="G1287" s="1092"/>
      <c r="H1287" s="1083"/>
      <c r="I1287" s="1092"/>
      <c r="J1287" s="1092"/>
      <c r="K1287" s="1092"/>
      <c r="L1287" s="1083"/>
      <c r="M1287" s="1083"/>
      <c r="N1287" s="1092"/>
      <c r="O1287" s="1083"/>
      <c r="P1287" s="1092"/>
      <c r="Q1287" s="1083"/>
      <c r="R1287" s="1092"/>
      <c r="S1287" s="1083"/>
      <c r="T1287" s="1083"/>
      <c r="U1287" s="1083"/>
      <c r="V1287" s="1083"/>
      <c r="W1287" s="1083"/>
      <c r="X1287" s="1083"/>
      <c r="Y1287" s="1083"/>
    </row>
    <row r="1288">
      <c r="A1288" s="1120"/>
      <c r="B1288" s="1120"/>
      <c r="C1288" s="1142"/>
      <c r="D1288" s="1058"/>
      <c r="E1288" s="1081"/>
      <c r="F1288" s="1142"/>
      <c r="G1288" s="1081"/>
      <c r="H1288" s="1142"/>
      <c r="I1288" s="1081"/>
      <c r="J1288" s="1081"/>
      <c r="K1288" s="1081"/>
      <c r="L1288" s="1142"/>
      <c r="M1288" s="1142"/>
      <c r="N1288" s="1081"/>
      <c r="O1288" s="1142"/>
      <c r="P1288" s="1081"/>
      <c r="Q1288" s="1142"/>
      <c r="R1288" s="1081"/>
      <c r="S1288" s="1142"/>
      <c r="T1288" s="1142"/>
      <c r="U1288" s="1142"/>
      <c r="V1288" s="1142"/>
      <c r="W1288" s="1142"/>
      <c r="X1288" s="1142"/>
      <c r="Y1288" s="1142"/>
    </row>
    <row r="1289">
      <c r="A1289" s="1140"/>
      <c r="B1289" s="1140"/>
      <c r="C1289" s="1083"/>
      <c r="D1289" s="1058"/>
      <c r="E1289" s="1092"/>
      <c r="F1289" s="1083"/>
      <c r="G1289" s="1092"/>
      <c r="H1289" s="1083"/>
      <c r="I1289" s="1092"/>
      <c r="J1289" s="1092"/>
      <c r="K1289" s="1092"/>
      <c r="L1289" s="1083"/>
      <c r="M1289" s="1083"/>
      <c r="N1289" s="1092"/>
      <c r="O1289" s="1083"/>
      <c r="P1289" s="1092"/>
      <c r="Q1289" s="1083"/>
      <c r="R1289" s="1092"/>
      <c r="S1289" s="1083"/>
      <c r="T1289" s="1083"/>
      <c r="U1289" s="1083"/>
      <c r="V1289" s="1083"/>
      <c r="W1289" s="1083"/>
      <c r="X1289" s="1083"/>
      <c r="Y1289" s="1083"/>
    </row>
    <row r="1290">
      <c r="A1290" s="1120"/>
      <c r="B1290" s="1120"/>
      <c r="C1290" s="1142"/>
      <c r="D1290" s="1058"/>
      <c r="E1290" s="1081"/>
      <c r="F1290" s="1142"/>
      <c r="G1290" s="1081"/>
      <c r="H1290" s="1142"/>
      <c r="I1290" s="1081"/>
      <c r="J1290" s="1081"/>
      <c r="K1290" s="1081"/>
      <c r="L1290" s="1142"/>
      <c r="M1290" s="1142"/>
      <c r="N1290" s="1081"/>
      <c r="O1290" s="1142"/>
      <c r="P1290" s="1081"/>
      <c r="Q1290" s="1142"/>
      <c r="R1290" s="1081"/>
      <c r="S1290" s="1142"/>
      <c r="T1290" s="1142"/>
      <c r="U1290" s="1142"/>
      <c r="V1290" s="1142"/>
      <c r="W1290" s="1142"/>
      <c r="X1290" s="1142"/>
      <c r="Y1290" s="1142"/>
    </row>
    <row r="1291">
      <c r="A1291" s="1140"/>
      <c r="B1291" s="1140"/>
      <c r="C1291" s="1083"/>
      <c r="D1291" s="1058"/>
      <c r="E1291" s="1092"/>
      <c r="F1291" s="1083"/>
      <c r="G1291" s="1092"/>
      <c r="H1291" s="1083"/>
      <c r="I1291" s="1092"/>
      <c r="J1291" s="1092"/>
      <c r="K1291" s="1092"/>
      <c r="L1291" s="1083"/>
      <c r="M1291" s="1083"/>
      <c r="N1291" s="1092"/>
      <c r="O1291" s="1083"/>
      <c r="P1291" s="1092"/>
      <c r="Q1291" s="1083"/>
      <c r="R1291" s="1092"/>
      <c r="S1291" s="1083"/>
      <c r="T1291" s="1083"/>
      <c r="U1291" s="1083"/>
      <c r="V1291" s="1083"/>
      <c r="W1291" s="1083"/>
      <c r="X1291" s="1083"/>
      <c r="Y1291" s="1083"/>
    </row>
    <row r="1292">
      <c r="A1292" s="1120"/>
      <c r="B1292" s="1120"/>
      <c r="C1292" s="1142"/>
      <c r="D1292" s="1058"/>
      <c r="E1292" s="1081"/>
      <c r="F1292" s="1142"/>
      <c r="G1292" s="1081"/>
      <c r="H1292" s="1142"/>
      <c r="I1292" s="1081"/>
      <c r="J1292" s="1081"/>
      <c r="K1292" s="1081"/>
      <c r="L1292" s="1142"/>
      <c r="M1292" s="1142"/>
      <c r="N1292" s="1081"/>
      <c r="O1292" s="1142"/>
      <c r="P1292" s="1081"/>
      <c r="Q1292" s="1142"/>
      <c r="R1292" s="1081"/>
      <c r="S1292" s="1142"/>
      <c r="T1292" s="1142"/>
      <c r="U1292" s="1142"/>
      <c r="V1292" s="1142"/>
      <c r="W1292" s="1142"/>
      <c r="X1292" s="1142"/>
      <c r="Y1292" s="1142"/>
    </row>
    <row r="1293">
      <c r="A1293" s="1140"/>
      <c r="B1293" s="1140"/>
      <c r="C1293" s="1083"/>
      <c r="D1293" s="1058"/>
      <c r="E1293" s="1092"/>
      <c r="F1293" s="1083"/>
      <c r="G1293" s="1092"/>
      <c r="H1293" s="1083"/>
      <c r="I1293" s="1092"/>
      <c r="J1293" s="1092"/>
      <c r="K1293" s="1092"/>
      <c r="L1293" s="1083"/>
      <c r="M1293" s="1083"/>
      <c r="N1293" s="1092"/>
      <c r="O1293" s="1083"/>
      <c r="P1293" s="1092"/>
      <c r="Q1293" s="1083"/>
      <c r="R1293" s="1092"/>
      <c r="S1293" s="1083"/>
      <c r="T1293" s="1083"/>
      <c r="U1293" s="1083"/>
      <c r="V1293" s="1083"/>
      <c r="W1293" s="1083"/>
      <c r="X1293" s="1083"/>
      <c r="Y1293" s="1083"/>
    </row>
    <row r="1294">
      <c r="A1294" s="1120"/>
      <c r="B1294" s="1120"/>
      <c r="C1294" s="1142"/>
      <c r="D1294" s="1058"/>
      <c r="E1294" s="1081"/>
      <c r="F1294" s="1142"/>
      <c r="G1294" s="1081"/>
      <c r="H1294" s="1142"/>
      <c r="I1294" s="1081"/>
      <c r="J1294" s="1081"/>
      <c r="K1294" s="1081"/>
      <c r="L1294" s="1142"/>
      <c r="M1294" s="1142"/>
      <c r="N1294" s="1081"/>
      <c r="O1294" s="1142"/>
      <c r="P1294" s="1081"/>
      <c r="Q1294" s="1142"/>
      <c r="R1294" s="1081"/>
      <c r="S1294" s="1142"/>
      <c r="T1294" s="1142"/>
      <c r="U1294" s="1142"/>
      <c r="V1294" s="1142"/>
      <c r="W1294" s="1142"/>
      <c r="X1294" s="1142"/>
      <c r="Y1294" s="1142"/>
    </row>
    <row r="1295">
      <c r="A1295" s="1140"/>
      <c r="B1295" s="1140"/>
      <c r="C1295" s="1083"/>
      <c r="D1295" s="1058"/>
      <c r="E1295" s="1092"/>
      <c r="F1295" s="1083"/>
      <c r="G1295" s="1092"/>
      <c r="H1295" s="1083"/>
      <c r="I1295" s="1092"/>
      <c r="J1295" s="1092"/>
      <c r="K1295" s="1092"/>
      <c r="L1295" s="1083"/>
      <c r="M1295" s="1083"/>
      <c r="N1295" s="1092"/>
      <c r="O1295" s="1083"/>
      <c r="P1295" s="1092"/>
      <c r="Q1295" s="1083"/>
      <c r="R1295" s="1092"/>
      <c r="S1295" s="1083"/>
      <c r="T1295" s="1083"/>
      <c r="U1295" s="1083"/>
      <c r="V1295" s="1083"/>
      <c r="W1295" s="1083"/>
      <c r="X1295" s="1083"/>
      <c r="Y1295" s="1083"/>
    </row>
    <row r="1296">
      <c r="A1296" s="1120"/>
      <c r="B1296" s="1120"/>
      <c r="C1296" s="1142"/>
      <c r="D1296" s="1058"/>
      <c r="E1296" s="1081"/>
      <c r="F1296" s="1142"/>
      <c r="G1296" s="1081"/>
      <c r="H1296" s="1142"/>
      <c r="I1296" s="1081"/>
      <c r="J1296" s="1081"/>
      <c r="K1296" s="1081"/>
      <c r="L1296" s="1142"/>
      <c r="M1296" s="1142"/>
      <c r="N1296" s="1081"/>
      <c r="O1296" s="1142"/>
      <c r="P1296" s="1081"/>
      <c r="Q1296" s="1142"/>
      <c r="R1296" s="1081"/>
      <c r="S1296" s="1142"/>
      <c r="T1296" s="1142"/>
      <c r="U1296" s="1142"/>
      <c r="V1296" s="1142"/>
      <c r="W1296" s="1142"/>
      <c r="X1296" s="1142"/>
      <c r="Y1296" s="1142"/>
    </row>
    <row r="1297">
      <c r="A1297" s="1140"/>
      <c r="B1297" s="1140"/>
      <c r="C1297" s="1083"/>
      <c r="D1297" s="1058"/>
      <c r="E1297" s="1092"/>
      <c r="F1297" s="1083"/>
      <c r="G1297" s="1092"/>
      <c r="H1297" s="1083"/>
      <c r="I1297" s="1092"/>
      <c r="J1297" s="1092"/>
      <c r="K1297" s="1092"/>
      <c r="L1297" s="1083"/>
      <c r="M1297" s="1083"/>
      <c r="N1297" s="1092"/>
      <c r="O1297" s="1083"/>
      <c r="P1297" s="1092"/>
      <c r="Q1297" s="1083"/>
      <c r="R1297" s="1092"/>
      <c r="S1297" s="1083"/>
      <c r="T1297" s="1083"/>
      <c r="U1297" s="1083"/>
      <c r="V1297" s="1083"/>
      <c r="W1297" s="1083"/>
      <c r="X1297" s="1083"/>
      <c r="Y1297" s="1083"/>
    </row>
    <row r="1298">
      <c r="A1298" s="1120"/>
      <c r="B1298" s="1120"/>
      <c r="C1298" s="1142"/>
      <c r="D1298" s="1058"/>
      <c r="E1298" s="1081"/>
      <c r="F1298" s="1142"/>
      <c r="G1298" s="1081"/>
      <c r="H1298" s="1142"/>
      <c r="I1298" s="1081"/>
      <c r="J1298" s="1081"/>
      <c r="K1298" s="1081"/>
      <c r="L1298" s="1142"/>
      <c r="M1298" s="1142"/>
      <c r="N1298" s="1081"/>
      <c r="O1298" s="1142"/>
      <c r="P1298" s="1081"/>
      <c r="Q1298" s="1142"/>
      <c r="R1298" s="1081"/>
      <c r="S1298" s="1142"/>
      <c r="T1298" s="1142"/>
      <c r="U1298" s="1142"/>
      <c r="V1298" s="1142"/>
      <c r="W1298" s="1142"/>
      <c r="X1298" s="1142"/>
      <c r="Y1298" s="1142"/>
    </row>
    <row r="1299">
      <c r="A1299" s="1140"/>
      <c r="B1299" s="1140"/>
      <c r="C1299" s="1083"/>
      <c r="D1299" s="1058"/>
      <c r="E1299" s="1092"/>
      <c r="F1299" s="1083"/>
      <c r="G1299" s="1092"/>
      <c r="H1299" s="1083"/>
      <c r="I1299" s="1092"/>
      <c r="J1299" s="1092"/>
      <c r="K1299" s="1092"/>
      <c r="L1299" s="1083"/>
      <c r="M1299" s="1083"/>
      <c r="N1299" s="1092"/>
      <c r="O1299" s="1083"/>
      <c r="P1299" s="1092"/>
      <c r="Q1299" s="1083"/>
      <c r="R1299" s="1092"/>
      <c r="S1299" s="1083"/>
      <c r="T1299" s="1083"/>
      <c r="U1299" s="1083"/>
      <c r="V1299" s="1083"/>
      <c r="W1299" s="1083"/>
      <c r="X1299" s="1083"/>
      <c r="Y1299" s="1083"/>
    </row>
    <row r="1300">
      <c r="A1300" s="1120"/>
      <c r="B1300" s="1120"/>
      <c r="C1300" s="1142"/>
      <c r="D1300" s="1058"/>
      <c r="E1300" s="1081"/>
      <c r="F1300" s="1142"/>
      <c r="G1300" s="1081"/>
      <c r="H1300" s="1142"/>
      <c r="I1300" s="1081"/>
      <c r="J1300" s="1081"/>
      <c r="K1300" s="1081"/>
      <c r="L1300" s="1142"/>
      <c r="M1300" s="1142"/>
      <c r="N1300" s="1081"/>
      <c r="O1300" s="1142"/>
      <c r="P1300" s="1081"/>
      <c r="Q1300" s="1142"/>
      <c r="R1300" s="1081"/>
      <c r="S1300" s="1142"/>
      <c r="T1300" s="1142"/>
      <c r="U1300" s="1142"/>
      <c r="V1300" s="1142"/>
      <c r="W1300" s="1142"/>
      <c r="X1300" s="1142"/>
      <c r="Y1300" s="1142"/>
    </row>
    <row r="1301">
      <c r="A1301" s="1140"/>
      <c r="B1301" s="1140"/>
      <c r="C1301" s="1083"/>
      <c r="D1301" s="1058"/>
      <c r="E1301" s="1092"/>
      <c r="F1301" s="1083"/>
      <c r="G1301" s="1092"/>
      <c r="H1301" s="1083"/>
      <c r="I1301" s="1092"/>
      <c r="J1301" s="1092"/>
      <c r="K1301" s="1092"/>
      <c r="L1301" s="1083"/>
      <c r="M1301" s="1083"/>
      <c r="N1301" s="1092"/>
      <c r="O1301" s="1083"/>
      <c r="P1301" s="1092"/>
      <c r="Q1301" s="1083"/>
      <c r="R1301" s="1092"/>
      <c r="S1301" s="1083"/>
      <c r="T1301" s="1083"/>
      <c r="U1301" s="1083"/>
      <c r="V1301" s="1083"/>
      <c r="W1301" s="1083"/>
      <c r="X1301" s="1083"/>
      <c r="Y1301" s="1083"/>
    </row>
    <row r="1302">
      <c r="A1302" s="1120"/>
      <c r="B1302" s="1120"/>
      <c r="C1302" s="1142"/>
      <c r="D1302" s="1058"/>
      <c r="E1302" s="1081"/>
      <c r="F1302" s="1142"/>
      <c r="G1302" s="1081"/>
      <c r="H1302" s="1142"/>
      <c r="I1302" s="1081"/>
      <c r="J1302" s="1081"/>
      <c r="K1302" s="1081"/>
      <c r="L1302" s="1142"/>
      <c r="M1302" s="1142"/>
      <c r="N1302" s="1081"/>
      <c r="O1302" s="1142"/>
      <c r="P1302" s="1081"/>
      <c r="Q1302" s="1142"/>
      <c r="R1302" s="1081"/>
      <c r="S1302" s="1142"/>
      <c r="T1302" s="1142"/>
      <c r="U1302" s="1142"/>
      <c r="V1302" s="1142"/>
      <c r="W1302" s="1142"/>
      <c r="X1302" s="1142"/>
      <c r="Y1302" s="1142"/>
    </row>
    <row r="1303">
      <c r="A1303" s="1140"/>
      <c r="B1303" s="1140"/>
      <c r="C1303" s="1083"/>
      <c r="D1303" s="1058"/>
      <c r="E1303" s="1092"/>
      <c r="F1303" s="1083"/>
      <c r="G1303" s="1092"/>
      <c r="H1303" s="1083"/>
      <c r="I1303" s="1092"/>
      <c r="J1303" s="1092"/>
      <c r="K1303" s="1092"/>
      <c r="L1303" s="1083"/>
      <c r="M1303" s="1083"/>
      <c r="N1303" s="1092"/>
      <c r="O1303" s="1083"/>
      <c r="P1303" s="1092"/>
      <c r="Q1303" s="1083"/>
      <c r="R1303" s="1092"/>
      <c r="S1303" s="1083"/>
      <c r="T1303" s="1083"/>
      <c r="U1303" s="1083"/>
      <c r="V1303" s="1083"/>
      <c r="W1303" s="1083"/>
      <c r="X1303" s="1083"/>
      <c r="Y1303" s="1083"/>
    </row>
    <row r="1304">
      <c r="A1304" s="1120"/>
      <c r="B1304" s="1120"/>
      <c r="C1304" s="1142"/>
      <c r="D1304" s="1058"/>
      <c r="E1304" s="1081"/>
      <c r="F1304" s="1142"/>
      <c r="G1304" s="1081"/>
      <c r="H1304" s="1142"/>
      <c r="I1304" s="1081"/>
      <c r="J1304" s="1081"/>
      <c r="K1304" s="1081"/>
      <c r="L1304" s="1142"/>
      <c r="M1304" s="1142"/>
      <c r="N1304" s="1081"/>
      <c r="O1304" s="1142"/>
      <c r="P1304" s="1081"/>
      <c r="Q1304" s="1142"/>
      <c r="R1304" s="1081"/>
      <c r="S1304" s="1142"/>
      <c r="T1304" s="1142"/>
      <c r="U1304" s="1142"/>
      <c r="V1304" s="1142"/>
      <c r="W1304" s="1142"/>
      <c r="X1304" s="1142"/>
      <c r="Y1304" s="1142"/>
    </row>
    <row r="1305">
      <c r="A1305" s="1140"/>
      <c r="B1305" s="1140"/>
      <c r="C1305" s="1083"/>
      <c r="D1305" s="1058"/>
      <c r="E1305" s="1092"/>
      <c r="F1305" s="1083"/>
      <c r="G1305" s="1092"/>
      <c r="H1305" s="1083"/>
      <c r="I1305" s="1092"/>
      <c r="J1305" s="1092"/>
      <c r="K1305" s="1092"/>
      <c r="L1305" s="1083"/>
      <c r="M1305" s="1083"/>
      <c r="N1305" s="1092"/>
      <c r="O1305" s="1083"/>
      <c r="P1305" s="1092"/>
      <c r="Q1305" s="1083"/>
      <c r="R1305" s="1092"/>
      <c r="S1305" s="1083"/>
      <c r="T1305" s="1083"/>
      <c r="U1305" s="1083"/>
      <c r="V1305" s="1083"/>
      <c r="W1305" s="1083"/>
      <c r="X1305" s="1083"/>
      <c r="Y1305" s="1083"/>
    </row>
    <row r="1306">
      <c r="A1306" s="1120"/>
      <c r="B1306" s="1120"/>
      <c r="C1306" s="1142"/>
      <c r="D1306" s="1058"/>
      <c r="E1306" s="1081"/>
      <c r="F1306" s="1142"/>
      <c r="G1306" s="1081"/>
      <c r="H1306" s="1142"/>
      <c r="I1306" s="1081"/>
      <c r="J1306" s="1081"/>
      <c r="K1306" s="1081"/>
      <c r="L1306" s="1142"/>
      <c r="M1306" s="1142"/>
      <c r="N1306" s="1081"/>
      <c r="O1306" s="1142"/>
      <c r="P1306" s="1081"/>
      <c r="Q1306" s="1142"/>
      <c r="R1306" s="1081"/>
      <c r="S1306" s="1142"/>
      <c r="T1306" s="1142"/>
      <c r="U1306" s="1142"/>
      <c r="V1306" s="1142"/>
      <c r="W1306" s="1142"/>
      <c r="X1306" s="1142"/>
      <c r="Y1306" s="1142"/>
    </row>
    <row r="1307">
      <c r="A1307" s="1140"/>
      <c r="B1307" s="1140"/>
      <c r="C1307" s="1083"/>
      <c r="D1307" s="1058"/>
      <c r="E1307" s="1092"/>
      <c r="F1307" s="1083"/>
      <c r="G1307" s="1092"/>
      <c r="H1307" s="1083"/>
      <c r="I1307" s="1092"/>
      <c r="J1307" s="1092"/>
      <c r="K1307" s="1092"/>
      <c r="L1307" s="1083"/>
      <c r="M1307" s="1083"/>
      <c r="N1307" s="1092"/>
      <c r="O1307" s="1083"/>
      <c r="P1307" s="1092"/>
      <c r="Q1307" s="1083"/>
      <c r="R1307" s="1092"/>
      <c r="S1307" s="1083"/>
      <c r="T1307" s="1083"/>
      <c r="U1307" s="1083"/>
      <c r="V1307" s="1083"/>
      <c r="W1307" s="1083"/>
      <c r="X1307" s="1083"/>
      <c r="Y1307" s="1083"/>
    </row>
    <row r="1308">
      <c r="A1308" s="1120"/>
      <c r="B1308" s="1120"/>
      <c r="C1308" s="1142"/>
      <c r="D1308" s="1058"/>
      <c r="E1308" s="1081"/>
      <c r="F1308" s="1142"/>
      <c r="G1308" s="1081"/>
      <c r="H1308" s="1142"/>
      <c r="I1308" s="1081"/>
      <c r="J1308" s="1081"/>
      <c r="K1308" s="1081"/>
      <c r="L1308" s="1142"/>
      <c r="M1308" s="1142"/>
      <c r="N1308" s="1081"/>
      <c r="O1308" s="1142"/>
      <c r="P1308" s="1081"/>
      <c r="Q1308" s="1142"/>
      <c r="R1308" s="1081"/>
      <c r="S1308" s="1142"/>
      <c r="T1308" s="1142"/>
      <c r="U1308" s="1142"/>
      <c r="V1308" s="1142"/>
      <c r="W1308" s="1142"/>
      <c r="X1308" s="1142"/>
      <c r="Y1308" s="1142"/>
    </row>
    <row r="1309">
      <c r="A1309" s="1140"/>
      <c r="B1309" s="1140"/>
      <c r="C1309" s="1083"/>
      <c r="D1309" s="1058"/>
      <c r="E1309" s="1092"/>
      <c r="F1309" s="1083"/>
      <c r="G1309" s="1092"/>
      <c r="H1309" s="1083"/>
      <c r="I1309" s="1092"/>
      <c r="J1309" s="1092"/>
      <c r="K1309" s="1092"/>
      <c r="L1309" s="1083"/>
      <c r="M1309" s="1083"/>
      <c r="N1309" s="1092"/>
      <c r="O1309" s="1083"/>
      <c r="P1309" s="1092"/>
      <c r="Q1309" s="1083"/>
      <c r="R1309" s="1092"/>
      <c r="S1309" s="1083"/>
      <c r="T1309" s="1083"/>
      <c r="U1309" s="1083"/>
      <c r="V1309" s="1083"/>
      <c r="W1309" s="1083"/>
      <c r="X1309" s="1083"/>
      <c r="Y1309" s="1083"/>
    </row>
    <row r="1310">
      <c r="A1310" s="1120"/>
      <c r="B1310" s="1120"/>
      <c r="C1310" s="1142"/>
      <c r="D1310" s="1058"/>
      <c r="E1310" s="1081"/>
      <c r="F1310" s="1142"/>
      <c r="G1310" s="1081"/>
      <c r="H1310" s="1142"/>
      <c r="I1310" s="1081"/>
      <c r="J1310" s="1081"/>
      <c r="K1310" s="1081"/>
      <c r="L1310" s="1142"/>
      <c r="M1310" s="1142"/>
      <c r="N1310" s="1081"/>
      <c r="O1310" s="1142"/>
      <c r="P1310" s="1081"/>
      <c r="Q1310" s="1142"/>
      <c r="R1310" s="1081"/>
      <c r="S1310" s="1142"/>
      <c r="T1310" s="1142"/>
      <c r="U1310" s="1142"/>
      <c r="V1310" s="1142"/>
      <c r="W1310" s="1142"/>
      <c r="X1310" s="1142"/>
      <c r="Y1310" s="1142"/>
    </row>
    <row r="1311">
      <c r="A1311" s="1140"/>
      <c r="B1311" s="1140"/>
      <c r="C1311" s="1083"/>
      <c r="D1311" s="1058"/>
      <c r="E1311" s="1092"/>
      <c r="F1311" s="1083"/>
      <c r="G1311" s="1092"/>
      <c r="H1311" s="1083"/>
      <c r="I1311" s="1092"/>
      <c r="J1311" s="1092"/>
      <c r="K1311" s="1092"/>
      <c r="L1311" s="1083"/>
      <c r="M1311" s="1083"/>
      <c r="N1311" s="1092"/>
      <c r="O1311" s="1083"/>
      <c r="P1311" s="1092"/>
      <c r="Q1311" s="1083"/>
      <c r="R1311" s="1092"/>
      <c r="S1311" s="1083"/>
      <c r="T1311" s="1083"/>
      <c r="U1311" s="1083"/>
      <c r="V1311" s="1083"/>
      <c r="W1311" s="1083"/>
      <c r="X1311" s="1083"/>
      <c r="Y1311" s="1083"/>
    </row>
    <row r="1312">
      <c r="A1312" s="1120"/>
      <c r="B1312" s="1120"/>
      <c r="C1312" s="1142"/>
      <c r="D1312" s="1058"/>
      <c r="E1312" s="1081"/>
      <c r="F1312" s="1142"/>
      <c r="G1312" s="1081"/>
      <c r="H1312" s="1142"/>
      <c r="I1312" s="1081"/>
      <c r="J1312" s="1081"/>
      <c r="K1312" s="1081"/>
      <c r="L1312" s="1142"/>
      <c r="M1312" s="1142"/>
      <c r="N1312" s="1081"/>
      <c r="O1312" s="1142"/>
      <c r="P1312" s="1081"/>
      <c r="Q1312" s="1142"/>
      <c r="R1312" s="1081"/>
      <c r="S1312" s="1142"/>
      <c r="T1312" s="1142"/>
      <c r="U1312" s="1142"/>
      <c r="V1312" s="1142"/>
      <c r="W1312" s="1142"/>
      <c r="X1312" s="1142"/>
      <c r="Y1312" s="1142"/>
    </row>
    <row r="1313">
      <c r="A1313" s="1140"/>
      <c r="B1313" s="1140"/>
      <c r="C1313" s="1083"/>
      <c r="D1313" s="1058"/>
      <c r="E1313" s="1092"/>
      <c r="F1313" s="1083"/>
      <c r="G1313" s="1092"/>
      <c r="H1313" s="1083"/>
      <c r="I1313" s="1092"/>
      <c r="J1313" s="1092"/>
      <c r="K1313" s="1092"/>
      <c r="L1313" s="1083"/>
      <c r="M1313" s="1083"/>
      <c r="N1313" s="1092"/>
      <c r="O1313" s="1083"/>
      <c r="P1313" s="1092"/>
      <c r="Q1313" s="1083"/>
      <c r="R1313" s="1092"/>
      <c r="S1313" s="1083"/>
      <c r="T1313" s="1083"/>
      <c r="U1313" s="1083"/>
      <c r="V1313" s="1083"/>
      <c r="W1313" s="1083"/>
      <c r="X1313" s="1083"/>
      <c r="Y1313" s="1083"/>
    </row>
    <row r="1314">
      <c r="A1314" s="1120"/>
      <c r="B1314" s="1120"/>
      <c r="C1314" s="1142"/>
      <c r="D1314" s="1058"/>
      <c r="E1314" s="1081"/>
      <c r="F1314" s="1142"/>
      <c r="G1314" s="1081"/>
      <c r="H1314" s="1142"/>
      <c r="I1314" s="1081"/>
      <c r="J1314" s="1081"/>
      <c r="K1314" s="1081"/>
      <c r="L1314" s="1142"/>
      <c r="M1314" s="1142"/>
      <c r="N1314" s="1081"/>
      <c r="O1314" s="1142"/>
      <c r="P1314" s="1081"/>
      <c r="Q1314" s="1142"/>
      <c r="R1314" s="1081"/>
      <c r="S1314" s="1142"/>
      <c r="T1314" s="1142"/>
      <c r="U1314" s="1142"/>
      <c r="V1314" s="1142"/>
      <c r="W1314" s="1142"/>
      <c r="X1314" s="1142"/>
      <c r="Y1314" s="1142"/>
    </row>
    <row r="1315">
      <c r="A1315" s="1140"/>
      <c r="B1315" s="1140"/>
      <c r="C1315" s="1083"/>
      <c r="D1315" s="1058"/>
      <c r="E1315" s="1092"/>
      <c r="F1315" s="1083"/>
      <c r="G1315" s="1092"/>
      <c r="H1315" s="1083"/>
      <c r="I1315" s="1092"/>
      <c r="J1315" s="1092"/>
      <c r="K1315" s="1092"/>
      <c r="L1315" s="1083"/>
      <c r="M1315" s="1083"/>
      <c r="N1315" s="1092"/>
      <c r="O1315" s="1083"/>
      <c r="P1315" s="1092"/>
      <c r="Q1315" s="1083"/>
      <c r="R1315" s="1092"/>
      <c r="S1315" s="1083"/>
      <c r="T1315" s="1083"/>
      <c r="U1315" s="1083"/>
      <c r="V1315" s="1083"/>
      <c r="W1315" s="1083"/>
      <c r="X1315" s="1083"/>
      <c r="Y1315" s="1083"/>
    </row>
    <row r="1316">
      <c r="A1316" s="1120"/>
      <c r="B1316" s="1120"/>
      <c r="C1316" s="1142"/>
      <c r="D1316" s="1058"/>
      <c r="E1316" s="1081"/>
      <c r="F1316" s="1142"/>
      <c r="G1316" s="1081"/>
      <c r="H1316" s="1142"/>
      <c r="I1316" s="1081"/>
      <c r="J1316" s="1081"/>
      <c r="K1316" s="1081"/>
      <c r="L1316" s="1142"/>
      <c r="M1316" s="1142"/>
      <c r="N1316" s="1081"/>
      <c r="O1316" s="1142"/>
      <c r="P1316" s="1081"/>
      <c r="Q1316" s="1142"/>
      <c r="R1316" s="1081"/>
      <c r="S1316" s="1142"/>
      <c r="T1316" s="1142"/>
      <c r="U1316" s="1142"/>
      <c r="V1316" s="1142"/>
      <c r="W1316" s="1142"/>
      <c r="X1316" s="1142"/>
      <c r="Y1316" s="1142"/>
    </row>
    <row r="1317">
      <c r="A1317" s="1140"/>
      <c r="B1317" s="1140"/>
      <c r="C1317" s="1083"/>
      <c r="D1317" s="1058"/>
      <c r="E1317" s="1092"/>
      <c r="F1317" s="1083"/>
      <c r="G1317" s="1092"/>
      <c r="H1317" s="1083"/>
      <c r="I1317" s="1092"/>
      <c r="J1317" s="1092"/>
      <c r="K1317" s="1092"/>
      <c r="L1317" s="1083"/>
      <c r="M1317" s="1083"/>
      <c r="N1317" s="1092"/>
      <c r="O1317" s="1083"/>
      <c r="P1317" s="1092"/>
      <c r="Q1317" s="1083"/>
      <c r="R1317" s="1092"/>
      <c r="S1317" s="1083"/>
      <c r="T1317" s="1083"/>
      <c r="U1317" s="1083"/>
      <c r="V1317" s="1083"/>
      <c r="W1317" s="1083"/>
      <c r="X1317" s="1083"/>
      <c r="Y1317" s="1083"/>
    </row>
    <row r="1318">
      <c r="A1318" s="1120"/>
      <c r="B1318" s="1120"/>
      <c r="C1318" s="1142"/>
      <c r="D1318" s="1058"/>
      <c r="E1318" s="1081"/>
      <c r="F1318" s="1142"/>
      <c r="G1318" s="1081"/>
      <c r="H1318" s="1142"/>
      <c r="I1318" s="1081"/>
      <c r="J1318" s="1081"/>
      <c r="K1318" s="1081"/>
      <c r="L1318" s="1142"/>
      <c r="M1318" s="1142"/>
      <c r="N1318" s="1081"/>
      <c r="O1318" s="1142"/>
      <c r="P1318" s="1081"/>
      <c r="Q1318" s="1142"/>
      <c r="R1318" s="1081"/>
      <c r="S1318" s="1142"/>
      <c r="T1318" s="1142"/>
      <c r="U1318" s="1142"/>
      <c r="V1318" s="1142"/>
      <c r="W1318" s="1142"/>
      <c r="X1318" s="1142"/>
      <c r="Y1318" s="1142"/>
    </row>
    <row r="1319">
      <c r="A1319" s="1140"/>
      <c r="B1319" s="1140"/>
      <c r="C1319" s="1083"/>
      <c r="D1319" s="1058"/>
      <c r="E1319" s="1092"/>
      <c r="F1319" s="1083"/>
      <c r="G1319" s="1092"/>
      <c r="H1319" s="1083"/>
      <c r="I1319" s="1092"/>
      <c r="J1319" s="1092"/>
      <c r="K1319" s="1092"/>
      <c r="L1319" s="1083"/>
      <c r="M1319" s="1083"/>
      <c r="N1319" s="1092"/>
      <c r="O1319" s="1083"/>
      <c r="P1319" s="1092"/>
      <c r="Q1319" s="1083"/>
      <c r="R1319" s="1092"/>
      <c r="S1319" s="1083"/>
      <c r="T1319" s="1083"/>
      <c r="U1319" s="1083"/>
      <c r="V1319" s="1083"/>
      <c r="W1319" s="1083"/>
      <c r="X1319" s="1083"/>
      <c r="Y1319" s="1083"/>
    </row>
    <row r="1320">
      <c r="A1320" s="1120"/>
      <c r="B1320" s="1120"/>
      <c r="C1320" s="1142"/>
      <c r="D1320" s="1058"/>
      <c r="E1320" s="1081"/>
      <c r="F1320" s="1142"/>
      <c r="G1320" s="1081"/>
      <c r="H1320" s="1142"/>
      <c r="I1320" s="1081"/>
      <c r="J1320" s="1081"/>
      <c r="K1320" s="1081"/>
      <c r="L1320" s="1142"/>
      <c r="M1320" s="1142"/>
      <c r="N1320" s="1081"/>
      <c r="O1320" s="1142"/>
      <c r="P1320" s="1081"/>
      <c r="Q1320" s="1142"/>
      <c r="R1320" s="1081"/>
      <c r="S1320" s="1142"/>
      <c r="T1320" s="1142"/>
      <c r="U1320" s="1142"/>
      <c r="V1320" s="1142"/>
      <c r="W1320" s="1142"/>
      <c r="X1320" s="1142"/>
      <c r="Y1320" s="1142"/>
    </row>
    <row r="1321">
      <c r="A1321" s="1140"/>
      <c r="B1321" s="1140"/>
      <c r="C1321" s="1083"/>
      <c r="D1321" s="1058"/>
      <c r="E1321" s="1092"/>
      <c r="F1321" s="1083"/>
      <c r="G1321" s="1092"/>
      <c r="H1321" s="1083"/>
      <c r="I1321" s="1092"/>
      <c r="J1321" s="1092"/>
      <c r="K1321" s="1092"/>
      <c r="L1321" s="1083"/>
      <c r="M1321" s="1083"/>
      <c r="N1321" s="1092"/>
      <c r="O1321" s="1083"/>
      <c r="P1321" s="1092"/>
      <c r="Q1321" s="1083"/>
      <c r="R1321" s="1092"/>
      <c r="S1321" s="1083"/>
      <c r="T1321" s="1083"/>
      <c r="U1321" s="1083"/>
      <c r="V1321" s="1083"/>
      <c r="W1321" s="1083"/>
      <c r="X1321" s="1083"/>
      <c r="Y1321" s="1083"/>
    </row>
    <row r="1322">
      <c r="A1322" s="1120"/>
      <c r="B1322" s="1120"/>
      <c r="C1322" s="1142"/>
      <c r="D1322" s="1058"/>
      <c r="E1322" s="1081"/>
      <c r="F1322" s="1142"/>
      <c r="G1322" s="1081"/>
      <c r="H1322" s="1142"/>
      <c r="I1322" s="1081"/>
      <c r="J1322" s="1081"/>
      <c r="K1322" s="1081"/>
      <c r="L1322" s="1142"/>
      <c r="M1322" s="1142"/>
      <c r="N1322" s="1081"/>
      <c r="O1322" s="1142"/>
      <c r="P1322" s="1081"/>
      <c r="Q1322" s="1142"/>
      <c r="R1322" s="1081"/>
      <c r="S1322" s="1142"/>
      <c r="T1322" s="1142"/>
      <c r="U1322" s="1142"/>
      <c r="V1322" s="1142"/>
      <c r="W1322" s="1142"/>
      <c r="X1322" s="1142"/>
      <c r="Y1322" s="1142"/>
    </row>
    <row r="1323">
      <c r="A1323" s="1140"/>
      <c r="B1323" s="1140"/>
      <c r="C1323" s="1083"/>
      <c r="D1323" s="1058"/>
      <c r="E1323" s="1092"/>
      <c r="F1323" s="1083"/>
      <c r="G1323" s="1092"/>
      <c r="H1323" s="1083"/>
      <c r="I1323" s="1092"/>
      <c r="J1323" s="1092"/>
      <c r="K1323" s="1092"/>
      <c r="L1323" s="1083"/>
      <c r="M1323" s="1083"/>
      <c r="N1323" s="1092"/>
      <c r="O1323" s="1083"/>
      <c r="P1323" s="1092"/>
      <c r="Q1323" s="1083"/>
      <c r="R1323" s="1092"/>
      <c r="S1323" s="1083"/>
      <c r="T1323" s="1083"/>
      <c r="U1323" s="1083"/>
      <c r="V1323" s="1083"/>
      <c r="W1323" s="1083"/>
      <c r="X1323" s="1083"/>
      <c r="Y1323" s="1083"/>
    </row>
    <row r="1324">
      <c r="A1324" s="1120"/>
      <c r="B1324" s="1120"/>
      <c r="C1324" s="1142"/>
      <c r="D1324" s="1058"/>
      <c r="E1324" s="1081"/>
      <c r="F1324" s="1142"/>
      <c r="G1324" s="1081"/>
      <c r="H1324" s="1142"/>
      <c r="I1324" s="1081"/>
      <c r="J1324" s="1081"/>
      <c r="K1324" s="1081"/>
      <c r="L1324" s="1142"/>
      <c r="M1324" s="1142"/>
      <c r="N1324" s="1081"/>
      <c r="O1324" s="1142"/>
      <c r="P1324" s="1081"/>
      <c r="Q1324" s="1142"/>
      <c r="R1324" s="1081"/>
      <c r="S1324" s="1142"/>
      <c r="T1324" s="1142"/>
      <c r="U1324" s="1142"/>
      <c r="V1324" s="1142"/>
      <c r="W1324" s="1142"/>
      <c r="X1324" s="1142"/>
      <c r="Y1324" s="1142"/>
    </row>
    <row r="1325">
      <c r="A1325" s="1140"/>
      <c r="B1325" s="1140"/>
      <c r="C1325" s="1083"/>
      <c r="D1325" s="1058"/>
      <c r="E1325" s="1092"/>
      <c r="F1325" s="1083"/>
      <c r="G1325" s="1092"/>
      <c r="H1325" s="1083"/>
      <c r="I1325" s="1092"/>
      <c r="J1325" s="1092"/>
      <c r="K1325" s="1092"/>
      <c r="L1325" s="1083"/>
      <c r="M1325" s="1083"/>
      <c r="N1325" s="1092"/>
      <c r="O1325" s="1083"/>
      <c r="P1325" s="1092"/>
      <c r="Q1325" s="1083"/>
      <c r="R1325" s="1092"/>
      <c r="S1325" s="1083"/>
      <c r="T1325" s="1083"/>
      <c r="U1325" s="1083"/>
      <c r="V1325" s="1083"/>
      <c r="W1325" s="1083"/>
      <c r="X1325" s="1083"/>
      <c r="Y1325" s="1083"/>
    </row>
    <row r="1326">
      <c r="A1326" s="1120"/>
      <c r="B1326" s="1120"/>
      <c r="C1326" s="1142"/>
      <c r="D1326" s="1058"/>
      <c r="E1326" s="1081"/>
      <c r="F1326" s="1142"/>
      <c r="G1326" s="1081"/>
      <c r="H1326" s="1142"/>
      <c r="I1326" s="1081"/>
      <c r="J1326" s="1081"/>
      <c r="K1326" s="1081"/>
      <c r="L1326" s="1142"/>
      <c r="M1326" s="1142"/>
      <c r="N1326" s="1081"/>
      <c r="O1326" s="1142"/>
      <c r="P1326" s="1081"/>
      <c r="Q1326" s="1142"/>
      <c r="R1326" s="1081"/>
      <c r="S1326" s="1142"/>
      <c r="T1326" s="1142"/>
      <c r="U1326" s="1142"/>
      <c r="V1326" s="1142"/>
      <c r="W1326" s="1142"/>
      <c r="X1326" s="1142"/>
      <c r="Y1326" s="1142"/>
    </row>
    <row r="1327">
      <c r="A1327" s="1140"/>
      <c r="B1327" s="1140"/>
      <c r="C1327" s="1083"/>
      <c r="D1327" s="1058"/>
      <c r="E1327" s="1092"/>
      <c r="F1327" s="1083"/>
      <c r="G1327" s="1092"/>
      <c r="H1327" s="1083"/>
      <c r="I1327" s="1092"/>
      <c r="J1327" s="1092"/>
      <c r="K1327" s="1092"/>
      <c r="L1327" s="1083"/>
      <c r="M1327" s="1083"/>
      <c r="N1327" s="1092"/>
      <c r="O1327" s="1083"/>
      <c r="P1327" s="1092"/>
      <c r="Q1327" s="1083"/>
      <c r="R1327" s="1092"/>
      <c r="S1327" s="1083"/>
      <c r="T1327" s="1083"/>
      <c r="U1327" s="1083"/>
      <c r="V1327" s="1083"/>
      <c r="W1327" s="1083"/>
      <c r="X1327" s="1083"/>
      <c r="Y1327" s="1083"/>
    </row>
    <row r="1328">
      <c r="A1328" s="1120"/>
      <c r="B1328" s="1120"/>
      <c r="C1328" s="1142"/>
      <c r="D1328" s="1058"/>
      <c r="E1328" s="1081"/>
      <c r="F1328" s="1142"/>
      <c r="G1328" s="1081"/>
      <c r="H1328" s="1142"/>
      <c r="I1328" s="1081"/>
      <c r="J1328" s="1081"/>
      <c r="K1328" s="1081"/>
      <c r="L1328" s="1142"/>
      <c r="M1328" s="1142"/>
      <c r="N1328" s="1081"/>
      <c r="O1328" s="1142"/>
      <c r="P1328" s="1081"/>
      <c r="Q1328" s="1142"/>
      <c r="R1328" s="1081"/>
      <c r="S1328" s="1142"/>
      <c r="T1328" s="1142"/>
      <c r="U1328" s="1142"/>
      <c r="V1328" s="1142"/>
      <c r="W1328" s="1142"/>
      <c r="X1328" s="1142"/>
      <c r="Y1328" s="1142"/>
    </row>
    <row r="1329">
      <c r="A1329" s="1140"/>
      <c r="B1329" s="1140"/>
      <c r="C1329" s="1083"/>
      <c r="D1329" s="1058"/>
      <c r="E1329" s="1092"/>
      <c r="F1329" s="1083"/>
      <c r="G1329" s="1092"/>
      <c r="H1329" s="1083"/>
      <c r="I1329" s="1092"/>
      <c r="J1329" s="1092"/>
      <c r="K1329" s="1092"/>
      <c r="L1329" s="1083"/>
      <c r="M1329" s="1083"/>
      <c r="N1329" s="1092"/>
      <c r="O1329" s="1083"/>
      <c r="P1329" s="1092"/>
      <c r="Q1329" s="1083"/>
      <c r="R1329" s="1092"/>
      <c r="S1329" s="1083"/>
      <c r="T1329" s="1083"/>
      <c r="U1329" s="1083"/>
      <c r="V1329" s="1083"/>
      <c r="W1329" s="1083"/>
      <c r="X1329" s="1083"/>
      <c r="Y1329" s="1083"/>
    </row>
    <row r="1330">
      <c r="A1330" s="1120"/>
      <c r="B1330" s="1120"/>
      <c r="C1330" s="1142"/>
      <c r="D1330" s="1058"/>
      <c r="E1330" s="1081"/>
      <c r="F1330" s="1142"/>
      <c r="G1330" s="1081"/>
      <c r="H1330" s="1142"/>
      <c r="I1330" s="1081"/>
      <c r="J1330" s="1081"/>
      <c r="K1330" s="1081"/>
      <c r="L1330" s="1142"/>
      <c r="M1330" s="1142"/>
      <c r="N1330" s="1081"/>
      <c r="O1330" s="1142"/>
      <c r="P1330" s="1081"/>
      <c r="Q1330" s="1142"/>
      <c r="R1330" s="1081"/>
      <c r="S1330" s="1142"/>
      <c r="T1330" s="1142"/>
      <c r="U1330" s="1142"/>
      <c r="V1330" s="1142"/>
      <c r="W1330" s="1142"/>
      <c r="X1330" s="1142"/>
      <c r="Y1330" s="1142"/>
    </row>
    <row r="1331">
      <c r="A1331" s="1140"/>
      <c r="B1331" s="1140"/>
      <c r="C1331" s="1083"/>
      <c r="D1331" s="1058"/>
      <c r="E1331" s="1092"/>
      <c r="F1331" s="1083"/>
      <c r="G1331" s="1092"/>
      <c r="H1331" s="1083"/>
      <c r="I1331" s="1092"/>
      <c r="J1331" s="1092"/>
      <c r="K1331" s="1092"/>
      <c r="L1331" s="1083"/>
      <c r="M1331" s="1083"/>
      <c r="N1331" s="1092"/>
      <c r="O1331" s="1083"/>
      <c r="P1331" s="1092"/>
      <c r="Q1331" s="1083"/>
      <c r="R1331" s="1092"/>
      <c r="S1331" s="1083"/>
      <c r="T1331" s="1083"/>
      <c r="U1331" s="1083"/>
      <c r="V1331" s="1083"/>
      <c r="W1331" s="1083"/>
      <c r="X1331" s="1083"/>
      <c r="Y1331" s="1083"/>
    </row>
    <row r="1332">
      <c r="A1332" s="1120"/>
      <c r="B1332" s="1120"/>
      <c r="C1332" s="1142"/>
      <c r="D1332" s="1058"/>
      <c r="E1332" s="1081"/>
      <c r="F1332" s="1142"/>
      <c r="G1332" s="1081"/>
      <c r="H1332" s="1142"/>
      <c r="I1332" s="1081"/>
      <c r="J1332" s="1081"/>
      <c r="K1332" s="1081"/>
      <c r="L1332" s="1142"/>
      <c r="M1332" s="1142"/>
      <c r="N1332" s="1081"/>
      <c r="O1332" s="1142"/>
      <c r="P1332" s="1081"/>
      <c r="Q1332" s="1142"/>
      <c r="R1332" s="1081"/>
      <c r="S1332" s="1142"/>
      <c r="T1332" s="1142"/>
      <c r="U1332" s="1142"/>
      <c r="V1332" s="1142"/>
      <c r="W1332" s="1142"/>
      <c r="X1332" s="1142"/>
      <c r="Y1332" s="1142"/>
    </row>
    <row r="1333">
      <c r="A1333" s="1140"/>
      <c r="B1333" s="1140"/>
      <c r="C1333" s="1083"/>
      <c r="D1333" s="1058"/>
      <c r="E1333" s="1092"/>
      <c r="F1333" s="1083"/>
      <c r="G1333" s="1092"/>
      <c r="H1333" s="1083"/>
      <c r="I1333" s="1092"/>
      <c r="J1333" s="1092"/>
      <c r="K1333" s="1092"/>
      <c r="L1333" s="1083"/>
      <c r="M1333" s="1083"/>
      <c r="N1333" s="1092"/>
      <c r="O1333" s="1083"/>
      <c r="P1333" s="1092"/>
      <c r="Q1333" s="1083"/>
      <c r="R1333" s="1092"/>
      <c r="S1333" s="1083"/>
      <c r="T1333" s="1083"/>
      <c r="U1333" s="1083"/>
      <c r="V1333" s="1083"/>
      <c r="W1333" s="1083"/>
      <c r="X1333" s="1083"/>
      <c r="Y1333" s="1083"/>
    </row>
    <row r="1334">
      <c r="A1334" s="1120"/>
      <c r="B1334" s="1120"/>
      <c r="C1334" s="1142"/>
      <c r="D1334" s="1058"/>
      <c r="E1334" s="1081"/>
      <c r="F1334" s="1142"/>
      <c r="G1334" s="1081"/>
      <c r="H1334" s="1142"/>
      <c r="I1334" s="1081"/>
      <c r="J1334" s="1081"/>
      <c r="K1334" s="1081"/>
      <c r="L1334" s="1142"/>
      <c r="M1334" s="1142"/>
      <c r="N1334" s="1081"/>
      <c r="O1334" s="1142"/>
      <c r="P1334" s="1081"/>
      <c r="Q1334" s="1142"/>
      <c r="R1334" s="1081"/>
      <c r="S1334" s="1142"/>
      <c r="T1334" s="1142"/>
      <c r="U1334" s="1142"/>
      <c r="V1334" s="1142"/>
      <c r="W1334" s="1142"/>
      <c r="X1334" s="1142"/>
      <c r="Y1334" s="1142"/>
    </row>
    <row r="1335">
      <c r="A1335" s="1140"/>
      <c r="B1335" s="1140"/>
      <c r="C1335" s="1083"/>
      <c r="D1335" s="1058"/>
      <c r="E1335" s="1092"/>
      <c r="F1335" s="1083"/>
      <c r="G1335" s="1092"/>
      <c r="H1335" s="1083"/>
      <c r="I1335" s="1092"/>
      <c r="J1335" s="1092"/>
      <c r="K1335" s="1092"/>
      <c r="L1335" s="1083"/>
      <c r="M1335" s="1083"/>
      <c r="N1335" s="1092"/>
      <c r="O1335" s="1083"/>
      <c r="P1335" s="1092"/>
      <c r="Q1335" s="1083"/>
      <c r="R1335" s="1092"/>
      <c r="S1335" s="1083"/>
      <c r="T1335" s="1083"/>
      <c r="U1335" s="1083"/>
      <c r="V1335" s="1083"/>
      <c r="W1335" s="1083"/>
      <c r="X1335" s="1083"/>
      <c r="Y1335" s="1083"/>
    </row>
    <row r="1336">
      <c r="A1336" s="1120"/>
      <c r="B1336" s="1120"/>
      <c r="C1336" s="1142"/>
      <c r="D1336" s="1058"/>
      <c r="E1336" s="1081"/>
      <c r="F1336" s="1142"/>
      <c r="G1336" s="1081"/>
      <c r="H1336" s="1142"/>
      <c r="I1336" s="1081"/>
      <c r="J1336" s="1081"/>
      <c r="K1336" s="1081"/>
      <c r="L1336" s="1142"/>
      <c r="M1336" s="1142"/>
      <c r="N1336" s="1081"/>
      <c r="O1336" s="1142"/>
      <c r="P1336" s="1081"/>
      <c r="Q1336" s="1142"/>
      <c r="R1336" s="1081"/>
      <c r="S1336" s="1142"/>
      <c r="T1336" s="1142"/>
      <c r="U1336" s="1142"/>
      <c r="V1336" s="1142"/>
      <c r="W1336" s="1142"/>
      <c r="X1336" s="1142"/>
      <c r="Y1336" s="1142"/>
    </row>
    <row r="1337">
      <c r="A1337" s="1140"/>
      <c r="B1337" s="1140"/>
      <c r="C1337" s="1083"/>
      <c r="D1337" s="1058"/>
      <c r="E1337" s="1092"/>
      <c r="F1337" s="1083"/>
      <c r="G1337" s="1092"/>
      <c r="H1337" s="1083"/>
      <c r="I1337" s="1092"/>
      <c r="J1337" s="1092"/>
      <c r="K1337" s="1092"/>
      <c r="L1337" s="1083"/>
      <c r="M1337" s="1083"/>
      <c r="N1337" s="1092"/>
      <c r="O1337" s="1083"/>
      <c r="P1337" s="1092"/>
      <c r="Q1337" s="1083"/>
      <c r="R1337" s="1092"/>
      <c r="S1337" s="1083"/>
      <c r="T1337" s="1083"/>
      <c r="U1337" s="1083"/>
      <c r="V1337" s="1083"/>
      <c r="W1337" s="1083"/>
      <c r="X1337" s="1083"/>
      <c r="Y1337" s="1083"/>
    </row>
    <row r="1338">
      <c r="A1338" s="1120"/>
      <c r="B1338" s="1120"/>
      <c r="C1338" s="1142"/>
      <c r="D1338" s="1058"/>
      <c r="E1338" s="1081"/>
      <c r="F1338" s="1142"/>
      <c r="G1338" s="1081"/>
      <c r="H1338" s="1142"/>
      <c r="I1338" s="1081"/>
      <c r="J1338" s="1081"/>
      <c r="K1338" s="1081"/>
      <c r="L1338" s="1142"/>
      <c r="M1338" s="1142"/>
      <c r="N1338" s="1081"/>
      <c r="O1338" s="1142"/>
      <c r="P1338" s="1081"/>
      <c r="Q1338" s="1142"/>
      <c r="R1338" s="1081"/>
      <c r="S1338" s="1142"/>
      <c r="T1338" s="1142"/>
      <c r="U1338" s="1142"/>
      <c r="V1338" s="1142"/>
      <c r="W1338" s="1142"/>
      <c r="X1338" s="1142"/>
      <c r="Y1338" s="1142"/>
    </row>
    <row r="1339">
      <c r="A1339" s="1140"/>
      <c r="B1339" s="1140"/>
      <c r="C1339" s="1083"/>
      <c r="D1339" s="1058"/>
      <c r="E1339" s="1092"/>
      <c r="F1339" s="1083"/>
      <c r="G1339" s="1092"/>
      <c r="H1339" s="1083"/>
      <c r="I1339" s="1092"/>
      <c r="J1339" s="1092"/>
      <c r="K1339" s="1092"/>
      <c r="L1339" s="1083"/>
      <c r="M1339" s="1083"/>
      <c r="N1339" s="1092"/>
      <c r="O1339" s="1083"/>
      <c r="P1339" s="1092"/>
      <c r="Q1339" s="1083"/>
      <c r="R1339" s="1092"/>
      <c r="S1339" s="1083"/>
      <c r="T1339" s="1083"/>
      <c r="U1339" s="1083"/>
      <c r="V1339" s="1083"/>
      <c r="W1339" s="1083"/>
      <c r="X1339" s="1083"/>
      <c r="Y1339" s="1083"/>
    </row>
    <row r="1340">
      <c r="A1340" s="1120"/>
      <c r="B1340" s="1120"/>
      <c r="C1340" s="1142"/>
      <c r="D1340" s="1058"/>
      <c r="E1340" s="1081"/>
      <c r="F1340" s="1142"/>
      <c r="G1340" s="1081"/>
      <c r="H1340" s="1142"/>
      <c r="I1340" s="1081"/>
      <c r="J1340" s="1081"/>
      <c r="K1340" s="1081"/>
      <c r="L1340" s="1142"/>
      <c r="M1340" s="1142"/>
      <c r="N1340" s="1081"/>
      <c r="O1340" s="1142"/>
      <c r="P1340" s="1081"/>
      <c r="Q1340" s="1142"/>
      <c r="R1340" s="1081"/>
      <c r="S1340" s="1142"/>
      <c r="T1340" s="1142"/>
      <c r="U1340" s="1142"/>
      <c r="V1340" s="1142"/>
      <c r="W1340" s="1142"/>
      <c r="X1340" s="1142"/>
      <c r="Y1340" s="1142"/>
    </row>
    <row r="1341">
      <c r="A1341" s="1140"/>
      <c r="B1341" s="1140"/>
      <c r="C1341" s="1083"/>
      <c r="D1341" s="1058"/>
      <c r="E1341" s="1092"/>
      <c r="F1341" s="1083"/>
      <c r="G1341" s="1092"/>
      <c r="H1341" s="1083"/>
      <c r="I1341" s="1092"/>
      <c r="J1341" s="1092"/>
      <c r="K1341" s="1092"/>
      <c r="L1341" s="1083"/>
      <c r="M1341" s="1083"/>
      <c r="N1341" s="1092"/>
      <c r="O1341" s="1083"/>
      <c r="P1341" s="1092"/>
      <c r="Q1341" s="1083"/>
      <c r="R1341" s="1092"/>
      <c r="S1341" s="1083"/>
      <c r="T1341" s="1083"/>
      <c r="U1341" s="1083"/>
      <c r="V1341" s="1083"/>
      <c r="W1341" s="1083"/>
      <c r="X1341" s="1083"/>
      <c r="Y1341" s="1083"/>
    </row>
    <row r="1342">
      <c r="A1342" s="1120"/>
      <c r="B1342" s="1120"/>
      <c r="C1342" s="1142"/>
      <c r="D1342" s="1058"/>
      <c r="E1342" s="1081"/>
      <c r="F1342" s="1142"/>
      <c r="G1342" s="1081"/>
      <c r="H1342" s="1142"/>
      <c r="I1342" s="1081"/>
      <c r="J1342" s="1081"/>
      <c r="K1342" s="1081"/>
      <c r="L1342" s="1142"/>
      <c r="M1342" s="1142"/>
      <c r="N1342" s="1081"/>
      <c r="O1342" s="1142"/>
      <c r="P1342" s="1081"/>
      <c r="Q1342" s="1142"/>
      <c r="R1342" s="1081"/>
      <c r="S1342" s="1142"/>
      <c r="T1342" s="1142"/>
      <c r="U1342" s="1142"/>
      <c r="V1342" s="1142"/>
      <c r="W1342" s="1142"/>
      <c r="X1342" s="1142"/>
      <c r="Y1342" s="1142"/>
    </row>
    <row r="1343">
      <c r="A1343" s="1140"/>
      <c r="B1343" s="1140"/>
      <c r="C1343" s="1083"/>
      <c r="D1343" s="1058"/>
      <c r="E1343" s="1092"/>
      <c r="F1343" s="1083"/>
      <c r="G1343" s="1092"/>
      <c r="H1343" s="1083"/>
      <c r="I1343" s="1092"/>
      <c r="J1343" s="1092"/>
      <c r="K1343" s="1092"/>
      <c r="L1343" s="1083"/>
      <c r="M1343" s="1083"/>
      <c r="N1343" s="1092"/>
      <c r="O1343" s="1083"/>
      <c r="P1343" s="1092"/>
      <c r="Q1343" s="1083"/>
      <c r="R1343" s="1092"/>
      <c r="S1343" s="1083"/>
      <c r="T1343" s="1083"/>
      <c r="U1343" s="1083"/>
      <c r="V1343" s="1083"/>
      <c r="W1343" s="1083"/>
      <c r="X1343" s="1083"/>
      <c r="Y1343" s="1083"/>
    </row>
    <row r="1344">
      <c r="A1344" s="1120"/>
      <c r="B1344" s="1120"/>
      <c r="C1344" s="1142"/>
      <c r="D1344" s="1058"/>
      <c r="E1344" s="1081"/>
      <c r="F1344" s="1142"/>
      <c r="G1344" s="1081"/>
      <c r="H1344" s="1142"/>
      <c r="I1344" s="1081"/>
      <c r="J1344" s="1081"/>
      <c r="K1344" s="1081"/>
      <c r="L1344" s="1142"/>
      <c r="M1344" s="1142"/>
      <c r="N1344" s="1081"/>
      <c r="O1344" s="1142"/>
      <c r="P1344" s="1081"/>
      <c r="Q1344" s="1142"/>
      <c r="R1344" s="1081"/>
      <c r="S1344" s="1142"/>
      <c r="T1344" s="1142"/>
      <c r="U1344" s="1142"/>
      <c r="V1344" s="1142"/>
      <c r="W1344" s="1142"/>
      <c r="X1344" s="1142"/>
      <c r="Y1344" s="1142"/>
    </row>
    <row r="1345">
      <c r="A1345" s="1140"/>
      <c r="B1345" s="1140"/>
      <c r="C1345" s="1083"/>
      <c r="D1345" s="1058"/>
      <c r="E1345" s="1092"/>
      <c r="F1345" s="1083"/>
      <c r="G1345" s="1092"/>
      <c r="H1345" s="1083"/>
      <c r="I1345" s="1092"/>
      <c r="J1345" s="1092"/>
      <c r="K1345" s="1092"/>
      <c r="L1345" s="1083"/>
      <c r="M1345" s="1083"/>
      <c r="N1345" s="1092"/>
      <c r="O1345" s="1083"/>
      <c r="P1345" s="1092"/>
      <c r="Q1345" s="1083"/>
      <c r="R1345" s="1092"/>
      <c r="S1345" s="1083"/>
      <c r="T1345" s="1083"/>
      <c r="U1345" s="1083"/>
      <c r="V1345" s="1083"/>
      <c r="W1345" s="1083"/>
      <c r="X1345" s="1083"/>
      <c r="Y1345" s="1083"/>
    </row>
    <row r="1346">
      <c r="A1346" s="1120"/>
      <c r="B1346" s="1120"/>
      <c r="C1346" s="1142"/>
      <c r="D1346" s="1058"/>
      <c r="E1346" s="1081"/>
      <c r="F1346" s="1142"/>
      <c r="G1346" s="1081"/>
      <c r="H1346" s="1142"/>
      <c r="I1346" s="1081"/>
      <c r="J1346" s="1081"/>
      <c r="K1346" s="1081"/>
      <c r="L1346" s="1142"/>
      <c r="M1346" s="1142"/>
      <c r="N1346" s="1081"/>
      <c r="O1346" s="1142"/>
      <c r="P1346" s="1081"/>
      <c r="Q1346" s="1142"/>
      <c r="R1346" s="1081"/>
      <c r="S1346" s="1142"/>
      <c r="T1346" s="1142"/>
      <c r="U1346" s="1142"/>
      <c r="V1346" s="1142"/>
      <c r="W1346" s="1142"/>
      <c r="X1346" s="1142"/>
      <c r="Y1346" s="1142"/>
    </row>
    <row r="1347">
      <c r="A1347" s="1140"/>
      <c r="B1347" s="1140"/>
      <c r="C1347" s="1083"/>
      <c r="D1347" s="1058"/>
      <c r="E1347" s="1092"/>
      <c r="F1347" s="1083"/>
      <c r="G1347" s="1092"/>
      <c r="H1347" s="1083"/>
      <c r="I1347" s="1092"/>
      <c r="J1347" s="1092"/>
      <c r="K1347" s="1092"/>
      <c r="L1347" s="1083"/>
      <c r="M1347" s="1083"/>
      <c r="N1347" s="1092"/>
      <c r="O1347" s="1083"/>
      <c r="P1347" s="1092"/>
      <c r="Q1347" s="1083"/>
      <c r="R1347" s="1092"/>
      <c r="S1347" s="1083"/>
      <c r="T1347" s="1083"/>
      <c r="U1347" s="1083"/>
      <c r="V1347" s="1083"/>
      <c r="W1347" s="1083"/>
      <c r="X1347" s="1083"/>
      <c r="Y1347" s="1083"/>
    </row>
    <row r="1348">
      <c r="A1348" s="1120"/>
      <c r="B1348" s="1120"/>
      <c r="C1348" s="1142"/>
      <c r="D1348" s="1058"/>
      <c r="E1348" s="1081"/>
      <c r="F1348" s="1142"/>
      <c r="G1348" s="1081"/>
      <c r="H1348" s="1142"/>
      <c r="I1348" s="1081"/>
      <c r="J1348" s="1081"/>
      <c r="K1348" s="1081"/>
      <c r="L1348" s="1142"/>
      <c r="M1348" s="1142"/>
      <c r="N1348" s="1081"/>
      <c r="O1348" s="1142"/>
      <c r="P1348" s="1081"/>
      <c r="Q1348" s="1142"/>
      <c r="R1348" s="1081"/>
      <c r="S1348" s="1142"/>
      <c r="T1348" s="1142"/>
      <c r="U1348" s="1142"/>
      <c r="V1348" s="1142"/>
      <c r="W1348" s="1142"/>
      <c r="X1348" s="1142"/>
      <c r="Y1348" s="1142"/>
    </row>
  </sheetData>
  <autoFilter ref="$A$1:$Y$348">
    <sortState ref="A1:Y348">
      <sortCondition descending="1" ref="D1:D348"/>
      <sortCondition ref="C1:C348"/>
    </sortState>
  </autoFilter>
  <customSheetViews>
    <customSheetView guid="{E0C371E4-27D6-40E5-BF94-8AE9D307DDDB}" filter="1" showAutoFilter="1">
      <autoFilter ref="$E$133:$J$140"/>
    </customSheetView>
  </customSheetViews>
  <mergeCells count="1">
    <mergeCell ref="A350:Y350"/>
  </mergeCells>
  <drawing r:id="rId1"/>
</worksheet>
</file>